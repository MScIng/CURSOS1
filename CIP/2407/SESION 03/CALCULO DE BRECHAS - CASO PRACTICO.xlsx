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filterPrivacy="1" defaultThemeVersion="124226"/>
  <xr:revisionPtr revIDLastSave="0" documentId="13_ncr:1_{905E7D73-ED49-440B-9360-B555D1D02595}" xr6:coauthVersionLast="47" xr6:coauthVersionMax="47" xr10:uidLastSave="{00000000-0000-0000-0000-000000000000}"/>
  <bookViews>
    <workbookView xWindow="-108" yWindow="-108" windowWidth="23256" windowHeight="12456" tabRatio="599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" i="1" l="1"/>
  <c r="U23" i="1"/>
  <c r="G22" i="1"/>
  <c r="U14" i="1"/>
  <c r="K24" i="1" s="1"/>
  <c r="T14" i="1"/>
  <c r="S14" i="1"/>
  <c r="N14" i="1"/>
  <c r="M14" i="1"/>
  <c r="O14" i="1" s="1"/>
  <c r="K23" i="1" s="1"/>
  <c r="I14" i="1"/>
</calcChain>
</file>

<file path=xl/sharedStrings.xml><?xml version="1.0" encoding="utf-8"?>
<sst xmlns="http://schemas.openxmlformats.org/spreadsheetml/2006/main" count="58" uniqueCount="50">
  <si>
    <t>SEGUIMIENTO DEL CIERRE DE BRECHAS</t>
  </si>
  <si>
    <t>SECTOR RESPONSABLE: TRANSPORTES Y COMUNICACIONES</t>
  </si>
  <si>
    <t>UNIDAD DE MEDIDA: KM.</t>
  </si>
  <si>
    <t>UBIGEO</t>
  </si>
  <si>
    <t>NIVEL DE DESAGREGACIÓN DEL INDICADOR DE BRECHA</t>
  </si>
  <si>
    <t>NACIONAL</t>
  </si>
  <si>
    <t>DEPARTAMENTAL</t>
  </si>
  <si>
    <t>PROVINCIA</t>
  </si>
  <si>
    <t>DISTRITO</t>
  </si>
  <si>
    <t>SITUACIÓN AL AÑO 2019</t>
  </si>
  <si>
    <t xml:space="preserve">DEMANDADO </t>
  </si>
  <si>
    <t>IMPLEMENTADO</t>
  </si>
  <si>
    <t>BRECHA %</t>
  </si>
  <si>
    <t>PROGRAMADO AÑO 2020</t>
  </si>
  <si>
    <t>VARIACIÓN DEMANDA</t>
  </si>
  <si>
    <t>DEMANDADO</t>
  </si>
  <si>
    <t>CONTRIBUCIÓN (OPMI)</t>
  </si>
  <si>
    <t>CIERRE %</t>
  </si>
  <si>
    <t>EJECUTADO AÑO 2020</t>
  </si>
  <si>
    <t xml:space="preserve">(A ) </t>
  </si>
  <si>
    <t>( B )</t>
  </si>
  <si>
    <t>( C= (A-B)/A)</t>
  </si>
  <si>
    <t>( D )</t>
  </si>
  <si>
    <t xml:space="preserve">( E = A+ D) </t>
  </si>
  <si>
    <t xml:space="preserve">(F ) </t>
  </si>
  <si>
    <t>(D)</t>
  </si>
  <si>
    <t>(E )</t>
  </si>
  <si>
    <t>(J)</t>
  </si>
  <si>
    <t>PERÚ</t>
  </si>
  <si>
    <t>¿COMO SE CALCULA?</t>
  </si>
  <si>
    <t>OPMI DEL MINISTERIO DE TRANSPORTES Y COMUNICACIONES</t>
  </si>
  <si>
    <t>N°</t>
  </si>
  <si>
    <t>INDICADOR DE BRECHA</t>
  </si>
  <si>
    <t>BRECHA 2019</t>
  </si>
  <si>
    <t>SITUACIÓN</t>
  </si>
  <si>
    <t>PROGRAMADO</t>
  </si>
  <si>
    <t>EJECUTADO</t>
  </si>
  <si>
    <t>DESAGREGACIÓN BRECHA</t>
  </si>
  <si>
    <t xml:space="preserve">NACIONAL </t>
  </si>
  <si>
    <t>BRECHA 2020</t>
  </si>
  <si>
    <t>POR CERRAR</t>
  </si>
  <si>
    <t>CIERRE</t>
  </si>
  <si>
    <r>
      <rPr>
        <b/>
        <sz val="12"/>
        <color rgb="FF0066CC"/>
        <rFont val="Arial Black"/>
        <family val="2"/>
      </rPr>
      <t xml:space="preserve">(G) </t>
    </r>
    <r>
      <rPr>
        <b/>
        <sz val="10"/>
        <color rgb="FF0066CC"/>
        <rFont val="Arial Black"/>
        <family val="2"/>
      </rPr>
      <t>= ( B+ F)</t>
    </r>
  </si>
  <si>
    <r>
      <rPr>
        <b/>
        <sz val="11"/>
        <color rgb="FF0066CC"/>
        <rFont val="Arial Black"/>
        <family val="2"/>
      </rPr>
      <t>(H)</t>
    </r>
    <r>
      <rPr>
        <b/>
        <sz val="10"/>
        <color rgb="FF0066CC"/>
        <rFont val="Arial Black"/>
        <family val="2"/>
      </rPr>
      <t xml:space="preserve"> = (F/E)</t>
    </r>
  </si>
  <si>
    <r>
      <rPr>
        <b/>
        <sz val="12"/>
        <color rgb="FF0066CC"/>
        <rFont val="Arial Black"/>
        <family val="2"/>
      </rPr>
      <t xml:space="preserve"> (I )</t>
    </r>
    <r>
      <rPr>
        <b/>
        <sz val="10"/>
        <color rgb="FF0066CC"/>
        <rFont val="Arial Black"/>
        <family val="2"/>
      </rPr>
      <t xml:space="preserve"> = (E-G)/E</t>
    </r>
  </si>
  <si>
    <r>
      <t>(</t>
    </r>
    <r>
      <rPr>
        <b/>
        <sz val="12"/>
        <color rgb="FF006600"/>
        <rFont val="Arial Black"/>
        <family val="2"/>
      </rPr>
      <t>K</t>
    </r>
    <r>
      <rPr>
        <b/>
        <sz val="12"/>
        <color rgb="FF006600"/>
        <rFont val="Calibri"/>
        <family val="2"/>
        <scheme val="minor"/>
      </rPr>
      <t xml:space="preserve"> = B+J)</t>
    </r>
  </si>
  <si>
    <r>
      <t>(</t>
    </r>
    <r>
      <rPr>
        <b/>
        <sz val="12"/>
        <color rgb="FF006600"/>
        <rFont val="Arial Black"/>
        <family val="2"/>
      </rPr>
      <t>L</t>
    </r>
    <r>
      <rPr>
        <b/>
        <sz val="12"/>
        <color rgb="FF006600"/>
        <rFont val="Calibri"/>
        <family val="2"/>
        <scheme val="minor"/>
      </rPr>
      <t>= J/E)</t>
    </r>
  </si>
  <si>
    <r>
      <rPr>
        <b/>
        <sz val="12"/>
        <color rgb="FF006600"/>
        <rFont val="Arial Black"/>
        <family val="2"/>
      </rPr>
      <t>M</t>
    </r>
    <r>
      <rPr>
        <b/>
        <sz val="12"/>
        <color rgb="FF006600"/>
        <rFont val="Calibri"/>
        <family val="2"/>
        <scheme val="minor"/>
      </rPr>
      <t>= (E-K)/E</t>
    </r>
  </si>
  <si>
    <t>PORCENTAJE DE LA RED VIAL NACIONAL POR IMPLEMENTAR</t>
  </si>
  <si>
    <r>
      <t>NOMBRE DEL INDICADOR:</t>
    </r>
    <r>
      <rPr>
        <b/>
        <i/>
        <sz val="12"/>
        <color rgb="FFCC6600"/>
        <rFont val="Arial Black"/>
        <family val="2"/>
      </rPr>
      <t xml:space="preserve"> </t>
    </r>
    <r>
      <rPr>
        <b/>
        <i/>
        <sz val="12"/>
        <color rgb="FFFF0000"/>
        <rFont val="Aptos Black"/>
        <family val="2"/>
      </rPr>
      <t>"</t>
    </r>
    <r>
      <rPr>
        <b/>
        <i/>
        <sz val="14"/>
        <color rgb="FFFF0000"/>
        <rFont val="Aptos Black"/>
        <family val="2"/>
      </rPr>
      <t>PORCENTAJE DE LA RED VIAL NACIONAL POR IMPLEMENTAR"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</si>
</sst>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rgb="FF0066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4"/>
      <color rgb="FF0066CC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0000FF"/>
      <name val="Arial Black"/>
      <family val="2"/>
    </font>
    <font>
      <b/>
      <sz val="22"/>
      <color rgb="FFFF0000"/>
      <name val="Arial Black"/>
      <family val="2"/>
    </font>
    <font>
      <b/>
      <sz val="12"/>
      <color rgb="FF7030A0"/>
      <name val="Arial Black"/>
      <family val="2"/>
    </font>
    <font>
      <b/>
      <sz val="14"/>
      <color rgb="FFC00000"/>
      <name val="Arial Black"/>
      <family val="2"/>
    </font>
    <font>
      <b/>
      <sz val="14"/>
      <color rgb="FFFF0000"/>
      <name val="Arial Black"/>
      <family val="2"/>
    </font>
    <font>
      <b/>
      <sz val="12"/>
      <color rgb="FFFF0000"/>
      <name val="Arial Black"/>
      <family val="2"/>
    </font>
    <font>
      <b/>
      <sz val="14"/>
      <color rgb="FF006600"/>
      <name val="Arial Black"/>
      <family val="2"/>
    </font>
    <font>
      <b/>
      <i/>
      <sz val="12"/>
      <color theme="1" tint="0.14999847407452621"/>
      <name val="Arial Black"/>
      <family val="2"/>
    </font>
    <font>
      <b/>
      <sz val="12"/>
      <color rgb="FFFF0000"/>
      <name val="Calibri"/>
      <family val="2"/>
      <scheme val="minor"/>
    </font>
    <font>
      <b/>
      <sz val="12"/>
      <color rgb="FF0066CC"/>
      <name val="Arial Black"/>
      <family val="2"/>
    </font>
    <font>
      <b/>
      <sz val="12"/>
      <name val="Arial Black"/>
      <family val="2"/>
    </font>
    <font>
      <b/>
      <u/>
      <sz val="12"/>
      <color theme="2" tint="-0.749992370372631"/>
      <name val="Arial Black"/>
      <family val="2"/>
    </font>
    <font>
      <b/>
      <sz val="14"/>
      <color rgb="FF990000"/>
      <name val="Arial Black"/>
      <family val="2"/>
    </font>
    <font>
      <b/>
      <sz val="16"/>
      <color rgb="FFC00000"/>
      <name val="Arial Black"/>
      <family val="2"/>
    </font>
    <font>
      <b/>
      <sz val="14"/>
      <color rgb="FF0066CC"/>
      <name val="Arial Black"/>
      <family val="2"/>
    </font>
    <font>
      <b/>
      <sz val="16"/>
      <color rgb="FF0066CC"/>
      <name val="Arial Black"/>
      <family val="2"/>
    </font>
    <font>
      <b/>
      <sz val="10"/>
      <color rgb="FF0066CC"/>
      <name val="Arial Black"/>
      <family val="2"/>
    </font>
    <font>
      <b/>
      <sz val="11"/>
      <color rgb="FF0066CC"/>
      <name val="Arial Black"/>
      <family val="2"/>
    </font>
    <font>
      <b/>
      <sz val="14"/>
      <color rgb="FF006600"/>
      <name val="Arial"/>
      <family val="2"/>
    </font>
    <font>
      <b/>
      <sz val="12"/>
      <color rgb="FF006600"/>
      <name val="Arial Black"/>
      <family val="2"/>
    </font>
    <font>
      <b/>
      <sz val="12"/>
      <color rgb="FF0070C0"/>
      <name val="Arial Black"/>
      <family val="2"/>
    </font>
    <font>
      <b/>
      <sz val="12"/>
      <color rgb="FF0000FF"/>
      <name val="Arial Black"/>
      <family val="2"/>
    </font>
    <font>
      <b/>
      <sz val="20"/>
      <color rgb="FFFF0000"/>
      <name val="Arial Black"/>
      <family val="2"/>
    </font>
    <font>
      <b/>
      <sz val="14"/>
      <color rgb="FF990033"/>
      <name val="Arial Black"/>
      <family val="2"/>
    </font>
    <font>
      <b/>
      <sz val="10"/>
      <name val="Arial Black"/>
      <family val="2"/>
    </font>
    <font>
      <b/>
      <sz val="11"/>
      <name val="Arial Black"/>
      <family val="2"/>
    </font>
    <font>
      <b/>
      <sz val="16"/>
      <color theme="1"/>
      <name val="Arial Black"/>
      <family val="2"/>
    </font>
    <font>
      <b/>
      <sz val="20"/>
      <color theme="1"/>
      <name val="Arial Black"/>
      <family val="2"/>
    </font>
    <font>
      <b/>
      <i/>
      <sz val="12"/>
      <color rgb="FF0000FF"/>
      <name val="Arial Narrow"/>
      <family val="2"/>
    </font>
    <font>
      <b/>
      <i/>
      <sz val="12"/>
      <color rgb="FFCC6600"/>
      <name val="Arial Black"/>
      <family val="2"/>
    </font>
    <font>
      <b/>
      <i/>
      <sz val="12"/>
      <color rgb="FFFF0000"/>
      <name val="Aptos Black"/>
      <family val="2"/>
    </font>
    <font>
      <b/>
      <i/>
      <sz val="14"/>
      <color rgb="FFFF0000"/>
      <name val="Aptos Black"/>
      <family val="2"/>
    </font>
    <font>
      <b/>
      <sz val="12"/>
      <color rgb="FF0000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00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33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3" fillId="0" borderId="0" xfId="0" applyFont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0" fillId="6" borderId="0" xfId="0" applyFont="1" applyFill="1"/>
    <xf numFmtId="0" fontId="0" fillId="6" borderId="0" xfId="0" applyFill="1"/>
    <xf numFmtId="0" fontId="12" fillId="6" borderId="0" xfId="0" applyFont="1" applyFill="1"/>
    <xf numFmtId="0" fontId="0" fillId="6" borderId="1" xfId="0" applyFill="1" applyBorder="1"/>
    <xf numFmtId="0" fontId="11" fillId="6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164" fontId="15" fillId="0" borderId="1" xfId="1" applyNumberFormat="1" applyFont="1" applyBorder="1" applyAlignment="1">
      <alignment horizontal="center"/>
    </xf>
    <xf numFmtId="164" fontId="19" fillId="0" borderId="1" xfId="1" applyNumberFormat="1" applyFont="1" applyBorder="1" applyAlignment="1">
      <alignment horizontal="center"/>
    </xf>
    <xf numFmtId="0" fontId="20" fillId="6" borderId="1" xfId="0" applyFont="1" applyFill="1" applyBorder="1"/>
    <xf numFmtId="164" fontId="15" fillId="6" borderId="1" xfId="0" applyNumberFormat="1" applyFont="1" applyFill="1" applyBorder="1"/>
    <xf numFmtId="0" fontId="23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6" fillId="6" borderId="0" xfId="0" applyFont="1" applyFill="1"/>
    <xf numFmtId="3" fontId="27" fillId="0" borderId="1" xfId="0" applyNumberFormat="1" applyFont="1" applyBorder="1" applyAlignment="1">
      <alignment horizontal="center"/>
    </xf>
    <xf numFmtId="9" fontId="28" fillId="0" borderId="1" xfId="1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3" fontId="29" fillId="0" borderId="1" xfId="0" applyNumberFormat="1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3" fontId="21" fillId="0" borderId="1" xfId="0" applyNumberFormat="1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164" fontId="18" fillId="0" borderId="1" xfId="1" applyNumberFormat="1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38" fillId="6" borderId="1" xfId="0" applyFont="1" applyFill="1" applyBorder="1" applyAlignment="1">
      <alignment horizontal="center"/>
    </xf>
    <xf numFmtId="0" fontId="39" fillId="6" borderId="13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center"/>
    </xf>
    <xf numFmtId="9" fontId="19" fillId="6" borderId="1" xfId="0" applyNumberFormat="1" applyFont="1" applyFill="1" applyBorder="1"/>
    <xf numFmtId="164" fontId="18" fillId="6" borderId="1" xfId="0" applyNumberFormat="1" applyFont="1" applyFill="1" applyBorder="1"/>
    <xf numFmtId="0" fontId="11" fillId="6" borderId="1" xfId="0" applyFont="1" applyFill="1" applyBorder="1" applyAlignment="1">
      <alignment horizontal="center"/>
    </xf>
    <xf numFmtId="0" fontId="36" fillId="6" borderId="2" xfId="0" applyFont="1" applyFill="1" applyBorder="1" applyAlignment="1">
      <alignment horizontal="center" vertical="center" wrapText="1"/>
    </xf>
    <xf numFmtId="0" fontId="36" fillId="6" borderId="3" xfId="0" applyFont="1" applyFill="1" applyBorder="1" applyAlignment="1">
      <alignment horizontal="center" vertical="center" wrapText="1"/>
    </xf>
    <xf numFmtId="0" fontId="36" fillId="6" borderId="4" xfId="0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9" fontId="37" fillId="6" borderId="5" xfId="0" applyNumberFormat="1" applyFont="1" applyFill="1" applyBorder="1" applyAlignment="1">
      <alignment horizontal="center" vertical="center" wrapText="1"/>
    </xf>
    <xf numFmtId="9" fontId="37" fillId="6" borderId="7" xfId="0" applyNumberFormat="1" applyFont="1" applyFill="1" applyBorder="1" applyAlignment="1">
      <alignment horizontal="center" vertical="center" wrapText="1"/>
    </xf>
    <xf numFmtId="9" fontId="37" fillId="6" borderId="8" xfId="0" applyNumberFormat="1" applyFont="1" applyFill="1" applyBorder="1" applyAlignment="1">
      <alignment horizontal="center" vertical="center" wrapText="1"/>
    </xf>
    <xf numFmtId="9" fontId="37" fillId="6" borderId="9" xfId="0" applyNumberFormat="1" applyFont="1" applyFill="1" applyBorder="1" applyAlignment="1">
      <alignment horizontal="center" vertical="center" wrapText="1"/>
    </xf>
    <xf numFmtId="9" fontId="37" fillId="6" borderId="10" xfId="0" applyNumberFormat="1" applyFont="1" applyFill="1" applyBorder="1" applyAlignment="1">
      <alignment horizontal="center" vertical="center" wrapText="1"/>
    </xf>
    <xf numFmtId="9" fontId="37" fillId="6" borderId="12" xfId="0" applyNumberFormat="1" applyFont="1" applyFill="1" applyBorder="1" applyAlignment="1">
      <alignment horizontal="center" vertical="center" wrapText="1"/>
    </xf>
    <xf numFmtId="0" fontId="14" fillId="8" borderId="14" xfId="0" applyFont="1" applyFill="1" applyBorder="1" applyAlignment="1">
      <alignment horizontal="center"/>
    </xf>
    <xf numFmtId="0" fontId="14" fillId="8" borderId="15" xfId="0" applyFont="1" applyFill="1" applyBorder="1" applyAlignment="1">
      <alignment horizontal="center"/>
    </xf>
    <xf numFmtId="0" fontId="14" fillId="8" borderId="16" xfId="0" applyFon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9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9" xfId="0" applyFill="1" applyBorder="1" applyAlignment="1">
      <alignment horizontal="center"/>
    </xf>
    <xf numFmtId="0" fontId="17" fillId="6" borderId="1" xfId="0" applyFont="1" applyFill="1" applyBorder="1" applyAlignment="1">
      <alignment horizontal="center"/>
    </xf>
    <xf numFmtId="0" fontId="43" fillId="6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/>
    </xf>
    <xf numFmtId="0" fontId="40" fillId="6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2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41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47" fillId="0" borderId="1" xfId="0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Medium9"/>
  <colors>
    <mruColors>
      <color rgb="FF0000FF"/>
      <color rgb="FFCC6600"/>
      <color rgb="FF0000CC"/>
      <color rgb="FF0066CC"/>
      <color rgb="FF990000"/>
      <color rgb="FF333300"/>
      <color rgb="FFFF3300"/>
      <color rgb="FF006600"/>
      <color rgb="FF990033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438150</xdr:colOff>
      <xdr:row>14</xdr:row>
      <xdr:rowOff>57150</xdr:rowOff>
    </xdr:from>
    <xdr:to>
      <xdr:col>8</xdr:col>
      <xdr:colOff>485775</xdr:colOff>
      <xdr:row>22</xdr:row>
      <xdr:rowOff>57150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EBAD6F9F-1EF7-488E-A705-35CF576189B5}"/>
            </a:ext>
          </a:extLst>
        </xdr:cNvPr>
        <xdr:cNvCxnSpPr/>
      </xdr:nvCxnSpPr>
      <xdr:spPr>
        <a:xfrm flipH="1">
          <a:off x="6553200" y="3295650"/>
          <a:ext cx="1209675" cy="16764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933450</xdr:colOff>
      <xdr:row>14</xdr:row>
      <xdr:rowOff>28575</xdr:rowOff>
    </xdr:from>
    <xdr:to>
      <xdr:col>14</xdr:col>
      <xdr:colOff>333375</xdr:colOff>
      <xdr:row>21</xdr:row>
      <xdr:rowOff>171450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FCCF41FE-2A78-4851-861C-C5105CC5C299}"/>
            </a:ext>
          </a:extLst>
        </xdr:cNvPr>
        <xdr:cNvCxnSpPr/>
      </xdr:nvCxnSpPr>
      <xdr:spPr>
        <a:xfrm flipH="1">
          <a:off x="11020425" y="3267075"/>
          <a:ext cx="3810000" cy="161925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381000</xdr:colOff>
      <xdr:row>14</xdr:row>
      <xdr:rowOff>28575</xdr:rowOff>
    </xdr:from>
    <xdr:to>
      <xdr:col>20</xdr:col>
      <xdr:colOff>333375</xdr:colOff>
      <xdr:row>22</xdr:row>
      <xdr:rowOff>57150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90C8BA3B-0060-473D-8E28-1433E81C496B}"/>
            </a:ext>
          </a:extLst>
        </xdr:cNvPr>
        <xdr:cNvCxnSpPr/>
      </xdr:nvCxnSpPr>
      <xdr:spPr>
        <a:xfrm>
          <a:off x="14163675" y="3295650"/>
          <a:ext cx="7448550" cy="1704975"/>
        </a:xfrm>
        <a:prstGeom prst="straightConnector1">
          <a:avLst/>
        </a:prstGeom>
        <a:ln w="28575">
          <a:solidFill>
            <a:srgbClr val="0000FF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371475</xdr:colOff>
      <xdr:row>14</xdr:row>
      <xdr:rowOff>38100</xdr:rowOff>
    </xdr:from>
    <xdr:to>
      <xdr:col>19</xdr:col>
      <xdr:colOff>390525</xdr:colOff>
      <xdr:row>23</xdr:row>
      <xdr:rowOff>76200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1C313300-EAC1-42EA-B32F-B2098C9642F2}"/>
            </a:ext>
          </a:extLst>
        </xdr:cNvPr>
        <xdr:cNvCxnSpPr/>
      </xdr:nvCxnSpPr>
      <xdr:spPr>
        <a:xfrm>
          <a:off x="20993100" y="3305175"/>
          <a:ext cx="19050" cy="1952625"/>
        </a:xfrm>
        <a:prstGeom prst="straightConnector1">
          <a:avLst/>
        </a:prstGeom>
        <a:ln w="28575">
          <a:solidFill>
            <a:srgbClr val="00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28575</xdr:colOff>
      <xdr:row>14</xdr:row>
      <xdr:rowOff>19050</xdr:rowOff>
    </xdr:from>
    <xdr:to>
      <xdr:col>20</xdr:col>
      <xdr:colOff>371475</xdr:colOff>
      <xdr:row>23</xdr:row>
      <xdr:rowOff>85725</xdr:rowOff>
    </xdr:to>
    <xdr:cxnSp macro="">
      <xdr:nvCxnSpPr>
        <xdr:cNvPr id="24" name="Conector recto de flecha 23">
          <a:extLst>
            <a:ext uri="{FF2B5EF4-FFF2-40B4-BE49-F238E27FC236}">
              <a16:creationId xmlns:a16="http://schemas.microsoft.com/office/drawing/2014/main" id="{C02CC1BF-1921-4209-BB74-141F38405467}"/>
            </a:ext>
          </a:extLst>
        </xdr:cNvPr>
        <xdr:cNvCxnSpPr/>
      </xdr:nvCxnSpPr>
      <xdr:spPr>
        <a:xfrm flipH="1">
          <a:off x="11077575" y="3286125"/>
          <a:ext cx="10572750" cy="19812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U27"/>
  <sheetViews>
    <sheetView tabSelected="1" topLeftCell="F1" workbookViewId="0">
      <selection activeCell="P6" sqref="P6"/>
    </sheetView>
  </sheetViews>
  <sheetFormatPr baseColWidth="10" defaultColWidth="9.109375" defaultRowHeight="14.4" x14ac:dyDescent="0.3"/>
  <cols>
    <col min="3" max="3" width="13.88671875" customWidth="1"/>
    <col min="4" max="4" width="19.33203125" customWidth="1"/>
    <col min="5" max="5" width="13.33203125" customWidth="1"/>
    <col min="6" max="6" width="12" customWidth="1"/>
    <col min="7" max="7" width="15" bestFit="1" customWidth="1"/>
    <col min="8" max="8" width="17.44140625" bestFit="1" customWidth="1"/>
    <col min="9" max="9" width="19" bestFit="1" customWidth="1"/>
    <col min="10" max="10" width="23.109375" bestFit="1" customWidth="1"/>
    <col min="11" max="11" width="14.44140625" bestFit="1" customWidth="1"/>
    <col min="12" max="12" width="23.5546875" bestFit="1" customWidth="1"/>
    <col min="13" max="13" width="17.44140625" bestFit="1" customWidth="1"/>
    <col min="14" max="14" width="10.6640625" bestFit="1" customWidth="1"/>
    <col min="15" max="15" width="13.33203125" bestFit="1" customWidth="1"/>
    <col min="16" max="16" width="23.109375" bestFit="1" customWidth="1"/>
    <col min="17" max="17" width="14.44140625" bestFit="1" customWidth="1"/>
    <col min="18" max="18" width="23.5546875" bestFit="1" customWidth="1"/>
    <col min="19" max="19" width="17.44140625" bestFit="1" customWidth="1"/>
    <col min="20" max="20" width="9.88671875" bestFit="1" customWidth="1"/>
    <col min="21" max="21" width="11.44140625" bestFit="1" customWidth="1"/>
  </cols>
  <sheetData>
    <row r="3" spans="2:21" ht="30" x14ac:dyDescent="0.7">
      <c r="B3" s="69" t="s">
        <v>0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</row>
    <row r="5" spans="2:21" ht="34.200000000000003" x14ac:dyDescent="0.8">
      <c r="B5" s="70" t="s">
        <v>29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</row>
    <row r="7" spans="2:21" ht="25.2" x14ac:dyDescent="0.6">
      <c r="B7" s="75" t="s">
        <v>1</v>
      </c>
      <c r="C7" s="75"/>
      <c r="D7" s="75"/>
      <c r="E7" s="75"/>
      <c r="F7" s="75"/>
      <c r="G7" s="75"/>
      <c r="H7" s="75"/>
      <c r="I7" s="75"/>
    </row>
    <row r="8" spans="2:21" ht="19.2" x14ac:dyDescent="0.45">
      <c r="B8" s="76" t="s">
        <v>49</v>
      </c>
      <c r="C8" s="76"/>
      <c r="D8" s="76"/>
      <c r="E8" s="76"/>
      <c r="F8" s="76"/>
      <c r="G8" s="76"/>
      <c r="H8" s="76"/>
      <c r="I8" s="76"/>
    </row>
    <row r="9" spans="2:21" ht="21" x14ac:dyDescent="0.5">
      <c r="B9" s="77" t="s">
        <v>2</v>
      </c>
      <c r="C9" s="77"/>
      <c r="D9" s="77"/>
      <c r="E9" s="77"/>
      <c r="F9" s="77"/>
      <c r="G9" s="77"/>
      <c r="H9" s="77"/>
      <c r="I9" s="77"/>
    </row>
    <row r="11" spans="2:21" ht="18" x14ac:dyDescent="0.35">
      <c r="B11" s="78" t="s">
        <v>3</v>
      </c>
      <c r="C11" s="74" t="s">
        <v>4</v>
      </c>
      <c r="D11" s="74"/>
      <c r="E11" s="74"/>
      <c r="F11" s="74"/>
      <c r="G11" s="73" t="s">
        <v>9</v>
      </c>
      <c r="H11" s="73"/>
      <c r="I11" s="73"/>
      <c r="J11" s="71" t="s">
        <v>13</v>
      </c>
      <c r="K11" s="71"/>
      <c r="L11" s="71"/>
      <c r="M11" s="71"/>
      <c r="N11" s="71"/>
      <c r="O11" s="71"/>
      <c r="P11" s="72" t="s">
        <v>18</v>
      </c>
      <c r="Q11" s="72"/>
      <c r="R11" s="72"/>
      <c r="S11" s="72"/>
      <c r="T11" s="72"/>
      <c r="U11" s="72"/>
    </row>
    <row r="12" spans="2:21" ht="15.6" x14ac:dyDescent="0.3">
      <c r="B12" s="79"/>
      <c r="C12" s="67" t="s">
        <v>5</v>
      </c>
      <c r="D12" s="67" t="s">
        <v>6</v>
      </c>
      <c r="E12" s="67" t="s">
        <v>7</v>
      </c>
      <c r="F12" s="67" t="s">
        <v>8</v>
      </c>
      <c r="G12" s="15" t="s">
        <v>10</v>
      </c>
      <c r="H12" s="15" t="s">
        <v>11</v>
      </c>
      <c r="I12" s="15" t="s">
        <v>12</v>
      </c>
      <c r="J12" s="81" t="s">
        <v>14</v>
      </c>
      <c r="K12" s="81" t="s">
        <v>15</v>
      </c>
      <c r="L12" s="81" t="s">
        <v>16</v>
      </c>
      <c r="M12" s="81" t="s">
        <v>11</v>
      </c>
      <c r="N12" s="81" t="s">
        <v>17</v>
      </c>
      <c r="O12" s="81" t="s">
        <v>12</v>
      </c>
      <c r="P12" s="2" t="s">
        <v>14</v>
      </c>
      <c r="Q12" s="2" t="s">
        <v>15</v>
      </c>
      <c r="R12" s="2" t="s">
        <v>16</v>
      </c>
      <c r="S12" s="2" t="s">
        <v>11</v>
      </c>
      <c r="T12" s="2" t="s">
        <v>17</v>
      </c>
      <c r="U12" s="2" t="s">
        <v>12</v>
      </c>
    </row>
    <row r="13" spans="2:21" ht="18.600000000000001" x14ac:dyDescent="0.45">
      <c r="B13" s="80"/>
      <c r="C13" s="68"/>
      <c r="D13" s="68"/>
      <c r="E13" s="68"/>
      <c r="F13" s="68"/>
      <c r="G13" s="16" t="s">
        <v>19</v>
      </c>
      <c r="H13" s="16" t="s">
        <v>20</v>
      </c>
      <c r="I13" s="16" t="s">
        <v>21</v>
      </c>
      <c r="J13" s="20" t="s">
        <v>22</v>
      </c>
      <c r="K13" s="20" t="s">
        <v>23</v>
      </c>
      <c r="L13" s="20" t="s">
        <v>24</v>
      </c>
      <c r="M13" s="23" t="s">
        <v>42</v>
      </c>
      <c r="N13" s="23" t="s">
        <v>43</v>
      </c>
      <c r="O13" s="23" t="s">
        <v>44</v>
      </c>
      <c r="P13" s="29" t="s">
        <v>25</v>
      </c>
      <c r="Q13" s="29" t="s">
        <v>26</v>
      </c>
      <c r="R13" s="27" t="s">
        <v>27</v>
      </c>
      <c r="S13" s="2" t="s">
        <v>45</v>
      </c>
      <c r="T13" s="2" t="s">
        <v>46</v>
      </c>
      <c r="U13" s="2" t="s">
        <v>47</v>
      </c>
    </row>
    <row r="14" spans="2:21" ht="25.2" x14ac:dyDescent="0.6">
      <c r="B14" s="3">
        <v>999</v>
      </c>
      <c r="C14" s="3" t="s">
        <v>28</v>
      </c>
      <c r="D14" s="3"/>
      <c r="E14" s="3"/>
      <c r="F14" s="3"/>
      <c r="G14" s="18">
        <v>27124</v>
      </c>
      <c r="H14" s="18">
        <v>21428</v>
      </c>
      <c r="I14" s="19">
        <f>(G14-H14)/G14</f>
        <v>0.20999852529125498</v>
      </c>
      <c r="J14" s="4">
        <v>0</v>
      </c>
      <c r="K14" s="18">
        <v>27124</v>
      </c>
      <c r="L14" s="22">
        <v>270</v>
      </c>
      <c r="M14" s="21">
        <f>H14+L14</f>
        <v>21698</v>
      </c>
      <c r="N14" s="11">
        <f>L14/K14</f>
        <v>9.9542840289042912E-3</v>
      </c>
      <c r="O14" s="12">
        <f>(K14-M14)/K14</f>
        <v>0.20004424126235068</v>
      </c>
      <c r="P14" s="24">
        <v>0</v>
      </c>
      <c r="Q14" s="18">
        <v>27124</v>
      </c>
      <c r="R14" s="25">
        <v>130</v>
      </c>
      <c r="S14" s="26">
        <f>H14+R14</f>
        <v>21558</v>
      </c>
      <c r="T14" s="11">
        <f>R14/Q14</f>
        <v>4.7928034213242888E-3</v>
      </c>
      <c r="U14" s="28">
        <f>(Q14-S14)/Q14</f>
        <v>0.20520572186993069</v>
      </c>
    </row>
    <row r="17" spans="2:21" ht="19.2" x14ac:dyDescent="0.45">
      <c r="B17" s="17" t="s">
        <v>30</v>
      </c>
      <c r="C17" s="5"/>
      <c r="D17" s="5"/>
      <c r="E17" s="5"/>
      <c r="F17" s="5"/>
      <c r="G17" s="5"/>
      <c r="H17" s="5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spans="2:21" x14ac:dyDescent="0.3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spans="2:21" ht="19.2" x14ac:dyDescent="0.45">
      <c r="B19" s="35" t="s">
        <v>31</v>
      </c>
      <c r="C19" s="63" t="s">
        <v>32</v>
      </c>
      <c r="D19" s="63"/>
      <c r="E19" s="63"/>
      <c r="F19" s="63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spans="2:21" ht="15" thickBot="1" x14ac:dyDescent="0.35">
      <c r="B20" s="7"/>
      <c r="C20" s="7"/>
      <c r="D20" s="7"/>
      <c r="E20" s="7"/>
      <c r="F20" s="7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spans="2:21" ht="26.25" customHeight="1" thickBot="1" x14ac:dyDescent="0.55000000000000004">
      <c r="B21" s="36">
        <v>1</v>
      </c>
      <c r="C21" s="64" t="s">
        <v>48</v>
      </c>
      <c r="D21" s="64"/>
      <c r="E21" s="64"/>
      <c r="F21" s="64"/>
      <c r="G21" s="65" t="s">
        <v>33</v>
      </c>
      <c r="H21" s="65"/>
      <c r="I21" s="30" t="s">
        <v>34</v>
      </c>
      <c r="J21" s="31" t="s">
        <v>37</v>
      </c>
      <c r="K21" s="54" t="s">
        <v>39</v>
      </c>
      <c r="L21" s="55"/>
      <c r="M21" s="55"/>
      <c r="N21" s="55"/>
      <c r="O21" s="55"/>
      <c r="P21" s="55"/>
      <c r="Q21" s="55"/>
      <c r="R21" s="55"/>
      <c r="S21" s="55"/>
      <c r="T21" s="55"/>
      <c r="U21" s="56"/>
    </row>
    <row r="22" spans="2:21" ht="18" x14ac:dyDescent="0.35">
      <c r="B22" s="37"/>
      <c r="C22" s="39"/>
      <c r="D22" s="40"/>
      <c r="E22" s="40"/>
      <c r="F22" s="41"/>
      <c r="G22" s="48">
        <f>I14</f>
        <v>0.20999852529125498</v>
      </c>
      <c r="H22" s="49"/>
      <c r="I22" s="8"/>
      <c r="J22" s="8"/>
      <c r="K22" s="6"/>
      <c r="L22" s="6"/>
      <c r="M22" s="6"/>
      <c r="N22" s="6"/>
      <c r="O22" s="6"/>
      <c r="P22" s="6"/>
      <c r="Q22" s="6"/>
      <c r="R22" s="10" t="s">
        <v>40</v>
      </c>
      <c r="S22" s="9" t="s">
        <v>41</v>
      </c>
      <c r="T22" s="6"/>
      <c r="U22" s="6"/>
    </row>
    <row r="23" spans="2:21" ht="21" x14ac:dyDescent="0.5">
      <c r="B23" s="37"/>
      <c r="C23" s="42"/>
      <c r="D23" s="43"/>
      <c r="E23" s="43"/>
      <c r="F23" s="44"/>
      <c r="G23" s="50"/>
      <c r="H23" s="51"/>
      <c r="I23" s="13" t="s">
        <v>35</v>
      </c>
      <c r="J23" s="66" t="s">
        <v>38</v>
      </c>
      <c r="K23" s="33">
        <f>O14</f>
        <v>0.20004424126235068</v>
      </c>
      <c r="L23" s="8"/>
      <c r="M23" s="57"/>
      <c r="N23" s="58"/>
      <c r="O23" s="58"/>
      <c r="P23" s="58"/>
      <c r="Q23" s="58"/>
      <c r="R23" s="58"/>
      <c r="S23" s="58"/>
      <c r="T23" s="59"/>
      <c r="U23" s="14">
        <f>N14</f>
        <v>9.9542840289042912E-3</v>
      </c>
    </row>
    <row r="24" spans="2:21" ht="21" x14ac:dyDescent="0.5">
      <c r="B24" s="38"/>
      <c r="C24" s="45"/>
      <c r="D24" s="46"/>
      <c r="E24" s="46"/>
      <c r="F24" s="47"/>
      <c r="G24" s="52"/>
      <c r="H24" s="53"/>
      <c r="I24" s="32" t="s">
        <v>36</v>
      </c>
      <c r="J24" s="66"/>
      <c r="K24" s="34">
        <f>U14</f>
        <v>0.20520572186993069</v>
      </c>
      <c r="L24" s="60"/>
      <c r="M24" s="61"/>
      <c r="N24" s="61"/>
      <c r="O24" s="61"/>
      <c r="P24" s="61"/>
      <c r="Q24" s="61"/>
      <c r="R24" s="61"/>
      <c r="S24" s="62"/>
      <c r="T24" s="14">
        <f>T14</f>
        <v>4.7928034213242888E-3</v>
      </c>
      <c r="U24" s="8"/>
    </row>
    <row r="25" spans="2:21" x14ac:dyDescent="0.3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7" spans="2:21" x14ac:dyDescent="0.3">
      <c r="H27" s="1"/>
    </row>
  </sheetData>
  <mergeCells count="24">
    <mergeCell ref="B3:U3"/>
    <mergeCell ref="B5:U5"/>
    <mergeCell ref="J11:O11"/>
    <mergeCell ref="P11:U11"/>
    <mergeCell ref="G11:I11"/>
    <mergeCell ref="C11:F11"/>
    <mergeCell ref="B7:I7"/>
    <mergeCell ref="B8:I8"/>
    <mergeCell ref="B9:I9"/>
    <mergeCell ref="B11:B13"/>
    <mergeCell ref="C19:F19"/>
    <mergeCell ref="C21:F21"/>
    <mergeCell ref="G21:H21"/>
    <mergeCell ref="J23:J24"/>
    <mergeCell ref="C12:C13"/>
    <mergeCell ref="D12:D13"/>
    <mergeCell ref="E12:E13"/>
    <mergeCell ref="F12:F13"/>
    <mergeCell ref="B21:B24"/>
    <mergeCell ref="C22:F24"/>
    <mergeCell ref="G22:H24"/>
    <mergeCell ref="K21:U21"/>
    <mergeCell ref="M23:T23"/>
    <mergeCell ref="L24:S2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2024-08-23T23:58:25Z</dcterms:modified>
</cp:coreProperties>
</file>