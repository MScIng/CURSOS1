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civil 3d CIP\PERALTES\"/>
    </mc:Choice>
  </mc:AlternateContent>
  <bookViews>
    <workbookView xWindow="0" yWindow="0" windowWidth="23040" windowHeight="9072" tabRatio="878"/>
  </bookViews>
  <sheets>
    <sheet name="C1" sheetId="63" r:id="rId1"/>
    <sheet name="C2" sheetId="64" r:id="rId2"/>
    <sheet name="C3" sheetId="65" r:id="rId3"/>
    <sheet name="C4" sheetId="66" r:id="rId4"/>
    <sheet name="C5" sheetId="67" r:id="rId5"/>
    <sheet name="C6" sheetId="68" r:id="rId6"/>
    <sheet name="C7" sheetId="69" r:id="rId7"/>
    <sheet name="C8" sheetId="70" r:id="rId8"/>
    <sheet name="C9" sheetId="71" r:id="rId9"/>
    <sheet name="C10" sheetId="72" r:id="rId10"/>
    <sheet name="C11" sheetId="73" r:id="rId11"/>
    <sheet name="C12" sheetId="74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2" i="74" l="1"/>
  <c r="A50" i="74"/>
  <c r="H46" i="74"/>
  <c r="G38" i="74"/>
  <c r="F38" i="74"/>
  <c r="E38" i="74"/>
  <c r="D38" i="74"/>
  <c r="F37" i="74"/>
  <c r="E37" i="74"/>
  <c r="H26" i="74"/>
  <c r="H27" i="74" s="1"/>
  <c r="F26" i="74"/>
  <c r="E26" i="74"/>
  <c r="G25" i="74"/>
  <c r="F25" i="74"/>
  <c r="E25" i="74"/>
  <c r="D25" i="74"/>
  <c r="B20" i="74"/>
  <c r="F41" i="74" s="1"/>
  <c r="B18" i="74"/>
  <c r="B17" i="74"/>
  <c r="B14" i="74"/>
  <c r="D57" i="74" s="1"/>
  <c r="C10" i="74"/>
  <c r="B22" i="74" s="1"/>
  <c r="C9" i="74"/>
  <c r="H52" i="73"/>
  <c r="A50" i="73"/>
  <c r="H46" i="73"/>
  <c r="G38" i="73"/>
  <c r="F38" i="73"/>
  <c r="E38" i="73"/>
  <c r="D38" i="73"/>
  <c r="F37" i="73"/>
  <c r="E37" i="73"/>
  <c r="H26" i="73"/>
  <c r="H27" i="73" s="1"/>
  <c r="F26" i="73"/>
  <c r="E26" i="73"/>
  <c r="G25" i="73"/>
  <c r="F25" i="73"/>
  <c r="E25" i="73"/>
  <c r="D25" i="73"/>
  <c r="B18" i="73"/>
  <c r="B17" i="73"/>
  <c r="B20" i="73" s="1"/>
  <c r="B31" i="73" s="1"/>
  <c r="B14" i="73"/>
  <c r="D57" i="73" s="1"/>
  <c r="C10" i="73"/>
  <c r="B22" i="73" s="1"/>
  <c r="C9" i="73"/>
  <c r="H52" i="72"/>
  <c r="A50" i="72"/>
  <c r="H46" i="72"/>
  <c r="G38" i="72"/>
  <c r="F38" i="72"/>
  <c r="E38" i="72"/>
  <c r="D38" i="72"/>
  <c r="F37" i="72"/>
  <c r="E37" i="72"/>
  <c r="H26" i="72"/>
  <c r="H27" i="72" s="1"/>
  <c r="F26" i="72"/>
  <c r="E26" i="72"/>
  <c r="G25" i="72"/>
  <c r="F25" i="72"/>
  <c r="E25" i="72"/>
  <c r="D25" i="72"/>
  <c r="B20" i="72"/>
  <c r="B31" i="72" s="1"/>
  <c r="B18" i="72"/>
  <c r="B17" i="72"/>
  <c r="B14" i="72"/>
  <c r="D57" i="72" s="1"/>
  <c r="C10" i="72"/>
  <c r="B22" i="72" s="1"/>
  <c r="C9" i="72"/>
  <c r="H52" i="71"/>
  <c r="A50" i="71"/>
  <c r="H46" i="71"/>
  <c r="G38" i="71"/>
  <c r="F38" i="71"/>
  <c r="E38" i="71"/>
  <c r="D38" i="71"/>
  <c r="F37" i="71"/>
  <c r="E37" i="71"/>
  <c r="H26" i="71"/>
  <c r="H27" i="71" s="1"/>
  <c r="F26" i="71"/>
  <c r="E26" i="71"/>
  <c r="G25" i="71"/>
  <c r="F25" i="71"/>
  <c r="E25" i="71"/>
  <c r="D25" i="71"/>
  <c r="B20" i="71"/>
  <c r="B31" i="71" s="1"/>
  <c r="B18" i="71"/>
  <c r="B17" i="71"/>
  <c r="B14" i="71"/>
  <c r="D57" i="71" s="1"/>
  <c r="C10" i="71"/>
  <c r="B22" i="71" s="1"/>
  <c r="C9" i="71"/>
  <c r="H52" i="70"/>
  <c r="A50" i="70"/>
  <c r="H46" i="70"/>
  <c r="G38" i="70"/>
  <c r="F38" i="70"/>
  <c r="E38" i="70"/>
  <c r="D38" i="70"/>
  <c r="F37" i="70"/>
  <c r="E37" i="70"/>
  <c r="H26" i="70"/>
  <c r="H27" i="70" s="1"/>
  <c r="F26" i="70"/>
  <c r="E26" i="70"/>
  <c r="G25" i="70"/>
  <c r="F25" i="70"/>
  <c r="E25" i="70"/>
  <c r="D25" i="70"/>
  <c r="B18" i="70"/>
  <c r="B17" i="70"/>
  <c r="B14" i="70"/>
  <c r="D57" i="70" s="1"/>
  <c r="C10" i="70"/>
  <c r="C9" i="70"/>
  <c r="H52" i="69"/>
  <c r="A50" i="69"/>
  <c r="H46" i="69"/>
  <c r="G38" i="69"/>
  <c r="F38" i="69"/>
  <c r="E38" i="69"/>
  <c r="D38" i="69"/>
  <c r="F37" i="69"/>
  <c r="E37" i="69"/>
  <c r="H26" i="69"/>
  <c r="H27" i="69" s="1"/>
  <c r="F26" i="69"/>
  <c r="E26" i="69"/>
  <c r="G25" i="69"/>
  <c r="F25" i="69"/>
  <c r="E25" i="69"/>
  <c r="D25" i="69"/>
  <c r="B18" i="69"/>
  <c r="B17" i="69"/>
  <c r="B14" i="69"/>
  <c r="D57" i="69" s="1"/>
  <c r="C10" i="69"/>
  <c r="C9" i="69"/>
  <c r="H52" i="68"/>
  <c r="A50" i="68"/>
  <c r="H46" i="68"/>
  <c r="G38" i="68"/>
  <c r="F38" i="68"/>
  <c r="E38" i="68"/>
  <c r="D38" i="68"/>
  <c r="F37" i="68"/>
  <c r="E37" i="68"/>
  <c r="H26" i="68"/>
  <c r="H27" i="68" s="1"/>
  <c r="F26" i="68"/>
  <c r="E26" i="68"/>
  <c r="G25" i="68"/>
  <c r="F25" i="68"/>
  <c r="E25" i="68"/>
  <c r="D25" i="68"/>
  <c r="B18" i="68"/>
  <c r="B17" i="68"/>
  <c r="B20" i="68" s="1"/>
  <c r="B31" i="68" s="1"/>
  <c r="B14" i="68"/>
  <c r="D57" i="68" s="1"/>
  <c r="C10" i="68"/>
  <c r="C9" i="68"/>
  <c r="H52" i="67"/>
  <c r="A50" i="67"/>
  <c r="H46" i="67"/>
  <c r="G38" i="67"/>
  <c r="F38" i="67"/>
  <c r="E38" i="67"/>
  <c r="D38" i="67"/>
  <c r="F37" i="67"/>
  <c r="E37" i="67"/>
  <c r="H26" i="67"/>
  <c r="H27" i="67" s="1"/>
  <c r="F26" i="67"/>
  <c r="E26" i="67"/>
  <c r="G25" i="67"/>
  <c r="F25" i="67"/>
  <c r="E25" i="67"/>
  <c r="D25" i="67"/>
  <c r="B20" i="67"/>
  <c r="B31" i="67" s="1"/>
  <c r="B18" i="67"/>
  <c r="B17" i="67"/>
  <c r="B14" i="67"/>
  <c r="D57" i="67" s="1"/>
  <c r="C10" i="67"/>
  <c r="B22" i="67" s="1"/>
  <c r="C9" i="67"/>
  <c r="D54" i="66"/>
  <c r="H52" i="66"/>
  <c r="A50" i="66"/>
  <c r="H46" i="66"/>
  <c r="G38" i="66"/>
  <c r="F38" i="66"/>
  <c r="E38" i="66"/>
  <c r="D38" i="66"/>
  <c r="F37" i="66"/>
  <c r="E37" i="66"/>
  <c r="H26" i="66"/>
  <c r="H27" i="66" s="1"/>
  <c r="F26" i="66"/>
  <c r="E26" i="66"/>
  <c r="G25" i="66"/>
  <c r="F25" i="66"/>
  <c r="E25" i="66"/>
  <c r="D25" i="66"/>
  <c r="B22" i="66"/>
  <c r="B18" i="66"/>
  <c r="B19" i="66" s="1"/>
  <c r="B17" i="66"/>
  <c r="B15" i="66"/>
  <c r="B16" i="66" s="1"/>
  <c r="B14" i="66"/>
  <c r="D57" i="66" s="1"/>
  <c r="C10" i="66"/>
  <c r="B21" i="66" s="1"/>
  <c r="C9" i="66"/>
  <c r="H52" i="65"/>
  <c r="A50" i="65"/>
  <c r="H46" i="65"/>
  <c r="G38" i="65"/>
  <c r="F38" i="65"/>
  <c r="E38" i="65"/>
  <c r="D38" i="65"/>
  <c r="F37" i="65"/>
  <c r="E37" i="65"/>
  <c r="H26" i="65"/>
  <c r="H27" i="65" s="1"/>
  <c r="F26" i="65"/>
  <c r="E26" i="65"/>
  <c r="G25" i="65"/>
  <c r="F25" i="65"/>
  <c r="E25" i="65"/>
  <c r="D25" i="65"/>
  <c r="B20" i="65"/>
  <c r="B31" i="65" s="1"/>
  <c r="B18" i="65"/>
  <c r="B17" i="65"/>
  <c r="B14" i="65"/>
  <c r="D57" i="65" s="1"/>
  <c r="C10" i="65"/>
  <c r="B22" i="65" s="1"/>
  <c r="C9" i="65"/>
  <c r="B31" i="74" l="1"/>
  <c r="B20" i="70"/>
  <c r="B31" i="70" s="1"/>
  <c r="B22" i="70"/>
  <c r="B22" i="69"/>
  <c r="B22" i="68"/>
  <c r="B15" i="69"/>
  <c r="B16" i="69" s="1"/>
  <c r="C16" i="69" s="1"/>
  <c r="F27" i="74"/>
  <c r="E27" i="74"/>
  <c r="H28" i="74"/>
  <c r="B21" i="74"/>
  <c r="B32" i="74"/>
  <c r="C54" i="74"/>
  <c r="B15" i="74"/>
  <c r="H28" i="73"/>
  <c r="F27" i="73"/>
  <c r="E27" i="73"/>
  <c r="B21" i="73"/>
  <c r="F41" i="73"/>
  <c r="C54" i="73"/>
  <c r="B15" i="73"/>
  <c r="B32" i="73"/>
  <c r="H28" i="72"/>
  <c r="F27" i="72"/>
  <c r="E27" i="72"/>
  <c r="B21" i="72"/>
  <c r="B32" i="72"/>
  <c r="F41" i="72"/>
  <c r="C54" i="72"/>
  <c r="B15" i="72"/>
  <c r="H28" i="71"/>
  <c r="F27" i="71"/>
  <c r="E27" i="71"/>
  <c r="B21" i="71"/>
  <c r="B32" i="71"/>
  <c r="F41" i="71"/>
  <c r="C54" i="71"/>
  <c r="B15" i="71"/>
  <c r="H28" i="70"/>
  <c r="F27" i="70"/>
  <c r="E27" i="70"/>
  <c r="B21" i="70"/>
  <c r="B32" i="70"/>
  <c r="C54" i="70"/>
  <c r="B15" i="70"/>
  <c r="H28" i="69"/>
  <c r="F27" i="69"/>
  <c r="E27" i="69"/>
  <c r="B20" i="69"/>
  <c r="B21" i="69"/>
  <c r="C54" i="69"/>
  <c r="D54" i="69"/>
  <c r="H28" i="68"/>
  <c r="F27" i="68"/>
  <c r="E27" i="68"/>
  <c r="B21" i="68"/>
  <c r="B32" i="68"/>
  <c r="F41" i="68"/>
  <c r="C54" i="68"/>
  <c r="B15" i="68"/>
  <c r="H28" i="67"/>
  <c r="F27" i="67"/>
  <c r="E27" i="67"/>
  <c r="B32" i="67"/>
  <c r="F41" i="67"/>
  <c r="C54" i="67"/>
  <c r="B21" i="67"/>
  <c r="B15" i="67"/>
  <c r="H28" i="66"/>
  <c r="E27" i="66"/>
  <c r="F27" i="66"/>
  <c r="E41" i="66"/>
  <c r="B28" i="66"/>
  <c r="B27" i="66" s="1"/>
  <c r="B35" i="66"/>
  <c r="B36" i="66" s="1"/>
  <c r="C16" i="66"/>
  <c r="B20" i="66"/>
  <c r="C54" i="66"/>
  <c r="H28" i="65"/>
  <c r="F27" i="65"/>
  <c r="E27" i="65"/>
  <c r="B21" i="65"/>
  <c r="F41" i="65"/>
  <c r="C54" i="65"/>
  <c r="B32" i="65"/>
  <c r="B15" i="65"/>
  <c r="F41" i="70" l="1"/>
  <c r="B19" i="69"/>
  <c r="D54" i="74"/>
  <c r="B19" i="74"/>
  <c r="B16" i="74"/>
  <c r="C16" i="74" s="1"/>
  <c r="H29" i="74"/>
  <c r="H30" i="74" s="1"/>
  <c r="F28" i="74"/>
  <c r="E28" i="74"/>
  <c r="B19" i="73"/>
  <c r="B16" i="73"/>
  <c r="C16" i="73" s="1"/>
  <c r="D54" i="73"/>
  <c r="H29" i="73"/>
  <c r="H30" i="73" s="1"/>
  <c r="F28" i="73"/>
  <c r="E28" i="73"/>
  <c r="B19" i="72"/>
  <c r="B16" i="72"/>
  <c r="D54" i="72"/>
  <c r="C16" i="72"/>
  <c r="H29" i="72"/>
  <c r="H30" i="72" s="1"/>
  <c r="F28" i="72"/>
  <c r="E28" i="72"/>
  <c r="B19" i="71"/>
  <c r="B16" i="71"/>
  <c r="D54" i="71"/>
  <c r="C16" i="71"/>
  <c r="H29" i="71"/>
  <c r="H30" i="71" s="1"/>
  <c r="F28" i="71"/>
  <c r="E28" i="71"/>
  <c r="B19" i="70"/>
  <c r="B16" i="70"/>
  <c r="D54" i="70"/>
  <c r="C16" i="70"/>
  <c r="H29" i="70"/>
  <c r="H30" i="70" s="1"/>
  <c r="F28" i="70"/>
  <c r="E28" i="70"/>
  <c r="B31" i="69"/>
  <c r="F41" i="69"/>
  <c r="B32" i="69"/>
  <c r="H29" i="69"/>
  <c r="H30" i="69" s="1"/>
  <c r="F28" i="69"/>
  <c r="E28" i="69"/>
  <c r="B19" i="68"/>
  <c r="B16" i="68"/>
  <c r="D54" i="68"/>
  <c r="C16" i="68"/>
  <c r="H29" i="68"/>
  <c r="H30" i="68" s="1"/>
  <c r="F28" i="68"/>
  <c r="E28" i="68"/>
  <c r="B19" i="67"/>
  <c r="B16" i="67"/>
  <c r="C16" i="67" s="1"/>
  <c r="D54" i="67"/>
  <c r="H29" i="67"/>
  <c r="H30" i="67" s="1"/>
  <c r="F28" i="67"/>
  <c r="E28" i="67"/>
  <c r="B37" i="66"/>
  <c r="B38" i="66" s="1"/>
  <c r="B31" i="66"/>
  <c r="B30" i="66" s="1"/>
  <c r="F41" i="66"/>
  <c r="B32" i="66"/>
  <c r="B33" i="66" s="1"/>
  <c r="B26" i="66"/>
  <c r="B25" i="66" s="1"/>
  <c r="E28" i="66"/>
  <c r="H29" i="66"/>
  <c r="H30" i="66" s="1"/>
  <c r="F28" i="66"/>
  <c r="H29" i="65"/>
  <c r="H30" i="65" s="1"/>
  <c r="F28" i="65"/>
  <c r="E28" i="65"/>
  <c r="B19" i="65"/>
  <c r="B16" i="65"/>
  <c r="C16" i="65" s="1"/>
  <c r="D54" i="65"/>
  <c r="H52" i="64"/>
  <c r="A50" i="64"/>
  <c r="H46" i="64"/>
  <c r="G38" i="64"/>
  <c r="F38" i="64"/>
  <c r="E38" i="64"/>
  <c r="D38" i="64"/>
  <c r="F37" i="64"/>
  <c r="E37" i="64"/>
  <c r="H26" i="64"/>
  <c r="H27" i="64" s="1"/>
  <c r="F26" i="64"/>
  <c r="E26" i="64"/>
  <c r="G25" i="64"/>
  <c r="F25" i="64"/>
  <c r="E25" i="64"/>
  <c r="D25" i="64"/>
  <c r="B18" i="64"/>
  <c r="B17" i="64"/>
  <c r="B20" i="64" s="1"/>
  <c r="B14" i="64"/>
  <c r="B15" i="64" s="1"/>
  <c r="C10" i="64"/>
  <c r="C9" i="64"/>
  <c r="C10" i="63"/>
  <c r="B35" i="69" l="1"/>
  <c r="B36" i="69" s="1"/>
  <c r="E41" i="69"/>
  <c r="B28" i="69"/>
  <c r="B27" i="69" s="1"/>
  <c r="B35" i="74"/>
  <c r="B36" i="74" s="1"/>
  <c r="E41" i="74"/>
  <c r="B28" i="74"/>
  <c r="B27" i="74" s="1"/>
  <c r="H31" i="74"/>
  <c r="E30" i="74"/>
  <c r="F33" i="74"/>
  <c r="F30" i="74"/>
  <c r="E33" i="74"/>
  <c r="F30" i="73"/>
  <c r="H31" i="73"/>
  <c r="F33" i="73"/>
  <c r="E33" i="73"/>
  <c r="E30" i="73"/>
  <c r="E41" i="73"/>
  <c r="B28" i="73"/>
  <c r="B27" i="73" s="1"/>
  <c r="B35" i="73"/>
  <c r="B36" i="73" s="1"/>
  <c r="H31" i="72"/>
  <c r="E30" i="72"/>
  <c r="F33" i="72"/>
  <c r="F30" i="72"/>
  <c r="E33" i="72"/>
  <c r="B35" i="72"/>
  <c r="B36" i="72" s="1"/>
  <c r="E41" i="72"/>
  <c r="B28" i="72"/>
  <c r="B27" i="72" s="1"/>
  <c r="E33" i="71"/>
  <c r="H31" i="71"/>
  <c r="E30" i="71"/>
  <c r="F33" i="71"/>
  <c r="F30" i="71"/>
  <c r="B35" i="71"/>
  <c r="B36" i="71" s="1"/>
  <c r="E41" i="71"/>
  <c r="B28" i="71"/>
  <c r="B27" i="71" s="1"/>
  <c r="H31" i="70"/>
  <c r="E30" i="70"/>
  <c r="F33" i="70"/>
  <c r="F30" i="70"/>
  <c r="E33" i="70"/>
  <c r="B35" i="70"/>
  <c r="B36" i="70" s="1"/>
  <c r="E41" i="70"/>
  <c r="B28" i="70"/>
  <c r="B27" i="70" s="1"/>
  <c r="F33" i="69"/>
  <c r="F30" i="69"/>
  <c r="E33" i="69"/>
  <c r="H31" i="69"/>
  <c r="E30" i="69"/>
  <c r="H31" i="68"/>
  <c r="F33" i="68"/>
  <c r="F30" i="68"/>
  <c r="E33" i="68"/>
  <c r="E30" i="68"/>
  <c r="B35" i="68"/>
  <c r="B36" i="68" s="1"/>
  <c r="B28" i="68"/>
  <c r="B27" i="68" s="1"/>
  <c r="E41" i="68"/>
  <c r="H31" i="67"/>
  <c r="E30" i="67"/>
  <c r="F33" i="67"/>
  <c r="F30" i="67"/>
  <c r="E33" i="67"/>
  <c r="B35" i="67"/>
  <c r="B36" i="67" s="1"/>
  <c r="E41" i="67"/>
  <c r="B28" i="67"/>
  <c r="B27" i="67" s="1"/>
  <c r="F33" i="66"/>
  <c r="F30" i="66"/>
  <c r="E33" i="66"/>
  <c r="H31" i="66"/>
  <c r="E30" i="66"/>
  <c r="F30" i="65"/>
  <c r="F33" i="65"/>
  <c r="E33" i="65"/>
  <c r="H31" i="65"/>
  <c r="E30" i="65"/>
  <c r="B35" i="65"/>
  <c r="B36" i="65" s="1"/>
  <c r="B28" i="65"/>
  <c r="B27" i="65" s="1"/>
  <c r="E41" i="65"/>
  <c r="B32" i="64"/>
  <c r="B31" i="64"/>
  <c r="B22" i="64"/>
  <c r="D57" i="64"/>
  <c r="F27" i="64"/>
  <c r="E27" i="64"/>
  <c r="H28" i="64"/>
  <c r="D54" i="64"/>
  <c r="B19" i="64"/>
  <c r="B16" i="64"/>
  <c r="C16" i="64" s="1"/>
  <c r="F41" i="64"/>
  <c r="C54" i="64"/>
  <c r="B21" i="64"/>
  <c r="B18" i="63"/>
  <c r="B14" i="63"/>
  <c r="B30" i="69" l="1"/>
  <c r="B26" i="69"/>
  <c r="B25" i="69" s="1"/>
  <c r="B37" i="69"/>
  <c r="B38" i="69" s="1"/>
  <c r="B33" i="69"/>
  <c r="H32" i="74"/>
  <c r="D32" i="74"/>
  <c r="F31" i="74"/>
  <c r="F29" i="74" s="1"/>
  <c r="G32" i="74"/>
  <c r="E31" i="74"/>
  <c r="E29" i="74" s="1"/>
  <c r="D31" i="74"/>
  <c r="G31" i="74"/>
  <c r="B26" i="74"/>
  <c r="B25" i="74" s="1"/>
  <c r="B30" i="74"/>
  <c r="B37" i="74"/>
  <c r="B38" i="74" s="1"/>
  <c r="B33" i="74"/>
  <c r="B33" i="73"/>
  <c r="B37" i="73"/>
  <c r="B38" i="73" s="1"/>
  <c r="B30" i="73"/>
  <c r="B26" i="73"/>
  <c r="B25" i="73" s="1"/>
  <c r="G31" i="73"/>
  <c r="G32" i="73"/>
  <c r="E31" i="73"/>
  <c r="E29" i="73" s="1"/>
  <c r="D31" i="73"/>
  <c r="H32" i="73"/>
  <c r="D32" i="73"/>
  <c r="F31" i="73"/>
  <c r="F29" i="73" s="1"/>
  <c r="B30" i="72"/>
  <c r="B26" i="72"/>
  <c r="B25" i="72" s="1"/>
  <c r="B33" i="72"/>
  <c r="B37" i="72"/>
  <c r="B38" i="72" s="1"/>
  <c r="G31" i="72"/>
  <c r="H32" i="72"/>
  <c r="D32" i="72"/>
  <c r="F31" i="72"/>
  <c r="F29" i="72" s="1"/>
  <c r="D31" i="72"/>
  <c r="G32" i="72"/>
  <c r="E31" i="72"/>
  <c r="E29" i="72" s="1"/>
  <c r="B30" i="71"/>
  <c r="B26" i="71"/>
  <c r="B25" i="71" s="1"/>
  <c r="B33" i="71"/>
  <c r="B37" i="71"/>
  <c r="B38" i="71" s="1"/>
  <c r="G31" i="71"/>
  <c r="H32" i="71"/>
  <c r="D32" i="71"/>
  <c r="F31" i="71"/>
  <c r="F29" i="71" s="1"/>
  <c r="G32" i="71"/>
  <c r="E31" i="71"/>
  <c r="E29" i="71" s="1"/>
  <c r="D31" i="71"/>
  <c r="B30" i="70"/>
  <c r="B26" i="70"/>
  <c r="B25" i="70" s="1"/>
  <c r="B33" i="70"/>
  <c r="B37" i="70"/>
  <c r="B38" i="70" s="1"/>
  <c r="G31" i="70"/>
  <c r="H32" i="70"/>
  <c r="D32" i="70"/>
  <c r="F31" i="70"/>
  <c r="F29" i="70" s="1"/>
  <c r="D31" i="70"/>
  <c r="G32" i="70"/>
  <c r="E31" i="70"/>
  <c r="E29" i="70" s="1"/>
  <c r="G31" i="69"/>
  <c r="H32" i="69"/>
  <c r="D32" i="69"/>
  <c r="F31" i="69"/>
  <c r="F29" i="69" s="1"/>
  <c r="G32" i="69"/>
  <c r="E31" i="69"/>
  <c r="E29" i="69" s="1"/>
  <c r="D31" i="69"/>
  <c r="B30" i="68"/>
  <c r="B26" i="68"/>
  <c r="B25" i="68" s="1"/>
  <c r="B33" i="68"/>
  <c r="B37" i="68"/>
  <c r="B38" i="68" s="1"/>
  <c r="G31" i="68"/>
  <c r="H32" i="68"/>
  <c r="D32" i="68"/>
  <c r="F31" i="68"/>
  <c r="F29" i="68" s="1"/>
  <c r="D31" i="68"/>
  <c r="G32" i="68"/>
  <c r="E31" i="68"/>
  <c r="E29" i="68" s="1"/>
  <c r="B30" i="67"/>
  <c r="B26" i="67"/>
  <c r="B25" i="67" s="1"/>
  <c r="B33" i="67"/>
  <c r="B37" i="67"/>
  <c r="B38" i="67" s="1"/>
  <c r="G31" i="67"/>
  <c r="H32" i="67"/>
  <c r="D32" i="67"/>
  <c r="F31" i="67"/>
  <c r="F29" i="67" s="1"/>
  <c r="D31" i="67"/>
  <c r="G32" i="67"/>
  <c r="E31" i="67"/>
  <c r="E29" i="67" s="1"/>
  <c r="G31" i="66"/>
  <c r="G32" i="66"/>
  <c r="E31" i="66"/>
  <c r="E29" i="66" s="1"/>
  <c r="D31" i="66"/>
  <c r="H32" i="66"/>
  <c r="D32" i="66"/>
  <c r="F31" i="66"/>
  <c r="F29" i="66" s="1"/>
  <c r="G31" i="65"/>
  <c r="H32" i="65"/>
  <c r="D32" i="65"/>
  <c r="F31" i="65"/>
  <c r="F29" i="65" s="1"/>
  <c r="G32" i="65"/>
  <c r="E31" i="65"/>
  <c r="E29" i="65" s="1"/>
  <c r="D31" i="65"/>
  <c r="B30" i="65"/>
  <c r="B26" i="65"/>
  <c r="B25" i="65" s="1"/>
  <c r="B33" i="65"/>
  <c r="B37" i="65"/>
  <c r="B38" i="65" s="1"/>
  <c r="H29" i="64"/>
  <c r="H30" i="64" s="1"/>
  <c r="F28" i="64"/>
  <c r="E28" i="64"/>
  <c r="B35" i="64"/>
  <c r="B36" i="64" s="1"/>
  <c r="E41" i="64"/>
  <c r="B28" i="64"/>
  <c r="B27" i="64" s="1"/>
  <c r="H26" i="63"/>
  <c r="H27" i="63" s="1"/>
  <c r="G38" i="63"/>
  <c r="D38" i="63"/>
  <c r="G25" i="63"/>
  <c r="D25" i="63"/>
  <c r="B15" i="63"/>
  <c r="H33" i="74" l="1"/>
  <c r="H34" i="74" s="1"/>
  <c r="H35" i="74" s="1"/>
  <c r="F32" i="74"/>
  <c r="F34" i="74" s="1"/>
  <c r="E32" i="74"/>
  <c r="E34" i="74" s="1"/>
  <c r="E32" i="73"/>
  <c r="E34" i="73" s="1"/>
  <c r="F32" i="73"/>
  <c r="F34" i="73" s="1"/>
  <c r="H33" i="73"/>
  <c r="H34" i="73" s="1"/>
  <c r="H35" i="73" s="1"/>
  <c r="E32" i="72"/>
  <c r="E34" i="72" s="1"/>
  <c r="H33" i="72"/>
  <c r="H34" i="72" s="1"/>
  <c r="H35" i="72" s="1"/>
  <c r="F32" i="72"/>
  <c r="F34" i="72" s="1"/>
  <c r="E32" i="71"/>
  <c r="E34" i="71" s="1"/>
  <c r="H33" i="71"/>
  <c r="H34" i="71" s="1"/>
  <c r="H35" i="71" s="1"/>
  <c r="F32" i="71"/>
  <c r="F34" i="71" s="1"/>
  <c r="E32" i="70"/>
  <c r="E34" i="70" s="1"/>
  <c r="H33" i="70"/>
  <c r="H34" i="70" s="1"/>
  <c r="H35" i="70" s="1"/>
  <c r="F32" i="70"/>
  <c r="F34" i="70" s="1"/>
  <c r="E32" i="69"/>
  <c r="E34" i="69" s="1"/>
  <c r="H33" i="69"/>
  <c r="H34" i="69" s="1"/>
  <c r="H35" i="69" s="1"/>
  <c r="F32" i="69"/>
  <c r="F34" i="69" s="1"/>
  <c r="E32" i="68"/>
  <c r="E34" i="68" s="1"/>
  <c r="H33" i="68"/>
  <c r="H34" i="68" s="1"/>
  <c r="H35" i="68" s="1"/>
  <c r="F32" i="68"/>
  <c r="F34" i="68" s="1"/>
  <c r="E32" i="67"/>
  <c r="E34" i="67" s="1"/>
  <c r="H33" i="67"/>
  <c r="H34" i="67" s="1"/>
  <c r="H35" i="67" s="1"/>
  <c r="F32" i="67"/>
  <c r="F34" i="67" s="1"/>
  <c r="E32" i="66"/>
  <c r="E34" i="66" s="1"/>
  <c r="H33" i="66"/>
  <c r="H34" i="66" s="1"/>
  <c r="H35" i="66" s="1"/>
  <c r="F32" i="66"/>
  <c r="F34" i="66" s="1"/>
  <c r="E32" i="65"/>
  <c r="E34" i="65" s="1"/>
  <c r="H33" i="65"/>
  <c r="H34" i="65" s="1"/>
  <c r="H35" i="65" s="1"/>
  <c r="F32" i="65"/>
  <c r="F34" i="65" s="1"/>
  <c r="B37" i="64"/>
  <c r="B38" i="64" s="1"/>
  <c r="B33" i="64"/>
  <c r="B26" i="64"/>
  <c r="B25" i="64" s="1"/>
  <c r="B30" i="64"/>
  <c r="F30" i="64"/>
  <c r="E33" i="64"/>
  <c r="H31" i="64"/>
  <c r="E30" i="64"/>
  <c r="F33" i="64"/>
  <c r="E26" i="63"/>
  <c r="E38" i="63"/>
  <c r="F26" i="63"/>
  <c r="A50" i="63"/>
  <c r="D54" i="63"/>
  <c r="H28" i="63"/>
  <c r="E27" i="63"/>
  <c r="F27" i="63"/>
  <c r="H52" i="63"/>
  <c r="E37" i="63"/>
  <c r="F38" i="63"/>
  <c r="C54" i="63"/>
  <c r="C9" i="63"/>
  <c r="E25" i="63"/>
  <c r="F37" i="63"/>
  <c r="H46" i="63"/>
  <c r="F25" i="63"/>
  <c r="F35" i="74" l="1"/>
  <c r="H36" i="74"/>
  <c r="E35" i="74"/>
  <c r="E35" i="73"/>
  <c r="H36" i="73"/>
  <c r="F35" i="73"/>
  <c r="E35" i="72"/>
  <c r="H36" i="72"/>
  <c r="F35" i="72"/>
  <c r="E35" i="71"/>
  <c r="F35" i="71"/>
  <c r="H36" i="71"/>
  <c r="E35" i="70"/>
  <c r="F35" i="70"/>
  <c r="H36" i="70"/>
  <c r="E35" i="69"/>
  <c r="H36" i="69"/>
  <c r="F35" i="69"/>
  <c r="E35" i="68"/>
  <c r="H36" i="68"/>
  <c r="F35" i="68"/>
  <c r="E35" i="67"/>
  <c r="F35" i="67"/>
  <c r="H36" i="67"/>
  <c r="E35" i="66"/>
  <c r="H36" i="66"/>
  <c r="F35" i="66"/>
  <c r="E35" i="65"/>
  <c r="H36" i="65"/>
  <c r="F35" i="65"/>
  <c r="H32" i="64"/>
  <c r="D32" i="64"/>
  <c r="F31" i="64"/>
  <c r="F29" i="64" s="1"/>
  <c r="G32" i="64"/>
  <c r="E31" i="64"/>
  <c r="E29" i="64" s="1"/>
  <c r="D31" i="64"/>
  <c r="G31" i="64"/>
  <c r="F28" i="63"/>
  <c r="H29" i="63"/>
  <c r="H30" i="63" s="1"/>
  <c r="E28" i="63"/>
  <c r="H37" i="74" l="1"/>
  <c r="H38" i="74" s="1"/>
  <c r="F36" i="74"/>
  <c r="E36" i="74"/>
  <c r="E36" i="73"/>
  <c r="H37" i="73"/>
  <c r="H38" i="73" s="1"/>
  <c r="F36" i="73"/>
  <c r="E36" i="72"/>
  <c r="F36" i="72"/>
  <c r="H37" i="72"/>
  <c r="H38" i="72" s="1"/>
  <c r="E36" i="71"/>
  <c r="F36" i="71"/>
  <c r="H37" i="71"/>
  <c r="H38" i="71" s="1"/>
  <c r="E36" i="70"/>
  <c r="H37" i="70"/>
  <c r="H38" i="70" s="1"/>
  <c r="F36" i="70"/>
  <c r="E36" i="69"/>
  <c r="H37" i="69"/>
  <c r="H38" i="69" s="1"/>
  <c r="F36" i="69"/>
  <c r="E36" i="68"/>
  <c r="F36" i="68"/>
  <c r="H37" i="68"/>
  <c r="H38" i="68" s="1"/>
  <c r="E36" i="67"/>
  <c r="H37" i="67"/>
  <c r="H38" i="67" s="1"/>
  <c r="F36" i="67"/>
  <c r="E36" i="66"/>
  <c r="H37" i="66"/>
  <c r="H38" i="66" s="1"/>
  <c r="F36" i="66"/>
  <c r="E36" i="65"/>
  <c r="H37" i="65"/>
  <c r="H38" i="65" s="1"/>
  <c r="F36" i="65"/>
  <c r="H33" i="64"/>
  <c r="H34" i="64" s="1"/>
  <c r="H35" i="64" s="1"/>
  <c r="F32" i="64"/>
  <c r="F34" i="64" s="1"/>
  <c r="E32" i="64"/>
  <c r="E34" i="64" s="1"/>
  <c r="H31" i="63"/>
  <c r="F33" i="63"/>
  <c r="E33" i="63"/>
  <c r="E30" i="63"/>
  <c r="F30" i="63"/>
  <c r="F35" i="64" l="1"/>
  <c r="E35" i="64"/>
  <c r="H36" i="64"/>
  <c r="H32" i="63"/>
  <c r="D32" i="63"/>
  <c r="D31" i="63"/>
  <c r="G32" i="63"/>
  <c r="G31" i="63"/>
  <c r="E31" i="63"/>
  <c r="E29" i="63" s="1"/>
  <c r="F31" i="63"/>
  <c r="F29" i="63" s="1"/>
  <c r="F36" i="64" l="1"/>
  <c r="E36" i="64"/>
  <c r="H37" i="64"/>
  <c r="H38" i="64" s="1"/>
  <c r="E32" i="63"/>
  <c r="E34" i="63" s="1"/>
  <c r="H33" i="63"/>
  <c r="H34" i="63" s="1"/>
  <c r="H35" i="63" s="1"/>
  <c r="E35" i="63" s="1"/>
  <c r="F32" i="63"/>
  <c r="F34" i="63" s="1"/>
  <c r="F35" i="63" l="1"/>
  <c r="H36" i="63"/>
  <c r="H37" i="63" l="1"/>
  <c r="H38" i="63" s="1"/>
  <c r="F36" i="63"/>
  <c r="E36" i="63"/>
  <c r="D57" i="63" l="1"/>
  <c r="B16" i="63"/>
  <c r="C16" i="63" s="1"/>
  <c r="B17" i="63"/>
  <c r="B20" i="63" s="1"/>
  <c r="B21" i="63" l="1"/>
  <c r="B22" i="63"/>
  <c r="B19" i="63" l="1"/>
  <c r="B32" i="63" l="1"/>
  <c r="F41" i="63"/>
  <c r="B31" i="63"/>
  <c r="E41" i="63"/>
  <c r="B35" i="63"/>
  <c r="B36" i="63" s="1"/>
  <c r="B37" i="63" s="1"/>
  <c r="B28" i="63"/>
  <c r="B38" i="63" l="1"/>
  <c r="B27" i="63"/>
  <c r="B30" i="63" s="1"/>
  <c r="B33" i="63"/>
  <c r="B26" i="63" l="1"/>
  <c r="B25" i="63" l="1"/>
</calcChain>
</file>

<file path=xl/comments1.xml><?xml version="1.0" encoding="utf-8"?>
<comments xmlns="http://schemas.openxmlformats.org/spreadsheetml/2006/main">
  <authors>
    <author>Admin</author>
  </authors>
  <commentList>
    <comment ref="B9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  <comment ref="B10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B9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  <comment ref="B10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B9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  <comment ref="B10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B9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  <comment ref="B10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B9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  <comment ref="B10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</commentList>
</comments>
</file>

<file path=xl/comments6.xml><?xml version="1.0" encoding="utf-8"?>
<comments xmlns="http://schemas.openxmlformats.org/spreadsheetml/2006/main">
  <authors>
    <author>Admin</author>
  </authors>
  <commentList>
    <comment ref="B9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  <comment ref="B10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</commentList>
</comments>
</file>

<file path=xl/comments7.xml><?xml version="1.0" encoding="utf-8"?>
<comments xmlns="http://schemas.openxmlformats.org/spreadsheetml/2006/main">
  <authors>
    <author>Admin</author>
  </authors>
  <commentList>
    <comment ref="B9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  <comment ref="B10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</commentList>
</comments>
</file>

<file path=xl/comments8.xml><?xml version="1.0" encoding="utf-8"?>
<comments xmlns="http://schemas.openxmlformats.org/spreadsheetml/2006/main">
  <authors>
    <author>Admin</author>
  </authors>
  <commentList>
    <comment ref="B9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  <comment ref="B10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</commentList>
</comments>
</file>

<file path=xl/comments9.xml><?xml version="1.0" encoding="utf-8"?>
<comments xmlns="http://schemas.openxmlformats.org/spreadsheetml/2006/main">
  <authors>
    <author>Admin</author>
  </authors>
  <commentList>
    <comment ref="B9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  <comment ref="B10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</commentList>
</comments>
</file>

<file path=xl/comments10.xml><?xml version="1.0" encoding="utf-8"?>
<comments xmlns="http://schemas.openxmlformats.org/spreadsheetml/2006/main">
  <authors>
    <author>Admin</author>
  </authors>
  <commentList>
    <comment ref="B9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  <comment ref="B10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</commentList>
</comments>
</file>

<file path=xl/comments11.xml><?xml version="1.0" encoding="utf-8"?>
<comments xmlns="http://schemas.openxmlformats.org/spreadsheetml/2006/main">
  <authors>
    <author>Admin</author>
  </authors>
  <commentList>
    <comment ref="B9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  <comment ref="B10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</commentList>
</comments>
</file>

<file path=xl/comments12.xml><?xml version="1.0" encoding="utf-8"?>
<comments xmlns="http://schemas.openxmlformats.org/spreadsheetml/2006/main">
  <authors>
    <author>Admin</author>
  </authors>
  <commentList>
    <comment ref="B9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  <comment ref="B10" authorId="0" shapeId="0">
      <text>
        <r>
          <rPr>
            <b/>
            <sz val="11"/>
            <color indexed="81"/>
            <rFont val="Tahoma"/>
            <family val="2"/>
          </rPr>
          <t>Pág 198/288 DG-2018</t>
        </r>
      </text>
    </comment>
  </commentList>
</comments>
</file>

<file path=xl/sharedStrings.xml><?xml version="1.0" encoding="utf-8"?>
<sst xmlns="http://schemas.openxmlformats.org/spreadsheetml/2006/main" count="624" uniqueCount="49">
  <si>
    <t>Begin Normal Shoulder</t>
  </si>
  <si>
    <t>F'</t>
  </si>
  <si>
    <t>Begin Normal Crown</t>
  </si>
  <si>
    <t>A'</t>
  </si>
  <si>
    <t>Level Crown</t>
  </si>
  <si>
    <t>B'</t>
  </si>
  <si>
    <t>Reverse Crown</t>
  </si>
  <si>
    <t>C'</t>
  </si>
  <si>
    <t>Low Shoulder Match</t>
  </si>
  <si>
    <t>G'</t>
  </si>
  <si>
    <t>End Full Super</t>
  </si>
  <si>
    <t xml:space="preserve"> D'</t>
  </si>
  <si>
    <t>Begin Full Super</t>
  </si>
  <si>
    <t>D</t>
  </si>
  <si>
    <t>G</t>
  </si>
  <si>
    <t>C</t>
  </si>
  <si>
    <t>B</t>
  </si>
  <si>
    <t>End Normal Crown</t>
  </si>
  <si>
    <t>A</t>
  </si>
  <si>
    <t>End Normal Shoulder</t>
  </si>
  <si>
    <t>F</t>
  </si>
  <si>
    <t>Tipo de Curva</t>
  </si>
  <si>
    <t>Berma</t>
  </si>
  <si>
    <t xml:space="preserve">Carril </t>
  </si>
  <si>
    <t>Carril</t>
  </si>
  <si>
    <t>BG</t>
  </si>
  <si>
    <t>FA</t>
  </si>
  <si>
    <t>CD</t>
  </si>
  <si>
    <t>BC</t>
  </si>
  <si>
    <t>AB</t>
  </si>
  <si>
    <t>Curva</t>
  </si>
  <si>
    <t>Velocidad</t>
  </si>
  <si>
    <t>Radio</t>
  </si>
  <si>
    <t>BPc</t>
  </si>
  <si>
    <t>CPc</t>
  </si>
  <si>
    <t>PcD</t>
  </si>
  <si>
    <t>BD</t>
  </si>
  <si>
    <t>PC</t>
  </si>
  <si>
    <t>PT</t>
  </si>
  <si>
    <t>% Peralte en PC</t>
  </si>
  <si>
    <t>Bombeo</t>
  </si>
  <si>
    <t>Peralte en Curva</t>
  </si>
  <si>
    <r>
      <t>Lt</t>
    </r>
    <r>
      <rPr>
        <b/>
        <vertAlign val="subscript"/>
        <sz val="16"/>
        <color theme="1"/>
        <rFont val="Calibri"/>
        <family val="2"/>
        <scheme val="minor"/>
      </rPr>
      <t>PERALTE</t>
    </r>
  </si>
  <si>
    <t>%Berma Inferior</t>
  </si>
  <si>
    <t>%Berma Superior</t>
  </si>
  <si>
    <t>%Berma Normal</t>
  </si>
  <si>
    <t>Izquierda</t>
  </si>
  <si>
    <t>Ancho Carril</t>
  </si>
  <si>
    <t>Derecha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</si>
</sst>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\+000.000"/>
    <numFmt numFmtId="165" formatCode="0.000"/>
    <numFmt numFmtId="166" formatCode="0.0000"/>
    <numFmt numFmtId="167" formatCode="#,###.0\ &quot;cm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81"/>
      <name val="Tahoma"/>
      <family val="2"/>
    </font>
    <font>
      <b/>
      <sz val="16"/>
      <color theme="1"/>
      <name val="Calibri"/>
      <family val="2"/>
      <scheme val="minor"/>
    </font>
    <font>
      <b/>
      <vertAlign val="subscript"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61">
    <xf numFmtId="0" fontId="0" fillId="0" borderId="0" xfId="0"/>
    <xf numFmtId="0" fontId="0" fillId="0" borderId="0" xfId="0" applyFill="1" applyBorder="1" applyAlignment="1">
      <alignment horizontal="center"/>
    </xf>
    <xf numFmtId="0" fontId="0" fillId="0" borderId="0" xfId="0" applyBorder="1"/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ill="1"/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167" fontId="0" fillId="0" borderId="0" xfId="0" applyNumberFormat="1" applyAlignment="1">
      <alignment horizontal="center"/>
    </xf>
    <xf numFmtId="167" fontId="0" fillId="0" borderId="0" xfId="0" applyNumberFormat="1" applyAlignment="1">
      <alignment horizontal="left"/>
    </xf>
    <xf numFmtId="0" fontId="0" fillId="2" borderId="0" xfId="0" applyFill="1" applyBorder="1"/>
    <xf numFmtId="0" fontId="8" fillId="0" borderId="0" xfId="0" applyFont="1" applyAlignment="1">
      <alignment horizontal="center"/>
    </xf>
    <xf numFmtId="2" fontId="0" fillId="0" borderId="0" xfId="0" applyNumberFormat="1" applyAlignment="1">
      <alignment horizontal="left"/>
    </xf>
    <xf numFmtId="2" fontId="0" fillId="0" borderId="1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8" fillId="2" borderId="0" xfId="0" applyFont="1" applyFill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5" fontId="0" fillId="2" borderId="0" xfId="0" applyNumberFormat="1" applyFill="1" applyBorder="1" applyAlignment="1">
      <alignment horizontal="center"/>
    </xf>
    <xf numFmtId="166" fontId="0" fillId="2" borderId="0" xfId="0" applyNumberForma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64" fontId="1" fillId="3" borderId="0" xfId="0" applyNumberFormat="1" applyFon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0" fontId="0" fillId="2" borderId="9" xfId="0" applyFill="1" applyBorder="1"/>
    <xf numFmtId="2" fontId="0" fillId="2" borderId="9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2" fontId="0" fillId="2" borderId="2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" fontId="5" fillId="3" borderId="17" xfId="0" applyNumberFormat="1" applyFon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2" fontId="0" fillId="3" borderId="15" xfId="0" applyNumberForma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2" fontId="6" fillId="3" borderId="15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2" fontId="0" fillId="2" borderId="17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/>
    </xf>
    <xf numFmtId="2" fontId="6" fillId="0" borderId="15" xfId="0" applyNumberFormat="1" applyFont="1" applyFill="1" applyBorder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621907</xdr:colOff>
      <xdr:row>39</xdr:row>
      <xdr:rowOff>11350</xdr:rowOff>
    </xdr:from>
    <xdr:to>
      <xdr:col>7</xdr:col>
      <xdr:colOff>565367</xdr:colOff>
      <xdr:row>57</xdr:row>
      <xdr:rowOff>180078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pSpPr>
          <a:grpSpLocks noChangeAspect="1"/>
        </xdr:cNvGrpSpPr>
      </xdr:nvGrpSpPr>
      <xdr:grpSpPr bwMode="auto">
        <a:xfrm>
          <a:off x="621907" y="7483615"/>
          <a:ext cx="6910317" cy="3527749"/>
          <a:chOff x="753" y="57"/>
          <a:chExt cx="550" cy="299"/>
        </a:xfrm>
      </xdr:grpSpPr>
      <xdr:sp macro="" textlink="">
        <xdr:nvSpPr>
          <xdr:cNvPr id="3" name="AutoShape 50">
            <a:extLst>
              <a:ext uri="{FF2B5EF4-FFF2-40B4-BE49-F238E27FC236}">
                <a16:creationId xmlns:a16="http://schemas.microsoft.com/office/drawing/2014/main" id="{00000000-0008-0000-2D00-00000300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753" y="57"/>
            <a:ext cx="550" cy="2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grpSp>
        <xdr:nvGrpSpPr>
          <xdr:cNvPr id="4" name="Group 252">
            <a:extLst>
              <a:ext uri="{FF2B5EF4-FFF2-40B4-BE49-F238E27FC236}">
                <a16:creationId xmlns:a16="http://schemas.microsoft.com/office/drawing/2014/main" id="{00000000-0008-0000-2D00-000004000000}"/>
              </a:ext>
            </a:extLst>
          </xdr:cNvPr>
          <xdr:cNvGrpSpPr>
            <a:grpSpLocks/>
          </xdr:cNvGrpSpPr>
        </xdr:nvGrpSpPr>
        <xdr:grpSpPr bwMode="auto">
          <a:xfrm>
            <a:off x="821" y="106"/>
            <a:ext cx="402" cy="191"/>
            <a:chOff x="821" y="106"/>
            <a:chExt cx="402" cy="191"/>
          </a:xfrm>
        </xdr:grpSpPr>
        <xdr:sp macro="" textlink="">
          <xdr:nvSpPr>
            <xdr:cNvPr id="341" name="Line 52">
              <a:extLst>
                <a:ext uri="{FF2B5EF4-FFF2-40B4-BE49-F238E27FC236}">
                  <a16:creationId xmlns:a16="http://schemas.microsoft.com/office/drawing/2014/main" id="{00000000-0008-0000-2D00-000055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23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2" name="Line 53">
              <a:extLst>
                <a:ext uri="{FF2B5EF4-FFF2-40B4-BE49-F238E27FC236}">
                  <a16:creationId xmlns:a16="http://schemas.microsoft.com/office/drawing/2014/main" id="{00000000-0008-0000-2D00-000056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32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3" name="Line 54">
              <a:extLst>
                <a:ext uri="{FF2B5EF4-FFF2-40B4-BE49-F238E27FC236}">
                  <a16:creationId xmlns:a16="http://schemas.microsoft.com/office/drawing/2014/main" id="{00000000-0008-0000-2D00-000057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0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4" name="Line 55">
              <a:extLst>
                <a:ext uri="{FF2B5EF4-FFF2-40B4-BE49-F238E27FC236}">
                  <a16:creationId xmlns:a16="http://schemas.microsoft.com/office/drawing/2014/main" id="{00000000-0008-0000-2D00-000058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9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5" name="Line 56">
              <a:extLst>
                <a:ext uri="{FF2B5EF4-FFF2-40B4-BE49-F238E27FC236}">
                  <a16:creationId xmlns:a16="http://schemas.microsoft.com/office/drawing/2014/main" id="{00000000-0008-0000-2D00-000059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57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6" name="Line 57">
              <a:extLst>
                <a:ext uri="{FF2B5EF4-FFF2-40B4-BE49-F238E27FC236}">
                  <a16:creationId xmlns:a16="http://schemas.microsoft.com/office/drawing/2014/main" id="{00000000-0008-0000-2D00-00005A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66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7" name="Line 58">
              <a:extLst>
                <a:ext uri="{FF2B5EF4-FFF2-40B4-BE49-F238E27FC236}">
                  <a16:creationId xmlns:a16="http://schemas.microsoft.com/office/drawing/2014/main" id="{00000000-0008-0000-2D00-00005B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74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8" name="Line 59">
              <a:extLst>
                <a:ext uri="{FF2B5EF4-FFF2-40B4-BE49-F238E27FC236}">
                  <a16:creationId xmlns:a16="http://schemas.microsoft.com/office/drawing/2014/main" id="{00000000-0008-0000-2D00-00005C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83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9" name="Line 60">
              <a:extLst>
                <a:ext uri="{FF2B5EF4-FFF2-40B4-BE49-F238E27FC236}">
                  <a16:creationId xmlns:a16="http://schemas.microsoft.com/office/drawing/2014/main" id="{00000000-0008-0000-2D00-00005D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91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0" name="Line 61">
              <a:extLst>
                <a:ext uri="{FF2B5EF4-FFF2-40B4-BE49-F238E27FC236}">
                  <a16:creationId xmlns:a16="http://schemas.microsoft.com/office/drawing/2014/main" id="{00000000-0008-0000-2D00-00005E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0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1" name="Line 62">
              <a:extLst>
                <a:ext uri="{FF2B5EF4-FFF2-40B4-BE49-F238E27FC236}">
                  <a16:creationId xmlns:a16="http://schemas.microsoft.com/office/drawing/2014/main" id="{00000000-0008-0000-2D00-00005F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8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2" name="Line 63">
              <a:extLst>
                <a:ext uri="{FF2B5EF4-FFF2-40B4-BE49-F238E27FC236}">
                  <a16:creationId xmlns:a16="http://schemas.microsoft.com/office/drawing/2014/main" id="{00000000-0008-0000-2D00-000060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17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3" name="Line 64">
              <a:extLst>
                <a:ext uri="{FF2B5EF4-FFF2-40B4-BE49-F238E27FC236}">
                  <a16:creationId xmlns:a16="http://schemas.microsoft.com/office/drawing/2014/main" id="{00000000-0008-0000-2D00-000061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25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4" name="Line 65">
              <a:extLst>
                <a:ext uri="{FF2B5EF4-FFF2-40B4-BE49-F238E27FC236}">
                  <a16:creationId xmlns:a16="http://schemas.microsoft.com/office/drawing/2014/main" id="{00000000-0008-0000-2D00-000062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34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5" name="Line 66">
              <a:extLst>
                <a:ext uri="{FF2B5EF4-FFF2-40B4-BE49-F238E27FC236}">
                  <a16:creationId xmlns:a16="http://schemas.microsoft.com/office/drawing/2014/main" id="{00000000-0008-0000-2D00-000063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42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6" name="Line 67">
              <a:extLst>
                <a:ext uri="{FF2B5EF4-FFF2-40B4-BE49-F238E27FC236}">
                  <a16:creationId xmlns:a16="http://schemas.microsoft.com/office/drawing/2014/main" id="{00000000-0008-0000-2D00-000064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1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7" name="Line 68">
              <a:extLst>
                <a:ext uri="{FF2B5EF4-FFF2-40B4-BE49-F238E27FC236}">
                  <a16:creationId xmlns:a16="http://schemas.microsoft.com/office/drawing/2014/main" id="{00000000-0008-0000-2D00-000065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9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8" name="Line 69">
              <a:extLst>
                <a:ext uri="{FF2B5EF4-FFF2-40B4-BE49-F238E27FC236}">
                  <a16:creationId xmlns:a16="http://schemas.microsoft.com/office/drawing/2014/main" id="{00000000-0008-0000-2D00-000066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68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9" name="Line 70">
              <a:extLst>
                <a:ext uri="{FF2B5EF4-FFF2-40B4-BE49-F238E27FC236}">
                  <a16:creationId xmlns:a16="http://schemas.microsoft.com/office/drawing/2014/main" id="{00000000-0008-0000-2D00-000067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76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0" name="Line 71">
              <a:extLst>
                <a:ext uri="{FF2B5EF4-FFF2-40B4-BE49-F238E27FC236}">
                  <a16:creationId xmlns:a16="http://schemas.microsoft.com/office/drawing/2014/main" id="{00000000-0008-0000-2D00-000068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5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1" name="Line 72">
              <a:extLst>
                <a:ext uri="{FF2B5EF4-FFF2-40B4-BE49-F238E27FC236}">
                  <a16:creationId xmlns:a16="http://schemas.microsoft.com/office/drawing/2014/main" id="{00000000-0008-0000-2D00-000069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8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2" name="Line 73">
              <a:extLst>
                <a:ext uri="{FF2B5EF4-FFF2-40B4-BE49-F238E27FC236}">
                  <a16:creationId xmlns:a16="http://schemas.microsoft.com/office/drawing/2014/main" id="{00000000-0008-0000-2D00-00006A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3" name="Line 74">
              <a:extLst>
                <a:ext uri="{FF2B5EF4-FFF2-40B4-BE49-F238E27FC236}">
                  <a16:creationId xmlns:a16="http://schemas.microsoft.com/office/drawing/2014/main" id="{00000000-0008-0000-2D00-00006B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8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4" name="Line 75">
              <a:extLst>
                <a:ext uri="{FF2B5EF4-FFF2-40B4-BE49-F238E27FC236}">
                  <a16:creationId xmlns:a16="http://schemas.microsoft.com/office/drawing/2014/main" id="{00000000-0008-0000-2D00-00006C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7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5" name="Line 76">
              <a:extLst>
                <a:ext uri="{FF2B5EF4-FFF2-40B4-BE49-F238E27FC236}">
                  <a16:creationId xmlns:a16="http://schemas.microsoft.com/office/drawing/2014/main" id="{00000000-0008-0000-2D00-00006D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6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6" name="Line 77">
              <a:extLst>
                <a:ext uri="{FF2B5EF4-FFF2-40B4-BE49-F238E27FC236}">
                  <a16:creationId xmlns:a16="http://schemas.microsoft.com/office/drawing/2014/main" id="{00000000-0008-0000-2D00-00006E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5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7" name="Line 78">
              <a:extLst>
                <a:ext uri="{FF2B5EF4-FFF2-40B4-BE49-F238E27FC236}">
                  <a16:creationId xmlns:a16="http://schemas.microsoft.com/office/drawing/2014/main" id="{00000000-0008-0000-2D00-00006F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47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8" name="Line 79">
              <a:extLst>
                <a:ext uri="{FF2B5EF4-FFF2-40B4-BE49-F238E27FC236}">
                  <a16:creationId xmlns:a16="http://schemas.microsoft.com/office/drawing/2014/main" id="{00000000-0008-0000-2D00-000070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9" name="Line 80">
              <a:extLst>
                <a:ext uri="{FF2B5EF4-FFF2-40B4-BE49-F238E27FC236}">
                  <a16:creationId xmlns:a16="http://schemas.microsoft.com/office/drawing/2014/main" id="{00000000-0008-0000-2D00-000071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0" name="Line 81">
              <a:extLst>
                <a:ext uri="{FF2B5EF4-FFF2-40B4-BE49-F238E27FC236}">
                  <a16:creationId xmlns:a16="http://schemas.microsoft.com/office/drawing/2014/main" id="{00000000-0008-0000-2D00-000072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2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1" name="Line 82">
              <a:extLst>
                <a:ext uri="{FF2B5EF4-FFF2-40B4-BE49-F238E27FC236}">
                  <a16:creationId xmlns:a16="http://schemas.microsoft.com/office/drawing/2014/main" id="{00000000-0008-0000-2D00-000073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1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2" name="Line 83">
              <a:extLst>
                <a:ext uri="{FF2B5EF4-FFF2-40B4-BE49-F238E27FC236}">
                  <a16:creationId xmlns:a16="http://schemas.microsoft.com/office/drawing/2014/main" id="{00000000-0008-0000-2D00-000074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3" name="Freeform 84">
              <a:extLst>
                <a:ext uri="{FF2B5EF4-FFF2-40B4-BE49-F238E27FC236}">
                  <a16:creationId xmlns:a16="http://schemas.microsoft.com/office/drawing/2014/main" id="{00000000-0008-0000-2D00-000075010000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105 h 105"/>
                <a:gd name="T2" fmla="*/ 1979 w 1979"/>
                <a:gd name="T3" fmla="*/ 0 h 105"/>
                <a:gd name="T4" fmla="*/ 0 w 1979"/>
                <a:gd name="T5" fmla="*/ 105 h 105"/>
                <a:gd name="T6" fmla="*/ 1979 w 197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105"/>
                  </a:moveTo>
                  <a:lnTo>
                    <a:pt x="1979" y="0"/>
                  </a:lnTo>
                  <a:lnTo>
                    <a:pt x="0" y="105"/>
                  </a:lnTo>
                  <a:lnTo>
                    <a:pt x="1979" y="10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4" name="Freeform 85">
              <a:extLst>
                <a:ext uri="{FF2B5EF4-FFF2-40B4-BE49-F238E27FC236}">
                  <a16:creationId xmlns:a16="http://schemas.microsoft.com/office/drawing/2014/main" id="{00000000-0008-0000-2D00-000076010000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0 h 105"/>
                <a:gd name="T2" fmla="*/ 0 w 1979"/>
                <a:gd name="T3" fmla="*/ 105 h 105"/>
                <a:gd name="T4" fmla="*/ 18 w 1979"/>
                <a:gd name="T5" fmla="*/ 0 h 105"/>
                <a:gd name="T6" fmla="*/ 1979 w 1979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0"/>
                  </a:moveTo>
                  <a:lnTo>
                    <a:pt x="0" y="105"/>
                  </a:lnTo>
                  <a:lnTo>
                    <a:pt x="18" y="0"/>
                  </a:lnTo>
                  <a:lnTo>
                    <a:pt x="197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5" name="Freeform 86">
              <a:extLst>
                <a:ext uri="{FF2B5EF4-FFF2-40B4-BE49-F238E27FC236}">
                  <a16:creationId xmlns:a16="http://schemas.microsoft.com/office/drawing/2014/main" id="{00000000-0008-0000-2D00-000077010000}"/>
                </a:ext>
              </a:extLst>
            </xdr:cNvPr>
            <xdr:cNvSpPr>
              <a:spLocks/>
            </xdr:cNvSpPr>
          </xdr:nvSpPr>
          <xdr:spPr bwMode="auto">
            <a:xfrm>
              <a:off x="1028" y="238"/>
              <a:ext cx="162" cy="59"/>
            </a:xfrm>
            <a:custGeom>
              <a:avLst/>
              <a:gdLst>
                <a:gd name="T0" fmla="*/ 9523 w 9541"/>
                <a:gd name="T1" fmla="*/ 3477 h 3477"/>
                <a:gd name="T2" fmla="*/ 9541 w 9541"/>
                <a:gd name="T3" fmla="*/ 3372 h 3477"/>
                <a:gd name="T4" fmla="*/ 0 w 9541"/>
                <a:gd name="T5" fmla="*/ 0 h 3477"/>
                <a:gd name="T6" fmla="*/ 9523 w 9541"/>
                <a:gd name="T7" fmla="*/ 3477 h 34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7">
                  <a:moveTo>
                    <a:pt x="9523" y="3477"/>
                  </a:moveTo>
                  <a:lnTo>
                    <a:pt x="9541" y="3372"/>
                  </a:lnTo>
                  <a:lnTo>
                    <a:pt x="0" y="0"/>
                  </a:lnTo>
                  <a:lnTo>
                    <a:pt x="9523" y="347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6" name="Freeform 87">
              <a:extLst>
                <a:ext uri="{FF2B5EF4-FFF2-40B4-BE49-F238E27FC236}">
                  <a16:creationId xmlns:a16="http://schemas.microsoft.com/office/drawing/2014/main" id="{00000000-0008-0000-2D00-000078010000}"/>
                </a:ext>
              </a:extLst>
            </xdr:cNvPr>
            <xdr:cNvSpPr>
              <a:spLocks/>
            </xdr:cNvSpPr>
          </xdr:nvSpPr>
          <xdr:spPr bwMode="auto">
            <a:xfrm>
              <a:off x="1028" y="237"/>
              <a:ext cx="162" cy="59"/>
            </a:xfrm>
            <a:custGeom>
              <a:avLst/>
              <a:gdLst>
                <a:gd name="T0" fmla="*/ 9541 w 9541"/>
                <a:gd name="T1" fmla="*/ 3478 h 3478"/>
                <a:gd name="T2" fmla="*/ 0 w 9541"/>
                <a:gd name="T3" fmla="*/ 106 h 3478"/>
                <a:gd name="T4" fmla="*/ 18 w 9541"/>
                <a:gd name="T5" fmla="*/ 0 h 3478"/>
                <a:gd name="T6" fmla="*/ 9541 w 9541"/>
                <a:gd name="T7" fmla="*/ 3478 h 34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8">
                  <a:moveTo>
                    <a:pt x="9541" y="3478"/>
                  </a:moveTo>
                  <a:lnTo>
                    <a:pt x="0" y="106"/>
                  </a:lnTo>
                  <a:lnTo>
                    <a:pt x="18" y="0"/>
                  </a:lnTo>
                  <a:lnTo>
                    <a:pt x="9541" y="3478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7" name="Freeform 88">
              <a:extLst>
                <a:ext uri="{FF2B5EF4-FFF2-40B4-BE49-F238E27FC236}">
                  <a16:creationId xmlns:a16="http://schemas.microsoft.com/office/drawing/2014/main" id="{00000000-0008-0000-2D00-000079010000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35 w 11553"/>
                <a:gd name="T1" fmla="*/ 106 h 106"/>
                <a:gd name="T2" fmla="*/ 11553 w 11553"/>
                <a:gd name="T3" fmla="*/ 0 h 106"/>
                <a:gd name="T4" fmla="*/ 0 w 11553"/>
                <a:gd name="T5" fmla="*/ 106 h 106"/>
                <a:gd name="T6" fmla="*/ 11535 w 11553"/>
                <a:gd name="T7" fmla="*/ 106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35" y="106"/>
                  </a:moveTo>
                  <a:lnTo>
                    <a:pt x="11553" y="0"/>
                  </a:lnTo>
                  <a:lnTo>
                    <a:pt x="0" y="106"/>
                  </a:lnTo>
                  <a:lnTo>
                    <a:pt x="11535" y="10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8" name="Freeform 89">
              <a:extLst>
                <a:ext uri="{FF2B5EF4-FFF2-40B4-BE49-F238E27FC236}">
                  <a16:creationId xmlns:a16="http://schemas.microsoft.com/office/drawing/2014/main" id="{00000000-0008-0000-2D00-00007A010000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53 w 11553"/>
                <a:gd name="T1" fmla="*/ 0 h 106"/>
                <a:gd name="T2" fmla="*/ 0 w 11553"/>
                <a:gd name="T3" fmla="*/ 106 h 106"/>
                <a:gd name="T4" fmla="*/ 0 w 11553"/>
                <a:gd name="T5" fmla="*/ 0 h 106"/>
                <a:gd name="T6" fmla="*/ 11553 w 115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53" y="0"/>
                  </a:moveTo>
                  <a:lnTo>
                    <a:pt x="0" y="106"/>
                  </a:lnTo>
                  <a:lnTo>
                    <a:pt x="0" y="0"/>
                  </a:lnTo>
                  <a:lnTo>
                    <a:pt x="1155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9" name="Freeform 90">
              <a:extLst>
                <a:ext uri="{FF2B5EF4-FFF2-40B4-BE49-F238E27FC236}">
                  <a16:creationId xmlns:a16="http://schemas.microsoft.com/office/drawing/2014/main" id="{00000000-0008-0000-2D00-00007B010000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76"/>
                <a:gd name="T1" fmla="*/ 7696 h 7794"/>
                <a:gd name="T2" fmla="*/ 36 w 21076"/>
                <a:gd name="T3" fmla="*/ 7794 h 7794"/>
                <a:gd name="T4" fmla="*/ 21076 w 21076"/>
                <a:gd name="T5" fmla="*/ 0 h 7794"/>
                <a:gd name="T6" fmla="*/ 0 w 21076"/>
                <a:gd name="T7" fmla="*/ 7696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76" h="7794">
                  <a:moveTo>
                    <a:pt x="0" y="7696"/>
                  </a:moveTo>
                  <a:lnTo>
                    <a:pt x="36" y="7794"/>
                  </a:lnTo>
                  <a:lnTo>
                    <a:pt x="21076" y="0"/>
                  </a:lnTo>
                  <a:lnTo>
                    <a:pt x="0" y="769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0" name="Freeform 91">
              <a:extLst>
                <a:ext uri="{FF2B5EF4-FFF2-40B4-BE49-F238E27FC236}">
                  <a16:creationId xmlns:a16="http://schemas.microsoft.com/office/drawing/2014/main" id="{00000000-0008-0000-2D00-00007C010000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58"/>
                <a:gd name="T1" fmla="*/ 7794 h 7794"/>
                <a:gd name="T2" fmla="*/ 21040 w 21058"/>
                <a:gd name="T3" fmla="*/ 0 h 7794"/>
                <a:gd name="T4" fmla="*/ 21058 w 21058"/>
                <a:gd name="T5" fmla="*/ 107 h 7794"/>
                <a:gd name="T6" fmla="*/ 0 w 21058"/>
                <a:gd name="T7" fmla="*/ 7794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58" h="7794">
                  <a:moveTo>
                    <a:pt x="0" y="7794"/>
                  </a:moveTo>
                  <a:lnTo>
                    <a:pt x="21040" y="0"/>
                  </a:lnTo>
                  <a:lnTo>
                    <a:pt x="21058" y="107"/>
                  </a:lnTo>
                  <a:lnTo>
                    <a:pt x="0" y="779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1" name="Freeform 92">
              <a:extLst>
                <a:ext uri="{FF2B5EF4-FFF2-40B4-BE49-F238E27FC236}">
                  <a16:creationId xmlns:a16="http://schemas.microsoft.com/office/drawing/2014/main" id="{00000000-0008-0000-2D00-00007D010000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79"/>
                <a:gd name="T1" fmla="*/ 0 h 107"/>
                <a:gd name="T2" fmla="*/ 18 w 1979"/>
                <a:gd name="T3" fmla="*/ 107 h 107"/>
                <a:gd name="T4" fmla="*/ 1979 w 1979"/>
                <a:gd name="T5" fmla="*/ 0 h 107"/>
                <a:gd name="T6" fmla="*/ 0 w 1979"/>
                <a:gd name="T7" fmla="*/ 0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7">
                  <a:moveTo>
                    <a:pt x="0" y="0"/>
                  </a:moveTo>
                  <a:lnTo>
                    <a:pt x="18" y="107"/>
                  </a:lnTo>
                  <a:lnTo>
                    <a:pt x="1979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2" name="Freeform 93">
              <a:extLst>
                <a:ext uri="{FF2B5EF4-FFF2-40B4-BE49-F238E27FC236}">
                  <a16:creationId xmlns:a16="http://schemas.microsoft.com/office/drawing/2014/main" id="{00000000-0008-0000-2D00-00007E010000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61"/>
                <a:gd name="T1" fmla="*/ 107 h 107"/>
                <a:gd name="T2" fmla="*/ 1961 w 1961"/>
                <a:gd name="T3" fmla="*/ 0 h 107"/>
                <a:gd name="T4" fmla="*/ 1961 w 1961"/>
                <a:gd name="T5" fmla="*/ 107 h 107"/>
                <a:gd name="T6" fmla="*/ 0 w 1961"/>
                <a:gd name="T7" fmla="*/ 107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61" h="107">
                  <a:moveTo>
                    <a:pt x="0" y="107"/>
                  </a:moveTo>
                  <a:lnTo>
                    <a:pt x="1961" y="0"/>
                  </a:lnTo>
                  <a:lnTo>
                    <a:pt x="1961" y="107"/>
                  </a:lnTo>
                  <a:lnTo>
                    <a:pt x="0" y="10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3" name="Line 94">
              <a:extLst>
                <a:ext uri="{FF2B5EF4-FFF2-40B4-BE49-F238E27FC236}">
                  <a16:creationId xmlns:a16="http://schemas.microsoft.com/office/drawing/2014/main" id="{00000000-0008-0000-2D00-00007F01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928" y="202"/>
              <a:ext cx="262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4" name="Line 95">
              <a:extLst>
                <a:ext uri="{FF2B5EF4-FFF2-40B4-BE49-F238E27FC236}">
                  <a16:creationId xmlns:a16="http://schemas.microsoft.com/office/drawing/2014/main" id="{00000000-0008-0000-2D00-000080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93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5" name="Line 96">
              <a:extLst>
                <a:ext uri="{FF2B5EF4-FFF2-40B4-BE49-F238E27FC236}">
                  <a16:creationId xmlns:a16="http://schemas.microsoft.com/office/drawing/2014/main" id="{00000000-0008-0000-2D00-000081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8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6" name="Line 97">
              <a:extLst>
                <a:ext uri="{FF2B5EF4-FFF2-40B4-BE49-F238E27FC236}">
                  <a16:creationId xmlns:a16="http://schemas.microsoft.com/office/drawing/2014/main" id="{00000000-0008-0000-2D00-000082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7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7" name="Line 98">
              <a:extLst>
                <a:ext uri="{FF2B5EF4-FFF2-40B4-BE49-F238E27FC236}">
                  <a16:creationId xmlns:a16="http://schemas.microsoft.com/office/drawing/2014/main" id="{00000000-0008-0000-2D00-000083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6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8" name="Line 99">
              <a:extLst>
                <a:ext uri="{FF2B5EF4-FFF2-40B4-BE49-F238E27FC236}">
                  <a16:creationId xmlns:a16="http://schemas.microsoft.com/office/drawing/2014/main" id="{00000000-0008-0000-2D00-000084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9" name="Line 100">
              <a:extLst>
                <a:ext uri="{FF2B5EF4-FFF2-40B4-BE49-F238E27FC236}">
                  <a16:creationId xmlns:a16="http://schemas.microsoft.com/office/drawing/2014/main" id="{00000000-0008-0000-2D00-000085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0" name="Line 101">
              <a:extLst>
                <a:ext uri="{FF2B5EF4-FFF2-40B4-BE49-F238E27FC236}">
                  <a16:creationId xmlns:a16="http://schemas.microsoft.com/office/drawing/2014/main" id="{00000000-0008-0000-2D00-000086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4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1" name="Line 102">
              <a:extLst>
                <a:ext uri="{FF2B5EF4-FFF2-40B4-BE49-F238E27FC236}">
                  <a16:creationId xmlns:a16="http://schemas.microsoft.com/office/drawing/2014/main" id="{00000000-0008-0000-2D00-000087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3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2" name="Line 103">
              <a:extLst>
                <a:ext uri="{FF2B5EF4-FFF2-40B4-BE49-F238E27FC236}">
                  <a16:creationId xmlns:a16="http://schemas.microsoft.com/office/drawing/2014/main" id="{00000000-0008-0000-2D00-000088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2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3" name="Line 104">
              <a:extLst>
                <a:ext uri="{FF2B5EF4-FFF2-40B4-BE49-F238E27FC236}">
                  <a16:creationId xmlns:a16="http://schemas.microsoft.com/office/drawing/2014/main" id="{00000000-0008-0000-2D00-000089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1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4" name="Line 105">
              <a:extLst>
                <a:ext uri="{FF2B5EF4-FFF2-40B4-BE49-F238E27FC236}">
                  <a16:creationId xmlns:a16="http://schemas.microsoft.com/office/drawing/2014/main" id="{00000000-0008-0000-2D00-00008A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5" name="Line 106">
              <a:extLst>
                <a:ext uri="{FF2B5EF4-FFF2-40B4-BE49-F238E27FC236}">
                  <a16:creationId xmlns:a16="http://schemas.microsoft.com/office/drawing/2014/main" id="{00000000-0008-0000-2D00-00008B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2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6" name="Line 107">
              <a:extLst>
                <a:ext uri="{FF2B5EF4-FFF2-40B4-BE49-F238E27FC236}">
                  <a16:creationId xmlns:a16="http://schemas.microsoft.com/office/drawing/2014/main" id="{00000000-0008-0000-2D00-00008C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7" name="Line 108">
              <a:extLst>
                <a:ext uri="{FF2B5EF4-FFF2-40B4-BE49-F238E27FC236}">
                  <a16:creationId xmlns:a16="http://schemas.microsoft.com/office/drawing/2014/main" id="{00000000-0008-0000-2D00-00008D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8" name="Line 109">
              <a:extLst>
                <a:ext uri="{FF2B5EF4-FFF2-40B4-BE49-F238E27FC236}">
                  <a16:creationId xmlns:a16="http://schemas.microsoft.com/office/drawing/2014/main" id="{00000000-0008-0000-2D00-00008E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9" name="Line 110">
              <a:extLst>
                <a:ext uri="{FF2B5EF4-FFF2-40B4-BE49-F238E27FC236}">
                  <a16:creationId xmlns:a16="http://schemas.microsoft.com/office/drawing/2014/main" id="{00000000-0008-0000-2D00-00008F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0" name="Line 111">
              <a:extLst>
                <a:ext uri="{FF2B5EF4-FFF2-40B4-BE49-F238E27FC236}">
                  <a16:creationId xmlns:a16="http://schemas.microsoft.com/office/drawing/2014/main" id="{00000000-0008-0000-2D00-000090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1" name="Line 112">
              <a:extLst>
                <a:ext uri="{FF2B5EF4-FFF2-40B4-BE49-F238E27FC236}">
                  <a16:creationId xmlns:a16="http://schemas.microsoft.com/office/drawing/2014/main" id="{00000000-0008-0000-2D00-000091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2" name="Line 113">
              <a:extLst>
                <a:ext uri="{FF2B5EF4-FFF2-40B4-BE49-F238E27FC236}">
                  <a16:creationId xmlns:a16="http://schemas.microsoft.com/office/drawing/2014/main" id="{00000000-0008-0000-2D00-000092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3" name="Line 114">
              <a:extLst>
                <a:ext uri="{FF2B5EF4-FFF2-40B4-BE49-F238E27FC236}">
                  <a16:creationId xmlns:a16="http://schemas.microsoft.com/office/drawing/2014/main" id="{00000000-0008-0000-2D00-000093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4" name="Line 115">
              <a:extLst>
                <a:ext uri="{FF2B5EF4-FFF2-40B4-BE49-F238E27FC236}">
                  <a16:creationId xmlns:a16="http://schemas.microsoft.com/office/drawing/2014/main" id="{00000000-0008-0000-2D00-000094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5" name="Line 116">
              <a:extLst>
                <a:ext uri="{FF2B5EF4-FFF2-40B4-BE49-F238E27FC236}">
                  <a16:creationId xmlns:a16="http://schemas.microsoft.com/office/drawing/2014/main" id="{00000000-0008-0000-2D00-000095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6" name="Line 117">
              <a:extLst>
                <a:ext uri="{FF2B5EF4-FFF2-40B4-BE49-F238E27FC236}">
                  <a16:creationId xmlns:a16="http://schemas.microsoft.com/office/drawing/2014/main" id="{00000000-0008-0000-2D00-000096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7" name="Line 118">
              <a:extLst>
                <a:ext uri="{FF2B5EF4-FFF2-40B4-BE49-F238E27FC236}">
                  <a16:creationId xmlns:a16="http://schemas.microsoft.com/office/drawing/2014/main" id="{00000000-0008-0000-2D00-000097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8" name="Line 119">
              <a:extLst>
                <a:ext uri="{FF2B5EF4-FFF2-40B4-BE49-F238E27FC236}">
                  <a16:creationId xmlns:a16="http://schemas.microsoft.com/office/drawing/2014/main" id="{00000000-0008-0000-2D00-000098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9" name="Line 120">
              <a:extLst>
                <a:ext uri="{FF2B5EF4-FFF2-40B4-BE49-F238E27FC236}">
                  <a16:creationId xmlns:a16="http://schemas.microsoft.com/office/drawing/2014/main" id="{00000000-0008-0000-2D00-000099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0" name="Line 121">
              <a:extLst>
                <a:ext uri="{FF2B5EF4-FFF2-40B4-BE49-F238E27FC236}">
                  <a16:creationId xmlns:a16="http://schemas.microsoft.com/office/drawing/2014/main" id="{00000000-0008-0000-2D00-00009A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1" name="Line 122">
              <a:extLst>
                <a:ext uri="{FF2B5EF4-FFF2-40B4-BE49-F238E27FC236}">
                  <a16:creationId xmlns:a16="http://schemas.microsoft.com/office/drawing/2014/main" id="{00000000-0008-0000-2D00-00009B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2" name="Line 123">
              <a:extLst>
                <a:ext uri="{FF2B5EF4-FFF2-40B4-BE49-F238E27FC236}">
                  <a16:creationId xmlns:a16="http://schemas.microsoft.com/office/drawing/2014/main" id="{00000000-0008-0000-2D00-00009C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3" name="Line 124">
              <a:extLst>
                <a:ext uri="{FF2B5EF4-FFF2-40B4-BE49-F238E27FC236}">
                  <a16:creationId xmlns:a16="http://schemas.microsoft.com/office/drawing/2014/main" id="{00000000-0008-0000-2D00-00009D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4" name="Line 125">
              <a:extLst>
                <a:ext uri="{FF2B5EF4-FFF2-40B4-BE49-F238E27FC236}">
                  <a16:creationId xmlns:a16="http://schemas.microsoft.com/office/drawing/2014/main" id="{00000000-0008-0000-2D00-00009E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5" name="Line 126">
              <a:extLst>
                <a:ext uri="{FF2B5EF4-FFF2-40B4-BE49-F238E27FC236}">
                  <a16:creationId xmlns:a16="http://schemas.microsoft.com/office/drawing/2014/main" id="{00000000-0008-0000-2D00-00009F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6" name="Line 127">
              <a:extLst>
                <a:ext uri="{FF2B5EF4-FFF2-40B4-BE49-F238E27FC236}">
                  <a16:creationId xmlns:a16="http://schemas.microsoft.com/office/drawing/2014/main" id="{00000000-0008-0000-2D00-0000A0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7" name="Line 128">
              <a:extLst>
                <a:ext uri="{FF2B5EF4-FFF2-40B4-BE49-F238E27FC236}">
                  <a16:creationId xmlns:a16="http://schemas.microsoft.com/office/drawing/2014/main" id="{00000000-0008-0000-2D00-0000A1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8" name="Line 129">
              <a:extLst>
                <a:ext uri="{FF2B5EF4-FFF2-40B4-BE49-F238E27FC236}">
                  <a16:creationId xmlns:a16="http://schemas.microsoft.com/office/drawing/2014/main" id="{00000000-0008-0000-2D00-0000A2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9" name="Line 130">
              <a:extLst>
                <a:ext uri="{FF2B5EF4-FFF2-40B4-BE49-F238E27FC236}">
                  <a16:creationId xmlns:a16="http://schemas.microsoft.com/office/drawing/2014/main" id="{00000000-0008-0000-2D00-0000A3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0" name="Line 131">
              <a:extLst>
                <a:ext uri="{FF2B5EF4-FFF2-40B4-BE49-F238E27FC236}">
                  <a16:creationId xmlns:a16="http://schemas.microsoft.com/office/drawing/2014/main" id="{00000000-0008-0000-2D00-0000A4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1" name="Line 132">
              <a:extLst>
                <a:ext uri="{FF2B5EF4-FFF2-40B4-BE49-F238E27FC236}">
                  <a16:creationId xmlns:a16="http://schemas.microsoft.com/office/drawing/2014/main" id="{00000000-0008-0000-2D00-0000A5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2" name="Line 133">
              <a:extLst>
                <a:ext uri="{FF2B5EF4-FFF2-40B4-BE49-F238E27FC236}">
                  <a16:creationId xmlns:a16="http://schemas.microsoft.com/office/drawing/2014/main" id="{00000000-0008-0000-2D00-0000A6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3" name="Line 134">
              <a:extLst>
                <a:ext uri="{FF2B5EF4-FFF2-40B4-BE49-F238E27FC236}">
                  <a16:creationId xmlns:a16="http://schemas.microsoft.com/office/drawing/2014/main" id="{00000000-0008-0000-2D00-0000A7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4" name="Line 135">
              <a:extLst>
                <a:ext uri="{FF2B5EF4-FFF2-40B4-BE49-F238E27FC236}">
                  <a16:creationId xmlns:a16="http://schemas.microsoft.com/office/drawing/2014/main" id="{00000000-0008-0000-2D00-0000A8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5" name="Line 136">
              <a:extLst>
                <a:ext uri="{FF2B5EF4-FFF2-40B4-BE49-F238E27FC236}">
                  <a16:creationId xmlns:a16="http://schemas.microsoft.com/office/drawing/2014/main" id="{00000000-0008-0000-2D00-0000A9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6" name="Line 137">
              <a:extLst>
                <a:ext uri="{FF2B5EF4-FFF2-40B4-BE49-F238E27FC236}">
                  <a16:creationId xmlns:a16="http://schemas.microsoft.com/office/drawing/2014/main" id="{00000000-0008-0000-2D00-0000AA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7" name="Line 138">
              <a:extLst>
                <a:ext uri="{FF2B5EF4-FFF2-40B4-BE49-F238E27FC236}">
                  <a16:creationId xmlns:a16="http://schemas.microsoft.com/office/drawing/2014/main" id="{00000000-0008-0000-2D00-0000AB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8" name="Line 139">
              <a:extLst>
                <a:ext uri="{FF2B5EF4-FFF2-40B4-BE49-F238E27FC236}">
                  <a16:creationId xmlns:a16="http://schemas.microsoft.com/office/drawing/2014/main" id="{00000000-0008-0000-2D00-0000AC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9" name="Line 140">
              <a:extLst>
                <a:ext uri="{FF2B5EF4-FFF2-40B4-BE49-F238E27FC236}">
                  <a16:creationId xmlns:a16="http://schemas.microsoft.com/office/drawing/2014/main" id="{00000000-0008-0000-2D00-0000AD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0" name="Line 141">
              <a:extLst>
                <a:ext uri="{FF2B5EF4-FFF2-40B4-BE49-F238E27FC236}">
                  <a16:creationId xmlns:a16="http://schemas.microsoft.com/office/drawing/2014/main" id="{00000000-0008-0000-2D00-0000AE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1" name="Line 142">
              <a:extLst>
                <a:ext uri="{FF2B5EF4-FFF2-40B4-BE49-F238E27FC236}">
                  <a16:creationId xmlns:a16="http://schemas.microsoft.com/office/drawing/2014/main" id="{00000000-0008-0000-2D00-0000AF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2" name="Line 143">
              <a:extLst>
                <a:ext uri="{FF2B5EF4-FFF2-40B4-BE49-F238E27FC236}">
                  <a16:creationId xmlns:a16="http://schemas.microsoft.com/office/drawing/2014/main" id="{00000000-0008-0000-2D00-0000B0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3" name="Line 144">
              <a:extLst>
                <a:ext uri="{FF2B5EF4-FFF2-40B4-BE49-F238E27FC236}">
                  <a16:creationId xmlns:a16="http://schemas.microsoft.com/office/drawing/2014/main" id="{00000000-0008-0000-2D00-0000B1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4" name="Line 145">
              <a:extLst>
                <a:ext uri="{FF2B5EF4-FFF2-40B4-BE49-F238E27FC236}">
                  <a16:creationId xmlns:a16="http://schemas.microsoft.com/office/drawing/2014/main" id="{00000000-0008-0000-2D00-0000B2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5" name="Line 146">
              <a:extLst>
                <a:ext uri="{FF2B5EF4-FFF2-40B4-BE49-F238E27FC236}">
                  <a16:creationId xmlns:a16="http://schemas.microsoft.com/office/drawing/2014/main" id="{00000000-0008-0000-2D00-0000B3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6" name="Line 147">
              <a:extLst>
                <a:ext uri="{FF2B5EF4-FFF2-40B4-BE49-F238E27FC236}">
                  <a16:creationId xmlns:a16="http://schemas.microsoft.com/office/drawing/2014/main" id="{00000000-0008-0000-2D00-0000B4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7" name="Line 148">
              <a:extLst>
                <a:ext uri="{FF2B5EF4-FFF2-40B4-BE49-F238E27FC236}">
                  <a16:creationId xmlns:a16="http://schemas.microsoft.com/office/drawing/2014/main" id="{00000000-0008-0000-2D00-0000B5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8" name="Line 149">
              <a:extLst>
                <a:ext uri="{FF2B5EF4-FFF2-40B4-BE49-F238E27FC236}">
                  <a16:creationId xmlns:a16="http://schemas.microsoft.com/office/drawing/2014/main" id="{00000000-0008-0000-2D00-0000B6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9" name="Line 150">
              <a:extLst>
                <a:ext uri="{FF2B5EF4-FFF2-40B4-BE49-F238E27FC236}">
                  <a16:creationId xmlns:a16="http://schemas.microsoft.com/office/drawing/2014/main" id="{00000000-0008-0000-2D00-0000B7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0" name="Line 151">
              <a:extLst>
                <a:ext uri="{FF2B5EF4-FFF2-40B4-BE49-F238E27FC236}">
                  <a16:creationId xmlns:a16="http://schemas.microsoft.com/office/drawing/2014/main" id="{00000000-0008-0000-2D00-0000B8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1" name="Line 152">
              <a:extLst>
                <a:ext uri="{FF2B5EF4-FFF2-40B4-BE49-F238E27FC236}">
                  <a16:creationId xmlns:a16="http://schemas.microsoft.com/office/drawing/2014/main" id="{00000000-0008-0000-2D00-0000B9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2" name="Line 153">
              <a:extLst>
                <a:ext uri="{FF2B5EF4-FFF2-40B4-BE49-F238E27FC236}">
                  <a16:creationId xmlns:a16="http://schemas.microsoft.com/office/drawing/2014/main" id="{00000000-0008-0000-2D00-0000BA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3" name="Line 154">
              <a:extLst>
                <a:ext uri="{FF2B5EF4-FFF2-40B4-BE49-F238E27FC236}">
                  <a16:creationId xmlns:a16="http://schemas.microsoft.com/office/drawing/2014/main" id="{00000000-0008-0000-2D00-0000BB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4" name="Line 155">
              <a:extLst>
                <a:ext uri="{FF2B5EF4-FFF2-40B4-BE49-F238E27FC236}">
                  <a16:creationId xmlns:a16="http://schemas.microsoft.com/office/drawing/2014/main" id="{00000000-0008-0000-2D00-0000BC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5" name="Line 156">
              <a:extLst>
                <a:ext uri="{FF2B5EF4-FFF2-40B4-BE49-F238E27FC236}">
                  <a16:creationId xmlns:a16="http://schemas.microsoft.com/office/drawing/2014/main" id="{00000000-0008-0000-2D00-0000BD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6" name="Line 157">
              <a:extLst>
                <a:ext uri="{FF2B5EF4-FFF2-40B4-BE49-F238E27FC236}">
                  <a16:creationId xmlns:a16="http://schemas.microsoft.com/office/drawing/2014/main" id="{00000000-0008-0000-2D00-0000BE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7" name="Line 158">
              <a:extLst>
                <a:ext uri="{FF2B5EF4-FFF2-40B4-BE49-F238E27FC236}">
                  <a16:creationId xmlns:a16="http://schemas.microsoft.com/office/drawing/2014/main" id="{00000000-0008-0000-2D00-0000BF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8" name="Line 159">
              <a:extLst>
                <a:ext uri="{FF2B5EF4-FFF2-40B4-BE49-F238E27FC236}">
                  <a16:creationId xmlns:a16="http://schemas.microsoft.com/office/drawing/2014/main" id="{00000000-0008-0000-2D00-0000C0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9" name="Line 160">
              <a:extLst>
                <a:ext uri="{FF2B5EF4-FFF2-40B4-BE49-F238E27FC236}">
                  <a16:creationId xmlns:a16="http://schemas.microsoft.com/office/drawing/2014/main" id="{00000000-0008-0000-2D00-0000C1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0" name="Line 161">
              <a:extLst>
                <a:ext uri="{FF2B5EF4-FFF2-40B4-BE49-F238E27FC236}">
                  <a16:creationId xmlns:a16="http://schemas.microsoft.com/office/drawing/2014/main" id="{00000000-0008-0000-2D00-0000C2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1" name="Line 162">
              <a:extLst>
                <a:ext uri="{FF2B5EF4-FFF2-40B4-BE49-F238E27FC236}">
                  <a16:creationId xmlns:a16="http://schemas.microsoft.com/office/drawing/2014/main" id="{00000000-0008-0000-2D00-0000C3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2" name="Line 163">
              <a:extLst>
                <a:ext uri="{FF2B5EF4-FFF2-40B4-BE49-F238E27FC236}">
                  <a16:creationId xmlns:a16="http://schemas.microsoft.com/office/drawing/2014/main" id="{00000000-0008-0000-2D00-0000C4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3" name="Line 164">
              <a:extLst>
                <a:ext uri="{FF2B5EF4-FFF2-40B4-BE49-F238E27FC236}">
                  <a16:creationId xmlns:a16="http://schemas.microsoft.com/office/drawing/2014/main" id="{00000000-0008-0000-2D00-0000C5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4" name="Line 165">
              <a:extLst>
                <a:ext uri="{FF2B5EF4-FFF2-40B4-BE49-F238E27FC236}">
                  <a16:creationId xmlns:a16="http://schemas.microsoft.com/office/drawing/2014/main" id="{00000000-0008-0000-2D00-0000C6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5" name="Line 166">
              <a:extLst>
                <a:ext uri="{FF2B5EF4-FFF2-40B4-BE49-F238E27FC236}">
                  <a16:creationId xmlns:a16="http://schemas.microsoft.com/office/drawing/2014/main" id="{00000000-0008-0000-2D00-0000C7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6" name="Line 167">
              <a:extLst>
                <a:ext uri="{FF2B5EF4-FFF2-40B4-BE49-F238E27FC236}">
                  <a16:creationId xmlns:a16="http://schemas.microsoft.com/office/drawing/2014/main" id="{00000000-0008-0000-2D00-0000C8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7" name="Line 168">
              <a:extLst>
                <a:ext uri="{FF2B5EF4-FFF2-40B4-BE49-F238E27FC236}">
                  <a16:creationId xmlns:a16="http://schemas.microsoft.com/office/drawing/2014/main" id="{00000000-0008-0000-2D00-0000C9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8" name="Line 169">
              <a:extLst>
                <a:ext uri="{FF2B5EF4-FFF2-40B4-BE49-F238E27FC236}">
                  <a16:creationId xmlns:a16="http://schemas.microsoft.com/office/drawing/2014/main" id="{00000000-0008-0000-2D00-0000CA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9" name="Line 170">
              <a:extLst>
                <a:ext uri="{FF2B5EF4-FFF2-40B4-BE49-F238E27FC236}">
                  <a16:creationId xmlns:a16="http://schemas.microsoft.com/office/drawing/2014/main" id="{00000000-0008-0000-2D00-0000CB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0" name="Line 171">
              <a:extLst>
                <a:ext uri="{FF2B5EF4-FFF2-40B4-BE49-F238E27FC236}">
                  <a16:creationId xmlns:a16="http://schemas.microsoft.com/office/drawing/2014/main" id="{00000000-0008-0000-2D00-0000CC01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33" y="202"/>
              <a:ext cx="95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1" name="Freeform 172">
              <a:extLst>
                <a:ext uri="{FF2B5EF4-FFF2-40B4-BE49-F238E27FC236}">
                  <a16:creationId xmlns:a16="http://schemas.microsoft.com/office/drawing/2014/main" id="{00000000-0008-0000-2D00-0000CD010000}"/>
                </a:ext>
              </a:extLst>
            </xdr:cNvPr>
            <xdr:cNvSpPr>
              <a:spLocks/>
            </xdr:cNvSpPr>
          </xdr:nvSpPr>
          <xdr:spPr bwMode="auto">
            <a:xfrm>
              <a:off x="821" y="188"/>
              <a:ext cx="6" cy="9"/>
            </a:xfrm>
            <a:custGeom>
              <a:avLst/>
              <a:gdLst>
                <a:gd name="T0" fmla="*/ 0 w 351"/>
                <a:gd name="T1" fmla="*/ 526 h 526"/>
                <a:gd name="T2" fmla="*/ 0 w 351"/>
                <a:gd name="T3" fmla="*/ 351 h 526"/>
                <a:gd name="T4" fmla="*/ 176 w 351"/>
                <a:gd name="T5" fmla="*/ 0 h 526"/>
                <a:gd name="T6" fmla="*/ 351 w 351"/>
                <a:gd name="T7" fmla="*/ 351 h 526"/>
                <a:gd name="T8" fmla="*/ 351 w 351"/>
                <a:gd name="T9" fmla="*/ 526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526">
                  <a:moveTo>
                    <a:pt x="0" y="526"/>
                  </a:moveTo>
                  <a:lnTo>
                    <a:pt x="0" y="351"/>
                  </a:lnTo>
                  <a:lnTo>
                    <a:pt x="176" y="0"/>
                  </a:lnTo>
                  <a:lnTo>
                    <a:pt x="351" y="351"/>
                  </a:lnTo>
                  <a:lnTo>
                    <a:pt x="351" y="526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62" name="Line 173">
              <a:extLst>
                <a:ext uri="{FF2B5EF4-FFF2-40B4-BE49-F238E27FC236}">
                  <a16:creationId xmlns:a16="http://schemas.microsoft.com/office/drawing/2014/main" id="{00000000-0008-0000-2D00-0000CE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1" y="194"/>
              <a:ext cx="6" cy="0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3" name="Freeform 174">
              <a:extLst>
                <a:ext uri="{FF2B5EF4-FFF2-40B4-BE49-F238E27FC236}">
                  <a16:creationId xmlns:a16="http://schemas.microsoft.com/office/drawing/2014/main" id="{00000000-0008-0000-2D00-0000CF010000}"/>
                </a:ext>
              </a:extLst>
            </xdr:cNvPr>
            <xdr:cNvSpPr>
              <a:spLocks/>
            </xdr:cNvSpPr>
          </xdr:nvSpPr>
          <xdr:spPr bwMode="auto">
            <a:xfrm>
              <a:off x="833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4" name="Freeform 175">
              <a:extLst>
                <a:ext uri="{FF2B5EF4-FFF2-40B4-BE49-F238E27FC236}">
                  <a16:creationId xmlns:a16="http://schemas.microsoft.com/office/drawing/2014/main" id="{00000000-0008-0000-2D00-0000D0010000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5" name="Freeform 176">
              <a:extLst>
                <a:ext uri="{FF2B5EF4-FFF2-40B4-BE49-F238E27FC236}">
                  <a16:creationId xmlns:a16="http://schemas.microsoft.com/office/drawing/2014/main" id="{00000000-0008-0000-2D00-0000D1010000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1" cy="2"/>
            </a:xfrm>
            <a:custGeom>
              <a:avLst/>
              <a:gdLst>
                <a:gd name="T0" fmla="*/ 53 w 53"/>
                <a:gd name="T1" fmla="*/ 14 h 106"/>
                <a:gd name="T2" fmla="*/ 0 w 53"/>
                <a:gd name="T3" fmla="*/ 0 h 106"/>
                <a:gd name="T4" fmla="*/ 0 w 53"/>
                <a:gd name="T5" fmla="*/ 106 h 106"/>
                <a:gd name="T6" fmla="*/ 53 w 53"/>
                <a:gd name="T7" fmla="*/ 14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14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53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6" name="Freeform 177">
              <a:extLst>
                <a:ext uri="{FF2B5EF4-FFF2-40B4-BE49-F238E27FC236}">
                  <a16:creationId xmlns:a16="http://schemas.microsoft.com/office/drawing/2014/main" id="{00000000-0008-0000-2D00-0000D2010000}"/>
                </a:ext>
              </a:extLst>
            </xdr:cNvPr>
            <xdr:cNvSpPr>
              <a:spLocks/>
            </xdr:cNvSpPr>
          </xdr:nvSpPr>
          <xdr:spPr bwMode="auto">
            <a:xfrm>
              <a:off x="832" y="200"/>
              <a:ext cx="1" cy="2"/>
            </a:xfrm>
            <a:custGeom>
              <a:avLst/>
              <a:gdLst>
                <a:gd name="T0" fmla="*/ 53 w 53"/>
                <a:gd name="T1" fmla="*/ 0 h 106"/>
                <a:gd name="T2" fmla="*/ 0 w 53"/>
                <a:gd name="T3" fmla="*/ 14 h 106"/>
                <a:gd name="T4" fmla="*/ 53 w 53"/>
                <a:gd name="T5" fmla="*/ 106 h 106"/>
                <a:gd name="T6" fmla="*/ 53 w 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0"/>
                  </a:moveTo>
                  <a:lnTo>
                    <a:pt x="0" y="14"/>
                  </a:lnTo>
                  <a:lnTo>
                    <a:pt x="53" y="106"/>
                  </a:lnTo>
                  <a:lnTo>
                    <a:pt x="5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7" name="Freeform 178">
              <a:extLst>
                <a:ext uri="{FF2B5EF4-FFF2-40B4-BE49-F238E27FC236}">
                  <a16:creationId xmlns:a16="http://schemas.microsoft.com/office/drawing/2014/main" id="{00000000-0008-0000-2D00-0000D3010000}"/>
                </a:ext>
              </a:extLst>
            </xdr:cNvPr>
            <xdr:cNvSpPr>
              <a:spLocks/>
            </xdr:cNvSpPr>
          </xdr:nvSpPr>
          <xdr:spPr bwMode="auto">
            <a:xfrm>
              <a:off x="831" y="200"/>
              <a:ext cx="2" cy="2"/>
            </a:xfrm>
            <a:custGeom>
              <a:avLst/>
              <a:gdLst>
                <a:gd name="T0" fmla="*/ 38 w 91"/>
                <a:gd name="T1" fmla="*/ 0 h 92"/>
                <a:gd name="T2" fmla="*/ 0 w 91"/>
                <a:gd name="T3" fmla="*/ 39 h 92"/>
                <a:gd name="T4" fmla="*/ 91 w 91"/>
                <a:gd name="T5" fmla="*/ 92 h 92"/>
                <a:gd name="T6" fmla="*/ 38 w 91"/>
                <a:gd name="T7" fmla="*/ 0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38" y="0"/>
                  </a:moveTo>
                  <a:lnTo>
                    <a:pt x="0" y="39"/>
                  </a:lnTo>
                  <a:lnTo>
                    <a:pt x="91" y="92"/>
                  </a:lnTo>
                  <a:lnTo>
                    <a:pt x="3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8" name="Freeform 179">
              <a:extLst>
                <a:ext uri="{FF2B5EF4-FFF2-40B4-BE49-F238E27FC236}">
                  <a16:creationId xmlns:a16="http://schemas.microsoft.com/office/drawing/2014/main" id="{00000000-0008-0000-2D00-0000D4010000}"/>
                </a:ext>
              </a:extLst>
            </xdr:cNvPr>
            <xdr:cNvSpPr>
              <a:spLocks/>
            </xdr:cNvSpPr>
          </xdr:nvSpPr>
          <xdr:spPr bwMode="auto">
            <a:xfrm>
              <a:off x="831" y="201"/>
              <a:ext cx="2" cy="1"/>
            </a:xfrm>
            <a:custGeom>
              <a:avLst/>
              <a:gdLst>
                <a:gd name="T0" fmla="*/ 14 w 105"/>
                <a:gd name="T1" fmla="*/ 0 h 53"/>
                <a:gd name="T2" fmla="*/ 0 w 105"/>
                <a:gd name="T3" fmla="*/ 53 h 53"/>
                <a:gd name="T4" fmla="*/ 105 w 105"/>
                <a:gd name="T5" fmla="*/ 53 h 53"/>
                <a:gd name="T6" fmla="*/ 14 w 105"/>
                <a:gd name="T7" fmla="*/ 0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4" y="0"/>
                  </a:moveTo>
                  <a:lnTo>
                    <a:pt x="0" y="53"/>
                  </a:lnTo>
                  <a:lnTo>
                    <a:pt x="105" y="53"/>
                  </a:lnTo>
                  <a:lnTo>
                    <a:pt x="1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9" name="Freeform 180">
              <a:extLst>
                <a:ext uri="{FF2B5EF4-FFF2-40B4-BE49-F238E27FC236}">
                  <a16:creationId xmlns:a16="http://schemas.microsoft.com/office/drawing/2014/main" id="{00000000-0008-0000-2D00-0000D5010000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105"/>
                <a:gd name="T1" fmla="*/ 0 h 52"/>
                <a:gd name="T2" fmla="*/ 14 w 105"/>
                <a:gd name="T3" fmla="*/ 52 h 52"/>
                <a:gd name="T4" fmla="*/ 105 w 105"/>
                <a:gd name="T5" fmla="*/ 0 h 52"/>
                <a:gd name="T6" fmla="*/ 0 w 105"/>
                <a:gd name="T7" fmla="*/ 0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0" y="0"/>
                  </a:moveTo>
                  <a:lnTo>
                    <a:pt x="14" y="52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0" name="Freeform 181">
              <a:extLst>
                <a:ext uri="{FF2B5EF4-FFF2-40B4-BE49-F238E27FC236}">
                  <a16:creationId xmlns:a16="http://schemas.microsoft.com/office/drawing/2014/main" id="{00000000-0008-0000-2D00-0000D6010000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91"/>
                <a:gd name="T1" fmla="*/ 52 h 91"/>
                <a:gd name="T2" fmla="*/ 38 w 91"/>
                <a:gd name="T3" fmla="*/ 91 h 91"/>
                <a:gd name="T4" fmla="*/ 91 w 91"/>
                <a:gd name="T5" fmla="*/ 0 h 91"/>
                <a:gd name="T6" fmla="*/ 0 w 91"/>
                <a:gd name="T7" fmla="*/ 52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0" y="52"/>
                  </a:moveTo>
                  <a:lnTo>
                    <a:pt x="38" y="91"/>
                  </a:lnTo>
                  <a:lnTo>
                    <a:pt x="91" y="0"/>
                  </a:lnTo>
                  <a:lnTo>
                    <a:pt x="0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1" name="Freeform 182">
              <a:extLst>
                <a:ext uri="{FF2B5EF4-FFF2-40B4-BE49-F238E27FC236}">
                  <a16:creationId xmlns:a16="http://schemas.microsoft.com/office/drawing/2014/main" id="{00000000-0008-0000-2D00-0000D7010000}"/>
                </a:ext>
              </a:extLst>
            </xdr:cNvPr>
            <xdr:cNvSpPr>
              <a:spLocks/>
            </xdr:cNvSpPr>
          </xdr:nvSpPr>
          <xdr:spPr bwMode="auto">
            <a:xfrm>
              <a:off x="832" y="202"/>
              <a:ext cx="1" cy="2"/>
            </a:xfrm>
            <a:custGeom>
              <a:avLst/>
              <a:gdLst>
                <a:gd name="T0" fmla="*/ 0 w 53"/>
                <a:gd name="T1" fmla="*/ 91 h 105"/>
                <a:gd name="T2" fmla="*/ 53 w 53"/>
                <a:gd name="T3" fmla="*/ 105 h 105"/>
                <a:gd name="T4" fmla="*/ 53 w 53"/>
                <a:gd name="T5" fmla="*/ 0 h 105"/>
                <a:gd name="T6" fmla="*/ 0 w 53"/>
                <a:gd name="T7" fmla="*/ 9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91"/>
                  </a:moveTo>
                  <a:lnTo>
                    <a:pt x="53" y="105"/>
                  </a:lnTo>
                  <a:lnTo>
                    <a:pt x="53" y="0"/>
                  </a:lnTo>
                  <a:lnTo>
                    <a:pt x="0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2" name="Freeform 183">
              <a:extLst>
                <a:ext uri="{FF2B5EF4-FFF2-40B4-BE49-F238E27FC236}">
                  <a16:creationId xmlns:a16="http://schemas.microsoft.com/office/drawing/2014/main" id="{00000000-0008-0000-2D00-0000D8010000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1" cy="2"/>
            </a:xfrm>
            <a:custGeom>
              <a:avLst/>
              <a:gdLst>
                <a:gd name="T0" fmla="*/ 0 w 53"/>
                <a:gd name="T1" fmla="*/ 105 h 105"/>
                <a:gd name="T2" fmla="*/ 53 w 53"/>
                <a:gd name="T3" fmla="*/ 91 h 105"/>
                <a:gd name="T4" fmla="*/ 0 w 53"/>
                <a:gd name="T5" fmla="*/ 0 h 105"/>
                <a:gd name="T6" fmla="*/ 0 w 53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105"/>
                  </a:moveTo>
                  <a:lnTo>
                    <a:pt x="53" y="91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3" name="Freeform 184">
              <a:extLst>
                <a:ext uri="{FF2B5EF4-FFF2-40B4-BE49-F238E27FC236}">
                  <a16:creationId xmlns:a16="http://schemas.microsoft.com/office/drawing/2014/main" id="{00000000-0008-0000-2D00-0000D9010000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53 w 91"/>
                <a:gd name="T1" fmla="*/ 91 h 91"/>
                <a:gd name="T2" fmla="*/ 91 w 91"/>
                <a:gd name="T3" fmla="*/ 52 h 91"/>
                <a:gd name="T4" fmla="*/ 0 w 91"/>
                <a:gd name="T5" fmla="*/ 0 h 91"/>
                <a:gd name="T6" fmla="*/ 53 w 91"/>
                <a:gd name="T7" fmla="*/ 91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53" y="91"/>
                  </a:moveTo>
                  <a:lnTo>
                    <a:pt x="91" y="52"/>
                  </a:lnTo>
                  <a:lnTo>
                    <a:pt x="0" y="0"/>
                  </a:lnTo>
                  <a:lnTo>
                    <a:pt x="53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4" name="Freeform 185">
              <a:extLst>
                <a:ext uri="{FF2B5EF4-FFF2-40B4-BE49-F238E27FC236}">
                  <a16:creationId xmlns:a16="http://schemas.microsoft.com/office/drawing/2014/main" id="{00000000-0008-0000-2D00-0000DA010000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91 w 105"/>
                <a:gd name="T1" fmla="*/ 52 h 52"/>
                <a:gd name="T2" fmla="*/ 105 w 105"/>
                <a:gd name="T3" fmla="*/ 0 h 52"/>
                <a:gd name="T4" fmla="*/ 0 w 105"/>
                <a:gd name="T5" fmla="*/ 0 h 52"/>
                <a:gd name="T6" fmla="*/ 91 w 105"/>
                <a:gd name="T7" fmla="*/ 52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91" y="52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91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5" name="Freeform 186">
              <a:extLst>
                <a:ext uri="{FF2B5EF4-FFF2-40B4-BE49-F238E27FC236}">
                  <a16:creationId xmlns:a16="http://schemas.microsoft.com/office/drawing/2014/main" id="{00000000-0008-0000-2D00-0000DB010000}"/>
                </a:ext>
              </a:extLst>
            </xdr:cNvPr>
            <xdr:cNvSpPr>
              <a:spLocks/>
            </xdr:cNvSpPr>
          </xdr:nvSpPr>
          <xdr:spPr bwMode="auto">
            <a:xfrm>
              <a:off x="916" y="192"/>
              <a:ext cx="6" cy="5"/>
            </a:xfrm>
            <a:custGeom>
              <a:avLst/>
              <a:gdLst>
                <a:gd name="T0" fmla="*/ 0 w 351"/>
                <a:gd name="T1" fmla="*/ 263 h 263"/>
                <a:gd name="T2" fmla="*/ 263 w 351"/>
                <a:gd name="T3" fmla="*/ 263 h 263"/>
                <a:gd name="T4" fmla="*/ 351 w 351"/>
                <a:gd name="T5" fmla="*/ 176 h 263"/>
                <a:gd name="T6" fmla="*/ 351 w 351"/>
                <a:gd name="T7" fmla="*/ 88 h 263"/>
                <a:gd name="T8" fmla="*/ 263 w 351"/>
                <a:gd name="T9" fmla="*/ 0 h 263"/>
                <a:gd name="T10" fmla="*/ 88 w 351"/>
                <a:gd name="T11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263">
                  <a:moveTo>
                    <a:pt x="0" y="263"/>
                  </a:moveTo>
                  <a:lnTo>
                    <a:pt x="263" y="263"/>
                  </a:lnTo>
                  <a:lnTo>
                    <a:pt x="351" y="176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88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6" name="Freeform 187">
              <a:extLst>
                <a:ext uri="{FF2B5EF4-FFF2-40B4-BE49-F238E27FC236}">
                  <a16:creationId xmlns:a16="http://schemas.microsoft.com/office/drawing/2014/main" id="{00000000-0008-0000-2D00-0000DC010000}"/>
                </a:ext>
              </a:extLst>
            </xdr:cNvPr>
            <xdr:cNvSpPr>
              <a:spLocks/>
            </xdr:cNvSpPr>
          </xdr:nvSpPr>
          <xdr:spPr bwMode="auto">
            <a:xfrm>
              <a:off x="916" y="188"/>
              <a:ext cx="6" cy="4"/>
            </a:xfrm>
            <a:custGeom>
              <a:avLst/>
              <a:gdLst>
                <a:gd name="T0" fmla="*/ 263 w 351"/>
                <a:gd name="T1" fmla="*/ 263 h 263"/>
                <a:gd name="T2" fmla="*/ 351 w 351"/>
                <a:gd name="T3" fmla="*/ 175 h 263"/>
                <a:gd name="T4" fmla="*/ 351 w 351"/>
                <a:gd name="T5" fmla="*/ 88 h 263"/>
                <a:gd name="T6" fmla="*/ 263 w 351"/>
                <a:gd name="T7" fmla="*/ 0 h 263"/>
                <a:gd name="T8" fmla="*/ 0 w 351"/>
                <a:gd name="T9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263">
                  <a:moveTo>
                    <a:pt x="263" y="263"/>
                  </a:moveTo>
                  <a:lnTo>
                    <a:pt x="351" y="175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7" name="Line 188">
              <a:extLst>
                <a:ext uri="{FF2B5EF4-FFF2-40B4-BE49-F238E27FC236}">
                  <a16:creationId xmlns:a16="http://schemas.microsoft.com/office/drawing/2014/main" id="{00000000-0008-0000-2D00-0000DD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18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8" name="Freeform 189">
              <a:extLst>
                <a:ext uri="{FF2B5EF4-FFF2-40B4-BE49-F238E27FC236}">
                  <a16:creationId xmlns:a16="http://schemas.microsoft.com/office/drawing/2014/main" id="{00000000-0008-0000-2D00-0000DE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7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7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9" name="Freeform 190">
              <a:extLst>
                <a:ext uri="{FF2B5EF4-FFF2-40B4-BE49-F238E27FC236}">
                  <a16:creationId xmlns:a16="http://schemas.microsoft.com/office/drawing/2014/main" id="{00000000-0008-0000-2D00-0000DF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8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8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8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0" name="Freeform 191">
              <a:extLst>
                <a:ext uri="{FF2B5EF4-FFF2-40B4-BE49-F238E27FC236}">
                  <a16:creationId xmlns:a16="http://schemas.microsoft.com/office/drawing/2014/main" id="{00000000-0008-0000-2D00-0000E0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4 w 104"/>
                <a:gd name="T1" fmla="*/ 7 h 22"/>
                <a:gd name="T2" fmla="*/ 103 w 104"/>
                <a:gd name="T3" fmla="*/ 0 h 22"/>
                <a:gd name="T4" fmla="*/ 0 w 104"/>
                <a:gd name="T5" fmla="*/ 22 h 22"/>
                <a:gd name="T6" fmla="*/ 104 w 104"/>
                <a:gd name="T7" fmla="*/ 7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4" y="7"/>
                  </a:moveTo>
                  <a:lnTo>
                    <a:pt x="103" y="0"/>
                  </a:lnTo>
                  <a:lnTo>
                    <a:pt x="0" y="22"/>
                  </a:lnTo>
                  <a:lnTo>
                    <a:pt x="104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1" name="Freeform 192">
              <a:extLst>
                <a:ext uri="{FF2B5EF4-FFF2-40B4-BE49-F238E27FC236}">
                  <a16:creationId xmlns:a16="http://schemas.microsoft.com/office/drawing/2014/main" id="{00000000-0008-0000-2D00-0000E1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3 w 103"/>
                <a:gd name="T1" fmla="*/ 7 h 29"/>
                <a:gd name="T2" fmla="*/ 102 w 103"/>
                <a:gd name="T3" fmla="*/ 0 h 29"/>
                <a:gd name="T4" fmla="*/ 0 w 103"/>
                <a:gd name="T5" fmla="*/ 29 h 29"/>
                <a:gd name="T6" fmla="*/ 103 w 103"/>
                <a:gd name="T7" fmla="*/ 7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3" y="7"/>
                  </a:moveTo>
                  <a:lnTo>
                    <a:pt x="102" y="0"/>
                  </a:lnTo>
                  <a:lnTo>
                    <a:pt x="0" y="29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2" name="Freeform 193">
              <a:extLst>
                <a:ext uri="{FF2B5EF4-FFF2-40B4-BE49-F238E27FC236}">
                  <a16:creationId xmlns:a16="http://schemas.microsoft.com/office/drawing/2014/main" id="{00000000-0008-0000-2D00-0000E2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2 w 102"/>
                <a:gd name="T1" fmla="*/ 7 h 36"/>
                <a:gd name="T2" fmla="*/ 99 w 102"/>
                <a:gd name="T3" fmla="*/ 0 h 36"/>
                <a:gd name="T4" fmla="*/ 0 w 102"/>
                <a:gd name="T5" fmla="*/ 36 h 36"/>
                <a:gd name="T6" fmla="*/ 102 w 102"/>
                <a:gd name="T7" fmla="*/ 7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6">
                  <a:moveTo>
                    <a:pt x="102" y="7"/>
                  </a:moveTo>
                  <a:lnTo>
                    <a:pt x="99" y="0"/>
                  </a:lnTo>
                  <a:lnTo>
                    <a:pt x="0" y="36"/>
                  </a:lnTo>
                  <a:lnTo>
                    <a:pt x="102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3" name="Freeform 194">
              <a:extLst>
                <a:ext uri="{FF2B5EF4-FFF2-40B4-BE49-F238E27FC236}">
                  <a16:creationId xmlns:a16="http://schemas.microsoft.com/office/drawing/2014/main" id="{00000000-0008-0000-2D00-0000E3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9 w 99"/>
                <a:gd name="T1" fmla="*/ 6 h 42"/>
                <a:gd name="T2" fmla="*/ 97 w 99"/>
                <a:gd name="T3" fmla="*/ 0 h 42"/>
                <a:gd name="T4" fmla="*/ 0 w 99"/>
                <a:gd name="T5" fmla="*/ 42 h 42"/>
                <a:gd name="T6" fmla="*/ 99 w 99"/>
                <a:gd name="T7" fmla="*/ 6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9" y="6"/>
                  </a:moveTo>
                  <a:lnTo>
                    <a:pt x="97" y="0"/>
                  </a:lnTo>
                  <a:lnTo>
                    <a:pt x="0" y="42"/>
                  </a:lnTo>
                  <a:lnTo>
                    <a:pt x="9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4" name="Freeform 195">
              <a:extLst>
                <a:ext uri="{FF2B5EF4-FFF2-40B4-BE49-F238E27FC236}">
                  <a16:creationId xmlns:a16="http://schemas.microsoft.com/office/drawing/2014/main" id="{00000000-0008-0000-2D00-0000E4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7 w 97"/>
                <a:gd name="T1" fmla="*/ 7 h 49"/>
                <a:gd name="T2" fmla="*/ 94 w 97"/>
                <a:gd name="T3" fmla="*/ 0 h 49"/>
                <a:gd name="T4" fmla="*/ 0 w 97"/>
                <a:gd name="T5" fmla="*/ 49 h 49"/>
                <a:gd name="T6" fmla="*/ 97 w 97"/>
                <a:gd name="T7" fmla="*/ 7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9">
                  <a:moveTo>
                    <a:pt x="97" y="7"/>
                  </a:moveTo>
                  <a:lnTo>
                    <a:pt x="94" y="0"/>
                  </a:lnTo>
                  <a:lnTo>
                    <a:pt x="0" y="49"/>
                  </a:lnTo>
                  <a:lnTo>
                    <a:pt x="97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5" name="Freeform 196">
              <a:extLst>
                <a:ext uri="{FF2B5EF4-FFF2-40B4-BE49-F238E27FC236}">
                  <a16:creationId xmlns:a16="http://schemas.microsoft.com/office/drawing/2014/main" id="{00000000-0008-0000-2D00-0000E5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4 w 94"/>
                <a:gd name="T1" fmla="*/ 6 h 55"/>
                <a:gd name="T2" fmla="*/ 90 w 94"/>
                <a:gd name="T3" fmla="*/ 0 h 55"/>
                <a:gd name="T4" fmla="*/ 0 w 94"/>
                <a:gd name="T5" fmla="*/ 55 h 55"/>
                <a:gd name="T6" fmla="*/ 94 w 94"/>
                <a:gd name="T7" fmla="*/ 6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5">
                  <a:moveTo>
                    <a:pt x="94" y="6"/>
                  </a:moveTo>
                  <a:lnTo>
                    <a:pt x="90" y="0"/>
                  </a:lnTo>
                  <a:lnTo>
                    <a:pt x="0" y="55"/>
                  </a:lnTo>
                  <a:lnTo>
                    <a:pt x="9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6" name="Freeform 197">
              <a:extLst>
                <a:ext uri="{FF2B5EF4-FFF2-40B4-BE49-F238E27FC236}">
                  <a16:creationId xmlns:a16="http://schemas.microsoft.com/office/drawing/2014/main" id="{00000000-0008-0000-2D00-0000E6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0 w 90"/>
                <a:gd name="T1" fmla="*/ 6 h 61"/>
                <a:gd name="T2" fmla="*/ 86 w 90"/>
                <a:gd name="T3" fmla="*/ 0 h 61"/>
                <a:gd name="T4" fmla="*/ 0 w 90"/>
                <a:gd name="T5" fmla="*/ 61 h 61"/>
                <a:gd name="T6" fmla="*/ 90 w 90"/>
                <a:gd name="T7" fmla="*/ 6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90" y="6"/>
                  </a:moveTo>
                  <a:lnTo>
                    <a:pt x="86" y="0"/>
                  </a:lnTo>
                  <a:lnTo>
                    <a:pt x="0" y="61"/>
                  </a:lnTo>
                  <a:lnTo>
                    <a:pt x="90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7" name="Freeform 198">
              <a:extLst>
                <a:ext uri="{FF2B5EF4-FFF2-40B4-BE49-F238E27FC236}">
                  <a16:creationId xmlns:a16="http://schemas.microsoft.com/office/drawing/2014/main" id="{00000000-0008-0000-2D00-0000E7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6 w 86"/>
                <a:gd name="T1" fmla="*/ 6 h 67"/>
                <a:gd name="T2" fmla="*/ 82 w 86"/>
                <a:gd name="T3" fmla="*/ 0 h 67"/>
                <a:gd name="T4" fmla="*/ 0 w 86"/>
                <a:gd name="T5" fmla="*/ 67 h 67"/>
                <a:gd name="T6" fmla="*/ 86 w 86"/>
                <a:gd name="T7" fmla="*/ 6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86" y="6"/>
                  </a:moveTo>
                  <a:lnTo>
                    <a:pt x="82" y="0"/>
                  </a:lnTo>
                  <a:lnTo>
                    <a:pt x="0" y="67"/>
                  </a:lnTo>
                  <a:lnTo>
                    <a:pt x="86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8" name="Freeform 199">
              <a:extLst>
                <a:ext uri="{FF2B5EF4-FFF2-40B4-BE49-F238E27FC236}">
                  <a16:creationId xmlns:a16="http://schemas.microsoft.com/office/drawing/2014/main" id="{00000000-0008-0000-2D00-0000E8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2 w 82"/>
                <a:gd name="T1" fmla="*/ 5 h 72"/>
                <a:gd name="T2" fmla="*/ 77 w 82"/>
                <a:gd name="T3" fmla="*/ 0 h 72"/>
                <a:gd name="T4" fmla="*/ 0 w 82"/>
                <a:gd name="T5" fmla="*/ 72 h 72"/>
                <a:gd name="T6" fmla="*/ 82 w 82"/>
                <a:gd name="T7" fmla="*/ 5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82" y="5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9" name="Freeform 200">
              <a:extLst>
                <a:ext uri="{FF2B5EF4-FFF2-40B4-BE49-F238E27FC236}">
                  <a16:creationId xmlns:a16="http://schemas.microsoft.com/office/drawing/2014/main" id="{00000000-0008-0000-2D00-0000E9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77 w 77"/>
                <a:gd name="T1" fmla="*/ 5 h 77"/>
                <a:gd name="T2" fmla="*/ 72 w 77"/>
                <a:gd name="T3" fmla="*/ 0 h 77"/>
                <a:gd name="T4" fmla="*/ 0 w 77"/>
                <a:gd name="T5" fmla="*/ 77 h 77"/>
                <a:gd name="T6" fmla="*/ 77 w 77"/>
                <a:gd name="T7" fmla="*/ 5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7" y="5"/>
                  </a:moveTo>
                  <a:lnTo>
                    <a:pt x="72" y="0"/>
                  </a:lnTo>
                  <a:lnTo>
                    <a:pt x="0" y="77"/>
                  </a:lnTo>
                  <a:lnTo>
                    <a:pt x="77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0" name="Freeform 201">
              <a:extLst>
                <a:ext uri="{FF2B5EF4-FFF2-40B4-BE49-F238E27FC236}">
                  <a16:creationId xmlns:a16="http://schemas.microsoft.com/office/drawing/2014/main" id="{00000000-0008-0000-2D00-0000EA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72 w 72"/>
                <a:gd name="T1" fmla="*/ 5 h 82"/>
                <a:gd name="T2" fmla="*/ 67 w 72"/>
                <a:gd name="T3" fmla="*/ 0 h 82"/>
                <a:gd name="T4" fmla="*/ 0 w 72"/>
                <a:gd name="T5" fmla="*/ 82 h 82"/>
                <a:gd name="T6" fmla="*/ 72 w 72"/>
                <a:gd name="T7" fmla="*/ 5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72" y="5"/>
                  </a:moveTo>
                  <a:lnTo>
                    <a:pt x="67" y="0"/>
                  </a:lnTo>
                  <a:lnTo>
                    <a:pt x="0" y="82"/>
                  </a:lnTo>
                  <a:lnTo>
                    <a:pt x="7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1" name="Freeform 202">
              <a:extLst>
                <a:ext uri="{FF2B5EF4-FFF2-40B4-BE49-F238E27FC236}">
                  <a16:creationId xmlns:a16="http://schemas.microsoft.com/office/drawing/2014/main" id="{00000000-0008-0000-2D00-0000EB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7 w 67"/>
                <a:gd name="T1" fmla="*/ 4 h 86"/>
                <a:gd name="T2" fmla="*/ 61 w 67"/>
                <a:gd name="T3" fmla="*/ 0 h 86"/>
                <a:gd name="T4" fmla="*/ 0 w 67"/>
                <a:gd name="T5" fmla="*/ 86 h 86"/>
                <a:gd name="T6" fmla="*/ 67 w 67"/>
                <a:gd name="T7" fmla="*/ 4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7" y="4"/>
                  </a:moveTo>
                  <a:lnTo>
                    <a:pt x="61" y="0"/>
                  </a:lnTo>
                  <a:lnTo>
                    <a:pt x="0" y="86"/>
                  </a:lnTo>
                  <a:lnTo>
                    <a:pt x="6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2" name="Freeform 203">
              <a:extLst>
                <a:ext uri="{FF2B5EF4-FFF2-40B4-BE49-F238E27FC236}">
                  <a16:creationId xmlns:a16="http://schemas.microsoft.com/office/drawing/2014/main" id="{00000000-0008-0000-2D00-0000EC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1 w 61"/>
                <a:gd name="T1" fmla="*/ 4 h 90"/>
                <a:gd name="T2" fmla="*/ 55 w 61"/>
                <a:gd name="T3" fmla="*/ 0 h 90"/>
                <a:gd name="T4" fmla="*/ 0 w 61"/>
                <a:gd name="T5" fmla="*/ 90 h 90"/>
                <a:gd name="T6" fmla="*/ 61 w 61"/>
                <a:gd name="T7" fmla="*/ 4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61" y="4"/>
                  </a:moveTo>
                  <a:lnTo>
                    <a:pt x="55" y="0"/>
                  </a:lnTo>
                  <a:lnTo>
                    <a:pt x="0" y="90"/>
                  </a:lnTo>
                  <a:lnTo>
                    <a:pt x="61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3" name="Freeform 204">
              <a:extLst>
                <a:ext uri="{FF2B5EF4-FFF2-40B4-BE49-F238E27FC236}">
                  <a16:creationId xmlns:a16="http://schemas.microsoft.com/office/drawing/2014/main" id="{00000000-0008-0000-2D00-0000ED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55 w 55"/>
                <a:gd name="T1" fmla="*/ 4 h 94"/>
                <a:gd name="T2" fmla="*/ 49 w 55"/>
                <a:gd name="T3" fmla="*/ 0 h 94"/>
                <a:gd name="T4" fmla="*/ 0 w 55"/>
                <a:gd name="T5" fmla="*/ 94 h 94"/>
                <a:gd name="T6" fmla="*/ 55 w 55"/>
                <a:gd name="T7" fmla="*/ 4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4">
                  <a:moveTo>
                    <a:pt x="55" y="4"/>
                  </a:moveTo>
                  <a:lnTo>
                    <a:pt x="49" y="0"/>
                  </a:lnTo>
                  <a:lnTo>
                    <a:pt x="0" y="94"/>
                  </a:lnTo>
                  <a:lnTo>
                    <a:pt x="55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4" name="Freeform 205">
              <a:extLst>
                <a:ext uri="{FF2B5EF4-FFF2-40B4-BE49-F238E27FC236}">
                  <a16:creationId xmlns:a16="http://schemas.microsoft.com/office/drawing/2014/main" id="{00000000-0008-0000-2D00-0000EE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9 w 49"/>
                <a:gd name="T1" fmla="*/ 3 h 97"/>
                <a:gd name="T2" fmla="*/ 42 w 49"/>
                <a:gd name="T3" fmla="*/ 0 h 97"/>
                <a:gd name="T4" fmla="*/ 0 w 49"/>
                <a:gd name="T5" fmla="*/ 97 h 97"/>
                <a:gd name="T6" fmla="*/ 49 w 49"/>
                <a:gd name="T7" fmla="*/ 3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7">
                  <a:moveTo>
                    <a:pt x="49" y="3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49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5" name="Freeform 206">
              <a:extLst>
                <a:ext uri="{FF2B5EF4-FFF2-40B4-BE49-F238E27FC236}">
                  <a16:creationId xmlns:a16="http://schemas.microsoft.com/office/drawing/2014/main" id="{00000000-0008-0000-2D00-0000EF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5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5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6" name="Freeform 207">
              <a:extLst>
                <a:ext uri="{FF2B5EF4-FFF2-40B4-BE49-F238E27FC236}">
                  <a16:creationId xmlns:a16="http://schemas.microsoft.com/office/drawing/2014/main" id="{00000000-0008-0000-2D00-0000F0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35 w 35"/>
                <a:gd name="T1" fmla="*/ 2 h 102"/>
                <a:gd name="T2" fmla="*/ 29 w 35"/>
                <a:gd name="T3" fmla="*/ 0 h 102"/>
                <a:gd name="T4" fmla="*/ 0 w 35"/>
                <a:gd name="T5" fmla="*/ 102 h 102"/>
                <a:gd name="T6" fmla="*/ 35 w 35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35" y="2"/>
                  </a:moveTo>
                  <a:lnTo>
                    <a:pt x="29" y="0"/>
                  </a:lnTo>
                  <a:lnTo>
                    <a:pt x="0" y="102"/>
                  </a:lnTo>
                  <a:lnTo>
                    <a:pt x="35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7" name="Freeform 208">
              <a:extLst>
                <a:ext uri="{FF2B5EF4-FFF2-40B4-BE49-F238E27FC236}">
                  <a16:creationId xmlns:a16="http://schemas.microsoft.com/office/drawing/2014/main" id="{00000000-0008-0000-2D00-0000F1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9 w 29"/>
                <a:gd name="T1" fmla="*/ 1 h 103"/>
                <a:gd name="T2" fmla="*/ 22 w 29"/>
                <a:gd name="T3" fmla="*/ 0 h 103"/>
                <a:gd name="T4" fmla="*/ 0 w 29"/>
                <a:gd name="T5" fmla="*/ 103 h 103"/>
                <a:gd name="T6" fmla="*/ 29 w 29"/>
                <a:gd name="T7" fmla="*/ 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9" y="1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2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8" name="Freeform 209">
              <a:extLst>
                <a:ext uri="{FF2B5EF4-FFF2-40B4-BE49-F238E27FC236}">
                  <a16:creationId xmlns:a16="http://schemas.microsoft.com/office/drawing/2014/main" id="{00000000-0008-0000-2D00-0000F2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9" name="Freeform 210">
              <a:extLst>
                <a:ext uri="{FF2B5EF4-FFF2-40B4-BE49-F238E27FC236}">
                  <a16:creationId xmlns:a16="http://schemas.microsoft.com/office/drawing/2014/main" id="{00000000-0008-0000-2D00-0000F3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0" name="Freeform 211">
              <a:extLst>
                <a:ext uri="{FF2B5EF4-FFF2-40B4-BE49-F238E27FC236}">
                  <a16:creationId xmlns:a16="http://schemas.microsoft.com/office/drawing/2014/main" id="{00000000-0008-0000-2D00-0000F4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1" name="Freeform 212">
              <a:extLst>
                <a:ext uri="{FF2B5EF4-FFF2-40B4-BE49-F238E27FC236}">
                  <a16:creationId xmlns:a16="http://schemas.microsoft.com/office/drawing/2014/main" id="{00000000-0008-0000-2D00-0000F5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0 h 106"/>
                <a:gd name="T2" fmla="*/ 0 w 7"/>
                <a:gd name="T3" fmla="*/ 1 h 106"/>
                <a:gd name="T4" fmla="*/ 7 w 7"/>
                <a:gd name="T5" fmla="*/ 106 h 106"/>
                <a:gd name="T6" fmla="*/ 7 w 7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0"/>
                  </a:moveTo>
                  <a:lnTo>
                    <a:pt x="0" y="1"/>
                  </a:lnTo>
                  <a:lnTo>
                    <a:pt x="7" y="106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2" name="Freeform 213">
              <a:extLst>
                <a:ext uri="{FF2B5EF4-FFF2-40B4-BE49-F238E27FC236}">
                  <a16:creationId xmlns:a16="http://schemas.microsoft.com/office/drawing/2014/main" id="{00000000-0008-0000-2D00-0000F601000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14"/>
                <a:gd name="T1" fmla="*/ 0 h 105"/>
                <a:gd name="T2" fmla="*/ 0 w 14"/>
                <a:gd name="T3" fmla="*/ 0 h 105"/>
                <a:gd name="T4" fmla="*/ 14 w 14"/>
                <a:gd name="T5" fmla="*/ 105 h 105"/>
                <a:gd name="T6" fmla="*/ 7 w 14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7" y="0"/>
                  </a:moveTo>
                  <a:lnTo>
                    <a:pt x="0" y="0"/>
                  </a:lnTo>
                  <a:lnTo>
                    <a:pt x="14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3" name="Freeform 214">
              <a:extLst>
                <a:ext uri="{FF2B5EF4-FFF2-40B4-BE49-F238E27FC236}">
                  <a16:creationId xmlns:a16="http://schemas.microsoft.com/office/drawing/2014/main" id="{00000000-0008-0000-2D00-0000F7010000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1"/>
                <a:gd name="T1" fmla="*/ 0 h 105"/>
                <a:gd name="T2" fmla="*/ 0 w 21"/>
                <a:gd name="T3" fmla="*/ 2 h 105"/>
                <a:gd name="T4" fmla="*/ 21 w 21"/>
                <a:gd name="T5" fmla="*/ 105 h 105"/>
                <a:gd name="T6" fmla="*/ 7 w 21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5">
                  <a:moveTo>
                    <a:pt x="7" y="0"/>
                  </a:moveTo>
                  <a:lnTo>
                    <a:pt x="0" y="2"/>
                  </a:lnTo>
                  <a:lnTo>
                    <a:pt x="21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4" name="Freeform 215">
              <a:extLst>
                <a:ext uri="{FF2B5EF4-FFF2-40B4-BE49-F238E27FC236}">
                  <a16:creationId xmlns:a16="http://schemas.microsoft.com/office/drawing/2014/main" id="{00000000-0008-0000-2D00-0000F8010000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8"/>
                <a:gd name="T1" fmla="*/ 0 h 103"/>
                <a:gd name="T2" fmla="*/ 0 w 28"/>
                <a:gd name="T3" fmla="*/ 1 h 103"/>
                <a:gd name="T4" fmla="*/ 28 w 28"/>
                <a:gd name="T5" fmla="*/ 103 h 103"/>
                <a:gd name="T6" fmla="*/ 7 w 28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7" y="0"/>
                  </a:moveTo>
                  <a:lnTo>
                    <a:pt x="0" y="1"/>
                  </a:lnTo>
                  <a:lnTo>
                    <a:pt x="28" y="10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5" name="Freeform 216">
              <a:extLst>
                <a:ext uri="{FF2B5EF4-FFF2-40B4-BE49-F238E27FC236}">
                  <a16:creationId xmlns:a16="http://schemas.microsoft.com/office/drawing/2014/main" id="{00000000-0008-0000-2D00-0000F9010000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7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7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6" name="Freeform 217">
              <a:extLst>
                <a:ext uri="{FF2B5EF4-FFF2-40B4-BE49-F238E27FC236}">
                  <a16:creationId xmlns:a16="http://schemas.microsoft.com/office/drawing/2014/main" id="{00000000-0008-0000-2D00-0000FA010000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42"/>
                <a:gd name="T1" fmla="*/ 0 h 100"/>
                <a:gd name="T2" fmla="*/ 0 w 42"/>
                <a:gd name="T3" fmla="*/ 3 h 100"/>
                <a:gd name="T4" fmla="*/ 42 w 42"/>
                <a:gd name="T5" fmla="*/ 100 h 100"/>
                <a:gd name="T6" fmla="*/ 7 w 42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7" y="0"/>
                  </a:moveTo>
                  <a:lnTo>
                    <a:pt x="0" y="3"/>
                  </a:lnTo>
                  <a:lnTo>
                    <a:pt x="42" y="10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7" name="Freeform 218">
              <a:extLst>
                <a:ext uri="{FF2B5EF4-FFF2-40B4-BE49-F238E27FC236}">
                  <a16:creationId xmlns:a16="http://schemas.microsoft.com/office/drawing/2014/main" id="{00000000-0008-0000-2D00-0000FB010000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48"/>
                <a:gd name="T1" fmla="*/ 0 h 97"/>
                <a:gd name="T2" fmla="*/ 0 w 48"/>
                <a:gd name="T3" fmla="*/ 3 h 97"/>
                <a:gd name="T4" fmla="*/ 48 w 48"/>
                <a:gd name="T5" fmla="*/ 97 h 97"/>
                <a:gd name="T6" fmla="*/ 6 w 48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7">
                  <a:moveTo>
                    <a:pt x="6" y="0"/>
                  </a:moveTo>
                  <a:lnTo>
                    <a:pt x="0" y="3"/>
                  </a:lnTo>
                  <a:lnTo>
                    <a:pt x="48" y="97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8" name="Freeform 219">
              <a:extLst>
                <a:ext uri="{FF2B5EF4-FFF2-40B4-BE49-F238E27FC236}">
                  <a16:creationId xmlns:a16="http://schemas.microsoft.com/office/drawing/2014/main" id="{00000000-0008-0000-2D00-0000FC010000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54"/>
                <a:gd name="T1" fmla="*/ 0 h 94"/>
                <a:gd name="T2" fmla="*/ 0 w 54"/>
                <a:gd name="T3" fmla="*/ 4 h 94"/>
                <a:gd name="T4" fmla="*/ 54 w 54"/>
                <a:gd name="T5" fmla="*/ 94 h 94"/>
                <a:gd name="T6" fmla="*/ 6 w 54"/>
                <a:gd name="T7" fmla="*/ 0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4">
                  <a:moveTo>
                    <a:pt x="6" y="0"/>
                  </a:moveTo>
                  <a:lnTo>
                    <a:pt x="0" y="4"/>
                  </a:lnTo>
                  <a:lnTo>
                    <a:pt x="54" y="94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9" name="Freeform 220">
              <a:extLst>
                <a:ext uri="{FF2B5EF4-FFF2-40B4-BE49-F238E27FC236}">
                  <a16:creationId xmlns:a16="http://schemas.microsoft.com/office/drawing/2014/main" id="{00000000-0008-0000-2D00-0000FD010000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0"/>
                <a:gd name="T1" fmla="*/ 0 h 90"/>
                <a:gd name="T2" fmla="*/ 0 w 60"/>
                <a:gd name="T3" fmla="*/ 4 h 90"/>
                <a:gd name="T4" fmla="*/ 60 w 60"/>
                <a:gd name="T5" fmla="*/ 90 h 90"/>
                <a:gd name="T6" fmla="*/ 6 w 60"/>
                <a:gd name="T7" fmla="*/ 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6" y="0"/>
                  </a:moveTo>
                  <a:lnTo>
                    <a:pt x="0" y="4"/>
                  </a:lnTo>
                  <a:lnTo>
                    <a:pt x="60" y="9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0" name="Freeform 221">
              <a:extLst>
                <a:ext uri="{FF2B5EF4-FFF2-40B4-BE49-F238E27FC236}">
                  <a16:creationId xmlns:a16="http://schemas.microsoft.com/office/drawing/2014/main" id="{00000000-0008-0000-2D00-0000FE010000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6"/>
                <a:gd name="T1" fmla="*/ 0 h 86"/>
                <a:gd name="T2" fmla="*/ 0 w 66"/>
                <a:gd name="T3" fmla="*/ 4 h 86"/>
                <a:gd name="T4" fmla="*/ 66 w 66"/>
                <a:gd name="T5" fmla="*/ 86 h 86"/>
                <a:gd name="T6" fmla="*/ 6 w 66"/>
                <a:gd name="T7" fmla="*/ 0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6" y="0"/>
                  </a:moveTo>
                  <a:lnTo>
                    <a:pt x="0" y="4"/>
                  </a:lnTo>
                  <a:lnTo>
                    <a:pt x="66" y="8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1" name="Freeform 222">
              <a:extLst>
                <a:ext uri="{FF2B5EF4-FFF2-40B4-BE49-F238E27FC236}">
                  <a16:creationId xmlns:a16="http://schemas.microsoft.com/office/drawing/2014/main" id="{00000000-0008-0000-2D00-0000FF010000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72"/>
                <a:gd name="T1" fmla="*/ 0 h 82"/>
                <a:gd name="T2" fmla="*/ 0 w 72"/>
                <a:gd name="T3" fmla="*/ 5 h 82"/>
                <a:gd name="T4" fmla="*/ 72 w 72"/>
                <a:gd name="T5" fmla="*/ 82 h 82"/>
                <a:gd name="T6" fmla="*/ 6 w 72"/>
                <a:gd name="T7" fmla="*/ 0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6" y="0"/>
                  </a:moveTo>
                  <a:lnTo>
                    <a:pt x="0" y="5"/>
                  </a:lnTo>
                  <a:lnTo>
                    <a:pt x="72" y="8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2" name="Freeform 223">
              <a:extLst>
                <a:ext uri="{FF2B5EF4-FFF2-40B4-BE49-F238E27FC236}">
                  <a16:creationId xmlns:a16="http://schemas.microsoft.com/office/drawing/2014/main" id="{00000000-0008-0000-2D00-000000020000}"/>
                </a:ext>
              </a:extLst>
            </xdr:cNvPr>
            <xdr:cNvSpPr>
              <a:spLocks/>
            </xdr:cNvSpPr>
          </xdr:nvSpPr>
          <xdr:spPr bwMode="auto">
            <a:xfrm>
              <a:off x="930" y="201"/>
              <a:ext cx="1" cy="1"/>
            </a:xfrm>
            <a:custGeom>
              <a:avLst/>
              <a:gdLst>
                <a:gd name="T0" fmla="*/ 5 w 77"/>
                <a:gd name="T1" fmla="*/ 0 h 77"/>
                <a:gd name="T2" fmla="*/ 0 w 77"/>
                <a:gd name="T3" fmla="*/ 5 h 77"/>
                <a:gd name="T4" fmla="*/ 77 w 77"/>
                <a:gd name="T5" fmla="*/ 77 h 77"/>
                <a:gd name="T6" fmla="*/ 5 w 77"/>
                <a:gd name="T7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5" y="0"/>
                  </a:moveTo>
                  <a:lnTo>
                    <a:pt x="0" y="5"/>
                  </a:lnTo>
                  <a:lnTo>
                    <a:pt x="77" y="7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3" name="Freeform 224">
              <a:extLst>
                <a:ext uri="{FF2B5EF4-FFF2-40B4-BE49-F238E27FC236}">
                  <a16:creationId xmlns:a16="http://schemas.microsoft.com/office/drawing/2014/main" id="{00000000-0008-0000-2D00-000001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81"/>
                <a:gd name="T1" fmla="*/ 0 h 72"/>
                <a:gd name="T2" fmla="*/ 0 w 81"/>
                <a:gd name="T3" fmla="*/ 5 h 72"/>
                <a:gd name="T4" fmla="*/ 81 w 81"/>
                <a:gd name="T5" fmla="*/ 72 h 72"/>
                <a:gd name="T6" fmla="*/ 4 w 81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4" y="0"/>
                  </a:moveTo>
                  <a:lnTo>
                    <a:pt x="0" y="5"/>
                  </a:lnTo>
                  <a:lnTo>
                    <a:pt x="81" y="7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4" name="Freeform 225">
              <a:extLst>
                <a:ext uri="{FF2B5EF4-FFF2-40B4-BE49-F238E27FC236}">
                  <a16:creationId xmlns:a16="http://schemas.microsoft.com/office/drawing/2014/main" id="{00000000-0008-0000-2D00-000002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5 w 86"/>
                <a:gd name="T1" fmla="*/ 0 h 67"/>
                <a:gd name="T2" fmla="*/ 0 w 86"/>
                <a:gd name="T3" fmla="*/ 6 h 67"/>
                <a:gd name="T4" fmla="*/ 86 w 86"/>
                <a:gd name="T5" fmla="*/ 67 h 67"/>
                <a:gd name="T6" fmla="*/ 5 w 86"/>
                <a:gd name="T7" fmla="*/ 0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5" y="0"/>
                  </a:moveTo>
                  <a:lnTo>
                    <a:pt x="0" y="6"/>
                  </a:lnTo>
                  <a:lnTo>
                    <a:pt x="86" y="6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5" name="Freeform 226">
              <a:extLst>
                <a:ext uri="{FF2B5EF4-FFF2-40B4-BE49-F238E27FC236}">
                  <a16:creationId xmlns:a16="http://schemas.microsoft.com/office/drawing/2014/main" id="{00000000-0008-0000-2D00-000003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90"/>
                <a:gd name="T1" fmla="*/ 0 h 61"/>
                <a:gd name="T2" fmla="*/ 0 w 90"/>
                <a:gd name="T3" fmla="*/ 6 h 61"/>
                <a:gd name="T4" fmla="*/ 90 w 90"/>
                <a:gd name="T5" fmla="*/ 61 h 61"/>
                <a:gd name="T6" fmla="*/ 4 w 90"/>
                <a:gd name="T7" fmla="*/ 0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4" y="0"/>
                  </a:moveTo>
                  <a:lnTo>
                    <a:pt x="0" y="6"/>
                  </a:lnTo>
                  <a:lnTo>
                    <a:pt x="90" y="6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6" name="Freeform 227">
              <a:extLst>
                <a:ext uri="{FF2B5EF4-FFF2-40B4-BE49-F238E27FC236}">
                  <a16:creationId xmlns:a16="http://schemas.microsoft.com/office/drawing/2014/main" id="{00000000-0008-0000-2D00-000004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3"/>
                <a:gd name="T1" fmla="*/ 0 h 55"/>
                <a:gd name="T2" fmla="*/ 0 w 93"/>
                <a:gd name="T3" fmla="*/ 6 h 55"/>
                <a:gd name="T4" fmla="*/ 93 w 93"/>
                <a:gd name="T5" fmla="*/ 55 h 55"/>
                <a:gd name="T6" fmla="*/ 3 w 93"/>
                <a:gd name="T7" fmla="*/ 0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5">
                  <a:moveTo>
                    <a:pt x="3" y="0"/>
                  </a:moveTo>
                  <a:lnTo>
                    <a:pt x="0" y="6"/>
                  </a:lnTo>
                  <a:lnTo>
                    <a:pt x="93" y="55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7" name="Freeform 228">
              <a:extLst>
                <a:ext uri="{FF2B5EF4-FFF2-40B4-BE49-F238E27FC236}">
                  <a16:creationId xmlns:a16="http://schemas.microsoft.com/office/drawing/2014/main" id="{00000000-0008-0000-2D00-000005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6"/>
                <a:gd name="T1" fmla="*/ 0 h 49"/>
                <a:gd name="T2" fmla="*/ 0 w 96"/>
                <a:gd name="T3" fmla="*/ 7 h 49"/>
                <a:gd name="T4" fmla="*/ 96 w 96"/>
                <a:gd name="T5" fmla="*/ 49 h 49"/>
                <a:gd name="T6" fmla="*/ 3 w 96"/>
                <a:gd name="T7" fmla="*/ 0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9">
                  <a:moveTo>
                    <a:pt x="3" y="0"/>
                  </a:moveTo>
                  <a:lnTo>
                    <a:pt x="0" y="7"/>
                  </a:lnTo>
                  <a:lnTo>
                    <a:pt x="96" y="49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8" name="Freeform 229">
              <a:extLst>
                <a:ext uri="{FF2B5EF4-FFF2-40B4-BE49-F238E27FC236}">
                  <a16:creationId xmlns:a16="http://schemas.microsoft.com/office/drawing/2014/main" id="{00000000-0008-0000-2D00-000006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9"/>
                <a:gd name="T1" fmla="*/ 0 h 42"/>
                <a:gd name="T2" fmla="*/ 0 w 99"/>
                <a:gd name="T3" fmla="*/ 6 h 42"/>
                <a:gd name="T4" fmla="*/ 99 w 99"/>
                <a:gd name="T5" fmla="*/ 42 h 42"/>
                <a:gd name="T6" fmla="*/ 3 w 99"/>
                <a:gd name="T7" fmla="*/ 0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3" y="0"/>
                  </a:moveTo>
                  <a:lnTo>
                    <a:pt x="0" y="6"/>
                  </a:lnTo>
                  <a:lnTo>
                    <a:pt x="99" y="4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9" name="Freeform 230">
              <a:extLst>
                <a:ext uri="{FF2B5EF4-FFF2-40B4-BE49-F238E27FC236}">
                  <a16:creationId xmlns:a16="http://schemas.microsoft.com/office/drawing/2014/main" id="{00000000-0008-0000-2D00-000007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1"/>
                <a:gd name="T1" fmla="*/ 0 h 36"/>
                <a:gd name="T2" fmla="*/ 0 w 101"/>
                <a:gd name="T3" fmla="*/ 7 h 36"/>
                <a:gd name="T4" fmla="*/ 101 w 101"/>
                <a:gd name="T5" fmla="*/ 36 h 36"/>
                <a:gd name="T6" fmla="*/ 2 w 101"/>
                <a:gd name="T7" fmla="*/ 0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2" y="0"/>
                  </a:moveTo>
                  <a:lnTo>
                    <a:pt x="0" y="7"/>
                  </a:lnTo>
                  <a:lnTo>
                    <a:pt x="101" y="3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0" name="Freeform 231">
              <a:extLst>
                <a:ext uri="{FF2B5EF4-FFF2-40B4-BE49-F238E27FC236}">
                  <a16:creationId xmlns:a16="http://schemas.microsoft.com/office/drawing/2014/main" id="{00000000-0008-0000-2D00-000008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3"/>
                <a:gd name="T1" fmla="*/ 0 h 29"/>
                <a:gd name="T2" fmla="*/ 0 w 103"/>
                <a:gd name="T3" fmla="*/ 7 h 29"/>
                <a:gd name="T4" fmla="*/ 103 w 103"/>
                <a:gd name="T5" fmla="*/ 29 h 29"/>
                <a:gd name="T6" fmla="*/ 2 w 103"/>
                <a:gd name="T7" fmla="*/ 0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2" y="0"/>
                  </a:moveTo>
                  <a:lnTo>
                    <a:pt x="0" y="7"/>
                  </a:lnTo>
                  <a:lnTo>
                    <a:pt x="103" y="29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1" name="Freeform 232">
              <a:extLst>
                <a:ext uri="{FF2B5EF4-FFF2-40B4-BE49-F238E27FC236}">
                  <a16:creationId xmlns:a16="http://schemas.microsoft.com/office/drawing/2014/main" id="{00000000-0008-0000-2D00-000009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1 w 104"/>
                <a:gd name="T1" fmla="*/ 0 h 22"/>
                <a:gd name="T2" fmla="*/ 0 w 104"/>
                <a:gd name="T3" fmla="*/ 7 h 22"/>
                <a:gd name="T4" fmla="*/ 104 w 104"/>
                <a:gd name="T5" fmla="*/ 22 h 22"/>
                <a:gd name="T6" fmla="*/ 1 w 104"/>
                <a:gd name="T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" y="0"/>
                  </a:moveTo>
                  <a:lnTo>
                    <a:pt x="0" y="7"/>
                  </a:lnTo>
                  <a:lnTo>
                    <a:pt x="104" y="2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2" name="Freeform 233">
              <a:extLst>
                <a:ext uri="{FF2B5EF4-FFF2-40B4-BE49-F238E27FC236}">
                  <a16:creationId xmlns:a16="http://schemas.microsoft.com/office/drawing/2014/main" id="{00000000-0008-0000-2D00-00000A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8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8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3" name="Freeform 234">
              <a:extLst>
                <a:ext uri="{FF2B5EF4-FFF2-40B4-BE49-F238E27FC236}">
                  <a16:creationId xmlns:a16="http://schemas.microsoft.com/office/drawing/2014/main" id="{00000000-0008-0000-2D00-00000B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7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4" name="Freeform 235">
              <a:extLst>
                <a:ext uri="{FF2B5EF4-FFF2-40B4-BE49-F238E27FC236}">
                  <a16:creationId xmlns:a16="http://schemas.microsoft.com/office/drawing/2014/main" id="{00000000-0008-0000-2D00-00000C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5" name="Freeform 236">
              <a:extLst>
                <a:ext uri="{FF2B5EF4-FFF2-40B4-BE49-F238E27FC236}">
                  <a16:creationId xmlns:a16="http://schemas.microsoft.com/office/drawing/2014/main" id="{00000000-0008-0000-2D00-00000D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7 h 14"/>
                <a:gd name="T2" fmla="*/ 1 w 105"/>
                <a:gd name="T3" fmla="*/ 14 h 14"/>
                <a:gd name="T4" fmla="*/ 105 w 105"/>
                <a:gd name="T5" fmla="*/ 0 h 14"/>
                <a:gd name="T6" fmla="*/ 0 w 105"/>
                <a:gd name="T7" fmla="*/ 7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0" y="7"/>
                  </a:moveTo>
                  <a:lnTo>
                    <a:pt x="1" y="14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6" name="Freeform 237">
              <a:extLst>
                <a:ext uri="{FF2B5EF4-FFF2-40B4-BE49-F238E27FC236}">
                  <a16:creationId xmlns:a16="http://schemas.microsoft.com/office/drawing/2014/main" id="{00000000-0008-0000-2D00-00000E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4"/>
                <a:gd name="T1" fmla="*/ 14 h 21"/>
                <a:gd name="T2" fmla="*/ 1 w 104"/>
                <a:gd name="T3" fmla="*/ 21 h 21"/>
                <a:gd name="T4" fmla="*/ 104 w 104"/>
                <a:gd name="T5" fmla="*/ 0 h 21"/>
                <a:gd name="T6" fmla="*/ 0 w 104"/>
                <a:gd name="T7" fmla="*/ 14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0" y="14"/>
                  </a:moveTo>
                  <a:lnTo>
                    <a:pt x="1" y="21"/>
                  </a:lnTo>
                  <a:lnTo>
                    <a:pt x="104" y="0"/>
                  </a:lnTo>
                  <a:lnTo>
                    <a:pt x="0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7" name="Freeform 238">
              <a:extLst>
                <a:ext uri="{FF2B5EF4-FFF2-40B4-BE49-F238E27FC236}">
                  <a16:creationId xmlns:a16="http://schemas.microsoft.com/office/drawing/2014/main" id="{00000000-0008-0000-2D00-00000F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3"/>
                <a:gd name="T1" fmla="*/ 21 h 28"/>
                <a:gd name="T2" fmla="*/ 2 w 103"/>
                <a:gd name="T3" fmla="*/ 28 h 28"/>
                <a:gd name="T4" fmla="*/ 103 w 103"/>
                <a:gd name="T5" fmla="*/ 0 h 28"/>
                <a:gd name="T6" fmla="*/ 0 w 103"/>
                <a:gd name="T7" fmla="*/ 21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0" y="21"/>
                  </a:moveTo>
                  <a:lnTo>
                    <a:pt x="2" y="28"/>
                  </a:lnTo>
                  <a:lnTo>
                    <a:pt x="103" y="0"/>
                  </a:lnTo>
                  <a:lnTo>
                    <a:pt x="0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8" name="Freeform 239">
              <a:extLst>
                <a:ext uri="{FF2B5EF4-FFF2-40B4-BE49-F238E27FC236}">
                  <a16:creationId xmlns:a16="http://schemas.microsoft.com/office/drawing/2014/main" id="{00000000-0008-0000-2D00-000010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1"/>
                <a:gd name="T1" fmla="*/ 28 h 35"/>
                <a:gd name="T2" fmla="*/ 2 w 101"/>
                <a:gd name="T3" fmla="*/ 35 h 35"/>
                <a:gd name="T4" fmla="*/ 101 w 101"/>
                <a:gd name="T5" fmla="*/ 0 h 35"/>
                <a:gd name="T6" fmla="*/ 0 w 101"/>
                <a:gd name="T7" fmla="*/ 28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5">
                  <a:moveTo>
                    <a:pt x="0" y="28"/>
                  </a:moveTo>
                  <a:lnTo>
                    <a:pt x="2" y="35"/>
                  </a:lnTo>
                  <a:lnTo>
                    <a:pt x="101" y="0"/>
                  </a:lnTo>
                  <a:lnTo>
                    <a:pt x="0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9" name="Freeform 240">
              <a:extLst>
                <a:ext uri="{FF2B5EF4-FFF2-40B4-BE49-F238E27FC236}">
                  <a16:creationId xmlns:a16="http://schemas.microsoft.com/office/drawing/2014/main" id="{00000000-0008-0000-2D00-000011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9"/>
                <a:gd name="T1" fmla="*/ 35 h 42"/>
                <a:gd name="T2" fmla="*/ 3 w 99"/>
                <a:gd name="T3" fmla="*/ 42 h 42"/>
                <a:gd name="T4" fmla="*/ 99 w 99"/>
                <a:gd name="T5" fmla="*/ 0 h 42"/>
                <a:gd name="T6" fmla="*/ 0 w 99"/>
                <a:gd name="T7" fmla="*/ 35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0" y="35"/>
                  </a:moveTo>
                  <a:lnTo>
                    <a:pt x="3" y="42"/>
                  </a:lnTo>
                  <a:lnTo>
                    <a:pt x="99" y="0"/>
                  </a:lnTo>
                  <a:lnTo>
                    <a:pt x="0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0" name="Freeform 241">
              <a:extLst>
                <a:ext uri="{FF2B5EF4-FFF2-40B4-BE49-F238E27FC236}">
                  <a16:creationId xmlns:a16="http://schemas.microsoft.com/office/drawing/2014/main" id="{00000000-0008-0000-2D00-000012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6"/>
                <a:gd name="T1" fmla="*/ 42 h 48"/>
                <a:gd name="T2" fmla="*/ 3 w 96"/>
                <a:gd name="T3" fmla="*/ 48 h 48"/>
                <a:gd name="T4" fmla="*/ 96 w 96"/>
                <a:gd name="T5" fmla="*/ 0 h 48"/>
                <a:gd name="T6" fmla="*/ 0 w 96"/>
                <a:gd name="T7" fmla="*/ 42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8">
                  <a:moveTo>
                    <a:pt x="0" y="42"/>
                  </a:moveTo>
                  <a:lnTo>
                    <a:pt x="3" y="48"/>
                  </a:lnTo>
                  <a:lnTo>
                    <a:pt x="96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1" name="Freeform 242">
              <a:extLst>
                <a:ext uri="{FF2B5EF4-FFF2-40B4-BE49-F238E27FC236}">
                  <a16:creationId xmlns:a16="http://schemas.microsoft.com/office/drawing/2014/main" id="{00000000-0008-0000-2D00-000013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3"/>
                <a:gd name="T1" fmla="*/ 48 h 54"/>
                <a:gd name="T2" fmla="*/ 3 w 93"/>
                <a:gd name="T3" fmla="*/ 54 h 54"/>
                <a:gd name="T4" fmla="*/ 93 w 93"/>
                <a:gd name="T5" fmla="*/ 0 h 54"/>
                <a:gd name="T6" fmla="*/ 0 w 93"/>
                <a:gd name="T7" fmla="*/ 48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4">
                  <a:moveTo>
                    <a:pt x="0" y="48"/>
                  </a:moveTo>
                  <a:lnTo>
                    <a:pt x="3" y="54"/>
                  </a:lnTo>
                  <a:lnTo>
                    <a:pt x="93" y="0"/>
                  </a:lnTo>
                  <a:lnTo>
                    <a:pt x="0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2" name="Freeform 243">
              <a:extLst>
                <a:ext uri="{FF2B5EF4-FFF2-40B4-BE49-F238E27FC236}">
                  <a16:creationId xmlns:a16="http://schemas.microsoft.com/office/drawing/2014/main" id="{00000000-0008-0000-2D00-000014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0"/>
                <a:gd name="T1" fmla="*/ 54 h 60"/>
                <a:gd name="T2" fmla="*/ 4 w 90"/>
                <a:gd name="T3" fmla="*/ 60 h 60"/>
                <a:gd name="T4" fmla="*/ 90 w 90"/>
                <a:gd name="T5" fmla="*/ 0 h 60"/>
                <a:gd name="T6" fmla="*/ 0 w 90"/>
                <a:gd name="T7" fmla="*/ 54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0" y="54"/>
                  </a:moveTo>
                  <a:lnTo>
                    <a:pt x="4" y="60"/>
                  </a:lnTo>
                  <a:lnTo>
                    <a:pt x="90" y="0"/>
                  </a:lnTo>
                  <a:lnTo>
                    <a:pt x="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3" name="Freeform 244">
              <a:extLst>
                <a:ext uri="{FF2B5EF4-FFF2-40B4-BE49-F238E27FC236}">
                  <a16:creationId xmlns:a16="http://schemas.microsoft.com/office/drawing/2014/main" id="{00000000-0008-0000-2D00-000015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6"/>
                <a:gd name="T1" fmla="*/ 60 h 66"/>
                <a:gd name="T2" fmla="*/ 5 w 86"/>
                <a:gd name="T3" fmla="*/ 66 h 66"/>
                <a:gd name="T4" fmla="*/ 86 w 86"/>
                <a:gd name="T5" fmla="*/ 0 h 66"/>
                <a:gd name="T6" fmla="*/ 0 w 86"/>
                <a:gd name="T7" fmla="*/ 60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0" y="60"/>
                  </a:moveTo>
                  <a:lnTo>
                    <a:pt x="5" y="66"/>
                  </a:lnTo>
                  <a:lnTo>
                    <a:pt x="86" y="0"/>
                  </a:lnTo>
                  <a:lnTo>
                    <a:pt x="0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4" name="Freeform 245">
              <a:extLst>
                <a:ext uri="{FF2B5EF4-FFF2-40B4-BE49-F238E27FC236}">
                  <a16:creationId xmlns:a16="http://schemas.microsoft.com/office/drawing/2014/main" id="{00000000-0008-0000-2D00-00001602000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1"/>
                <a:gd name="T1" fmla="*/ 66 h 72"/>
                <a:gd name="T2" fmla="*/ 4 w 81"/>
                <a:gd name="T3" fmla="*/ 72 h 72"/>
                <a:gd name="T4" fmla="*/ 81 w 81"/>
                <a:gd name="T5" fmla="*/ 0 h 72"/>
                <a:gd name="T6" fmla="*/ 0 w 81"/>
                <a:gd name="T7" fmla="*/ 66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0" y="66"/>
                  </a:moveTo>
                  <a:lnTo>
                    <a:pt x="4" y="72"/>
                  </a:lnTo>
                  <a:lnTo>
                    <a:pt x="81" y="0"/>
                  </a:lnTo>
                  <a:lnTo>
                    <a:pt x="0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5" name="Freeform 246">
              <a:extLst>
                <a:ext uri="{FF2B5EF4-FFF2-40B4-BE49-F238E27FC236}">
                  <a16:creationId xmlns:a16="http://schemas.microsoft.com/office/drawing/2014/main" id="{00000000-0008-0000-2D00-000017020000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7"/>
                <a:gd name="T1" fmla="*/ 72 h 77"/>
                <a:gd name="T2" fmla="*/ 5 w 77"/>
                <a:gd name="T3" fmla="*/ 77 h 77"/>
                <a:gd name="T4" fmla="*/ 77 w 77"/>
                <a:gd name="T5" fmla="*/ 0 h 77"/>
                <a:gd name="T6" fmla="*/ 0 w 77"/>
                <a:gd name="T7" fmla="*/ 72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0" y="72"/>
                  </a:moveTo>
                  <a:lnTo>
                    <a:pt x="5" y="77"/>
                  </a:lnTo>
                  <a:lnTo>
                    <a:pt x="77" y="0"/>
                  </a:lnTo>
                  <a:lnTo>
                    <a:pt x="0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6" name="Freeform 247">
              <a:extLst>
                <a:ext uri="{FF2B5EF4-FFF2-40B4-BE49-F238E27FC236}">
                  <a16:creationId xmlns:a16="http://schemas.microsoft.com/office/drawing/2014/main" id="{00000000-0008-0000-2D00-000018020000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2"/>
                <a:gd name="T1" fmla="*/ 77 h 81"/>
                <a:gd name="T2" fmla="*/ 6 w 72"/>
                <a:gd name="T3" fmla="*/ 81 h 81"/>
                <a:gd name="T4" fmla="*/ 72 w 72"/>
                <a:gd name="T5" fmla="*/ 0 h 81"/>
                <a:gd name="T6" fmla="*/ 0 w 72"/>
                <a:gd name="T7" fmla="*/ 77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0" y="77"/>
                  </a:moveTo>
                  <a:lnTo>
                    <a:pt x="6" y="81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7" name="Freeform 248">
              <a:extLst>
                <a:ext uri="{FF2B5EF4-FFF2-40B4-BE49-F238E27FC236}">
                  <a16:creationId xmlns:a16="http://schemas.microsoft.com/office/drawing/2014/main" id="{00000000-0008-0000-2D00-000019020000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6"/>
                <a:gd name="T1" fmla="*/ 81 h 86"/>
                <a:gd name="T2" fmla="*/ 6 w 66"/>
                <a:gd name="T3" fmla="*/ 86 h 86"/>
                <a:gd name="T4" fmla="*/ 66 w 66"/>
                <a:gd name="T5" fmla="*/ 0 h 86"/>
                <a:gd name="T6" fmla="*/ 0 w 66"/>
                <a:gd name="T7" fmla="*/ 81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0" y="81"/>
                  </a:moveTo>
                  <a:lnTo>
                    <a:pt x="6" y="86"/>
                  </a:lnTo>
                  <a:lnTo>
                    <a:pt x="66" y="0"/>
                  </a:lnTo>
                  <a:lnTo>
                    <a:pt x="0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8" name="Freeform 249">
              <a:extLst>
                <a:ext uri="{FF2B5EF4-FFF2-40B4-BE49-F238E27FC236}">
                  <a16:creationId xmlns:a16="http://schemas.microsoft.com/office/drawing/2014/main" id="{00000000-0008-0000-2D00-00001A020000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0"/>
                <a:gd name="T1" fmla="*/ 86 h 90"/>
                <a:gd name="T2" fmla="*/ 6 w 60"/>
                <a:gd name="T3" fmla="*/ 90 h 90"/>
                <a:gd name="T4" fmla="*/ 60 w 60"/>
                <a:gd name="T5" fmla="*/ 0 h 90"/>
                <a:gd name="T6" fmla="*/ 0 w 60"/>
                <a:gd name="T7" fmla="*/ 86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0" y="86"/>
                  </a:moveTo>
                  <a:lnTo>
                    <a:pt x="6" y="90"/>
                  </a:lnTo>
                  <a:lnTo>
                    <a:pt x="60" y="0"/>
                  </a:lnTo>
                  <a:lnTo>
                    <a:pt x="0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9" name="Freeform 250">
              <a:extLst>
                <a:ext uri="{FF2B5EF4-FFF2-40B4-BE49-F238E27FC236}">
                  <a16:creationId xmlns:a16="http://schemas.microsoft.com/office/drawing/2014/main" id="{00000000-0008-0000-2D00-00001B020000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54"/>
                <a:gd name="T1" fmla="*/ 90 h 93"/>
                <a:gd name="T2" fmla="*/ 6 w 54"/>
                <a:gd name="T3" fmla="*/ 93 h 93"/>
                <a:gd name="T4" fmla="*/ 54 w 54"/>
                <a:gd name="T5" fmla="*/ 0 h 93"/>
                <a:gd name="T6" fmla="*/ 0 w 54"/>
                <a:gd name="T7" fmla="*/ 9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3">
                  <a:moveTo>
                    <a:pt x="0" y="90"/>
                  </a:moveTo>
                  <a:lnTo>
                    <a:pt x="6" y="93"/>
                  </a:lnTo>
                  <a:lnTo>
                    <a:pt x="54" y="0"/>
                  </a:lnTo>
                  <a:lnTo>
                    <a:pt x="0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" name="Freeform 251">
              <a:extLst>
                <a:ext uri="{FF2B5EF4-FFF2-40B4-BE49-F238E27FC236}">
                  <a16:creationId xmlns:a16="http://schemas.microsoft.com/office/drawing/2014/main" id="{00000000-0008-0000-2D00-00001C020000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48"/>
                <a:gd name="T1" fmla="*/ 93 h 96"/>
                <a:gd name="T2" fmla="*/ 6 w 48"/>
                <a:gd name="T3" fmla="*/ 96 h 96"/>
                <a:gd name="T4" fmla="*/ 48 w 48"/>
                <a:gd name="T5" fmla="*/ 0 h 96"/>
                <a:gd name="T6" fmla="*/ 0 w 48"/>
                <a:gd name="T7" fmla="*/ 9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6">
                  <a:moveTo>
                    <a:pt x="0" y="93"/>
                  </a:moveTo>
                  <a:lnTo>
                    <a:pt x="6" y="96"/>
                  </a:lnTo>
                  <a:lnTo>
                    <a:pt x="48" y="0"/>
                  </a:lnTo>
                  <a:lnTo>
                    <a:pt x="0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5" name="Group 453">
            <a:extLst>
              <a:ext uri="{FF2B5EF4-FFF2-40B4-BE49-F238E27FC236}">
                <a16:creationId xmlns:a16="http://schemas.microsoft.com/office/drawing/2014/main" id="{00000000-0008-0000-2D00-000005000000}"/>
              </a:ext>
            </a:extLst>
          </xdr:cNvPr>
          <xdr:cNvGrpSpPr>
            <a:grpSpLocks/>
          </xdr:cNvGrpSpPr>
        </xdr:nvGrpSpPr>
        <xdr:grpSpPr bwMode="auto">
          <a:xfrm>
            <a:off x="930" y="188"/>
            <a:ext cx="262" cy="16"/>
            <a:chOff x="930" y="188"/>
            <a:chExt cx="262" cy="16"/>
          </a:xfrm>
        </xdr:grpSpPr>
        <xdr:sp macro="" textlink="">
          <xdr:nvSpPr>
            <xdr:cNvPr id="141" name="Freeform 253">
              <a:extLst>
                <a:ext uri="{FF2B5EF4-FFF2-40B4-BE49-F238E27FC236}">
                  <a16:creationId xmlns:a16="http://schemas.microsoft.com/office/drawing/2014/main" id="{00000000-0008-0000-2D00-00008D000000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42"/>
                <a:gd name="T1" fmla="*/ 96 h 99"/>
                <a:gd name="T2" fmla="*/ 7 w 42"/>
                <a:gd name="T3" fmla="*/ 99 h 99"/>
                <a:gd name="T4" fmla="*/ 42 w 42"/>
                <a:gd name="T5" fmla="*/ 0 h 99"/>
                <a:gd name="T6" fmla="*/ 0 w 42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0" y="96"/>
                  </a:moveTo>
                  <a:lnTo>
                    <a:pt x="7" y="99"/>
                  </a:lnTo>
                  <a:lnTo>
                    <a:pt x="42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2" name="Freeform 254">
              <a:extLst>
                <a:ext uri="{FF2B5EF4-FFF2-40B4-BE49-F238E27FC236}">
                  <a16:creationId xmlns:a16="http://schemas.microsoft.com/office/drawing/2014/main" id="{00000000-0008-0000-2D00-00008E000000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35"/>
                <a:gd name="T1" fmla="*/ 99 h 101"/>
                <a:gd name="T2" fmla="*/ 7 w 35"/>
                <a:gd name="T3" fmla="*/ 101 h 101"/>
                <a:gd name="T4" fmla="*/ 35 w 35"/>
                <a:gd name="T5" fmla="*/ 0 h 101"/>
                <a:gd name="T6" fmla="*/ 0 w 35"/>
                <a:gd name="T7" fmla="*/ 99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0" y="99"/>
                  </a:moveTo>
                  <a:lnTo>
                    <a:pt x="7" y="101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3" name="Freeform 255">
              <a:extLst>
                <a:ext uri="{FF2B5EF4-FFF2-40B4-BE49-F238E27FC236}">
                  <a16:creationId xmlns:a16="http://schemas.microsoft.com/office/drawing/2014/main" id="{00000000-0008-0000-2D00-00008F000000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8"/>
                <a:gd name="T1" fmla="*/ 101 h 103"/>
                <a:gd name="T2" fmla="*/ 7 w 28"/>
                <a:gd name="T3" fmla="*/ 103 h 103"/>
                <a:gd name="T4" fmla="*/ 28 w 28"/>
                <a:gd name="T5" fmla="*/ 0 h 103"/>
                <a:gd name="T6" fmla="*/ 0 w 28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0" y="101"/>
                  </a:moveTo>
                  <a:lnTo>
                    <a:pt x="7" y="103"/>
                  </a:lnTo>
                  <a:lnTo>
                    <a:pt x="28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4" name="Freeform 256">
              <a:extLst>
                <a:ext uri="{FF2B5EF4-FFF2-40B4-BE49-F238E27FC236}">
                  <a16:creationId xmlns:a16="http://schemas.microsoft.com/office/drawing/2014/main" id="{00000000-0008-0000-2D00-000090000000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1"/>
                <a:gd name="T1" fmla="*/ 103 h 104"/>
                <a:gd name="T2" fmla="*/ 7 w 21"/>
                <a:gd name="T3" fmla="*/ 104 h 104"/>
                <a:gd name="T4" fmla="*/ 21 w 21"/>
                <a:gd name="T5" fmla="*/ 0 h 104"/>
                <a:gd name="T6" fmla="*/ 0 w 21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4">
                  <a:moveTo>
                    <a:pt x="0" y="103"/>
                  </a:moveTo>
                  <a:lnTo>
                    <a:pt x="7" y="104"/>
                  </a:lnTo>
                  <a:lnTo>
                    <a:pt x="21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5" name="Freeform 257">
              <a:extLst>
                <a:ext uri="{FF2B5EF4-FFF2-40B4-BE49-F238E27FC236}">
                  <a16:creationId xmlns:a16="http://schemas.microsoft.com/office/drawing/2014/main" id="{00000000-0008-0000-2D00-000091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14"/>
                <a:gd name="T1" fmla="*/ 104 h 105"/>
                <a:gd name="T2" fmla="*/ 7 w 14"/>
                <a:gd name="T3" fmla="*/ 105 h 105"/>
                <a:gd name="T4" fmla="*/ 14 w 14"/>
                <a:gd name="T5" fmla="*/ 0 h 105"/>
                <a:gd name="T6" fmla="*/ 0 w 14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0" y="104"/>
                  </a:moveTo>
                  <a:lnTo>
                    <a:pt x="7" y="105"/>
                  </a:lnTo>
                  <a:lnTo>
                    <a:pt x="14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6" name="Freeform 258">
              <a:extLst>
                <a:ext uri="{FF2B5EF4-FFF2-40B4-BE49-F238E27FC236}">
                  <a16:creationId xmlns:a16="http://schemas.microsoft.com/office/drawing/2014/main" id="{00000000-0008-0000-2D00-000092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7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7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7" name="Freeform 259">
              <a:extLst>
                <a:ext uri="{FF2B5EF4-FFF2-40B4-BE49-F238E27FC236}">
                  <a16:creationId xmlns:a16="http://schemas.microsoft.com/office/drawing/2014/main" id="{00000000-0008-0000-2D00-000093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8" name="Freeform 260">
              <a:extLst>
                <a:ext uri="{FF2B5EF4-FFF2-40B4-BE49-F238E27FC236}">
                  <a16:creationId xmlns:a16="http://schemas.microsoft.com/office/drawing/2014/main" id="{00000000-0008-0000-2D00-000094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9" name="Freeform 261">
              <a:extLst>
                <a:ext uri="{FF2B5EF4-FFF2-40B4-BE49-F238E27FC236}">
                  <a16:creationId xmlns:a16="http://schemas.microsoft.com/office/drawing/2014/main" id="{00000000-0008-0000-2D00-000095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0" name="Freeform 262">
              <a:extLst>
                <a:ext uri="{FF2B5EF4-FFF2-40B4-BE49-F238E27FC236}">
                  <a16:creationId xmlns:a16="http://schemas.microsoft.com/office/drawing/2014/main" id="{00000000-0008-0000-2D00-000096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2 w 29"/>
                <a:gd name="T1" fmla="*/ 103 h 103"/>
                <a:gd name="T2" fmla="*/ 29 w 29"/>
                <a:gd name="T3" fmla="*/ 101 h 103"/>
                <a:gd name="T4" fmla="*/ 0 w 29"/>
                <a:gd name="T5" fmla="*/ 0 h 103"/>
                <a:gd name="T6" fmla="*/ 22 w 29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2" y="103"/>
                  </a:moveTo>
                  <a:lnTo>
                    <a:pt x="29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1" name="Freeform 263">
              <a:extLst>
                <a:ext uri="{FF2B5EF4-FFF2-40B4-BE49-F238E27FC236}">
                  <a16:creationId xmlns:a16="http://schemas.microsoft.com/office/drawing/2014/main" id="{00000000-0008-0000-2D00-000097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9 w 35"/>
                <a:gd name="T1" fmla="*/ 101 h 101"/>
                <a:gd name="T2" fmla="*/ 35 w 35"/>
                <a:gd name="T3" fmla="*/ 99 h 101"/>
                <a:gd name="T4" fmla="*/ 0 w 35"/>
                <a:gd name="T5" fmla="*/ 0 h 101"/>
                <a:gd name="T6" fmla="*/ 29 w 35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29" y="101"/>
                  </a:moveTo>
                  <a:lnTo>
                    <a:pt x="35" y="99"/>
                  </a:lnTo>
                  <a:lnTo>
                    <a:pt x="0" y="0"/>
                  </a:lnTo>
                  <a:lnTo>
                    <a:pt x="29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2" name="Freeform 264">
              <a:extLst>
                <a:ext uri="{FF2B5EF4-FFF2-40B4-BE49-F238E27FC236}">
                  <a16:creationId xmlns:a16="http://schemas.microsoft.com/office/drawing/2014/main" id="{00000000-0008-0000-2D00-000098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2"/>
            </a:xfrm>
            <a:custGeom>
              <a:avLst/>
              <a:gdLst>
                <a:gd name="T0" fmla="*/ 35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5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5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5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3" name="Freeform 265">
              <a:extLst>
                <a:ext uri="{FF2B5EF4-FFF2-40B4-BE49-F238E27FC236}">
                  <a16:creationId xmlns:a16="http://schemas.microsoft.com/office/drawing/2014/main" id="{00000000-0008-0000-2D00-000099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2 w 49"/>
                <a:gd name="T1" fmla="*/ 96 h 96"/>
                <a:gd name="T2" fmla="*/ 49 w 49"/>
                <a:gd name="T3" fmla="*/ 93 h 96"/>
                <a:gd name="T4" fmla="*/ 0 w 49"/>
                <a:gd name="T5" fmla="*/ 0 h 96"/>
                <a:gd name="T6" fmla="*/ 42 w 49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6">
                  <a:moveTo>
                    <a:pt x="42" y="96"/>
                  </a:moveTo>
                  <a:lnTo>
                    <a:pt x="49" y="93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4" name="Freeform 266">
              <a:extLst>
                <a:ext uri="{FF2B5EF4-FFF2-40B4-BE49-F238E27FC236}">
                  <a16:creationId xmlns:a16="http://schemas.microsoft.com/office/drawing/2014/main" id="{00000000-0008-0000-2D00-00009A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9 w 55"/>
                <a:gd name="T1" fmla="*/ 93 h 93"/>
                <a:gd name="T2" fmla="*/ 55 w 55"/>
                <a:gd name="T3" fmla="*/ 90 h 93"/>
                <a:gd name="T4" fmla="*/ 0 w 55"/>
                <a:gd name="T5" fmla="*/ 0 h 93"/>
                <a:gd name="T6" fmla="*/ 49 w 55"/>
                <a:gd name="T7" fmla="*/ 93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3">
                  <a:moveTo>
                    <a:pt x="49" y="93"/>
                  </a:moveTo>
                  <a:lnTo>
                    <a:pt x="55" y="90"/>
                  </a:lnTo>
                  <a:lnTo>
                    <a:pt x="0" y="0"/>
                  </a:lnTo>
                  <a:lnTo>
                    <a:pt x="49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5" name="Freeform 267">
              <a:extLst>
                <a:ext uri="{FF2B5EF4-FFF2-40B4-BE49-F238E27FC236}">
                  <a16:creationId xmlns:a16="http://schemas.microsoft.com/office/drawing/2014/main" id="{00000000-0008-0000-2D00-00009B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55 w 61"/>
                <a:gd name="T1" fmla="*/ 90 h 90"/>
                <a:gd name="T2" fmla="*/ 61 w 61"/>
                <a:gd name="T3" fmla="*/ 86 h 90"/>
                <a:gd name="T4" fmla="*/ 0 w 61"/>
                <a:gd name="T5" fmla="*/ 0 h 90"/>
                <a:gd name="T6" fmla="*/ 55 w 61"/>
                <a:gd name="T7" fmla="*/ 9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55" y="90"/>
                  </a:moveTo>
                  <a:lnTo>
                    <a:pt x="61" y="86"/>
                  </a:lnTo>
                  <a:lnTo>
                    <a:pt x="0" y="0"/>
                  </a:lnTo>
                  <a:lnTo>
                    <a:pt x="55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6" name="Freeform 268">
              <a:extLst>
                <a:ext uri="{FF2B5EF4-FFF2-40B4-BE49-F238E27FC236}">
                  <a16:creationId xmlns:a16="http://schemas.microsoft.com/office/drawing/2014/main" id="{00000000-0008-0000-2D00-00009C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1 w 67"/>
                <a:gd name="T1" fmla="*/ 86 h 86"/>
                <a:gd name="T2" fmla="*/ 67 w 67"/>
                <a:gd name="T3" fmla="*/ 81 h 86"/>
                <a:gd name="T4" fmla="*/ 0 w 67"/>
                <a:gd name="T5" fmla="*/ 0 h 86"/>
                <a:gd name="T6" fmla="*/ 61 w 67"/>
                <a:gd name="T7" fmla="*/ 86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1" y="86"/>
                  </a:moveTo>
                  <a:lnTo>
                    <a:pt x="67" y="81"/>
                  </a:lnTo>
                  <a:lnTo>
                    <a:pt x="0" y="0"/>
                  </a:lnTo>
                  <a:lnTo>
                    <a:pt x="61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7" name="Freeform 269">
              <a:extLst>
                <a:ext uri="{FF2B5EF4-FFF2-40B4-BE49-F238E27FC236}">
                  <a16:creationId xmlns:a16="http://schemas.microsoft.com/office/drawing/2014/main" id="{00000000-0008-0000-2D00-00009D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7 w 72"/>
                <a:gd name="T1" fmla="*/ 81 h 81"/>
                <a:gd name="T2" fmla="*/ 72 w 72"/>
                <a:gd name="T3" fmla="*/ 77 h 81"/>
                <a:gd name="T4" fmla="*/ 0 w 72"/>
                <a:gd name="T5" fmla="*/ 0 h 81"/>
                <a:gd name="T6" fmla="*/ 67 w 72"/>
                <a:gd name="T7" fmla="*/ 81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67" y="81"/>
                  </a:moveTo>
                  <a:lnTo>
                    <a:pt x="72" y="77"/>
                  </a:lnTo>
                  <a:lnTo>
                    <a:pt x="0" y="0"/>
                  </a:lnTo>
                  <a:lnTo>
                    <a:pt x="67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8" name="Freeform 270">
              <a:extLst>
                <a:ext uri="{FF2B5EF4-FFF2-40B4-BE49-F238E27FC236}">
                  <a16:creationId xmlns:a16="http://schemas.microsoft.com/office/drawing/2014/main" id="{00000000-0008-0000-2D00-00009E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2 w 77"/>
                <a:gd name="T1" fmla="*/ 77 h 77"/>
                <a:gd name="T2" fmla="*/ 77 w 77"/>
                <a:gd name="T3" fmla="*/ 72 h 77"/>
                <a:gd name="T4" fmla="*/ 0 w 77"/>
                <a:gd name="T5" fmla="*/ 0 h 77"/>
                <a:gd name="T6" fmla="*/ 72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2" y="77"/>
                  </a:moveTo>
                  <a:lnTo>
                    <a:pt x="77" y="72"/>
                  </a:lnTo>
                  <a:lnTo>
                    <a:pt x="0" y="0"/>
                  </a:lnTo>
                  <a:lnTo>
                    <a:pt x="72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9" name="Freeform 271">
              <a:extLst>
                <a:ext uri="{FF2B5EF4-FFF2-40B4-BE49-F238E27FC236}">
                  <a16:creationId xmlns:a16="http://schemas.microsoft.com/office/drawing/2014/main" id="{00000000-0008-0000-2D00-00009F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7 w 82"/>
                <a:gd name="T1" fmla="*/ 72 h 72"/>
                <a:gd name="T2" fmla="*/ 82 w 82"/>
                <a:gd name="T3" fmla="*/ 66 h 72"/>
                <a:gd name="T4" fmla="*/ 0 w 82"/>
                <a:gd name="T5" fmla="*/ 0 h 72"/>
                <a:gd name="T6" fmla="*/ 77 w 82"/>
                <a:gd name="T7" fmla="*/ 72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77" y="72"/>
                  </a:moveTo>
                  <a:lnTo>
                    <a:pt x="82" y="66"/>
                  </a:lnTo>
                  <a:lnTo>
                    <a:pt x="0" y="0"/>
                  </a:lnTo>
                  <a:lnTo>
                    <a:pt x="77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0" name="Freeform 272">
              <a:extLst>
                <a:ext uri="{FF2B5EF4-FFF2-40B4-BE49-F238E27FC236}">
                  <a16:creationId xmlns:a16="http://schemas.microsoft.com/office/drawing/2014/main" id="{00000000-0008-0000-2D00-0000A0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2 w 86"/>
                <a:gd name="T1" fmla="*/ 66 h 66"/>
                <a:gd name="T2" fmla="*/ 86 w 86"/>
                <a:gd name="T3" fmla="*/ 60 h 66"/>
                <a:gd name="T4" fmla="*/ 0 w 86"/>
                <a:gd name="T5" fmla="*/ 0 h 66"/>
                <a:gd name="T6" fmla="*/ 82 w 86"/>
                <a:gd name="T7" fmla="*/ 66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82" y="66"/>
                  </a:moveTo>
                  <a:lnTo>
                    <a:pt x="86" y="60"/>
                  </a:lnTo>
                  <a:lnTo>
                    <a:pt x="0" y="0"/>
                  </a:lnTo>
                  <a:lnTo>
                    <a:pt x="82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1" name="Freeform 273">
              <a:extLst>
                <a:ext uri="{FF2B5EF4-FFF2-40B4-BE49-F238E27FC236}">
                  <a16:creationId xmlns:a16="http://schemas.microsoft.com/office/drawing/2014/main" id="{00000000-0008-0000-2D00-0000A1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6 w 90"/>
                <a:gd name="T1" fmla="*/ 60 h 60"/>
                <a:gd name="T2" fmla="*/ 90 w 90"/>
                <a:gd name="T3" fmla="*/ 54 h 60"/>
                <a:gd name="T4" fmla="*/ 0 w 90"/>
                <a:gd name="T5" fmla="*/ 0 h 60"/>
                <a:gd name="T6" fmla="*/ 86 w 90"/>
                <a:gd name="T7" fmla="*/ 60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86" y="60"/>
                  </a:moveTo>
                  <a:lnTo>
                    <a:pt x="90" y="54"/>
                  </a:lnTo>
                  <a:lnTo>
                    <a:pt x="0" y="0"/>
                  </a:lnTo>
                  <a:lnTo>
                    <a:pt x="86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2" name="Freeform 274">
              <a:extLst>
                <a:ext uri="{FF2B5EF4-FFF2-40B4-BE49-F238E27FC236}">
                  <a16:creationId xmlns:a16="http://schemas.microsoft.com/office/drawing/2014/main" id="{00000000-0008-0000-2D00-0000A2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0 w 94"/>
                <a:gd name="T1" fmla="*/ 54 h 54"/>
                <a:gd name="T2" fmla="*/ 94 w 94"/>
                <a:gd name="T3" fmla="*/ 48 h 54"/>
                <a:gd name="T4" fmla="*/ 0 w 94"/>
                <a:gd name="T5" fmla="*/ 0 h 54"/>
                <a:gd name="T6" fmla="*/ 90 w 94"/>
                <a:gd name="T7" fmla="*/ 54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4">
                  <a:moveTo>
                    <a:pt x="90" y="54"/>
                  </a:moveTo>
                  <a:lnTo>
                    <a:pt x="94" y="48"/>
                  </a:lnTo>
                  <a:lnTo>
                    <a:pt x="0" y="0"/>
                  </a:lnTo>
                  <a:lnTo>
                    <a:pt x="9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3" name="Freeform 275">
              <a:extLst>
                <a:ext uri="{FF2B5EF4-FFF2-40B4-BE49-F238E27FC236}">
                  <a16:creationId xmlns:a16="http://schemas.microsoft.com/office/drawing/2014/main" id="{00000000-0008-0000-2D00-0000A3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4 w 97"/>
                <a:gd name="T1" fmla="*/ 48 h 48"/>
                <a:gd name="T2" fmla="*/ 97 w 97"/>
                <a:gd name="T3" fmla="*/ 42 h 48"/>
                <a:gd name="T4" fmla="*/ 0 w 97"/>
                <a:gd name="T5" fmla="*/ 0 h 48"/>
                <a:gd name="T6" fmla="*/ 94 w 97"/>
                <a:gd name="T7" fmla="*/ 48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8">
                  <a:moveTo>
                    <a:pt x="94" y="48"/>
                  </a:moveTo>
                  <a:lnTo>
                    <a:pt x="97" y="42"/>
                  </a:lnTo>
                  <a:lnTo>
                    <a:pt x="0" y="0"/>
                  </a:lnTo>
                  <a:lnTo>
                    <a:pt x="94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4" name="Freeform 276">
              <a:extLst>
                <a:ext uri="{FF2B5EF4-FFF2-40B4-BE49-F238E27FC236}">
                  <a16:creationId xmlns:a16="http://schemas.microsoft.com/office/drawing/2014/main" id="{00000000-0008-0000-2D00-0000A4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7 w 99"/>
                <a:gd name="T1" fmla="*/ 42 h 42"/>
                <a:gd name="T2" fmla="*/ 99 w 99"/>
                <a:gd name="T3" fmla="*/ 35 h 42"/>
                <a:gd name="T4" fmla="*/ 0 w 99"/>
                <a:gd name="T5" fmla="*/ 0 h 42"/>
                <a:gd name="T6" fmla="*/ 97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7" y="42"/>
                  </a:moveTo>
                  <a:lnTo>
                    <a:pt x="99" y="35"/>
                  </a:lnTo>
                  <a:lnTo>
                    <a:pt x="0" y="0"/>
                  </a:lnTo>
                  <a:lnTo>
                    <a:pt x="97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5" name="Freeform 277">
              <a:extLst>
                <a:ext uri="{FF2B5EF4-FFF2-40B4-BE49-F238E27FC236}">
                  <a16:creationId xmlns:a16="http://schemas.microsoft.com/office/drawing/2014/main" id="{00000000-0008-0000-2D00-0000A5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99 w 102"/>
                <a:gd name="T1" fmla="*/ 35 h 35"/>
                <a:gd name="T2" fmla="*/ 102 w 102"/>
                <a:gd name="T3" fmla="*/ 28 h 35"/>
                <a:gd name="T4" fmla="*/ 0 w 102"/>
                <a:gd name="T5" fmla="*/ 0 h 35"/>
                <a:gd name="T6" fmla="*/ 99 w 102"/>
                <a:gd name="T7" fmla="*/ 35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99" y="35"/>
                  </a:moveTo>
                  <a:lnTo>
                    <a:pt x="102" y="28"/>
                  </a:lnTo>
                  <a:lnTo>
                    <a:pt x="0" y="0"/>
                  </a:lnTo>
                  <a:lnTo>
                    <a:pt x="99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6" name="Freeform 278">
              <a:extLst>
                <a:ext uri="{FF2B5EF4-FFF2-40B4-BE49-F238E27FC236}">
                  <a16:creationId xmlns:a16="http://schemas.microsoft.com/office/drawing/2014/main" id="{00000000-0008-0000-2D00-0000A6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2 w 103"/>
                <a:gd name="T1" fmla="*/ 28 h 28"/>
                <a:gd name="T2" fmla="*/ 103 w 103"/>
                <a:gd name="T3" fmla="*/ 21 h 28"/>
                <a:gd name="T4" fmla="*/ 0 w 103"/>
                <a:gd name="T5" fmla="*/ 0 h 28"/>
                <a:gd name="T6" fmla="*/ 102 w 103"/>
                <a:gd name="T7" fmla="*/ 28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102" y="28"/>
                  </a:moveTo>
                  <a:lnTo>
                    <a:pt x="103" y="21"/>
                  </a:lnTo>
                  <a:lnTo>
                    <a:pt x="0" y="0"/>
                  </a:lnTo>
                  <a:lnTo>
                    <a:pt x="102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7" name="Freeform 279">
              <a:extLst>
                <a:ext uri="{FF2B5EF4-FFF2-40B4-BE49-F238E27FC236}">
                  <a16:creationId xmlns:a16="http://schemas.microsoft.com/office/drawing/2014/main" id="{00000000-0008-0000-2D00-0000A7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3 w 104"/>
                <a:gd name="T1" fmla="*/ 21 h 21"/>
                <a:gd name="T2" fmla="*/ 104 w 104"/>
                <a:gd name="T3" fmla="*/ 14 h 21"/>
                <a:gd name="T4" fmla="*/ 0 w 104"/>
                <a:gd name="T5" fmla="*/ 0 h 21"/>
                <a:gd name="T6" fmla="*/ 103 w 104"/>
                <a:gd name="T7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103" y="21"/>
                  </a:moveTo>
                  <a:lnTo>
                    <a:pt x="104" y="14"/>
                  </a:lnTo>
                  <a:lnTo>
                    <a:pt x="0" y="0"/>
                  </a:lnTo>
                  <a:lnTo>
                    <a:pt x="103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8" name="Freeform 280">
              <a:extLst>
                <a:ext uri="{FF2B5EF4-FFF2-40B4-BE49-F238E27FC236}">
                  <a16:creationId xmlns:a16="http://schemas.microsoft.com/office/drawing/2014/main" id="{00000000-0008-0000-2D00-0000A8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4 w 105"/>
                <a:gd name="T1" fmla="*/ 14 h 14"/>
                <a:gd name="T2" fmla="*/ 105 w 105"/>
                <a:gd name="T3" fmla="*/ 7 h 14"/>
                <a:gd name="T4" fmla="*/ 0 w 105"/>
                <a:gd name="T5" fmla="*/ 0 h 14"/>
                <a:gd name="T6" fmla="*/ 104 w 105"/>
                <a:gd name="T7" fmla="*/ 14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104" y="14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9" name="Freeform 281">
              <a:extLst>
                <a:ext uri="{FF2B5EF4-FFF2-40B4-BE49-F238E27FC236}">
                  <a16:creationId xmlns:a16="http://schemas.microsoft.com/office/drawing/2014/main" id="{00000000-0008-0000-2D00-0000A900000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0" name="Freeform 282">
              <a:extLst>
                <a:ext uri="{FF2B5EF4-FFF2-40B4-BE49-F238E27FC236}">
                  <a16:creationId xmlns:a16="http://schemas.microsoft.com/office/drawing/2014/main" id="{00000000-0008-0000-2D00-0000AA000000}"/>
                </a:ext>
              </a:extLst>
            </xdr:cNvPr>
            <xdr:cNvSpPr>
              <a:spLocks/>
            </xdr:cNvSpPr>
          </xdr:nvSpPr>
          <xdr:spPr bwMode="auto">
            <a:xfrm>
              <a:off x="1017" y="188"/>
              <a:ext cx="6" cy="9"/>
            </a:xfrm>
            <a:custGeom>
              <a:avLst/>
              <a:gdLst>
                <a:gd name="T0" fmla="*/ 351 w 351"/>
                <a:gd name="T1" fmla="*/ 439 h 526"/>
                <a:gd name="T2" fmla="*/ 264 w 351"/>
                <a:gd name="T3" fmla="*/ 526 h 526"/>
                <a:gd name="T4" fmla="*/ 87 w 351"/>
                <a:gd name="T5" fmla="*/ 526 h 526"/>
                <a:gd name="T6" fmla="*/ 0 w 351"/>
                <a:gd name="T7" fmla="*/ 439 h 526"/>
                <a:gd name="T8" fmla="*/ 0 w 351"/>
                <a:gd name="T9" fmla="*/ 88 h 526"/>
                <a:gd name="T10" fmla="*/ 87 w 351"/>
                <a:gd name="T11" fmla="*/ 0 h 526"/>
                <a:gd name="T12" fmla="*/ 264 w 351"/>
                <a:gd name="T13" fmla="*/ 0 h 526"/>
                <a:gd name="T14" fmla="*/ 351 w 351"/>
                <a:gd name="T15" fmla="*/ 88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351" h="526">
                  <a:moveTo>
                    <a:pt x="351" y="439"/>
                  </a:moveTo>
                  <a:lnTo>
                    <a:pt x="264" y="526"/>
                  </a:lnTo>
                  <a:lnTo>
                    <a:pt x="87" y="526"/>
                  </a:lnTo>
                  <a:lnTo>
                    <a:pt x="0" y="439"/>
                  </a:lnTo>
                  <a:lnTo>
                    <a:pt x="0" y="88"/>
                  </a:lnTo>
                  <a:lnTo>
                    <a:pt x="87" y="0"/>
                  </a:lnTo>
                  <a:lnTo>
                    <a:pt x="264" y="0"/>
                  </a:lnTo>
                  <a:lnTo>
                    <a:pt x="351" y="88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71" name="Freeform 283">
              <a:extLst>
                <a:ext uri="{FF2B5EF4-FFF2-40B4-BE49-F238E27FC236}">
                  <a16:creationId xmlns:a16="http://schemas.microsoft.com/office/drawing/2014/main" id="{00000000-0008-0000-2D00-0000AB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8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8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2" name="Freeform 284">
              <a:extLst>
                <a:ext uri="{FF2B5EF4-FFF2-40B4-BE49-F238E27FC236}">
                  <a16:creationId xmlns:a16="http://schemas.microsoft.com/office/drawing/2014/main" id="{00000000-0008-0000-2D00-0000AC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7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3" name="Freeform 285">
              <a:extLst>
                <a:ext uri="{FF2B5EF4-FFF2-40B4-BE49-F238E27FC236}">
                  <a16:creationId xmlns:a16="http://schemas.microsoft.com/office/drawing/2014/main" id="{00000000-0008-0000-2D00-0000AD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4 w 104"/>
                <a:gd name="T1" fmla="*/ 8 h 23"/>
                <a:gd name="T2" fmla="*/ 103 w 104"/>
                <a:gd name="T3" fmla="*/ 0 h 23"/>
                <a:gd name="T4" fmla="*/ 0 w 104"/>
                <a:gd name="T5" fmla="*/ 23 h 23"/>
                <a:gd name="T6" fmla="*/ 104 w 104"/>
                <a:gd name="T7" fmla="*/ 8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04" y="8"/>
                  </a:moveTo>
                  <a:lnTo>
                    <a:pt x="103" y="0"/>
                  </a:lnTo>
                  <a:lnTo>
                    <a:pt x="0" y="23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4" name="Freeform 286">
              <a:extLst>
                <a:ext uri="{FF2B5EF4-FFF2-40B4-BE49-F238E27FC236}">
                  <a16:creationId xmlns:a16="http://schemas.microsoft.com/office/drawing/2014/main" id="{00000000-0008-0000-2D00-0000AE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3 w 103"/>
                <a:gd name="T1" fmla="*/ 7 h 30"/>
                <a:gd name="T2" fmla="*/ 101 w 103"/>
                <a:gd name="T3" fmla="*/ 0 h 30"/>
                <a:gd name="T4" fmla="*/ 0 w 103"/>
                <a:gd name="T5" fmla="*/ 30 h 30"/>
                <a:gd name="T6" fmla="*/ 103 w 103"/>
                <a:gd name="T7" fmla="*/ 7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103" y="7"/>
                  </a:moveTo>
                  <a:lnTo>
                    <a:pt x="101" y="0"/>
                  </a:lnTo>
                  <a:lnTo>
                    <a:pt x="0" y="30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5" name="Freeform 287">
              <a:extLst>
                <a:ext uri="{FF2B5EF4-FFF2-40B4-BE49-F238E27FC236}">
                  <a16:creationId xmlns:a16="http://schemas.microsoft.com/office/drawing/2014/main" id="{00000000-0008-0000-2D00-0000AF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1 w 101"/>
                <a:gd name="T1" fmla="*/ 7 h 37"/>
                <a:gd name="T2" fmla="*/ 99 w 101"/>
                <a:gd name="T3" fmla="*/ 0 h 37"/>
                <a:gd name="T4" fmla="*/ 0 w 101"/>
                <a:gd name="T5" fmla="*/ 37 h 37"/>
                <a:gd name="T6" fmla="*/ 101 w 101"/>
                <a:gd name="T7" fmla="*/ 7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101" y="7"/>
                  </a:moveTo>
                  <a:lnTo>
                    <a:pt x="99" y="0"/>
                  </a:lnTo>
                  <a:lnTo>
                    <a:pt x="0" y="37"/>
                  </a:lnTo>
                  <a:lnTo>
                    <a:pt x="101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6" name="Freeform 288">
              <a:extLst>
                <a:ext uri="{FF2B5EF4-FFF2-40B4-BE49-F238E27FC236}">
                  <a16:creationId xmlns:a16="http://schemas.microsoft.com/office/drawing/2014/main" id="{00000000-0008-0000-2D00-0000B0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9 w 99"/>
                <a:gd name="T1" fmla="*/ 7 h 44"/>
                <a:gd name="T2" fmla="*/ 96 w 99"/>
                <a:gd name="T3" fmla="*/ 0 h 44"/>
                <a:gd name="T4" fmla="*/ 0 w 99"/>
                <a:gd name="T5" fmla="*/ 44 h 44"/>
                <a:gd name="T6" fmla="*/ 99 w 99"/>
                <a:gd name="T7" fmla="*/ 7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99" y="7"/>
                  </a:moveTo>
                  <a:lnTo>
                    <a:pt x="96" y="0"/>
                  </a:lnTo>
                  <a:lnTo>
                    <a:pt x="0" y="44"/>
                  </a:lnTo>
                  <a:lnTo>
                    <a:pt x="99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7" name="Freeform 289">
              <a:extLst>
                <a:ext uri="{FF2B5EF4-FFF2-40B4-BE49-F238E27FC236}">
                  <a16:creationId xmlns:a16="http://schemas.microsoft.com/office/drawing/2014/main" id="{00000000-0008-0000-2D00-0000B1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6 w 96"/>
                <a:gd name="T1" fmla="*/ 7 h 51"/>
                <a:gd name="T2" fmla="*/ 92 w 96"/>
                <a:gd name="T3" fmla="*/ 0 h 51"/>
                <a:gd name="T4" fmla="*/ 0 w 96"/>
                <a:gd name="T5" fmla="*/ 51 h 51"/>
                <a:gd name="T6" fmla="*/ 96 w 96"/>
                <a:gd name="T7" fmla="*/ 7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96" y="7"/>
                  </a:moveTo>
                  <a:lnTo>
                    <a:pt x="92" y="0"/>
                  </a:lnTo>
                  <a:lnTo>
                    <a:pt x="0" y="51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8" name="Freeform 290">
              <a:extLst>
                <a:ext uri="{FF2B5EF4-FFF2-40B4-BE49-F238E27FC236}">
                  <a16:creationId xmlns:a16="http://schemas.microsoft.com/office/drawing/2014/main" id="{00000000-0008-0000-2D00-0000B2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2 w 92"/>
                <a:gd name="T1" fmla="*/ 6 h 57"/>
                <a:gd name="T2" fmla="*/ 88 w 92"/>
                <a:gd name="T3" fmla="*/ 0 h 57"/>
                <a:gd name="T4" fmla="*/ 0 w 92"/>
                <a:gd name="T5" fmla="*/ 57 h 57"/>
                <a:gd name="T6" fmla="*/ 92 w 92"/>
                <a:gd name="T7" fmla="*/ 6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92" y="6"/>
                  </a:moveTo>
                  <a:lnTo>
                    <a:pt x="88" y="0"/>
                  </a:lnTo>
                  <a:lnTo>
                    <a:pt x="0" y="57"/>
                  </a:lnTo>
                  <a:lnTo>
                    <a:pt x="92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9" name="Freeform 291">
              <a:extLst>
                <a:ext uri="{FF2B5EF4-FFF2-40B4-BE49-F238E27FC236}">
                  <a16:creationId xmlns:a16="http://schemas.microsoft.com/office/drawing/2014/main" id="{00000000-0008-0000-2D00-0000B3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8 w 88"/>
                <a:gd name="T1" fmla="*/ 6 h 63"/>
                <a:gd name="T2" fmla="*/ 84 w 88"/>
                <a:gd name="T3" fmla="*/ 0 h 63"/>
                <a:gd name="T4" fmla="*/ 0 w 88"/>
                <a:gd name="T5" fmla="*/ 63 h 63"/>
                <a:gd name="T6" fmla="*/ 88 w 88"/>
                <a:gd name="T7" fmla="*/ 6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8" y="6"/>
                  </a:moveTo>
                  <a:lnTo>
                    <a:pt x="84" y="0"/>
                  </a:lnTo>
                  <a:lnTo>
                    <a:pt x="0" y="63"/>
                  </a:lnTo>
                  <a:lnTo>
                    <a:pt x="88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0" name="Freeform 292">
              <a:extLst>
                <a:ext uri="{FF2B5EF4-FFF2-40B4-BE49-F238E27FC236}">
                  <a16:creationId xmlns:a16="http://schemas.microsoft.com/office/drawing/2014/main" id="{00000000-0008-0000-2D00-0000B4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4 w 84"/>
                <a:gd name="T1" fmla="*/ 6 h 69"/>
                <a:gd name="T2" fmla="*/ 79 w 84"/>
                <a:gd name="T3" fmla="*/ 0 h 69"/>
                <a:gd name="T4" fmla="*/ 0 w 84"/>
                <a:gd name="T5" fmla="*/ 69 h 69"/>
                <a:gd name="T6" fmla="*/ 84 w 84"/>
                <a:gd name="T7" fmla="*/ 6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84" y="6"/>
                  </a:moveTo>
                  <a:lnTo>
                    <a:pt x="79" y="0"/>
                  </a:lnTo>
                  <a:lnTo>
                    <a:pt x="0" y="69"/>
                  </a:lnTo>
                  <a:lnTo>
                    <a:pt x="8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1" name="Freeform 293">
              <a:extLst>
                <a:ext uri="{FF2B5EF4-FFF2-40B4-BE49-F238E27FC236}">
                  <a16:creationId xmlns:a16="http://schemas.microsoft.com/office/drawing/2014/main" id="{00000000-0008-0000-2D00-0000B5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79 w 79"/>
                <a:gd name="T1" fmla="*/ 6 h 75"/>
                <a:gd name="T2" fmla="*/ 74 w 79"/>
                <a:gd name="T3" fmla="*/ 0 h 75"/>
                <a:gd name="T4" fmla="*/ 0 w 79"/>
                <a:gd name="T5" fmla="*/ 75 h 75"/>
                <a:gd name="T6" fmla="*/ 79 w 79"/>
                <a:gd name="T7" fmla="*/ 6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5">
                  <a:moveTo>
                    <a:pt x="79" y="6"/>
                  </a:moveTo>
                  <a:lnTo>
                    <a:pt x="74" y="0"/>
                  </a:lnTo>
                  <a:lnTo>
                    <a:pt x="0" y="75"/>
                  </a:lnTo>
                  <a:lnTo>
                    <a:pt x="7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2" name="Freeform 294">
              <a:extLst>
                <a:ext uri="{FF2B5EF4-FFF2-40B4-BE49-F238E27FC236}">
                  <a16:creationId xmlns:a16="http://schemas.microsoft.com/office/drawing/2014/main" id="{00000000-0008-0000-2D00-0000B6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74 w 74"/>
                <a:gd name="T1" fmla="*/ 5 h 80"/>
                <a:gd name="T2" fmla="*/ 69 w 74"/>
                <a:gd name="T3" fmla="*/ 0 h 80"/>
                <a:gd name="T4" fmla="*/ 0 w 74"/>
                <a:gd name="T5" fmla="*/ 80 h 80"/>
                <a:gd name="T6" fmla="*/ 74 w 74"/>
                <a:gd name="T7" fmla="*/ 5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74" y="5"/>
                  </a:moveTo>
                  <a:lnTo>
                    <a:pt x="69" y="0"/>
                  </a:lnTo>
                  <a:lnTo>
                    <a:pt x="0" y="80"/>
                  </a:lnTo>
                  <a:lnTo>
                    <a:pt x="74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3" name="Freeform 295">
              <a:extLst>
                <a:ext uri="{FF2B5EF4-FFF2-40B4-BE49-F238E27FC236}">
                  <a16:creationId xmlns:a16="http://schemas.microsoft.com/office/drawing/2014/main" id="{00000000-0008-0000-2D00-0000B7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9 w 69"/>
                <a:gd name="T1" fmla="*/ 5 h 85"/>
                <a:gd name="T2" fmla="*/ 63 w 69"/>
                <a:gd name="T3" fmla="*/ 0 h 85"/>
                <a:gd name="T4" fmla="*/ 0 w 69"/>
                <a:gd name="T5" fmla="*/ 85 h 85"/>
                <a:gd name="T6" fmla="*/ 69 w 69"/>
                <a:gd name="T7" fmla="*/ 5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9" y="5"/>
                  </a:moveTo>
                  <a:lnTo>
                    <a:pt x="63" y="0"/>
                  </a:lnTo>
                  <a:lnTo>
                    <a:pt x="0" y="85"/>
                  </a:lnTo>
                  <a:lnTo>
                    <a:pt x="69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4" name="Freeform 296">
              <a:extLst>
                <a:ext uri="{FF2B5EF4-FFF2-40B4-BE49-F238E27FC236}">
                  <a16:creationId xmlns:a16="http://schemas.microsoft.com/office/drawing/2014/main" id="{00000000-0008-0000-2D00-0000B8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3 w 63"/>
                <a:gd name="T1" fmla="*/ 4 h 89"/>
                <a:gd name="T2" fmla="*/ 57 w 63"/>
                <a:gd name="T3" fmla="*/ 0 h 89"/>
                <a:gd name="T4" fmla="*/ 0 w 63"/>
                <a:gd name="T5" fmla="*/ 89 h 89"/>
                <a:gd name="T6" fmla="*/ 63 w 63"/>
                <a:gd name="T7" fmla="*/ 4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3" y="4"/>
                  </a:moveTo>
                  <a:lnTo>
                    <a:pt x="57" y="0"/>
                  </a:lnTo>
                  <a:lnTo>
                    <a:pt x="0" y="89"/>
                  </a:lnTo>
                  <a:lnTo>
                    <a:pt x="63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5" name="Freeform 297">
              <a:extLst>
                <a:ext uri="{FF2B5EF4-FFF2-40B4-BE49-F238E27FC236}">
                  <a16:creationId xmlns:a16="http://schemas.microsoft.com/office/drawing/2014/main" id="{00000000-0008-0000-2D00-0000B9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57 w 57"/>
                <a:gd name="T1" fmla="*/ 4 h 93"/>
                <a:gd name="T2" fmla="*/ 50 w 57"/>
                <a:gd name="T3" fmla="*/ 0 h 93"/>
                <a:gd name="T4" fmla="*/ 0 w 57"/>
                <a:gd name="T5" fmla="*/ 93 h 93"/>
                <a:gd name="T6" fmla="*/ 57 w 57"/>
                <a:gd name="T7" fmla="*/ 4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57" y="4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6" name="Freeform 298">
              <a:extLst>
                <a:ext uri="{FF2B5EF4-FFF2-40B4-BE49-F238E27FC236}">
                  <a16:creationId xmlns:a16="http://schemas.microsoft.com/office/drawing/2014/main" id="{00000000-0008-0000-2D00-0000BA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50 w 50"/>
                <a:gd name="T1" fmla="*/ 3 h 96"/>
                <a:gd name="T2" fmla="*/ 44 w 50"/>
                <a:gd name="T3" fmla="*/ 0 h 96"/>
                <a:gd name="T4" fmla="*/ 0 w 50"/>
                <a:gd name="T5" fmla="*/ 96 h 96"/>
                <a:gd name="T6" fmla="*/ 50 w 50"/>
                <a:gd name="T7" fmla="*/ 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50" y="3"/>
                  </a:moveTo>
                  <a:lnTo>
                    <a:pt x="44" y="0"/>
                  </a:lnTo>
                  <a:lnTo>
                    <a:pt x="0" y="96"/>
                  </a:lnTo>
                  <a:lnTo>
                    <a:pt x="50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7" name="Freeform 299">
              <a:extLst>
                <a:ext uri="{FF2B5EF4-FFF2-40B4-BE49-F238E27FC236}">
                  <a16:creationId xmlns:a16="http://schemas.microsoft.com/office/drawing/2014/main" id="{00000000-0008-0000-2D00-0000BB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44 w 44"/>
                <a:gd name="T1" fmla="*/ 3 h 99"/>
                <a:gd name="T2" fmla="*/ 37 w 44"/>
                <a:gd name="T3" fmla="*/ 0 h 99"/>
                <a:gd name="T4" fmla="*/ 0 w 44"/>
                <a:gd name="T5" fmla="*/ 99 h 99"/>
                <a:gd name="T6" fmla="*/ 44 w 44"/>
                <a:gd name="T7" fmla="*/ 3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44" y="3"/>
                  </a:moveTo>
                  <a:lnTo>
                    <a:pt x="37" y="0"/>
                  </a:lnTo>
                  <a:lnTo>
                    <a:pt x="0" y="99"/>
                  </a:lnTo>
                  <a:lnTo>
                    <a:pt x="44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8" name="Freeform 300">
              <a:extLst>
                <a:ext uri="{FF2B5EF4-FFF2-40B4-BE49-F238E27FC236}">
                  <a16:creationId xmlns:a16="http://schemas.microsoft.com/office/drawing/2014/main" id="{00000000-0008-0000-2D00-0000BC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7 w 37"/>
                <a:gd name="T1" fmla="*/ 2 h 101"/>
                <a:gd name="T2" fmla="*/ 30 w 37"/>
                <a:gd name="T3" fmla="*/ 0 h 101"/>
                <a:gd name="T4" fmla="*/ 0 w 37"/>
                <a:gd name="T5" fmla="*/ 101 h 101"/>
                <a:gd name="T6" fmla="*/ 37 w 37"/>
                <a:gd name="T7" fmla="*/ 2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7" y="2"/>
                  </a:moveTo>
                  <a:lnTo>
                    <a:pt x="30" y="0"/>
                  </a:lnTo>
                  <a:lnTo>
                    <a:pt x="0" y="101"/>
                  </a:lnTo>
                  <a:lnTo>
                    <a:pt x="37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9" name="Freeform 301">
              <a:extLst>
                <a:ext uri="{FF2B5EF4-FFF2-40B4-BE49-F238E27FC236}">
                  <a16:creationId xmlns:a16="http://schemas.microsoft.com/office/drawing/2014/main" id="{00000000-0008-0000-2D00-0000BD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0 w 30"/>
                <a:gd name="T1" fmla="*/ 2 h 103"/>
                <a:gd name="T2" fmla="*/ 22 w 30"/>
                <a:gd name="T3" fmla="*/ 0 h 103"/>
                <a:gd name="T4" fmla="*/ 0 w 30"/>
                <a:gd name="T5" fmla="*/ 103 h 103"/>
                <a:gd name="T6" fmla="*/ 30 w 30"/>
                <a:gd name="T7" fmla="*/ 2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30" y="2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30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0" name="Freeform 302">
              <a:extLst>
                <a:ext uri="{FF2B5EF4-FFF2-40B4-BE49-F238E27FC236}">
                  <a16:creationId xmlns:a16="http://schemas.microsoft.com/office/drawing/2014/main" id="{00000000-0008-0000-2D00-0000BE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1" name="Freeform 303">
              <a:extLst>
                <a:ext uri="{FF2B5EF4-FFF2-40B4-BE49-F238E27FC236}">
                  <a16:creationId xmlns:a16="http://schemas.microsoft.com/office/drawing/2014/main" id="{00000000-0008-0000-2D00-0000BF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2" name="Freeform 304">
              <a:extLst>
                <a:ext uri="{FF2B5EF4-FFF2-40B4-BE49-F238E27FC236}">
                  <a16:creationId xmlns:a16="http://schemas.microsoft.com/office/drawing/2014/main" id="{00000000-0008-0000-2D00-0000C0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3" name="Freeform 305">
              <a:extLst>
                <a:ext uri="{FF2B5EF4-FFF2-40B4-BE49-F238E27FC236}">
                  <a16:creationId xmlns:a16="http://schemas.microsoft.com/office/drawing/2014/main" id="{00000000-0008-0000-2D00-0000C1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8 w 8"/>
                <a:gd name="T1" fmla="*/ 0 h 106"/>
                <a:gd name="T2" fmla="*/ 0 w 8"/>
                <a:gd name="T3" fmla="*/ 1 h 106"/>
                <a:gd name="T4" fmla="*/ 8 w 8"/>
                <a:gd name="T5" fmla="*/ 106 h 106"/>
                <a:gd name="T6" fmla="*/ 8 w 8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6">
                  <a:moveTo>
                    <a:pt x="8" y="0"/>
                  </a:moveTo>
                  <a:lnTo>
                    <a:pt x="0" y="1"/>
                  </a:lnTo>
                  <a:lnTo>
                    <a:pt x="8" y="106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4" name="Freeform 306">
              <a:extLst>
                <a:ext uri="{FF2B5EF4-FFF2-40B4-BE49-F238E27FC236}">
                  <a16:creationId xmlns:a16="http://schemas.microsoft.com/office/drawing/2014/main" id="{00000000-0008-0000-2D00-0000C2000000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15"/>
                <a:gd name="T1" fmla="*/ 0 h 105"/>
                <a:gd name="T2" fmla="*/ 0 w 15"/>
                <a:gd name="T3" fmla="*/ 0 h 105"/>
                <a:gd name="T4" fmla="*/ 15 w 15"/>
                <a:gd name="T5" fmla="*/ 105 h 105"/>
                <a:gd name="T6" fmla="*/ 7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0"/>
                  </a:moveTo>
                  <a:lnTo>
                    <a:pt x="0" y="0"/>
                  </a:lnTo>
                  <a:lnTo>
                    <a:pt x="15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5" name="Freeform 307">
              <a:extLst>
                <a:ext uri="{FF2B5EF4-FFF2-40B4-BE49-F238E27FC236}">
                  <a16:creationId xmlns:a16="http://schemas.microsoft.com/office/drawing/2014/main" id="{00000000-0008-0000-2D00-0000C3000000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22"/>
                <a:gd name="T1" fmla="*/ 0 h 105"/>
                <a:gd name="T2" fmla="*/ 0 w 22"/>
                <a:gd name="T3" fmla="*/ 2 h 105"/>
                <a:gd name="T4" fmla="*/ 22 w 22"/>
                <a:gd name="T5" fmla="*/ 105 h 105"/>
                <a:gd name="T6" fmla="*/ 7 w 22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7" y="0"/>
                  </a:moveTo>
                  <a:lnTo>
                    <a:pt x="0" y="2"/>
                  </a:lnTo>
                  <a:lnTo>
                    <a:pt x="22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6" name="Freeform 308">
              <a:extLst>
                <a:ext uri="{FF2B5EF4-FFF2-40B4-BE49-F238E27FC236}">
                  <a16:creationId xmlns:a16="http://schemas.microsoft.com/office/drawing/2014/main" id="{00000000-0008-0000-2D00-0000C4000000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8 w 30"/>
                <a:gd name="T1" fmla="*/ 0 h 103"/>
                <a:gd name="T2" fmla="*/ 0 w 30"/>
                <a:gd name="T3" fmla="*/ 2 h 103"/>
                <a:gd name="T4" fmla="*/ 30 w 30"/>
                <a:gd name="T5" fmla="*/ 103 h 103"/>
                <a:gd name="T6" fmla="*/ 8 w 30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8" y="0"/>
                  </a:moveTo>
                  <a:lnTo>
                    <a:pt x="0" y="2"/>
                  </a:lnTo>
                  <a:lnTo>
                    <a:pt x="30" y="10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7" name="Freeform 309">
              <a:extLst>
                <a:ext uri="{FF2B5EF4-FFF2-40B4-BE49-F238E27FC236}">
                  <a16:creationId xmlns:a16="http://schemas.microsoft.com/office/drawing/2014/main" id="{00000000-0008-0000-2D00-0000C5000000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37"/>
                <a:gd name="T1" fmla="*/ 0 h 101"/>
                <a:gd name="T2" fmla="*/ 0 w 37"/>
                <a:gd name="T3" fmla="*/ 2 h 101"/>
                <a:gd name="T4" fmla="*/ 37 w 37"/>
                <a:gd name="T5" fmla="*/ 101 h 101"/>
                <a:gd name="T6" fmla="*/ 7 w 37"/>
                <a:gd name="T7" fmla="*/ 0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7" y="0"/>
                  </a:moveTo>
                  <a:lnTo>
                    <a:pt x="0" y="2"/>
                  </a:lnTo>
                  <a:lnTo>
                    <a:pt x="37" y="10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8" name="Freeform 310">
              <a:extLst>
                <a:ext uri="{FF2B5EF4-FFF2-40B4-BE49-F238E27FC236}">
                  <a16:creationId xmlns:a16="http://schemas.microsoft.com/office/drawing/2014/main" id="{00000000-0008-0000-2D00-0000C6000000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44"/>
                <a:gd name="T1" fmla="*/ 0 h 99"/>
                <a:gd name="T2" fmla="*/ 0 w 44"/>
                <a:gd name="T3" fmla="*/ 3 h 99"/>
                <a:gd name="T4" fmla="*/ 44 w 44"/>
                <a:gd name="T5" fmla="*/ 99 h 99"/>
                <a:gd name="T6" fmla="*/ 7 w 44"/>
                <a:gd name="T7" fmla="*/ 0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7" y="0"/>
                  </a:moveTo>
                  <a:lnTo>
                    <a:pt x="0" y="3"/>
                  </a:lnTo>
                  <a:lnTo>
                    <a:pt x="44" y="99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9" name="Freeform 311">
              <a:extLst>
                <a:ext uri="{FF2B5EF4-FFF2-40B4-BE49-F238E27FC236}">
                  <a16:creationId xmlns:a16="http://schemas.microsoft.com/office/drawing/2014/main" id="{00000000-0008-0000-2D00-0000C7000000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50"/>
                <a:gd name="T1" fmla="*/ 0 h 96"/>
                <a:gd name="T2" fmla="*/ 0 w 50"/>
                <a:gd name="T3" fmla="*/ 3 h 96"/>
                <a:gd name="T4" fmla="*/ 50 w 50"/>
                <a:gd name="T5" fmla="*/ 96 h 96"/>
                <a:gd name="T6" fmla="*/ 6 w 50"/>
                <a:gd name="T7" fmla="*/ 0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6" y="0"/>
                  </a:moveTo>
                  <a:lnTo>
                    <a:pt x="0" y="3"/>
                  </a:lnTo>
                  <a:lnTo>
                    <a:pt x="50" y="9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0" name="Freeform 312">
              <a:extLst>
                <a:ext uri="{FF2B5EF4-FFF2-40B4-BE49-F238E27FC236}">
                  <a16:creationId xmlns:a16="http://schemas.microsoft.com/office/drawing/2014/main" id="{00000000-0008-0000-2D00-0000C8000000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57"/>
                <a:gd name="T1" fmla="*/ 0 h 93"/>
                <a:gd name="T2" fmla="*/ 0 w 57"/>
                <a:gd name="T3" fmla="*/ 4 h 93"/>
                <a:gd name="T4" fmla="*/ 57 w 57"/>
                <a:gd name="T5" fmla="*/ 93 h 93"/>
                <a:gd name="T6" fmla="*/ 7 w 57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7" y="0"/>
                  </a:moveTo>
                  <a:lnTo>
                    <a:pt x="0" y="4"/>
                  </a:lnTo>
                  <a:lnTo>
                    <a:pt x="57" y="9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1" name="Freeform 313">
              <a:extLst>
                <a:ext uri="{FF2B5EF4-FFF2-40B4-BE49-F238E27FC236}">
                  <a16:creationId xmlns:a16="http://schemas.microsoft.com/office/drawing/2014/main" id="{00000000-0008-0000-2D00-0000C9000000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63"/>
                <a:gd name="T1" fmla="*/ 0 h 89"/>
                <a:gd name="T2" fmla="*/ 0 w 63"/>
                <a:gd name="T3" fmla="*/ 4 h 89"/>
                <a:gd name="T4" fmla="*/ 63 w 63"/>
                <a:gd name="T5" fmla="*/ 89 h 89"/>
                <a:gd name="T6" fmla="*/ 6 w 63"/>
                <a:gd name="T7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" y="0"/>
                  </a:moveTo>
                  <a:lnTo>
                    <a:pt x="0" y="4"/>
                  </a:lnTo>
                  <a:lnTo>
                    <a:pt x="63" y="89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2" name="Freeform 314">
              <a:extLst>
                <a:ext uri="{FF2B5EF4-FFF2-40B4-BE49-F238E27FC236}">
                  <a16:creationId xmlns:a16="http://schemas.microsoft.com/office/drawing/2014/main" id="{00000000-0008-0000-2D00-0000CA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6 w 69"/>
                <a:gd name="T1" fmla="*/ 0 h 85"/>
                <a:gd name="T2" fmla="*/ 0 w 69"/>
                <a:gd name="T3" fmla="*/ 5 h 85"/>
                <a:gd name="T4" fmla="*/ 69 w 69"/>
                <a:gd name="T5" fmla="*/ 85 h 85"/>
                <a:gd name="T6" fmla="*/ 6 w 69"/>
                <a:gd name="T7" fmla="*/ 0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" y="0"/>
                  </a:moveTo>
                  <a:lnTo>
                    <a:pt x="0" y="5"/>
                  </a:lnTo>
                  <a:lnTo>
                    <a:pt x="69" y="8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3" name="Freeform 315">
              <a:extLst>
                <a:ext uri="{FF2B5EF4-FFF2-40B4-BE49-F238E27FC236}">
                  <a16:creationId xmlns:a16="http://schemas.microsoft.com/office/drawing/2014/main" id="{00000000-0008-0000-2D00-0000CB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5 w 74"/>
                <a:gd name="T1" fmla="*/ 0 h 80"/>
                <a:gd name="T2" fmla="*/ 0 w 74"/>
                <a:gd name="T3" fmla="*/ 5 h 80"/>
                <a:gd name="T4" fmla="*/ 74 w 74"/>
                <a:gd name="T5" fmla="*/ 80 h 80"/>
                <a:gd name="T6" fmla="*/ 5 w 74"/>
                <a:gd name="T7" fmla="*/ 0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5" y="0"/>
                  </a:moveTo>
                  <a:lnTo>
                    <a:pt x="0" y="5"/>
                  </a:lnTo>
                  <a:lnTo>
                    <a:pt x="74" y="8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4" name="Freeform 316">
              <a:extLst>
                <a:ext uri="{FF2B5EF4-FFF2-40B4-BE49-F238E27FC236}">
                  <a16:creationId xmlns:a16="http://schemas.microsoft.com/office/drawing/2014/main" id="{00000000-0008-0000-2D00-0000CC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6 w 80"/>
                <a:gd name="T1" fmla="*/ 0 h 75"/>
                <a:gd name="T2" fmla="*/ 0 w 80"/>
                <a:gd name="T3" fmla="*/ 6 h 75"/>
                <a:gd name="T4" fmla="*/ 80 w 80"/>
                <a:gd name="T5" fmla="*/ 75 h 75"/>
                <a:gd name="T6" fmla="*/ 6 w 80"/>
                <a:gd name="T7" fmla="*/ 0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5">
                  <a:moveTo>
                    <a:pt x="6" y="0"/>
                  </a:moveTo>
                  <a:lnTo>
                    <a:pt x="0" y="6"/>
                  </a:lnTo>
                  <a:lnTo>
                    <a:pt x="80" y="7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5" name="Freeform 317">
              <a:extLst>
                <a:ext uri="{FF2B5EF4-FFF2-40B4-BE49-F238E27FC236}">
                  <a16:creationId xmlns:a16="http://schemas.microsoft.com/office/drawing/2014/main" id="{00000000-0008-0000-2D00-0000CD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84"/>
                <a:gd name="T1" fmla="*/ 0 h 69"/>
                <a:gd name="T2" fmla="*/ 0 w 84"/>
                <a:gd name="T3" fmla="*/ 6 h 69"/>
                <a:gd name="T4" fmla="*/ 84 w 84"/>
                <a:gd name="T5" fmla="*/ 69 h 69"/>
                <a:gd name="T6" fmla="*/ 4 w 84"/>
                <a:gd name="T7" fmla="*/ 0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4" y="0"/>
                  </a:moveTo>
                  <a:lnTo>
                    <a:pt x="0" y="6"/>
                  </a:lnTo>
                  <a:lnTo>
                    <a:pt x="84" y="69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6" name="Freeform 318">
              <a:extLst>
                <a:ext uri="{FF2B5EF4-FFF2-40B4-BE49-F238E27FC236}">
                  <a16:creationId xmlns:a16="http://schemas.microsoft.com/office/drawing/2014/main" id="{00000000-0008-0000-2D00-0000CE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5 w 89"/>
                <a:gd name="T1" fmla="*/ 0 h 63"/>
                <a:gd name="T2" fmla="*/ 0 w 89"/>
                <a:gd name="T3" fmla="*/ 6 h 63"/>
                <a:gd name="T4" fmla="*/ 89 w 89"/>
                <a:gd name="T5" fmla="*/ 63 h 63"/>
                <a:gd name="T6" fmla="*/ 5 w 89"/>
                <a:gd name="T7" fmla="*/ 0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5" y="0"/>
                  </a:moveTo>
                  <a:lnTo>
                    <a:pt x="0" y="6"/>
                  </a:lnTo>
                  <a:lnTo>
                    <a:pt x="89" y="63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7" name="Freeform 319">
              <a:extLst>
                <a:ext uri="{FF2B5EF4-FFF2-40B4-BE49-F238E27FC236}">
                  <a16:creationId xmlns:a16="http://schemas.microsoft.com/office/drawing/2014/main" id="{00000000-0008-0000-2D00-0000CF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2"/>
                <a:gd name="T1" fmla="*/ 0 h 57"/>
                <a:gd name="T2" fmla="*/ 0 w 92"/>
                <a:gd name="T3" fmla="*/ 6 h 57"/>
                <a:gd name="T4" fmla="*/ 92 w 92"/>
                <a:gd name="T5" fmla="*/ 57 h 57"/>
                <a:gd name="T6" fmla="*/ 3 w 92"/>
                <a:gd name="T7" fmla="*/ 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3" y="0"/>
                  </a:moveTo>
                  <a:lnTo>
                    <a:pt x="0" y="6"/>
                  </a:lnTo>
                  <a:lnTo>
                    <a:pt x="92" y="57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8" name="Freeform 320">
              <a:extLst>
                <a:ext uri="{FF2B5EF4-FFF2-40B4-BE49-F238E27FC236}">
                  <a16:creationId xmlns:a16="http://schemas.microsoft.com/office/drawing/2014/main" id="{00000000-0008-0000-2D00-0000D0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96"/>
                <a:gd name="T1" fmla="*/ 0 h 51"/>
                <a:gd name="T2" fmla="*/ 0 w 96"/>
                <a:gd name="T3" fmla="*/ 7 h 51"/>
                <a:gd name="T4" fmla="*/ 96 w 96"/>
                <a:gd name="T5" fmla="*/ 51 h 51"/>
                <a:gd name="T6" fmla="*/ 4 w 96"/>
                <a:gd name="T7" fmla="*/ 0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4" y="0"/>
                  </a:moveTo>
                  <a:lnTo>
                    <a:pt x="0" y="7"/>
                  </a:lnTo>
                  <a:lnTo>
                    <a:pt x="96" y="5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9" name="Freeform 321">
              <a:extLst>
                <a:ext uri="{FF2B5EF4-FFF2-40B4-BE49-F238E27FC236}">
                  <a16:creationId xmlns:a16="http://schemas.microsoft.com/office/drawing/2014/main" id="{00000000-0008-0000-2D00-0000D1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9"/>
                <a:gd name="T1" fmla="*/ 0 h 44"/>
                <a:gd name="T2" fmla="*/ 0 w 99"/>
                <a:gd name="T3" fmla="*/ 7 h 44"/>
                <a:gd name="T4" fmla="*/ 99 w 99"/>
                <a:gd name="T5" fmla="*/ 44 h 44"/>
                <a:gd name="T6" fmla="*/ 3 w 99"/>
                <a:gd name="T7" fmla="*/ 0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3" y="0"/>
                  </a:moveTo>
                  <a:lnTo>
                    <a:pt x="0" y="7"/>
                  </a:lnTo>
                  <a:lnTo>
                    <a:pt x="99" y="44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0" name="Freeform 322">
              <a:extLst>
                <a:ext uri="{FF2B5EF4-FFF2-40B4-BE49-F238E27FC236}">
                  <a16:creationId xmlns:a16="http://schemas.microsoft.com/office/drawing/2014/main" id="{00000000-0008-0000-2D00-0000D2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1"/>
                <a:gd name="T1" fmla="*/ 0 h 37"/>
                <a:gd name="T2" fmla="*/ 0 w 101"/>
                <a:gd name="T3" fmla="*/ 7 h 37"/>
                <a:gd name="T4" fmla="*/ 101 w 101"/>
                <a:gd name="T5" fmla="*/ 37 h 37"/>
                <a:gd name="T6" fmla="*/ 2 w 101"/>
                <a:gd name="T7" fmla="*/ 0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2" y="0"/>
                  </a:moveTo>
                  <a:lnTo>
                    <a:pt x="0" y="7"/>
                  </a:lnTo>
                  <a:lnTo>
                    <a:pt x="101" y="37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1" name="Freeform 323">
              <a:extLst>
                <a:ext uri="{FF2B5EF4-FFF2-40B4-BE49-F238E27FC236}">
                  <a16:creationId xmlns:a16="http://schemas.microsoft.com/office/drawing/2014/main" id="{00000000-0008-0000-2D00-0000D3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3"/>
                <a:gd name="T1" fmla="*/ 0 h 30"/>
                <a:gd name="T2" fmla="*/ 0 w 103"/>
                <a:gd name="T3" fmla="*/ 7 h 30"/>
                <a:gd name="T4" fmla="*/ 103 w 103"/>
                <a:gd name="T5" fmla="*/ 30 h 30"/>
                <a:gd name="T6" fmla="*/ 2 w 103"/>
                <a:gd name="T7" fmla="*/ 0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2" y="0"/>
                  </a:moveTo>
                  <a:lnTo>
                    <a:pt x="0" y="7"/>
                  </a:lnTo>
                  <a:lnTo>
                    <a:pt x="103" y="3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2" name="Freeform 324">
              <a:extLst>
                <a:ext uri="{FF2B5EF4-FFF2-40B4-BE49-F238E27FC236}">
                  <a16:creationId xmlns:a16="http://schemas.microsoft.com/office/drawing/2014/main" id="{00000000-0008-0000-2D00-0000D4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1 w 104"/>
                <a:gd name="T1" fmla="*/ 0 h 23"/>
                <a:gd name="T2" fmla="*/ 0 w 104"/>
                <a:gd name="T3" fmla="*/ 8 h 23"/>
                <a:gd name="T4" fmla="*/ 104 w 104"/>
                <a:gd name="T5" fmla="*/ 23 h 23"/>
                <a:gd name="T6" fmla="*/ 1 w 104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" y="0"/>
                  </a:moveTo>
                  <a:lnTo>
                    <a:pt x="0" y="8"/>
                  </a:lnTo>
                  <a:lnTo>
                    <a:pt x="104" y="2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3" name="Freeform 325">
              <a:extLst>
                <a:ext uri="{FF2B5EF4-FFF2-40B4-BE49-F238E27FC236}">
                  <a16:creationId xmlns:a16="http://schemas.microsoft.com/office/drawing/2014/main" id="{00000000-0008-0000-2D00-0000D5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7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7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4" name="Freeform 326">
              <a:extLst>
                <a:ext uri="{FF2B5EF4-FFF2-40B4-BE49-F238E27FC236}">
                  <a16:creationId xmlns:a16="http://schemas.microsoft.com/office/drawing/2014/main" id="{00000000-0008-0000-2D00-0000D6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8"/>
                <a:gd name="T2" fmla="*/ 0 w 105"/>
                <a:gd name="T3" fmla="*/ 8 h 8"/>
                <a:gd name="T4" fmla="*/ 105 w 105"/>
                <a:gd name="T5" fmla="*/ 8 h 8"/>
                <a:gd name="T6" fmla="*/ 0 w 105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0" y="0"/>
                  </a:moveTo>
                  <a:lnTo>
                    <a:pt x="0" y="8"/>
                  </a:lnTo>
                  <a:lnTo>
                    <a:pt x="105" y="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5" name="Freeform 327">
              <a:extLst>
                <a:ext uri="{FF2B5EF4-FFF2-40B4-BE49-F238E27FC236}">
                  <a16:creationId xmlns:a16="http://schemas.microsoft.com/office/drawing/2014/main" id="{00000000-0008-0000-2D00-0000D7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6" name="Freeform 328">
              <a:extLst>
                <a:ext uri="{FF2B5EF4-FFF2-40B4-BE49-F238E27FC236}">
                  <a16:creationId xmlns:a16="http://schemas.microsoft.com/office/drawing/2014/main" id="{00000000-0008-0000-2D00-0000D8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7 h 15"/>
                <a:gd name="T2" fmla="*/ 1 w 105"/>
                <a:gd name="T3" fmla="*/ 15 h 15"/>
                <a:gd name="T4" fmla="*/ 105 w 105"/>
                <a:gd name="T5" fmla="*/ 0 h 15"/>
                <a:gd name="T6" fmla="*/ 0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0" y="7"/>
                  </a:moveTo>
                  <a:lnTo>
                    <a:pt x="1" y="15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7" name="Freeform 329">
              <a:extLst>
                <a:ext uri="{FF2B5EF4-FFF2-40B4-BE49-F238E27FC236}">
                  <a16:creationId xmlns:a16="http://schemas.microsoft.com/office/drawing/2014/main" id="{00000000-0008-0000-2D00-0000D9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4"/>
                <a:gd name="T1" fmla="*/ 15 h 22"/>
                <a:gd name="T2" fmla="*/ 1 w 104"/>
                <a:gd name="T3" fmla="*/ 22 h 22"/>
                <a:gd name="T4" fmla="*/ 104 w 104"/>
                <a:gd name="T5" fmla="*/ 0 h 22"/>
                <a:gd name="T6" fmla="*/ 0 w 104"/>
                <a:gd name="T7" fmla="*/ 15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0" y="15"/>
                  </a:moveTo>
                  <a:lnTo>
                    <a:pt x="1" y="22"/>
                  </a:lnTo>
                  <a:lnTo>
                    <a:pt x="104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8" name="Freeform 330">
              <a:extLst>
                <a:ext uri="{FF2B5EF4-FFF2-40B4-BE49-F238E27FC236}">
                  <a16:creationId xmlns:a16="http://schemas.microsoft.com/office/drawing/2014/main" id="{00000000-0008-0000-2D00-0000DA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3"/>
                <a:gd name="T1" fmla="*/ 22 h 29"/>
                <a:gd name="T2" fmla="*/ 2 w 103"/>
                <a:gd name="T3" fmla="*/ 29 h 29"/>
                <a:gd name="T4" fmla="*/ 103 w 103"/>
                <a:gd name="T5" fmla="*/ 0 h 29"/>
                <a:gd name="T6" fmla="*/ 0 w 103"/>
                <a:gd name="T7" fmla="*/ 22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0" y="22"/>
                  </a:moveTo>
                  <a:lnTo>
                    <a:pt x="2" y="29"/>
                  </a:lnTo>
                  <a:lnTo>
                    <a:pt x="103" y="0"/>
                  </a:lnTo>
                  <a:lnTo>
                    <a:pt x="0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9" name="Freeform 331">
              <a:extLst>
                <a:ext uri="{FF2B5EF4-FFF2-40B4-BE49-F238E27FC236}">
                  <a16:creationId xmlns:a16="http://schemas.microsoft.com/office/drawing/2014/main" id="{00000000-0008-0000-2D00-0000DB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1"/>
                <a:gd name="T1" fmla="*/ 29 h 36"/>
                <a:gd name="T2" fmla="*/ 2 w 101"/>
                <a:gd name="T3" fmla="*/ 36 h 36"/>
                <a:gd name="T4" fmla="*/ 101 w 101"/>
                <a:gd name="T5" fmla="*/ 0 h 36"/>
                <a:gd name="T6" fmla="*/ 0 w 101"/>
                <a:gd name="T7" fmla="*/ 29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0" y="29"/>
                  </a:moveTo>
                  <a:lnTo>
                    <a:pt x="2" y="36"/>
                  </a:lnTo>
                  <a:lnTo>
                    <a:pt x="101" y="0"/>
                  </a:lnTo>
                  <a:lnTo>
                    <a:pt x="0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0" name="Freeform 332">
              <a:extLst>
                <a:ext uri="{FF2B5EF4-FFF2-40B4-BE49-F238E27FC236}">
                  <a16:creationId xmlns:a16="http://schemas.microsoft.com/office/drawing/2014/main" id="{00000000-0008-0000-2D00-0000DC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9"/>
                <a:gd name="T1" fmla="*/ 36 h 43"/>
                <a:gd name="T2" fmla="*/ 3 w 99"/>
                <a:gd name="T3" fmla="*/ 43 h 43"/>
                <a:gd name="T4" fmla="*/ 99 w 99"/>
                <a:gd name="T5" fmla="*/ 0 h 43"/>
                <a:gd name="T6" fmla="*/ 0 w 99"/>
                <a:gd name="T7" fmla="*/ 36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0" y="36"/>
                  </a:moveTo>
                  <a:lnTo>
                    <a:pt x="3" y="43"/>
                  </a:lnTo>
                  <a:lnTo>
                    <a:pt x="99" y="0"/>
                  </a:lnTo>
                  <a:lnTo>
                    <a:pt x="0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1" name="Freeform 333">
              <a:extLst>
                <a:ext uri="{FF2B5EF4-FFF2-40B4-BE49-F238E27FC236}">
                  <a16:creationId xmlns:a16="http://schemas.microsoft.com/office/drawing/2014/main" id="{00000000-0008-0000-2D00-0000DD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6"/>
                <a:gd name="T1" fmla="*/ 43 h 50"/>
                <a:gd name="T2" fmla="*/ 4 w 96"/>
                <a:gd name="T3" fmla="*/ 50 h 50"/>
                <a:gd name="T4" fmla="*/ 96 w 96"/>
                <a:gd name="T5" fmla="*/ 0 h 50"/>
                <a:gd name="T6" fmla="*/ 0 w 96"/>
                <a:gd name="T7" fmla="*/ 43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0" y="43"/>
                  </a:moveTo>
                  <a:lnTo>
                    <a:pt x="4" y="50"/>
                  </a:lnTo>
                  <a:lnTo>
                    <a:pt x="96" y="0"/>
                  </a:lnTo>
                  <a:lnTo>
                    <a:pt x="0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2" name="Freeform 334">
              <a:extLst>
                <a:ext uri="{FF2B5EF4-FFF2-40B4-BE49-F238E27FC236}">
                  <a16:creationId xmlns:a16="http://schemas.microsoft.com/office/drawing/2014/main" id="{00000000-0008-0000-2D00-0000DE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2"/>
                <a:gd name="T1" fmla="*/ 50 h 57"/>
                <a:gd name="T2" fmla="*/ 3 w 92"/>
                <a:gd name="T3" fmla="*/ 57 h 57"/>
                <a:gd name="T4" fmla="*/ 92 w 92"/>
                <a:gd name="T5" fmla="*/ 0 h 57"/>
                <a:gd name="T6" fmla="*/ 0 w 92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0" y="50"/>
                  </a:moveTo>
                  <a:lnTo>
                    <a:pt x="3" y="57"/>
                  </a:lnTo>
                  <a:lnTo>
                    <a:pt x="92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3" name="Freeform 335">
              <a:extLst>
                <a:ext uri="{FF2B5EF4-FFF2-40B4-BE49-F238E27FC236}">
                  <a16:creationId xmlns:a16="http://schemas.microsoft.com/office/drawing/2014/main" id="{00000000-0008-0000-2D00-0000DF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9"/>
                <a:gd name="T1" fmla="*/ 57 h 63"/>
                <a:gd name="T2" fmla="*/ 5 w 89"/>
                <a:gd name="T3" fmla="*/ 63 h 63"/>
                <a:gd name="T4" fmla="*/ 89 w 89"/>
                <a:gd name="T5" fmla="*/ 0 h 63"/>
                <a:gd name="T6" fmla="*/ 0 w 89"/>
                <a:gd name="T7" fmla="*/ 57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0" y="57"/>
                  </a:moveTo>
                  <a:lnTo>
                    <a:pt x="5" y="63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4" name="Freeform 336">
              <a:extLst>
                <a:ext uri="{FF2B5EF4-FFF2-40B4-BE49-F238E27FC236}">
                  <a16:creationId xmlns:a16="http://schemas.microsoft.com/office/drawing/2014/main" id="{00000000-0008-0000-2D00-0000E0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4"/>
                <a:gd name="T1" fmla="*/ 63 h 69"/>
                <a:gd name="T2" fmla="*/ 4 w 84"/>
                <a:gd name="T3" fmla="*/ 69 h 69"/>
                <a:gd name="T4" fmla="*/ 84 w 84"/>
                <a:gd name="T5" fmla="*/ 0 h 69"/>
                <a:gd name="T6" fmla="*/ 0 w 84"/>
                <a:gd name="T7" fmla="*/ 63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0" y="63"/>
                  </a:moveTo>
                  <a:lnTo>
                    <a:pt x="4" y="69"/>
                  </a:lnTo>
                  <a:lnTo>
                    <a:pt x="84" y="0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5" name="Freeform 337">
              <a:extLst>
                <a:ext uri="{FF2B5EF4-FFF2-40B4-BE49-F238E27FC236}">
                  <a16:creationId xmlns:a16="http://schemas.microsoft.com/office/drawing/2014/main" id="{00000000-0008-0000-2D00-0000E1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0"/>
                <a:gd name="T1" fmla="*/ 69 h 74"/>
                <a:gd name="T2" fmla="*/ 6 w 80"/>
                <a:gd name="T3" fmla="*/ 74 h 74"/>
                <a:gd name="T4" fmla="*/ 80 w 80"/>
                <a:gd name="T5" fmla="*/ 0 h 74"/>
                <a:gd name="T6" fmla="*/ 0 w 80"/>
                <a:gd name="T7" fmla="*/ 69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4">
                  <a:moveTo>
                    <a:pt x="0" y="69"/>
                  </a:moveTo>
                  <a:lnTo>
                    <a:pt x="6" y="74"/>
                  </a:lnTo>
                  <a:lnTo>
                    <a:pt x="80" y="0"/>
                  </a:lnTo>
                  <a:lnTo>
                    <a:pt x="0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6" name="Freeform 338">
              <a:extLst>
                <a:ext uri="{FF2B5EF4-FFF2-40B4-BE49-F238E27FC236}">
                  <a16:creationId xmlns:a16="http://schemas.microsoft.com/office/drawing/2014/main" id="{00000000-0008-0000-2D00-0000E2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74"/>
                <a:gd name="T1" fmla="*/ 74 h 79"/>
                <a:gd name="T2" fmla="*/ 5 w 74"/>
                <a:gd name="T3" fmla="*/ 79 h 79"/>
                <a:gd name="T4" fmla="*/ 74 w 74"/>
                <a:gd name="T5" fmla="*/ 0 h 79"/>
                <a:gd name="T6" fmla="*/ 0 w 74"/>
                <a:gd name="T7" fmla="*/ 74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0" y="74"/>
                  </a:moveTo>
                  <a:lnTo>
                    <a:pt x="5" y="79"/>
                  </a:lnTo>
                  <a:lnTo>
                    <a:pt x="74" y="0"/>
                  </a:lnTo>
                  <a:lnTo>
                    <a:pt x="0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7" name="Freeform 339">
              <a:extLst>
                <a:ext uri="{FF2B5EF4-FFF2-40B4-BE49-F238E27FC236}">
                  <a16:creationId xmlns:a16="http://schemas.microsoft.com/office/drawing/2014/main" id="{00000000-0008-0000-2D00-0000E300000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69"/>
                <a:gd name="T1" fmla="*/ 79 h 84"/>
                <a:gd name="T2" fmla="*/ 6 w 69"/>
                <a:gd name="T3" fmla="*/ 84 h 84"/>
                <a:gd name="T4" fmla="*/ 69 w 69"/>
                <a:gd name="T5" fmla="*/ 0 h 84"/>
                <a:gd name="T6" fmla="*/ 0 w 69"/>
                <a:gd name="T7" fmla="*/ 79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0" y="79"/>
                  </a:moveTo>
                  <a:lnTo>
                    <a:pt x="6" y="84"/>
                  </a:lnTo>
                  <a:lnTo>
                    <a:pt x="69" y="0"/>
                  </a:lnTo>
                  <a:lnTo>
                    <a:pt x="0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8" name="Freeform 340">
              <a:extLst>
                <a:ext uri="{FF2B5EF4-FFF2-40B4-BE49-F238E27FC236}">
                  <a16:creationId xmlns:a16="http://schemas.microsoft.com/office/drawing/2014/main" id="{00000000-0008-0000-2D00-0000E4000000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63"/>
                <a:gd name="T1" fmla="*/ 84 h 88"/>
                <a:gd name="T2" fmla="*/ 6 w 63"/>
                <a:gd name="T3" fmla="*/ 88 h 88"/>
                <a:gd name="T4" fmla="*/ 63 w 63"/>
                <a:gd name="T5" fmla="*/ 0 h 88"/>
                <a:gd name="T6" fmla="*/ 0 w 63"/>
                <a:gd name="T7" fmla="*/ 84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0" y="84"/>
                  </a:moveTo>
                  <a:lnTo>
                    <a:pt x="6" y="88"/>
                  </a:lnTo>
                  <a:lnTo>
                    <a:pt x="63" y="0"/>
                  </a:lnTo>
                  <a:lnTo>
                    <a:pt x="0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9" name="Freeform 341">
              <a:extLst>
                <a:ext uri="{FF2B5EF4-FFF2-40B4-BE49-F238E27FC236}">
                  <a16:creationId xmlns:a16="http://schemas.microsoft.com/office/drawing/2014/main" id="{00000000-0008-0000-2D00-0000E5000000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7"/>
                <a:gd name="T1" fmla="*/ 88 h 92"/>
                <a:gd name="T2" fmla="*/ 7 w 57"/>
                <a:gd name="T3" fmla="*/ 92 h 92"/>
                <a:gd name="T4" fmla="*/ 57 w 57"/>
                <a:gd name="T5" fmla="*/ 0 h 92"/>
                <a:gd name="T6" fmla="*/ 0 w 57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0" y="88"/>
                  </a:moveTo>
                  <a:lnTo>
                    <a:pt x="7" y="92"/>
                  </a:lnTo>
                  <a:lnTo>
                    <a:pt x="57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0" name="Freeform 342">
              <a:extLst>
                <a:ext uri="{FF2B5EF4-FFF2-40B4-BE49-F238E27FC236}">
                  <a16:creationId xmlns:a16="http://schemas.microsoft.com/office/drawing/2014/main" id="{00000000-0008-0000-2D00-0000E6000000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0"/>
                <a:gd name="T1" fmla="*/ 92 h 95"/>
                <a:gd name="T2" fmla="*/ 6 w 50"/>
                <a:gd name="T3" fmla="*/ 95 h 95"/>
                <a:gd name="T4" fmla="*/ 50 w 50"/>
                <a:gd name="T5" fmla="*/ 0 h 95"/>
                <a:gd name="T6" fmla="*/ 0 w 50"/>
                <a:gd name="T7" fmla="*/ 92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0" y="92"/>
                  </a:moveTo>
                  <a:lnTo>
                    <a:pt x="6" y="95"/>
                  </a:lnTo>
                  <a:lnTo>
                    <a:pt x="50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1" name="Freeform 343">
              <a:extLst>
                <a:ext uri="{FF2B5EF4-FFF2-40B4-BE49-F238E27FC236}">
                  <a16:creationId xmlns:a16="http://schemas.microsoft.com/office/drawing/2014/main" id="{00000000-0008-0000-2D00-0000E7000000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44"/>
                <a:gd name="T1" fmla="*/ 95 h 98"/>
                <a:gd name="T2" fmla="*/ 7 w 44"/>
                <a:gd name="T3" fmla="*/ 98 h 98"/>
                <a:gd name="T4" fmla="*/ 44 w 44"/>
                <a:gd name="T5" fmla="*/ 0 h 98"/>
                <a:gd name="T6" fmla="*/ 0 w 44"/>
                <a:gd name="T7" fmla="*/ 95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0" y="95"/>
                  </a:moveTo>
                  <a:lnTo>
                    <a:pt x="7" y="98"/>
                  </a:lnTo>
                  <a:lnTo>
                    <a:pt x="44" y="0"/>
                  </a:lnTo>
                  <a:lnTo>
                    <a:pt x="0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2" name="Freeform 344">
              <a:extLst>
                <a:ext uri="{FF2B5EF4-FFF2-40B4-BE49-F238E27FC236}">
                  <a16:creationId xmlns:a16="http://schemas.microsoft.com/office/drawing/2014/main" id="{00000000-0008-0000-2D00-0000E8000000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7"/>
                <a:gd name="T1" fmla="*/ 98 h 101"/>
                <a:gd name="T2" fmla="*/ 7 w 37"/>
                <a:gd name="T3" fmla="*/ 101 h 101"/>
                <a:gd name="T4" fmla="*/ 37 w 37"/>
                <a:gd name="T5" fmla="*/ 0 h 101"/>
                <a:gd name="T6" fmla="*/ 0 w 37"/>
                <a:gd name="T7" fmla="*/ 98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0" y="98"/>
                  </a:moveTo>
                  <a:lnTo>
                    <a:pt x="7" y="101"/>
                  </a:lnTo>
                  <a:lnTo>
                    <a:pt x="37" y="0"/>
                  </a:lnTo>
                  <a:lnTo>
                    <a:pt x="0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3" name="Freeform 345">
              <a:extLst>
                <a:ext uri="{FF2B5EF4-FFF2-40B4-BE49-F238E27FC236}">
                  <a16:creationId xmlns:a16="http://schemas.microsoft.com/office/drawing/2014/main" id="{00000000-0008-0000-2D00-0000E9000000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0"/>
                <a:gd name="T1" fmla="*/ 101 h 103"/>
                <a:gd name="T2" fmla="*/ 8 w 30"/>
                <a:gd name="T3" fmla="*/ 103 h 103"/>
                <a:gd name="T4" fmla="*/ 30 w 30"/>
                <a:gd name="T5" fmla="*/ 0 h 103"/>
                <a:gd name="T6" fmla="*/ 0 w 30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0" y="101"/>
                  </a:moveTo>
                  <a:lnTo>
                    <a:pt x="8" y="103"/>
                  </a:lnTo>
                  <a:lnTo>
                    <a:pt x="30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4" name="Freeform 346">
              <a:extLst>
                <a:ext uri="{FF2B5EF4-FFF2-40B4-BE49-F238E27FC236}">
                  <a16:creationId xmlns:a16="http://schemas.microsoft.com/office/drawing/2014/main" id="{00000000-0008-0000-2D00-0000EA000000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22"/>
                <a:gd name="T1" fmla="*/ 103 h 104"/>
                <a:gd name="T2" fmla="*/ 7 w 22"/>
                <a:gd name="T3" fmla="*/ 104 h 104"/>
                <a:gd name="T4" fmla="*/ 22 w 22"/>
                <a:gd name="T5" fmla="*/ 0 h 104"/>
                <a:gd name="T6" fmla="*/ 0 w 22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0" y="103"/>
                  </a:moveTo>
                  <a:lnTo>
                    <a:pt x="7" y="104"/>
                  </a:lnTo>
                  <a:lnTo>
                    <a:pt x="22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5" name="Freeform 347">
              <a:extLst>
                <a:ext uri="{FF2B5EF4-FFF2-40B4-BE49-F238E27FC236}">
                  <a16:creationId xmlns:a16="http://schemas.microsoft.com/office/drawing/2014/main" id="{00000000-0008-0000-2D00-0000EB000000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15"/>
                <a:gd name="T1" fmla="*/ 104 h 105"/>
                <a:gd name="T2" fmla="*/ 7 w 15"/>
                <a:gd name="T3" fmla="*/ 105 h 105"/>
                <a:gd name="T4" fmla="*/ 15 w 15"/>
                <a:gd name="T5" fmla="*/ 0 h 105"/>
                <a:gd name="T6" fmla="*/ 0 w 15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0" y="104"/>
                  </a:moveTo>
                  <a:lnTo>
                    <a:pt x="7" y="105"/>
                  </a:lnTo>
                  <a:lnTo>
                    <a:pt x="15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6" name="Freeform 348">
              <a:extLst>
                <a:ext uri="{FF2B5EF4-FFF2-40B4-BE49-F238E27FC236}">
                  <a16:creationId xmlns:a16="http://schemas.microsoft.com/office/drawing/2014/main" id="{00000000-0008-0000-2D00-0000EC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8"/>
                <a:gd name="T1" fmla="*/ 105 h 105"/>
                <a:gd name="T2" fmla="*/ 8 w 8"/>
                <a:gd name="T3" fmla="*/ 105 h 105"/>
                <a:gd name="T4" fmla="*/ 8 w 8"/>
                <a:gd name="T5" fmla="*/ 0 h 105"/>
                <a:gd name="T6" fmla="*/ 0 w 8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5">
                  <a:moveTo>
                    <a:pt x="0" y="105"/>
                  </a:moveTo>
                  <a:lnTo>
                    <a:pt x="8" y="105"/>
                  </a:lnTo>
                  <a:lnTo>
                    <a:pt x="8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7" name="Freeform 349">
              <a:extLst>
                <a:ext uri="{FF2B5EF4-FFF2-40B4-BE49-F238E27FC236}">
                  <a16:creationId xmlns:a16="http://schemas.microsoft.com/office/drawing/2014/main" id="{00000000-0008-0000-2D00-0000ED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8" name="Freeform 350">
              <a:extLst>
                <a:ext uri="{FF2B5EF4-FFF2-40B4-BE49-F238E27FC236}">
                  <a16:creationId xmlns:a16="http://schemas.microsoft.com/office/drawing/2014/main" id="{00000000-0008-0000-2D00-0000EE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9" name="Freeform 351">
              <a:extLst>
                <a:ext uri="{FF2B5EF4-FFF2-40B4-BE49-F238E27FC236}">
                  <a16:creationId xmlns:a16="http://schemas.microsoft.com/office/drawing/2014/main" id="{00000000-0008-0000-2D00-0000EF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0" name="Freeform 352">
              <a:extLst>
                <a:ext uri="{FF2B5EF4-FFF2-40B4-BE49-F238E27FC236}">
                  <a16:creationId xmlns:a16="http://schemas.microsoft.com/office/drawing/2014/main" id="{00000000-0008-0000-2D00-0000F0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22 w 30"/>
                <a:gd name="T1" fmla="*/ 103 h 103"/>
                <a:gd name="T2" fmla="*/ 30 w 30"/>
                <a:gd name="T3" fmla="*/ 101 h 103"/>
                <a:gd name="T4" fmla="*/ 0 w 30"/>
                <a:gd name="T5" fmla="*/ 0 h 103"/>
                <a:gd name="T6" fmla="*/ 22 w 30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22" y="103"/>
                  </a:moveTo>
                  <a:lnTo>
                    <a:pt x="30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1" name="Freeform 353">
              <a:extLst>
                <a:ext uri="{FF2B5EF4-FFF2-40B4-BE49-F238E27FC236}">
                  <a16:creationId xmlns:a16="http://schemas.microsoft.com/office/drawing/2014/main" id="{00000000-0008-0000-2D00-0000F1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0 w 37"/>
                <a:gd name="T1" fmla="*/ 101 h 101"/>
                <a:gd name="T2" fmla="*/ 37 w 37"/>
                <a:gd name="T3" fmla="*/ 98 h 101"/>
                <a:gd name="T4" fmla="*/ 0 w 37"/>
                <a:gd name="T5" fmla="*/ 0 h 101"/>
                <a:gd name="T6" fmla="*/ 30 w 37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0" y="101"/>
                  </a:moveTo>
                  <a:lnTo>
                    <a:pt x="37" y="98"/>
                  </a:lnTo>
                  <a:lnTo>
                    <a:pt x="0" y="0"/>
                  </a:lnTo>
                  <a:lnTo>
                    <a:pt x="3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2" name="Freeform 354">
              <a:extLst>
                <a:ext uri="{FF2B5EF4-FFF2-40B4-BE49-F238E27FC236}">
                  <a16:creationId xmlns:a16="http://schemas.microsoft.com/office/drawing/2014/main" id="{00000000-0008-0000-2D00-0000F2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7 w 44"/>
                <a:gd name="T1" fmla="*/ 98 h 98"/>
                <a:gd name="T2" fmla="*/ 44 w 44"/>
                <a:gd name="T3" fmla="*/ 95 h 98"/>
                <a:gd name="T4" fmla="*/ 0 w 44"/>
                <a:gd name="T5" fmla="*/ 0 h 98"/>
                <a:gd name="T6" fmla="*/ 37 w 44"/>
                <a:gd name="T7" fmla="*/ 98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37" y="98"/>
                  </a:moveTo>
                  <a:lnTo>
                    <a:pt x="44" y="95"/>
                  </a:lnTo>
                  <a:lnTo>
                    <a:pt x="0" y="0"/>
                  </a:lnTo>
                  <a:lnTo>
                    <a:pt x="37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3" name="Freeform 355">
              <a:extLst>
                <a:ext uri="{FF2B5EF4-FFF2-40B4-BE49-F238E27FC236}">
                  <a16:creationId xmlns:a16="http://schemas.microsoft.com/office/drawing/2014/main" id="{00000000-0008-0000-2D00-0000F3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1"/>
            </a:xfrm>
            <a:custGeom>
              <a:avLst/>
              <a:gdLst>
                <a:gd name="T0" fmla="*/ 44 w 50"/>
                <a:gd name="T1" fmla="*/ 95 h 95"/>
                <a:gd name="T2" fmla="*/ 50 w 50"/>
                <a:gd name="T3" fmla="*/ 92 h 95"/>
                <a:gd name="T4" fmla="*/ 0 w 50"/>
                <a:gd name="T5" fmla="*/ 0 h 95"/>
                <a:gd name="T6" fmla="*/ 44 w 50"/>
                <a:gd name="T7" fmla="*/ 95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44" y="95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4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4" name="Freeform 356">
              <a:extLst>
                <a:ext uri="{FF2B5EF4-FFF2-40B4-BE49-F238E27FC236}">
                  <a16:creationId xmlns:a16="http://schemas.microsoft.com/office/drawing/2014/main" id="{00000000-0008-0000-2D00-0000F4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0 w 57"/>
                <a:gd name="T1" fmla="*/ 92 h 92"/>
                <a:gd name="T2" fmla="*/ 57 w 57"/>
                <a:gd name="T3" fmla="*/ 88 h 92"/>
                <a:gd name="T4" fmla="*/ 0 w 57"/>
                <a:gd name="T5" fmla="*/ 0 h 92"/>
                <a:gd name="T6" fmla="*/ 50 w 57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50" y="92"/>
                  </a:moveTo>
                  <a:lnTo>
                    <a:pt x="57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5" name="Freeform 357">
              <a:extLst>
                <a:ext uri="{FF2B5EF4-FFF2-40B4-BE49-F238E27FC236}">
                  <a16:creationId xmlns:a16="http://schemas.microsoft.com/office/drawing/2014/main" id="{00000000-0008-0000-2D00-0000F5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7 w 63"/>
                <a:gd name="T1" fmla="*/ 88 h 88"/>
                <a:gd name="T2" fmla="*/ 63 w 63"/>
                <a:gd name="T3" fmla="*/ 84 h 88"/>
                <a:gd name="T4" fmla="*/ 0 w 63"/>
                <a:gd name="T5" fmla="*/ 0 h 88"/>
                <a:gd name="T6" fmla="*/ 57 w 63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57" y="88"/>
                  </a:moveTo>
                  <a:lnTo>
                    <a:pt x="63" y="84"/>
                  </a:lnTo>
                  <a:lnTo>
                    <a:pt x="0" y="0"/>
                  </a:lnTo>
                  <a:lnTo>
                    <a:pt x="57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6" name="Freeform 358">
              <a:extLst>
                <a:ext uri="{FF2B5EF4-FFF2-40B4-BE49-F238E27FC236}">
                  <a16:creationId xmlns:a16="http://schemas.microsoft.com/office/drawing/2014/main" id="{00000000-0008-0000-2D00-0000F6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3 w 69"/>
                <a:gd name="T1" fmla="*/ 84 h 84"/>
                <a:gd name="T2" fmla="*/ 69 w 69"/>
                <a:gd name="T3" fmla="*/ 79 h 84"/>
                <a:gd name="T4" fmla="*/ 0 w 69"/>
                <a:gd name="T5" fmla="*/ 0 h 84"/>
                <a:gd name="T6" fmla="*/ 63 w 69"/>
                <a:gd name="T7" fmla="*/ 84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63" y="84"/>
                  </a:moveTo>
                  <a:lnTo>
                    <a:pt x="69" y="79"/>
                  </a:lnTo>
                  <a:lnTo>
                    <a:pt x="0" y="0"/>
                  </a:lnTo>
                  <a:lnTo>
                    <a:pt x="63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7" name="Freeform 359">
              <a:extLst>
                <a:ext uri="{FF2B5EF4-FFF2-40B4-BE49-F238E27FC236}">
                  <a16:creationId xmlns:a16="http://schemas.microsoft.com/office/drawing/2014/main" id="{00000000-0008-0000-2D00-0000F7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9 w 74"/>
                <a:gd name="T1" fmla="*/ 79 h 79"/>
                <a:gd name="T2" fmla="*/ 74 w 74"/>
                <a:gd name="T3" fmla="*/ 74 h 79"/>
                <a:gd name="T4" fmla="*/ 0 w 74"/>
                <a:gd name="T5" fmla="*/ 0 h 79"/>
                <a:gd name="T6" fmla="*/ 69 w 74"/>
                <a:gd name="T7" fmla="*/ 79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69" y="79"/>
                  </a:moveTo>
                  <a:lnTo>
                    <a:pt x="74" y="74"/>
                  </a:lnTo>
                  <a:lnTo>
                    <a:pt x="0" y="0"/>
                  </a:lnTo>
                  <a:lnTo>
                    <a:pt x="69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8" name="Freeform 360">
              <a:extLst>
                <a:ext uri="{FF2B5EF4-FFF2-40B4-BE49-F238E27FC236}">
                  <a16:creationId xmlns:a16="http://schemas.microsoft.com/office/drawing/2014/main" id="{00000000-0008-0000-2D00-0000F8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4 w 79"/>
                <a:gd name="T1" fmla="*/ 74 h 74"/>
                <a:gd name="T2" fmla="*/ 79 w 79"/>
                <a:gd name="T3" fmla="*/ 69 h 74"/>
                <a:gd name="T4" fmla="*/ 0 w 79"/>
                <a:gd name="T5" fmla="*/ 0 h 74"/>
                <a:gd name="T6" fmla="*/ 74 w 79"/>
                <a:gd name="T7" fmla="*/ 74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4">
                  <a:moveTo>
                    <a:pt x="74" y="74"/>
                  </a:moveTo>
                  <a:lnTo>
                    <a:pt x="79" y="69"/>
                  </a:lnTo>
                  <a:lnTo>
                    <a:pt x="0" y="0"/>
                  </a:lnTo>
                  <a:lnTo>
                    <a:pt x="74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9" name="Freeform 361">
              <a:extLst>
                <a:ext uri="{FF2B5EF4-FFF2-40B4-BE49-F238E27FC236}">
                  <a16:creationId xmlns:a16="http://schemas.microsoft.com/office/drawing/2014/main" id="{00000000-0008-0000-2D00-0000F9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9 w 84"/>
                <a:gd name="T1" fmla="*/ 69 h 69"/>
                <a:gd name="T2" fmla="*/ 84 w 84"/>
                <a:gd name="T3" fmla="*/ 63 h 69"/>
                <a:gd name="T4" fmla="*/ 0 w 84"/>
                <a:gd name="T5" fmla="*/ 0 h 69"/>
                <a:gd name="T6" fmla="*/ 79 w 84"/>
                <a:gd name="T7" fmla="*/ 69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79" y="69"/>
                  </a:moveTo>
                  <a:lnTo>
                    <a:pt x="84" y="63"/>
                  </a:lnTo>
                  <a:lnTo>
                    <a:pt x="0" y="0"/>
                  </a:lnTo>
                  <a:lnTo>
                    <a:pt x="79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0" name="Freeform 362">
              <a:extLst>
                <a:ext uri="{FF2B5EF4-FFF2-40B4-BE49-F238E27FC236}">
                  <a16:creationId xmlns:a16="http://schemas.microsoft.com/office/drawing/2014/main" id="{00000000-0008-0000-2D00-0000FA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4 w 88"/>
                <a:gd name="T1" fmla="*/ 63 h 63"/>
                <a:gd name="T2" fmla="*/ 88 w 88"/>
                <a:gd name="T3" fmla="*/ 57 h 63"/>
                <a:gd name="T4" fmla="*/ 0 w 88"/>
                <a:gd name="T5" fmla="*/ 0 h 63"/>
                <a:gd name="T6" fmla="*/ 84 w 88"/>
                <a:gd name="T7" fmla="*/ 63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4" y="63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4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1" name="Freeform 363">
              <a:extLst>
                <a:ext uri="{FF2B5EF4-FFF2-40B4-BE49-F238E27FC236}">
                  <a16:creationId xmlns:a16="http://schemas.microsoft.com/office/drawing/2014/main" id="{00000000-0008-0000-2D00-0000FB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8 w 92"/>
                <a:gd name="T1" fmla="*/ 57 h 57"/>
                <a:gd name="T2" fmla="*/ 92 w 92"/>
                <a:gd name="T3" fmla="*/ 50 h 57"/>
                <a:gd name="T4" fmla="*/ 0 w 92"/>
                <a:gd name="T5" fmla="*/ 0 h 57"/>
                <a:gd name="T6" fmla="*/ 88 w 92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88" y="57"/>
                  </a:moveTo>
                  <a:lnTo>
                    <a:pt x="92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2" name="Freeform 364">
              <a:extLst>
                <a:ext uri="{FF2B5EF4-FFF2-40B4-BE49-F238E27FC236}">
                  <a16:creationId xmlns:a16="http://schemas.microsoft.com/office/drawing/2014/main" id="{00000000-0008-0000-2D00-0000FC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2 w 96"/>
                <a:gd name="T1" fmla="*/ 50 h 50"/>
                <a:gd name="T2" fmla="*/ 96 w 96"/>
                <a:gd name="T3" fmla="*/ 43 h 50"/>
                <a:gd name="T4" fmla="*/ 0 w 96"/>
                <a:gd name="T5" fmla="*/ 0 h 50"/>
                <a:gd name="T6" fmla="*/ 92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2" y="50"/>
                  </a:moveTo>
                  <a:lnTo>
                    <a:pt x="96" y="43"/>
                  </a:lnTo>
                  <a:lnTo>
                    <a:pt x="0" y="0"/>
                  </a:lnTo>
                  <a:lnTo>
                    <a:pt x="92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3" name="Freeform 365">
              <a:extLst>
                <a:ext uri="{FF2B5EF4-FFF2-40B4-BE49-F238E27FC236}">
                  <a16:creationId xmlns:a16="http://schemas.microsoft.com/office/drawing/2014/main" id="{00000000-0008-0000-2D00-0000FD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6 w 99"/>
                <a:gd name="T1" fmla="*/ 43 h 43"/>
                <a:gd name="T2" fmla="*/ 99 w 99"/>
                <a:gd name="T3" fmla="*/ 36 h 43"/>
                <a:gd name="T4" fmla="*/ 0 w 99"/>
                <a:gd name="T5" fmla="*/ 0 h 43"/>
                <a:gd name="T6" fmla="*/ 96 w 99"/>
                <a:gd name="T7" fmla="*/ 43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6" y="43"/>
                  </a:moveTo>
                  <a:lnTo>
                    <a:pt x="99" y="36"/>
                  </a:lnTo>
                  <a:lnTo>
                    <a:pt x="0" y="0"/>
                  </a:lnTo>
                  <a:lnTo>
                    <a:pt x="96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4" name="Freeform 366">
              <a:extLst>
                <a:ext uri="{FF2B5EF4-FFF2-40B4-BE49-F238E27FC236}">
                  <a16:creationId xmlns:a16="http://schemas.microsoft.com/office/drawing/2014/main" id="{00000000-0008-0000-2D00-0000FE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99 w 101"/>
                <a:gd name="T1" fmla="*/ 36 h 36"/>
                <a:gd name="T2" fmla="*/ 101 w 101"/>
                <a:gd name="T3" fmla="*/ 29 h 36"/>
                <a:gd name="T4" fmla="*/ 0 w 101"/>
                <a:gd name="T5" fmla="*/ 0 h 36"/>
                <a:gd name="T6" fmla="*/ 99 w 101"/>
                <a:gd name="T7" fmla="*/ 36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99" y="36"/>
                  </a:moveTo>
                  <a:lnTo>
                    <a:pt x="101" y="29"/>
                  </a:lnTo>
                  <a:lnTo>
                    <a:pt x="0" y="0"/>
                  </a:lnTo>
                  <a:lnTo>
                    <a:pt x="99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5" name="Freeform 367">
              <a:extLst>
                <a:ext uri="{FF2B5EF4-FFF2-40B4-BE49-F238E27FC236}">
                  <a16:creationId xmlns:a16="http://schemas.microsoft.com/office/drawing/2014/main" id="{00000000-0008-0000-2D00-0000FF00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1 w 103"/>
                <a:gd name="T1" fmla="*/ 29 h 29"/>
                <a:gd name="T2" fmla="*/ 103 w 103"/>
                <a:gd name="T3" fmla="*/ 22 h 29"/>
                <a:gd name="T4" fmla="*/ 0 w 103"/>
                <a:gd name="T5" fmla="*/ 0 h 29"/>
                <a:gd name="T6" fmla="*/ 101 w 103"/>
                <a:gd name="T7" fmla="*/ 29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1" y="29"/>
                  </a:moveTo>
                  <a:lnTo>
                    <a:pt x="103" y="22"/>
                  </a:lnTo>
                  <a:lnTo>
                    <a:pt x="0" y="0"/>
                  </a:lnTo>
                  <a:lnTo>
                    <a:pt x="101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6" name="Freeform 368">
              <a:extLst>
                <a:ext uri="{FF2B5EF4-FFF2-40B4-BE49-F238E27FC236}">
                  <a16:creationId xmlns:a16="http://schemas.microsoft.com/office/drawing/2014/main" id="{00000000-0008-0000-2D00-00000001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3 w 104"/>
                <a:gd name="T1" fmla="*/ 22 h 22"/>
                <a:gd name="T2" fmla="*/ 104 w 104"/>
                <a:gd name="T3" fmla="*/ 15 h 22"/>
                <a:gd name="T4" fmla="*/ 0 w 104"/>
                <a:gd name="T5" fmla="*/ 0 h 22"/>
                <a:gd name="T6" fmla="*/ 103 w 104"/>
                <a:gd name="T7" fmla="*/ 22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3" y="22"/>
                  </a:moveTo>
                  <a:lnTo>
                    <a:pt x="104" y="15"/>
                  </a:lnTo>
                  <a:lnTo>
                    <a:pt x="0" y="0"/>
                  </a:lnTo>
                  <a:lnTo>
                    <a:pt x="103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7" name="Freeform 369">
              <a:extLst>
                <a:ext uri="{FF2B5EF4-FFF2-40B4-BE49-F238E27FC236}">
                  <a16:creationId xmlns:a16="http://schemas.microsoft.com/office/drawing/2014/main" id="{00000000-0008-0000-2D00-00000101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4 w 105"/>
                <a:gd name="T1" fmla="*/ 15 h 15"/>
                <a:gd name="T2" fmla="*/ 105 w 105"/>
                <a:gd name="T3" fmla="*/ 7 h 15"/>
                <a:gd name="T4" fmla="*/ 0 w 105"/>
                <a:gd name="T5" fmla="*/ 0 h 15"/>
                <a:gd name="T6" fmla="*/ 104 w 105"/>
                <a:gd name="T7" fmla="*/ 15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4" y="15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8" name="Freeform 370">
              <a:extLst>
                <a:ext uri="{FF2B5EF4-FFF2-40B4-BE49-F238E27FC236}">
                  <a16:creationId xmlns:a16="http://schemas.microsoft.com/office/drawing/2014/main" id="{00000000-0008-0000-2D00-0000020100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9" name="Freeform 371">
              <a:extLst>
                <a:ext uri="{FF2B5EF4-FFF2-40B4-BE49-F238E27FC236}">
                  <a16:creationId xmlns:a16="http://schemas.microsoft.com/office/drawing/2014/main" id="{00000000-0008-0000-2D00-000003010000}"/>
                </a:ext>
              </a:extLst>
            </xdr:cNvPr>
            <xdr:cNvSpPr>
              <a:spLocks/>
            </xdr:cNvSpPr>
          </xdr:nvSpPr>
          <xdr:spPr bwMode="auto">
            <a:xfrm>
              <a:off x="1095" y="188"/>
              <a:ext cx="6" cy="9"/>
            </a:xfrm>
            <a:custGeom>
              <a:avLst/>
              <a:gdLst>
                <a:gd name="T0" fmla="*/ 0 w 352"/>
                <a:gd name="T1" fmla="*/ 526 h 526"/>
                <a:gd name="T2" fmla="*/ 0 w 352"/>
                <a:gd name="T3" fmla="*/ 0 h 526"/>
                <a:gd name="T4" fmla="*/ 264 w 352"/>
                <a:gd name="T5" fmla="*/ 0 h 526"/>
                <a:gd name="T6" fmla="*/ 352 w 352"/>
                <a:gd name="T7" fmla="*/ 88 h 526"/>
                <a:gd name="T8" fmla="*/ 352 w 352"/>
                <a:gd name="T9" fmla="*/ 175 h 526"/>
                <a:gd name="T10" fmla="*/ 264 w 352"/>
                <a:gd name="T11" fmla="*/ 263 h 526"/>
                <a:gd name="T12" fmla="*/ 0 w 352"/>
                <a:gd name="T13" fmla="*/ 263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352" h="526">
                  <a:moveTo>
                    <a:pt x="0" y="526"/>
                  </a:moveTo>
                  <a:lnTo>
                    <a:pt x="0" y="0"/>
                  </a:lnTo>
                  <a:lnTo>
                    <a:pt x="264" y="0"/>
                  </a:lnTo>
                  <a:lnTo>
                    <a:pt x="352" y="88"/>
                  </a:lnTo>
                  <a:lnTo>
                    <a:pt x="352" y="175"/>
                  </a:lnTo>
                  <a:lnTo>
                    <a:pt x="264" y="263"/>
                  </a:lnTo>
                  <a:lnTo>
                    <a:pt x="0" y="263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0" name="Freeform 372">
              <a:extLst>
                <a:ext uri="{FF2B5EF4-FFF2-40B4-BE49-F238E27FC236}">
                  <a16:creationId xmlns:a16="http://schemas.microsoft.com/office/drawing/2014/main" id="{00000000-0008-0000-2D00-000004010000}"/>
                </a:ext>
              </a:extLst>
            </xdr:cNvPr>
            <xdr:cNvSpPr>
              <a:spLocks/>
            </xdr:cNvSpPr>
          </xdr:nvSpPr>
          <xdr:spPr bwMode="auto">
            <a:xfrm>
              <a:off x="1104" y="191"/>
              <a:ext cx="6" cy="6"/>
            </a:xfrm>
            <a:custGeom>
              <a:avLst/>
              <a:gdLst>
                <a:gd name="T0" fmla="*/ 351 w 351"/>
                <a:gd name="T1" fmla="*/ 0 h 351"/>
                <a:gd name="T2" fmla="*/ 88 w 351"/>
                <a:gd name="T3" fmla="*/ 0 h 351"/>
                <a:gd name="T4" fmla="*/ 0 w 351"/>
                <a:gd name="T5" fmla="*/ 88 h 351"/>
                <a:gd name="T6" fmla="*/ 0 w 351"/>
                <a:gd name="T7" fmla="*/ 264 h 351"/>
                <a:gd name="T8" fmla="*/ 88 w 351"/>
                <a:gd name="T9" fmla="*/ 351 h 351"/>
                <a:gd name="T10" fmla="*/ 351 w 351"/>
                <a:gd name="T11" fmla="*/ 351 h 3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351">
                  <a:moveTo>
                    <a:pt x="351" y="0"/>
                  </a:moveTo>
                  <a:lnTo>
                    <a:pt x="88" y="0"/>
                  </a:lnTo>
                  <a:lnTo>
                    <a:pt x="0" y="88"/>
                  </a:lnTo>
                  <a:lnTo>
                    <a:pt x="0" y="264"/>
                  </a:lnTo>
                  <a:lnTo>
                    <a:pt x="88" y="351"/>
                  </a:lnTo>
                  <a:lnTo>
                    <a:pt x="351" y="351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1" name="Freeform 373">
              <a:extLst>
                <a:ext uri="{FF2B5EF4-FFF2-40B4-BE49-F238E27FC236}">
                  <a16:creationId xmlns:a16="http://schemas.microsoft.com/office/drawing/2014/main" id="{00000000-0008-0000-2D00-000005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9"/>
                <a:gd name="T2" fmla="*/ 105 w 105"/>
                <a:gd name="T3" fmla="*/ 0 h 9"/>
                <a:gd name="T4" fmla="*/ 0 w 105"/>
                <a:gd name="T5" fmla="*/ 9 h 9"/>
                <a:gd name="T6" fmla="*/ 105 w 105"/>
                <a:gd name="T7" fmla="*/ 9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9">
                  <a:moveTo>
                    <a:pt x="105" y="9"/>
                  </a:moveTo>
                  <a:lnTo>
                    <a:pt x="105" y="0"/>
                  </a:lnTo>
                  <a:lnTo>
                    <a:pt x="0" y="9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2" name="Freeform 374">
              <a:extLst>
                <a:ext uri="{FF2B5EF4-FFF2-40B4-BE49-F238E27FC236}">
                  <a16:creationId xmlns:a16="http://schemas.microsoft.com/office/drawing/2014/main" id="{00000000-0008-0000-2D00-000006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18"/>
                <a:gd name="T2" fmla="*/ 104 w 105"/>
                <a:gd name="T3" fmla="*/ 0 h 18"/>
                <a:gd name="T4" fmla="*/ 0 w 105"/>
                <a:gd name="T5" fmla="*/ 18 h 18"/>
                <a:gd name="T6" fmla="*/ 105 w 105"/>
                <a:gd name="T7" fmla="*/ 9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8">
                  <a:moveTo>
                    <a:pt x="105" y="9"/>
                  </a:moveTo>
                  <a:lnTo>
                    <a:pt x="104" y="0"/>
                  </a:lnTo>
                  <a:lnTo>
                    <a:pt x="0" y="18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3" name="Freeform 375">
              <a:extLst>
                <a:ext uri="{FF2B5EF4-FFF2-40B4-BE49-F238E27FC236}">
                  <a16:creationId xmlns:a16="http://schemas.microsoft.com/office/drawing/2014/main" id="{00000000-0008-0000-2D00-000007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4 w 104"/>
                <a:gd name="T1" fmla="*/ 8 h 26"/>
                <a:gd name="T2" fmla="*/ 102 w 104"/>
                <a:gd name="T3" fmla="*/ 0 h 26"/>
                <a:gd name="T4" fmla="*/ 0 w 104"/>
                <a:gd name="T5" fmla="*/ 26 h 26"/>
                <a:gd name="T6" fmla="*/ 104 w 104"/>
                <a:gd name="T7" fmla="*/ 8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4" y="8"/>
                  </a:moveTo>
                  <a:lnTo>
                    <a:pt x="102" y="0"/>
                  </a:lnTo>
                  <a:lnTo>
                    <a:pt x="0" y="26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4" name="Freeform 376">
              <a:extLst>
                <a:ext uri="{FF2B5EF4-FFF2-40B4-BE49-F238E27FC236}">
                  <a16:creationId xmlns:a16="http://schemas.microsoft.com/office/drawing/2014/main" id="{00000000-0008-0000-2D00-000008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2 w 102"/>
                <a:gd name="T1" fmla="*/ 9 h 35"/>
                <a:gd name="T2" fmla="*/ 99 w 102"/>
                <a:gd name="T3" fmla="*/ 0 h 35"/>
                <a:gd name="T4" fmla="*/ 0 w 102"/>
                <a:gd name="T5" fmla="*/ 35 h 35"/>
                <a:gd name="T6" fmla="*/ 102 w 102"/>
                <a:gd name="T7" fmla="*/ 9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102" y="9"/>
                  </a:moveTo>
                  <a:lnTo>
                    <a:pt x="99" y="0"/>
                  </a:lnTo>
                  <a:lnTo>
                    <a:pt x="0" y="35"/>
                  </a:lnTo>
                  <a:lnTo>
                    <a:pt x="102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5" name="Freeform 377">
              <a:extLst>
                <a:ext uri="{FF2B5EF4-FFF2-40B4-BE49-F238E27FC236}">
                  <a16:creationId xmlns:a16="http://schemas.microsoft.com/office/drawing/2014/main" id="{00000000-0008-0000-2D00-000009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9 w 99"/>
                <a:gd name="T1" fmla="*/ 8 h 43"/>
                <a:gd name="T2" fmla="*/ 96 w 99"/>
                <a:gd name="T3" fmla="*/ 0 h 43"/>
                <a:gd name="T4" fmla="*/ 0 w 99"/>
                <a:gd name="T5" fmla="*/ 43 h 43"/>
                <a:gd name="T6" fmla="*/ 99 w 99"/>
                <a:gd name="T7" fmla="*/ 8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9" y="8"/>
                  </a:moveTo>
                  <a:lnTo>
                    <a:pt x="96" y="0"/>
                  </a:lnTo>
                  <a:lnTo>
                    <a:pt x="0" y="43"/>
                  </a:lnTo>
                  <a:lnTo>
                    <a:pt x="99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6" name="Freeform 378">
              <a:extLst>
                <a:ext uri="{FF2B5EF4-FFF2-40B4-BE49-F238E27FC236}">
                  <a16:creationId xmlns:a16="http://schemas.microsoft.com/office/drawing/2014/main" id="{00000000-0008-0000-2D00-00000A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6 w 96"/>
                <a:gd name="T1" fmla="*/ 7 h 50"/>
                <a:gd name="T2" fmla="*/ 93 w 96"/>
                <a:gd name="T3" fmla="*/ 0 h 50"/>
                <a:gd name="T4" fmla="*/ 0 w 96"/>
                <a:gd name="T5" fmla="*/ 50 h 50"/>
                <a:gd name="T6" fmla="*/ 96 w 96"/>
                <a:gd name="T7" fmla="*/ 7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6" y="7"/>
                  </a:moveTo>
                  <a:lnTo>
                    <a:pt x="93" y="0"/>
                  </a:lnTo>
                  <a:lnTo>
                    <a:pt x="0" y="50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7" name="Freeform 379">
              <a:extLst>
                <a:ext uri="{FF2B5EF4-FFF2-40B4-BE49-F238E27FC236}">
                  <a16:creationId xmlns:a16="http://schemas.microsoft.com/office/drawing/2014/main" id="{00000000-0008-0000-2D00-00000B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3 w 93"/>
                <a:gd name="T1" fmla="*/ 8 h 58"/>
                <a:gd name="T2" fmla="*/ 88 w 93"/>
                <a:gd name="T3" fmla="*/ 0 h 58"/>
                <a:gd name="T4" fmla="*/ 0 w 93"/>
                <a:gd name="T5" fmla="*/ 58 h 58"/>
                <a:gd name="T6" fmla="*/ 93 w 93"/>
                <a:gd name="T7" fmla="*/ 8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8">
                  <a:moveTo>
                    <a:pt x="93" y="8"/>
                  </a:moveTo>
                  <a:lnTo>
                    <a:pt x="88" y="0"/>
                  </a:lnTo>
                  <a:lnTo>
                    <a:pt x="0" y="58"/>
                  </a:lnTo>
                  <a:lnTo>
                    <a:pt x="93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8" name="Freeform 380">
              <a:extLst>
                <a:ext uri="{FF2B5EF4-FFF2-40B4-BE49-F238E27FC236}">
                  <a16:creationId xmlns:a16="http://schemas.microsoft.com/office/drawing/2014/main" id="{00000000-0008-0000-2D00-00000C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8 w 88"/>
                <a:gd name="T1" fmla="*/ 7 h 65"/>
                <a:gd name="T2" fmla="*/ 83 w 88"/>
                <a:gd name="T3" fmla="*/ 0 h 65"/>
                <a:gd name="T4" fmla="*/ 0 w 88"/>
                <a:gd name="T5" fmla="*/ 65 h 65"/>
                <a:gd name="T6" fmla="*/ 88 w 88"/>
                <a:gd name="T7" fmla="*/ 7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5">
                  <a:moveTo>
                    <a:pt x="88" y="7"/>
                  </a:moveTo>
                  <a:lnTo>
                    <a:pt x="83" y="0"/>
                  </a:lnTo>
                  <a:lnTo>
                    <a:pt x="0" y="65"/>
                  </a:lnTo>
                  <a:lnTo>
                    <a:pt x="88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9" name="Freeform 381">
              <a:extLst>
                <a:ext uri="{FF2B5EF4-FFF2-40B4-BE49-F238E27FC236}">
                  <a16:creationId xmlns:a16="http://schemas.microsoft.com/office/drawing/2014/main" id="{00000000-0008-0000-2D00-00000D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3 w 83"/>
                <a:gd name="T1" fmla="*/ 7 h 72"/>
                <a:gd name="T2" fmla="*/ 77 w 83"/>
                <a:gd name="T3" fmla="*/ 0 h 72"/>
                <a:gd name="T4" fmla="*/ 0 w 83"/>
                <a:gd name="T5" fmla="*/ 72 h 72"/>
                <a:gd name="T6" fmla="*/ 83 w 83"/>
                <a:gd name="T7" fmla="*/ 7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2">
                  <a:moveTo>
                    <a:pt x="83" y="7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0" name="Freeform 382">
              <a:extLst>
                <a:ext uri="{FF2B5EF4-FFF2-40B4-BE49-F238E27FC236}">
                  <a16:creationId xmlns:a16="http://schemas.microsoft.com/office/drawing/2014/main" id="{00000000-0008-0000-2D00-00000E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77 w 77"/>
                <a:gd name="T1" fmla="*/ 6 h 78"/>
                <a:gd name="T2" fmla="*/ 71 w 77"/>
                <a:gd name="T3" fmla="*/ 0 h 78"/>
                <a:gd name="T4" fmla="*/ 0 w 77"/>
                <a:gd name="T5" fmla="*/ 78 h 78"/>
                <a:gd name="T6" fmla="*/ 77 w 77"/>
                <a:gd name="T7" fmla="*/ 6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8">
                  <a:moveTo>
                    <a:pt x="77" y="6"/>
                  </a:moveTo>
                  <a:lnTo>
                    <a:pt x="71" y="0"/>
                  </a:lnTo>
                  <a:lnTo>
                    <a:pt x="0" y="78"/>
                  </a:lnTo>
                  <a:lnTo>
                    <a:pt x="77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1" name="Freeform 383">
              <a:extLst>
                <a:ext uri="{FF2B5EF4-FFF2-40B4-BE49-F238E27FC236}">
                  <a16:creationId xmlns:a16="http://schemas.microsoft.com/office/drawing/2014/main" id="{00000000-0008-0000-2D00-00000F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71 w 71"/>
                <a:gd name="T1" fmla="*/ 5 h 83"/>
                <a:gd name="T2" fmla="*/ 65 w 71"/>
                <a:gd name="T3" fmla="*/ 0 h 83"/>
                <a:gd name="T4" fmla="*/ 0 w 71"/>
                <a:gd name="T5" fmla="*/ 83 h 83"/>
                <a:gd name="T6" fmla="*/ 71 w 71"/>
                <a:gd name="T7" fmla="*/ 5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71" y="5"/>
                  </a:moveTo>
                  <a:lnTo>
                    <a:pt x="65" y="0"/>
                  </a:lnTo>
                  <a:lnTo>
                    <a:pt x="0" y="83"/>
                  </a:lnTo>
                  <a:lnTo>
                    <a:pt x="71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2" name="Freeform 384">
              <a:extLst>
                <a:ext uri="{FF2B5EF4-FFF2-40B4-BE49-F238E27FC236}">
                  <a16:creationId xmlns:a16="http://schemas.microsoft.com/office/drawing/2014/main" id="{00000000-0008-0000-2D00-000010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65 w 65"/>
                <a:gd name="T1" fmla="*/ 5 h 88"/>
                <a:gd name="T2" fmla="*/ 58 w 65"/>
                <a:gd name="T3" fmla="*/ 0 h 88"/>
                <a:gd name="T4" fmla="*/ 0 w 65"/>
                <a:gd name="T5" fmla="*/ 88 h 88"/>
                <a:gd name="T6" fmla="*/ 65 w 65"/>
                <a:gd name="T7" fmla="*/ 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65" y="5"/>
                  </a:moveTo>
                  <a:lnTo>
                    <a:pt x="58" y="0"/>
                  </a:lnTo>
                  <a:lnTo>
                    <a:pt x="0" y="88"/>
                  </a:lnTo>
                  <a:lnTo>
                    <a:pt x="65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3" name="Freeform 385">
              <a:extLst>
                <a:ext uri="{FF2B5EF4-FFF2-40B4-BE49-F238E27FC236}">
                  <a16:creationId xmlns:a16="http://schemas.microsoft.com/office/drawing/2014/main" id="{00000000-0008-0000-2D00-000011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8 w 58"/>
                <a:gd name="T1" fmla="*/ 5 h 93"/>
                <a:gd name="T2" fmla="*/ 50 w 58"/>
                <a:gd name="T3" fmla="*/ 0 h 93"/>
                <a:gd name="T4" fmla="*/ 0 w 58"/>
                <a:gd name="T5" fmla="*/ 93 h 93"/>
                <a:gd name="T6" fmla="*/ 58 w 58"/>
                <a:gd name="T7" fmla="*/ 5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3">
                  <a:moveTo>
                    <a:pt x="58" y="5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8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4" name="Freeform 386">
              <a:extLst>
                <a:ext uri="{FF2B5EF4-FFF2-40B4-BE49-F238E27FC236}">
                  <a16:creationId xmlns:a16="http://schemas.microsoft.com/office/drawing/2014/main" id="{00000000-0008-0000-2D00-000012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0 w 50"/>
                <a:gd name="T1" fmla="*/ 4 h 97"/>
                <a:gd name="T2" fmla="*/ 42 w 50"/>
                <a:gd name="T3" fmla="*/ 0 h 97"/>
                <a:gd name="T4" fmla="*/ 0 w 50"/>
                <a:gd name="T5" fmla="*/ 97 h 97"/>
                <a:gd name="T6" fmla="*/ 50 w 50"/>
                <a:gd name="T7" fmla="*/ 4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7">
                  <a:moveTo>
                    <a:pt x="50" y="4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50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5" name="Freeform 387">
              <a:extLst>
                <a:ext uri="{FF2B5EF4-FFF2-40B4-BE49-F238E27FC236}">
                  <a16:creationId xmlns:a16="http://schemas.microsoft.com/office/drawing/2014/main" id="{00000000-0008-0000-2D00-000013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4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4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6" name="Freeform 388">
              <a:extLst>
                <a:ext uri="{FF2B5EF4-FFF2-40B4-BE49-F238E27FC236}">
                  <a16:creationId xmlns:a16="http://schemas.microsoft.com/office/drawing/2014/main" id="{00000000-0008-0000-2D00-000014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34 w 34"/>
                <a:gd name="T1" fmla="*/ 2 h 102"/>
                <a:gd name="T2" fmla="*/ 26 w 34"/>
                <a:gd name="T3" fmla="*/ 0 h 102"/>
                <a:gd name="T4" fmla="*/ 0 w 34"/>
                <a:gd name="T5" fmla="*/ 102 h 102"/>
                <a:gd name="T6" fmla="*/ 34 w 34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34" y="2"/>
                  </a:moveTo>
                  <a:lnTo>
                    <a:pt x="26" y="0"/>
                  </a:lnTo>
                  <a:lnTo>
                    <a:pt x="0" y="102"/>
                  </a:lnTo>
                  <a:lnTo>
                    <a:pt x="34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7" name="Freeform 389">
              <a:extLst>
                <a:ext uri="{FF2B5EF4-FFF2-40B4-BE49-F238E27FC236}">
                  <a16:creationId xmlns:a16="http://schemas.microsoft.com/office/drawing/2014/main" id="{00000000-0008-0000-2D00-000015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26 w 26"/>
                <a:gd name="T1" fmla="*/ 2 h 104"/>
                <a:gd name="T2" fmla="*/ 17 w 26"/>
                <a:gd name="T3" fmla="*/ 0 h 104"/>
                <a:gd name="T4" fmla="*/ 0 w 26"/>
                <a:gd name="T5" fmla="*/ 104 h 104"/>
                <a:gd name="T6" fmla="*/ 26 w 26"/>
                <a:gd name="T7" fmla="*/ 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26" y="2"/>
                  </a:moveTo>
                  <a:lnTo>
                    <a:pt x="17" y="0"/>
                  </a:lnTo>
                  <a:lnTo>
                    <a:pt x="0" y="104"/>
                  </a:lnTo>
                  <a:lnTo>
                    <a:pt x="26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8" name="Freeform 390">
              <a:extLst>
                <a:ext uri="{FF2B5EF4-FFF2-40B4-BE49-F238E27FC236}">
                  <a16:creationId xmlns:a16="http://schemas.microsoft.com/office/drawing/2014/main" id="{00000000-0008-0000-2D00-000016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17 w 17"/>
                <a:gd name="T1" fmla="*/ 1 h 105"/>
                <a:gd name="T2" fmla="*/ 9 w 17"/>
                <a:gd name="T3" fmla="*/ 0 h 105"/>
                <a:gd name="T4" fmla="*/ 0 w 17"/>
                <a:gd name="T5" fmla="*/ 105 h 105"/>
                <a:gd name="T6" fmla="*/ 17 w 17"/>
                <a:gd name="T7" fmla="*/ 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17" y="1"/>
                  </a:moveTo>
                  <a:lnTo>
                    <a:pt x="9" y="0"/>
                  </a:lnTo>
                  <a:lnTo>
                    <a:pt x="0" y="105"/>
                  </a:lnTo>
                  <a:lnTo>
                    <a:pt x="1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9" name="Freeform 391">
              <a:extLst>
                <a:ext uri="{FF2B5EF4-FFF2-40B4-BE49-F238E27FC236}">
                  <a16:creationId xmlns:a16="http://schemas.microsoft.com/office/drawing/2014/main" id="{00000000-0008-0000-2D00-000017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1 h 106"/>
                <a:gd name="T2" fmla="*/ 0 w 9"/>
                <a:gd name="T3" fmla="*/ 0 h 106"/>
                <a:gd name="T4" fmla="*/ 0 w 9"/>
                <a:gd name="T5" fmla="*/ 106 h 106"/>
                <a:gd name="T6" fmla="*/ 9 w 9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0" name="Freeform 392">
              <a:extLst>
                <a:ext uri="{FF2B5EF4-FFF2-40B4-BE49-F238E27FC236}">
                  <a16:creationId xmlns:a16="http://schemas.microsoft.com/office/drawing/2014/main" id="{00000000-0008-0000-2D00-000018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0 h 106"/>
                <a:gd name="T2" fmla="*/ 0 w 9"/>
                <a:gd name="T3" fmla="*/ 1 h 106"/>
                <a:gd name="T4" fmla="*/ 9 w 9"/>
                <a:gd name="T5" fmla="*/ 106 h 106"/>
                <a:gd name="T6" fmla="*/ 9 w 9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0"/>
                  </a:moveTo>
                  <a:lnTo>
                    <a:pt x="0" y="1"/>
                  </a:lnTo>
                  <a:lnTo>
                    <a:pt x="9" y="106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1" name="Freeform 393">
              <a:extLst>
                <a:ext uri="{FF2B5EF4-FFF2-40B4-BE49-F238E27FC236}">
                  <a16:creationId xmlns:a16="http://schemas.microsoft.com/office/drawing/2014/main" id="{00000000-0008-0000-2D00-000019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18"/>
                <a:gd name="T1" fmla="*/ 0 h 105"/>
                <a:gd name="T2" fmla="*/ 0 w 18"/>
                <a:gd name="T3" fmla="*/ 1 h 105"/>
                <a:gd name="T4" fmla="*/ 18 w 18"/>
                <a:gd name="T5" fmla="*/ 105 h 105"/>
                <a:gd name="T6" fmla="*/ 9 w 18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9" y="0"/>
                  </a:moveTo>
                  <a:lnTo>
                    <a:pt x="0" y="1"/>
                  </a:lnTo>
                  <a:lnTo>
                    <a:pt x="18" y="105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2" name="Freeform 394">
              <a:extLst>
                <a:ext uri="{FF2B5EF4-FFF2-40B4-BE49-F238E27FC236}">
                  <a16:creationId xmlns:a16="http://schemas.microsoft.com/office/drawing/2014/main" id="{00000000-0008-0000-2D00-00001A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27"/>
                <a:gd name="T1" fmla="*/ 0 h 104"/>
                <a:gd name="T2" fmla="*/ 0 w 27"/>
                <a:gd name="T3" fmla="*/ 2 h 104"/>
                <a:gd name="T4" fmla="*/ 27 w 27"/>
                <a:gd name="T5" fmla="*/ 104 h 104"/>
                <a:gd name="T6" fmla="*/ 9 w 27"/>
                <a:gd name="T7" fmla="*/ 0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9" y="0"/>
                  </a:moveTo>
                  <a:lnTo>
                    <a:pt x="0" y="2"/>
                  </a:lnTo>
                  <a:lnTo>
                    <a:pt x="27" y="104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3" name="Freeform 395">
              <a:extLst>
                <a:ext uri="{FF2B5EF4-FFF2-40B4-BE49-F238E27FC236}">
                  <a16:creationId xmlns:a16="http://schemas.microsoft.com/office/drawing/2014/main" id="{00000000-0008-0000-2D00-00001B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8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8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8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4" name="Freeform 396">
              <a:extLst>
                <a:ext uri="{FF2B5EF4-FFF2-40B4-BE49-F238E27FC236}">
                  <a16:creationId xmlns:a16="http://schemas.microsoft.com/office/drawing/2014/main" id="{00000000-0008-0000-2D00-00001C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43"/>
                <a:gd name="T1" fmla="*/ 0 h 100"/>
                <a:gd name="T2" fmla="*/ 0 w 43"/>
                <a:gd name="T3" fmla="*/ 3 h 100"/>
                <a:gd name="T4" fmla="*/ 43 w 43"/>
                <a:gd name="T5" fmla="*/ 100 h 100"/>
                <a:gd name="T6" fmla="*/ 8 w 43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100">
                  <a:moveTo>
                    <a:pt x="8" y="0"/>
                  </a:moveTo>
                  <a:lnTo>
                    <a:pt x="0" y="3"/>
                  </a:lnTo>
                  <a:lnTo>
                    <a:pt x="43" y="100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5" name="Freeform 397">
              <a:extLst>
                <a:ext uri="{FF2B5EF4-FFF2-40B4-BE49-F238E27FC236}">
                  <a16:creationId xmlns:a16="http://schemas.microsoft.com/office/drawing/2014/main" id="{00000000-0008-0000-2D00-00001D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1"/>
                <a:gd name="T1" fmla="*/ 0 h 97"/>
                <a:gd name="T2" fmla="*/ 0 w 51"/>
                <a:gd name="T3" fmla="*/ 4 h 97"/>
                <a:gd name="T4" fmla="*/ 51 w 51"/>
                <a:gd name="T5" fmla="*/ 97 h 97"/>
                <a:gd name="T6" fmla="*/ 8 w 51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7">
                  <a:moveTo>
                    <a:pt x="8" y="0"/>
                  </a:moveTo>
                  <a:lnTo>
                    <a:pt x="0" y="4"/>
                  </a:lnTo>
                  <a:lnTo>
                    <a:pt x="51" y="97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6" name="Freeform 398">
              <a:extLst>
                <a:ext uri="{FF2B5EF4-FFF2-40B4-BE49-F238E27FC236}">
                  <a16:creationId xmlns:a16="http://schemas.microsoft.com/office/drawing/2014/main" id="{00000000-0008-0000-2D00-00001E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9"/>
                <a:gd name="T1" fmla="*/ 0 h 93"/>
                <a:gd name="T2" fmla="*/ 0 w 59"/>
                <a:gd name="T3" fmla="*/ 5 h 93"/>
                <a:gd name="T4" fmla="*/ 59 w 59"/>
                <a:gd name="T5" fmla="*/ 93 h 93"/>
                <a:gd name="T6" fmla="*/ 8 w 59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3">
                  <a:moveTo>
                    <a:pt x="8" y="0"/>
                  </a:moveTo>
                  <a:lnTo>
                    <a:pt x="0" y="5"/>
                  </a:lnTo>
                  <a:lnTo>
                    <a:pt x="59" y="9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7" name="Freeform 399">
              <a:extLst>
                <a:ext uri="{FF2B5EF4-FFF2-40B4-BE49-F238E27FC236}">
                  <a16:creationId xmlns:a16="http://schemas.microsoft.com/office/drawing/2014/main" id="{00000000-0008-0000-2D00-00001F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7 w 66"/>
                <a:gd name="T1" fmla="*/ 0 h 88"/>
                <a:gd name="T2" fmla="*/ 0 w 66"/>
                <a:gd name="T3" fmla="*/ 5 h 88"/>
                <a:gd name="T4" fmla="*/ 66 w 66"/>
                <a:gd name="T5" fmla="*/ 88 h 88"/>
                <a:gd name="T6" fmla="*/ 7 w 66"/>
                <a:gd name="T7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7" y="0"/>
                  </a:moveTo>
                  <a:lnTo>
                    <a:pt x="0" y="5"/>
                  </a:lnTo>
                  <a:lnTo>
                    <a:pt x="66" y="88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8" name="Freeform 400">
              <a:extLst>
                <a:ext uri="{FF2B5EF4-FFF2-40B4-BE49-F238E27FC236}">
                  <a16:creationId xmlns:a16="http://schemas.microsoft.com/office/drawing/2014/main" id="{00000000-0008-0000-2D00-000020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6 w 72"/>
                <a:gd name="T1" fmla="*/ 0 h 83"/>
                <a:gd name="T2" fmla="*/ 0 w 72"/>
                <a:gd name="T3" fmla="*/ 5 h 83"/>
                <a:gd name="T4" fmla="*/ 72 w 72"/>
                <a:gd name="T5" fmla="*/ 83 h 83"/>
                <a:gd name="T6" fmla="*/ 6 w 72"/>
                <a:gd name="T7" fmla="*/ 0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6" y="0"/>
                  </a:moveTo>
                  <a:lnTo>
                    <a:pt x="0" y="5"/>
                  </a:lnTo>
                  <a:lnTo>
                    <a:pt x="72" y="83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9" name="Freeform 401">
              <a:extLst>
                <a:ext uri="{FF2B5EF4-FFF2-40B4-BE49-F238E27FC236}">
                  <a16:creationId xmlns:a16="http://schemas.microsoft.com/office/drawing/2014/main" id="{00000000-0008-0000-2D00-000021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78"/>
                <a:gd name="T1" fmla="*/ 0 h 78"/>
                <a:gd name="T2" fmla="*/ 0 w 78"/>
                <a:gd name="T3" fmla="*/ 6 h 78"/>
                <a:gd name="T4" fmla="*/ 78 w 78"/>
                <a:gd name="T5" fmla="*/ 78 h 78"/>
                <a:gd name="T6" fmla="*/ 6 w 78"/>
                <a:gd name="T7" fmla="*/ 0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8">
                  <a:moveTo>
                    <a:pt x="6" y="0"/>
                  </a:moveTo>
                  <a:lnTo>
                    <a:pt x="0" y="6"/>
                  </a:lnTo>
                  <a:lnTo>
                    <a:pt x="78" y="78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0" name="Freeform 402">
              <a:extLst>
                <a:ext uri="{FF2B5EF4-FFF2-40B4-BE49-F238E27FC236}">
                  <a16:creationId xmlns:a16="http://schemas.microsoft.com/office/drawing/2014/main" id="{00000000-0008-0000-2D00-000022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84"/>
                <a:gd name="T1" fmla="*/ 0 h 72"/>
                <a:gd name="T2" fmla="*/ 0 w 84"/>
                <a:gd name="T3" fmla="*/ 7 h 72"/>
                <a:gd name="T4" fmla="*/ 84 w 84"/>
                <a:gd name="T5" fmla="*/ 72 h 72"/>
                <a:gd name="T6" fmla="*/ 6 w 84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2">
                  <a:moveTo>
                    <a:pt x="6" y="0"/>
                  </a:moveTo>
                  <a:lnTo>
                    <a:pt x="0" y="7"/>
                  </a:lnTo>
                  <a:lnTo>
                    <a:pt x="84" y="7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1" name="Freeform 403">
              <a:extLst>
                <a:ext uri="{FF2B5EF4-FFF2-40B4-BE49-F238E27FC236}">
                  <a16:creationId xmlns:a16="http://schemas.microsoft.com/office/drawing/2014/main" id="{00000000-0008-0000-2D00-000023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89"/>
                <a:gd name="T1" fmla="*/ 0 h 65"/>
                <a:gd name="T2" fmla="*/ 0 w 89"/>
                <a:gd name="T3" fmla="*/ 7 h 65"/>
                <a:gd name="T4" fmla="*/ 89 w 89"/>
                <a:gd name="T5" fmla="*/ 65 h 65"/>
                <a:gd name="T6" fmla="*/ 5 w 89"/>
                <a:gd name="T7" fmla="*/ 0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5">
                  <a:moveTo>
                    <a:pt x="5" y="0"/>
                  </a:moveTo>
                  <a:lnTo>
                    <a:pt x="0" y="7"/>
                  </a:lnTo>
                  <a:lnTo>
                    <a:pt x="89" y="65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2" name="Freeform 404">
              <a:extLst>
                <a:ext uri="{FF2B5EF4-FFF2-40B4-BE49-F238E27FC236}">
                  <a16:creationId xmlns:a16="http://schemas.microsoft.com/office/drawing/2014/main" id="{00000000-0008-0000-2D00-000024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94"/>
                <a:gd name="T1" fmla="*/ 0 h 58"/>
                <a:gd name="T2" fmla="*/ 0 w 94"/>
                <a:gd name="T3" fmla="*/ 8 h 58"/>
                <a:gd name="T4" fmla="*/ 94 w 94"/>
                <a:gd name="T5" fmla="*/ 58 h 58"/>
                <a:gd name="T6" fmla="*/ 5 w 94"/>
                <a:gd name="T7" fmla="*/ 0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8">
                  <a:moveTo>
                    <a:pt x="5" y="0"/>
                  </a:moveTo>
                  <a:lnTo>
                    <a:pt x="0" y="8"/>
                  </a:lnTo>
                  <a:lnTo>
                    <a:pt x="94" y="58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3" name="Freeform 405">
              <a:extLst>
                <a:ext uri="{FF2B5EF4-FFF2-40B4-BE49-F238E27FC236}">
                  <a16:creationId xmlns:a16="http://schemas.microsoft.com/office/drawing/2014/main" id="{00000000-0008-0000-2D00-000025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3 w 97"/>
                <a:gd name="T1" fmla="*/ 0 h 50"/>
                <a:gd name="T2" fmla="*/ 0 w 97"/>
                <a:gd name="T3" fmla="*/ 7 h 50"/>
                <a:gd name="T4" fmla="*/ 97 w 97"/>
                <a:gd name="T5" fmla="*/ 50 h 50"/>
                <a:gd name="T6" fmla="*/ 3 w 97"/>
                <a:gd name="T7" fmla="*/ 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3" y="0"/>
                  </a:moveTo>
                  <a:lnTo>
                    <a:pt x="0" y="7"/>
                  </a:lnTo>
                  <a:lnTo>
                    <a:pt x="97" y="5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4" name="Freeform 406">
              <a:extLst>
                <a:ext uri="{FF2B5EF4-FFF2-40B4-BE49-F238E27FC236}">
                  <a16:creationId xmlns:a16="http://schemas.microsoft.com/office/drawing/2014/main" id="{00000000-0008-0000-2D00-000026010000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4 w 101"/>
                <a:gd name="T1" fmla="*/ 0 h 43"/>
                <a:gd name="T2" fmla="*/ 0 w 101"/>
                <a:gd name="T3" fmla="*/ 8 h 43"/>
                <a:gd name="T4" fmla="*/ 101 w 101"/>
                <a:gd name="T5" fmla="*/ 43 h 43"/>
                <a:gd name="T6" fmla="*/ 4 w 101"/>
                <a:gd name="T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3">
                  <a:moveTo>
                    <a:pt x="4" y="0"/>
                  </a:moveTo>
                  <a:lnTo>
                    <a:pt x="0" y="8"/>
                  </a:lnTo>
                  <a:lnTo>
                    <a:pt x="101" y="43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5" name="Freeform 407">
              <a:extLst>
                <a:ext uri="{FF2B5EF4-FFF2-40B4-BE49-F238E27FC236}">
                  <a16:creationId xmlns:a16="http://schemas.microsoft.com/office/drawing/2014/main" id="{00000000-0008-0000-2D00-000027010000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3"/>
                <a:gd name="T1" fmla="*/ 0 h 35"/>
                <a:gd name="T2" fmla="*/ 0 w 103"/>
                <a:gd name="T3" fmla="*/ 9 h 35"/>
                <a:gd name="T4" fmla="*/ 103 w 103"/>
                <a:gd name="T5" fmla="*/ 35 h 35"/>
                <a:gd name="T6" fmla="*/ 2 w 103"/>
                <a:gd name="T7" fmla="*/ 0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5">
                  <a:moveTo>
                    <a:pt x="2" y="0"/>
                  </a:moveTo>
                  <a:lnTo>
                    <a:pt x="0" y="9"/>
                  </a:lnTo>
                  <a:lnTo>
                    <a:pt x="103" y="35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6" name="Freeform 408">
              <a:extLst>
                <a:ext uri="{FF2B5EF4-FFF2-40B4-BE49-F238E27FC236}">
                  <a16:creationId xmlns:a16="http://schemas.microsoft.com/office/drawing/2014/main" id="{00000000-0008-0000-2D00-000028010000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5"/>
                <a:gd name="T1" fmla="*/ 0 h 26"/>
                <a:gd name="T2" fmla="*/ 0 w 105"/>
                <a:gd name="T3" fmla="*/ 8 h 26"/>
                <a:gd name="T4" fmla="*/ 105 w 105"/>
                <a:gd name="T5" fmla="*/ 26 h 26"/>
                <a:gd name="T6" fmla="*/ 2 w 105"/>
                <a:gd name="T7" fmla="*/ 0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2" y="0"/>
                  </a:moveTo>
                  <a:lnTo>
                    <a:pt x="0" y="8"/>
                  </a:lnTo>
                  <a:lnTo>
                    <a:pt x="105" y="2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7" name="Freeform 409">
              <a:extLst>
                <a:ext uri="{FF2B5EF4-FFF2-40B4-BE49-F238E27FC236}">
                  <a16:creationId xmlns:a16="http://schemas.microsoft.com/office/drawing/2014/main" id="{00000000-0008-0000-2D00-000029010000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1 w 106"/>
                <a:gd name="T1" fmla="*/ 0 h 18"/>
                <a:gd name="T2" fmla="*/ 0 w 106"/>
                <a:gd name="T3" fmla="*/ 9 h 18"/>
                <a:gd name="T4" fmla="*/ 106 w 106"/>
                <a:gd name="T5" fmla="*/ 18 h 18"/>
                <a:gd name="T6" fmla="*/ 1 w 106"/>
                <a:gd name="T7" fmla="*/ 0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8">
                  <a:moveTo>
                    <a:pt x="1" y="0"/>
                  </a:moveTo>
                  <a:lnTo>
                    <a:pt x="0" y="9"/>
                  </a:lnTo>
                  <a:lnTo>
                    <a:pt x="106" y="18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8" name="Freeform 410">
              <a:extLst>
                <a:ext uri="{FF2B5EF4-FFF2-40B4-BE49-F238E27FC236}">
                  <a16:creationId xmlns:a16="http://schemas.microsoft.com/office/drawing/2014/main" id="{00000000-0008-0000-2D00-00002A010000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9"/>
                <a:gd name="T2" fmla="*/ 0 w 106"/>
                <a:gd name="T3" fmla="*/ 9 h 9"/>
                <a:gd name="T4" fmla="*/ 106 w 106"/>
                <a:gd name="T5" fmla="*/ 9 h 9"/>
                <a:gd name="T6" fmla="*/ 0 w 106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9">
                  <a:moveTo>
                    <a:pt x="0" y="0"/>
                  </a:moveTo>
                  <a:lnTo>
                    <a:pt x="0" y="9"/>
                  </a:lnTo>
                  <a:lnTo>
                    <a:pt x="106" y="9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9" name="Freeform 411">
              <a:extLst>
                <a:ext uri="{FF2B5EF4-FFF2-40B4-BE49-F238E27FC236}">
                  <a16:creationId xmlns:a16="http://schemas.microsoft.com/office/drawing/2014/main" id="{00000000-0008-0000-2D00-00002B010000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8"/>
                <a:gd name="T2" fmla="*/ 0 w 106"/>
                <a:gd name="T3" fmla="*/ 8 h 8"/>
                <a:gd name="T4" fmla="*/ 106 w 106"/>
                <a:gd name="T5" fmla="*/ 0 h 8"/>
                <a:gd name="T6" fmla="*/ 0 w 106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8">
                  <a:moveTo>
                    <a:pt x="0" y="0"/>
                  </a:moveTo>
                  <a:lnTo>
                    <a:pt x="0" y="8"/>
                  </a:lnTo>
                  <a:lnTo>
                    <a:pt x="10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0" name="Freeform 412">
              <a:extLst>
                <a:ext uri="{FF2B5EF4-FFF2-40B4-BE49-F238E27FC236}">
                  <a16:creationId xmlns:a16="http://schemas.microsoft.com/office/drawing/2014/main" id="{00000000-0008-0000-2D00-00002C010000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8 h 17"/>
                <a:gd name="T2" fmla="*/ 1 w 106"/>
                <a:gd name="T3" fmla="*/ 17 h 17"/>
                <a:gd name="T4" fmla="*/ 106 w 106"/>
                <a:gd name="T5" fmla="*/ 0 h 17"/>
                <a:gd name="T6" fmla="*/ 0 w 106"/>
                <a:gd name="T7" fmla="*/ 8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7">
                  <a:moveTo>
                    <a:pt x="0" y="8"/>
                  </a:moveTo>
                  <a:lnTo>
                    <a:pt x="1" y="17"/>
                  </a:lnTo>
                  <a:lnTo>
                    <a:pt x="106" y="0"/>
                  </a:lnTo>
                  <a:lnTo>
                    <a:pt x="0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1" name="Freeform 413">
              <a:extLst>
                <a:ext uri="{FF2B5EF4-FFF2-40B4-BE49-F238E27FC236}">
                  <a16:creationId xmlns:a16="http://schemas.microsoft.com/office/drawing/2014/main" id="{00000000-0008-0000-2D00-00002D010000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5"/>
                <a:gd name="T1" fmla="*/ 17 h 26"/>
                <a:gd name="T2" fmla="*/ 2 w 105"/>
                <a:gd name="T3" fmla="*/ 26 h 26"/>
                <a:gd name="T4" fmla="*/ 105 w 105"/>
                <a:gd name="T5" fmla="*/ 0 h 26"/>
                <a:gd name="T6" fmla="*/ 0 w 105"/>
                <a:gd name="T7" fmla="*/ 17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0" y="17"/>
                  </a:moveTo>
                  <a:lnTo>
                    <a:pt x="2" y="26"/>
                  </a:lnTo>
                  <a:lnTo>
                    <a:pt x="105" y="0"/>
                  </a:lnTo>
                  <a:lnTo>
                    <a:pt x="0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2" name="Freeform 414">
              <a:extLst>
                <a:ext uri="{FF2B5EF4-FFF2-40B4-BE49-F238E27FC236}">
                  <a16:creationId xmlns:a16="http://schemas.microsoft.com/office/drawing/2014/main" id="{00000000-0008-0000-2D00-00002E010000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3"/>
                <a:gd name="T1" fmla="*/ 26 h 34"/>
                <a:gd name="T2" fmla="*/ 2 w 103"/>
                <a:gd name="T3" fmla="*/ 34 h 34"/>
                <a:gd name="T4" fmla="*/ 103 w 103"/>
                <a:gd name="T5" fmla="*/ 0 h 34"/>
                <a:gd name="T6" fmla="*/ 0 w 103"/>
                <a:gd name="T7" fmla="*/ 26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4">
                  <a:moveTo>
                    <a:pt x="0" y="26"/>
                  </a:moveTo>
                  <a:lnTo>
                    <a:pt x="2" y="34"/>
                  </a:lnTo>
                  <a:lnTo>
                    <a:pt x="103" y="0"/>
                  </a:lnTo>
                  <a:lnTo>
                    <a:pt x="0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3" name="Freeform 415">
              <a:extLst>
                <a:ext uri="{FF2B5EF4-FFF2-40B4-BE49-F238E27FC236}">
                  <a16:creationId xmlns:a16="http://schemas.microsoft.com/office/drawing/2014/main" id="{00000000-0008-0000-2D00-00002F010000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1"/>
            </a:xfrm>
            <a:custGeom>
              <a:avLst/>
              <a:gdLst>
                <a:gd name="T0" fmla="*/ 0 w 101"/>
                <a:gd name="T1" fmla="*/ 34 h 42"/>
                <a:gd name="T2" fmla="*/ 4 w 101"/>
                <a:gd name="T3" fmla="*/ 42 h 42"/>
                <a:gd name="T4" fmla="*/ 101 w 101"/>
                <a:gd name="T5" fmla="*/ 0 h 42"/>
                <a:gd name="T6" fmla="*/ 0 w 101"/>
                <a:gd name="T7" fmla="*/ 34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2">
                  <a:moveTo>
                    <a:pt x="0" y="34"/>
                  </a:moveTo>
                  <a:lnTo>
                    <a:pt x="4" y="42"/>
                  </a:lnTo>
                  <a:lnTo>
                    <a:pt x="101" y="0"/>
                  </a:lnTo>
                  <a:lnTo>
                    <a:pt x="0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4" name="Freeform 416">
              <a:extLst>
                <a:ext uri="{FF2B5EF4-FFF2-40B4-BE49-F238E27FC236}">
                  <a16:creationId xmlns:a16="http://schemas.microsoft.com/office/drawing/2014/main" id="{00000000-0008-0000-2D00-000030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7"/>
                <a:gd name="T1" fmla="*/ 42 h 50"/>
                <a:gd name="T2" fmla="*/ 3 w 97"/>
                <a:gd name="T3" fmla="*/ 50 h 50"/>
                <a:gd name="T4" fmla="*/ 97 w 97"/>
                <a:gd name="T5" fmla="*/ 0 h 50"/>
                <a:gd name="T6" fmla="*/ 0 w 97"/>
                <a:gd name="T7" fmla="*/ 42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0" y="42"/>
                  </a:moveTo>
                  <a:lnTo>
                    <a:pt x="3" y="50"/>
                  </a:lnTo>
                  <a:lnTo>
                    <a:pt x="97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5" name="Freeform 417">
              <a:extLst>
                <a:ext uri="{FF2B5EF4-FFF2-40B4-BE49-F238E27FC236}">
                  <a16:creationId xmlns:a16="http://schemas.microsoft.com/office/drawing/2014/main" id="{00000000-0008-0000-2D00-000031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4"/>
                <a:gd name="T1" fmla="*/ 50 h 57"/>
                <a:gd name="T2" fmla="*/ 5 w 94"/>
                <a:gd name="T3" fmla="*/ 57 h 57"/>
                <a:gd name="T4" fmla="*/ 94 w 94"/>
                <a:gd name="T5" fmla="*/ 0 h 57"/>
                <a:gd name="T6" fmla="*/ 0 w 94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7">
                  <a:moveTo>
                    <a:pt x="0" y="50"/>
                  </a:moveTo>
                  <a:lnTo>
                    <a:pt x="5" y="57"/>
                  </a:lnTo>
                  <a:lnTo>
                    <a:pt x="94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6" name="Freeform 418">
              <a:extLst>
                <a:ext uri="{FF2B5EF4-FFF2-40B4-BE49-F238E27FC236}">
                  <a16:creationId xmlns:a16="http://schemas.microsoft.com/office/drawing/2014/main" id="{00000000-0008-0000-2D00-000032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9"/>
                <a:gd name="T1" fmla="*/ 57 h 64"/>
                <a:gd name="T2" fmla="*/ 5 w 89"/>
                <a:gd name="T3" fmla="*/ 64 h 64"/>
                <a:gd name="T4" fmla="*/ 89 w 89"/>
                <a:gd name="T5" fmla="*/ 0 h 64"/>
                <a:gd name="T6" fmla="*/ 0 w 89"/>
                <a:gd name="T7" fmla="*/ 57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4">
                  <a:moveTo>
                    <a:pt x="0" y="57"/>
                  </a:moveTo>
                  <a:lnTo>
                    <a:pt x="5" y="64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7" name="Freeform 419">
              <a:extLst>
                <a:ext uri="{FF2B5EF4-FFF2-40B4-BE49-F238E27FC236}">
                  <a16:creationId xmlns:a16="http://schemas.microsoft.com/office/drawing/2014/main" id="{00000000-0008-0000-2D00-000033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4"/>
                <a:gd name="T1" fmla="*/ 64 h 71"/>
                <a:gd name="T2" fmla="*/ 6 w 84"/>
                <a:gd name="T3" fmla="*/ 71 h 71"/>
                <a:gd name="T4" fmla="*/ 84 w 84"/>
                <a:gd name="T5" fmla="*/ 0 h 71"/>
                <a:gd name="T6" fmla="*/ 0 w 84"/>
                <a:gd name="T7" fmla="*/ 64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1">
                  <a:moveTo>
                    <a:pt x="0" y="64"/>
                  </a:moveTo>
                  <a:lnTo>
                    <a:pt x="6" y="71"/>
                  </a:lnTo>
                  <a:lnTo>
                    <a:pt x="84" y="0"/>
                  </a:lnTo>
                  <a:lnTo>
                    <a:pt x="0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8" name="Freeform 420">
              <a:extLst>
                <a:ext uri="{FF2B5EF4-FFF2-40B4-BE49-F238E27FC236}">
                  <a16:creationId xmlns:a16="http://schemas.microsoft.com/office/drawing/2014/main" id="{00000000-0008-0000-2D00-000034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8"/>
                <a:gd name="T1" fmla="*/ 71 h 77"/>
                <a:gd name="T2" fmla="*/ 6 w 78"/>
                <a:gd name="T3" fmla="*/ 77 h 77"/>
                <a:gd name="T4" fmla="*/ 78 w 78"/>
                <a:gd name="T5" fmla="*/ 0 h 77"/>
                <a:gd name="T6" fmla="*/ 0 w 78"/>
                <a:gd name="T7" fmla="*/ 71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7">
                  <a:moveTo>
                    <a:pt x="0" y="71"/>
                  </a:moveTo>
                  <a:lnTo>
                    <a:pt x="6" y="77"/>
                  </a:lnTo>
                  <a:lnTo>
                    <a:pt x="78" y="0"/>
                  </a:lnTo>
                  <a:lnTo>
                    <a:pt x="0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9" name="Freeform 421">
              <a:extLst>
                <a:ext uri="{FF2B5EF4-FFF2-40B4-BE49-F238E27FC236}">
                  <a16:creationId xmlns:a16="http://schemas.microsoft.com/office/drawing/2014/main" id="{00000000-0008-0000-2D00-000035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2"/>
                <a:gd name="T1" fmla="*/ 77 h 83"/>
                <a:gd name="T2" fmla="*/ 6 w 72"/>
                <a:gd name="T3" fmla="*/ 83 h 83"/>
                <a:gd name="T4" fmla="*/ 72 w 72"/>
                <a:gd name="T5" fmla="*/ 0 h 83"/>
                <a:gd name="T6" fmla="*/ 0 w 72"/>
                <a:gd name="T7" fmla="*/ 77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0" y="77"/>
                  </a:moveTo>
                  <a:lnTo>
                    <a:pt x="6" y="83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0" name="Freeform 422">
              <a:extLst>
                <a:ext uri="{FF2B5EF4-FFF2-40B4-BE49-F238E27FC236}">
                  <a16:creationId xmlns:a16="http://schemas.microsoft.com/office/drawing/2014/main" id="{00000000-0008-0000-2D00-000036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66"/>
                <a:gd name="T1" fmla="*/ 83 h 88"/>
                <a:gd name="T2" fmla="*/ 7 w 66"/>
                <a:gd name="T3" fmla="*/ 88 h 88"/>
                <a:gd name="T4" fmla="*/ 66 w 66"/>
                <a:gd name="T5" fmla="*/ 0 h 88"/>
                <a:gd name="T6" fmla="*/ 0 w 66"/>
                <a:gd name="T7" fmla="*/ 83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0" y="83"/>
                  </a:moveTo>
                  <a:lnTo>
                    <a:pt x="7" y="88"/>
                  </a:lnTo>
                  <a:lnTo>
                    <a:pt x="66" y="0"/>
                  </a:lnTo>
                  <a:lnTo>
                    <a:pt x="0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1" name="Freeform 423">
              <a:extLst>
                <a:ext uri="{FF2B5EF4-FFF2-40B4-BE49-F238E27FC236}">
                  <a16:creationId xmlns:a16="http://schemas.microsoft.com/office/drawing/2014/main" id="{00000000-0008-0000-2D00-000037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9"/>
                <a:gd name="T1" fmla="*/ 88 h 92"/>
                <a:gd name="T2" fmla="*/ 8 w 59"/>
                <a:gd name="T3" fmla="*/ 92 h 92"/>
                <a:gd name="T4" fmla="*/ 59 w 59"/>
                <a:gd name="T5" fmla="*/ 0 h 92"/>
                <a:gd name="T6" fmla="*/ 0 w 59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2">
                  <a:moveTo>
                    <a:pt x="0" y="88"/>
                  </a:moveTo>
                  <a:lnTo>
                    <a:pt x="8" y="92"/>
                  </a:lnTo>
                  <a:lnTo>
                    <a:pt x="59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2" name="Freeform 424">
              <a:extLst>
                <a:ext uri="{FF2B5EF4-FFF2-40B4-BE49-F238E27FC236}">
                  <a16:creationId xmlns:a16="http://schemas.microsoft.com/office/drawing/2014/main" id="{00000000-0008-0000-2D00-000038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1"/>
                <a:gd name="T1" fmla="*/ 92 h 96"/>
                <a:gd name="T2" fmla="*/ 8 w 51"/>
                <a:gd name="T3" fmla="*/ 96 h 96"/>
                <a:gd name="T4" fmla="*/ 51 w 51"/>
                <a:gd name="T5" fmla="*/ 0 h 96"/>
                <a:gd name="T6" fmla="*/ 0 w 51"/>
                <a:gd name="T7" fmla="*/ 92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6">
                  <a:moveTo>
                    <a:pt x="0" y="92"/>
                  </a:moveTo>
                  <a:lnTo>
                    <a:pt x="8" y="96"/>
                  </a:lnTo>
                  <a:lnTo>
                    <a:pt x="51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3" name="Freeform 425">
              <a:extLst>
                <a:ext uri="{FF2B5EF4-FFF2-40B4-BE49-F238E27FC236}">
                  <a16:creationId xmlns:a16="http://schemas.microsoft.com/office/drawing/2014/main" id="{00000000-0008-0000-2D00-000039010000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2"/>
            </a:xfrm>
            <a:custGeom>
              <a:avLst/>
              <a:gdLst>
                <a:gd name="T0" fmla="*/ 0 w 43"/>
                <a:gd name="T1" fmla="*/ 96 h 99"/>
                <a:gd name="T2" fmla="*/ 8 w 43"/>
                <a:gd name="T3" fmla="*/ 99 h 99"/>
                <a:gd name="T4" fmla="*/ 43 w 43"/>
                <a:gd name="T5" fmla="*/ 0 h 99"/>
                <a:gd name="T6" fmla="*/ 0 w 43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99">
                  <a:moveTo>
                    <a:pt x="0" y="96"/>
                  </a:moveTo>
                  <a:lnTo>
                    <a:pt x="8" y="99"/>
                  </a:lnTo>
                  <a:lnTo>
                    <a:pt x="43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4" name="Freeform 426">
              <a:extLst>
                <a:ext uri="{FF2B5EF4-FFF2-40B4-BE49-F238E27FC236}">
                  <a16:creationId xmlns:a16="http://schemas.microsoft.com/office/drawing/2014/main" id="{00000000-0008-0000-2D00-00003A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35"/>
                <a:gd name="T1" fmla="*/ 99 h 102"/>
                <a:gd name="T2" fmla="*/ 8 w 35"/>
                <a:gd name="T3" fmla="*/ 102 h 102"/>
                <a:gd name="T4" fmla="*/ 35 w 35"/>
                <a:gd name="T5" fmla="*/ 0 h 102"/>
                <a:gd name="T6" fmla="*/ 0 w 35"/>
                <a:gd name="T7" fmla="*/ 99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0" y="99"/>
                  </a:moveTo>
                  <a:lnTo>
                    <a:pt x="8" y="102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5" name="Freeform 427">
              <a:extLst>
                <a:ext uri="{FF2B5EF4-FFF2-40B4-BE49-F238E27FC236}">
                  <a16:creationId xmlns:a16="http://schemas.microsoft.com/office/drawing/2014/main" id="{00000000-0008-0000-2D00-00003B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27"/>
                <a:gd name="T1" fmla="*/ 102 h 104"/>
                <a:gd name="T2" fmla="*/ 9 w 27"/>
                <a:gd name="T3" fmla="*/ 104 h 104"/>
                <a:gd name="T4" fmla="*/ 27 w 27"/>
                <a:gd name="T5" fmla="*/ 0 h 104"/>
                <a:gd name="T6" fmla="*/ 0 w 27"/>
                <a:gd name="T7" fmla="*/ 10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0" y="102"/>
                  </a:moveTo>
                  <a:lnTo>
                    <a:pt x="9" y="104"/>
                  </a:lnTo>
                  <a:lnTo>
                    <a:pt x="27" y="0"/>
                  </a:lnTo>
                  <a:lnTo>
                    <a:pt x="0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6" name="Freeform 428">
              <a:extLst>
                <a:ext uri="{FF2B5EF4-FFF2-40B4-BE49-F238E27FC236}">
                  <a16:creationId xmlns:a16="http://schemas.microsoft.com/office/drawing/2014/main" id="{00000000-0008-0000-2D00-00003C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18"/>
                <a:gd name="T1" fmla="*/ 104 h 105"/>
                <a:gd name="T2" fmla="*/ 9 w 18"/>
                <a:gd name="T3" fmla="*/ 105 h 105"/>
                <a:gd name="T4" fmla="*/ 18 w 18"/>
                <a:gd name="T5" fmla="*/ 0 h 105"/>
                <a:gd name="T6" fmla="*/ 0 w 18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0" y="104"/>
                  </a:moveTo>
                  <a:lnTo>
                    <a:pt x="9" y="105"/>
                  </a:lnTo>
                  <a:lnTo>
                    <a:pt x="18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7" name="Freeform 429">
              <a:extLst>
                <a:ext uri="{FF2B5EF4-FFF2-40B4-BE49-F238E27FC236}">
                  <a16:creationId xmlns:a16="http://schemas.microsoft.com/office/drawing/2014/main" id="{00000000-0008-0000-2D00-00003D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9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9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8" name="Freeform 430">
              <a:extLst>
                <a:ext uri="{FF2B5EF4-FFF2-40B4-BE49-F238E27FC236}">
                  <a16:creationId xmlns:a16="http://schemas.microsoft.com/office/drawing/2014/main" id="{00000000-0008-0000-2D00-00003E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0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9" name="Freeform 431">
              <a:extLst>
                <a:ext uri="{FF2B5EF4-FFF2-40B4-BE49-F238E27FC236}">
                  <a16:creationId xmlns:a16="http://schemas.microsoft.com/office/drawing/2014/main" id="{00000000-0008-0000-2D00-00003F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9 w 17"/>
                <a:gd name="T1" fmla="*/ 105 h 105"/>
                <a:gd name="T2" fmla="*/ 17 w 17"/>
                <a:gd name="T3" fmla="*/ 104 h 105"/>
                <a:gd name="T4" fmla="*/ 0 w 17"/>
                <a:gd name="T5" fmla="*/ 0 h 105"/>
                <a:gd name="T6" fmla="*/ 9 w 1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9" y="105"/>
                  </a:moveTo>
                  <a:lnTo>
                    <a:pt x="17" y="104"/>
                  </a:lnTo>
                  <a:lnTo>
                    <a:pt x="0" y="0"/>
                  </a:lnTo>
                  <a:lnTo>
                    <a:pt x="9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0" name="Freeform 432">
              <a:extLst>
                <a:ext uri="{FF2B5EF4-FFF2-40B4-BE49-F238E27FC236}">
                  <a16:creationId xmlns:a16="http://schemas.microsoft.com/office/drawing/2014/main" id="{00000000-0008-0000-2D00-000040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17 w 26"/>
                <a:gd name="T1" fmla="*/ 104 h 104"/>
                <a:gd name="T2" fmla="*/ 26 w 26"/>
                <a:gd name="T3" fmla="*/ 102 h 104"/>
                <a:gd name="T4" fmla="*/ 0 w 26"/>
                <a:gd name="T5" fmla="*/ 0 h 104"/>
                <a:gd name="T6" fmla="*/ 17 w 26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17" y="104"/>
                  </a:moveTo>
                  <a:lnTo>
                    <a:pt x="26" y="102"/>
                  </a:lnTo>
                  <a:lnTo>
                    <a:pt x="0" y="0"/>
                  </a:lnTo>
                  <a:lnTo>
                    <a:pt x="17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1" name="Freeform 433">
              <a:extLst>
                <a:ext uri="{FF2B5EF4-FFF2-40B4-BE49-F238E27FC236}">
                  <a16:creationId xmlns:a16="http://schemas.microsoft.com/office/drawing/2014/main" id="{00000000-0008-0000-2D00-000041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26 w 34"/>
                <a:gd name="T1" fmla="*/ 102 h 102"/>
                <a:gd name="T2" fmla="*/ 34 w 34"/>
                <a:gd name="T3" fmla="*/ 99 h 102"/>
                <a:gd name="T4" fmla="*/ 0 w 34"/>
                <a:gd name="T5" fmla="*/ 0 h 102"/>
                <a:gd name="T6" fmla="*/ 26 w 34"/>
                <a:gd name="T7" fmla="*/ 10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26" y="102"/>
                  </a:moveTo>
                  <a:lnTo>
                    <a:pt x="34" y="99"/>
                  </a:lnTo>
                  <a:lnTo>
                    <a:pt x="0" y="0"/>
                  </a:lnTo>
                  <a:lnTo>
                    <a:pt x="26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2" name="Freeform 434">
              <a:extLst>
                <a:ext uri="{FF2B5EF4-FFF2-40B4-BE49-F238E27FC236}">
                  <a16:creationId xmlns:a16="http://schemas.microsoft.com/office/drawing/2014/main" id="{00000000-0008-0000-2D00-000042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34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4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4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4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3" name="Freeform 435">
              <a:extLst>
                <a:ext uri="{FF2B5EF4-FFF2-40B4-BE49-F238E27FC236}">
                  <a16:creationId xmlns:a16="http://schemas.microsoft.com/office/drawing/2014/main" id="{00000000-0008-0000-2D00-000043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42 w 50"/>
                <a:gd name="T1" fmla="*/ 96 h 96"/>
                <a:gd name="T2" fmla="*/ 50 w 50"/>
                <a:gd name="T3" fmla="*/ 92 h 96"/>
                <a:gd name="T4" fmla="*/ 0 w 50"/>
                <a:gd name="T5" fmla="*/ 0 h 96"/>
                <a:gd name="T6" fmla="*/ 42 w 50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42" y="96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4" name="Freeform 436">
              <a:extLst>
                <a:ext uri="{FF2B5EF4-FFF2-40B4-BE49-F238E27FC236}">
                  <a16:creationId xmlns:a16="http://schemas.microsoft.com/office/drawing/2014/main" id="{00000000-0008-0000-2D00-000044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0 w 58"/>
                <a:gd name="T1" fmla="*/ 92 h 92"/>
                <a:gd name="T2" fmla="*/ 58 w 58"/>
                <a:gd name="T3" fmla="*/ 88 h 92"/>
                <a:gd name="T4" fmla="*/ 0 w 58"/>
                <a:gd name="T5" fmla="*/ 0 h 92"/>
                <a:gd name="T6" fmla="*/ 50 w 58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2">
                  <a:moveTo>
                    <a:pt x="50" y="92"/>
                  </a:moveTo>
                  <a:lnTo>
                    <a:pt x="58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5" name="Freeform 437">
              <a:extLst>
                <a:ext uri="{FF2B5EF4-FFF2-40B4-BE49-F238E27FC236}">
                  <a16:creationId xmlns:a16="http://schemas.microsoft.com/office/drawing/2014/main" id="{00000000-0008-0000-2D00-000045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8 w 65"/>
                <a:gd name="T1" fmla="*/ 88 h 88"/>
                <a:gd name="T2" fmla="*/ 65 w 65"/>
                <a:gd name="T3" fmla="*/ 83 h 88"/>
                <a:gd name="T4" fmla="*/ 0 w 65"/>
                <a:gd name="T5" fmla="*/ 0 h 88"/>
                <a:gd name="T6" fmla="*/ 58 w 65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58" y="88"/>
                  </a:moveTo>
                  <a:lnTo>
                    <a:pt x="65" y="83"/>
                  </a:lnTo>
                  <a:lnTo>
                    <a:pt x="0" y="0"/>
                  </a:lnTo>
                  <a:lnTo>
                    <a:pt x="58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6" name="Freeform 438">
              <a:extLst>
                <a:ext uri="{FF2B5EF4-FFF2-40B4-BE49-F238E27FC236}">
                  <a16:creationId xmlns:a16="http://schemas.microsoft.com/office/drawing/2014/main" id="{00000000-0008-0000-2D00-000046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65 w 71"/>
                <a:gd name="T1" fmla="*/ 83 h 83"/>
                <a:gd name="T2" fmla="*/ 71 w 71"/>
                <a:gd name="T3" fmla="*/ 77 h 83"/>
                <a:gd name="T4" fmla="*/ 0 w 71"/>
                <a:gd name="T5" fmla="*/ 0 h 83"/>
                <a:gd name="T6" fmla="*/ 65 w 71"/>
                <a:gd name="T7" fmla="*/ 83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65" y="83"/>
                  </a:moveTo>
                  <a:lnTo>
                    <a:pt x="71" y="77"/>
                  </a:lnTo>
                  <a:lnTo>
                    <a:pt x="0" y="0"/>
                  </a:lnTo>
                  <a:lnTo>
                    <a:pt x="65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7" name="Freeform 439">
              <a:extLst>
                <a:ext uri="{FF2B5EF4-FFF2-40B4-BE49-F238E27FC236}">
                  <a16:creationId xmlns:a16="http://schemas.microsoft.com/office/drawing/2014/main" id="{00000000-0008-0000-2D00-000047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1 w 77"/>
                <a:gd name="T1" fmla="*/ 77 h 77"/>
                <a:gd name="T2" fmla="*/ 77 w 77"/>
                <a:gd name="T3" fmla="*/ 71 h 77"/>
                <a:gd name="T4" fmla="*/ 0 w 77"/>
                <a:gd name="T5" fmla="*/ 0 h 77"/>
                <a:gd name="T6" fmla="*/ 71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1" y="77"/>
                  </a:moveTo>
                  <a:lnTo>
                    <a:pt x="77" y="71"/>
                  </a:lnTo>
                  <a:lnTo>
                    <a:pt x="0" y="0"/>
                  </a:lnTo>
                  <a:lnTo>
                    <a:pt x="71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8" name="Freeform 440">
              <a:extLst>
                <a:ext uri="{FF2B5EF4-FFF2-40B4-BE49-F238E27FC236}">
                  <a16:creationId xmlns:a16="http://schemas.microsoft.com/office/drawing/2014/main" id="{00000000-0008-0000-2D00-000048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7 w 83"/>
                <a:gd name="T1" fmla="*/ 71 h 71"/>
                <a:gd name="T2" fmla="*/ 83 w 83"/>
                <a:gd name="T3" fmla="*/ 64 h 71"/>
                <a:gd name="T4" fmla="*/ 0 w 83"/>
                <a:gd name="T5" fmla="*/ 0 h 71"/>
                <a:gd name="T6" fmla="*/ 77 w 83"/>
                <a:gd name="T7" fmla="*/ 71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1">
                  <a:moveTo>
                    <a:pt x="77" y="71"/>
                  </a:moveTo>
                  <a:lnTo>
                    <a:pt x="83" y="64"/>
                  </a:lnTo>
                  <a:lnTo>
                    <a:pt x="0" y="0"/>
                  </a:lnTo>
                  <a:lnTo>
                    <a:pt x="77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9" name="Freeform 441">
              <a:extLst>
                <a:ext uri="{FF2B5EF4-FFF2-40B4-BE49-F238E27FC236}">
                  <a16:creationId xmlns:a16="http://schemas.microsoft.com/office/drawing/2014/main" id="{00000000-0008-0000-2D00-000049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3 w 88"/>
                <a:gd name="T1" fmla="*/ 64 h 64"/>
                <a:gd name="T2" fmla="*/ 88 w 88"/>
                <a:gd name="T3" fmla="*/ 57 h 64"/>
                <a:gd name="T4" fmla="*/ 0 w 88"/>
                <a:gd name="T5" fmla="*/ 0 h 64"/>
                <a:gd name="T6" fmla="*/ 83 w 88"/>
                <a:gd name="T7" fmla="*/ 64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4">
                  <a:moveTo>
                    <a:pt x="83" y="64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3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0" name="Freeform 442">
              <a:extLst>
                <a:ext uri="{FF2B5EF4-FFF2-40B4-BE49-F238E27FC236}">
                  <a16:creationId xmlns:a16="http://schemas.microsoft.com/office/drawing/2014/main" id="{00000000-0008-0000-2D00-00004A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8 w 93"/>
                <a:gd name="T1" fmla="*/ 57 h 57"/>
                <a:gd name="T2" fmla="*/ 93 w 93"/>
                <a:gd name="T3" fmla="*/ 50 h 57"/>
                <a:gd name="T4" fmla="*/ 0 w 93"/>
                <a:gd name="T5" fmla="*/ 0 h 57"/>
                <a:gd name="T6" fmla="*/ 88 w 93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7">
                  <a:moveTo>
                    <a:pt x="88" y="57"/>
                  </a:moveTo>
                  <a:lnTo>
                    <a:pt x="93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1" name="Freeform 443">
              <a:extLst>
                <a:ext uri="{FF2B5EF4-FFF2-40B4-BE49-F238E27FC236}">
                  <a16:creationId xmlns:a16="http://schemas.microsoft.com/office/drawing/2014/main" id="{00000000-0008-0000-2D00-00004B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3 w 96"/>
                <a:gd name="T1" fmla="*/ 50 h 50"/>
                <a:gd name="T2" fmla="*/ 96 w 96"/>
                <a:gd name="T3" fmla="*/ 42 h 50"/>
                <a:gd name="T4" fmla="*/ 0 w 96"/>
                <a:gd name="T5" fmla="*/ 0 h 50"/>
                <a:gd name="T6" fmla="*/ 93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3" y="50"/>
                  </a:moveTo>
                  <a:lnTo>
                    <a:pt x="96" y="42"/>
                  </a:lnTo>
                  <a:lnTo>
                    <a:pt x="0" y="0"/>
                  </a:lnTo>
                  <a:lnTo>
                    <a:pt x="93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2" name="Freeform 444">
              <a:extLst>
                <a:ext uri="{FF2B5EF4-FFF2-40B4-BE49-F238E27FC236}">
                  <a16:creationId xmlns:a16="http://schemas.microsoft.com/office/drawing/2014/main" id="{00000000-0008-0000-2D00-00004C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6 w 99"/>
                <a:gd name="T1" fmla="*/ 42 h 42"/>
                <a:gd name="T2" fmla="*/ 99 w 99"/>
                <a:gd name="T3" fmla="*/ 34 h 42"/>
                <a:gd name="T4" fmla="*/ 0 w 99"/>
                <a:gd name="T5" fmla="*/ 0 h 42"/>
                <a:gd name="T6" fmla="*/ 96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6" y="42"/>
                  </a:moveTo>
                  <a:lnTo>
                    <a:pt x="99" y="34"/>
                  </a:lnTo>
                  <a:lnTo>
                    <a:pt x="0" y="0"/>
                  </a:lnTo>
                  <a:lnTo>
                    <a:pt x="96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3" name="Freeform 445">
              <a:extLst>
                <a:ext uri="{FF2B5EF4-FFF2-40B4-BE49-F238E27FC236}">
                  <a16:creationId xmlns:a16="http://schemas.microsoft.com/office/drawing/2014/main" id="{00000000-0008-0000-2D00-00004D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99 w 102"/>
                <a:gd name="T1" fmla="*/ 34 h 34"/>
                <a:gd name="T2" fmla="*/ 102 w 102"/>
                <a:gd name="T3" fmla="*/ 26 h 34"/>
                <a:gd name="T4" fmla="*/ 0 w 102"/>
                <a:gd name="T5" fmla="*/ 0 h 34"/>
                <a:gd name="T6" fmla="*/ 99 w 102"/>
                <a:gd name="T7" fmla="*/ 34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4">
                  <a:moveTo>
                    <a:pt x="99" y="34"/>
                  </a:moveTo>
                  <a:lnTo>
                    <a:pt x="102" y="26"/>
                  </a:lnTo>
                  <a:lnTo>
                    <a:pt x="0" y="0"/>
                  </a:lnTo>
                  <a:lnTo>
                    <a:pt x="99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4" name="Freeform 446">
              <a:extLst>
                <a:ext uri="{FF2B5EF4-FFF2-40B4-BE49-F238E27FC236}">
                  <a16:creationId xmlns:a16="http://schemas.microsoft.com/office/drawing/2014/main" id="{00000000-0008-0000-2D00-00004E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2 w 104"/>
                <a:gd name="T1" fmla="*/ 26 h 26"/>
                <a:gd name="T2" fmla="*/ 104 w 104"/>
                <a:gd name="T3" fmla="*/ 17 h 26"/>
                <a:gd name="T4" fmla="*/ 0 w 104"/>
                <a:gd name="T5" fmla="*/ 0 h 26"/>
                <a:gd name="T6" fmla="*/ 102 w 104"/>
                <a:gd name="T7" fmla="*/ 26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2" y="26"/>
                  </a:moveTo>
                  <a:lnTo>
                    <a:pt x="104" y="17"/>
                  </a:lnTo>
                  <a:lnTo>
                    <a:pt x="0" y="0"/>
                  </a:lnTo>
                  <a:lnTo>
                    <a:pt x="102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5" name="Freeform 447">
              <a:extLst>
                <a:ext uri="{FF2B5EF4-FFF2-40B4-BE49-F238E27FC236}">
                  <a16:creationId xmlns:a16="http://schemas.microsoft.com/office/drawing/2014/main" id="{00000000-0008-0000-2D00-00004F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4 w 105"/>
                <a:gd name="T1" fmla="*/ 17 h 17"/>
                <a:gd name="T2" fmla="*/ 105 w 105"/>
                <a:gd name="T3" fmla="*/ 8 h 17"/>
                <a:gd name="T4" fmla="*/ 0 w 105"/>
                <a:gd name="T5" fmla="*/ 0 h 17"/>
                <a:gd name="T6" fmla="*/ 104 w 105"/>
                <a:gd name="T7" fmla="*/ 17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7">
                  <a:moveTo>
                    <a:pt x="104" y="17"/>
                  </a:moveTo>
                  <a:lnTo>
                    <a:pt x="105" y="8"/>
                  </a:lnTo>
                  <a:lnTo>
                    <a:pt x="0" y="0"/>
                  </a:lnTo>
                  <a:lnTo>
                    <a:pt x="104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6" name="Freeform 448">
              <a:extLst>
                <a:ext uri="{FF2B5EF4-FFF2-40B4-BE49-F238E27FC236}">
                  <a16:creationId xmlns:a16="http://schemas.microsoft.com/office/drawing/2014/main" id="{00000000-0008-0000-2D00-0000500100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0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7" name="Freeform 449">
              <a:extLst>
                <a:ext uri="{FF2B5EF4-FFF2-40B4-BE49-F238E27FC236}">
                  <a16:creationId xmlns:a16="http://schemas.microsoft.com/office/drawing/2014/main" id="{00000000-0008-0000-2D00-000051010000}"/>
                </a:ext>
              </a:extLst>
            </xdr:cNvPr>
            <xdr:cNvSpPr>
              <a:spLocks/>
            </xdr:cNvSpPr>
          </xdr:nvSpPr>
          <xdr:spPr bwMode="auto">
            <a:xfrm>
              <a:off x="1178" y="188"/>
              <a:ext cx="6" cy="9"/>
            </a:xfrm>
            <a:custGeom>
              <a:avLst/>
              <a:gdLst>
                <a:gd name="T0" fmla="*/ 0 w 350"/>
                <a:gd name="T1" fmla="*/ 526 h 526"/>
                <a:gd name="T2" fmla="*/ 263 w 350"/>
                <a:gd name="T3" fmla="*/ 526 h 526"/>
                <a:gd name="T4" fmla="*/ 350 w 350"/>
                <a:gd name="T5" fmla="*/ 439 h 526"/>
                <a:gd name="T6" fmla="*/ 350 w 350"/>
                <a:gd name="T7" fmla="*/ 88 h 526"/>
                <a:gd name="T8" fmla="*/ 263 w 350"/>
                <a:gd name="T9" fmla="*/ 0 h 526"/>
                <a:gd name="T10" fmla="*/ 0 w 350"/>
                <a:gd name="T11" fmla="*/ 0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0" h="526">
                  <a:moveTo>
                    <a:pt x="0" y="526"/>
                  </a:moveTo>
                  <a:lnTo>
                    <a:pt x="263" y="526"/>
                  </a:lnTo>
                  <a:lnTo>
                    <a:pt x="350" y="439"/>
                  </a:lnTo>
                  <a:lnTo>
                    <a:pt x="350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38" name="Line 450">
              <a:extLst>
                <a:ext uri="{FF2B5EF4-FFF2-40B4-BE49-F238E27FC236}">
                  <a16:creationId xmlns:a16="http://schemas.microsoft.com/office/drawing/2014/main" id="{00000000-0008-0000-2D00-000052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0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9" name="Freeform 451">
              <a:extLst>
                <a:ext uri="{FF2B5EF4-FFF2-40B4-BE49-F238E27FC236}">
                  <a16:creationId xmlns:a16="http://schemas.microsoft.com/office/drawing/2014/main" id="{00000000-0008-0000-2D00-000053010000}"/>
                </a:ext>
              </a:extLst>
            </xdr:cNvPr>
            <xdr:cNvSpPr>
              <a:spLocks/>
            </xdr:cNvSpPr>
          </xdr:nvSpPr>
          <xdr:spPr bwMode="auto">
            <a:xfrm>
              <a:off x="1190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40" name="Freeform 452">
              <a:extLst>
                <a:ext uri="{FF2B5EF4-FFF2-40B4-BE49-F238E27FC236}">
                  <a16:creationId xmlns:a16="http://schemas.microsoft.com/office/drawing/2014/main" id="{00000000-0008-0000-2D00-000054010000}"/>
                </a:ext>
              </a:extLst>
            </xdr:cNvPr>
            <xdr:cNvSpPr>
              <a:spLocks/>
            </xdr:cNvSpPr>
          </xdr:nvSpPr>
          <xdr:spPr bwMode="auto">
            <a:xfrm>
              <a:off x="1190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6" name="Freeform 454">
            <a:extLst>
              <a:ext uri="{FF2B5EF4-FFF2-40B4-BE49-F238E27FC236}">
                <a16:creationId xmlns:a16="http://schemas.microsoft.com/office/drawing/2014/main" id="{00000000-0008-0000-2D00-000006000000}"/>
              </a:ext>
            </a:extLst>
          </xdr:cNvPr>
          <xdr:cNvSpPr>
            <a:spLocks/>
          </xdr:cNvSpPr>
        </xdr:nvSpPr>
        <xdr:spPr bwMode="auto">
          <a:xfrm>
            <a:off x="1190" y="200"/>
            <a:ext cx="1" cy="2"/>
          </a:xfrm>
          <a:custGeom>
            <a:avLst/>
            <a:gdLst>
              <a:gd name="T0" fmla="*/ 53 w 53"/>
              <a:gd name="T1" fmla="*/ 14 h 106"/>
              <a:gd name="T2" fmla="*/ 0 w 53"/>
              <a:gd name="T3" fmla="*/ 0 h 106"/>
              <a:gd name="T4" fmla="*/ 0 w 53"/>
              <a:gd name="T5" fmla="*/ 106 h 106"/>
              <a:gd name="T6" fmla="*/ 53 w 53"/>
              <a:gd name="T7" fmla="*/ 14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14"/>
                </a:moveTo>
                <a:lnTo>
                  <a:pt x="0" y="0"/>
                </a:lnTo>
                <a:lnTo>
                  <a:pt x="0" y="106"/>
                </a:lnTo>
                <a:lnTo>
                  <a:pt x="53" y="14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Freeform 455">
            <a:extLst>
              <a:ext uri="{FF2B5EF4-FFF2-40B4-BE49-F238E27FC236}">
                <a16:creationId xmlns:a16="http://schemas.microsoft.com/office/drawing/2014/main" id="{00000000-0008-0000-2D00-000007000000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53 w 53"/>
              <a:gd name="T1" fmla="*/ 0 h 106"/>
              <a:gd name="T2" fmla="*/ 0 w 53"/>
              <a:gd name="T3" fmla="*/ 14 h 106"/>
              <a:gd name="T4" fmla="*/ 53 w 53"/>
              <a:gd name="T5" fmla="*/ 106 h 106"/>
              <a:gd name="T6" fmla="*/ 53 w 53"/>
              <a:gd name="T7" fmla="*/ 0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0"/>
                </a:moveTo>
                <a:lnTo>
                  <a:pt x="0" y="14"/>
                </a:lnTo>
                <a:lnTo>
                  <a:pt x="53" y="106"/>
                </a:lnTo>
                <a:lnTo>
                  <a:pt x="53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" name="Freeform 456">
            <a:extLst>
              <a:ext uri="{FF2B5EF4-FFF2-40B4-BE49-F238E27FC236}">
                <a16:creationId xmlns:a16="http://schemas.microsoft.com/office/drawing/2014/main" id="{00000000-0008-0000-2D00-000008000000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38 w 91"/>
              <a:gd name="T1" fmla="*/ 0 h 92"/>
              <a:gd name="T2" fmla="*/ 0 w 91"/>
              <a:gd name="T3" fmla="*/ 39 h 92"/>
              <a:gd name="T4" fmla="*/ 91 w 91"/>
              <a:gd name="T5" fmla="*/ 92 h 92"/>
              <a:gd name="T6" fmla="*/ 38 w 91"/>
              <a:gd name="T7" fmla="*/ 0 h 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2">
                <a:moveTo>
                  <a:pt x="38" y="0"/>
                </a:moveTo>
                <a:lnTo>
                  <a:pt x="0" y="39"/>
                </a:lnTo>
                <a:lnTo>
                  <a:pt x="91" y="92"/>
                </a:lnTo>
                <a:lnTo>
                  <a:pt x="38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Freeform 457">
            <a:extLst>
              <a:ext uri="{FF2B5EF4-FFF2-40B4-BE49-F238E27FC236}">
                <a16:creationId xmlns:a16="http://schemas.microsoft.com/office/drawing/2014/main" id="{00000000-0008-0000-2D00-000009000000}"/>
              </a:ext>
            </a:extLst>
          </xdr:cNvPr>
          <xdr:cNvSpPr>
            <a:spLocks/>
          </xdr:cNvSpPr>
        </xdr:nvSpPr>
        <xdr:spPr bwMode="auto">
          <a:xfrm>
            <a:off x="1188" y="201"/>
            <a:ext cx="2" cy="1"/>
          </a:xfrm>
          <a:custGeom>
            <a:avLst/>
            <a:gdLst>
              <a:gd name="T0" fmla="*/ 15 w 106"/>
              <a:gd name="T1" fmla="*/ 0 h 53"/>
              <a:gd name="T2" fmla="*/ 0 w 106"/>
              <a:gd name="T3" fmla="*/ 53 h 53"/>
              <a:gd name="T4" fmla="*/ 106 w 106"/>
              <a:gd name="T5" fmla="*/ 53 h 53"/>
              <a:gd name="T6" fmla="*/ 15 w 106"/>
              <a:gd name="T7" fmla="*/ 0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3">
                <a:moveTo>
                  <a:pt x="15" y="0"/>
                </a:moveTo>
                <a:lnTo>
                  <a:pt x="0" y="53"/>
                </a:lnTo>
                <a:lnTo>
                  <a:pt x="106" y="53"/>
                </a:lnTo>
                <a:lnTo>
                  <a:pt x="15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" name="Freeform 458">
            <a:extLst>
              <a:ext uri="{FF2B5EF4-FFF2-40B4-BE49-F238E27FC236}">
                <a16:creationId xmlns:a16="http://schemas.microsoft.com/office/drawing/2014/main" id="{00000000-0008-0000-2D00-00000A000000}"/>
              </a:ext>
            </a:extLst>
          </xdr:cNvPr>
          <xdr:cNvSpPr>
            <a:spLocks/>
          </xdr:cNvSpPr>
        </xdr:nvSpPr>
        <xdr:spPr bwMode="auto">
          <a:xfrm>
            <a:off x="1188" y="202"/>
            <a:ext cx="2" cy="1"/>
          </a:xfrm>
          <a:custGeom>
            <a:avLst/>
            <a:gdLst>
              <a:gd name="T0" fmla="*/ 0 w 106"/>
              <a:gd name="T1" fmla="*/ 0 h 52"/>
              <a:gd name="T2" fmla="*/ 15 w 106"/>
              <a:gd name="T3" fmla="*/ 52 h 52"/>
              <a:gd name="T4" fmla="*/ 106 w 106"/>
              <a:gd name="T5" fmla="*/ 0 h 52"/>
              <a:gd name="T6" fmla="*/ 0 w 106"/>
              <a:gd name="T7" fmla="*/ 0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2">
                <a:moveTo>
                  <a:pt x="0" y="0"/>
                </a:moveTo>
                <a:lnTo>
                  <a:pt x="15" y="52"/>
                </a:lnTo>
                <a:lnTo>
                  <a:pt x="106" y="0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" name="Freeform 459">
            <a:extLst>
              <a:ext uri="{FF2B5EF4-FFF2-40B4-BE49-F238E27FC236}">
                <a16:creationId xmlns:a16="http://schemas.microsoft.com/office/drawing/2014/main" id="{00000000-0008-0000-2D00-00000B000000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1"/>
          </a:xfrm>
          <a:custGeom>
            <a:avLst/>
            <a:gdLst>
              <a:gd name="T0" fmla="*/ 0 w 91"/>
              <a:gd name="T1" fmla="*/ 52 h 91"/>
              <a:gd name="T2" fmla="*/ 38 w 91"/>
              <a:gd name="T3" fmla="*/ 91 h 91"/>
              <a:gd name="T4" fmla="*/ 91 w 91"/>
              <a:gd name="T5" fmla="*/ 0 h 91"/>
              <a:gd name="T6" fmla="*/ 0 w 91"/>
              <a:gd name="T7" fmla="*/ 52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0" y="52"/>
                </a:moveTo>
                <a:lnTo>
                  <a:pt x="38" y="91"/>
                </a:lnTo>
                <a:lnTo>
                  <a:pt x="91" y="0"/>
                </a:lnTo>
                <a:lnTo>
                  <a:pt x="0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" name="Freeform 460">
            <a:extLst>
              <a:ext uri="{FF2B5EF4-FFF2-40B4-BE49-F238E27FC236}">
                <a16:creationId xmlns:a16="http://schemas.microsoft.com/office/drawing/2014/main" id="{00000000-0008-0000-2D00-00000C000000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2"/>
          </a:xfrm>
          <a:custGeom>
            <a:avLst/>
            <a:gdLst>
              <a:gd name="T0" fmla="*/ 0 w 53"/>
              <a:gd name="T1" fmla="*/ 91 h 105"/>
              <a:gd name="T2" fmla="*/ 53 w 53"/>
              <a:gd name="T3" fmla="*/ 105 h 105"/>
              <a:gd name="T4" fmla="*/ 53 w 53"/>
              <a:gd name="T5" fmla="*/ 0 h 105"/>
              <a:gd name="T6" fmla="*/ 0 w 53"/>
              <a:gd name="T7" fmla="*/ 9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91"/>
                </a:moveTo>
                <a:lnTo>
                  <a:pt x="53" y="105"/>
                </a:lnTo>
                <a:lnTo>
                  <a:pt x="53" y="0"/>
                </a:lnTo>
                <a:lnTo>
                  <a:pt x="0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" name="Freeform 461">
            <a:extLst>
              <a:ext uri="{FF2B5EF4-FFF2-40B4-BE49-F238E27FC236}">
                <a16:creationId xmlns:a16="http://schemas.microsoft.com/office/drawing/2014/main" id="{00000000-0008-0000-2D00-00000D000000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1" cy="2"/>
          </a:xfrm>
          <a:custGeom>
            <a:avLst/>
            <a:gdLst>
              <a:gd name="T0" fmla="*/ 0 w 53"/>
              <a:gd name="T1" fmla="*/ 105 h 105"/>
              <a:gd name="T2" fmla="*/ 53 w 53"/>
              <a:gd name="T3" fmla="*/ 91 h 105"/>
              <a:gd name="T4" fmla="*/ 0 w 53"/>
              <a:gd name="T5" fmla="*/ 0 h 105"/>
              <a:gd name="T6" fmla="*/ 0 w 53"/>
              <a:gd name="T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105"/>
                </a:moveTo>
                <a:lnTo>
                  <a:pt x="53" y="91"/>
                </a:lnTo>
                <a:lnTo>
                  <a:pt x="0" y="0"/>
                </a:lnTo>
                <a:lnTo>
                  <a:pt x="0" y="105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4" name="Freeform 462">
            <a:extLst>
              <a:ext uri="{FF2B5EF4-FFF2-40B4-BE49-F238E27FC236}">
                <a16:creationId xmlns:a16="http://schemas.microsoft.com/office/drawing/2014/main" id="{00000000-0008-0000-2D00-00000E000000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53 w 91"/>
              <a:gd name="T1" fmla="*/ 91 h 91"/>
              <a:gd name="T2" fmla="*/ 91 w 91"/>
              <a:gd name="T3" fmla="*/ 52 h 91"/>
              <a:gd name="T4" fmla="*/ 0 w 91"/>
              <a:gd name="T5" fmla="*/ 0 h 91"/>
              <a:gd name="T6" fmla="*/ 53 w 91"/>
              <a:gd name="T7" fmla="*/ 91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53" y="91"/>
                </a:moveTo>
                <a:lnTo>
                  <a:pt x="91" y="52"/>
                </a:lnTo>
                <a:lnTo>
                  <a:pt x="0" y="0"/>
                </a:lnTo>
                <a:lnTo>
                  <a:pt x="53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" name="Freeform 463">
            <a:extLst>
              <a:ext uri="{FF2B5EF4-FFF2-40B4-BE49-F238E27FC236}">
                <a16:creationId xmlns:a16="http://schemas.microsoft.com/office/drawing/2014/main" id="{00000000-0008-0000-2D00-00000F000000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91 w 105"/>
              <a:gd name="T1" fmla="*/ 52 h 52"/>
              <a:gd name="T2" fmla="*/ 105 w 105"/>
              <a:gd name="T3" fmla="*/ 0 h 52"/>
              <a:gd name="T4" fmla="*/ 0 w 105"/>
              <a:gd name="T5" fmla="*/ 0 h 52"/>
              <a:gd name="T6" fmla="*/ 91 w 105"/>
              <a:gd name="T7" fmla="*/ 52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5" h="52">
                <a:moveTo>
                  <a:pt x="91" y="52"/>
                </a:moveTo>
                <a:lnTo>
                  <a:pt x="105" y="0"/>
                </a:lnTo>
                <a:lnTo>
                  <a:pt x="0" y="0"/>
                </a:lnTo>
                <a:lnTo>
                  <a:pt x="91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" name="Line 464">
            <a:extLst>
              <a:ext uri="{FF2B5EF4-FFF2-40B4-BE49-F238E27FC236}">
                <a16:creationId xmlns:a16="http://schemas.microsoft.com/office/drawing/2014/main" id="{00000000-0008-0000-2D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465">
            <a:extLst>
              <a:ext uri="{FF2B5EF4-FFF2-40B4-BE49-F238E27FC236}">
                <a16:creationId xmlns:a16="http://schemas.microsoft.com/office/drawing/2014/main" id="{00000000-0008-0000-2D00-000011000000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466">
            <a:extLst>
              <a:ext uri="{FF2B5EF4-FFF2-40B4-BE49-F238E27FC236}">
                <a16:creationId xmlns:a16="http://schemas.microsoft.com/office/drawing/2014/main" id="{00000000-0008-0000-2D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842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Freeform 467">
            <a:extLst>
              <a:ext uri="{FF2B5EF4-FFF2-40B4-BE49-F238E27FC236}">
                <a16:creationId xmlns:a16="http://schemas.microsoft.com/office/drawing/2014/main" id="{00000000-0008-0000-2D00-000013000000}"/>
              </a:ext>
            </a:extLst>
          </xdr:cNvPr>
          <xdr:cNvSpPr>
            <a:spLocks/>
          </xdr:cNvSpPr>
        </xdr:nvSpPr>
        <xdr:spPr bwMode="auto">
          <a:xfrm>
            <a:off x="833" y="268"/>
            <a:ext cx="9" cy="2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" name="Freeform 468">
            <a:extLst>
              <a:ext uri="{FF2B5EF4-FFF2-40B4-BE49-F238E27FC236}">
                <a16:creationId xmlns:a16="http://schemas.microsoft.com/office/drawing/2014/main" id="{00000000-0008-0000-2D00-000014000000}"/>
              </a:ext>
            </a:extLst>
          </xdr:cNvPr>
          <xdr:cNvSpPr>
            <a:spLocks/>
          </xdr:cNvSpPr>
        </xdr:nvSpPr>
        <xdr:spPr bwMode="auto">
          <a:xfrm>
            <a:off x="922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1" name="Line 474">
            <a:extLst>
              <a:ext uri="{FF2B5EF4-FFF2-40B4-BE49-F238E27FC236}">
                <a16:creationId xmlns:a16="http://schemas.microsoft.com/office/drawing/2014/main" id="{00000000-0008-0000-2D00-000015000000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75">
            <a:extLst>
              <a:ext uri="{FF2B5EF4-FFF2-40B4-BE49-F238E27FC236}">
                <a16:creationId xmlns:a16="http://schemas.microsoft.com/office/drawing/2014/main" id="{00000000-0008-0000-2D00-000016000000}"/>
              </a:ext>
            </a:extLst>
          </xdr:cNvPr>
          <xdr:cNvSpPr>
            <a:spLocks noChangeShapeType="1"/>
          </xdr:cNvSpPr>
        </xdr:nvSpPr>
        <xdr:spPr bwMode="auto">
          <a:xfrm>
            <a:off x="1029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76">
            <a:extLst>
              <a:ext uri="{FF2B5EF4-FFF2-40B4-BE49-F238E27FC236}">
                <a16:creationId xmlns:a16="http://schemas.microsoft.com/office/drawing/2014/main" id="{00000000-0008-0000-2D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940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Freeform 477">
            <a:extLst>
              <a:ext uri="{FF2B5EF4-FFF2-40B4-BE49-F238E27FC236}">
                <a16:creationId xmlns:a16="http://schemas.microsoft.com/office/drawing/2014/main" id="{00000000-0008-0000-2D00-000018000000}"/>
              </a:ext>
            </a:extLst>
          </xdr:cNvPr>
          <xdr:cNvSpPr>
            <a:spLocks/>
          </xdr:cNvSpPr>
        </xdr:nvSpPr>
        <xdr:spPr bwMode="auto">
          <a:xfrm>
            <a:off x="931" y="268"/>
            <a:ext cx="9" cy="2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8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8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5" name="Freeform 478">
            <a:extLst>
              <a:ext uri="{FF2B5EF4-FFF2-40B4-BE49-F238E27FC236}">
                <a16:creationId xmlns:a16="http://schemas.microsoft.com/office/drawing/2014/main" id="{00000000-0008-0000-2D00-000019000000}"/>
              </a:ext>
            </a:extLst>
          </xdr:cNvPr>
          <xdr:cNvSpPr>
            <a:spLocks/>
          </xdr:cNvSpPr>
        </xdr:nvSpPr>
        <xdr:spPr bwMode="auto">
          <a:xfrm>
            <a:off x="1020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6" name="Line 484">
            <a:extLst>
              <a:ext uri="{FF2B5EF4-FFF2-40B4-BE49-F238E27FC236}">
                <a16:creationId xmlns:a16="http://schemas.microsoft.com/office/drawing/2014/main" id="{00000000-0008-0000-2D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89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485">
            <a:extLst>
              <a:ext uri="{FF2B5EF4-FFF2-40B4-BE49-F238E27FC236}">
                <a16:creationId xmlns:a16="http://schemas.microsoft.com/office/drawing/2014/main" id="{00000000-0008-0000-2D00-00001B000000}"/>
              </a:ext>
            </a:extLst>
          </xdr:cNvPr>
          <xdr:cNvSpPr>
            <a:spLocks noChangeShapeType="1"/>
          </xdr:cNvSpPr>
        </xdr:nvSpPr>
        <xdr:spPr bwMode="auto">
          <a:xfrm>
            <a:off x="1190" y="299"/>
            <a:ext cx="0" cy="3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86">
            <a:extLst>
              <a:ext uri="{FF2B5EF4-FFF2-40B4-BE49-F238E27FC236}">
                <a16:creationId xmlns:a16="http://schemas.microsoft.com/office/drawing/2014/main" id="{00000000-0008-0000-2D00-00001C000000}"/>
              </a:ext>
            </a:extLst>
          </xdr:cNvPr>
          <xdr:cNvSpPr>
            <a:spLocks noChangeShapeType="1"/>
          </xdr:cNvSpPr>
        </xdr:nvSpPr>
        <xdr:spPr bwMode="auto">
          <a:xfrm>
            <a:off x="842" y="325"/>
            <a:ext cx="339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Freeform 487">
            <a:extLst>
              <a:ext uri="{FF2B5EF4-FFF2-40B4-BE49-F238E27FC236}">
                <a16:creationId xmlns:a16="http://schemas.microsoft.com/office/drawing/2014/main" id="{00000000-0008-0000-2D00-00001D000000}"/>
              </a:ext>
            </a:extLst>
          </xdr:cNvPr>
          <xdr:cNvSpPr>
            <a:spLocks/>
          </xdr:cNvSpPr>
        </xdr:nvSpPr>
        <xdr:spPr bwMode="auto">
          <a:xfrm>
            <a:off x="833" y="323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" name="Freeform 488">
            <a:extLst>
              <a:ext uri="{FF2B5EF4-FFF2-40B4-BE49-F238E27FC236}">
                <a16:creationId xmlns:a16="http://schemas.microsoft.com/office/drawing/2014/main" id="{00000000-0008-0000-2D00-00001E000000}"/>
              </a:ext>
            </a:extLst>
          </xdr:cNvPr>
          <xdr:cNvSpPr>
            <a:spLocks/>
          </xdr:cNvSpPr>
        </xdr:nvSpPr>
        <xdr:spPr bwMode="auto">
          <a:xfrm>
            <a:off x="1181" y="323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" name="Line 494">
            <a:extLst>
              <a:ext uri="{FF2B5EF4-FFF2-40B4-BE49-F238E27FC236}">
                <a16:creationId xmlns:a16="http://schemas.microsoft.com/office/drawing/2014/main" id="{00000000-0008-0000-2D00-00001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29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495">
            <a:extLst>
              <a:ext uri="{FF2B5EF4-FFF2-40B4-BE49-F238E27FC236}">
                <a16:creationId xmlns:a16="http://schemas.microsoft.com/office/drawing/2014/main" id="{00000000-0008-0000-2D00-00002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496">
            <a:extLst>
              <a:ext uri="{FF2B5EF4-FFF2-40B4-BE49-F238E27FC236}">
                <a16:creationId xmlns:a16="http://schemas.microsoft.com/office/drawing/2014/main" id="{00000000-0008-0000-2D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038" y="86"/>
            <a:ext cx="6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Freeform 497">
            <a:extLst>
              <a:ext uri="{FF2B5EF4-FFF2-40B4-BE49-F238E27FC236}">
                <a16:creationId xmlns:a16="http://schemas.microsoft.com/office/drawing/2014/main" id="{00000000-0008-0000-2D00-000022000000}"/>
              </a:ext>
            </a:extLst>
          </xdr:cNvPr>
          <xdr:cNvSpPr>
            <a:spLocks/>
          </xdr:cNvSpPr>
        </xdr:nvSpPr>
        <xdr:spPr bwMode="auto">
          <a:xfrm>
            <a:off x="1029" y="84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7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7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" name="Freeform 498">
            <a:extLst>
              <a:ext uri="{FF2B5EF4-FFF2-40B4-BE49-F238E27FC236}">
                <a16:creationId xmlns:a16="http://schemas.microsoft.com/office/drawing/2014/main" id="{00000000-0008-0000-2D00-000023000000}"/>
              </a:ext>
            </a:extLst>
          </xdr:cNvPr>
          <xdr:cNvSpPr>
            <a:spLocks/>
          </xdr:cNvSpPr>
        </xdr:nvSpPr>
        <xdr:spPr bwMode="auto">
          <a:xfrm>
            <a:off x="1103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" name="Line 504">
            <a:extLst>
              <a:ext uri="{FF2B5EF4-FFF2-40B4-BE49-F238E27FC236}">
                <a16:creationId xmlns:a16="http://schemas.microsoft.com/office/drawing/2014/main" id="{00000000-0008-0000-2D00-00002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505">
            <a:extLst>
              <a:ext uri="{FF2B5EF4-FFF2-40B4-BE49-F238E27FC236}">
                <a16:creationId xmlns:a16="http://schemas.microsoft.com/office/drawing/2014/main" id="{00000000-0008-0000-2D00-00002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190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506">
            <a:extLst>
              <a:ext uri="{FF2B5EF4-FFF2-40B4-BE49-F238E27FC236}">
                <a16:creationId xmlns:a16="http://schemas.microsoft.com/office/drawing/2014/main" id="{00000000-0008-0000-2D00-000026000000}"/>
              </a:ext>
            </a:extLst>
          </xdr:cNvPr>
          <xdr:cNvSpPr>
            <a:spLocks noChangeShapeType="1"/>
          </xdr:cNvSpPr>
        </xdr:nvSpPr>
        <xdr:spPr bwMode="auto">
          <a:xfrm>
            <a:off x="1121" y="86"/>
            <a:ext cx="6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Freeform 507">
            <a:extLst>
              <a:ext uri="{FF2B5EF4-FFF2-40B4-BE49-F238E27FC236}">
                <a16:creationId xmlns:a16="http://schemas.microsoft.com/office/drawing/2014/main" id="{00000000-0008-0000-2D00-000027000000}"/>
              </a:ext>
            </a:extLst>
          </xdr:cNvPr>
          <xdr:cNvSpPr>
            <a:spLocks/>
          </xdr:cNvSpPr>
        </xdr:nvSpPr>
        <xdr:spPr bwMode="auto">
          <a:xfrm>
            <a:off x="1112" y="84"/>
            <a:ext cx="9" cy="3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7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7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" name="Freeform 508">
            <a:extLst>
              <a:ext uri="{FF2B5EF4-FFF2-40B4-BE49-F238E27FC236}">
                <a16:creationId xmlns:a16="http://schemas.microsoft.com/office/drawing/2014/main" id="{00000000-0008-0000-2D00-000028000000}"/>
              </a:ext>
            </a:extLst>
          </xdr:cNvPr>
          <xdr:cNvSpPr>
            <a:spLocks/>
          </xdr:cNvSpPr>
        </xdr:nvSpPr>
        <xdr:spPr bwMode="auto">
          <a:xfrm>
            <a:off x="1181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" name="Line 514">
            <a:extLst>
              <a:ext uri="{FF2B5EF4-FFF2-40B4-BE49-F238E27FC236}">
                <a16:creationId xmlns:a16="http://schemas.microsoft.com/office/drawing/2014/main" id="{00000000-0008-0000-2D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1226" y="107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15">
            <a:extLst>
              <a:ext uri="{FF2B5EF4-FFF2-40B4-BE49-F238E27FC236}">
                <a16:creationId xmlns:a16="http://schemas.microsoft.com/office/drawing/2014/main" id="{00000000-0008-0000-2D00-00002A000000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516">
            <a:extLst>
              <a:ext uri="{FF2B5EF4-FFF2-40B4-BE49-F238E27FC236}">
                <a16:creationId xmlns:a16="http://schemas.microsoft.com/office/drawing/2014/main" id="{00000000-0008-0000-2D00-00002B000000}"/>
              </a:ext>
            </a:extLst>
          </xdr:cNvPr>
          <xdr:cNvSpPr>
            <a:spLocks noChangeShapeType="1"/>
          </xdr:cNvSpPr>
        </xdr:nvSpPr>
        <xdr:spPr bwMode="auto">
          <a:xfrm>
            <a:off x="1240" y="116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517">
            <a:extLst>
              <a:ext uri="{FF2B5EF4-FFF2-40B4-BE49-F238E27FC236}">
                <a16:creationId xmlns:a16="http://schemas.microsoft.com/office/drawing/2014/main" id="{00000000-0008-0000-2D00-00002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16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518">
            <a:extLst>
              <a:ext uri="{FF2B5EF4-FFF2-40B4-BE49-F238E27FC236}">
                <a16:creationId xmlns:a16="http://schemas.microsoft.com/office/drawing/2014/main" id="{00000000-0008-0000-2D00-00002D000000}"/>
              </a:ext>
            </a:extLst>
          </xdr:cNvPr>
          <xdr:cNvSpPr>
            <a:spLocks/>
          </xdr:cNvSpPr>
        </xdr:nvSpPr>
        <xdr:spPr bwMode="auto">
          <a:xfrm>
            <a:off x="1238" y="107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" name="Freeform 519">
            <a:extLst>
              <a:ext uri="{FF2B5EF4-FFF2-40B4-BE49-F238E27FC236}">
                <a16:creationId xmlns:a16="http://schemas.microsoft.com/office/drawing/2014/main" id="{00000000-0008-0000-2D00-00002E000000}"/>
              </a:ext>
            </a:extLst>
          </xdr:cNvPr>
          <xdr:cNvSpPr>
            <a:spLocks/>
          </xdr:cNvSpPr>
        </xdr:nvSpPr>
        <xdr:spPr bwMode="auto">
          <a:xfrm>
            <a:off x="1238" y="193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7" name="Freeform 520">
            <a:extLst>
              <a:ext uri="{FF2B5EF4-FFF2-40B4-BE49-F238E27FC236}">
                <a16:creationId xmlns:a16="http://schemas.microsoft.com/office/drawing/2014/main" id="{00000000-0008-0000-2D00-00002F000000}"/>
              </a:ext>
            </a:extLst>
          </xdr:cNvPr>
          <xdr:cNvSpPr>
            <a:spLocks/>
          </xdr:cNvSpPr>
        </xdr:nvSpPr>
        <xdr:spPr bwMode="auto">
          <a:xfrm>
            <a:off x="1208" y="153"/>
            <a:ext cx="3" cy="5"/>
          </a:xfrm>
          <a:custGeom>
            <a:avLst/>
            <a:gdLst>
              <a:gd name="T0" fmla="*/ 140 w 210"/>
              <a:gd name="T1" fmla="*/ 280 h 280"/>
              <a:gd name="T2" fmla="*/ 70 w 210"/>
              <a:gd name="T3" fmla="*/ 280 h 280"/>
              <a:gd name="T4" fmla="*/ 0 w 210"/>
              <a:gd name="T5" fmla="*/ 210 h 280"/>
              <a:gd name="T6" fmla="*/ 0 w 210"/>
              <a:gd name="T7" fmla="*/ 70 h 280"/>
              <a:gd name="T8" fmla="*/ 70 w 210"/>
              <a:gd name="T9" fmla="*/ 0 h 280"/>
              <a:gd name="T10" fmla="*/ 140 w 210"/>
              <a:gd name="T11" fmla="*/ 0 h 280"/>
              <a:gd name="T12" fmla="*/ 210 w 210"/>
              <a:gd name="T13" fmla="*/ 70 h 280"/>
              <a:gd name="T14" fmla="*/ 210 w 210"/>
              <a:gd name="T15" fmla="*/ 210 h 280"/>
              <a:gd name="T16" fmla="*/ 140 w 21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0">
                <a:moveTo>
                  <a:pt x="14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10" y="70"/>
                </a:lnTo>
                <a:lnTo>
                  <a:pt x="210" y="210"/>
                </a:lnTo>
                <a:lnTo>
                  <a:pt x="140" y="28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Line 521">
            <a:extLst>
              <a:ext uri="{FF2B5EF4-FFF2-40B4-BE49-F238E27FC236}">
                <a16:creationId xmlns:a16="http://schemas.microsoft.com/office/drawing/2014/main" id="{00000000-0008-0000-2D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1211" y="157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522">
            <a:extLst>
              <a:ext uri="{FF2B5EF4-FFF2-40B4-BE49-F238E27FC236}">
                <a16:creationId xmlns:a16="http://schemas.microsoft.com/office/drawing/2014/main" id="{00000000-0008-0000-2D00-00003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157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Freeform 523">
            <a:extLst>
              <a:ext uri="{FF2B5EF4-FFF2-40B4-BE49-F238E27FC236}">
                <a16:creationId xmlns:a16="http://schemas.microsoft.com/office/drawing/2014/main" id="{00000000-0008-0000-2D00-000032000000}"/>
              </a:ext>
            </a:extLst>
          </xdr:cNvPr>
          <xdr:cNvSpPr>
            <a:spLocks/>
          </xdr:cNvSpPr>
        </xdr:nvSpPr>
        <xdr:spPr bwMode="auto">
          <a:xfrm>
            <a:off x="1217" y="151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1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1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Line 524">
            <a:extLst>
              <a:ext uri="{FF2B5EF4-FFF2-40B4-BE49-F238E27FC236}">
                <a16:creationId xmlns:a16="http://schemas.microsoft.com/office/drawing/2014/main" id="{00000000-0008-0000-2D00-00003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151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Freeform 525">
            <a:extLst>
              <a:ext uri="{FF2B5EF4-FFF2-40B4-BE49-F238E27FC236}">
                <a16:creationId xmlns:a16="http://schemas.microsoft.com/office/drawing/2014/main" id="{00000000-0008-0000-2D00-000034000000}"/>
              </a:ext>
            </a:extLst>
          </xdr:cNvPr>
          <xdr:cNvSpPr>
            <a:spLocks/>
          </xdr:cNvSpPr>
        </xdr:nvSpPr>
        <xdr:spPr bwMode="auto">
          <a:xfrm>
            <a:off x="1231" y="151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1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1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Line 526">
            <a:extLst>
              <a:ext uri="{FF2B5EF4-FFF2-40B4-BE49-F238E27FC236}">
                <a16:creationId xmlns:a16="http://schemas.microsoft.com/office/drawing/2014/main" id="{00000000-0008-0000-2D00-000035000000}"/>
              </a:ext>
            </a:extLst>
          </xdr:cNvPr>
          <xdr:cNvSpPr>
            <a:spLocks noChangeShapeType="1"/>
          </xdr:cNvSpPr>
        </xdr:nvSpPr>
        <xdr:spPr bwMode="auto">
          <a:xfrm>
            <a:off x="1239" y="153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527">
            <a:extLst>
              <a:ext uri="{FF2B5EF4-FFF2-40B4-BE49-F238E27FC236}">
                <a16:creationId xmlns:a16="http://schemas.microsoft.com/office/drawing/2014/main" id="{00000000-0008-0000-2D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156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534">
            <a:extLst>
              <a:ext uri="{FF2B5EF4-FFF2-40B4-BE49-F238E27FC236}">
                <a16:creationId xmlns:a16="http://schemas.microsoft.com/office/drawing/2014/main" id="{00000000-0008-0000-2D00-000037000000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535">
            <a:extLst>
              <a:ext uri="{FF2B5EF4-FFF2-40B4-BE49-F238E27FC236}">
                <a16:creationId xmlns:a16="http://schemas.microsoft.com/office/drawing/2014/main" id="{00000000-0008-0000-2D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1226" y="296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536">
            <a:extLst>
              <a:ext uri="{FF2B5EF4-FFF2-40B4-BE49-F238E27FC236}">
                <a16:creationId xmlns:a16="http://schemas.microsoft.com/office/drawing/2014/main" id="{00000000-0008-0000-2D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1240" y="211"/>
            <a:ext cx="0" cy="3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537">
            <a:extLst>
              <a:ext uri="{FF2B5EF4-FFF2-40B4-BE49-F238E27FC236}">
                <a16:creationId xmlns:a16="http://schemas.microsoft.com/office/drawing/2014/main" id="{00000000-0008-0000-2D00-00003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255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Freeform 538">
            <a:extLst>
              <a:ext uri="{FF2B5EF4-FFF2-40B4-BE49-F238E27FC236}">
                <a16:creationId xmlns:a16="http://schemas.microsoft.com/office/drawing/2014/main" id="{00000000-0008-0000-2D00-00003B000000}"/>
              </a:ext>
            </a:extLst>
          </xdr:cNvPr>
          <xdr:cNvSpPr>
            <a:spLocks/>
          </xdr:cNvSpPr>
        </xdr:nvSpPr>
        <xdr:spPr bwMode="auto">
          <a:xfrm>
            <a:off x="123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0" name="Freeform 539">
            <a:extLst>
              <a:ext uri="{FF2B5EF4-FFF2-40B4-BE49-F238E27FC236}">
                <a16:creationId xmlns:a16="http://schemas.microsoft.com/office/drawing/2014/main" id="{00000000-0008-0000-2D00-00003C000000}"/>
              </a:ext>
            </a:extLst>
          </xdr:cNvPr>
          <xdr:cNvSpPr>
            <a:spLocks/>
          </xdr:cNvSpPr>
        </xdr:nvSpPr>
        <xdr:spPr bwMode="auto">
          <a:xfrm>
            <a:off x="1238" y="288"/>
            <a:ext cx="3" cy="8"/>
          </a:xfrm>
          <a:custGeom>
            <a:avLst/>
            <a:gdLst>
              <a:gd name="T0" fmla="*/ 0 w 175"/>
              <a:gd name="T1" fmla="*/ 0 h 526"/>
              <a:gd name="T2" fmla="*/ 175 w 175"/>
              <a:gd name="T3" fmla="*/ 0 h 526"/>
              <a:gd name="T4" fmla="*/ 88 w 175"/>
              <a:gd name="T5" fmla="*/ 526 h 526"/>
              <a:gd name="T6" fmla="*/ 0 w 175"/>
              <a:gd name="T7" fmla="*/ 0 h 5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6">
                <a:moveTo>
                  <a:pt x="0" y="0"/>
                </a:moveTo>
                <a:lnTo>
                  <a:pt x="175" y="0"/>
                </a:lnTo>
                <a:lnTo>
                  <a:pt x="88" y="526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" name="Freeform 540">
            <a:extLst>
              <a:ext uri="{FF2B5EF4-FFF2-40B4-BE49-F238E27FC236}">
                <a16:creationId xmlns:a16="http://schemas.microsoft.com/office/drawing/2014/main" id="{00000000-0008-0000-2D00-00003D000000}"/>
              </a:ext>
            </a:extLst>
          </xdr:cNvPr>
          <xdr:cNvSpPr>
            <a:spLocks/>
          </xdr:cNvSpPr>
        </xdr:nvSpPr>
        <xdr:spPr bwMode="auto">
          <a:xfrm>
            <a:off x="1208" y="248"/>
            <a:ext cx="3" cy="5"/>
          </a:xfrm>
          <a:custGeom>
            <a:avLst/>
            <a:gdLst>
              <a:gd name="T0" fmla="*/ 140 w 210"/>
              <a:gd name="T1" fmla="*/ 281 h 281"/>
              <a:gd name="T2" fmla="*/ 70 w 210"/>
              <a:gd name="T3" fmla="*/ 281 h 281"/>
              <a:gd name="T4" fmla="*/ 0 w 210"/>
              <a:gd name="T5" fmla="*/ 211 h 281"/>
              <a:gd name="T6" fmla="*/ 0 w 210"/>
              <a:gd name="T7" fmla="*/ 71 h 281"/>
              <a:gd name="T8" fmla="*/ 70 w 210"/>
              <a:gd name="T9" fmla="*/ 0 h 281"/>
              <a:gd name="T10" fmla="*/ 140 w 210"/>
              <a:gd name="T11" fmla="*/ 0 h 281"/>
              <a:gd name="T12" fmla="*/ 210 w 210"/>
              <a:gd name="T13" fmla="*/ 71 h 281"/>
              <a:gd name="T14" fmla="*/ 210 w 210"/>
              <a:gd name="T15" fmla="*/ 211 h 281"/>
              <a:gd name="T16" fmla="*/ 140 w 210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1">
                <a:moveTo>
                  <a:pt x="140" y="281"/>
                </a:moveTo>
                <a:lnTo>
                  <a:pt x="70" y="281"/>
                </a:lnTo>
                <a:lnTo>
                  <a:pt x="0" y="211"/>
                </a:lnTo>
                <a:lnTo>
                  <a:pt x="0" y="71"/>
                </a:lnTo>
                <a:lnTo>
                  <a:pt x="70" y="0"/>
                </a:lnTo>
                <a:lnTo>
                  <a:pt x="140" y="0"/>
                </a:lnTo>
                <a:lnTo>
                  <a:pt x="210" y="71"/>
                </a:lnTo>
                <a:lnTo>
                  <a:pt x="210" y="211"/>
                </a:lnTo>
                <a:lnTo>
                  <a:pt x="140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Line 541">
            <a:extLst>
              <a:ext uri="{FF2B5EF4-FFF2-40B4-BE49-F238E27FC236}">
                <a16:creationId xmlns:a16="http://schemas.microsoft.com/office/drawing/2014/main" id="{00000000-0008-0000-2D00-00003E000000}"/>
              </a:ext>
            </a:extLst>
          </xdr:cNvPr>
          <xdr:cNvSpPr>
            <a:spLocks noChangeShapeType="1"/>
          </xdr:cNvSpPr>
        </xdr:nvSpPr>
        <xdr:spPr bwMode="auto">
          <a:xfrm>
            <a:off x="1211" y="252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542">
            <a:extLst>
              <a:ext uri="{FF2B5EF4-FFF2-40B4-BE49-F238E27FC236}">
                <a16:creationId xmlns:a16="http://schemas.microsoft.com/office/drawing/2014/main" id="{00000000-0008-0000-2D00-00003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252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Freeform 543">
            <a:extLst>
              <a:ext uri="{FF2B5EF4-FFF2-40B4-BE49-F238E27FC236}">
                <a16:creationId xmlns:a16="http://schemas.microsoft.com/office/drawing/2014/main" id="{00000000-0008-0000-2D00-000040000000}"/>
              </a:ext>
            </a:extLst>
          </xdr:cNvPr>
          <xdr:cNvSpPr>
            <a:spLocks/>
          </xdr:cNvSpPr>
        </xdr:nvSpPr>
        <xdr:spPr bwMode="auto">
          <a:xfrm>
            <a:off x="1217" y="246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0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0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544">
            <a:extLst>
              <a:ext uri="{FF2B5EF4-FFF2-40B4-BE49-F238E27FC236}">
                <a16:creationId xmlns:a16="http://schemas.microsoft.com/office/drawing/2014/main" id="{00000000-0008-0000-2D00-00004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246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Freeform 545">
            <a:extLst>
              <a:ext uri="{FF2B5EF4-FFF2-40B4-BE49-F238E27FC236}">
                <a16:creationId xmlns:a16="http://schemas.microsoft.com/office/drawing/2014/main" id="{00000000-0008-0000-2D00-000042000000}"/>
              </a:ext>
            </a:extLst>
          </xdr:cNvPr>
          <xdr:cNvSpPr>
            <a:spLocks/>
          </xdr:cNvSpPr>
        </xdr:nvSpPr>
        <xdr:spPr bwMode="auto">
          <a:xfrm>
            <a:off x="1231" y="246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0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0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7" name="Line 546">
            <a:extLst>
              <a:ext uri="{FF2B5EF4-FFF2-40B4-BE49-F238E27FC236}">
                <a16:creationId xmlns:a16="http://schemas.microsoft.com/office/drawing/2014/main" id="{00000000-0008-0000-2D00-000043000000}"/>
              </a:ext>
            </a:extLst>
          </xdr:cNvPr>
          <xdr:cNvSpPr>
            <a:spLocks noChangeShapeType="1"/>
          </xdr:cNvSpPr>
        </xdr:nvSpPr>
        <xdr:spPr bwMode="auto">
          <a:xfrm>
            <a:off x="1239" y="248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547">
            <a:extLst>
              <a:ext uri="{FF2B5EF4-FFF2-40B4-BE49-F238E27FC236}">
                <a16:creationId xmlns:a16="http://schemas.microsoft.com/office/drawing/2014/main" id="{00000000-0008-0000-2D00-000044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250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554">
            <a:extLst>
              <a:ext uri="{FF2B5EF4-FFF2-40B4-BE49-F238E27FC236}">
                <a16:creationId xmlns:a16="http://schemas.microsoft.com/office/drawing/2014/main" id="{00000000-0008-0000-2D00-000045000000}"/>
              </a:ext>
            </a:extLst>
          </xdr:cNvPr>
          <xdr:cNvSpPr>
            <a:spLocks noChangeShapeType="1"/>
          </xdr:cNvSpPr>
        </xdr:nvSpPr>
        <xdr:spPr bwMode="auto">
          <a:xfrm>
            <a:off x="1192" y="238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555">
            <a:extLst>
              <a:ext uri="{FF2B5EF4-FFF2-40B4-BE49-F238E27FC236}">
                <a16:creationId xmlns:a16="http://schemas.microsoft.com/office/drawing/2014/main" id="{00000000-0008-0000-2D00-000046000000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56">
            <a:extLst>
              <a:ext uri="{FF2B5EF4-FFF2-40B4-BE49-F238E27FC236}">
                <a16:creationId xmlns:a16="http://schemas.microsoft.com/office/drawing/2014/main" id="{00000000-0008-0000-2D00-00004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9" y="226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57">
            <a:extLst>
              <a:ext uri="{FF2B5EF4-FFF2-40B4-BE49-F238E27FC236}">
                <a16:creationId xmlns:a16="http://schemas.microsoft.com/office/drawing/2014/main" id="{00000000-0008-0000-2D00-000048000000}"/>
              </a:ext>
            </a:extLst>
          </xdr:cNvPr>
          <xdr:cNvSpPr>
            <a:spLocks noChangeShapeType="1"/>
          </xdr:cNvSpPr>
        </xdr:nvSpPr>
        <xdr:spPr bwMode="auto">
          <a:xfrm>
            <a:off x="1209" y="211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558">
            <a:extLst>
              <a:ext uri="{FF2B5EF4-FFF2-40B4-BE49-F238E27FC236}">
                <a16:creationId xmlns:a16="http://schemas.microsoft.com/office/drawing/2014/main" id="{00000000-0008-0000-2D00-000049000000}"/>
              </a:ext>
            </a:extLst>
          </xdr:cNvPr>
          <xdr:cNvSpPr>
            <a:spLocks/>
          </xdr:cNvSpPr>
        </xdr:nvSpPr>
        <xdr:spPr bwMode="auto">
          <a:xfrm>
            <a:off x="1208" y="229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4" name="Freeform 559">
            <a:extLst>
              <a:ext uri="{FF2B5EF4-FFF2-40B4-BE49-F238E27FC236}">
                <a16:creationId xmlns:a16="http://schemas.microsoft.com/office/drawing/2014/main" id="{00000000-0008-0000-2D00-00004A000000}"/>
              </a:ext>
            </a:extLst>
          </xdr:cNvPr>
          <xdr:cNvSpPr>
            <a:spLocks/>
          </xdr:cNvSpPr>
        </xdr:nvSpPr>
        <xdr:spPr bwMode="auto">
          <a:xfrm>
            <a:off x="120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" name="Line 564">
            <a:extLst>
              <a:ext uri="{FF2B5EF4-FFF2-40B4-BE49-F238E27FC236}">
                <a16:creationId xmlns:a16="http://schemas.microsoft.com/office/drawing/2014/main" id="{00000000-0008-0000-2D00-00004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38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65">
            <a:extLst>
              <a:ext uri="{FF2B5EF4-FFF2-40B4-BE49-F238E27FC236}">
                <a16:creationId xmlns:a16="http://schemas.microsoft.com/office/drawing/2014/main" id="{00000000-0008-0000-2D00-00004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02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66">
            <a:extLst>
              <a:ext uri="{FF2B5EF4-FFF2-40B4-BE49-F238E27FC236}">
                <a16:creationId xmlns:a16="http://schemas.microsoft.com/office/drawing/2014/main" id="{00000000-0008-0000-2D00-00004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93" y="228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567">
            <a:extLst>
              <a:ext uri="{FF2B5EF4-FFF2-40B4-BE49-F238E27FC236}">
                <a16:creationId xmlns:a16="http://schemas.microsoft.com/office/drawing/2014/main" id="{00000000-0008-0000-2D00-00004E000000}"/>
              </a:ext>
            </a:extLst>
          </xdr:cNvPr>
          <xdr:cNvSpPr>
            <a:spLocks noChangeShapeType="1"/>
          </xdr:cNvSpPr>
        </xdr:nvSpPr>
        <xdr:spPr bwMode="auto">
          <a:xfrm>
            <a:off x="793" y="211"/>
            <a:ext cx="0" cy="5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Freeform 568">
            <a:extLst>
              <a:ext uri="{FF2B5EF4-FFF2-40B4-BE49-F238E27FC236}">
                <a16:creationId xmlns:a16="http://schemas.microsoft.com/office/drawing/2014/main" id="{00000000-0008-0000-2D00-00004F000000}"/>
              </a:ext>
            </a:extLst>
          </xdr:cNvPr>
          <xdr:cNvSpPr>
            <a:spLocks/>
          </xdr:cNvSpPr>
        </xdr:nvSpPr>
        <xdr:spPr bwMode="auto">
          <a:xfrm>
            <a:off x="791" y="229"/>
            <a:ext cx="3" cy="9"/>
          </a:xfrm>
          <a:custGeom>
            <a:avLst/>
            <a:gdLst>
              <a:gd name="T0" fmla="*/ 0 w 176"/>
              <a:gd name="T1" fmla="*/ 0 h 527"/>
              <a:gd name="T2" fmla="*/ 176 w 176"/>
              <a:gd name="T3" fmla="*/ 0 h 527"/>
              <a:gd name="T4" fmla="*/ 89 w 176"/>
              <a:gd name="T5" fmla="*/ 527 h 527"/>
              <a:gd name="T6" fmla="*/ 0 w 176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0"/>
                </a:moveTo>
                <a:lnTo>
                  <a:pt x="176" y="0"/>
                </a:lnTo>
                <a:lnTo>
                  <a:pt x="89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0" name="Freeform 569">
            <a:extLst>
              <a:ext uri="{FF2B5EF4-FFF2-40B4-BE49-F238E27FC236}">
                <a16:creationId xmlns:a16="http://schemas.microsoft.com/office/drawing/2014/main" id="{00000000-0008-0000-2D00-000050000000}"/>
              </a:ext>
            </a:extLst>
          </xdr:cNvPr>
          <xdr:cNvSpPr>
            <a:spLocks/>
          </xdr:cNvSpPr>
        </xdr:nvSpPr>
        <xdr:spPr bwMode="auto">
          <a:xfrm>
            <a:off x="791" y="202"/>
            <a:ext cx="3" cy="9"/>
          </a:xfrm>
          <a:custGeom>
            <a:avLst/>
            <a:gdLst>
              <a:gd name="T0" fmla="*/ 0 w 176"/>
              <a:gd name="T1" fmla="*/ 527 h 527"/>
              <a:gd name="T2" fmla="*/ 176 w 176"/>
              <a:gd name="T3" fmla="*/ 527 h 527"/>
              <a:gd name="T4" fmla="*/ 89 w 176"/>
              <a:gd name="T5" fmla="*/ 0 h 527"/>
              <a:gd name="T6" fmla="*/ 0 w 176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527"/>
                </a:moveTo>
                <a:lnTo>
                  <a:pt x="176" y="527"/>
                </a:lnTo>
                <a:lnTo>
                  <a:pt x="89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1" name="Freeform 570">
            <a:extLst>
              <a:ext uri="{FF2B5EF4-FFF2-40B4-BE49-F238E27FC236}">
                <a16:creationId xmlns:a16="http://schemas.microsoft.com/office/drawing/2014/main" id="{00000000-0008-0000-2D00-000051000000}"/>
              </a:ext>
            </a:extLst>
          </xdr:cNvPr>
          <xdr:cNvSpPr>
            <a:spLocks/>
          </xdr:cNvSpPr>
        </xdr:nvSpPr>
        <xdr:spPr bwMode="auto">
          <a:xfrm>
            <a:off x="760" y="221"/>
            <a:ext cx="4" cy="5"/>
          </a:xfrm>
          <a:custGeom>
            <a:avLst/>
            <a:gdLst>
              <a:gd name="T0" fmla="*/ 141 w 211"/>
              <a:gd name="T1" fmla="*/ 281 h 281"/>
              <a:gd name="T2" fmla="*/ 71 w 211"/>
              <a:gd name="T3" fmla="*/ 281 h 281"/>
              <a:gd name="T4" fmla="*/ 0 w 211"/>
              <a:gd name="T5" fmla="*/ 210 h 281"/>
              <a:gd name="T6" fmla="*/ 0 w 211"/>
              <a:gd name="T7" fmla="*/ 70 h 281"/>
              <a:gd name="T8" fmla="*/ 71 w 211"/>
              <a:gd name="T9" fmla="*/ 0 h 281"/>
              <a:gd name="T10" fmla="*/ 141 w 211"/>
              <a:gd name="T11" fmla="*/ 0 h 281"/>
              <a:gd name="T12" fmla="*/ 211 w 211"/>
              <a:gd name="T13" fmla="*/ 70 h 281"/>
              <a:gd name="T14" fmla="*/ 211 w 211"/>
              <a:gd name="T15" fmla="*/ 210 h 281"/>
              <a:gd name="T16" fmla="*/ 141 w 21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1" h="281">
                <a:moveTo>
                  <a:pt x="141" y="281"/>
                </a:moveTo>
                <a:lnTo>
                  <a:pt x="71" y="281"/>
                </a:lnTo>
                <a:lnTo>
                  <a:pt x="0" y="210"/>
                </a:lnTo>
                <a:lnTo>
                  <a:pt x="0" y="70"/>
                </a:lnTo>
                <a:lnTo>
                  <a:pt x="71" y="0"/>
                </a:lnTo>
                <a:lnTo>
                  <a:pt x="141" y="0"/>
                </a:lnTo>
                <a:lnTo>
                  <a:pt x="211" y="70"/>
                </a:lnTo>
                <a:lnTo>
                  <a:pt x="211" y="210"/>
                </a:lnTo>
                <a:lnTo>
                  <a:pt x="141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2" name="Line 571">
            <a:extLst>
              <a:ext uri="{FF2B5EF4-FFF2-40B4-BE49-F238E27FC236}">
                <a16:creationId xmlns:a16="http://schemas.microsoft.com/office/drawing/2014/main" id="{00000000-0008-0000-2D00-000052000000}"/>
              </a:ext>
            </a:extLst>
          </xdr:cNvPr>
          <xdr:cNvSpPr>
            <a:spLocks noChangeShapeType="1"/>
          </xdr:cNvSpPr>
        </xdr:nvSpPr>
        <xdr:spPr bwMode="auto">
          <a:xfrm>
            <a:off x="764" y="224"/>
            <a:ext cx="1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572">
            <a:extLst>
              <a:ext uri="{FF2B5EF4-FFF2-40B4-BE49-F238E27FC236}">
                <a16:creationId xmlns:a16="http://schemas.microsoft.com/office/drawing/2014/main" id="{00000000-0008-0000-2D00-00005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8" y="224"/>
            <a:ext cx="0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573">
            <a:extLst>
              <a:ext uri="{FF2B5EF4-FFF2-40B4-BE49-F238E27FC236}">
                <a16:creationId xmlns:a16="http://schemas.microsoft.com/office/drawing/2014/main" id="{00000000-0008-0000-2D00-00005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70" y="219"/>
            <a:ext cx="0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Freeform 574">
            <a:extLst>
              <a:ext uri="{FF2B5EF4-FFF2-40B4-BE49-F238E27FC236}">
                <a16:creationId xmlns:a16="http://schemas.microsoft.com/office/drawing/2014/main" id="{00000000-0008-0000-2D00-000055000000}"/>
              </a:ext>
            </a:extLst>
          </xdr:cNvPr>
          <xdr:cNvSpPr>
            <a:spLocks/>
          </xdr:cNvSpPr>
        </xdr:nvSpPr>
        <xdr:spPr bwMode="auto">
          <a:xfrm>
            <a:off x="770" y="221"/>
            <a:ext cx="5" cy="5"/>
          </a:xfrm>
          <a:custGeom>
            <a:avLst/>
            <a:gdLst>
              <a:gd name="T0" fmla="*/ 0 w 281"/>
              <a:gd name="T1" fmla="*/ 140 h 281"/>
              <a:gd name="T2" fmla="*/ 140 w 281"/>
              <a:gd name="T3" fmla="*/ 0 h 281"/>
              <a:gd name="T4" fmla="*/ 210 w 281"/>
              <a:gd name="T5" fmla="*/ 0 h 281"/>
              <a:gd name="T6" fmla="*/ 281 w 281"/>
              <a:gd name="T7" fmla="*/ 70 h 281"/>
              <a:gd name="T8" fmla="*/ 281 w 281"/>
              <a:gd name="T9" fmla="*/ 210 h 281"/>
              <a:gd name="T10" fmla="*/ 210 w 281"/>
              <a:gd name="T11" fmla="*/ 281 h 281"/>
              <a:gd name="T12" fmla="*/ 140 w 281"/>
              <a:gd name="T13" fmla="*/ 281 h 281"/>
              <a:gd name="T14" fmla="*/ 0 w 281"/>
              <a:gd name="T15" fmla="*/ 140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1"/>
                </a:lnTo>
                <a:lnTo>
                  <a:pt x="140" y="281"/>
                </a:lnTo>
                <a:lnTo>
                  <a:pt x="0" y="14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Line 575">
            <a:extLst>
              <a:ext uri="{FF2B5EF4-FFF2-40B4-BE49-F238E27FC236}">
                <a16:creationId xmlns:a16="http://schemas.microsoft.com/office/drawing/2014/main" id="{00000000-0008-0000-2D00-00005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77" y="219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Freeform 576">
            <a:extLst>
              <a:ext uri="{FF2B5EF4-FFF2-40B4-BE49-F238E27FC236}">
                <a16:creationId xmlns:a16="http://schemas.microsoft.com/office/drawing/2014/main" id="{00000000-0008-0000-2D00-000057000000}"/>
              </a:ext>
            </a:extLst>
          </xdr:cNvPr>
          <xdr:cNvSpPr>
            <a:spLocks/>
          </xdr:cNvSpPr>
        </xdr:nvSpPr>
        <xdr:spPr bwMode="auto">
          <a:xfrm>
            <a:off x="784" y="219"/>
            <a:ext cx="5" cy="7"/>
          </a:xfrm>
          <a:custGeom>
            <a:avLst/>
            <a:gdLst>
              <a:gd name="T0" fmla="*/ 0 w 280"/>
              <a:gd name="T1" fmla="*/ 71 h 422"/>
              <a:gd name="T2" fmla="*/ 70 w 280"/>
              <a:gd name="T3" fmla="*/ 0 h 422"/>
              <a:gd name="T4" fmla="*/ 210 w 280"/>
              <a:gd name="T5" fmla="*/ 0 h 422"/>
              <a:gd name="T6" fmla="*/ 280 w 280"/>
              <a:gd name="T7" fmla="*/ 71 h 422"/>
              <a:gd name="T8" fmla="*/ 280 w 280"/>
              <a:gd name="T9" fmla="*/ 141 h 422"/>
              <a:gd name="T10" fmla="*/ 210 w 280"/>
              <a:gd name="T11" fmla="*/ 211 h 422"/>
              <a:gd name="T12" fmla="*/ 70 w 280"/>
              <a:gd name="T13" fmla="*/ 211 h 422"/>
              <a:gd name="T14" fmla="*/ 0 w 280"/>
              <a:gd name="T15" fmla="*/ 281 h 422"/>
              <a:gd name="T16" fmla="*/ 0 w 280"/>
              <a:gd name="T17" fmla="*/ 422 h 422"/>
              <a:gd name="T18" fmla="*/ 280 w 280"/>
              <a:gd name="T19" fmla="*/ 42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0" h="422">
                <a:moveTo>
                  <a:pt x="0" y="71"/>
                </a:move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141"/>
                </a:lnTo>
                <a:lnTo>
                  <a:pt x="210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2"/>
                </a:lnTo>
                <a:lnTo>
                  <a:pt x="280" y="422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Line 577">
            <a:extLst>
              <a:ext uri="{FF2B5EF4-FFF2-40B4-BE49-F238E27FC236}">
                <a16:creationId xmlns:a16="http://schemas.microsoft.com/office/drawing/2014/main" id="{00000000-0008-0000-2D00-000058000000}"/>
              </a:ext>
            </a:extLst>
          </xdr:cNvPr>
          <xdr:cNvSpPr>
            <a:spLocks noChangeShapeType="1"/>
          </xdr:cNvSpPr>
        </xdr:nvSpPr>
        <xdr:spPr bwMode="auto">
          <a:xfrm>
            <a:off x="791" y="221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578">
            <a:extLst>
              <a:ext uri="{FF2B5EF4-FFF2-40B4-BE49-F238E27FC236}">
                <a16:creationId xmlns:a16="http://schemas.microsoft.com/office/drawing/2014/main" id="{00000000-0008-0000-2D00-00005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91" y="223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Freeform 586">
            <a:extLst>
              <a:ext uri="{FF2B5EF4-FFF2-40B4-BE49-F238E27FC236}">
                <a16:creationId xmlns:a16="http://schemas.microsoft.com/office/drawing/2014/main" id="{00000000-0008-0000-2D00-00005A000000}"/>
              </a:ext>
            </a:extLst>
          </xdr:cNvPr>
          <xdr:cNvSpPr>
            <a:spLocks/>
          </xdr:cNvSpPr>
        </xdr:nvSpPr>
        <xdr:spPr bwMode="auto">
          <a:xfrm>
            <a:off x="1201" y="96"/>
            <a:ext cx="4" cy="4"/>
          </a:xfrm>
          <a:custGeom>
            <a:avLst/>
            <a:gdLst>
              <a:gd name="T0" fmla="*/ 0 w 282"/>
              <a:gd name="T1" fmla="*/ 210 h 210"/>
              <a:gd name="T2" fmla="*/ 212 w 282"/>
              <a:gd name="T3" fmla="*/ 210 h 210"/>
              <a:gd name="T4" fmla="*/ 282 w 282"/>
              <a:gd name="T5" fmla="*/ 140 h 210"/>
              <a:gd name="T6" fmla="*/ 282 w 282"/>
              <a:gd name="T7" fmla="*/ 70 h 210"/>
              <a:gd name="T8" fmla="*/ 212 w 282"/>
              <a:gd name="T9" fmla="*/ 0 h 210"/>
              <a:gd name="T10" fmla="*/ 70 w 282"/>
              <a:gd name="T11" fmla="*/ 0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2" h="210">
                <a:moveTo>
                  <a:pt x="0" y="210"/>
                </a:moveTo>
                <a:lnTo>
                  <a:pt x="212" y="210"/>
                </a:lnTo>
                <a:lnTo>
                  <a:pt x="282" y="140"/>
                </a:lnTo>
                <a:lnTo>
                  <a:pt x="282" y="70"/>
                </a:lnTo>
                <a:lnTo>
                  <a:pt x="212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Freeform 587">
            <a:extLst>
              <a:ext uri="{FF2B5EF4-FFF2-40B4-BE49-F238E27FC236}">
                <a16:creationId xmlns:a16="http://schemas.microsoft.com/office/drawing/2014/main" id="{00000000-0008-0000-2D00-00005B000000}"/>
              </a:ext>
            </a:extLst>
          </xdr:cNvPr>
          <xdr:cNvSpPr>
            <a:spLocks/>
          </xdr:cNvSpPr>
        </xdr:nvSpPr>
        <xdr:spPr bwMode="auto">
          <a:xfrm>
            <a:off x="1201" y="93"/>
            <a:ext cx="4" cy="3"/>
          </a:xfrm>
          <a:custGeom>
            <a:avLst/>
            <a:gdLst>
              <a:gd name="T0" fmla="*/ 212 w 282"/>
              <a:gd name="T1" fmla="*/ 211 h 211"/>
              <a:gd name="T2" fmla="*/ 282 w 282"/>
              <a:gd name="T3" fmla="*/ 141 h 211"/>
              <a:gd name="T4" fmla="*/ 282 w 282"/>
              <a:gd name="T5" fmla="*/ 70 h 211"/>
              <a:gd name="T6" fmla="*/ 212 w 282"/>
              <a:gd name="T7" fmla="*/ 0 h 211"/>
              <a:gd name="T8" fmla="*/ 0 w 282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2" h="211">
                <a:moveTo>
                  <a:pt x="212" y="211"/>
                </a:moveTo>
                <a:lnTo>
                  <a:pt x="282" y="141"/>
                </a:lnTo>
                <a:lnTo>
                  <a:pt x="282" y="70"/>
                </a:lnTo>
                <a:lnTo>
                  <a:pt x="212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Line 588">
            <a:extLst>
              <a:ext uri="{FF2B5EF4-FFF2-40B4-BE49-F238E27FC236}">
                <a16:creationId xmlns:a16="http://schemas.microsoft.com/office/drawing/2014/main" id="{00000000-0008-0000-2D00-00005C000000}"/>
              </a:ext>
            </a:extLst>
          </xdr:cNvPr>
          <xdr:cNvSpPr>
            <a:spLocks noChangeShapeType="1"/>
          </xdr:cNvSpPr>
        </xdr:nvSpPr>
        <xdr:spPr bwMode="auto">
          <a:xfrm>
            <a:off x="1202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Freeform 589">
            <a:extLst>
              <a:ext uri="{FF2B5EF4-FFF2-40B4-BE49-F238E27FC236}">
                <a16:creationId xmlns:a16="http://schemas.microsoft.com/office/drawing/2014/main" id="{00000000-0008-0000-2D00-00005D000000}"/>
              </a:ext>
            </a:extLst>
          </xdr:cNvPr>
          <xdr:cNvSpPr>
            <a:spLocks/>
          </xdr:cNvSpPr>
        </xdr:nvSpPr>
        <xdr:spPr bwMode="auto">
          <a:xfrm>
            <a:off x="1208" y="95"/>
            <a:ext cx="5" cy="5"/>
          </a:xfrm>
          <a:custGeom>
            <a:avLst/>
            <a:gdLst>
              <a:gd name="T0" fmla="*/ 210 w 281"/>
              <a:gd name="T1" fmla="*/ 280 h 280"/>
              <a:gd name="T2" fmla="*/ 70 w 281"/>
              <a:gd name="T3" fmla="*/ 280 h 280"/>
              <a:gd name="T4" fmla="*/ 0 w 281"/>
              <a:gd name="T5" fmla="*/ 210 h 280"/>
              <a:gd name="T6" fmla="*/ 0 w 281"/>
              <a:gd name="T7" fmla="*/ 70 h 280"/>
              <a:gd name="T8" fmla="*/ 70 w 281"/>
              <a:gd name="T9" fmla="*/ 0 h 280"/>
              <a:gd name="T10" fmla="*/ 210 w 281"/>
              <a:gd name="T11" fmla="*/ 0 h 280"/>
              <a:gd name="T12" fmla="*/ 281 w 281"/>
              <a:gd name="T13" fmla="*/ 70 h 280"/>
              <a:gd name="T14" fmla="*/ 281 w 281"/>
              <a:gd name="T15" fmla="*/ 210 h 280"/>
              <a:gd name="T16" fmla="*/ 210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Line 590">
            <a:extLst>
              <a:ext uri="{FF2B5EF4-FFF2-40B4-BE49-F238E27FC236}">
                <a16:creationId xmlns:a16="http://schemas.microsoft.com/office/drawing/2014/main" id="{00000000-0008-0000-2D00-00005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Freeform 591">
            <a:extLst>
              <a:ext uri="{FF2B5EF4-FFF2-40B4-BE49-F238E27FC236}">
                <a16:creationId xmlns:a16="http://schemas.microsoft.com/office/drawing/2014/main" id="{00000000-0008-0000-2D00-00005F000000}"/>
              </a:ext>
            </a:extLst>
          </xdr:cNvPr>
          <xdr:cNvSpPr>
            <a:spLocks/>
          </xdr:cNvSpPr>
        </xdr:nvSpPr>
        <xdr:spPr bwMode="auto">
          <a:xfrm>
            <a:off x="1215" y="95"/>
            <a:ext cx="5" cy="3"/>
          </a:xfrm>
          <a:custGeom>
            <a:avLst/>
            <a:gdLst>
              <a:gd name="T0" fmla="*/ 0 w 281"/>
              <a:gd name="T1" fmla="*/ 140 h 140"/>
              <a:gd name="T2" fmla="*/ 140 w 281"/>
              <a:gd name="T3" fmla="*/ 0 h 140"/>
              <a:gd name="T4" fmla="*/ 210 w 281"/>
              <a:gd name="T5" fmla="*/ 0 h 140"/>
              <a:gd name="T6" fmla="*/ 281 w 281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1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6" name="Freeform 592">
            <a:extLst>
              <a:ext uri="{FF2B5EF4-FFF2-40B4-BE49-F238E27FC236}">
                <a16:creationId xmlns:a16="http://schemas.microsoft.com/office/drawing/2014/main" id="{00000000-0008-0000-2D00-000060000000}"/>
              </a:ext>
            </a:extLst>
          </xdr:cNvPr>
          <xdr:cNvSpPr>
            <a:spLocks/>
          </xdr:cNvSpPr>
        </xdr:nvSpPr>
        <xdr:spPr bwMode="auto">
          <a:xfrm>
            <a:off x="1222" y="95"/>
            <a:ext cx="5" cy="5"/>
          </a:xfrm>
          <a:custGeom>
            <a:avLst/>
            <a:gdLst>
              <a:gd name="T0" fmla="*/ 280 w 280"/>
              <a:gd name="T1" fmla="*/ 140 h 280"/>
              <a:gd name="T2" fmla="*/ 140 w 280"/>
              <a:gd name="T3" fmla="*/ 280 h 280"/>
              <a:gd name="T4" fmla="*/ 70 w 280"/>
              <a:gd name="T5" fmla="*/ 280 h 280"/>
              <a:gd name="T6" fmla="*/ 0 w 280"/>
              <a:gd name="T7" fmla="*/ 210 h 280"/>
              <a:gd name="T8" fmla="*/ 0 w 280"/>
              <a:gd name="T9" fmla="*/ 70 h 280"/>
              <a:gd name="T10" fmla="*/ 70 w 280"/>
              <a:gd name="T11" fmla="*/ 0 h 280"/>
              <a:gd name="T12" fmla="*/ 140 w 280"/>
              <a:gd name="T13" fmla="*/ 0 h 280"/>
              <a:gd name="T14" fmla="*/ 280 w 280"/>
              <a:gd name="T15" fmla="*/ 14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0" h="280">
                <a:moveTo>
                  <a:pt x="280" y="140"/>
                </a:moveTo>
                <a:lnTo>
                  <a:pt x="140" y="280"/>
                </a:ln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80" y="14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593">
            <a:extLst>
              <a:ext uri="{FF2B5EF4-FFF2-40B4-BE49-F238E27FC236}">
                <a16:creationId xmlns:a16="http://schemas.microsoft.com/office/drawing/2014/main" id="{00000000-0008-0000-2D00-000061000000}"/>
              </a:ext>
            </a:extLst>
          </xdr:cNvPr>
          <xdr:cNvSpPr>
            <a:spLocks noChangeShapeType="1"/>
          </xdr:cNvSpPr>
        </xdr:nvSpPr>
        <xdr:spPr bwMode="auto">
          <a:xfrm>
            <a:off x="1227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Freeform 594">
            <a:extLst>
              <a:ext uri="{FF2B5EF4-FFF2-40B4-BE49-F238E27FC236}">
                <a16:creationId xmlns:a16="http://schemas.microsoft.com/office/drawing/2014/main" id="{00000000-0008-0000-2D00-000062000000}"/>
              </a:ext>
            </a:extLst>
          </xdr:cNvPr>
          <xdr:cNvSpPr>
            <a:spLocks/>
          </xdr:cNvSpPr>
        </xdr:nvSpPr>
        <xdr:spPr bwMode="auto">
          <a:xfrm>
            <a:off x="1229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" name="Freeform 595">
            <a:extLst>
              <a:ext uri="{FF2B5EF4-FFF2-40B4-BE49-F238E27FC236}">
                <a16:creationId xmlns:a16="http://schemas.microsoft.com/office/drawing/2014/main" id="{00000000-0008-0000-2D00-000063000000}"/>
              </a:ext>
            </a:extLst>
          </xdr:cNvPr>
          <xdr:cNvSpPr>
            <a:spLocks/>
          </xdr:cNvSpPr>
        </xdr:nvSpPr>
        <xdr:spPr bwMode="auto">
          <a:xfrm>
            <a:off x="1244" y="95"/>
            <a:ext cx="4" cy="5"/>
          </a:xfrm>
          <a:custGeom>
            <a:avLst/>
            <a:gdLst>
              <a:gd name="T0" fmla="*/ 0 w 281"/>
              <a:gd name="T1" fmla="*/ 140 h 280"/>
              <a:gd name="T2" fmla="*/ 211 w 281"/>
              <a:gd name="T3" fmla="*/ 140 h 280"/>
              <a:gd name="T4" fmla="*/ 281 w 281"/>
              <a:gd name="T5" fmla="*/ 70 h 280"/>
              <a:gd name="T6" fmla="*/ 211 w 281"/>
              <a:gd name="T7" fmla="*/ 0 h 280"/>
              <a:gd name="T8" fmla="*/ 70 w 281"/>
              <a:gd name="T9" fmla="*/ 0 h 280"/>
              <a:gd name="T10" fmla="*/ 0 w 281"/>
              <a:gd name="T11" fmla="*/ 70 h 280"/>
              <a:gd name="T12" fmla="*/ 0 w 281"/>
              <a:gd name="T13" fmla="*/ 210 h 280"/>
              <a:gd name="T14" fmla="*/ 70 w 281"/>
              <a:gd name="T15" fmla="*/ 280 h 280"/>
              <a:gd name="T16" fmla="*/ 211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0" y="140"/>
                </a:moveTo>
                <a:lnTo>
                  <a:pt x="211" y="140"/>
                </a:lnTo>
                <a:lnTo>
                  <a:pt x="281" y="70"/>
                </a:lnTo>
                <a:lnTo>
                  <a:pt x="211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1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0" name="Line 596">
            <a:extLst>
              <a:ext uri="{FF2B5EF4-FFF2-40B4-BE49-F238E27FC236}">
                <a16:creationId xmlns:a16="http://schemas.microsoft.com/office/drawing/2014/main" id="{00000000-0008-0000-2D00-00006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597">
            <a:extLst>
              <a:ext uri="{FF2B5EF4-FFF2-40B4-BE49-F238E27FC236}">
                <a16:creationId xmlns:a16="http://schemas.microsoft.com/office/drawing/2014/main" id="{00000000-0008-0000-2D00-000065000000}"/>
              </a:ext>
            </a:extLst>
          </xdr:cNvPr>
          <xdr:cNvSpPr>
            <a:spLocks noChangeShapeType="1"/>
          </xdr:cNvSpPr>
        </xdr:nvSpPr>
        <xdr:spPr bwMode="auto">
          <a:xfrm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598">
            <a:extLst>
              <a:ext uri="{FF2B5EF4-FFF2-40B4-BE49-F238E27FC236}">
                <a16:creationId xmlns:a16="http://schemas.microsoft.com/office/drawing/2014/main" id="{00000000-0008-0000-2D00-000066000000}"/>
              </a:ext>
            </a:extLst>
          </xdr:cNvPr>
          <xdr:cNvSpPr>
            <a:spLocks noChangeShapeType="1"/>
          </xdr:cNvSpPr>
        </xdr:nvSpPr>
        <xdr:spPr bwMode="auto">
          <a:xfrm>
            <a:off x="1258" y="95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Freeform 599">
            <a:extLst>
              <a:ext uri="{FF2B5EF4-FFF2-40B4-BE49-F238E27FC236}">
                <a16:creationId xmlns:a16="http://schemas.microsoft.com/office/drawing/2014/main" id="{00000000-0008-0000-2D00-000067000000}"/>
              </a:ext>
            </a:extLst>
          </xdr:cNvPr>
          <xdr:cNvSpPr>
            <a:spLocks/>
          </xdr:cNvSpPr>
        </xdr:nvSpPr>
        <xdr:spPr bwMode="auto">
          <a:xfrm>
            <a:off x="1260" y="93"/>
            <a:ext cx="3" cy="7"/>
          </a:xfrm>
          <a:custGeom>
            <a:avLst/>
            <a:gdLst>
              <a:gd name="T0" fmla="*/ 0 w 141"/>
              <a:gd name="T1" fmla="*/ 0 h 421"/>
              <a:gd name="T2" fmla="*/ 0 w 141"/>
              <a:gd name="T3" fmla="*/ 351 h 421"/>
              <a:gd name="T4" fmla="*/ 70 w 141"/>
              <a:gd name="T5" fmla="*/ 421 h 421"/>
              <a:gd name="T6" fmla="*/ 141 w 141"/>
              <a:gd name="T7" fmla="*/ 35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1">
                <a:moveTo>
                  <a:pt x="0" y="0"/>
                </a:moveTo>
                <a:lnTo>
                  <a:pt x="0" y="351"/>
                </a:lnTo>
                <a:lnTo>
                  <a:pt x="70" y="421"/>
                </a:lnTo>
                <a:lnTo>
                  <a:pt x="141" y="35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4" name="Freeform 600">
            <a:extLst>
              <a:ext uri="{FF2B5EF4-FFF2-40B4-BE49-F238E27FC236}">
                <a16:creationId xmlns:a16="http://schemas.microsoft.com/office/drawing/2014/main" id="{00000000-0008-0000-2D00-000068000000}"/>
              </a:ext>
            </a:extLst>
          </xdr:cNvPr>
          <xdr:cNvSpPr>
            <a:spLocks/>
          </xdr:cNvSpPr>
        </xdr:nvSpPr>
        <xdr:spPr bwMode="auto">
          <a:xfrm>
            <a:off x="1265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" name="Line 601">
            <a:extLst>
              <a:ext uri="{FF2B5EF4-FFF2-40B4-BE49-F238E27FC236}">
                <a16:creationId xmlns:a16="http://schemas.microsoft.com/office/drawing/2014/main" id="{00000000-0008-0000-2D00-00006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2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Freeform 602">
            <a:extLst>
              <a:ext uri="{FF2B5EF4-FFF2-40B4-BE49-F238E27FC236}">
                <a16:creationId xmlns:a16="http://schemas.microsoft.com/office/drawing/2014/main" id="{00000000-0008-0000-2D00-00006A000000}"/>
              </a:ext>
            </a:extLst>
          </xdr:cNvPr>
          <xdr:cNvSpPr>
            <a:spLocks/>
          </xdr:cNvSpPr>
        </xdr:nvSpPr>
        <xdr:spPr bwMode="auto">
          <a:xfrm>
            <a:off x="1272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" name="Line 603">
            <a:extLst>
              <a:ext uri="{FF2B5EF4-FFF2-40B4-BE49-F238E27FC236}">
                <a16:creationId xmlns:a16="http://schemas.microsoft.com/office/drawing/2014/main" id="{00000000-0008-0000-2D00-00006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604">
            <a:extLst>
              <a:ext uri="{FF2B5EF4-FFF2-40B4-BE49-F238E27FC236}">
                <a16:creationId xmlns:a16="http://schemas.microsoft.com/office/drawing/2014/main" id="{00000000-0008-0000-2D00-00006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Freeform 605">
            <a:extLst>
              <a:ext uri="{FF2B5EF4-FFF2-40B4-BE49-F238E27FC236}">
                <a16:creationId xmlns:a16="http://schemas.microsoft.com/office/drawing/2014/main" id="{00000000-0008-0000-2D00-00006D000000}"/>
              </a:ext>
            </a:extLst>
          </xdr:cNvPr>
          <xdr:cNvSpPr>
            <a:spLocks/>
          </xdr:cNvSpPr>
        </xdr:nvSpPr>
        <xdr:spPr bwMode="auto">
          <a:xfrm>
            <a:off x="1282" y="95"/>
            <a:ext cx="4" cy="5"/>
          </a:xfrm>
          <a:custGeom>
            <a:avLst/>
            <a:gdLst>
              <a:gd name="T0" fmla="*/ 210 w 280"/>
              <a:gd name="T1" fmla="*/ 280 h 280"/>
              <a:gd name="T2" fmla="*/ 70 w 280"/>
              <a:gd name="T3" fmla="*/ 280 h 280"/>
              <a:gd name="T4" fmla="*/ 0 w 280"/>
              <a:gd name="T5" fmla="*/ 210 h 280"/>
              <a:gd name="T6" fmla="*/ 0 w 280"/>
              <a:gd name="T7" fmla="*/ 70 h 280"/>
              <a:gd name="T8" fmla="*/ 70 w 280"/>
              <a:gd name="T9" fmla="*/ 0 h 280"/>
              <a:gd name="T10" fmla="*/ 210 w 280"/>
              <a:gd name="T11" fmla="*/ 0 h 280"/>
              <a:gd name="T12" fmla="*/ 280 w 280"/>
              <a:gd name="T13" fmla="*/ 70 h 280"/>
              <a:gd name="T14" fmla="*/ 280 w 280"/>
              <a:gd name="T15" fmla="*/ 21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0" y="70"/>
                </a:lnTo>
                <a:lnTo>
                  <a:pt x="280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" name="Line 606">
            <a:extLst>
              <a:ext uri="{FF2B5EF4-FFF2-40B4-BE49-F238E27FC236}">
                <a16:creationId xmlns:a16="http://schemas.microsoft.com/office/drawing/2014/main" id="{00000000-0008-0000-2D00-00006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Freeform 607">
            <a:extLst>
              <a:ext uri="{FF2B5EF4-FFF2-40B4-BE49-F238E27FC236}">
                <a16:creationId xmlns:a16="http://schemas.microsoft.com/office/drawing/2014/main" id="{00000000-0008-0000-2D00-00006F000000}"/>
              </a:ext>
            </a:extLst>
          </xdr:cNvPr>
          <xdr:cNvSpPr>
            <a:spLocks/>
          </xdr:cNvSpPr>
        </xdr:nvSpPr>
        <xdr:spPr bwMode="auto">
          <a:xfrm>
            <a:off x="1289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" name="Freeform 608">
            <a:extLst>
              <a:ext uri="{FF2B5EF4-FFF2-40B4-BE49-F238E27FC236}">
                <a16:creationId xmlns:a16="http://schemas.microsoft.com/office/drawing/2014/main" id="{00000000-0008-0000-2D00-000070000000}"/>
              </a:ext>
            </a:extLst>
          </xdr:cNvPr>
          <xdr:cNvSpPr>
            <a:spLocks/>
          </xdr:cNvSpPr>
        </xdr:nvSpPr>
        <xdr:spPr bwMode="auto">
          <a:xfrm>
            <a:off x="1206" y="307"/>
            <a:ext cx="5" cy="3"/>
          </a:xfrm>
          <a:custGeom>
            <a:avLst/>
            <a:gdLst>
              <a:gd name="T0" fmla="*/ 0 w 280"/>
              <a:gd name="T1" fmla="*/ 211 h 211"/>
              <a:gd name="T2" fmla="*/ 210 w 280"/>
              <a:gd name="T3" fmla="*/ 211 h 211"/>
              <a:gd name="T4" fmla="*/ 280 w 280"/>
              <a:gd name="T5" fmla="*/ 141 h 211"/>
              <a:gd name="T6" fmla="*/ 280 w 280"/>
              <a:gd name="T7" fmla="*/ 70 h 211"/>
              <a:gd name="T8" fmla="*/ 210 w 280"/>
              <a:gd name="T9" fmla="*/ 0 h 211"/>
              <a:gd name="T10" fmla="*/ 70 w 280"/>
              <a:gd name="T11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0" h="211">
                <a:moveTo>
                  <a:pt x="0" y="211"/>
                </a:moveTo>
                <a:lnTo>
                  <a:pt x="210" y="211"/>
                </a:lnTo>
                <a:lnTo>
                  <a:pt x="280" y="141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" name="Freeform 609">
            <a:extLst>
              <a:ext uri="{FF2B5EF4-FFF2-40B4-BE49-F238E27FC236}">
                <a16:creationId xmlns:a16="http://schemas.microsoft.com/office/drawing/2014/main" id="{00000000-0008-0000-2D00-000071000000}"/>
              </a:ext>
            </a:extLst>
          </xdr:cNvPr>
          <xdr:cNvSpPr>
            <a:spLocks/>
          </xdr:cNvSpPr>
        </xdr:nvSpPr>
        <xdr:spPr bwMode="auto">
          <a:xfrm>
            <a:off x="1206" y="303"/>
            <a:ext cx="5" cy="4"/>
          </a:xfrm>
          <a:custGeom>
            <a:avLst/>
            <a:gdLst>
              <a:gd name="T0" fmla="*/ 210 w 280"/>
              <a:gd name="T1" fmla="*/ 211 h 211"/>
              <a:gd name="T2" fmla="*/ 280 w 280"/>
              <a:gd name="T3" fmla="*/ 140 h 211"/>
              <a:gd name="T4" fmla="*/ 280 w 280"/>
              <a:gd name="T5" fmla="*/ 70 h 211"/>
              <a:gd name="T6" fmla="*/ 210 w 280"/>
              <a:gd name="T7" fmla="*/ 0 h 211"/>
              <a:gd name="T8" fmla="*/ 0 w 280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0" h="211">
                <a:moveTo>
                  <a:pt x="210" y="211"/>
                </a:moveTo>
                <a:lnTo>
                  <a:pt x="280" y="140"/>
                </a:lnTo>
                <a:lnTo>
                  <a:pt x="280" y="70"/>
                </a:lnTo>
                <a:lnTo>
                  <a:pt x="210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" name="Line 610">
            <a:extLst>
              <a:ext uri="{FF2B5EF4-FFF2-40B4-BE49-F238E27FC236}">
                <a16:creationId xmlns:a16="http://schemas.microsoft.com/office/drawing/2014/main" id="{00000000-0008-0000-2D00-000072000000}"/>
              </a:ext>
            </a:extLst>
          </xdr:cNvPr>
          <xdr:cNvSpPr>
            <a:spLocks noChangeShapeType="1"/>
          </xdr:cNvSpPr>
        </xdr:nvSpPr>
        <xdr:spPr bwMode="auto">
          <a:xfrm>
            <a:off x="1208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Freeform 611">
            <a:extLst>
              <a:ext uri="{FF2B5EF4-FFF2-40B4-BE49-F238E27FC236}">
                <a16:creationId xmlns:a16="http://schemas.microsoft.com/office/drawing/2014/main" id="{00000000-0008-0000-2D00-000073000000}"/>
              </a:ext>
            </a:extLst>
          </xdr:cNvPr>
          <xdr:cNvSpPr>
            <a:spLocks/>
          </xdr:cNvSpPr>
        </xdr:nvSpPr>
        <xdr:spPr bwMode="auto">
          <a:xfrm>
            <a:off x="1213" y="305"/>
            <a:ext cx="5" cy="5"/>
          </a:xfrm>
          <a:custGeom>
            <a:avLst/>
            <a:gdLst>
              <a:gd name="T0" fmla="*/ 210 w 280"/>
              <a:gd name="T1" fmla="*/ 282 h 282"/>
              <a:gd name="T2" fmla="*/ 70 w 280"/>
              <a:gd name="T3" fmla="*/ 282 h 282"/>
              <a:gd name="T4" fmla="*/ 0 w 280"/>
              <a:gd name="T5" fmla="*/ 212 h 282"/>
              <a:gd name="T6" fmla="*/ 0 w 280"/>
              <a:gd name="T7" fmla="*/ 71 h 282"/>
              <a:gd name="T8" fmla="*/ 70 w 280"/>
              <a:gd name="T9" fmla="*/ 0 h 282"/>
              <a:gd name="T10" fmla="*/ 210 w 280"/>
              <a:gd name="T11" fmla="*/ 0 h 282"/>
              <a:gd name="T12" fmla="*/ 280 w 280"/>
              <a:gd name="T13" fmla="*/ 71 h 282"/>
              <a:gd name="T14" fmla="*/ 280 w 280"/>
              <a:gd name="T15" fmla="*/ 212 h 282"/>
              <a:gd name="T16" fmla="*/ 210 w 280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" name="Line 612">
            <a:extLst>
              <a:ext uri="{FF2B5EF4-FFF2-40B4-BE49-F238E27FC236}">
                <a16:creationId xmlns:a16="http://schemas.microsoft.com/office/drawing/2014/main" id="{00000000-0008-0000-2D00-00007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1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Freeform 613">
            <a:extLst>
              <a:ext uri="{FF2B5EF4-FFF2-40B4-BE49-F238E27FC236}">
                <a16:creationId xmlns:a16="http://schemas.microsoft.com/office/drawing/2014/main" id="{00000000-0008-0000-2D00-000075000000}"/>
              </a:ext>
            </a:extLst>
          </xdr:cNvPr>
          <xdr:cNvSpPr>
            <a:spLocks/>
          </xdr:cNvSpPr>
        </xdr:nvSpPr>
        <xdr:spPr bwMode="auto">
          <a:xfrm>
            <a:off x="1221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" name="Freeform 614">
            <a:extLst>
              <a:ext uri="{FF2B5EF4-FFF2-40B4-BE49-F238E27FC236}">
                <a16:creationId xmlns:a16="http://schemas.microsoft.com/office/drawing/2014/main" id="{00000000-0008-0000-2D00-000076000000}"/>
              </a:ext>
            </a:extLst>
          </xdr:cNvPr>
          <xdr:cNvSpPr>
            <a:spLocks/>
          </xdr:cNvSpPr>
        </xdr:nvSpPr>
        <xdr:spPr bwMode="auto">
          <a:xfrm>
            <a:off x="1228" y="305"/>
            <a:ext cx="5" cy="5"/>
          </a:xfrm>
          <a:custGeom>
            <a:avLst/>
            <a:gdLst>
              <a:gd name="T0" fmla="*/ 281 w 281"/>
              <a:gd name="T1" fmla="*/ 141 h 282"/>
              <a:gd name="T2" fmla="*/ 141 w 281"/>
              <a:gd name="T3" fmla="*/ 282 h 282"/>
              <a:gd name="T4" fmla="*/ 71 w 281"/>
              <a:gd name="T5" fmla="*/ 282 h 282"/>
              <a:gd name="T6" fmla="*/ 0 w 281"/>
              <a:gd name="T7" fmla="*/ 212 h 282"/>
              <a:gd name="T8" fmla="*/ 0 w 281"/>
              <a:gd name="T9" fmla="*/ 71 h 282"/>
              <a:gd name="T10" fmla="*/ 71 w 281"/>
              <a:gd name="T11" fmla="*/ 0 h 282"/>
              <a:gd name="T12" fmla="*/ 141 w 281"/>
              <a:gd name="T13" fmla="*/ 0 h 282"/>
              <a:gd name="T14" fmla="*/ 281 w 281"/>
              <a:gd name="T15" fmla="*/ 141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2">
                <a:moveTo>
                  <a:pt x="281" y="141"/>
                </a:moveTo>
                <a:lnTo>
                  <a:pt x="141" y="282"/>
                </a:lnTo>
                <a:lnTo>
                  <a:pt x="71" y="282"/>
                </a:lnTo>
                <a:lnTo>
                  <a:pt x="0" y="212"/>
                </a:lnTo>
                <a:lnTo>
                  <a:pt x="0" y="71"/>
                </a:lnTo>
                <a:lnTo>
                  <a:pt x="71" y="0"/>
                </a:lnTo>
                <a:lnTo>
                  <a:pt x="141" y="0"/>
                </a:lnTo>
                <a:lnTo>
                  <a:pt x="281" y="141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" name="Line 615">
            <a:extLst>
              <a:ext uri="{FF2B5EF4-FFF2-40B4-BE49-F238E27FC236}">
                <a16:creationId xmlns:a16="http://schemas.microsoft.com/office/drawing/2014/main" id="{00000000-0008-0000-2D00-000077000000}"/>
              </a:ext>
            </a:extLst>
          </xdr:cNvPr>
          <xdr:cNvSpPr>
            <a:spLocks noChangeShapeType="1"/>
          </xdr:cNvSpPr>
        </xdr:nvSpPr>
        <xdr:spPr bwMode="auto">
          <a:xfrm>
            <a:off x="1233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Freeform 616">
            <a:extLst>
              <a:ext uri="{FF2B5EF4-FFF2-40B4-BE49-F238E27FC236}">
                <a16:creationId xmlns:a16="http://schemas.microsoft.com/office/drawing/2014/main" id="{00000000-0008-0000-2D00-000078000000}"/>
              </a:ext>
            </a:extLst>
          </xdr:cNvPr>
          <xdr:cNvSpPr>
            <a:spLocks/>
          </xdr:cNvSpPr>
        </xdr:nvSpPr>
        <xdr:spPr bwMode="auto">
          <a:xfrm>
            <a:off x="1235" y="305"/>
            <a:ext cx="5" cy="5"/>
          </a:xfrm>
          <a:custGeom>
            <a:avLst/>
            <a:gdLst>
              <a:gd name="T0" fmla="*/ 0 w 281"/>
              <a:gd name="T1" fmla="*/ 141 h 282"/>
              <a:gd name="T2" fmla="*/ 211 w 281"/>
              <a:gd name="T3" fmla="*/ 141 h 282"/>
              <a:gd name="T4" fmla="*/ 281 w 281"/>
              <a:gd name="T5" fmla="*/ 71 h 282"/>
              <a:gd name="T6" fmla="*/ 211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1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1" y="141"/>
                </a:lnTo>
                <a:lnTo>
                  <a:pt x="281" y="71"/>
                </a:lnTo>
                <a:lnTo>
                  <a:pt x="211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1" name="Line 617">
            <a:extLst>
              <a:ext uri="{FF2B5EF4-FFF2-40B4-BE49-F238E27FC236}">
                <a16:creationId xmlns:a16="http://schemas.microsoft.com/office/drawing/2014/main" id="{00000000-0008-0000-2D00-00007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Line 618">
            <a:extLst>
              <a:ext uri="{FF2B5EF4-FFF2-40B4-BE49-F238E27FC236}">
                <a16:creationId xmlns:a16="http://schemas.microsoft.com/office/drawing/2014/main" id="{00000000-0008-0000-2D00-00007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619">
            <a:extLst>
              <a:ext uri="{FF2B5EF4-FFF2-40B4-BE49-F238E27FC236}">
                <a16:creationId xmlns:a16="http://schemas.microsoft.com/office/drawing/2014/main" id="{00000000-0008-0000-2D00-00007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2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Freeform 620">
            <a:extLst>
              <a:ext uri="{FF2B5EF4-FFF2-40B4-BE49-F238E27FC236}">
                <a16:creationId xmlns:a16="http://schemas.microsoft.com/office/drawing/2014/main" id="{00000000-0008-0000-2D00-00007C000000}"/>
              </a:ext>
            </a:extLst>
          </xdr:cNvPr>
          <xdr:cNvSpPr>
            <a:spLocks/>
          </xdr:cNvSpPr>
        </xdr:nvSpPr>
        <xdr:spPr bwMode="auto">
          <a:xfrm>
            <a:off x="1252" y="305"/>
            <a:ext cx="4" cy="5"/>
          </a:xfrm>
          <a:custGeom>
            <a:avLst/>
            <a:gdLst>
              <a:gd name="T0" fmla="*/ 0 w 281"/>
              <a:gd name="T1" fmla="*/ 141 h 282"/>
              <a:gd name="T2" fmla="*/ 141 w 281"/>
              <a:gd name="T3" fmla="*/ 0 h 282"/>
              <a:gd name="T4" fmla="*/ 211 w 281"/>
              <a:gd name="T5" fmla="*/ 0 h 282"/>
              <a:gd name="T6" fmla="*/ 281 w 281"/>
              <a:gd name="T7" fmla="*/ 71 h 282"/>
              <a:gd name="T8" fmla="*/ 281 w 281"/>
              <a:gd name="T9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141" y="0"/>
                </a:lnTo>
                <a:lnTo>
                  <a:pt x="211" y="0"/>
                </a:lnTo>
                <a:lnTo>
                  <a:pt x="281" y="71"/>
                </a:lnTo>
                <a:lnTo>
                  <a:pt x="28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" name="Line 621">
            <a:extLst>
              <a:ext uri="{FF2B5EF4-FFF2-40B4-BE49-F238E27FC236}">
                <a16:creationId xmlns:a16="http://schemas.microsoft.com/office/drawing/2014/main" id="{00000000-0008-0000-2D00-00007D000000}"/>
              </a:ext>
            </a:extLst>
          </xdr:cNvPr>
          <xdr:cNvSpPr>
            <a:spLocks noChangeShapeType="1"/>
          </xdr:cNvSpPr>
        </xdr:nvSpPr>
        <xdr:spPr bwMode="auto">
          <a:xfrm>
            <a:off x="1259" y="305"/>
            <a:ext cx="4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Freeform 622">
            <a:extLst>
              <a:ext uri="{FF2B5EF4-FFF2-40B4-BE49-F238E27FC236}">
                <a16:creationId xmlns:a16="http://schemas.microsoft.com/office/drawing/2014/main" id="{00000000-0008-0000-2D00-00007E000000}"/>
              </a:ext>
            </a:extLst>
          </xdr:cNvPr>
          <xdr:cNvSpPr>
            <a:spLocks/>
          </xdr:cNvSpPr>
        </xdr:nvSpPr>
        <xdr:spPr bwMode="auto">
          <a:xfrm>
            <a:off x="1261" y="303"/>
            <a:ext cx="2" cy="7"/>
          </a:xfrm>
          <a:custGeom>
            <a:avLst/>
            <a:gdLst>
              <a:gd name="T0" fmla="*/ 0 w 141"/>
              <a:gd name="T1" fmla="*/ 0 h 422"/>
              <a:gd name="T2" fmla="*/ 0 w 141"/>
              <a:gd name="T3" fmla="*/ 352 h 422"/>
              <a:gd name="T4" fmla="*/ 71 w 141"/>
              <a:gd name="T5" fmla="*/ 422 h 422"/>
              <a:gd name="T6" fmla="*/ 141 w 141"/>
              <a:gd name="T7" fmla="*/ 35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2">
                <a:moveTo>
                  <a:pt x="0" y="0"/>
                </a:moveTo>
                <a:lnTo>
                  <a:pt x="0" y="352"/>
                </a:lnTo>
                <a:lnTo>
                  <a:pt x="71" y="422"/>
                </a:lnTo>
                <a:lnTo>
                  <a:pt x="141" y="35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7" name="Freeform 623">
            <a:extLst>
              <a:ext uri="{FF2B5EF4-FFF2-40B4-BE49-F238E27FC236}">
                <a16:creationId xmlns:a16="http://schemas.microsoft.com/office/drawing/2014/main" id="{00000000-0008-0000-2D00-00007F000000}"/>
              </a:ext>
            </a:extLst>
          </xdr:cNvPr>
          <xdr:cNvSpPr>
            <a:spLocks/>
          </xdr:cNvSpPr>
        </xdr:nvSpPr>
        <xdr:spPr bwMode="auto">
          <a:xfrm>
            <a:off x="1266" y="305"/>
            <a:ext cx="5" cy="5"/>
          </a:xfrm>
          <a:custGeom>
            <a:avLst/>
            <a:gdLst>
              <a:gd name="T0" fmla="*/ 0 w 281"/>
              <a:gd name="T1" fmla="*/ 141 h 282"/>
              <a:gd name="T2" fmla="*/ 210 w 281"/>
              <a:gd name="T3" fmla="*/ 141 h 282"/>
              <a:gd name="T4" fmla="*/ 281 w 281"/>
              <a:gd name="T5" fmla="*/ 71 h 282"/>
              <a:gd name="T6" fmla="*/ 210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0" y="141"/>
                </a:lnTo>
                <a:lnTo>
                  <a:pt x="281" y="71"/>
                </a:lnTo>
                <a:lnTo>
                  <a:pt x="210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0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" name="Line 624">
            <a:extLst>
              <a:ext uri="{FF2B5EF4-FFF2-40B4-BE49-F238E27FC236}">
                <a16:creationId xmlns:a16="http://schemas.microsoft.com/office/drawing/2014/main" id="{00000000-0008-0000-2D00-00008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3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Freeform 625">
            <a:extLst>
              <a:ext uri="{FF2B5EF4-FFF2-40B4-BE49-F238E27FC236}">
                <a16:creationId xmlns:a16="http://schemas.microsoft.com/office/drawing/2014/main" id="{00000000-0008-0000-2D00-000081000000}"/>
              </a:ext>
            </a:extLst>
          </xdr:cNvPr>
          <xdr:cNvSpPr>
            <a:spLocks/>
          </xdr:cNvSpPr>
        </xdr:nvSpPr>
        <xdr:spPr bwMode="auto">
          <a:xfrm>
            <a:off x="1273" y="305"/>
            <a:ext cx="5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0" name="Line 626">
            <a:extLst>
              <a:ext uri="{FF2B5EF4-FFF2-40B4-BE49-F238E27FC236}">
                <a16:creationId xmlns:a16="http://schemas.microsoft.com/office/drawing/2014/main" id="{00000000-0008-0000-2D00-00008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627">
            <a:extLst>
              <a:ext uri="{FF2B5EF4-FFF2-40B4-BE49-F238E27FC236}">
                <a16:creationId xmlns:a16="http://schemas.microsoft.com/office/drawing/2014/main" id="{00000000-0008-0000-2D00-00008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Freeform 628">
            <a:extLst>
              <a:ext uri="{FF2B5EF4-FFF2-40B4-BE49-F238E27FC236}">
                <a16:creationId xmlns:a16="http://schemas.microsoft.com/office/drawing/2014/main" id="{00000000-0008-0000-2D00-000084000000}"/>
              </a:ext>
            </a:extLst>
          </xdr:cNvPr>
          <xdr:cNvSpPr>
            <a:spLocks/>
          </xdr:cNvSpPr>
        </xdr:nvSpPr>
        <xdr:spPr bwMode="auto">
          <a:xfrm>
            <a:off x="1283" y="305"/>
            <a:ext cx="4" cy="5"/>
          </a:xfrm>
          <a:custGeom>
            <a:avLst/>
            <a:gdLst>
              <a:gd name="T0" fmla="*/ 210 w 281"/>
              <a:gd name="T1" fmla="*/ 282 h 282"/>
              <a:gd name="T2" fmla="*/ 70 w 281"/>
              <a:gd name="T3" fmla="*/ 282 h 282"/>
              <a:gd name="T4" fmla="*/ 0 w 281"/>
              <a:gd name="T5" fmla="*/ 212 h 282"/>
              <a:gd name="T6" fmla="*/ 0 w 281"/>
              <a:gd name="T7" fmla="*/ 71 h 282"/>
              <a:gd name="T8" fmla="*/ 70 w 281"/>
              <a:gd name="T9" fmla="*/ 0 h 282"/>
              <a:gd name="T10" fmla="*/ 210 w 281"/>
              <a:gd name="T11" fmla="*/ 0 h 282"/>
              <a:gd name="T12" fmla="*/ 281 w 281"/>
              <a:gd name="T13" fmla="*/ 71 h 282"/>
              <a:gd name="T14" fmla="*/ 281 w 281"/>
              <a:gd name="T15" fmla="*/ 21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1" y="71"/>
                </a:lnTo>
                <a:lnTo>
                  <a:pt x="281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" name="Line 629">
            <a:extLst>
              <a:ext uri="{FF2B5EF4-FFF2-40B4-BE49-F238E27FC236}">
                <a16:creationId xmlns:a16="http://schemas.microsoft.com/office/drawing/2014/main" id="{00000000-0008-0000-2D00-00008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9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Freeform 630">
            <a:extLst>
              <a:ext uri="{FF2B5EF4-FFF2-40B4-BE49-F238E27FC236}">
                <a16:creationId xmlns:a16="http://schemas.microsoft.com/office/drawing/2014/main" id="{00000000-0008-0000-2D00-000086000000}"/>
              </a:ext>
            </a:extLst>
          </xdr:cNvPr>
          <xdr:cNvSpPr>
            <a:spLocks/>
          </xdr:cNvSpPr>
        </xdr:nvSpPr>
        <xdr:spPr bwMode="auto">
          <a:xfrm>
            <a:off x="1290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5" name="Freeform 631">
            <a:extLst>
              <a:ext uri="{FF2B5EF4-FFF2-40B4-BE49-F238E27FC236}">
                <a16:creationId xmlns:a16="http://schemas.microsoft.com/office/drawing/2014/main" id="{00000000-0008-0000-2D00-000087000000}"/>
              </a:ext>
            </a:extLst>
          </xdr:cNvPr>
          <xdr:cNvSpPr>
            <a:spLocks/>
          </xdr:cNvSpPr>
        </xdr:nvSpPr>
        <xdr:spPr bwMode="auto">
          <a:xfrm>
            <a:off x="864" y="189"/>
            <a:ext cx="5" cy="7"/>
          </a:xfrm>
          <a:custGeom>
            <a:avLst/>
            <a:gdLst>
              <a:gd name="T0" fmla="*/ 0 w 282"/>
              <a:gd name="T1" fmla="*/ 422 h 422"/>
              <a:gd name="T2" fmla="*/ 0 w 282"/>
              <a:gd name="T3" fmla="*/ 0 h 422"/>
              <a:gd name="T4" fmla="*/ 282 w 282"/>
              <a:gd name="T5" fmla="*/ 0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82" h="422">
                <a:moveTo>
                  <a:pt x="0" y="422"/>
                </a:moveTo>
                <a:lnTo>
                  <a:pt x="0" y="0"/>
                </a:lnTo>
                <a:lnTo>
                  <a:pt x="282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6" name="Line 632">
            <a:extLst>
              <a:ext uri="{FF2B5EF4-FFF2-40B4-BE49-F238E27FC236}">
                <a16:creationId xmlns:a16="http://schemas.microsoft.com/office/drawing/2014/main" id="{00000000-0008-0000-2D00-000088000000}"/>
              </a:ext>
            </a:extLst>
          </xdr:cNvPr>
          <xdr:cNvSpPr>
            <a:spLocks noChangeShapeType="1"/>
          </xdr:cNvSpPr>
        </xdr:nvSpPr>
        <xdr:spPr bwMode="auto">
          <a:xfrm>
            <a:off x="864" y="193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633">
            <a:extLst>
              <a:ext uri="{FF2B5EF4-FFF2-40B4-BE49-F238E27FC236}">
                <a16:creationId xmlns:a16="http://schemas.microsoft.com/office/drawing/2014/main" id="{00000000-0008-0000-2D00-000089000000}"/>
              </a:ext>
            </a:extLst>
          </xdr:cNvPr>
          <xdr:cNvSpPr>
            <a:spLocks noChangeShapeType="1"/>
          </xdr:cNvSpPr>
        </xdr:nvSpPr>
        <xdr:spPr bwMode="auto">
          <a:xfrm>
            <a:off x="864" y="196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Freeform 634">
            <a:extLst>
              <a:ext uri="{FF2B5EF4-FFF2-40B4-BE49-F238E27FC236}">
                <a16:creationId xmlns:a16="http://schemas.microsoft.com/office/drawing/2014/main" id="{00000000-0008-0000-2D00-00008A000000}"/>
              </a:ext>
            </a:extLst>
          </xdr:cNvPr>
          <xdr:cNvSpPr>
            <a:spLocks/>
          </xdr:cNvSpPr>
        </xdr:nvSpPr>
        <xdr:spPr bwMode="auto">
          <a:xfrm>
            <a:off x="871" y="192"/>
            <a:ext cx="4" cy="7"/>
          </a:xfrm>
          <a:custGeom>
            <a:avLst/>
            <a:gdLst>
              <a:gd name="T0" fmla="*/ 0 w 211"/>
              <a:gd name="T1" fmla="*/ 351 h 421"/>
              <a:gd name="T2" fmla="*/ 70 w 211"/>
              <a:gd name="T3" fmla="*/ 421 h 421"/>
              <a:gd name="T4" fmla="*/ 141 w 211"/>
              <a:gd name="T5" fmla="*/ 421 h 421"/>
              <a:gd name="T6" fmla="*/ 211 w 211"/>
              <a:gd name="T7" fmla="*/ 351 h 421"/>
              <a:gd name="T8" fmla="*/ 211 w 211"/>
              <a:gd name="T9" fmla="*/ 0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11" h="421">
                <a:moveTo>
                  <a:pt x="0" y="351"/>
                </a:moveTo>
                <a:lnTo>
                  <a:pt x="70" y="421"/>
                </a:lnTo>
                <a:lnTo>
                  <a:pt x="141" y="421"/>
                </a:lnTo>
                <a:lnTo>
                  <a:pt x="211" y="351"/>
                </a:lnTo>
                <a:lnTo>
                  <a:pt x="211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9" name="Line 635">
            <a:extLst>
              <a:ext uri="{FF2B5EF4-FFF2-40B4-BE49-F238E27FC236}">
                <a16:creationId xmlns:a16="http://schemas.microsoft.com/office/drawing/2014/main" id="{00000000-0008-0000-2D00-00008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75" y="189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Freeform 636">
            <a:extLst>
              <a:ext uri="{FF2B5EF4-FFF2-40B4-BE49-F238E27FC236}">
                <a16:creationId xmlns:a16="http://schemas.microsoft.com/office/drawing/2014/main" id="{00000000-0008-0000-2D00-00008C000000}"/>
              </a:ext>
            </a:extLst>
          </xdr:cNvPr>
          <xdr:cNvSpPr>
            <a:spLocks/>
          </xdr:cNvSpPr>
        </xdr:nvSpPr>
        <xdr:spPr bwMode="auto">
          <a:xfrm>
            <a:off x="877" y="192"/>
            <a:ext cx="5" cy="4"/>
          </a:xfrm>
          <a:custGeom>
            <a:avLst/>
            <a:gdLst>
              <a:gd name="T0" fmla="*/ 0 w 281"/>
              <a:gd name="T1" fmla="*/ 140 h 281"/>
              <a:gd name="T2" fmla="*/ 210 w 281"/>
              <a:gd name="T3" fmla="*/ 140 h 281"/>
              <a:gd name="T4" fmla="*/ 281 w 281"/>
              <a:gd name="T5" fmla="*/ 70 h 281"/>
              <a:gd name="T6" fmla="*/ 210 w 281"/>
              <a:gd name="T7" fmla="*/ 0 h 281"/>
              <a:gd name="T8" fmla="*/ 70 w 281"/>
              <a:gd name="T9" fmla="*/ 0 h 281"/>
              <a:gd name="T10" fmla="*/ 0 w 281"/>
              <a:gd name="T11" fmla="*/ 70 h 281"/>
              <a:gd name="T12" fmla="*/ 0 w 281"/>
              <a:gd name="T13" fmla="*/ 210 h 281"/>
              <a:gd name="T14" fmla="*/ 70 w 281"/>
              <a:gd name="T15" fmla="*/ 281 h 281"/>
              <a:gd name="T16" fmla="*/ 210 w 28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210" y="140"/>
                </a:lnTo>
                <a:lnTo>
                  <a:pt x="281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1"/>
                </a:lnTo>
                <a:lnTo>
                  <a:pt x="210" y="28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</xdr:col>
      <xdr:colOff>236604</xdr:colOff>
      <xdr:row>11</xdr:row>
      <xdr:rowOff>109497</xdr:rowOff>
    </xdr:from>
    <xdr:to>
      <xdr:col>2</xdr:col>
      <xdr:colOff>236606</xdr:colOff>
      <xdr:row>14</xdr:row>
      <xdr:rowOff>144876</xdr:rowOff>
    </xdr:to>
    <xdr:cxnSp macro="">
      <xdr:nvCxnSpPr>
        <xdr:cNvPr id="541" name="Conector recto de flecha 540">
          <a:extLst>
            <a:ext uri="{FF2B5EF4-FFF2-40B4-BE49-F238E27FC236}">
              <a16:creationId xmlns:a16="http://schemas.microsoft.com/office/drawing/2014/main" id="{00000000-0008-0000-2D00-00001D020000}"/>
            </a:ext>
          </a:extLst>
        </xdr:cNvPr>
        <xdr:cNvCxnSpPr/>
      </xdr:nvCxnSpPr>
      <xdr:spPr>
        <a:xfrm>
          <a:off x="2446404" y="2614572"/>
          <a:ext cx="2" cy="7307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</xdr:colOff>
      <xdr:row>11</xdr:row>
      <xdr:rowOff>108857</xdr:rowOff>
    </xdr:from>
    <xdr:to>
      <xdr:col>2</xdr:col>
      <xdr:colOff>228600</xdr:colOff>
      <xdr:row>11</xdr:row>
      <xdr:rowOff>108857</xdr:rowOff>
    </xdr:to>
    <xdr:cxnSp macro="">
      <xdr:nvCxnSpPr>
        <xdr:cNvPr id="542" name="Conector recto de flecha 541">
          <a:extLst>
            <a:ext uri="{FF2B5EF4-FFF2-40B4-BE49-F238E27FC236}">
              <a16:creationId xmlns:a16="http://schemas.microsoft.com/office/drawing/2014/main" id="{00000000-0008-0000-2D00-00001E020000}"/>
            </a:ext>
          </a:extLst>
        </xdr:cNvPr>
        <xdr:cNvCxnSpPr/>
      </xdr:nvCxnSpPr>
      <xdr:spPr>
        <a:xfrm flipH="1">
          <a:off x="2231571" y="2613932"/>
          <a:ext cx="2068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621907</xdr:colOff>
      <xdr:row>39</xdr:row>
      <xdr:rowOff>11350</xdr:rowOff>
    </xdr:from>
    <xdr:to>
      <xdr:col>7</xdr:col>
      <xdr:colOff>565367</xdr:colOff>
      <xdr:row>57</xdr:row>
      <xdr:rowOff>180078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id="{43B716CF-7658-4C32-8DCD-AFAB6783CE5F}"/>
            </a:ext>
          </a:extLst>
        </xdr:cNvPr>
        <xdr:cNvGrpSpPr>
          <a:grpSpLocks noChangeAspect="1"/>
        </xdr:cNvGrpSpPr>
      </xdr:nvGrpSpPr>
      <xdr:grpSpPr bwMode="auto">
        <a:xfrm>
          <a:off x="621907" y="7483615"/>
          <a:ext cx="6910317" cy="3527749"/>
          <a:chOff x="753" y="57"/>
          <a:chExt cx="550" cy="299"/>
        </a:xfrm>
      </xdr:grpSpPr>
      <xdr:sp macro="" textlink="">
        <xdr:nvSpPr>
          <xdr:cNvPr id="3" name="AutoShape 50">
            <a:extLst>
              <a:ext uri="{FF2B5EF4-FFF2-40B4-BE49-F238E27FC236}">
                <a16:creationId xmlns:a16="http://schemas.microsoft.com/office/drawing/2014/main" id="{15A270BC-782A-4724-A126-FCB0F1D0083F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753" y="57"/>
            <a:ext cx="550" cy="2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grpSp>
        <xdr:nvGrpSpPr>
          <xdr:cNvPr id="4" name="Group 252">
            <a:extLst>
              <a:ext uri="{FF2B5EF4-FFF2-40B4-BE49-F238E27FC236}">
                <a16:creationId xmlns:a16="http://schemas.microsoft.com/office/drawing/2014/main" id="{A268575D-E948-45C1-97F8-FADE612BCDDA}"/>
              </a:ext>
            </a:extLst>
          </xdr:cNvPr>
          <xdr:cNvGrpSpPr>
            <a:grpSpLocks/>
          </xdr:cNvGrpSpPr>
        </xdr:nvGrpSpPr>
        <xdr:grpSpPr bwMode="auto">
          <a:xfrm>
            <a:off x="821" y="106"/>
            <a:ext cx="402" cy="191"/>
            <a:chOff x="821" y="106"/>
            <a:chExt cx="402" cy="191"/>
          </a:xfrm>
        </xdr:grpSpPr>
        <xdr:sp macro="" textlink="">
          <xdr:nvSpPr>
            <xdr:cNvPr id="341" name="Line 52">
              <a:extLst>
                <a:ext uri="{FF2B5EF4-FFF2-40B4-BE49-F238E27FC236}">
                  <a16:creationId xmlns:a16="http://schemas.microsoft.com/office/drawing/2014/main" id="{F84C4D42-644E-422F-91D6-595259E06AB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23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2" name="Line 53">
              <a:extLst>
                <a:ext uri="{FF2B5EF4-FFF2-40B4-BE49-F238E27FC236}">
                  <a16:creationId xmlns:a16="http://schemas.microsoft.com/office/drawing/2014/main" id="{60B1F704-8D9F-421E-9908-BE980C0A139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32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3" name="Line 54">
              <a:extLst>
                <a:ext uri="{FF2B5EF4-FFF2-40B4-BE49-F238E27FC236}">
                  <a16:creationId xmlns:a16="http://schemas.microsoft.com/office/drawing/2014/main" id="{90D55F3C-F30B-4DE3-B583-24E3B641C16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0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4" name="Line 55">
              <a:extLst>
                <a:ext uri="{FF2B5EF4-FFF2-40B4-BE49-F238E27FC236}">
                  <a16:creationId xmlns:a16="http://schemas.microsoft.com/office/drawing/2014/main" id="{8C6EA516-1A96-468E-A7C1-ED505F7E880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9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5" name="Line 56">
              <a:extLst>
                <a:ext uri="{FF2B5EF4-FFF2-40B4-BE49-F238E27FC236}">
                  <a16:creationId xmlns:a16="http://schemas.microsoft.com/office/drawing/2014/main" id="{9DB8FB2C-8320-4E3B-A723-1864B953FC7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57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6" name="Line 57">
              <a:extLst>
                <a:ext uri="{FF2B5EF4-FFF2-40B4-BE49-F238E27FC236}">
                  <a16:creationId xmlns:a16="http://schemas.microsoft.com/office/drawing/2014/main" id="{27383617-8F21-40E9-A2E6-873C5C8C9A6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66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7" name="Line 58">
              <a:extLst>
                <a:ext uri="{FF2B5EF4-FFF2-40B4-BE49-F238E27FC236}">
                  <a16:creationId xmlns:a16="http://schemas.microsoft.com/office/drawing/2014/main" id="{4BC8A914-03F3-4655-836E-4191B03DA15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74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8" name="Line 59">
              <a:extLst>
                <a:ext uri="{FF2B5EF4-FFF2-40B4-BE49-F238E27FC236}">
                  <a16:creationId xmlns:a16="http://schemas.microsoft.com/office/drawing/2014/main" id="{B41C5487-0AA7-4465-A6AA-E9A26C8847F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83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9" name="Line 60">
              <a:extLst>
                <a:ext uri="{FF2B5EF4-FFF2-40B4-BE49-F238E27FC236}">
                  <a16:creationId xmlns:a16="http://schemas.microsoft.com/office/drawing/2014/main" id="{338EA00A-8A51-45F2-88C8-299ECC1BF5B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91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0" name="Line 61">
              <a:extLst>
                <a:ext uri="{FF2B5EF4-FFF2-40B4-BE49-F238E27FC236}">
                  <a16:creationId xmlns:a16="http://schemas.microsoft.com/office/drawing/2014/main" id="{9E2492B8-33C2-48C3-9F62-06F54C93B7A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0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1" name="Line 62">
              <a:extLst>
                <a:ext uri="{FF2B5EF4-FFF2-40B4-BE49-F238E27FC236}">
                  <a16:creationId xmlns:a16="http://schemas.microsoft.com/office/drawing/2014/main" id="{9C2EE00A-17B3-43B0-91DF-C11F0B0C79F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8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2" name="Line 63">
              <a:extLst>
                <a:ext uri="{FF2B5EF4-FFF2-40B4-BE49-F238E27FC236}">
                  <a16:creationId xmlns:a16="http://schemas.microsoft.com/office/drawing/2014/main" id="{36B48926-5FAC-4251-B099-6F6306990FB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17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3" name="Line 64">
              <a:extLst>
                <a:ext uri="{FF2B5EF4-FFF2-40B4-BE49-F238E27FC236}">
                  <a16:creationId xmlns:a16="http://schemas.microsoft.com/office/drawing/2014/main" id="{B912AD8B-8A7F-4732-A59E-EEAFD1ED722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25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4" name="Line 65">
              <a:extLst>
                <a:ext uri="{FF2B5EF4-FFF2-40B4-BE49-F238E27FC236}">
                  <a16:creationId xmlns:a16="http://schemas.microsoft.com/office/drawing/2014/main" id="{26BE5DAA-E05C-4F79-8BB7-5ABCCEEFC4D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34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5" name="Line 66">
              <a:extLst>
                <a:ext uri="{FF2B5EF4-FFF2-40B4-BE49-F238E27FC236}">
                  <a16:creationId xmlns:a16="http://schemas.microsoft.com/office/drawing/2014/main" id="{1A144C60-A7A1-4BC7-85E6-4C892FAD701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42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6" name="Line 67">
              <a:extLst>
                <a:ext uri="{FF2B5EF4-FFF2-40B4-BE49-F238E27FC236}">
                  <a16:creationId xmlns:a16="http://schemas.microsoft.com/office/drawing/2014/main" id="{0ADA6130-87A4-4004-A6CA-5C1202F5BF4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1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7" name="Line 68">
              <a:extLst>
                <a:ext uri="{FF2B5EF4-FFF2-40B4-BE49-F238E27FC236}">
                  <a16:creationId xmlns:a16="http://schemas.microsoft.com/office/drawing/2014/main" id="{83FD0FFD-69B3-4AA3-8DBD-132FC6DDB2F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9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8" name="Line 69">
              <a:extLst>
                <a:ext uri="{FF2B5EF4-FFF2-40B4-BE49-F238E27FC236}">
                  <a16:creationId xmlns:a16="http://schemas.microsoft.com/office/drawing/2014/main" id="{B4CCE6AA-0383-49F7-A20F-96D1C862334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68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9" name="Line 70">
              <a:extLst>
                <a:ext uri="{FF2B5EF4-FFF2-40B4-BE49-F238E27FC236}">
                  <a16:creationId xmlns:a16="http://schemas.microsoft.com/office/drawing/2014/main" id="{528F7186-5116-4FE6-B252-71DD9C743CA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76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0" name="Line 71">
              <a:extLst>
                <a:ext uri="{FF2B5EF4-FFF2-40B4-BE49-F238E27FC236}">
                  <a16:creationId xmlns:a16="http://schemas.microsoft.com/office/drawing/2014/main" id="{FA1A4AE5-34AD-466D-9E5A-5505B4B306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5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1" name="Line 72">
              <a:extLst>
                <a:ext uri="{FF2B5EF4-FFF2-40B4-BE49-F238E27FC236}">
                  <a16:creationId xmlns:a16="http://schemas.microsoft.com/office/drawing/2014/main" id="{4F36A263-6CB1-46A3-9A09-BA5292E7779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8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2" name="Line 73">
              <a:extLst>
                <a:ext uri="{FF2B5EF4-FFF2-40B4-BE49-F238E27FC236}">
                  <a16:creationId xmlns:a16="http://schemas.microsoft.com/office/drawing/2014/main" id="{BF530742-26AB-4891-81A5-571DFDDCCA9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3" name="Line 74">
              <a:extLst>
                <a:ext uri="{FF2B5EF4-FFF2-40B4-BE49-F238E27FC236}">
                  <a16:creationId xmlns:a16="http://schemas.microsoft.com/office/drawing/2014/main" id="{3769F9E7-218D-436D-A206-068AC7A53F5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8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4" name="Line 75">
              <a:extLst>
                <a:ext uri="{FF2B5EF4-FFF2-40B4-BE49-F238E27FC236}">
                  <a16:creationId xmlns:a16="http://schemas.microsoft.com/office/drawing/2014/main" id="{D2B54740-CA17-441A-82DD-308B229EE64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7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5" name="Line 76">
              <a:extLst>
                <a:ext uri="{FF2B5EF4-FFF2-40B4-BE49-F238E27FC236}">
                  <a16:creationId xmlns:a16="http://schemas.microsoft.com/office/drawing/2014/main" id="{9982D071-4623-4913-98CE-6D563ACC70C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6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6" name="Line 77">
              <a:extLst>
                <a:ext uri="{FF2B5EF4-FFF2-40B4-BE49-F238E27FC236}">
                  <a16:creationId xmlns:a16="http://schemas.microsoft.com/office/drawing/2014/main" id="{64899928-827D-4F05-81D5-CE7B4F53BF0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5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7" name="Line 78">
              <a:extLst>
                <a:ext uri="{FF2B5EF4-FFF2-40B4-BE49-F238E27FC236}">
                  <a16:creationId xmlns:a16="http://schemas.microsoft.com/office/drawing/2014/main" id="{02BA1303-0121-4A27-8CE8-F8E10B318E9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47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8" name="Line 79">
              <a:extLst>
                <a:ext uri="{FF2B5EF4-FFF2-40B4-BE49-F238E27FC236}">
                  <a16:creationId xmlns:a16="http://schemas.microsoft.com/office/drawing/2014/main" id="{4C87B21A-434F-4651-BE36-38A934D9275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9" name="Line 80">
              <a:extLst>
                <a:ext uri="{FF2B5EF4-FFF2-40B4-BE49-F238E27FC236}">
                  <a16:creationId xmlns:a16="http://schemas.microsoft.com/office/drawing/2014/main" id="{FC1CDEB2-9B78-4B9E-AD41-DBCB3895B11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0" name="Line 81">
              <a:extLst>
                <a:ext uri="{FF2B5EF4-FFF2-40B4-BE49-F238E27FC236}">
                  <a16:creationId xmlns:a16="http://schemas.microsoft.com/office/drawing/2014/main" id="{5CA71D69-C604-4E94-9897-A26126439A6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2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1" name="Line 82">
              <a:extLst>
                <a:ext uri="{FF2B5EF4-FFF2-40B4-BE49-F238E27FC236}">
                  <a16:creationId xmlns:a16="http://schemas.microsoft.com/office/drawing/2014/main" id="{16125FCA-9569-4F50-B8BF-91F7E4F2CEC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1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2" name="Line 83">
              <a:extLst>
                <a:ext uri="{FF2B5EF4-FFF2-40B4-BE49-F238E27FC236}">
                  <a16:creationId xmlns:a16="http://schemas.microsoft.com/office/drawing/2014/main" id="{12465898-F672-420E-9E33-6A9C5EF992B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3" name="Freeform 84">
              <a:extLst>
                <a:ext uri="{FF2B5EF4-FFF2-40B4-BE49-F238E27FC236}">
                  <a16:creationId xmlns:a16="http://schemas.microsoft.com/office/drawing/2014/main" id="{27C011EE-74EB-4219-B091-EC5D2F7FD36D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105 h 105"/>
                <a:gd name="T2" fmla="*/ 1979 w 1979"/>
                <a:gd name="T3" fmla="*/ 0 h 105"/>
                <a:gd name="T4" fmla="*/ 0 w 1979"/>
                <a:gd name="T5" fmla="*/ 105 h 105"/>
                <a:gd name="T6" fmla="*/ 1979 w 197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105"/>
                  </a:moveTo>
                  <a:lnTo>
                    <a:pt x="1979" y="0"/>
                  </a:lnTo>
                  <a:lnTo>
                    <a:pt x="0" y="105"/>
                  </a:lnTo>
                  <a:lnTo>
                    <a:pt x="1979" y="10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4" name="Freeform 85">
              <a:extLst>
                <a:ext uri="{FF2B5EF4-FFF2-40B4-BE49-F238E27FC236}">
                  <a16:creationId xmlns:a16="http://schemas.microsoft.com/office/drawing/2014/main" id="{132D6E0F-C4AA-4BD0-9F0D-56A166E51688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0 h 105"/>
                <a:gd name="T2" fmla="*/ 0 w 1979"/>
                <a:gd name="T3" fmla="*/ 105 h 105"/>
                <a:gd name="T4" fmla="*/ 18 w 1979"/>
                <a:gd name="T5" fmla="*/ 0 h 105"/>
                <a:gd name="T6" fmla="*/ 1979 w 1979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0"/>
                  </a:moveTo>
                  <a:lnTo>
                    <a:pt x="0" y="105"/>
                  </a:lnTo>
                  <a:lnTo>
                    <a:pt x="18" y="0"/>
                  </a:lnTo>
                  <a:lnTo>
                    <a:pt x="197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5" name="Freeform 86">
              <a:extLst>
                <a:ext uri="{FF2B5EF4-FFF2-40B4-BE49-F238E27FC236}">
                  <a16:creationId xmlns:a16="http://schemas.microsoft.com/office/drawing/2014/main" id="{0BCD4B99-4C85-42AA-8B4D-3C34A3144284}"/>
                </a:ext>
              </a:extLst>
            </xdr:cNvPr>
            <xdr:cNvSpPr>
              <a:spLocks/>
            </xdr:cNvSpPr>
          </xdr:nvSpPr>
          <xdr:spPr bwMode="auto">
            <a:xfrm>
              <a:off x="1028" y="238"/>
              <a:ext cx="162" cy="59"/>
            </a:xfrm>
            <a:custGeom>
              <a:avLst/>
              <a:gdLst>
                <a:gd name="T0" fmla="*/ 9523 w 9541"/>
                <a:gd name="T1" fmla="*/ 3477 h 3477"/>
                <a:gd name="T2" fmla="*/ 9541 w 9541"/>
                <a:gd name="T3" fmla="*/ 3372 h 3477"/>
                <a:gd name="T4" fmla="*/ 0 w 9541"/>
                <a:gd name="T5" fmla="*/ 0 h 3477"/>
                <a:gd name="T6" fmla="*/ 9523 w 9541"/>
                <a:gd name="T7" fmla="*/ 3477 h 34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7">
                  <a:moveTo>
                    <a:pt x="9523" y="3477"/>
                  </a:moveTo>
                  <a:lnTo>
                    <a:pt x="9541" y="3372"/>
                  </a:lnTo>
                  <a:lnTo>
                    <a:pt x="0" y="0"/>
                  </a:lnTo>
                  <a:lnTo>
                    <a:pt x="9523" y="347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6" name="Freeform 87">
              <a:extLst>
                <a:ext uri="{FF2B5EF4-FFF2-40B4-BE49-F238E27FC236}">
                  <a16:creationId xmlns:a16="http://schemas.microsoft.com/office/drawing/2014/main" id="{F2A96EE3-CF29-4782-8692-F064B0434E7F}"/>
                </a:ext>
              </a:extLst>
            </xdr:cNvPr>
            <xdr:cNvSpPr>
              <a:spLocks/>
            </xdr:cNvSpPr>
          </xdr:nvSpPr>
          <xdr:spPr bwMode="auto">
            <a:xfrm>
              <a:off x="1028" y="237"/>
              <a:ext cx="162" cy="59"/>
            </a:xfrm>
            <a:custGeom>
              <a:avLst/>
              <a:gdLst>
                <a:gd name="T0" fmla="*/ 9541 w 9541"/>
                <a:gd name="T1" fmla="*/ 3478 h 3478"/>
                <a:gd name="T2" fmla="*/ 0 w 9541"/>
                <a:gd name="T3" fmla="*/ 106 h 3478"/>
                <a:gd name="T4" fmla="*/ 18 w 9541"/>
                <a:gd name="T5" fmla="*/ 0 h 3478"/>
                <a:gd name="T6" fmla="*/ 9541 w 9541"/>
                <a:gd name="T7" fmla="*/ 3478 h 34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8">
                  <a:moveTo>
                    <a:pt x="9541" y="3478"/>
                  </a:moveTo>
                  <a:lnTo>
                    <a:pt x="0" y="106"/>
                  </a:lnTo>
                  <a:lnTo>
                    <a:pt x="18" y="0"/>
                  </a:lnTo>
                  <a:lnTo>
                    <a:pt x="9541" y="3478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7" name="Freeform 88">
              <a:extLst>
                <a:ext uri="{FF2B5EF4-FFF2-40B4-BE49-F238E27FC236}">
                  <a16:creationId xmlns:a16="http://schemas.microsoft.com/office/drawing/2014/main" id="{5B5943ED-0953-415C-9F39-D7F1EA11416E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35 w 11553"/>
                <a:gd name="T1" fmla="*/ 106 h 106"/>
                <a:gd name="T2" fmla="*/ 11553 w 11553"/>
                <a:gd name="T3" fmla="*/ 0 h 106"/>
                <a:gd name="T4" fmla="*/ 0 w 11553"/>
                <a:gd name="T5" fmla="*/ 106 h 106"/>
                <a:gd name="T6" fmla="*/ 11535 w 11553"/>
                <a:gd name="T7" fmla="*/ 106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35" y="106"/>
                  </a:moveTo>
                  <a:lnTo>
                    <a:pt x="11553" y="0"/>
                  </a:lnTo>
                  <a:lnTo>
                    <a:pt x="0" y="106"/>
                  </a:lnTo>
                  <a:lnTo>
                    <a:pt x="11535" y="10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8" name="Freeform 89">
              <a:extLst>
                <a:ext uri="{FF2B5EF4-FFF2-40B4-BE49-F238E27FC236}">
                  <a16:creationId xmlns:a16="http://schemas.microsoft.com/office/drawing/2014/main" id="{5E0C025D-DD43-40C6-A4E7-30D8C110CC52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53 w 11553"/>
                <a:gd name="T1" fmla="*/ 0 h 106"/>
                <a:gd name="T2" fmla="*/ 0 w 11553"/>
                <a:gd name="T3" fmla="*/ 106 h 106"/>
                <a:gd name="T4" fmla="*/ 0 w 11553"/>
                <a:gd name="T5" fmla="*/ 0 h 106"/>
                <a:gd name="T6" fmla="*/ 11553 w 115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53" y="0"/>
                  </a:moveTo>
                  <a:lnTo>
                    <a:pt x="0" y="106"/>
                  </a:lnTo>
                  <a:lnTo>
                    <a:pt x="0" y="0"/>
                  </a:lnTo>
                  <a:lnTo>
                    <a:pt x="1155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9" name="Freeform 90">
              <a:extLst>
                <a:ext uri="{FF2B5EF4-FFF2-40B4-BE49-F238E27FC236}">
                  <a16:creationId xmlns:a16="http://schemas.microsoft.com/office/drawing/2014/main" id="{6F07A8D8-12F4-4E19-9E6D-BBC0C2AD8FD4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76"/>
                <a:gd name="T1" fmla="*/ 7696 h 7794"/>
                <a:gd name="T2" fmla="*/ 36 w 21076"/>
                <a:gd name="T3" fmla="*/ 7794 h 7794"/>
                <a:gd name="T4" fmla="*/ 21076 w 21076"/>
                <a:gd name="T5" fmla="*/ 0 h 7794"/>
                <a:gd name="T6" fmla="*/ 0 w 21076"/>
                <a:gd name="T7" fmla="*/ 7696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76" h="7794">
                  <a:moveTo>
                    <a:pt x="0" y="7696"/>
                  </a:moveTo>
                  <a:lnTo>
                    <a:pt x="36" y="7794"/>
                  </a:lnTo>
                  <a:lnTo>
                    <a:pt x="21076" y="0"/>
                  </a:lnTo>
                  <a:lnTo>
                    <a:pt x="0" y="769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0" name="Freeform 91">
              <a:extLst>
                <a:ext uri="{FF2B5EF4-FFF2-40B4-BE49-F238E27FC236}">
                  <a16:creationId xmlns:a16="http://schemas.microsoft.com/office/drawing/2014/main" id="{7F9035C2-82B9-47AC-9D06-E5393DAE6D55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58"/>
                <a:gd name="T1" fmla="*/ 7794 h 7794"/>
                <a:gd name="T2" fmla="*/ 21040 w 21058"/>
                <a:gd name="T3" fmla="*/ 0 h 7794"/>
                <a:gd name="T4" fmla="*/ 21058 w 21058"/>
                <a:gd name="T5" fmla="*/ 107 h 7794"/>
                <a:gd name="T6" fmla="*/ 0 w 21058"/>
                <a:gd name="T7" fmla="*/ 7794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58" h="7794">
                  <a:moveTo>
                    <a:pt x="0" y="7794"/>
                  </a:moveTo>
                  <a:lnTo>
                    <a:pt x="21040" y="0"/>
                  </a:lnTo>
                  <a:lnTo>
                    <a:pt x="21058" y="107"/>
                  </a:lnTo>
                  <a:lnTo>
                    <a:pt x="0" y="779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1" name="Freeform 92">
              <a:extLst>
                <a:ext uri="{FF2B5EF4-FFF2-40B4-BE49-F238E27FC236}">
                  <a16:creationId xmlns:a16="http://schemas.microsoft.com/office/drawing/2014/main" id="{EB3B2D59-C693-4EF8-8AF6-0F0698A23D8D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79"/>
                <a:gd name="T1" fmla="*/ 0 h 107"/>
                <a:gd name="T2" fmla="*/ 18 w 1979"/>
                <a:gd name="T3" fmla="*/ 107 h 107"/>
                <a:gd name="T4" fmla="*/ 1979 w 1979"/>
                <a:gd name="T5" fmla="*/ 0 h 107"/>
                <a:gd name="T6" fmla="*/ 0 w 1979"/>
                <a:gd name="T7" fmla="*/ 0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7">
                  <a:moveTo>
                    <a:pt x="0" y="0"/>
                  </a:moveTo>
                  <a:lnTo>
                    <a:pt x="18" y="107"/>
                  </a:lnTo>
                  <a:lnTo>
                    <a:pt x="1979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2" name="Freeform 93">
              <a:extLst>
                <a:ext uri="{FF2B5EF4-FFF2-40B4-BE49-F238E27FC236}">
                  <a16:creationId xmlns:a16="http://schemas.microsoft.com/office/drawing/2014/main" id="{9BD4535E-7E29-4BC0-9A55-1F98B350C0E3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61"/>
                <a:gd name="T1" fmla="*/ 107 h 107"/>
                <a:gd name="T2" fmla="*/ 1961 w 1961"/>
                <a:gd name="T3" fmla="*/ 0 h 107"/>
                <a:gd name="T4" fmla="*/ 1961 w 1961"/>
                <a:gd name="T5" fmla="*/ 107 h 107"/>
                <a:gd name="T6" fmla="*/ 0 w 1961"/>
                <a:gd name="T7" fmla="*/ 107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61" h="107">
                  <a:moveTo>
                    <a:pt x="0" y="107"/>
                  </a:moveTo>
                  <a:lnTo>
                    <a:pt x="1961" y="0"/>
                  </a:lnTo>
                  <a:lnTo>
                    <a:pt x="1961" y="107"/>
                  </a:lnTo>
                  <a:lnTo>
                    <a:pt x="0" y="10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3" name="Line 94">
              <a:extLst>
                <a:ext uri="{FF2B5EF4-FFF2-40B4-BE49-F238E27FC236}">
                  <a16:creationId xmlns:a16="http://schemas.microsoft.com/office/drawing/2014/main" id="{023C9A0B-B66E-4FB0-B3D0-FDEDCBF4E6B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928" y="202"/>
              <a:ext cx="262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4" name="Line 95">
              <a:extLst>
                <a:ext uri="{FF2B5EF4-FFF2-40B4-BE49-F238E27FC236}">
                  <a16:creationId xmlns:a16="http://schemas.microsoft.com/office/drawing/2014/main" id="{48249173-35E1-430F-B0A8-56826BA18D5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93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5" name="Line 96">
              <a:extLst>
                <a:ext uri="{FF2B5EF4-FFF2-40B4-BE49-F238E27FC236}">
                  <a16:creationId xmlns:a16="http://schemas.microsoft.com/office/drawing/2014/main" id="{4B802ECC-4CFD-4628-9CD7-66936F58CE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8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6" name="Line 97">
              <a:extLst>
                <a:ext uri="{FF2B5EF4-FFF2-40B4-BE49-F238E27FC236}">
                  <a16:creationId xmlns:a16="http://schemas.microsoft.com/office/drawing/2014/main" id="{2DCE7B13-89E7-40FD-8C5D-92918A2D34B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7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7" name="Line 98">
              <a:extLst>
                <a:ext uri="{FF2B5EF4-FFF2-40B4-BE49-F238E27FC236}">
                  <a16:creationId xmlns:a16="http://schemas.microsoft.com/office/drawing/2014/main" id="{04BFAA00-3AD6-4360-B06A-0C26BF1107D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6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8" name="Line 99">
              <a:extLst>
                <a:ext uri="{FF2B5EF4-FFF2-40B4-BE49-F238E27FC236}">
                  <a16:creationId xmlns:a16="http://schemas.microsoft.com/office/drawing/2014/main" id="{3AF4D533-1D31-4A6F-BB04-6A088DE478C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9" name="Line 100">
              <a:extLst>
                <a:ext uri="{FF2B5EF4-FFF2-40B4-BE49-F238E27FC236}">
                  <a16:creationId xmlns:a16="http://schemas.microsoft.com/office/drawing/2014/main" id="{34EB1C04-13D4-4211-892E-62BFC094967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0" name="Line 101">
              <a:extLst>
                <a:ext uri="{FF2B5EF4-FFF2-40B4-BE49-F238E27FC236}">
                  <a16:creationId xmlns:a16="http://schemas.microsoft.com/office/drawing/2014/main" id="{08F138D2-D285-4BE0-A90A-C6AE8896E5D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4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1" name="Line 102">
              <a:extLst>
                <a:ext uri="{FF2B5EF4-FFF2-40B4-BE49-F238E27FC236}">
                  <a16:creationId xmlns:a16="http://schemas.microsoft.com/office/drawing/2014/main" id="{222895C4-F397-49A2-AA03-9E1A0564102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3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2" name="Line 103">
              <a:extLst>
                <a:ext uri="{FF2B5EF4-FFF2-40B4-BE49-F238E27FC236}">
                  <a16:creationId xmlns:a16="http://schemas.microsoft.com/office/drawing/2014/main" id="{0B73954D-8B9B-4A78-9CD1-153D4641167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2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3" name="Line 104">
              <a:extLst>
                <a:ext uri="{FF2B5EF4-FFF2-40B4-BE49-F238E27FC236}">
                  <a16:creationId xmlns:a16="http://schemas.microsoft.com/office/drawing/2014/main" id="{FDEDCECC-A2F5-4F18-B47E-DA12E658934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1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4" name="Line 105">
              <a:extLst>
                <a:ext uri="{FF2B5EF4-FFF2-40B4-BE49-F238E27FC236}">
                  <a16:creationId xmlns:a16="http://schemas.microsoft.com/office/drawing/2014/main" id="{4CC6DE93-4B13-47D7-A51F-6A782ECE58F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5" name="Line 106">
              <a:extLst>
                <a:ext uri="{FF2B5EF4-FFF2-40B4-BE49-F238E27FC236}">
                  <a16:creationId xmlns:a16="http://schemas.microsoft.com/office/drawing/2014/main" id="{E8450125-84C3-4AE1-8C47-2A5210E3215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2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6" name="Line 107">
              <a:extLst>
                <a:ext uri="{FF2B5EF4-FFF2-40B4-BE49-F238E27FC236}">
                  <a16:creationId xmlns:a16="http://schemas.microsoft.com/office/drawing/2014/main" id="{64F155E8-57C0-47A5-B380-72514A6A642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7" name="Line 108">
              <a:extLst>
                <a:ext uri="{FF2B5EF4-FFF2-40B4-BE49-F238E27FC236}">
                  <a16:creationId xmlns:a16="http://schemas.microsoft.com/office/drawing/2014/main" id="{FB1D84D6-138B-4FB1-89BF-C3ACC8E801B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8" name="Line 109">
              <a:extLst>
                <a:ext uri="{FF2B5EF4-FFF2-40B4-BE49-F238E27FC236}">
                  <a16:creationId xmlns:a16="http://schemas.microsoft.com/office/drawing/2014/main" id="{8E27E70D-F289-49FB-88F5-65A50D9982D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9" name="Line 110">
              <a:extLst>
                <a:ext uri="{FF2B5EF4-FFF2-40B4-BE49-F238E27FC236}">
                  <a16:creationId xmlns:a16="http://schemas.microsoft.com/office/drawing/2014/main" id="{CDD21553-968C-41BD-AEFD-2FC72B9CD69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0" name="Line 111">
              <a:extLst>
                <a:ext uri="{FF2B5EF4-FFF2-40B4-BE49-F238E27FC236}">
                  <a16:creationId xmlns:a16="http://schemas.microsoft.com/office/drawing/2014/main" id="{4C8835FC-633A-419F-9D9B-20B4B49287B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1" name="Line 112">
              <a:extLst>
                <a:ext uri="{FF2B5EF4-FFF2-40B4-BE49-F238E27FC236}">
                  <a16:creationId xmlns:a16="http://schemas.microsoft.com/office/drawing/2014/main" id="{AA065388-F079-4D3E-95C0-95B5371C797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2" name="Line 113">
              <a:extLst>
                <a:ext uri="{FF2B5EF4-FFF2-40B4-BE49-F238E27FC236}">
                  <a16:creationId xmlns:a16="http://schemas.microsoft.com/office/drawing/2014/main" id="{6867C21B-53B0-41DC-A7E5-BF7A8EB53BD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3" name="Line 114">
              <a:extLst>
                <a:ext uri="{FF2B5EF4-FFF2-40B4-BE49-F238E27FC236}">
                  <a16:creationId xmlns:a16="http://schemas.microsoft.com/office/drawing/2014/main" id="{DF0D6342-5723-4022-957E-333D3D3D19E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4" name="Line 115">
              <a:extLst>
                <a:ext uri="{FF2B5EF4-FFF2-40B4-BE49-F238E27FC236}">
                  <a16:creationId xmlns:a16="http://schemas.microsoft.com/office/drawing/2014/main" id="{A68219A4-11FB-459F-8E65-E99105408CB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5" name="Line 116">
              <a:extLst>
                <a:ext uri="{FF2B5EF4-FFF2-40B4-BE49-F238E27FC236}">
                  <a16:creationId xmlns:a16="http://schemas.microsoft.com/office/drawing/2014/main" id="{FAD76464-A2F1-4DC1-A47C-D3332F5D747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6" name="Line 117">
              <a:extLst>
                <a:ext uri="{FF2B5EF4-FFF2-40B4-BE49-F238E27FC236}">
                  <a16:creationId xmlns:a16="http://schemas.microsoft.com/office/drawing/2014/main" id="{A88C5487-1455-404E-8DB3-29851DA816E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7" name="Line 118">
              <a:extLst>
                <a:ext uri="{FF2B5EF4-FFF2-40B4-BE49-F238E27FC236}">
                  <a16:creationId xmlns:a16="http://schemas.microsoft.com/office/drawing/2014/main" id="{37C0C1C8-E76D-4859-A426-132455F857A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8" name="Line 119">
              <a:extLst>
                <a:ext uri="{FF2B5EF4-FFF2-40B4-BE49-F238E27FC236}">
                  <a16:creationId xmlns:a16="http://schemas.microsoft.com/office/drawing/2014/main" id="{718DC826-6728-4BAF-A6D3-1B67BB05698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9" name="Line 120">
              <a:extLst>
                <a:ext uri="{FF2B5EF4-FFF2-40B4-BE49-F238E27FC236}">
                  <a16:creationId xmlns:a16="http://schemas.microsoft.com/office/drawing/2014/main" id="{0F0552CC-3E1F-4EE6-863C-F082723525B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0" name="Line 121">
              <a:extLst>
                <a:ext uri="{FF2B5EF4-FFF2-40B4-BE49-F238E27FC236}">
                  <a16:creationId xmlns:a16="http://schemas.microsoft.com/office/drawing/2014/main" id="{D956F664-23EA-42E4-BBF6-53F5211F59C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1" name="Line 122">
              <a:extLst>
                <a:ext uri="{FF2B5EF4-FFF2-40B4-BE49-F238E27FC236}">
                  <a16:creationId xmlns:a16="http://schemas.microsoft.com/office/drawing/2014/main" id="{7E4F1677-7A89-4AF8-A90F-0AE90267D5A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2" name="Line 123">
              <a:extLst>
                <a:ext uri="{FF2B5EF4-FFF2-40B4-BE49-F238E27FC236}">
                  <a16:creationId xmlns:a16="http://schemas.microsoft.com/office/drawing/2014/main" id="{2CAE54E0-322E-4FAC-81C9-5ED4DA834AA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3" name="Line 124">
              <a:extLst>
                <a:ext uri="{FF2B5EF4-FFF2-40B4-BE49-F238E27FC236}">
                  <a16:creationId xmlns:a16="http://schemas.microsoft.com/office/drawing/2014/main" id="{91C6EAE4-500B-4E6C-85F1-5B7CCB3E728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4" name="Line 125">
              <a:extLst>
                <a:ext uri="{FF2B5EF4-FFF2-40B4-BE49-F238E27FC236}">
                  <a16:creationId xmlns:a16="http://schemas.microsoft.com/office/drawing/2014/main" id="{46E28053-A688-4F53-B95B-CFDD1DEE764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5" name="Line 126">
              <a:extLst>
                <a:ext uri="{FF2B5EF4-FFF2-40B4-BE49-F238E27FC236}">
                  <a16:creationId xmlns:a16="http://schemas.microsoft.com/office/drawing/2014/main" id="{2F75F6C0-CB37-4E7F-844A-FDE4562B8DE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6" name="Line 127">
              <a:extLst>
                <a:ext uri="{FF2B5EF4-FFF2-40B4-BE49-F238E27FC236}">
                  <a16:creationId xmlns:a16="http://schemas.microsoft.com/office/drawing/2014/main" id="{57AFFF92-F720-4FD1-A288-0AC6CE58BEA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7" name="Line 128">
              <a:extLst>
                <a:ext uri="{FF2B5EF4-FFF2-40B4-BE49-F238E27FC236}">
                  <a16:creationId xmlns:a16="http://schemas.microsoft.com/office/drawing/2014/main" id="{71F877BD-DEEB-4A5D-B2B4-C48226B9B40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8" name="Line 129">
              <a:extLst>
                <a:ext uri="{FF2B5EF4-FFF2-40B4-BE49-F238E27FC236}">
                  <a16:creationId xmlns:a16="http://schemas.microsoft.com/office/drawing/2014/main" id="{EC3D3955-73CF-4B31-8456-DA650D32797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9" name="Line 130">
              <a:extLst>
                <a:ext uri="{FF2B5EF4-FFF2-40B4-BE49-F238E27FC236}">
                  <a16:creationId xmlns:a16="http://schemas.microsoft.com/office/drawing/2014/main" id="{62BE6CB7-1879-4B4F-AEA4-86BFD112982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0" name="Line 131">
              <a:extLst>
                <a:ext uri="{FF2B5EF4-FFF2-40B4-BE49-F238E27FC236}">
                  <a16:creationId xmlns:a16="http://schemas.microsoft.com/office/drawing/2014/main" id="{19ED3CB4-98E0-4894-AE7A-13549C32070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1" name="Line 132">
              <a:extLst>
                <a:ext uri="{FF2B5EF4-FFF2-40B4-BE49-F238E27FC236}">
                  <a16:creationId xmlns:a16="http://schemas.microsoft.com/office/drawing/2014/main" id="{85A411A8-AD36-46FD-89C7-5E61AFD53DD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2" name="Line 133">
              <a:extLst>
                <a:ext uri="{FF2B5EF4-FFF2-40B4-BE49-F238E27FC236}">
                  <a16:creationId xmlns:a16="http://schemas.microsoft.com/office/drawing/2014/main" id="{75F245D7-41F7-4DDF-AA35-3D63C88952F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3" name="Line 134">
              <a:extLst>
                <a:ext uri="{FF2B5EF4-FFF2-40B4-BE49-F238E27FC236}">
                  <a16:creationId xmlns:a16="http://schemas.microsoft.com/office/drawing/2014/main" id="{1717F9F6-5CDA-4A9B-9516-4C39855D89B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4" name="Line 135">
              <a:extLst>
                <a:ext uri="{FF2B5EF4-FFF2-40B4-BE49-F238E27FC236}">
                  <a16:creationId xmlns:a16="http://schemas.microsoft.com/office/drawing/2014/main" id="{0D9576EC-EFCB-4AA0-B1CF-7E18112E6C8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5" name="Line 136">
              <a:extLst>
                <a:ext uri="{FF2B5EF4-FFF2-40B4-BE49-F238E27FC236}">
                  <a16:creationId xmlns:a16="http://schemas.microsoft.com/office/drawing/2014/main" id="{6AEFF8F5-541A-4B45-A797-6955BC66C37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6" name="Line 137">
              <a:extLst>
                <a:ext uri="{FF2B5EF4-FFF2-40B4-BE49-F238E27FC236}">
                  <a16:creationId xmlns:a16="http://schemas.microsoft.com/office/drawing/2014/main" id="{A4212AE6-78D6-441A-AC37-1284104F086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7" name="Line 138">
              <a:extLst>
                <a:ext uri="{FF2B5EF4-FFF2-40B4-BE49-F238E27FC236}">
                  <a16:creationId xmlns:a16="http://schemas.microsoft.com/office/drawing/2014/main" id="{C0EB14A4-F24B-4D77-B2FE-436D322BE47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8" name="Line 139">
              <a:extLst>
                <a:ext uri="{FF2B5EF4-FFF2-40B4-BE49-F238E27FC236}">
                  <a16:creationId xmlns:a16="http://schemas.microsoft.com/office/drawing/2014/main" id="{0FD065AC-0D7A-4964-AD41-370D8770D75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9" name="Line 140">
              <a:extLst>
                <a:ext uri="{FF2B5EF4-FFF2-40B4-BE49-F238E27FC236}">
                  <a16:creationId xmlns:a16="http://schemas.microsoft.com/office/drawing/2014/main" id="{408B2B29-1055-41C2-8293-EA7D54D0128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0" name="Line 141">
              <a:extLst>
                <a:ext uri="{FF2B5EF4-FFF2-40B4-BE49-F238E27FC236}">
                  <a16:creationId xmlns:a16="http://schemas.microsoft.com/office/drawing/2014/main" id="{96BD2D0E-CC18-48C4-A6C3-E13E7B30F6E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1" name="Line 142">
              <a:extLst>
                <a:ext uri="{FF2B5EF4-FFF2-40B4-BE49-F238E27FC236}">
                  <a16:creationId xmlns:a16="http://schemas.microsoft.com/office/drawing/2014/main" id="{A85E94A7-FF4F-4490-8313-C0568C83B99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2" name="Line 143">
              <a:extLst>
                <a:ext uri="{FF2B5EF4-FFF2-40B4-BE49-F238E27FC236}">
                  <a16:creationId xmlns:a16="http://schemas.microsoft.com/office/drawing/2014/main" id="{02B41E80-4A44-4877-B5A9-95B2C9FAEA3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3" name="Line 144">
              <a:extLst>
                <a:ext uri="{FF2B5EF4-FFF2-40B4-BE49-F238E27FC236}">
                  <a16:creationId xmlns:a16="http://schemas.microsoft.com/office/drawing/2014/main" id="{6D6A3064-06A0-4D84-840B-9C524589A37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4" name="Line 145">
              <a:extLst>
                <a:ext uri="{FF2B5EF4-FFF2-40B4-BE49-F238E27FC236}">
                  <a16:creationId xmlns:a16="http://schemas.microsoft.com/office/drawing/2014/main" id="{6BD87D5E-DA3C-44D3-ABF9-F39C887FC35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5" name="Line 146">
              <a:extLst>
                <a:ext uri="{FF2B5EF4-FFF2-40B4-BE49-F238E27FC236}">
                  <a16:creationId xmlns:a16="http://schemas.microsoft.com/office/drawing/2014/main" id="{FCB84D64-1452-4C0C-B7F8-A6201429F41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6" name="Line 147">
              <a:extLst>
                <a:ext uri="{FF2B5EF4-FFF2-40B4-BE49-F238E27FC236}">
                  <a16:creationId xmlns:a16="http://schemas.microsoft.com/office/drawing/2014/main" id="{74E69A2D-4EF6-4670-88F9-071AEE1CB96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7" name="Line 148">
              <a:extLst>
                <a:ext uri="{FF2B5EF4-FFF2-40B4-BE49-F238E27FC236}">
                  <a16:creationId xmlns:a16="http://schemas.microsoft.com/office/drawing/2014/main" id="{1E76EC1C-6B42-4FDC-9D25-1F817711C59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8" name="Line 149">
              <a:extLst>
                <a:ext uri="{FF2B5EF4-FFF2-40B4-BE49-F238E27FC236}">
                  <a16:creationId xmlns:a16="http://schemas.microsoft.com/office/drawing/2014/main" id="{E78BCF4A-29CD-4C9F-8676-7AA45325D23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9" name="Line 150">
              <a:extLst>
                <a:ext uri="{FF2B5EF4-FFF2-40B4-BE49-F238E27FC236}">
                  <a16:creationId xmlns:a16="http://schemas.microsoft.com/office/drawing/2014/main" id="{8A2E34B9-737A-4C6C-9700-8133AF8181F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0" name="Line 151">
              <a:extLst>
                <a:ext uri="{FF2B5EF4-FFF2-40B4-BE49-F238E27FC236}">
                  <a16:creationId xmlns:a16="http://schemas.microsoft.com/office/drawing/2014/main" id="{48CA893F-02E3-4C45-845B-F05FD1AF05B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1" name="Line 152">
              <a:extLst>
                <a:ext uri="{FF2B5EF4-FFF2-40B4-BE49-F238E27FC236}">
                  <a16:creationId xmlns:a16="http://schemas.microsoft.com/office/drawing/2014/main" id="{6517F881-361A-4CE5-B017-A71C3A40B8F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2" name="Line 153">
              <a:extLst>
                <a:ext uri="{FF2B5EF4-FFF2-40B4-BE49-F238E27FC236}">
                  <a16:creationId xmlns:a16="http://schemas.microsoft.com/office/drawing/2014/main" id="{47C17903-32A9-42A5-BA16-C8FE6996B91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3" name="Line 154">
              <a:extLst>
                <a:ext uri="{FF2B5EF4-FFF2-40B4-BE49-F238E27FC236}">
                  <a16:creationId xmlns:a16="http://schemas.microsoft.com/office/drawing/2014/main" id="{5854F77C-3109-41D5-8B8E-44428B37E0B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4" name="Line 155">
              <a:extLst>
                <a:ext uri="{FF2B5EF4-FFF2-40B4-BE49-F238E27FC236}">
                  <a16:creationId xmlns:a16="http://schemas.microsoft.com/office/drawing/2014/main" id="{4F7F3612-12BC-414A-9587-AD5E67D0312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5" name="Line 156">
              <a:extLst>
                <a:ext uri="{FF2B5EF4-FFF2-40B4-BE49-F238E27FC236}">
                  <a16:creationId xmlns:a16="http://schemas.microsoft.com/office/drawing/2014/main" id="{208EAFA8-71E7-4802-B096-FD0A3EEA768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6" name="Line 157">
              <a:extLst>
                <a:ext uri="{FF2B5EF4-FFF2-40B4-BE49-F238E27FC236}">
                  <a16:creationId xmlns:a16="http://schemas.microsoft.com/office/drawing/2014/main" id="{A989B1C5-0CF8-4ED3-9EE1-6F824553B68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7" name="Line 158">
              <a:extLst>
                <a:ext uri="{FF2B5EF4-FFF2-40B4-BE49-F238E27FC236}">
                  <a16:creationId xmlns:a16="http://schemas.microsoft.com/office/drawing/2014/main" id="{1CDF95E2-F960-48AB-BC73-35C043F1EAB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8" name="Line 159">
              <a:extLst>
                <a:ext uri="{FF2B5EF4-FFF2-40B4-BE49-F238E27FC236}">
                  <a16:creationId xmlns:a16="http://schemas.microsoft.com/office/drawing/2014/main" id="{795FEAEB-E594-4D4C-9884-D9F33FF447B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9" name="Line 160">
              <a:extLst>
                <a:ext uri="{FF2B5EF4-FFF2-40B4-BE49-F238E27FC236}">
                  <a16:creationId xmlns:a16="http://schemas.microsoft.com/office/drawing/2014/main" id="{A64B6E02-96E5-43F3-925C-BE5BAC43BA2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0" name="Line 161">
              <a:extLst>
                <a:ext uri="{FF2B5EF4-FFF2-40B4-BE49-F238E27FC236}">
                  <a16:creationId xmlns:a16="http://schemas.microsoft.com/office/drawing/2014/main" id="{E45A8BBA-B115-4503-B5CC-16EBA618E22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1" name="Line 162">
              <a:extLst>
                <a:ext uri="{FF2B5EF4-FFF2-40B4-BE49-F238E27FC236}">
                  <a16:creationId xmlns:a16="http://schemas.microsoft.com/office/drawing/2014/main" id="{4B5B66F1-75A3-4C8C-A14A-0ABD20A9798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2" name="Line 163">
              <a:extLst>
                <a:ext uri="{FF2B5EF4-FFF2-40B4-BE49-F238E27FC236}">
                  <a16:creationId xmlns:a16="http://schemas.microsoft.com/office/drawing/2014/main" id="{AC85F200-AD60-4E87-86E5-BE7F46578FE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3" name="Line 164">
              <a:extLst>
                <a:ext uri="{FF2B5EF4-FFF2-40B4-BE49-F238E27FC236}">
                  <a16:creationId xmlns:a16="http://schemas.microsoft.com/office/drawing/2014/main" id="{813C4842-2B42-4718-9407-E808BC1C3D7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4" name="Line 165">
              <a:extLst>
                <a:ext uri="{FF2B5EF4-FFF2-40B4-BE49-F238E27FC236}">
                  <a16:creationId xmlns:a16="http://schemas.microsoft.com/office/drawing/2014/main" id="{77583137-BD0A-45F0-9323-4866118033F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5" name="Line 166">
              <a:extLst>
                <a:ext uri="{FF2B5EF4-FFF2-40B4-BE49-F238E27FC236}">
                  <a16:creationId xmlns:a16="http://schemas.microsoft.com/office/drawing/2014/main" id="{9718DEE0-21CA-4481-A75B-101C4FFFD27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6" name="Line 167">
              <a:extLst>
                <a:ext uri="{FF2B5EF4-FFF2-40B4-BE49-F238E27FC236}">
                  <a16:creationId xmlns:a16="http://schemas.microsoft.com/office/drawing/2014/main" id="{C6A4DFBD-6758-4809-98A2-68E7398F1BA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7" name="Line 168">
              <a:extLst>
                <a:ext uri="{FF2B5EF4-FFF2-40B4-BE49-F238E27FC236}">
                  <a16:creationId xmlns:a16="http://schemas.microsoft.com/office/drawing/2014/main" id="{4BBD04AC-825D-43A8-8BEC-0B884DAD1CD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8" name="Line 169">
              <a:extLst>
                <a:ext uri="{FF2B5EF4-FFF2-40B4-BE49-F238E27FC236}">
                  <a16:creationId xmlns:a16="http://schemas.microsoft.com/office/drawing/2014/main" id="{43860092-11EA-4428-84B0-9BFF3CA90A7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9" name="Line 170">
              <a:extLst>
                <a:ext uri="{FF2B5EF4-FFF2-40B4-BE49-F238E27FC236}">
                  <a16:creationId xmlns:a16="http://schemas.microsoft.com/office/drawing/2014/main" id="{38D67294-55EF-48DF-BB10-51D04185684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0" name="Line 171">
              <a:extLst>
                <a:ext uri="{FF2B5EF4-FFF2-40B4-BE49-F238E27FC236}">
                  <a16:creationId xmlns:a16="http://schemas.microsoft.com/office/drawing/2014/main" id="{B7820CE7-C4B2-4BB6-8F8F-C97B6206BA4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33" y="202"/>
              <a:ext cx="95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1" name="Freeform 172">
              <a:extLst>
                <a:ext uri="{FF2B5EF4-FFF2-40B4-BE49-F238E27FC236}">
                  <a16:creationId xmlns:a16="http://schemas.microsoft.com/office/drawing/2014/main" id="{7097F47A-3862-4256-9231-56314449F0C6}"/>
                </a:ext>
              </a:extLst>
            </xdr:cNvPr>
            <xdr:cNvSpPr>
              <a:spLocks/>
            </xdr:cNvSpPr>
          </xdr:nvSpPr>
          <xdr:spPr bwMode="auto">
            <a:xfrm>
              <a:off x="821" y="188"/>
              <a:ext cx="6" cy="9"/>
            </a:xfrm>
            <a:custGeom>
              <a:avLst/>
              <a:gdLst>
                <a:gd name="T0" fmla="*/ 0 w 351"/>
                <a:gd name="T1" fmla="*/ 526 h 526"/>
                <a:gd name="T2" fmla="*/ 0 w 351"/>
                <a:gd name="T3" fmla="*/ 351 h 526"/>
                <a:gd name="T4" fmla="*/ 176 w 351"/>
                <a:gd name="T5" fmla="*/ 0 h 526"/>
                <a:gd name="T6" fmla="*/ 351 w 351"/>
                <a:gd name="T7" fmla="*/ 351 h 526"/>
                <a:gd name="T8" fmla="*/ 351 w 351"/>
                <a:gd name="T9" fmla="*/ 526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526">
                  <a:moveTo>
                    <a:pt x="0" y="526"/>
                  </a:moveTo>
                  <a:lnTo>
                    <a:pt x="0" y="351"/>
                  </a:lnTo>
                  <a:lnTo>
                    <a:pt x="176" y="0"/>
                  </a:lnTo>
                  <a:lnTo>
                    <a:pt x="351" y="351"/>
                  </a:lnTo>
                  <a:lnTo>
                    <a:pt x="351" y="526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62" name="Line 173">
              <a:extLst>
                <a:ext uri="{FF2B5EF4-FFF2-40B4-BE49-F238E27FC236}">
                  <a16:creationId xmlns:a16="http://schemas.microsoft.com/office/drawing/2014/main" id="{1264B2F6-E0F1-465B-B44C-D6D8D4FE5A0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1" y="194"/>
              <a:ext cx="6" cy="0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3" name="Freeform 174">
              <a:extLst>
                <a:ext uri="{FF2B5EF4-FFF2-40B4-BE49-F238E27FC236}">
                  <a16:creationId xmlns:a16="http://schemas.microsoft.com/office/drawing/2014/main" id="{AC055255-5513-49EE-9A64-90B925CFD92F}"/>
                </a:ext>
              </a:extLst>
            </xdr:cNvPr>
            <xdr:cNvSpPr>
              <a:spLocks/>
            </xdr:cNvSpPr>
          </xdr:nvSpPr>
          <xdr:spPr bwMode="auto">
            <a:xfrm>
              <a:off x="833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4" name="Freeform 175">
              <a:extLst>
                <a:ext uri="{FF2B5EF4-FFF2-40B4-BE49-F238E27FC236}">
                  <a16:creationId xmlns:a16="http://schemas.microsoft.com/office/drawing/2014/main" id="{1485FFB1-7619-4617-8E4C-111DF6307812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5" name="Freeform 176">
              <a:extLst>
                <a:ext uri="{FF2B5EF4-FFF2-40B4-BE49-F238E27FC236}">
                  <a16:creationId xmlns:a16="http://schemas.microsoft.com/office/drawing/2014/main" id="{1A0A3338-D071-4804-9A2E-23BDB4BD1828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1" cy="2"/>
            </a:xfrm>
            <a:custGeom>
              <a:avLst/>
              <a:gdLst>
                <a:gd name="T0" fmla="*/ 53 w 53"/>
                <a:gd name="T1" fmla="*/ 14 h 106"/>
                <a:gd name="T2" fmla="*/ 0 w 53"/>
                <a:gd name="T3" fmla="*/ 0 h 106"/>
                <a:gd name="T4" fmla="*/ 0 w 53"/>
                <a:gd name="T5" fmla="*/ 106 h 106"/>
                <a:gd name="T6" fmla="*/ 53 w 53"/>
                <a:gd name="T7" fmla="*/ 14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14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53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6" name="Freeform 177">
              <a:extLst>
                <a:ext uri="{FF2B5EF4-FFF2-40B4-BE49-F238E27FC236}">
                  <a16:creationId xmlns:a16="http://schemas.microsoft.com/office/drawing/2014/main" id="{89F57E51-B492-4C14-B62B-EC0911B5B4AE}"/>
                </a:ext>
              </a:extLst>
            </xdr:cNvPr>
            <xdr:cNvSpPr>
              <a:spLocks/>
            </xdr:cNvSpPr>
          </xdr:nvSpPr>
          <xdr:spPr bwMode="auto">
            <a:xfrm>
              <a:off x="832" y="200"/>
              <a:ext cx="1" cy="2"/>
            </a:xfrm>
            <a:custGeom>
              <a:avLst/>
              <a:gdLst>
                <a:gd name="T0" fmla="*/ 53 w 53"/>
                <a:gd name="T1" fmla="*/ 0 h 106"/>
                <a:gd name="T2" fmla="*/ 0 w 53"/>
                <a:gd name="T3" fmla="*/ 14 h 106"/>
                <a:gd name="T4" fmla="*/ 53 w 53"/>
                <a:gd name="T5" fmla="*/ 106 h 106"/>
                <a:gd name="T6" fmla="*/ 53 w 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0"/>
                  </a:moveTo>
                  <a:lnTo>
                    <a:pt x="0" y="14"/>
                  </a:lnTo>
                  <a:lnTo>
                    <a:pt x="53" y="106"/>
                  </a:lnTo>
                  <a:lnTo>
                    <a:pt x="5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7" name="Freeform 178">
              <a:extLst>
                <a:ext uri="{FF2B5EF4-FFF2-40B4-BE49-F238E27FC236}">
                  <a16:creationId xmlns:a16="http://schemas.microsoft.com/office/drawing/2014/main" id="{6B24D577-D20A-4833-8E77-7672D8A8EDED}"/>
                </a:ext>
              </a:extLst>
            </xdr:cNvPr>
            <xdr:cNvSpPr>
              <a:spLocks/>
            </xdr:cNvSpPr>
          </xdr:nvSpPr>
          <xdr:spPr bwMode="auto">
            <a:xfrm>
              <a:off x="831" y="200"/>
              <a:ext cx="2" cy="2"/>
            </a:xfrm>
            <a:custGeom>
              <a:avLst/>
              <a:gdLst>
                <a:gd name="T0" fmla="*/ 38 w 91"/>
                <a:gd name="T1" fmla="*/ 0 h 92"/>
                <a:gd name="T2" fmla="*/ 0 w 91"/>
                <a:gd name="T3" fmla="*/ 39 h 92"/>
                <a:gd name="T4" fmla="*/ 91 w 91"/>
                <a:gd name="T5" fmla="*/ 92 h 92"/>
                <a:gd name="T6" fmla="*/ 38 w 91"/>
                <a:gd name="T7" fmla="*/ 0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38" y="0"/>
                  </a:moveTo>
                  <a:lnTo>
                    <a:pt x="0" y="39"/>
                  </a:lnTo>
                  <a:lnTo>
                    <a:pt x="91" y="92"/>
                  </a:lnTo>
                  <a:lnTo>
                    <a:pt x="3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8" name="Freeform 179">
              <a:extLst>
                <a:ext uri="{FF2B5EF4-FFF2-40B4-BE49-F238E27FC236}">
                  <a16:creationId xmlns:a16="http://schemas.microsoft.com/office/drawing/2014/main" id="{6913C9BE-21B5-45A8-B394-F033FE0DE17D}"/>
                </a:ext>
              </a:extLst>
            </xdr:cNvPr>
            <xdr:cNvSpPr>
              <a:spLocks/>
            </xdr:cNvSpPr>
          </xdr:nvSpPr>
          <xdr:spPr bwMode="auto">
            <a:xfrm>
              <a:off x="831" y="201"/>
              <a:ext cx="2" cy="1"/>
            </a:xfrm>
            <a:custGeom>
              <a:avLst/>
              <a:gdLst>
                <a:gd name="T0" fmla="*/ 14 w 105"/>
                <a:gd name="T1" fmla="*/ 0 h 53"/>
                <a:gd name="T2" fmla="*/ 0 w 105"/>
                <a:gd name="T3" fmla="*/ 53 h 53"/>
                <a:gd name="T4" fmla="*/ 105 w 105"/>
                <a:gd name="T5" fmla="*/ 53 h 53"/>
                <a:gd name="T6" fmla="*/ 14 w 105"/>
                <a:gd name="T7" fmla="*/ 0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4" y="0"/>
                  </a:moveTo>
                  <a:lnTo>
                    <a:pt x="0" y="53"/>
                  </a:lnTo>
                  <a:lnTo>
                    <a:pt x="105" y="53"/>
                  </a:lnTo>
                  <a:lnTo>
                    <a:pt x="1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9" name="Freeform 180">
              <a:extLst>
                <a:ext uri="{FF2B5EF4-FFF2-40B4-BE49-F238E27FC236}">
                  <a16:creationId xmlns:a16="http://schemas.microsoft.com/office/drawing/2014/main" id="{F60C2CC7-B0CE-459A-97C1-12AA1C2549A1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105"/>
                <a:gd name="T1" fmla="*/ 0 h 52"/>
                <a:gd name="T2" fmla="*/ 14 w 105"/>
                <a:gd name="T3" fmla="*/ 52 h 52"/>
                <a:gd name="T4" fmla="*/ 105 w 105"/>
                <a:gd name="T5" fmla="*/ 0 h 52"/>
                <a:gd name="T6" fmla="*/ 0 w 105"/>
                <a:gd name="T7" fmla="*/ 0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0" y="0"/>
                  </a:moveTo>
                  <a:lnTo>
                    <a:pt x="14" y="52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0" name="Freeform 181">
              <a:extLst>
                <a:ext uri="{FF2B5EF4-FFF2-40B4-BE49-F238E27FC236}">
                  <a16:creationId xmlns:a16="http://schemas.microsoft.com/office/drawing/2014/main" id="{15AE2EDE-56F2-4CA6-8DAE-B8BFA3DD25A4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91"/>
                <a:gd name="T1" fmla="*/ 52 h 91"/>
                <a:gd name="T2" fmla="*/ 38 w 91"/>
                <a:gd name="T3" fmla="*/ 91 h 91"/>
                <a:gd name="T4" fmla="*/ 91 w 91"/>
                <a:gd name="T5" fmla="*/ 0 h 91"/>
                <a:gd name="T6" fmla="*/ 0 w 91"/>
                <a:gd name="T7" fmla="*/ 52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0" y="52"/>
                  </a:moveTo>
                  <a:lnTo>
                    <a:pt x="38" y="91"/>
                  </a:lnTo>
                  <a:lnTo>
                    <a:pt x="91" y="0"/>
                  </a:lnTo>
                  <a:lnTo>
                    <a:pt x="0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1" name="Freeform 182">
              <a:extLst>
                <a:ext uri="{FF2B5EF4-FFF2-40B4-BE49-F238E27FC236}">
                  <a16:creationId xmlns:a16="http://schemas.microsoft.com/office/drawing/2014/main" id="{C0F7F11B-DD42-40D4-AA5A-8056ED2F2B28}"/>
                </a:ext>
              </a:extLst>
            </xdr:cNvPr>
            <xdr:cNvSpPr>
              <a:spLocks/>
            </xdr:cNvSpPr>
          </xdr:nvSpPr>
          <xdr:spPr bwMode="auto">
            <a:xfrm>
              <a:off x="832" y="202"/>
              <a:ext cx="1" cy="2"/>
            </a:xfrm>
            <a:custGeom>
              <a:avLst/>
              <a:gdLst>
                <a:gd name="T0" fmla="*/ 0 w 53"/>
                <a:gd name="T1" fmla="*/ 91 h 105"/>
                <a:gd name="T2" fmla="*/ 53 w 53"/>
                <a:gd name="T3" fmla="*/ 105 h 105"/>
                <a:gd name="T4" fmla="*/ 53 w 53"/>
                <a:gd name="T5" fmla="*/ 0 h 105"/>
                <a:gd name="T6" fmla="*/ 0 w 53"/>
                <a:gd name="T7" fmla="*/ 9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91"/>
                  </a:moveTo>
                  <a:lnTo>
                    <a:pt x="53" y="105"/>
                  </a:lnTo>
                  <a:lnTo>
                    <a:pt x="53" y="0"/>
                  </a:lnTo>
                  <a:lnTo>
                    <a:pt x="0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2" name="Freeform 183">
              <a:extLst>
                <a:ext uri="{FF2B5EF4-FFF2-40B4-BE49-F238E27FC236}">
                  <a16:creationId xmlns:a16="http://schemas.microsoft.com/office/drawing/2014/main" id="{74BB2050-0092-4422-8E75-DB81D0CA2598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1" cy="2"/>
            </a:xfrm>
            <a:custGeom>
              <a:avLst/>
              <a:gdLst>
                <a:gd name="T0" fmla="*/ 0 w 53"/>
                <a:gd name="T1" fmla="*/ 105 h 105"/>
                <a:gd name="T2" fmla="*/ 53 w 53"/>
                <a:gd name="T3" fmla="*/ 91 h 105"/>
                <a:gd name="T4" fmla="*/ 0 w 53"/>
                <a:gd name="T5" fmla="*/ 0 h 105"/>
                <a:gd name="T6" fmla="*/ 0 w 53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105"/>
                  </a:moveTo>
                  <a:lnTo>
                    <a:pt x="53" y="91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3" name="Freeform 184">
              <a:extLst>
                <a:ext uri="{FF2B5EF4-FFF2-40B4-BE49-F238E27FC236}">
                  <a16:creationId xmlns:a16="http://schemas.microsoft.com/office/drawing/2014/main" id="{8F983A7F-C09D-4982-9E42-B46C558EDD8B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53 w 91"/>
                <a:gd name="T1" fmla="*/ 91 h 91"/>
                <a:gd name="T2" fmla="*/ 91 w 91"/>
                <a:gd name="T3" fmla="*/ 52 h 91"/>
                <a:gd name="T4" fmla="*/ 0 w 91"/>
                <a:gd name="T5" fmla="*/ 0 h 91"/>
                <a:gd name="T6" fmla="*/ 53 w 91"/>
                <a:gd name="T7" fmla="*/ 91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53" y="91"/>
                  </a:moveTo>
                  <a:lnTo>
                    <a:pt x="91" y="52"/>
                  </a:lnTo>
                  <a:lnTo>
                    <a:pt x="0" y="0"/>
                  </a:lnTo>
                  <a:lnTo>
                    <a:pt x="53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4" name="Freeform 185">
              <a:extLst>
                <a:ext uri="{FF2B5EF4-FFF2-40B4-BE49-F238E27FC236}">
                  <a16:creationId xmlns:a16="http://schemas.microsoft.com/office/drawing/2014/main" id="{A7486A6B-875C-410E-A29C-3FABF34F3A94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91 w 105"/>
                <a:gd name="T1" fmla="*/ 52 h 52"/>
                <a:gd name="T2" fmla="*/ 105 w 105"/>
                <a:gd name="T3" fmla="*/ 0 h 52"/>
                <a:gd name="T4" fmla="*/ 0 w 105"/>
                <a:gd name="T5" fmla="*/ 0 h 52"/>
                <a:gd name="T6" fmla="*/ 91 w 105"/>
                <a:gd name="T7" fmla="*/ 52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91" y="52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91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5" name="Freeform 186">
              <a:extLst>
                <a:ext uri="{FF2B5EF4-FFF2-40B4-BE49-F238E27FC236}">
                  <a16:creationId xmlns:a16="http://schemas.microsoft.com/office/drawing/2014/main" id="{F55E2F9D-409B-4A5D-9FF1-00F0156350B8}"/>
                </a:ext>
              </a:extLst>
            </xdr:cNvPr>
            <xdr:cNvSpPr>
              <a:spLocks/>
            </xdr:cNvSpPr>
          </xdr:nvSpPr>
          <xdr:spPr bwMode="auto">
            <a:xfrm>
              <a:off x="916" y="192"/>
              <a:ext cx="6" cy="5"/>
            </a:xfrm>
            <a:custGeom>
              <a:avLst/>
              <a:gdLst>
                <a:gd name="T0" fmla="*/ 0 w 351"/>
                <a:gd name="T1" fmla="*/ 263 h 263"/>
                <a:gd name="T2" fmla="*/ 263 w 351"/>
                <a:gd name="T3" fmla="*/ 263 h 263"/>
                <a:gd name="T4" fmla="*/ 351 w 351"/>
                <a:gd name="T5" fmla="*/ 176 h 263"/>
                <a:gd name="T6" fmla="*/ 351 w 351"/>
                <a:gd name="T7" fmla="*/ 88 h 263"/>
                <a:gd name="T8" fmla="*/ 263 w 351"/>
                <a:gd name="T9" fmla="*/ 0 h 263"/>
                <a:gd name="T10" fmla="*/ 88 w 351"/>
                <a:gd name="T11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263">
                  <a:moveTo>
                    <a:pt x="0" y="263"/>
                  </a:moveTo>
                  <a:lnTo>
                    <a:pt x="263" y="263"/>
                  </a:lnTo>
                  <a:lnTo>
                    <a:pt x="351" y="176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88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6" name="Freeform 187">
              <a:extLst>
                <a:ext uri="{FF2B5EF4-FFF2-40B4-BE49-F238E27FC236}">
                  <a16:creationId xmlns:a16="http://schemas.microsoft.com/office/drawing/2014/main" id="{B17AF4EA-C09F-49E8-8CAD-BFA51B6A26CD}"/>
                </a:ext>
              </a:extLst>
            </xdr:cNvPr>
            <xdr:cNvSpPr>
              <a:spLocks/>
            </xdr:cNvSpPr>
          </xdr:nvSpPr>
          <xdr:spPr bwMode="auto">
            <a:xfrm>
              <a:off x="916" y="188"/>
              <a:ext cx="6" cy="4"/>
            </a:xfrm>
            <a:custGeom>
              <a:avLst/>
              <a:gdLst>
                <a:gd name="T0" fmla="*/ 263 w 351"/>
                <a:gd name="T1" fmla="*/ 263 h 263"/>
                <a:gd name="T2" fmla="*/ 351 w 351"/>
                <a:gd name="T3" fmla="*/ 175 h 263"/>
                <a:gd name="T4" fmla="*/ 351 w 351"/>
                <a:gd name="T5" fmla="*/ 88 h 263"/>
                <a:gd name="T6" fmla="*/ 263 w 351"/>
                <a:gd name="T7" fmla="*/ 0 h 263"/>
                <a:gd name="T8" fmla="*/ 0 w 351"/>
                <a:gd name="T9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263">
                  <a:moveTo>
                    <a:pt x="263" y="263"/>
                  </a:moveTo>
                  <a:lnTo>
                    <a:pt x="351" y="175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7" name="Line 188">
              <a:extLst>
                <a:ext uri="{FF2B5EF4-FFF2-40B4-BE49-F238E27FC236}">
                  <a16:creationId xmlns:a16="http://schemas.microsoft.com/office/drawing/2014/main" id="{FCA1F519-1FAC-4327-A8A4-FF49A78ADC4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18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8" name="Freeform 189">
              <a:extLst>
                <a:ext uri="{FF2B5EF4-FFF2-40B4-BE49-F238E27FC236}">
                  <a16:creationId xmlns:a16="http://schemas.microsoft.com/office/drawing/2014/main" id="{8240753C-DDCA-472E-B91C-7F86D15826BC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7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7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9" name="Freeform 190">
              <a:extLst>
                <a:ext uri="{FF2B5EF4-FFF2-40B4-BE49-F238E27FC236}">
                  <a16:creationId xmlns:a16="http://schemas.microsoft.com/office/drawing/2014/main" id="{7742101F-2551-4A51-952E-697414B0DDF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8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8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8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0" name="Freeform 191">
              <a:extLst>
                <a:ext uri="{FF2B5EF4-FFF2-40B4-BE49-F238E27FC236}">
                  <a16:creationId xmlns:a16="http://schemas.microsoft.com/office/drawing/2014/main" id="{84557930-3C0A-4CB1-8BC5-1615999D8FBE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4 w 104"/>
                <a:gd name="T1" fmla="*/ 7 h 22"/>
                <a:gd name="T2" fmla="*/ 103 w 104"/>
                <a:gd name="T3" fmla="*/ 0 h 22"/>
                <a:gd name="T4" fmla="*/ 0 w 104"/>
                <a:gd name="T5" fmla="*/ 22 h 22"/>
                <a:gd name="T6" fmla="*/ 104 w 104"/>
                <a:gd name="T7" fmla="*/ 7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4" y="7"/>
                  </a:moveTo>
                  <a:lnTo>
                    <a:pt x="103" y="0"/>
                  </a:lnTo>
                  <a:lnTo>
                    <a:pt x="0" y="22"/>
                  </a:lnTo>
                  <a:lnTo>
                    <a:pt x="104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1" name="Freeform 192">
              <a:extLst>
                <a:ext uri="{FF2B5EF4-FFF2-40B4-BE49-F238E27FC236}">
                  <a16:creationId xmlns:a16="http://schemas.microsoft.com/office/drawing/2014/main" id="{D25F500F-EC43-42E6-B17E-8A2ED8181D4D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3 w 103"/>
                <a:gd name="T1" fmla="*/ 7 h 29"/>
                <a:gd name="T2" fmla="*/ 102 w 103"/>
                <a:gd name="T3" fmla="*/ 0 h 29"/>
                <a:gd name="T4" fmla="*/ 0 w 103"/>
                <a:gd name="T5" fmla="*/ 29 h 29"/>
                <a:gd name="T6" fmla="*/ 103 w 103"/>
                <a:gd name="T7" fmla="*/ 7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3" y="7"/>
                  </a:moveTo>
                  <a:lnTo>
                    <a:pt x="102" y="0"/>
                  </a:lnTo>
                  <a:lnTo>
                    <a:pt x="0" y="29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2" name="Freeform 193">
              <a:extLst>
                <a:ext uri="{FF2B5EF4-FFF2-40B4-BE49-F238E27FC236}">
                  <a16:creationId xmlns:a16="http://schemas.microsoft.com/office/drawing/2014/main" id="{7BDC054B-CBE3-4905-8A51-9CA119FA9FF0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2 w 102"/>
                <a:gd name="T1" fmla="*/ 7 h 36"/>
                <a:gd name="T2" fmla="*/ 99 w 102"/>
                <a:gd name="T3" fmla="*/ 0 h 36"/>
                <a:gd name="T4" fmla="*/ 0 w 102"/>
                <a:gd name="T5" fmla="*/ 36 h 36"/>
                <a:gd name="T6" fmla="*/ 102 w 102"/>
                <a:gd name="T7" fmla="*/ 7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6">
                  <a:moveTo>
                    <a:pt x="102" y="7"/>
                  </a:moveTo>
                  <a:lnTo>
                    <a:pt x="99" y="0"/>
                  </a:lnTo>
                  <a:lnTo>
                    <a:pt x="0" y="36"/>
                  </a:lnTo>
                  <a:lnTo>
                    <a:pt x="102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3" name="Freeform 194">
              <a:extLst>
                <a:ext uri="{FF2B5EF4-FFF2-40B4-BE49-F238E27FC236}">
                  <a16:creationId xmlns:a16="http://schemas.microsoft.com/office/drawing/2014/main" id="{53472D6C-2144-453F-82B9-D7FA0AE8CBAA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9 w 99"/>
                <a:gd name="T1" fmla="*/ 6 h 42"/>
                <a:gd name="T2" fmla="*/ 97 w 99"/>
                <a:gd name="T3" fmla="*/ 0 h 42"/>
                <a:gd name="T4" fmla="*/ 0 w 99"/>
                <a:gd name="T5" fmla="*/ 42 h 42"/>
                <a:gd name="T6" fmla="*/ 99 w 99"/>
                <a:gd name="T7" fmla="*/ 6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9" y="6"/>
                  </a:moveTo>
                  <a:lnTo>
                    <a:pt x="97" y="0"/>
                  </a:lnTo>
                  <a:lnTo>
                    <a:pt x="0" y="42"/>
                  </a:lnTo>
                  <a:lnTo>
                    <a:pt x="9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4" name="Freeform 195">
              <a:extLst>
                <a:ext uri="{FF2B5EF4-FFF2-40B4-BE49-F238E27FC236}">
                  <a16:creationId xmlns:a16="http://schemas.microsoft.com/office/drawing/2014/main" id="{393383F3-0DF3-405B-AE7D-CBD8C3310744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7 w 97"/>
                <a:gd name="T1" fmla="*/ 7 h 49"/>
                <a:gd name="T2" fmla="*/ 94 w 97"/>
                <a:gd name="T3" fmla="*/ 0 h 49"/>
                <a:gd name="T4" fmla="*/ 0 w 97"/>
                <a:gd name="T5" fmla="*/ 49 h 49"/>
                <a:gd name="T6" fmla="*/ 97 w 97"/>
                <a:gd name="T7" fmla="*/ 7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9">
                  <a:moveTo>
                    <a:pt x="97" y="7"/>
                  </a:moveTo>
                  <a:lnTo>
                    <a:pt x="94" y="0"/>
                  </a:lnTo>
                  <a:lnTo>
                    <a:pt x="0" y="49"/>
                  </a:lnTo>
                  <a:lnTo>
                    <a:pt x="97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5" name="Freeform 196">
              <a:extLst>
                <a:ext uri="{FF2B5EF4-FFF2-40B4-BE49-F238E27FC236}">
                  <a16:creationId xmlns:a16="http://schemas.microsoft.com/office/drawing/2014/main" id="{3E9D8B3A-C9ED-4413-8F55-A6E9439395EA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4 w 94"/>
                <a:gd name="T1" fmla="*/ 6 h 55"/>
                <a:gd name="T2" fmla="*/ 90 w 94"/>
                <a:gd name="T3" fmla="*/ 0 h 55"/>
                <a:gd name="T4" fmla="*/ 0 w 94"/>
                <a:gd name="T5" fmla="*/ 55 h 55"/>
                <a:gd name="T6" fmla="*/ 94 w 94"/>
                <a:gd name="T7" fmla="*/ 6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5">
                  <a:moveTo>
                    <a:pt x="94" y="6"/>
                  </a:moveTo>
                  <a:lnTo>
                    <a:pt x="90" y="0"/>
                  </a:lnTo>
                  <a:lnTo>
                    <a:pt x="0" y="55"/>
                  </a:lnTo>
                  <a:lnTo>
                    <a:pt x="9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6" name="Freeform 197">
              <a:extLst>
                <a:ext uri="{FF2B5EF4-FFF2-40B4-BE49-F238E27FC236}">
                  <a16:creationId xmlns:a16="http://schemas.microsoft.com/office/drawing/2014/main" id="{30A384F4-A6D4-49ED-ABD3-F953E5474B51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0 w 90"/>
                <a:gd name="T1" fmla="*/ 6 h 61"/>
                <a:gd name="T2" fmla="*/ 86 w 90"/>
                <a:gd name="T3" fmla="*/ 0 h 61"/>
                <a:gd name="T4" fmla="*/ 0 w 90"/>
                <a:gd name="T5" fmla="*/ 61 h 61"/>
                <a:gd name="T6" fmla="*/ 90 w 90"/>
                <a:gd name="T7" fmla="*/ 6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90" y="6"/>
                  </a:moveTo>
                  <a:lnTo>
                    <a:pt x="86" y="0"/>
                  </a:lnTo>
                  <a:lnTo>
                    <a:pt x="0" y="61"/>
                  </a:lnTo>
                  <a:lnTo>
                    <a:pt x="90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7" name="Freeform 198">
              <a:extLst>
                <a:ext uri="{FF2B5EF4-FFF2-40B4-BE49-F238E27FC236}">
                  <a16:creationId xmlns:a16="http://schemas.microsoft.com/office/drawing/2014/main" id="{8C6306C9-7B1D-467F-9589-D6D641ED08A7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6 w 86"/>
                <a:gd name="T1" fmla="*/ 6 h 67"/>
                <a:gd name="T2" fmla="*/ 82 w 86"/>
                <a:gd name="T3" fmla="*/ 0 h 67"/>
                <a:gd name="T4" fmla="*/ 0 w 86"/>
                <a:gd name="T5" fmla="*/ 67 h 67"/>
                <a:gd name="T6" fmla="*/ 86 w 86"/>
                <a:gd name="T7" fmla="*/ 6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86" y="6"/>
                  </a:moveTo>
                  <a:lnTo>
                    <a:pt x="82" y="0"/>
                  </a:lnTo>
                  <a:lnTo>
                    <a:pt x="0" y="67"/>
                  </a:lnTo>
                  <a:lnTo>
                    <a:pt x="86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8" name="Freeform 199">
              <a:extLst>
                <a:ext uri="{FF2B5EF4-FFF2-40B4-BE49-F238E27FC236}">
                  <a16:creationId xmlns:a16="http://schemas.microsoft.com/office/drawing/2014/main" id="{E585421B-519A-46B1-9F44-A5D3A77C5376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2 w 82"/>
                <a:gd name="T1" fmla="*/ 5 h 72"/>
                <a:gd name="T2" fmla="*/ 77 w 82"/>
                <a:gd name="T3" fmla="*/ 0 h 72"/>
                <a:gd name="T4" fmla="*/ 0 w 82"/>
                <a:gd name="T5" fmla="*/ 72 h 72"/>
                <a:gd name="T6" fmla="*/ 82 w 82"/>
                <a:gd name="T7" fmla="*/ 5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82" y="5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9" name="Freeform 200">
              <a:extLst>
                <a:ext uri="{FF2B5EF4-FFF2-40B4-BE49-F238E27FC236}">
                  <a16:creationId xmlns:a16="http://schemas.microsoft.com/office/drawing/2014/main" id="{4FDF6D7A-3358-487A-87DD-904F9DC40D1A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77 w 77"/>
                <a:gd name="T1" fmla="*/ 5 h 77"/>
                <a:gd name="T2" fmla="*/ 72 w 77"/>
                <a:gd name="T3" fmla="*/ 0 h 77"/>
                <a:gd name="T4" fmla="*/ 0 w 77"/>
                <a:gd name="T5" fmla="*/ 77 h 77"/>
                <a:gd name="T6" fmla="*/ 77 w 77"/>
                <a:gd name="T7" fmla="*/ 5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7" y="5"/>
                  </a:moveTo>
                  <a:lnTo>
                    <a:pt x="72" y="0"/>
                  </a:lnTo>
                  <a:lnTo>
                    <a:pt x="0" y="77"/>
                  </a:lnTo>
                  <a:lnTo>
                    <a:pt x="77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0" name="Freeform 201">
              <a:extLst>
                <a:ext uri="{FF2B5EF4-FFF2-40B4-BE49-F238E27FC236}">
                  <a16:creationId xmlns:a16="http://schemas.microsoft.com/office/drawing/2014/main" id="{614BBA50-7934-43FA-A291-FB2BF819D24A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72 w 72"/>
                <a:gd name="T1" fmla="*/ 5 h 82"/>
                <a:gd name="T2" fmla="*/ 67 w 72"/>
                <a:gd name="T3" fmla="*/ 0 h 82"/>
                <a:gd name="T4" fmla="*/ 0 w 72"/>
                <a:gd name="T5" fmla="*/ 82 h 82"/>
                <a:gd name="T6" fmla="*/ 72 w 72"/>
                <a:gd name="T7" fmla="*/ 5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72" y="5"/>
                  </a:moveTo>
                  <a:lnTo>
                    <a:pt x="67" y="0"/>
                  </a:lnTo>
                  <a:lnTo>
                    <a:pt x="0" y="82"/>
                  </a:lnTo>
                  <a:lnTo>
                    <a:pt x="7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1" name="Freeform 202">
              <a:extLst>
                <a:ext uri="{FF2B5EF4-FFF2-40B4-BE49-F238E27FC236}">
                  <a16:creationId xmlns:a16="http://schemas.microsoft.com/office/drawing/2014/main" id="{63B71E5F-5A38-423F-B6DA-45A6204631AB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7 w 67"/>
                <a:gd name="T1" fmla="*/ 4 h 86"/>
                <a:gd name="T2" fmla="*/ 61 w 67"/>
                <a:gd name="T3" fmla="*/ 0 h 86"/>
                <a:gd name="T4" fmla="*/ 0 w 67"/>
                <a:gd name="T5" fmla="*/ 86 h 86"/>
                <a:gd name="T6" fmla="*/ 67 w 67"/>
                <a:gd name="T7" fmla="*/ 4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7" y="4"/>
                  </a:moveTo>
                  <a:lnTo>
                    <a:pt x="61" y="0"/>
                  </a:lnTo>
                  <a:lnTo>
                    <a:pt x="0" y="86"/>
                  </a:lnTo>
                  <a:lnTo>
                    <a:pt x="6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2" name="Freeform 203">
              <a:extLst>
                <a:ext uri="{FF2B5EF4-FFF2-40B4-BE49-F238E27FC236}">
                  <a16:creationId xmlns:a16="http://schemas.microsoft.com/office/drawing/2014/main" id="{16A9FABF-D2FA-436D-BA99-37514DCD3D89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1 w 61"/>
                <a:gd name="T1" fmla="*/ 4 h 90"/>
                <a:gd name="T2" fmla="*/ 55 w 61"/>
                <a:gd name="T3" fmla="*/ 0 h 90"/>
                <a:gd name="T4" fmla="*/ 0 w 61"/>
                <a:gd name="T5" fmla="*/ 90 h 90"/>
                <a:gd name="T6" fmla="*/ 61 w 61"/>
                <a:gd name="T7" fmla="*/ 4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61" y="4"/>
                  </a:moveTo>
                  <a:lnTo>
                    <a:pt x="55" y="0"/>
                  </a:lnTo>
                  <a:lnTo>
                    <a:pt x="0" y="90"/>
                  </a:lnTo>
                  <a:lnTo>
                    <a:pt x="61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3" name="Freeform 204">
              <a:extLst>
                <a:ext uri="{FF2B5EF4-FFF2-40B4-BE49-F238E27FC236}">
                  <a16:creationId xmlns:a16="http://schemas.microsoft.com/office/drawing/2014/main" id="{3BD61566-BB50-44AA-9210-F67CBF767574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55 w 55"/>
                <a:gd name="T1" fmla="*/ 4 h 94"/>
                <a:gd name="T2" fmla="*/ 49 w 55"/>
                <a:gd name="T3" fmla="*/ 0 h 94"/>
                <a:gd name="T4" fmla="*/ 0 w 55"/>
                <a:gd name="T5" fmla="*/ 94 h 94"/>
                <a:gd name="T6" fmla="*/ 55 w 55"/>
                <a:gd name="T7" fmla="*/ 4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4">
                  <a:moveTo>
                    <a:pt x="55" y="4"/>
                  </a:moveTo>
                  <a:lnTo>
                    <a:pt x="49" y="0"/>
                  </a:lnTo>
                  <a:lnTo>
                    <a:pt x="0" y="94"/>
                  </a:lnTo>
                  <a:lnTo>
                    <a:pt x="55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4" name="Freeform 205">
              <a:extLst>
                <a:ext uri="{FF2B5EF4-FFF2-40B4-BE49-F238E27FC236}">
                  <a16:creationId xmlns:a16="http://schemas.microsoft.com/office/drawing/2014/main" id="{293E4DBC-94F5-4148-9AA9-30471B58DFD9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9 w 49"/>
                <a:gd name="T1" fmla="*/ 3 h 97"/>
                <a:gd name="T2" fmla="*/ 42 w 49"/>
                <a:gd name="T3" fmla="*/ 0 h 97"/>
                <a:gd name="T4" fmla="*/ 0 w 49"/>
                <a:gd name="T5" fmla="*/ 97 h 97"/>
                <a:gd name="T6" fmla="*/ 49 w 49"/>
                <a:gd name="T7" fmla="*/ 3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7">
                  <a:moveTo>
                    <a:pt x="49" y="3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49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5" name="Freeform 206">
              <a:extLst>
                <a:ext uri="{FF2B5EF4-FFF2-40B4-BE49-F238E27FC236}">
                  <a16:creationId xmlns:a16="http://schemas.microsoft.com/office/drawing/2014/main" id="{7AE2D4E4-6990-4017-89CB-2D4418300B2A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5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5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6" name="Freeform 207">
              <a:extLst>
                <a:ext uri="{FF2B5EF4-FFF2-40B4-BE49-F238E27FC236}">
                  <a16:creationId xmlns:a16="http://schemas.microsoft.com/office/drawing/2014/main" id="{1C528399-98CB-4B22-BCA4-9B5DD79CE92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35 w 35"/>
                <a:gd name="T1" fmla="*/ 2 h 102"/>
                <a:gd name="T2" fmla="*/ 29 w 35"/>
                <a:gd name="T3" fmla="*/ 0 h 102"/>
                <a:gd name="T4" fmla="*/ 0 w 35"/>
                <a:gd name="T5" fmla="*/ 102 h 102"/>
                <a:gd name="T6" fmla="*/ 35 w 35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35" y="2"/>
                  </a:moveTo>
                  <a:lnTo>
                    <a:pt x="29" y="0"/>
                  </a:lnTo>
                  <a:lnTo>
                    <a:pt x="0" y="102"/>
                  </a:lnTo>
                  <a:lnTo>
                    <a:pt x="35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7" name="Freeform 208">
              <a:extLst>
                <a:ext uri="{FF2B5EF4-FFF2-40B4-BE49-F238E27FC236}">
                  <a16:creationId xmlns:a16="http://schemas.microsoft.com/office/drawing/2014/main" id="{59BB0981-CB03-416C-A528-672D85E76C92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9 w 29"/>
                <a:gd name="T1" fmla="*/ 1 h 103"/>
                <a:gd name="T2" fmla="*/ 22 w 29"/>
                <a:gd name="T3" fmla="*/ 0 h 103"/>
                <a:gd name="T4" fmla="*/ 0 w 29"/>
                <a:gd name="T5" fmla="*/ 103 h 103"/>
                <a:gd name="T6" fmla="*/ 29 w 29"/>
                <a:gd name="T7" fmla="*/ 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9" y="1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2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8" name="Freeform 209">
              <a:extLst>
                <a:ext uri="{FF2B5EF4-FFF2-40B4-BE49-F238E27FC236}">
                  <a16:creationId xmlns:a16="http://schemas.microsoft.com/office/drawing/2014/main" id="{47114945-0E7E-4B6D-AB92-A2538C5681AC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9" name="Freeform 210">
              <a:extLst>
                <a:ext uri="{FF2B5EF4-FFF2-40B4-BE49-F238E27FC236}">
                  <a16:creationId xmlns:a16="http://schemas.microsoft.com/office/drawing/2014/main" id="{73F39F40-CD9C-4C0C-AF01-A8CA592A13E2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0" name="Freeform 211">
              <a:extLst>
                <a:ext uri="{FF2B5EF4-FFF2-40B4-BE49-F238E27FC236}">
                  <a16:creationId xmlns:a16="http://schemas.microsoft.com/office/drawing/2014/main" id="{76A0CA14-2F13-4590-82D9-10D72AE60581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1" name="Freeform 212">
              <a:extLst>
                <a:ext uri="{FF2B5EF4-FFF2-40B4-BE49-F238E27FC236}">
                  <a16:creationId xmlns:a16="http://schemas.microsoft.com/office/drawing/2014/main" id="{C1A954EB-DCC7-4847-86AF-1ED69AA3BE5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0 h 106"/>
                <a:gd name="T2" fmla="*/ 0 w 7"/>
                <a:gd name="T3" fmla="*/ 1 h 106"/>
                <a:gd name="T4" fmla="*/ 7 w 7"/>
                <a:gd name="T5" fmla="*/ 106 h 106"/>
                <a:gd name="T6" fmla="*/ 7 w 7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0"/>
                  </a:moveTo>
                  <a:lnTo>
                    <a:pt x="0" y="1"/>
                  </a:lnTo>
                  <a:lnTo>
                    <a:pt x="7" y="106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2" name="Freeform 213">
              <a:extLst>
                <a:ext uri="{FF2B5EF4-FFF2-40B4-BE49-F238E27FC236}">
                  <a16:creationId xmlns:a16="http://schemas.microsoft.com/office/drawing/2014/main" id="{0135ADE6-A56F-4F16-B594-9D9E9D0D2423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14"/>
                <a:gd name="T1" fmla="*/ 0 h 105"/>
                <a:gd name="T2" fmla="*/ 0 w 14"/>
                <a:gd name="T3" fmla="*/ 0 h 105"/>
                <a:gd name="T4" fmla="*/ 14 w 14"/>
                <a:gd name="T5" fmla="*/ 105 h 105"/>
                <a:gd name="T6" fmla="*/ 7 w 14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7" y="0"/>
                  </a:moveTo>
                  <a:lnTo>
                    <a:pt x="0" y="0"/>
                  </a:lnTo>
                  <a:lnTo>
                    <a:pt x="14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3" name="Freeform 214">
              <a:extLst>
                <a:ext uri="{FF2B5EF4-FFF2-40B4-BE49-F238E27FC236}">
                  <a16:creationId xmlns:a16="http://schemas.microsoft.com/office/drawing/2014/main" id="{5BEAF304-FCF8-48AC-BFF6-487B95880BEB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1"/>
                <a:gd name="T1" fmla="*/ 0 h 105"/>
                <a:gd name="T2" fmla="*/ 0 w 21"/>
                <a:gd name="T3" fmla="*/ 2 h 105"/>
                <a:gd name="T4" fmla="*/ 21 w 21"/>
                <a:gd name="T5" fmla="*/ 105 h 105"/>
                <a:gd name="T6" fmla="*/ 7 w 21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5">
                  <a:moveTo>
                    <a:pt x="7" y="0"/>
                  </a:moveTo>
                  <a:lnTo>
                    <a:pt x="0" y="2"/>
                  </a:lnTo>
                  <a:lnTo>
                    <a:pt x="21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4" name="Freeform 215">
              <a:extLst>
                <a:ext uri="{FF2B5EF4-FFF2-40B4-BE49-F238E27FC236}">
                  <a16:creationId xmlns:a16="http://schemas.microsoft.com/office/drawing/2014/main" id="{7ACEE79B-B99A-4167-AD01-A9A7CEF9810C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8"/>
                <a:gd name="T1" fmla="*/ 0 h 103"/>
                <a:gd name="T2" fmla="*/ 0 w 28"/>
                <a:gd name="T3" fmla="*/ 1 h 103"/>
                <a:gd name="T4" fmla="*/ 28 w 28"/>
                <a:gd name="T5" fmla="*/ 103 h 103"/>
                <a:gd name="T6" fmla="*/ 7 w 28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7" y="0"/>
                  </a:moveTo>
                  <a:lnTo>
                    <a:pt x="0" y="1"/>
                  </a:lnTo>
                  <a:lnTo>
                    <a:pt x="28" y="10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5" name="Freeform 216">
              <a:extLst>
                <a:ext uri="{FF2B5EF4-FFF2-40B4-BE49-F238E27FC236}">
                  <a16:creationId xmlns:a16="http://schemas.microsoft.com/office/drawing/2014/main" id="{4BBCF050-24A5-4961-A344-3F7361C03931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7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7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6" name="Freeform 217">
              <a:extLst>
                <a:ext uri="{FF2B5EF4-FFF2-40B4-BE49-F238E27FC236}">
                  <a16:creationId xmlns:a16="http://schemas.microsoft.com/office/drawing/2014/main" id="{255B7542-B5B9-4BE9-81FB-B035543E21E3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42"/>
                <a:gd name="T1" fmla="*/ 0 h 100"/>
                <a:gd name="T2" fmla="*/ 0 w 42"/>
                <a:gd name="T3" fmla="*/ 3 h 100"/>
                <a:gd name="T4" fmla="*/ 42 w 42"/>
                <a:gd name="T5" fmla="*/ 100 h 100"/>
                <a:gd name="T6" fmla="*/ 7 w 42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7" y="0"/>
                  </a:moveTo>
                  <a:lnTo>
                    <a:pt x="0" y="3"/>
                  </a:lnTo>
                  <a:lnTo>
                    <a:pt x="42" y="10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7" name="Freeform 218">
              <a:extLst>
                <a:ext uri="{FF2B5EF4-FFF2-40B4-BE49-F238E27FC236}">
                  <a16:creationId xmlns:a16="http://schemas.microsoft.com/office/drawing/2014/main" id="{683308FE-F884-47CE-96CB-EEBEF0982B9A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48"/>
                <a:gd name="T1" fmla="*/ 0 h 97"/>
                <a:gd name="T2" fmla="*/ 0 w 48"/>
                <a:gd name="T3" fmla="*/ 3 h 97"/>
                <a:gd name="T4" fmla="*/ 48 w 48"/>
                <a:gd name="T5" fmla="*/ 97 h 97"/>
                <a:gd name="T6" fmla="*/ 6 w 48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7">
                  <a:moveTo>
                    <a:pt x="6" y="0"/>
                  </a:moveTo>
                  <a:lnTo>
                    <a:pt x="0" y="3"/>
                  </a:lnTo>
                  <a:lnTo>
                    <a:pt x="48" y="97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8" name="Freeform 219">
              <a:extLst>
                <a:ext uri="{FF2B5EF4-FFF2-40B4-BE49-F238E27FC236}">
                  <a16:creationId xmlns:a16="http://schemas.microsoft.com/office/drawing/2014/main" id="{19145C6B-2BC5-4AC3-9D9A-F13638E8D576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54"/>
                <a:gd name="T1" fmla="*/ 0 h 94"/>
                <a:gd name="T2" fmla="*/ 0 w 54"/>
                <a:gd name="T3" fmla="*/ 4 h 94"/>
                <a:gd name="T4" fmla="*/ 54 w 54"/>
                <a:gd name="T5" fmla="*/ 94 h 94"/>
                <a:gd name="T6" fmla="*/ 6 w 54"/>
                <a:gd name="T7" fmla="*/ 0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4">
                  <a:moveTo>
                    <a:pt x="6" y="0"/>
                  </a:moveTo>
                  <a:lnTo>
                    <a:pt x="0" y="4"/>
                  </a:lnTo>
                  <a:lnTo>
                    <a:pt x="54" y="94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9" name="Freeform 220">
              <a:extLst>
                <a:ext uri="{FF2B5EF4-FFF2-40B4-BE49-F238E27FC236}">
                  <a16:creationId xmlns:a16="http://schemas.microsoft.com/office/drawing/2014/main" id="{C9303BCC-3001-4B34-9DFE-28673CD74B94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0"/>
                <a:gd name="T1" fmla="*/ 0 h 90"/>
                <a:gd name="T2" fmla="*/ 0 w 60"/>
                <a:gd name="T3" fmla="*/ 4 h 90"/>
                <a:gd name="T4" fmla="*/ 60 w 60"/>
                <a:gd name="T5" fmla="*/ 90 h 90"/>
                <a:gd name="T6" fmla="*/ 6 w 60"/>
                <a:gd name="T7" fmla="*/ 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6" y="0"/>
                  </a:moveTo>
                  <a:lnTo>
                    <a:pt x="0" y="4"/>
                  </a:lnTo>
                  <a:lnTo>
                    <a:pt x="60" y="9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0" name="Freeform 221">
              <a:extLst>
                <a:ext uri="{FF2B5EF4-FFF2-40B4-BE49-F238E27FC236}">
                  <a16:creationId xmlns:a16="http://schemas.microsoft.com/office/drawing/2014/main" id="{F817DF64-EDE2-4E13-9E21-592AE4C3FADD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6"/>
                <a:gd name="T1" fmla="*/ 0 h 86"/>
                <a:gd name="T2" fmla="*/ 0 w 66"/>
                <a:gd name="T3" fmla="*/ 4 h 86"/>
                <a:gd name="T4" fmla="*/ 66 w 66"/>
                <a:gd name="T5" fmla="*/ 86 h 86"/>
                <a:gd name="T6" fmla="*/ 6 w 66"/>
                <a:gd name="T7" fmla="*/ 0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6" y="0"/>
                  </a:moveTo>
                  <a:lnTo>
                    <a:pt x="0" y="4"/>
                  </a:lnTo>
                  <a:lnTo>
                    <a:pt x="66" y="8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1" name="Freeform 222">
              <a:extLst>
                <a:ext uri="{FF2B5EF4-FFF2-40B4-BE49-F238E27FC236}">
                  <a16:creationId xmlns:a16="http://schemas.microsoft.com/office/drawing/2014/main" id="{142768B5-EAE4-4BAB-B184-B01D90A50FED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72"/>
                <a:gd name="T1" fmla="*/ 0 h 82"/>
                <a:gd name="T2" fmla="*/ 0 w 72"/>
                <a:gd name="T3" fmla="*/ 5 h 82"/>
                <a:gd name="T4" fmla="*/ 72 w 72"/>
                <a:gd name="T5" fmla="*/ 82 h 82"/>
                <a:gd name="T6" fmla="*/ 6 w 72"/>
                <a:gd name="T7" fmla="*/ 0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6" y="0"/>
                  </a:moveTo>
                  <a:lnTo>
                    <a:pt x="0" y="5"/>
                  </a:lnTo>
                  <a:lnTo>
                    <a:pt x="72" y="8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2" name="Freeform 223">
              <a:extLst>
                <a:ext uri="{FF2B5EF4-FFF2-40B4-BE49-F238E27FC236}">
                  <a16:creationId xmlns:a16="http://schemas.microsoft.com/office/drawing/2014/main" id="{A4B0BEFF-DC8C-400A-B839-740F50AF973C}"/>
                </a:ext>
              </a:extLst>
            </xdr:cNvPr>
            <xdr:cNvSpPr>
              <a:spLocks/>
            </xdr:cNvSpPr>
          </xdr:nvSpPr>
          <xdr:spPr bwMode="auto">
            <a:xfrm>
              <a:off x="930" y="201"/>
              <a:ext cx="1" cy="1"/>
            </a:xfrm>
            <a:custGeom>
              <a:avLst/>
              <a:gdLst>
                <a:gd name="T0" fmla="*/ 5 w 77"/>
                <a:gd name="T1" fmla="*/ 0 h 77"/>
                <a:gd name="T2" fmla="*/ 0 w 77"/>
                <a:gd name="T3" fmla="*/ 5 h 77"/>
                <a:gd name="T4" fmla="*/ 77 w 77"/>
                <a:gd name="T5" fmla="*/ 77 h 77"/>
                <a:gd name="T6" fmla="*/ 5 w 77"/>
                <a:gd name="T7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5" y="0"/>
                  </a:moveTo>
                  <a:lnTo>
                    <a:pt x="0" y="5"/>
                  </a:lnTo>
                  <a:lnTo>
                    <a:pt x="77" y="7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3" name="Freeform 224">
              <a:extLst>
                <a:ext uri="{FF2B5EF4-FFF2-40B4-BE49-F238E27FC236}">
                  <a16:creationId xmlns:a16="http://schemas.microsoft.com/office/drawing/2014/main" id="{6D67085D-13F8-4857-844A-A2BA1F5B89D9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81"/>
                <a:gd name="T1" fmla="*/ 0 h 72"/>
                <a:gd name="T2" fmla="*/ 0 w 81"/>
                <a:gd name="T3" fmla="*/ 5 h 72"/>
                <a:gd name="T4" fmla="*/ 81 w 81"/>
                <a:gd name="T5" fmla="*/ 72 h 72"/>
                <a:gd name="T6" fmla="*/ 4 w 81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4" y="0"/>
                  </a:moveTo>
                  <a:lnTo>
                    <a:pt x="0" y="5"/>
                  </a:lnTo>
                  <a:lnTo>
                    <a:pt x="81" y="7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4" name="Freeform 225">
              <a:extLst>
                <a:ext uri="{FF2B5EF4-FFF2-40B4-BE49-F238E27FC236}">
                  <a16:creationId xmlns:a16="http://schemas.microsoft.com/office/drawing/2014/main" id="{5A2760FD-4A7D-42EA-9FD6-AA67127BD2E5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5 w 86"/>
                <a:gd name="T1" fmla="*/ 0 h 67"/>
                <a:gd name="T2" fmla="*/ 0 w 86"/>
                <a:gd name="T3" fmla="*/ 6 h 67"/>
                <a:gd name="T4" fmla="*/ 86 w 86"/>
                <a:gd name="T5" fmla="*/ 67 h 67"/>
                <a:gd name="T6" fmla="*/ 5 w 86"/>
                <a:gd name="T7" fmla="*/ 0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5" y="0"/>
                  </a:moveTo>
                  <a:lnTo>
                    <a:pt x="0" y="6"/>
                  </a:lnTo>
                  <a:lnTo>
                    <a:pt x="86" y="6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5" name="Freeform 226">
              <a:extLst>
                <a:ext uri="{FF2B5EF4-FFF2-40B4-BE49-F238E27FC236}">
                  <a16:creationId xmlns:a16="http://schemas.microsoft.com/office/drawing/2014/main" id="{DCC98BBF-8B1F-4D6D-A95D-879988C83C58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90"/>
                <a:gd name="T1" fmla="*/ 0 h 61"/>
                <a:gd name="T2" fmla="*/ 0 w 90"/>
                <a:gd name="T3" fmla="*/ 6 h 61"/>
                <a:gd name="T4" fmla="*/ 90 w 90"/>
                <a:gd name="T5" fmla="*/ 61 h 61"/>
                <a:gd name="T6" fmla="*/ 4 w 90"/>
                <a:gd name="T7" fmla="*/ 0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4" y="0"/>
                  </a:moveTo>
                  <a:lnTo>
                    <a:pt x="0" y="6"/>
                  </a:lnTo>
                  <a:lnTo>
                    <a:pt x="90" y="6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6" name="Freeform 227">
              <a:extLst>
                <a:ext uri="{FF2B5EF4-FFF2-40B4-BE49-F238E27FC236}">
                  <a16:creationId xmlns:a16="http://schemas.microsoft.com/office/drawing/2014/main" id="{A633454B-6A72-4E50-9E80-FED80D8467A1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3"/>
                <a:gd name="T1" fmla="*/ 0 h 55"/>
                <a:gd name="T2" fmla="*/ 0 w 93"/>
                <a:gd name="T3" fmla="*/ 6 h 55"/>
                <a:gd name="T4" fmla="*/ 93 w 93"/>
                <a:gd name="T5" fmla="*/ 55 h 55"/>
                <a:gd name="T6" fmla="*/ 3 w 93"/>
                <a:gd name="T7" fmla="*/ 0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5">
                  <a:moveTo>
                    <a:pt x="3" y="0"/>
                  </a:moveTo>
                  <a:lnTo>
                    <a:pt x="0" y="6"/>
                  </a:lnTo>
                  <a:lnTo>
                    <a:pt x="93" y="55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7" name="Freeform 228">
              <a:extLst>
                <a:ext uri="{FF2B5EF4-FFF2-40B4-BE49-F238E27FC236}">
                  <a16:creationId xmlns:a16="http://schemas.microsoft.com/office/drawing/2014/main" id="{29B9B567-1A83-4BE0-9942-CD296C674AD6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6"/>
                <a:gd name="T1" fmla="*/ 0 h 49"/>
                <a:gd name="T2" fmla="*/ 0 w 96"/>
                <a:gd name="T3" fmla="*/ 7 h 49"/>
                <a:gd name="T4" fmla="*/ 96 w 96"/>
                <a:gd name="T5" fmla="*/ 49 h 49"/>
                <a:gd name="T6" fmla="*/ 3 w 96"/>
                <a:gd name="T7" fmla="*/ 0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9">
                  <a:moveTo>
                    <a:pt x="3" y="0"/>
                  </a:moveTo>
                  <a:lnTo>
                    <a:pt x="0" y="7"/>
                  </a:lnTo>
                  <a:lnTo>
                    <a:pt x="96" y="49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8" name="Freeform 229">
              <a:extLst>
                <a:ext uri="{FF2B5EF4-FFF2-40B4-BE49-F238E27FC236}">
                  <a16:creationId xmlns:a16="http://schemas.microsoft.com/office/drawing/2014/main" id="{D445E09D-3994-4182-9DFB-70B7DB5BAF63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9"/>
                <a:gd name="T1" fmla="*/ 0 h 42"/>
                <a:gd name="T2" fmla="*/ 0 w 99"/>
                <a:gd name="T3" fmla="*/ 6 h 42"/>
                <a:gd name="T4" fmla="*/ 99 w 99"/>
                <a:gd name="T5" fmla="*/ 42 h 42"/>
                <a:gd name="T6" fmla="*/ 3 w 99"/>
                <a:gd name="T7" fmla="*/ 0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3" y="0"/>
                  </a:moveTo>
                  <a:lnTo>
                    <a:pt x="0" y="6"/>
                  </a:lnTo>
                  <a:lnTo>
                    <a:pt x="99" y="4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9" name="Freeform 230">
              <a:extLst>
                <a:ext uri="{FF2B5EF4-FFF2-40B4-BE49-F238E27FC236}">
                  <a16:creationId xmlns:a16="http://schemas.microsoft.com/office/drawing/2014/main" id="{5B12469D-AEFC-4F78-B6EB-268DA2F88248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1"/>
                <a:gd name="T1" fmla="*/ 0 h 36"/>
                <a:gd name="T2" fmla="*/ 0 w 101"/>
                <a:gd name="T3" fmla="*/ 7 h 36"/>
                <a:gd name="T4" fmla="*/ 101 w 101"/>
                <a:gd name="T5" fmla="*/ 36 h 36"/>
                <a:gd name="T6" fmla="*/ 2 w 101"/>
                <a:gd name="T7" fmla="*/ 0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2" y="0"/>
                  </a:moveTo>
                  <a:lnTo>
                    <a:pt x="0" y="7"/>
                  </a:lnTo>
                  <a:lnTo>
                    <a:pt x="101" y="3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0" name="Freeform 231">
              <a:extLst>
                <a:ext uri="{FF2B5EF4-FFF2-40B4-BE49-F238E27FC236}">
                  <a16:creationId xmlns:a16="http://schemas.microsoft.com/office/drawing/2014/main" id="{1248F5BF-E8DD-4929-84DB-4AAFD6469566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3"/>
                <a:gd name="T1" fmla="*/ 0 h 29"/>
                <a:gd name="T2" fmla="*/ 0 w 103"/>
                <a:gd name="T3" fmla="*/ 7 h 29"/>
                <a:gd name="T4" fmla="*/ 103 w 103"/>
                <a:gd name="T5" fmla="*/ 29 h 29"/>
                <a:gd name="T6" fmla="*/ 2 w 103"/>
                <a:gd name="T7" fmla="*/ 0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2" y="0"/>
                  </a:moveTo>
                  <a:lnTo>
                    <a:pt x="0" y="7"/>
                  </a:lnTo>
                  <a:lnTo>
                    <a:pt x="103" y="29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1" name="Freeform 232">
              <a:extLst>
                <a:ext uri="{FF2B5EF4-FFF2-40B4-BE49-F238E27FC236}">
                  <a16:creationId xmlns:a16="http://schemas.microsoft.com/office/drawing/2014/main" id="{F71085B1-2889-4DAA-83AE-BAD50866A4FB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1 w 104"/>
                <a:gd name="T1" fmla="*/ 0 h 22"/>
                <a:gd name="T2" fmla="*/ 0 w 104"/>
                <a:gd name="T3" fmla="*/ 7 h 22"/>
                <a:gd name="T4" fmla="*/ 104 w 104"/>
                <a:gd name="T5" fmla="*/ 22 h 22"/>
                <a:gd name="T6" fmla="*/ 1 w 104"/>
                <a:gd name="T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" y="0"/>
                  </a:moveTo>
                  <a:lnTo>
                    <a:pt x="0" y="7"/>
                  </a:lnTo>
                  <a:lnTo>
                    <a:pt x="104" y="2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2" name="Freeform 233">
              <a:extLst>
                <a:ext uri="{FF2B5EF4-FFF2-40B4-BE49-F238E27FC236}">
                  <a16:creationId xmlns:a16="http://schemas.microsoft.com/office/drawing/2014/main" id="{C56DF800-97A1-4D2D-945A-B25C8771A4B4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8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8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3" name="Freeform 234">
              <a:extLst>
                <a:ext uri="{FF2B5EF4-FFF2-40B4-BE49-F238E27FC236}">
                  <a16:creationId xmlns:a16="http://schemas.microsoft.com/office/drawing/2014/main" id="{1147E223-BB89-49F5-BE33-DA6E42B9891B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7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4" name="Freeform 235">
              <a:extLst>
                <a:ext uri="{FF2B5EF4-FFF2-40B4-BE49-F238E27FC236}">
                  <a16:creationId xmlns:a16="http://schemas.microsoft.com/office/drawing/2014/main" id="{AA800F84-9977-4313-A980-2D00D731104E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5" name="Freeform 236">
              <a:extLst>
                <a:ext uri="{FF2B5EF4-FFF2-40B4-BE49-F238E27FC236}">
                  <a16:creationId xmlns:a16="http://schemas.microsoft.com/office/drawing/2014/main" id="{6D2BC118-CA12-429E-8B4A-67B33AA39028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7 h 14"/>
                <a:gd name="T2" fmla="*/ 1 w 105"/>
                <a:gd name="T3" fmla="*/ 14 h 14"/>
                <a:gd name="T4" fmla="*/ 105 w 105"/>
                <a:gd name="T5" fmla="*/ 0 h 14"/>
                <a:gd name="T6" fmla="*/ 0 w 105"/>
                <a:gd name="T7" fmla="*/ 7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0" y="7"/>
                  </a:moveTo>
                  <a:lnTo>
                    <a:pt x="1" y="14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6" name="Freeform 237">
              <a:extLst>
                <a:ext uri="{FF2B5EF4-FFF2-40B4-BE49-F238E27FC236}">
                  <a16:creationId xmlns:a16="http://schemas.microsoft.com/office/drawing/2014/main" id="{22A3AB3E-A1EF-4E6A-88E0-C01BEA5F31AA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4"/>
                <a:gd name="T1" fmla="*/ 14 h 21"/>
                <a:gd name="T2" fmla="*/ 1 w 104"/>
                <a:gd name="T3" fmla="*/ 21 h 21"/>
                <a:gd name="T4" fmla="*/ 104 w 104"/>
                <a:gd name="T5" fmla="*/ 0 h 21"/>
                <a:gd name="T6" fmla="*/ 0 w 104"/>
                <a:gd name="T7" fmla="*/ 14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0" y="14"/>
                  </a:moveTo>
                  <a:lnTo>
                    <a:pt x="1" y="21"/>
                  </a:lnTo>
                  <a:lnTo>
                    <a:pt x="104" y="0"/>
                  </a:lnTo>
                  <a:lnTo>
                    <a:pt x="0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7" name="Freeform 238">
              <a:extLst>
                <a:ext uri="{FF2B5EF4-FFF2-40B4-BE49-F238E27FC236}">
                  <a16:creationId xmlns:a16="http://schemas.microsoft.com/office/drawing/2014/main" id="{55A711D0-A41C-4BD4-974F-C14CA9BB0058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3"/>
                <a:gd name="T1" fmla="*/ 21 h 28"/>
                <a:gd name="T2" fmla="*/ 2 w 103"/>
                <a:gd name="T3" fmla="*/ 28 h 28"/>
                <a:gd name="T4" fmla="*/ 103 w 103"/>
                <a:gd name="T5" fmla="*/ 0 h 28"/>
                <a:gd name="T6" fmla="*/ 0 w 103"/>
                <a:gd name="T7" fmla="*/ 21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0" y="21"/>
                  </a:moveTo>
                  <a:lnTo>
                    <a:pt x="2" y="28"/>
                  </a:lnTo>
                  <a:lnTo>
                    <a:pt x="103" y="0"/>
                  </a:lnTo>
                  <a:lnTo>
                    <a:pt x="0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8" name="Freeform 239">
              <a:extLst>
                <a:ext uri="{FF2B5EF4-FFF2-40B4-BE49-F238E27FC236}">
                  <a16:creationId xmlns:a16="http://schemas.microsoft.com/office/drawing/2014/main" id="{8D51EFE4-F6C0-4050-B741-6E469304E985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1"/>
                <a:gd name="T1" fmla="*/ 28 h 35"/>
                <a:gd name="T2" fmla="*/ 2 w 101"/>
                <a:gd name="T3" fmla="*/ 35 h 35"/>
                <a:gd name="T4" fmla="*/ 101 w 101"/>
                <a:gd name="T5" fmla="*/ 0 h 35"/>
                <a:gd name="T6" fmla="*/ 0 w 101"/>
                <a:gd name="T7" fmla="*/ 28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5">
                  <a:moveTo>
                    <a:pt x="0" y="28"/>
                  </a:moveTo>
                  <a:lnTo>
                    <a:pt x="2" y="35"/>
                  </a:lnTo>
                  <a:lnTo>
                    <a:pt x="101" y="0"/>
                  </a:lnTo>
                  <a:lnTo>
                    <a:pt x="0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9" name="Freeform 240">
              <a:extLst>
                <a:ext uri="{FF2B5EF4-FFF2-40B4-BE49-F238E27FC236}">
                  <a16:creationId xmlns:a16="http://schemas.microsoft.com/office/drawing/2014/main" id="{DC845405-2BE3-4724-A4F8-D6A506B67CD7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9"/>
                <a:gd name="T1" fmla="*/ 35 h 42"/>
                <a:gd name="T2" fmla="*/ 3 w 99"/>
                <a:gd name="T3" fmla="*/ 42 h 42"/>
                <a:gd name="T4" fmla="*/ 99 w 99"/>
                <a:gd name="T5" fmla="*/ 0 h 42"/>
                <a:gd name="T6" fmla="*/ 0 w 99"/>
                <a:gd name="T7" fmla="*/ 35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0" y="35"/>
                  </a:moveTo>
                  <a:lnTo>
                    <a:pt x="3" y="42"/>
                  </a:lnTo>
                  <a:lnTo>
                    <a:pt x="99" y="0"/>
                  </a:lnTo>
                  <a:lnTo>
                    <a:pt x="0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0" name="Freeform 241">
              <a:extLst>
                <a:ext uri="{FF2B5EF4-FFF2-40B4-BE49-F238E27FC236}">
                  <a16:creationId xmlns:a16="http://schemas.microsoft.com/office/drawing/2014/main" id="{C1E294CC-4328-403E-BBDC-A4CFBCDF10CD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6"/>
                <a:gd name="T1" fmla="*/ 42 h 48"/>
                <a:gd name="T2" fmla="*/ 3 w 96"/>
                <a:gd name="T3" fmla="*/ 48 h 48"/>
                <a:gd name="T4" fmla="*/ 96 w 96"/>
                <a:gd name="T5" fmla="*/ 0 h 48"/>
                <a:gd name="T6" fmla="*/ 0 w 96"/>
                <a:gd name="T7" fmla="*/ 42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8">
                  <a:moveTo>
                    <a:pt x="0" y="42"/>
                  </a:moveTo>
                  <a:lnTo>
                    <a:pt x="3" y="48"/>
                  </a:lnTo>
                  <a:lnTo>
                    <a:pt x="96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1" name="Freeform 242">
              <a:extLst>
                <a:ext uri="{FF2B5EF4-FFF2-40B4-BE49-F238E27FC236}">
                  <a16:creationId xmlns:a16="http://schemas.microsoft.com/office/drawing/2014/main" id="{94087502-55CC-4284-82E6-6B121512B1F4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3"/>
                <a:gd name="T1" fmla="*/ 48 h 54"/>
                <a:gd name="T2" fmla="*/ 3 w 93"/>
                <a:gd name="T3" fmla="*/ 54 h 54"/>
                <a:gd name="T4" fmla="*/ 93 w 93"/>
                <a:gd name="T5" fmla="*/ 0 h 54"/>
                <a:gd name="T6" fmla="*/ 0 w 93"/>
                <a:gd name="T7" fmla="*/ 48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4">
                  <a:moveTo>
                    <a:pt x="0" y="48"/>
                  </a:moveTo>
                  <a:lnTo>
                    <a:pt x="3" y="54"/>
                  </a:lnTo>
                  <a:lnTo>
                    <a:pt x="93" y="0"/>
                  </a:lnTo>
                  <a:lnTo>
                    <a:pt x="0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2" name="Freeform 243">
              <a:extLst>
                <a:ext uri="{FF2B5EF4-FFF2-40B4-BE49-F238E27FC236}">
                  <a16:creationId xmlns:a16="http://schemas.microsoft.com/office/drawing/2014/main" id="{246CC238-0507-427F-BBEB-5432C136E7CA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0"/>
                <a:gd name="T1" fmla="*/ 54 h 60"/>
                <a:gd name="T2" fmla="*/ 4 w 90"/>
                <a:gd name="T3" fmla="*/ 60 h 60"/>
                <a:gd name="T4" fmla="*/ 90 w 90"/>
                <a:gd name="T5" fmla="*/ 0 h 60"/>
                <a:gd name="T6" fmla="*/ 0 w 90"/>
                <a:gd name="T7" fmla="*/ 54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0" y="54"/>
                  </a:moveTo>
                  <a:lnTo>
                    <a:pt x="4" y="60"/>
                  </a:lnTo>
                  <a:lnTo>
                    <a:pt x="90" y="0"/>
                  </a:lnTo>
                  <a:lnTo>
                    <a:pt x="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3" name="Freeform 244">
              <a:extLst>
                <a:ext uri="{FF2B5EF4-FFF2-40B4-BE49-F238E27FC236}">
                  <a16:creationId xmlns:a16="http://schemas.microsoft.com/office/drawing/2014/main" id="{B3AA19EE-C3D6-473D-A449-4D25B87F2141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6"/>
                <a:gd name="T1" fmla="*/ 60 h 66"/>
                <a:gd name="T2" fmla="*/ 5 w 86"/>
                <a:gd name="T3" fmla="*/ 66 h 66"/>
                <a:gd name="T4" fmla="*/ 86 w 86"/>
                <a:gd name="T5" fmla="*/ 0 h 66"/>
                <a:gd name="T6" fmla="*/ 0 w 86"/>
                <a:gd name="T7" fmla="*/ 60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0" y="60"/>
                  </a:moveTo>
                  <a:lnTo>
                    <a:pt x="5" y="66"/>
                  </a:lnTo>
                  <a:lnTo>
                    <a:pt x="86" y="0"/>
                  </a:lnTo>
                  <a:lnTo>
                    <a:pt x="0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4" name="Freeform 245">
              <a:extLst>
                <a:ext uri="{FF2B5EF4-FFF2-40B4-BE49-F238E27FC236}">
                  <a16:creationId xmlns:a16="http://schemas.microsoft.com/office/drawing/2014/main" id="{266D4602-2D1A-4A03-8BA5-19121F876B11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1"/>
                <a:gd name="T1" fmla="*/ 66 h 72"/>
                <a:gd name="T2" fmla="*/ 4 w 81"/>
                <a:gd name="T3" fmla="*/ 72 h 72"/>
                <a:gd name="T4" fmla="*/ 81 w 81"/>
                <a:gd name="T5" fmla="*/ 0 h 72"/>
                <a:gd name="T6" fmla="*/ 0 w 81"/>
                <a:gd name="T7" fmla="*/ 66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0" y="66"/>
                  </a:moveTo>
                  <a:lnTo>
                    <a:pt x="4" y="72"/>
                  </a:lnTo>
                  <a:lnTo>
                    <a:pt x="81" y="0"/>
                  </a:lnTo>
                  <a:lnTo>
                    <a:pt x="0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5" name="Freeform 246">
              <a:extLst>
                <a:ext uri="{FF2B5EF4-FFF2-40B4-BE49-F238E27FC236}">
                  <a16:creationId xmlns:a16="http://schemas.microsoft.com/office/drawing/2014/main" id="{6E5D813E-107E-49CD-B6BB-1B4EEC996C41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7"/>
                <a:gd name="T1" fmla="*/ 72 h 77"/>
                <a:gd name="T2" fmla="*/ 5 w 77"/>
                <a:gd name="T3" fmla="*/ 77 h 77"/>
                <a:gd name="T4" fmla="*/ 77 w 77"/>
                <a:gd name="T5" fmla="*/ 0 h 77"/>
                <a:gd name="T6" fmla="*/ 0 w 77"/>
                <a:gd name="T7" fmla="*/ 72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0" y="72"/>
                  </a:moveTo>
                  <a:lnTo>
                    <a:pt x="5" y="77"/>
                  </a:lnTo>
                  <a:lnTo>
                    <a:pt x="77" y="0"/>
                  </a:lnTo>
                  <a:lnTo>
                    <a:pt x="0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6" name="Freeform 247">
              <a:extLst>
                <a:ext uri="{FF2B5EF4-FFF2-40B4-BE49-F238E27FC236}">
                  <a16:creationId xmlns:a16="http://schemas.microsoft.com/office/drawing/2014/main" id="{9B4B3336-64B7-4092-81EA-F77AA11271E7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2"/>
                <a:gd name="T1" fmla="*/ 77 h 81"/>
                <a:gd name="T2" fmla="*/ 6 w 72"/>
                <a:gd name="T3" fmla="*/ 81 h 81"/>
                <a:gd name="T4" fmla="*/ 72 w 72"/>
                <a:gd name="T5" fmla="*/ 0 h 81"/>
                <a:gd name="T6" fmla="*/ 0 w 72"/>
                <a:gd name="T7" fmla="*/ 77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0" y="77"/>
                  </a:moveTo>
                  <a:lnTo>
                    <a:pt x="6" y="81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7" name="Freeform 248">
              <a:extLst>
                <a:ext uri="{FF2B5EF4-FFF2-40B4-BE49-F238E27FC236}">
                  <a16:creationId xmlns:a16="http://schemas.microsoft.com/office/drawing/2014/main" id="{A9F7E841-D15B-426C-A8BC-A721CB0B4DEE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6"/>
                <a:gd name="T1" fmla="*/ 81 h 86"/>
                <a:gd name="T2" fmla="*/ 6 w 66"/>
                <a:gd name="T3" fmla="*/ 86 h 86"/>
                <a:gd name="T4" fmla="*/ 66 w 66"/>
                <a:gd name="T5" fmla="*/ 0 h 86"/>
                <a:gd name="T6" fmla="*/ 0 w 66"/>
                <a:gd name="T7" fmla="*/ 81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0" y="81"/>
                  </a:moveTo>
                  <a:lnTo>
                    <a:pt x="6" y="86"/>
                  </a:lnTo>
                  <a:lnTo>
                    <a:pt x="66" y="0"/>
                  </a:lnTo>
                  <a:lnTo>
                    <a:pt x="0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8" name="Freeform 249">
              <a:extLst>
                <a:ext uri="{FF2B5EF4-FFF2-40B4-BE49-F238E27FC236}">
                  <a16:creationId xmlns:a16="http://schemas.microsoft.com/office/drawing/2014/main" id="{F43367D4-DE15-42F6-B570-0C272675ADCB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0"/>
                <a:gd name="T1" fmla="*/ 86 h 90"/>
                <a:gd name="T2" fmla="*/ 6 w 60"/>
                <a:gd name="T3" fmla="*/ 90 h 90"/>
                <a:gd name="T4" fmla="*/ 60 w 60"/>
                <a:gd name="T5" fmla="*/ 0 h 90"/>
                <a:gd name="T6" fmla="*/ 0 w 60"/>
                <a:gd name="T7" fmla="*/ 86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0" y="86"/>
                  </a:moveTo>
                  <a:lnTo>
                    <a:pt x="6" y="90"/>
                  </a:lnTo>
                  <a:lnTo>
                    <a:pt x="60" y="0"/>
                  </a:lnTo>
                  <a:lnTo>
                    <a:pt x="0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9" name="Freeform 250">
              <a:extLst>
                <a:ext uri="{FF2B5EF4-FFF2-40B4-BE49-F238E27FC236}">
                  <a16:creationId xmlns:a16="http://schemas.microsoft.com/office/drawing/2014/main" id="{DBF5D40A-E641-425C-A5D1-0261EDC77C81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54"/>
                <a:gd name="T1" fmla="*/ 90 h 93"/>
                <a:gd name="T2" fmla="*/ 6 w 54"/>
                <a:gd name="T3" fmla="*/ 93 h 93"/>
                <a:gd name="T4" fmla="*/ 54 w 54"/>
                <a:gd name="T5" fmla="*/ 0 h 93"/>
                <a:gd name="T6" fmla="*/ 0 w 54"/>
                <a:gd name="T7" fmla="*/ 9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3">
                  <a:moveTo>
                    <a:pt x="0" y="90"/>
                  </a:moveTo>
                  <a:lnTo>
                    <a:pt x="6" y="93"/>
                  </a:lnTo>
                  <a:lnTo>
                    <a:pt x="54" y="0"/>
                  </a:lnTo>
                  <a:lnTo>
                    <a:pt x="0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" name="Freeform 251">
              <a:extLst>
                <a:ext uri="{FF2B5EF4-FFF2-40B4-BE49-F238E27FC236}">
                  <a16:creationId xmlns:a16="http://schemas.microsoft.com/office/drawing/2014/main" id="{58F25BFF-F91B-4AC2-9132-B304BF0097ED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48"/>
                <a:gd name="T1" fmla="*/ 93 h 96"/>
                <a:gd name="T2" fmla="*/ 6 w 48"/>
                <a:gd name="T3" fmla="*/ 96 h 96"/>
                <a:gd name="T4" fmla="*/ 48 w 48"/>
                <a:gd name="T5" fmla="*/ 0 h 96"/>
                <a:gd name="T6" fmla="*/ 0 w 48"/>
                <a:gd name="T7" fmla="*/ 9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6">
                  <a:moveTo>
                    <a:pt x="0" y="93"/>
                  </a:moveTo>
                  <a:lnTo>
                    <a:pt x="6" y="96"/>
                  </a:lnTo>
                  <a:lnTo>
                    <a:pt x="48" y="0"/>
                  </a:lnTo>
                  <a:lnTo>
                    <a:pt x="0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5" name="Group 453">
            <a:extLst>
              <a:ext uri="{FF2B5EF4-FFF2-40B4-BE49-F238E27FC236}">
                <a16:creationId xmlns:a16="http://schemas.microsoft.com/office/drawing/2014/main" id="{B204B719-D794-4A6F-9E37-9027AAB58CFB}"/>
              </a:ext>
            </a:extLst>
          </xdr:cNvPr>
          <xdr:cNvGrpSpPr>
            <a:grpSpLocks/>
          </xdr:cNvGrpSpPr>
        </xdr:nvGrpSpPr>
        <xdr:grpSpPr bwMode="auto">
          <a:xfrm>
            <a:off x="930" y="188"/>
            <a:ext cx="262" cy="16"/>
            <a:chOff x="930" y="188"/>
            <a:chExt cx="262" cy="16"/>
          </a:xfrm>
        </xdr:grpSpPr>
        <xdr:sp macro="" textlink="">
          <xdr:nvSpPr>
            <xdr:cNvPr id="141" name="Freeform 253">
              <a:extLst>
                <a:ext uri="{FF2B5EF4-FFF2-40B4-BE49-F238E27FC236}">
                  <a16:creationId xmlns:a16="http://schemas.microsoft.com/office/drawing/2014/main" id="{04CEB6DE-DBAF-4F01-B6A9-F5FE77116851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42"/>
                <a:gd name="T1" fmla="*/ 96 h 99"/>
                <a:gd name="T2" fmla="*/ 7 w 42"/>
                <a:gd name="T3" fmla="*/ 99 h 99"/>
                <a:gd name="T4" fmla="*/ 42 w 42"/>
                <a:gd name="T5" fmla="*/ 0 h 99"/>
                <a:gd name="T6" fmla="*/ 0 w 42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0" y="96"/>
                  </a:moveTo>
                  <a:lnTo>
                    <a:pt x="7" y="99"/>
                  </a:lnTo>
                  <a:lnTo>
                    <a:pt x="42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2" name="Freeform 254">
              <a:extLst>
                <a:ext uri="{FF2B5EF4-FFF2-40B4-BE49-F238E27FC236}">
                  <a16:creationId xmlns:a16="http://schemas.microsoft.com/office/drawing/2014/main" id="{3E5FA77B-5254-4907-817A-E035F501EFCB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35"/>
                <a:gd name="T1" fmla="*/ 99 h 101"/>
                <a:gd name="T2" fmla="*/ 7 w 35"/>
                <a:gd name="T3" fmla="*/ 101 h 101"/>
                <a:gd name="T4" fmla="*/ 35 w 35"/>
                <a:gd name="T5" fmla="*/ 0 h 101"/>
                <a:gd name="T6" fmla="*/ 0 w 35"/>
                <a:gd name="T7" fmla="*/ 99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0" y="99"/>
                  </a:moveTo>
                  <a:lnTo>
                    <a:pt x="7" y="101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3" name="Freeform 255">
              <a:extLst>
                <a:ext uri="{FF2B5EF4-FFF2-40B4-BE49-F238E27FC236}">
                  <a16:creationId xmlns:a16="http://schemas.microsoft.com/office/drawing/2014/main" id="{4C950E51-AAD6-46DB-A86E-6B6B6EE1EC04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8"/>
                <a:gd name="T1" fmla="*/ 101 h 103"/>
                <a:gd name="T2" fmla="*/ 7 w 28"/>
                <a:gd name="T3" fmla="*/ 103 h 103"/>
                <a:gd name="T4" fmla="*/ 28 w 28"/>
                <a:gd name="T5" fmla="*/ 0 h 103"/>
                <a:gd name="T6" fmla="*/ 0 w 28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0" y="101"/>
                  </a:moveTo>
                  <a:lnTo>
                    <a:pt x="7" y="103"/>
                  </a:lnTo>
                  <a:lnTo>
                    <a:pt x="28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4" name="Freeform 256">
              <a:extLst>
                <a:ext uri="{FF2B5EF4-FFF2-40B4-BE49-F238E27FC236}">
                  <a16:creationId xmlns:a16="http://schemas.microsoft.com/office/drawing/2014/main" id="{ADA9E169-8B5C-4BA2-B892-A684B162B4C0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1"/>
                <a:gd name="T1" fmla="*/ 103 h 104"/>
                <a:gd name="T2" fmla="*/ 7 w 21"/>
                <a:gd name="T3" fmla="*/ 104 h 104"/>
                <a:gd name="T4" fmla="*/ 21 w 21"/>
                <a:gd name="T5" fmla="*/ 0 h 104"/>
                <a:gd name="T6" fmla="*/ 0 w 21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4">
                  <a:moveTo>
                    <a:pt x="0" y="103"/>
                  </a:moveTo>
                  <a:lnTo>
                    <a:pt x="7" y="104"/>
                  </a:lnTo>
                  <a:lnTo>
                    <a:pt x="21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5" name="Freeform 257">
              <a:extLst>
                <a:ext uri="{FF2B5EF4-FFF2-40B4-BE49-F238E27FC236}">
                  <a16:creationId xmlns:a16="http://schemas.microsoft.com/office/drawing/2014/main" id="{C53D2E7B-CD1C-45D5-A951-5739ECD46289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14"/>
                <a:gd name="T1" fmla="*/ 104 h 105"/>
                <a:gd name="T2" fmla="*/ 7 w 14"/>
                <a:gd name="T3" fmla="*/ 105 h 105"/>
                <a:gd name="T4" fmla="*/ 14 w 14"/>
                <a:gd name="T5" fmla="*/ 0 h 105"/>
                <a:gd name="T6" fmla="*/ 0 w 14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0" y="104"/>
                  </a:moveTo>
                  <a:lnTo>
                    <a:pt x="7" y="105"/>
                  </a:lnTo>
                  <a:lnTo>
                    <a:pt x="14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6" name="Freeform 258">
              <a:extLst>
                <a:ext uri="{FF2B5EF4-FFF2-40B4-BE49-F238E27FC236}">
                  <a16:creationId xmlns:a16="http://schemas.microsoft.com/office/drawing/2014/main" id="{7A7928B5-38D4-4D3F-927B-B6881F1B452B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7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7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7" name="Freeform 259">
              <a:extLst>
                <a:ext uri="{FF2B5EF4-FFF2-40B4-BE49-F238E27FC236}">
                  <a16:creationId xmlns:a16="http://schemas.microsoft.com/office/drawing/2014/main" id="{916E2586-EDE5-49D1-A7C3-844E0D1A743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8" name="Freeform 260">
              <a:extLst>
                <a:ext uri="{FF2B5EF4-FFF2-40B4-BE49-F238E27FC236}">
                  <a16:creationId xmlns:a16="http://schemas.microsoft.com/office/drawing/2014/main" id="{46E437E5-0B84-4C2B-9A81-50EFEF0CA52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9" name="Freeform 261">
              <a:extLst>
                <a:ext uri="{FF2B5EF4-FFF2-40B4-BE49-F238E27FC236}">
                  <a16:creationId xmlns:a16="http://schemas.microsoft.com/office/drawing/2014/main" id="{ADEC55D1-D320-4EC4-A9C7-E4BDFD65D66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0" name="Freeform 262">
              <a:extLst>
                <a:ext uri="{FF2B5EF4-FFF2-40B4-BE49-F238E27FC236}">
                  <a16:creationId xmlns:a16="http://schemas.microsoft.com/office/drawing/2014/main" id="{3F3A0CDF-FB5B-4335-A7B5-7FD1891789D1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2 w 29"/>
                <a:gd name="T1" fmla="*/ 103 h 103"/>
                <a:gd name="T2" fmla="*/ 29 w 29"/>
                <a:gd name="T3" fmla="*/ 101 h 103"/>
                <a:gd name="T4" fmla="*/ 0 w 29"/>
                <a:gd name="T5" fmla="*/ 0 h 103"/>
                <a:gd name="T6" fmla="*/ 22 w 29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2" y="103"/>
                  </a:moveTo>
                  <a:lnTo>
                    <a:pt x="29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1" name="Freeform 263">
              <a:extLst>
                <a:ext uri="{FF2B5EF4-FFF2-40B4-BE49-F238E27FC236}">
                  <a16:creationId xmlns:a16="http://schemas.microsoft.com/office/drawing/2014/main" id="{F22025D5-5DCB-4FDB-ADCB-039EFC53E8D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9 w 35"/>
                <a:gd name="T1" fmla="*/ 101 h 101"/>
                <a:gd name="T2" fmla="*/ 35 w 35"/>
                <a:gd name="T3" fmla="*/ 99 h 101"/>
                <a:gd name="T4" fmla="*/ 0 w 35"/>
                <a:gd name="T5" fmla="*/ 0 h 101"/>
                <a:gd name="T6" fmla="*/ 29 w 35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29" y="101"/>
                  </a:moveTo>
                  <a:lnTo>
                    <a:pt x="35" y="99"/>
                  </a:lnTo>
                  <a:lnTo>
                    <a:pt x="0" y="0"/>
                  </a:lnTo>
                  <a:lnTo>
                    <a:pt x="29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2" name="Freeform 264">
              <a:extLst>
                <a:ext uri="{FF2B5EF4-FFF2-40B4-BE49-F238E27FC236}">
                  <a16:creationId xmlns:a16="http://schemas.microsoft.com/office/drawing/2014/main" id="{97C92B80-FB9A-4C0A-B13B-70FDD5A5C55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2"/>
            </a:xfrm>
            <a:custGeom>
              <a:avLst/>
              <a:gdLst>
                <a:gd name="T0" fmla="*/ 35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5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5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5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3" name="Freeform 265">
              <a:extLst>
                <a:ext uri="{FF2B5EF4-FFF2-40B4-BE49-F238E27FC236}">
                  <a16:creationId xmlns:a16="http://schemas.microsoft.com/office/drawing/2014/main" id="{E1FFF8D6-C3CC-4CBB-8159-9F63A95EC86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2 w 49"/>
                <a:gd name="T1" fmla="*/ 96 h 96"/>
                <a:gd name="T2" fmla="*/ 49 w 49"/>
                <a:gd name="T3" fmla="*/ 93 h 96"/>
                <a:gd name="T4" fmla="*/ 0 w 49"/>
                <a:gd name="T5" fmla="*/ 0 h 96"/>
                <a:gd name="T6" fmla="*/ 42 w 49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6">
                  <a:moveTo>
                    <a:pt x="42" y="96"/>
                  </a:moveTo>
                  <a:lnTo>
                    <a:pt x="49" y="93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4" name="Freeform 266">
              <a:extLst>
                <a:ext uri="{FF2B5EF4-FFF2-40B4-BE49-F238E27FC236}">
                  <a16:creationId xmlns:a16="http://schemas.microsoft.com/office/drawing/2014/main" id="{46953188-8A74-4189-B81F-1BEA2D5BD9E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9 w 55"/>
                <a:gd name="T1" fmla="*/ 93 h 93"/>
                <a:gd name="T2" fmla="*/ 55 w 55"/>
                <a:gd name="T3" fmla="*/ 90 h 93"/>
                <a:gd name="T4" fmla="*/ 0 w 55"/>
                <a:gd name="T5" fmla="*/ 0 h 93"/>
                <a:gd name="T6" fmla="*/ 49 w 55"/>
                <a:gd name="T7" fmla="*/ 93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3">
                  <a:moveTo>
                    <a:pt x="49" y="93"/>
                  </a:moveTo>
                  <a:lnTo>
                    <a:pt x="55" y="90"/>
                  </a:lnTo>
                  <a:lnTo>
                    <a:pt x="0" y="0"/>
                  </a:lnTo>
                  <a:lnTo>
                    <a:pt x="49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5" name="Freeform 267">
              <a:extLst>
                <a:ext uri="{FF2B5EF4-FFF2-40B4-BE49-F238E27FC236}">
                  <a16:creationId xmlns:a16="http://schemas.microsoft.com/office/drawing/2014/main" id="{866CE9EF-6E17-44C0-B11E-AD2A99C1A125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55 w 61"/>
                <a:gd name="T1" fmla="*/ 90 h 90"/>
                <a:gd name="T2" fmla="*/ 61 w 61"/>
                <a:gd name="T3" fmla="*/ 86 h 90"/>
                <a:gd name="T4" fmla="*/ 0 w 61"/>
                <a:gd name="T5" fmla="*/ 0 h 90"/>
                <a:gd name="T6" fmla="*/ 55 w 61"/>
                <a:gd name="T7" fmla="*/ 9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55" y="90"/>
                  </a:moveTo>
                  <a:lnTo>
                    <a:pt x="61" y="86"/>
                  </a:lnTo>
                  <a:lnTo>
                    <a:pt x="0" y="0"/>
                  </a:lnTo>
                  <a:lnTo>
                    <a:pt x="55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6" name="Freeform 268">
              <a:extLst>
                <a:ext uri="{FF2B5EF4-FFF2-40B4-BE49-F238E27FC236}">
                  <a16:creationId xmlns:a16="http://schemas.microsoft.com/office/drawing/2014/main" id="{4B5D8EE3-E9A8-4D2C-A706-41A5DB07D9E9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1 w 67"/>
                <a:gd name="T1" fmla="*/ 86 h 86"/>
                <a:gd name="T2" fmla="*/ 67 w 67"/>
                <a:gd name="T3" fmla="*/ 81 h 86"/>
                <a:gd name="T4" fmla="*/ 0 w 67"/>
                <a:gd name="T5" fmla="*/ 0 h 86"/>
                <a:gd name="T6" fmla="*/ 61 w 67"/>
                <a:gd name="T7" fmla="*/ 86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1" y="86"/>
                  </a:moveTo>
                  <a:lnTo>
                    <a:pt x="67" y="81"/>
                  </a:lnTo>
                  <a:lnTo>
                    <a:pt x="0" y="0"/>
                  </a:lnTo>
                  <a:lnTo>
                    <a:pt x="61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7" name="Freeform 269">
              <a:extLst>
                <a:ext uri="{FF2B5EF4-FFF2-40B4-BE49-F238E27FC236}">
                  <a16:creationId xmlns:a16="http://schemas.microsoft.com/office/drawing/2014/main" id="{AD5922EB-3CA3-4771-A0CC-9283C2D2B299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7 w 72"/>
                <a:gd name="T1" fmla="*/ 81 h 81"/>
                <a:gd name="T2" fmla="*/ 72 w 72"/>
                <a:gd name="T3" fmla="*/ 77 h 81"/>
                <a:gd name="T4" fmla="*/ 0 w 72"/>
                <a:gd name="T5" fmla="*/ 0 h 81"/>
                <a:gd name="T6" fmla="*/ 67 w 72"/>
                <a:gd name="T7" fmla="*/ 81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67" y="81"/>
                  </a:moveTo>
                  <a:lnTo>
                    <a:pt x="72" y="77"/>
                  </a:lnTo>
                  <a:lnTo>
                    <a:pt x="0" y="0"/>
                  </a:lnTo>
                  <a:lnTo>
                    <a:pt x="67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8" name="Freeform 270">
              <a:extLst>
                <a:ext uri="{FF2B5EF4-FFF2-40B4-BE49-F238E27FC236}">
                  <a16:creationId xmlns:a16="http://schemas.microsoft.com/office/drawing/2014/main" id="{3DF3E03E-F206-48EB-A3E6-E67B67042013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2 w 77"/>
                <a:gd name="T1" fmla="*/ 77 h 77"/>
                <a:gd name="T2" fmla="*/ 77 w 77"/>
                <a:gd name="T3" fmla="*/ 72 h 77"/>
                <a:gd name="T4" fmla="*/ 0 w 77"/>
                <a:gd name="T5" fmla="*/ 0 h 77"/>
                <a:gd name="T6" fmla="*/ 72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2" y="77"/>
                  </a:moveTo>
                  <a:lnTo>
                    <a:pt x="77" y="72"/>
                  </a:lnTo>
                  <a:lnTo>
                    <a:pt x="0" y="0"/>
                  </a:lnTo>
                  <a:lnTo>
                    <a:pt x="72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9" name="Freeform 271">
              <a:extLst>
                <a:ext uri="{FF2B5EF4-FFF2-40B4-BE49-F238E27FC236}">
                  <a16:creationId xmlns:a16="http://schemas.microsoft.com/office/drawing/2014/main" id="{D3140943-3C28-441E-8C95-B3BDDE8F1EA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7 w 82"/>
                <a:gd name="T1" fmla="*/ 72 h 72"/>
                <a:gd name="T2" fmla="*/ 82 w 82"/>
                <a:gd name="T3" fmla="*/ 66 h 72"/>
                <a:gd name="T4" fmla="*/ 0 w 82"/>
                <a:gd name="T5" fmla="*/ 0 h 72"/>
                <a:gd name="T6" fmla="*/ 77 w 82"/>
                <a:gd name="T7" fmla="*/ 72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77" y="72"/>
                  </a:moveTo>
                  <a:lnTo>
                    <a:pt x="82" y="66"/>
                  </a:lnTo>
                  <a:lnTo>
                    <a:pt x="0" y="0"/>
                  </a:lnTo>
                  <a:lnTo>
                    <a:pt x="77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0" name="Freeform 272">
              <a:extLst>
                <a:ext uri="{FF2B5EF4-FFF2-40B4-BE49-F238E27FC236}">
                  <a16:creationId xmlns:a16="http://schemas.microsoft.com/office/drawing/2014/main" id="{2C047F78-CE6B-4862-AD84-414884483F8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2 w 86"/>
                <a:gd name="T1" fmla="*/ 66 h 66"/>
                <a:gd name="T2" fmla="*/ 86 w 86"/>
                <a:gd name="T3" fmla="*/ 60 h 66"/>
                <a:gd name="T4" fmla="*/ 0 w 86"/>
                <a:gd name="T5" fmla="*/ 0 h 66"/>
                <a:gd name="T6" fmla="*/ 82 w 86"/>
                <a:gd name="T7" fmla="*/ 66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82" y="66"/>
                  </a:moveTo>
                  <a:lnTo>
                    <a:pt x="86" y="60"/>
                  </a:lnTo>
                  <a:lnTo>
                    <a:pt x="0" y="0"/>
                  </a:lnTo>
                  <a:lnTo>
                    <a:pt x="82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1" name="Freeform 273">
              <a:extLst>
                <a:ext uri="{FF2B5EF4-FFF2-40B4-BE49-F238E27FC236}">
                  <a16:creationId xmlns:a16="http://schemas.microsoft.com/office/drawing/2014/main" id="{4739D780-C737-4730-A4FF-F7838D3AF71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6 w 90"/>
                <a:gd name="T1" fmla="*/ 60 h 60"/>
                <a:gd name="T2" fmla="*/ 90 w 90"/>
                <a:gd name="T3" fmla="*/ 54 h 60"/>
                <a:gd name="T4" fmla="*/ 0 w 90"/>
                <a:gd name="T5" fmla="*/ 0 h 60"/>
                <a:gd name="T6" fmla="*/ 86 w 90"/>
                <a:gd name="T7" fmla="*/ 60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86" y="60"/>
                  </a:moveTo>
                  <a:lnTo>
                    <a:pt x="90" y="54"/>
                  </a:lnTo>
                  <a:lnTo>
                    <a:pt x="0" y="0"/>
                  </a:lnTo>
                  <a:lnTo>
                    <a:pt x="86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2" name="Freeform 274">
              <a:extLst>
                <a:ext uri="{FF2B5EF4-FFF2-40B4-BE49-F238E27FC236}">
                  <a16:creationId xmlns:a16="http://schemas.microsoft.com/office/drawing/2014/main" id="{56D26B58-8C57-491F-813F-B34A871CC3DC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0 w 94"/>
                <a:gd name="T1" fmla="*/ 54 h 54"/>
                <a:gd name="T2" fmla="*/ 94 w 94"/>
                <a:gd name="T3" fmla="*/ 48 h 54"/>
                <a:gd name="T4" fmla="*/ 0 w 94"/>
                <a:gd name="T5" fmla="*/ 0 h 54"/>
                <a:gd name="T6" fmla="*/ 90 w 94"/>
                <a:gd name="T7" fmla="*/ 54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4">
                  <a:moveTo>
                    <a:pt x="90" y="54"/>
                  </a:moveTo>
                  <a:lnTo>
                    <a:pt x="94" y="48"/>
                  </a:lnTo>
                  <a:lnTo>
                    <a:pt x="0" y="0"/>
                  </a:lnTo>
                  <a:lnTo>
                    <a:pt x="9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3" name="Freeform 275">
              <a:extLst>
                <a:ext uri="{FF2B5EF4-FFF2-40B4-BE49-F238E27FC236}">
                  <a16:creationId xmlns:a16="http://schemas.microsoft.com/office/drawing/2014/main" id="{4EEF664D-A62C-416F-9AAB-64F97C0B71E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4 w 97"/>
                <a:gd name="T1" fmla="*/ 48 h 48"/>
                <a:gd name="T2" fmla="*/ 97 w 97"/>
                <a:gd name="T3" fmla="*/ 42 h 48"/>
                <a:gd name="T4" fmla="*/ 0 w 97"/>
                <a:gd name="T5" fmla="*/ 0 h 48"/>
                <a:gd name="T6" fmla="*/ 94 w 97"/>
                <a:gd name="T7" fmla="*/ 48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8">
                  <a:moveTo>
                    <a:pt x="94" y="48"/>
                  </a:moveTo>
                  <a:lnTo>
                    <a:pt x="97" y="42"/>
                  </a:lnTo>
                  <a:lnTo>
                    <a:pt x="0" y="0"/>
                  </a:lnTo>
                  <a:lnTo>
                    <a:pt x="94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4" name="Freeform 276">
              <a:extLst>
                <a:ext uri="{FF2B5EF4-FFF2-40B4-BE49-F238E27FC236}">
                  <a16:creationId xmlns:a16="http://schemas.microsoft.com/office/drawing/2014/main" id="{E4C954A9-FC58-4603-BFB8-9D1CB776079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7 w 99"/>
                <a:gd name="T1" fmla="*/ 42 h 42"/>
                <a:gd name="T2" fmla="*/ 99 w 99"/>
                <a:gd name="T3" fmla="*/ 35 h 42"/>
                <a:gd name="T4" fmla="*/ 0 w 99"/>
                <a:gd name="T5" fmla="*/ 0 h 42"/>
                <a:gd name="T6" fmla="*/ 97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7" y="42"/>
                  </a:moveTo>
                  <a:lnTo>
                    <a:pt x="99" y="35"/>
                  </a:lnTo>
                  <a:lnTo>
                    <a:pt x="0" y="0"/>
                  </a:lnTo>
                  <a:lnTo>
                    <a:pt x="97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5" name="Freeform 277">
              <a:extLst>
                <a:ext uri="{FF2B5EF4-FFF2-40B4-BE49-F238E27FC236}">
                  <a16:creationId xmlns:a16="http://schemas.microsoft.com/office/drawing/2014/main" id="{602A1A80-197C-48AA-815A-8FFDDCFD1FC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99 w 102"/>
                <a:gd name="T1" fmla="*/ 35 h 35"/>
                <a:gd name="T2" fmla="*/ 102 w 102"/>
                <a:gd name="T3" fmla="*/ 28 h 35"/>
                <a:gd name="T4" fmla="*/ 0 w 102"/>
                <a:gd name="T5" fmla="*/ 0 h 35"/>
                <a:gd name="T6" fmla="*/ 99 w 102"/>
                <a:gd name="T7" fmla="*/ 35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99" y="35"/>
                  </a:moveTo>
                  <a:lnTo>
                    <a:pt x="102" y="28"/>
                  </a:lnTo>
                  <a:lnTo>
                    <a:pt x="0" y="0"/>
                  </a:lnTo>
                  <a:lnTo>
                    <a:pt x="99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6" name="Freeform 278">
              <a:extLst>
                <a:ext uri="{FF2B5EF4-FFF2-40B4-BE49-F238E27FC236}">
                  <a16:creationId xmlns:a16="http://schemas.microsoft.com/office/drawing/2014/main" id="{1FE99BFC-E11A-4A4A-9A62-1E93CE906626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2 w 103"/>
                <a:gd name="T1" fmla="*/ 28 h 28"/>
                <a:gd name="T2" fmla="*/ 103 w 103"/>
                <a:gd name="T3" fmla="*/ 21 h 28"/>
                <a:gd name="T4" fmla="*/ 0 w 103"/>
                <a:gd name="T5" fmla="*/ 0 h 28"/>
                <a:gd name="T6" fmla="*/ 102 w 103"/>
                <a:gd name="T7" fmla="*/ 28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102" y="28"/>
                  </a:moveTo>
                  <a:lnTo>
                    <a:pt x="103" y="21"/>
                  </a:lnTo>
                  <a:lnTo>
                    <a:pt x="0" y="0"/>
                  </a:lnTo>
                  <a:lnTo>
                    <a:pt x="102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7" name="Freeform 279">
              <a:extLst>
                <a:ext uri="{FF2B5EF4-FFF2-40B4-BE49-F238E27FC236}">
                  <a16:creationId xmlns:a16="http://schemas.microsoft.com/office/drawing/2014/main" id="{4BFBE26F-311A-49A9-BDFD-38EC7228517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3 w 104"/>
                <a:gd name="T1" fmla="*/ 21 h 21"/>
                <a:gd name="T2" fmla="*/ 104 w 104"/>
                <a:gd name="T3" fmla="*/ 14 h 21"/>
                <a:gd name="T4" fmla="*/ 0 w 104"/>
                <a:gd name="T5" fmla="*/ 0 h 21"/>
                <a:gd name="T6" fmla="*/ 103 w 104"/>
                <a:gd name="T7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103" y="21"/>
                  </a:moveTo>
                  <a:lnTo>
                    <a:pt x="104" y="14"/>
                  </a:lnTo>
                  <a:lnTo>
                    <a:pt x="0" y="0"/>
                  </a:lnTo>
                  <a:lnTo>
                    <a:pt x="103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8" name="Freeform 280">
              <a:extLst>
                <a:ext uri="{FF2B5EF4-FFF2-40B4-BE49-F238E27FC236}">
                  <a16:creationId xmlns:a16="http://schemas.microsoft.com/office/drawing/2014/main" id="{A5D2E1A1-9364-43BC-9B74-22B9820302A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4 w 105"/>
                <a:gd name="T1" fmla="*/ 14 h 14"/>
                <a:gd name="T2" fmla="*/ 105 w 105"/>
                <a:gd name="T3" fmla="*/ 7 h 14"/>
                <a:gd name="T4" fmla="*/ 0 w 105"/>
                <a:gd name="T5" fmla="*/ 0 h 14"/>
                <a:gd name="T6" fmla="*/ 104 w 105"/>
                <a:gd name="T7" fmla="*/ 14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104" y="14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9" name="Freeform 281">
              <a:extLst>
                <a:ext uri="{FF2B5EF4-FFF2-40B4-BE49-F238E27FC236}">
                  <a16:creationId xmlns:a16="http://schemas.microsoft.com/office/drawing/2014/main" id="{4BE175D1-3CDC-4BB1-A25A-1956E4C25C5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0" name="Freeform 282">
              <a:extLst>
                <a:ext uri="{FF2B5EF4-FFF2-40B4-BE49-F238E27FC236}">
                  <a16:creationId xmlns:a16="http://schemas.microsoft.com/office/drawing/2014/main" id="{6DB10824-B02B-484F-9873-F05C49D9FFAF}"/>
                </a:ext>
              </a:extLst>
            </xdr:cNvPr>
            <xdr:cNvSpPr>
              <a:spLocks/>
            </xdr:cNvSpPr>
          </xdr:nvSpPr>
          <xdr:spPr bwMode="auto">
            <a:xfrm>
              <a:off x="1017" y="188"/>
              <a:ext cx="6" cy="9"/>
            </a:xfrm>
            <a:custGeom>
              <a:avLst/>
              <a:gdLst>
                <a:gd name="T0" fmla="*/ 351 w 351"/>
                <a:gd name="T1" fmla="*/ 439 h 526"/>
                <a:gd name="T2" fmla="*/ 264 w 351"/>
                <a:gd name="T3" fmla="*/ 526 h 526"/>
                <a:gd name="T4" fmla="*/ 87 w 351"/>
                <a:gd name="T5" fmla="*/ 526 h 526"/>
                <a:gd name="T6" fmla="*/ 0 w 351"/>
                <a:gd name="T7" fmla="*/ 439 h 526"/>
                <a:gd name="T8" fmla="*/ 0 w 351"/>
                <a:gd name="T9" fmla="*/ 88 h 526"/>
                <a:gd name="T10" fmla="*/ 87 w 351"/>
                <a:gd name="T11" fmla="*/ 0 h 526"/>
                <a:gd name="T12" fmla="*/ 264 w 351"/>
                <a:gd name="T13" fmla="*/ 0 h 526"/>
                <a:gd name="T14" fmla="*/ 351 w 351"/>
                <a:gd name="T15" fmla="*/ 88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351" h="526">
                  <a:moveTo>
                    <a:pt x="351" y="439"/>
                  </a:moveTo>
                  <a:lnTo>
                    <a:pt x="264" y="526"/>
                  </a:lnTo>
                  <a:lnTo>
                    <a:pt x="87" y="526"/>
                  </a:lnTo>
                  <a:lnTo>
                    <a:pt x="0" y="439"/>
                  </a:lnTo>
                  <a:lnTo>
                    <a:pt x="0" y="88"/>
                  </a:lnTo>
                  <a:lnTo>
                    <a:pt x="87" y="0"/>
                  </a:lnTo>
                  <a:lnTo>
                    <a:pt x="264" y="0"/>
                  </a:lnTo>
                  <a:lnTo>
                    <a:pt x="351" y="88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71" name="Freeform 283">
              <a:extLst>
                <a:ext uri="{FF2B5EF4-FFF2-40B4-BE49-F238E27FC236}">
                  <a16:creationId xmlns:a16="http://schemas.microsoft.com/office/drawing/2014/main" id="{A6AA1DC5-8F26-43F5-A22C-2ABE26EDE50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8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8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2" name="Freeform 284">
              <a:extLst>
                <a:ext uri="{FF2B5EF4-FFF2-40B4-BE49-F238E27FC236}">
                  <a16:creationId xmlns:a16="http://schemas.microsoft.com/office/drawing/2014/main" id="{85ACA979-6E3F-4CE1-B5F4-8D2F83C1A32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7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3" name="Freeform 285">
              <a:extLst>
                <a:ext uri="{FF2B5EF4-FFF2-40B4-BE49-F238E27FC236}">
                  <a16:creationId xmlns:a16="http://schemas.microsoft.com/office/drawing/2014/main" id="{86C81A53-E78A-4FB9-9F90-264ACE9B2012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4 w 104"/>
                <a:gd name="T1" fmla="*/ 8 h 23"/>
                <a:gd name="T2" fmla="*/ 103 w 104"/>
                <a:gd name="T3" fmla="*/ 0 h 23"/>
                <a:gd name="T4" fmla="*/ 0 w 104"/>
                <a:gd name="T5" fmla="*/ 23 h 23"/>
                <a:gd name="T6" fmla="*/ 104 w 104"/>
                <a:gd name="T7" fmla="*/ 8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04" y="8"/>
                  </a:moveTo>
                  <a:lnTo>
                    <a:pt x="103" y="0"/>
                  </a:lnTo>
                  <a:lnTo>
                    <a:pt x="0" y="23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4" name="Freeform 286">
              <a:extLst>
                <a:ext uri="{FF2B5EF4-FFF2-40B4-BE49-F238E27FC236}">
                  <a16:creationId xmlns:a16="http://schemas.microsoft.com/office/drawing/2014/main" id="{BB8C16F5-1D88-4F44-9820-CE5342721E09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3 w 103"/>
                <a:gd name="T1" fmla="*/ 7 h 30"/>
                <a:gd name="T2" fmla="*/ 101 w 103"/>
                <a:gd name="T3" fmla="*/ 0 h 30"/>
                <a:gd name="T4" fmla="*/ 0 w 103"/>
                <a:gd name="T5" fmla="*/ 30 h 30"/>
                <a:gd name="T6" fmla="*/ 103 w 103"/>
                <a:gd name="T7" fmla="*/ 7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103" y="7"/>
                  </a:moveTo>
                  <a:lnTo>
                    <a:pt x="101" y="0"/>
                  </a:lnTo>
                  <a:lnTo>
                    <a:pt x="0" y="30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5" name="Freeform 287">
              <a:extLst>
                <a:ext uri="{FF2B5EF4-FFF2-40B4-BE49-F238E27FC236}">
                  <a16:creationId xmlns:a16="http://schemas.microsoft.com/office/drawing/2014/main" id="{B65CCA65-B19E-40BE-BFDA-16D31430F0E7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1 w 101"/>
                <a:gd name="T1" fmla="*/ 7 h 37"/>
                <a:gd name="T2" fmla="*/ 99 w 101"/>
                <a:gd name="T3" fmla="*/ 0 h 37"/>
                <a:gd name="T4" fmla="*/ 0 w 101"/>
                <a:gd name="T5" fmla="*/ 37 h 37"/>
                <a:gd name="T6" fmla="*/ 101 w 101"/>
                <a:gd name="T7" fmla="*/ 7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101" y="7"/>
                  </a:moveTo>
                  <a:lnTo>
                    <a:pt x="99" y="0"/>
                  </a:lnTo>
                  <a:lnTo>
                    <a:pt x="0" y="37"/>
                  </a:lnTo>
                  <a:lnTo>
                    <a:pt x="101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6" name="Freeform 288">
              <a:extLst>
                <a:ext uri="{FF2B5EF4-FFF2-40B4-BE49-F238E27FC236}">
                  <a16:creationId xmlns:a16="http://schemas.microsoft.com/office/drawing/2014/main" id="{996148D2-2786-4D65-9268-25B580EDC468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9 w 99"/>
                <a:gd name="T1" fmla="*/ 7 h 44"/>
                <a:gd name="T2" fmla="*/ 96 w 99"/>
                <a:gd name="T3" fmla="*/ 0 h 44"/>
                <a:gd name="T4" fmla="*/ 0 w 99"/>
                <a:gd name="T5" fmla="*/ 44 h 44"/>
                <a:gd name="T6" fmla="*/ 99 w 99"/>
                <a:gd name="T7" fmla="*/ 7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99" y="7"/>
                  </a:moveTo>
                  <a:lnTo>
                    <a:pt x="96" y="0"/>
                  </a:lnTo>
                  <a:lnTo>
                    <a:pt x="0" y="44"/>
                  </a:lnTo>
                  <a:lnTo>
                    <a:pt x="99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7" name="Freeform 289">
              <a:extLst>
                <a:ext uri="{FF2B5EF4-FFF2-40B4-BE49-F238E27FC236}">
                  <a16:creationId xmlns:a16="http://schemas.microsoft.com/office/drawing/2014/main" id="{D2D8D1D7-DC0D-4DEC-A744-7521217E83C1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6 w 96"/>
                <a:gd name="T1" fmla="*/ 7 h 51"/>
                <a:gd name="T2" fmla="*/ 92 w 96"/>
                <a:gd name="T3" fmla="*/ 0 h 51"/>
                <a:gd name="T4" fmla="*/ 0 w 96"/>
                <a:gd name="T5" fmla="*/ 51 h 51"/>
                <a:gd name="T6" fmla="*/ 96 w 96"/>
                <a:gd name="T7" fmla="*/ 7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96" y="7"/>
                  </a:moveTo>
                  <a:lnTo>
                    <a:pt x="92" y="0"/>
                  </a:lnTo>
                  <a:lnTo>
                    <a:pt x="0" y="51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8" name="Freeform 290">
              <a:extLst>
                <a:ext uri="{FF2B5EF4-FFF2-40B4-BE49-F238E27FC236}">
                  <a16:creationId xmlns:a16="http://schemas.microsoft.com/office/drawing/2014/main" id="{3954DF6C-B3BF-40DE-80C3-44514B64D4A3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2 w 92"/>
                <a:gd name="T1" fmla="*/ 6 h 57"/>
                <a:gd name="T2" fmla="*/ 88 w 92"/>
                <a:gd name="T3" fmla="*/ 0 h 57"/>
                <a:gd name="T4" fmla="*/ 0 w 92"/>
                <a:gd name="T5" fmla="*/ 57 h 57"/>
                <a:gd name="T6" fmla="*/ 92 w 92"/>
                <a:gd name="T7" fmla="*/ 6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92" y="6"/>
                  </a:moveTo>
                  <a:lnTo>
                    <a:pt x="88" y="0"/>
                  </a:lnTo>
                  <a:lnTo>
                    <a:pt x="0" y="57"/>
                  </a:lnTo>
                  <a:lnTo>
                    <a:pt x="92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9" name="Freeform 291">
              <a:extLst>
                <a:ext uri="{FF2B5EF4-FFF2-40B4-BE49-F238E27FC236}">
                  <a16:creationId xmlns:a16="http://schemas.microsoft.com/office/drawing/2014/main" id="{4CED10B0-715E-4E62-A3B9-AF734E222313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8 w 88"/>
                <a:gd name="T1" fmla="*/ 6 h 63"/>
                <a:gd name="T2" fmla="*/ 84 w 88"/>
                <a:gd name="T3" fmla="*/ 0 h 63"/>
                <a:gd name="T4" fmla="*/ 0 w 88"/>
                <a:gd name="T5" fmla="*/ 63 h 63"/>
                <a:gd name="T6" fmla="*/ 88 w 88"/>
                <a:gd name="T7" fmla="*/ 6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8" y="6"/>
                  </a:moveTo>
                  <a:lnTo>
                    <a:pt x="84" y="0"/>
                  </a:lnTo>
                  <a:lnTo>
                    <a:pt x="0" y="63"/>
                  </a:lnTo>
                  <a:lnTo>
                    <a:pt x="88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0" name="Freeform 292">
              <a:extLst>
                <a:ext uri="{FF2B5EF4-FFF2-40B4-BE49-F238E27FC236}">
                  <a16:creationId xmlns:a16="http://schemas.microsoft.com/office/drawing/2014/main" id="{AB56EFE0-2EE6-4D54-8C9B-497C6DB0B819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4 w 84"/>
                <a:gd name="T1" fmla="*/ 6 h 69"/>
                <a:gd name="T2" fmla="*/ 79 w 84"/>
                <a:gd name="T3" fmla="*/ 0 h 69"/>
                <a:gd name="T4" fmla="*/ 0 w 84"/>
                <a:gd name="T5" fmla="*/ 69 h 69"/>
                <a:gd name="T6" fmla="*/ 84 w 84"/>
                <a:gd name="T7" fmla="*/ 6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84" y="6"/>
                  </a:moveTo>
                  <a:lnTo>
                    <a:pt x="79" y="0"/>
                  </a:lnTo>
                  <a:lnTo>
                    <a:pt x="0" y="69"/>
                  </a:lnTo>
                  <a:lnTo>
                    <a:pt x="8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1" name="Freeform 293">
              <a:extLst>
                <a:ext uri="{FF2B5EF4-FFF2-40B4-BE49-F238E27FC236}">
                  <a16:creationId xmlns:a16="http://schemas.microsoft.com/office/drawing/2014/main" id="{51F4DACC-A13A-4925-A26F-2D31ACB11C21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79 w 79"/>
                <a:gd name="T1" fmla="*/ 6 h 75"/>
                <a:gd name="T2" fmla="*/ 74 w 79"/>
                <a:gd name="T3" fmla="*/ 0 h 75"/>
                <a:gd name="T4" fmla="*/ 0 w 79"/>
                <a:gd name="T5" fmla="*/ 75 h 75"/>
                <a:gd name="T6" fmla="*/ 79 w 79"/>
                <a:gd name="T7" fmla="*/ 6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5">
                  <a:moveTo>
                    <a:pt x="79" y="6"/>
                  </a:moveTo>
                  <a:lnTo>
                    <a:pt x="74" y="0"/>
                  </a:lnTo>
                  <a:lnTo>
                    <a:pt x="0" y="75"/>
                  </a:lnTo>
                  <a:lnTo>
                    <a:pt x="7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2" name="Freeform 294">
              <a:extLst>
                <a:ext uri="{FF2B5EF4-FFF2-40B4-BE49-F238E27FC236}">
                  <a16:creationId xmlns:a16="http://schemas.microsoft.com/office/drawing/2014/main" id="{D3A7E77A-B8C0-4460-A938-5890BACF535D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74 w 74"/>
                <a:gd name="T1" fmla="*/ 5 h 80"/>
                <a:gd name="T2" fmla="*/ 69 w 74"/>
                <a:gd name="T3" fmla="*/ 0 h 80"/>
                <a:gd name="T4" fmla="*/ 0 w 74"/>
                <a:gd name="T5" fmla="*/ 80 h 80"/>
                <a:gd name="T6" fmla="*/ 74 w 74"/>
                <a:gd name="T7" fmla="*/ 5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74" y="5"/>
                  </a:moveTo>
                  <a:lnTo>
                    <a:pt x="69" y="0"/>
                  </a:lnTo>
                  <a:lnTo>
                    <a:pt x="0" y="80"/>
                  </a:lnTo>
                  <a:lnTo>
                    <a:pt x="74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3" name="Freeform 295">
              <a:extLst>
                <a:ext uri="{FF2B5EF4-FFF2-40B4-BE49-F238E27FC236}">
                  <a16:creationId xmlns:a16="http://schemas.microsoft.com/office/drawing/2014/main" id="{F109DB99-4D9C-42C2-9776-1BBE27321B15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9 w 69"/>
                <a:gd name="T1" fmla="*/ 5 h 85"/>
                <a:gd name="T2" fmla="*/ 63 w 69"/>
                <a:gd name="T3" fmla="*/ 0 h 85"/>
                <a:gd name="T4" fmla="*/ 0 w 69"/>
                <a:gd name="T5" fmla="*/ 85 h 85"/>
                <a:gd name="T6" fmla="*/ 69 w 69"/>
                <a:gd name="T7" fmla="*/ 5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9" y="5"/>
                  </a:moveTo>
                  <a:lnTo>
                    <a:pt x="63" y="0"/>
                  </a:lnTo>
                  <a:lnTo>
                    <a:pt x="0" y="85"/>
                  </a:lnTo>
                  <a:lnTo>
                    <a:pt x="69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4" name="Freeform 296">
              <a:extLst>
                <a:ext uri="{FF2B5EF4-FFF2-40B4-BE49-F238E27FC236}">
                  <a16:creationId xmlns:a16="http://schemas.microsoft.com/office/drawing/2014/main" id="{C9DC33C7-CB59-4EED-A60A-CEF912B2F12C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3 w 63"/>
                <a:gd name="T1" fmla="*/ 4 h 89"/>
                <a:gd name="T2" fmla="*/ 57 w 63"/>
                <a:gd name="T3" fmla="*/ 0 h 89"/>
                <a:gd name="T4" fmla="*/ 0 w 63"/>
                <a:gd name="T5" fmla="*/ 89 h 89"/>
                <a:gd name="T6" fmla="*/ 63 w 63"/>
                <a:gd name="T7" fmla="*/ 4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3" y="4"/>
                  </a:moveTo>
                  <a:lnTo>
                    <a:pt x="57" y="0"/>
                  </a:lnTo>
                  <a:lnTo>
                    <a:pt x="0" y="89"/>
                  </a:lnTo>
                  <a:lnTo>
                    <a:pt x="63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5" name="Freeform 297">
              <a:extLst>
                <a:ext uri="{FF2B5EF4-FFF2-40B4-BE49-F238E27FC236}">
                  <a16:creationId xmlns:a16="http://schemas.microsoft.com/office/drawing/2014/main" id="{A7EDAA52-BA23-48BF-989C-0DFDB26B8192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57 w 57"/>
                <a:gd name="T1" fmla="*/ 4 h 93"/>
                <a:gd name="T2" fmla="*/ 50 w 57"/>
                <a:gd name="T3" fmla="*/ 0 h 93"/>
                <a:gd name="T4" fmla="*/ 0 w 57"/>
                <a:gd name="T5" fmla="*/ 93 h 93"/>
                <a:gd name="T6" fmla="*/ 57 w 57"/>
                <a:gd name="T7" fmla="*/ 4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57" y="4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6" name="Freeform 298">
              <a:extLst>
                <a:ext uri="{FF2B5EF4-FFF2-40B4-BE49-F238E27FC236}">
                  <a16:creationId xmlns:a16="http://schemas.microsoft.com/office/drawing/2014/main" id="{792CD267-0716-46B7-ADC7-E2DE82524EA7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50 w 50"/>
                <a:gd name="T1" fmla="*/ 3 h 96"/>
                <a:gd name="T2" fmla="*/ 44 w 50"/>
                <a:gd name="T3" fmla="*/ 0 h 96"/>
                <a:gd name="T4" fmla="*/ 0 w 50"/>
                <a:gd name="T5" fmla="*/ 96 h 96"/>
                <a:gd name="T6" fmla="*/ 50 w 50"/>
                <a:gd name="T7" fmla="*/ 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50" y="3"/>
                  </a:moveTo>
                  <a:lnTo>
                    <a:pt x="44" y="0"/>
                  </a:lnTo>
                  <a:lnTo>
                    <a:pt x="0" y="96"/>
                  </a:lnTo>
                  <a:lnTo>
                    <a:pt x="50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7" name="Freeform 299">
              <a:extLst>
                <a:ext uri="{FF2B5EF4-FFF2-40B4-BE49-F238E27FC236}">
                  <a16:creationId xmlns:a16="http://schemas.microsoft.com/office/drawing/2014/main" id="{F0658A89-815C-42BF-997A-4B8A5E8AE6F8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44 w 44"/>
                <a:gd name="T1" fmla="*/ 3 h 99"/>
                <a:gd name="T2" fmla="*/ 37 w 44"/>
                <a:gd name="T3" fmla="*/ 0 h 99"/>
                <a:gd name="T4" fmla="*/ 0 w 44"/>
                <a:gd name="T5" fmla="*/ 99 h 99"/>
                <a:gd name="T6" fmla="*/ 44 w 44"/>
                <a:gd name="T7" fmla="*/ 3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44" y="3"/>
                  </a:moveTo>
                  <a:lnTo>
                    <a:pt x="37" y="0"/>
                  </a:lnTo>
                  <a:lnTo>
                    <a:pt x="0" y="99"/>
                  </a:lnTo>
                  <a:lnTo>
                    <a:pt x="44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8" name="Freeform 300">
              <a:extLst>
                <a:ext uri="{FF2B5EF4-FFF2-40B4-BE49-F238E27FC236}">
                  <a16:creationId xmlns:a16="http://schemas.microsoft.com/office/drawing/2014/main" id="{3F5114BD-0B4C-4C6C-A023-5EE644063D32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7 w 37"/>
                <a:gd name="T1" fmla="*/ 2 h 101"/>
                <a:gd name="T2" fmla="*/ 30 w 37"/>
                <a:gd name="T3" fmla="*/ 0 h 101"/>
                <a:gd name="T4" fmla="*/ 0 w 37"/>
                <a:gd name="T5" fmla="*/ 101 h 101"/>
                <a:gd name="T6" fmla="*/ 37 w 37"/>
                <a:gd name="T7" fmla="*/ 2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7" y="2"/>
                  </a:moveTo>
                  <a:lnTo>
                    <a:pt x="30" y="0"/>
                  </a:lnTo>
                  <a:lnTo>
                    <a:pt x="0" y="101"/>
                  </a:lnTo>
                  <a:lnTo>
                    <a:pt x="37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9" name="Freeform 301">
              <a:extLst>
                <a:ext uri="{FF2B5EF4-FFF2-40B4-BE49-F238E27FC236}">
                  <a16:creationId xmlns:a16="http://schemas.microsoft.com/office/drawing/2014/main" id="{D00D54D8-CAF1-43E1-8C9B-65D11B59A69C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0 w 30"/>
                <a:gd name="T1" fmla="*/ 2 h 103"/>
                <a:gd name="T2" fmla="*/ 22 w 30"/>
                <a:gd name="T3" fmla="*/ 0 h 103"/>
                <a:gd name="T4" fmla="*/ 0 w 30"/>
                <a:gd name="T5" fmla="*/ 103 h 103"/>
                <a:gd name="T6" fmla="*/ 30 w 30"/>
                <a:gd name="T7" fmla="*/ 2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30" y="2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30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0" name="Freeform 302">
              <a:extLst>
                <a:ext uri="{FF2B5EF4-FFF2-40B4-BE49-F238E27FC236}">
                  <a16:creationId xmlns:a16="http://schemas.microsoft.com/office/drawing/2014/main" id="{3778E794-F3EB-4200-93FD-2714045B5942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1" name="Freeform 303">
              <a:extLst>
                <a:ext uri="{FF2B5EF4-FFF2-40B4-BE49-F238E27FC236}">
                  <a16:creationId xmlns:a16="http://schemas.microsoft.com/office/drawing/2014/main" id="{266F6055-A770-4F0D-A21A-2C332DB55EA7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2" name="Freeform 304">
              <a:extLst>
                <a:ext uri="{FF2B5EF4-FFF2-40B4-BE49-F238E27FC236}">
                  <a16:creationId xmlns:a16="http://schemas.microsoft.com/office/drawing/2014/main" id="{47D84C17-59F0-483F-8F48-900DE9D61F5F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3" name="Freeform 305">
              <a:extLst>
                <a:ext uri="{FF2B5EF4-FFF2-40B4-BE49-F238E27FC236}">
                  <a16:creationId xmlns:a16="http://schemas.microsoft.com/office/drawing/2014/main" id="{93CF3D55-0AC9-4DB7-BDF8-BACECA118D4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8 w 8"/>
                <a:gd name="T1" fmla="*/ 0 h 106"/>
                <a:gd name="T2" fmla="*/ 0 w 8"/>
                <a:gd name="T3" fmla="*/ 1 h 106"/>
                <a:gd name="T4" fmla="*/ 8 w 8"/>
                <a:gd name="T5" fmla="*/ 106 h 106"/>
                <a:gd name="T6" fmla="*/ 8 w 8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6">
                  <a:moveTo>
                    <a:pt x="8" y="0"/>
                  </a:moveTo>
                  <a:lnTo>
                    <a:pt x="0" y="1"/>
                  </a:lnTo>
                  <a:lnTo>
                    <a:pt x="8" y="106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4" name="Freeform 306">
              <a:extLst>
                <a:ext uri="{FF2B5EF4-FFF2-40B4-BE49-F238E27FC236}">
                  <a16:creationId xmlns:a16="http://schemas.microsoft.com/office/drawing/2014/main" id="{0E16E692-1DF5-4F09-8B6A-254032085219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15"/>
                <a:gd name="T1" fmla="*/ 0 h 105"/>
                <a:gd name="T2" fmla="*/ 0 w 15"/>
                <a:gd name="T3" fmla="*/ 0 h 105"/>
                <a:gd name="T4" fmla="*/ 15 w 15"/>
                <a:gd name="T5" fmla="*/ 105 h 105"/>
                <a:gd name="T6" fmla="*/ 7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0"/>
                  </a:moveTo>
                  <a:lnTo>
                    <a:pt x="0" y="0"/>
                  </a:lnTo>
                  <a:lnTo>
                    <a:pt x="15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5" name="Freeform 307">
              <a:extLst>
                <a:ext uri="{FF2B5EF4-FFF2-40B4-BE49-F238E27FC236}">
                  <a16:creationId xmlns:a16="http://schemas.microsoft.com/office/drawing/2014/main" id="{368F8E1C-D7FB-4E79-A011-1128D48E5722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22"/>
                <a:gd name="T1" fmla="*/ 0 h 105"/>
                <a:gd name="T2" fmla="*/ 0 w 22"/>
                <a:gd name="T3" fmla="*/ 2 h 105"/>
                <a:gd name="T4" fmla="*/ 22 w 22"/>
                <a:gd name="T5" fmla="*/ 105 h 105"/>
                <a:gd name="T6" fmla="*/ 7 w 22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7" y="0"/>
                  </a:moveTo>
                  <a:lnTo>
                    <a:pt x="0" y="2"/>
                  </a:lnTo>
                  <a:lnTo>
                    <a:pt x="22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6" name="Freeform 308">
              <a:extLst>
                <a:ext uri="{FF2B5EF4-FFF2-40B4-BE49-F238E27FC236}">
                  <a16:creationId xmlns:a16="http://schemas.microsoft.com/office/drawing/2014/main" id="{1286FA8B-9298-438F-B782-DAEFD2210674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8 w 30"/>
                <a:gd name="T1" fmla="*/ 0 h 103"/>
                <a:gd name="T2" fmla="*/ 0 w 30"/>
                <a:gd name="T3" fmla="*/ 2 h 103"/>
                <a:gd name="T4" fmla="*/ 30 w 30"/>
                <a:gd name="T5" fmla="*/ 103 h 103"/>
                <a:gd name="T6" fmla="*/ 8 w 30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8" y="0"/>
                  </a:moveTo>
                  <a:lnTo>
                    <a:pt x="0" y="2"/>
                  </a:lnTo>
                  <a:lnTo>
                    <a:pt x="30" y="10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7" name="Freeform 309">
              <a:extLst>
                <a:ext uri="{FF2B5EF4-FFF2-40B4-BE49-F238E27FC236}">
                  <a16:creationId xmlns:a16="http://schemas.microsoft.com/office/drawing/2014/main" id="{DDE6E69E-265B-421A-9A40-7D36A2852665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37"/>
                <a:gd name="T1" fmla="*/ 0 h 101"/>
                <a:gd name="T2" fmla="*/ 0 w 37"/>
                <a:gd name="T3" fmla="*/ 2 h 101"/>
                <a:gd name="T4" fmla="*/ 37 w 37"/>
                <a:gd name="T5" fmla="*/ 101 h 101"/>
                <a:gd name="T6" fmla="*/ 7 w 37"/>
                <a:gd name="T7" fmla="*/ 0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7" y="0"/>
                  </a:moveTo>
                  <a:lnTo>
                    <a:pt x="0" y="2"/>
                  </a:lnTo>
                  <a:lnTo>
                    <a:pt x="37" y="10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8" name="Freeform 310">
              <a:extLst>
                <a:ext uri="{FF2B5EF4-FFF2-40B4-BE49-F238E27FC236}">
                  <a16:creationId xmlns:a16="http://schemas.microsoft.com/office/drawing/2014/main" id="{F92B1BA0-C5EF-4387-86CE-B89A0C293B77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44"/>
                <a:gd name="T1" fmla="*/ 0 h 99"/>
                <a:gd name="T2" fmla="*/ 0 w 44"/>
                <a:gd name="T3" fmla="*/ 3 h 99"/>
                <a:gd name="T4" fmla="*/ 44 w 44"/>
                <a:gd name="T5" fmla="*/ 99 h 99"/>
                <a:gd name="T6" fmla="*/ 7 w 44"/>
                <a:gd name="T7" fmla="*/ 0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7" y="0"/>
                  </a:moveTo>
                  <a:lnTo>
                    <a:pt x="0" y="3"/>
                  </a:lnTo>
                  <a:lnTo>
                    <a:pt x="44" y="99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9" name="Freeform 311">
              <a:extLst>
                <a:ext uri="{FF2B5EF4-FFF2-40B4-BE49-F238E27FC236}">
                  <a16:creationId xmlns:a16="http://schemas.microsoft.com/office/drawing/2014/main" id="{97B350E8-3E06-4793-9019-08DA7EED9C9D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50"/>
                <a:gd name="T1" fmla="*/ 0 h 96"/>
                <a:gd name="T2" fmla="*/ 0 w 50"/>
                <a:gd name="T3" fmla="*/ 3 h 96"/>
                <a:gd name="T4" fmla="*/ 50 w 50"/>
                <a:gd name="T5" fmla="*/ 96 h 96"/>
                <a:gd name="T6" fmla="*/ 6 w 50"/>
                <a:gd name="T7" fmla="*/ 0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6" y="0"/>
                  </a:moveTo>
                  <a:lnTo>
                    <a:pt x="0" y="3"/>
                  </a:lnTo>
                  <a:lnTo>
                    <a:pt x="50" y="9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0" name="Freeform 312">
              <a:extLst>
                <a:ext uri="{FF2B5EF4-FFF2-40B4-BE49-F238E27FC236}">
                  <a16:creationId xmlns:a16="http://schemas.microsoft.com/office/drawing/2014/main" id="{7D75138C-DC06-4FF1-9AD4-6083E234E8A2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57"/>
                <a:gd name="T1" fmla="*/ 0 h 93"/>
                <a:gd name="T2" fmla="*/ 0 w 57"/>
                <a:gd name="T3" fmla="*/ 4 h 93"/>
                <a:gd name="T4" fmla="*/ 57 w 57"/>
                <a:gd name="T5" fmla="*/ 93 h 93"/>
                <a:gd name="T6" fmla="*/ 7 w 57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7" y="0"/>
                  </a:moveTo>
                  <a:lnTo>
                    <a:pt x="0" y="4"/>
                  </a:lnTo>
                  <a:lnTo>
                    <a:pt x="57" y="9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1" name="Freeform 313">
              <a:extLst>
                <a:ext uri="{FF2B5EF4-FFF2-40B4-BE49-F238E27FC236}">
                  <a16:creationId xmlns:a16="http://schemas.microsoft.com/office/drawing/2014/main" id="{BB4D90B7-5DEB-46C2-848E-80970919CF24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63"/>
                <a:gd name="T1" fmla="*/ 0 h 89"/>
                <a:gd name="T2" fmla="*/ 0 w 63"/>
                <a:gd name="T3" fmla="*/ 4 h 89"/>
                <a:gd name="T4" fmla="*/ 63 w 63"/>
                <a:gd name="T5" fmla="*/ 89 h 89"/>
                <a:gd name="T6" fmla="*/ 6 w 63"/>
                <a:gd name="T7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" y="0"/>
                  </a:moveTo>
                  <a:lnTo>
                    <a:pt x="0" y="4"/>
                  </a:lnTo>
                  <a:lnTo>
                    <a:pt x="63" y="89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2" name="Freeform 314">
              <a:extLst>
                <a:ext uri="{FF2B5EF4-FFF2-40B4-BE49-F238E27FC236}">
                  <a16:creationId xmlns:a16="http://schemas.microsoft.com/office/drawing/2014/main" id="{D7D735E1-23AA-4475-B476-4EAD5E7E8D39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6 w 69"/>
                <a:gd name="T1" fmla="*/ 0 h 85"/>
                <a:gd name="T2" fmla="*/ 0 w 69"/>
                <a:gd name="T3" fmla="*/ 5 h 85"/>
                <a:gd name="T4" fmla="*/ 69 w 69"/>
                <a:gd name="T5" fmla="*/ 85 h 85"/>
                <a:gd name="T6" fmla="*/ 6 w 69"/>
                <a:gd name="T7" fmla="*/ 0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" y="0"/>
                  </a:moveTo>
                  <a:lnTo>
                    <a:pt x="0" y="5"/>
                  </a:lnTo>
                  <a:lnTo>
                    <a:pt x="69" y="8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3" name="Freeform 315">
              <a:extLst>
                <a:ext uri="{FF2B5EF4-FFF2-40B4-BE49-F238E27FC236}">
                  <a16:creationId xmlns:a16="http://schemas.microsoft.com/office/drawing/2014/main" id="{15E581EB-3589-41BF-B931-493DF956E4D2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5 w 74"/>
                <a:gd name="T1" fmla="*/ 0 h 80"/>
                <a:gd name="T2" fmla="*/ 0 w 74"/>
                <a:gd name="T3" fmla="*/ 5 h 80"/>
                <a:gd name="T4" fmla="*/ 74 w 74"/>
                <a:gd name="T5" fmla="*/ 80 h 80"/>
                <a:gd name="T6" fmla="*/ 5 w 74"/>
                <a:gd name="T7" fmla="*/ 0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5" y="0"/>
                  </a:moveTo>
                  <a:lnTo>
                    <a:pt x="0" y="5"/>
                  </a:lnTo>
                  <a:lnTo>
                    <a:pt x="74" y="8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4" name="Freeform 316">
              <a:extLst>
                <a:ext uri="{FF2B5EF4-FFF2-40B4-BE49-F238E27FC236}">
                  <a16:creationId xmlns:a16="http://schemas.microsoft.com/office/drawing/2014/main" id="{3F8FCC9B-B9E3-4F25-89BF-342830D14748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6 w 80"/>
                <a:gd name="T1" fmla="*/ 0 h 75"/>
                <a:gd name="T2" fmla="*/ 0 w 80"/>
                <a:gd name="T3" fmla="*/ 6 h 75"/>
                <a:gd name="T4" fmla="*/ 80 w 80"/>
                <a:gd name="T5" fmla="*/ 75 h 75"/>
                <a:gd name="T6" fmla="*/ 6 w 80"/>
                <a:gd name="T7" fmla="*/ 0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5">
                  <a:moveTo>
                    <a:pt x="6" y="0"/>
                  </a:moveTo>
                  <a:lnTo>
                    <a:pt x="0" y="6"/>
                  </a:lnTo>
                  <a:lnTo>
                    <a:pt x="80" y="7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5" name="Freeform 317">
              <a:extLst>
                <a:ext uri="{FF2B5EF4-FFF2-40B4-BE49-F238E27FC236}">
                  <a16:creationId xmlns:a16="http://schemas.microsoft.com/office/drawing/2014/main" id="{346DEA22-C9F7-43BB-BF87-E2DA1CB6684A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84"/>
                <a:gd name="T1" fmla="*/ 0 h 69"/>
                <a:gd name="T2" fmla="*/ 0 w 84"/>
                <a:gd name="T3" fmla="*/ 6 h 69"/>
                <a:gd name="T4" fmla="*/ 84 w 84"/>
                <a:gd name="T5" fmla="*/ 69 h 69"/>
                <a:gd name="T6" fmla="*/ 4 w 84"/>
                <a:gd name="T7" fmla="*/ 0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4" y="0"/>
                  </a:moveTo>
                  <a:lnTo>
                    <a:pt x="0" y="6"/>
                  </a:lnTo>
                  <a:lnTo>
                    <a:pt x="84" y="69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6" name="Freeform 318">
              <a:extLst>
                <a:ext uri="{FF2B5EF4-FFF2-40B4-BE49-F238E27FC236}">
                  <a16:creationId xmlns:a16="http://schemas.microsoft.com/office/drawing/2014/main" id="{C959D2FE-3632-4CFC-954E-AAD30AAAA775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5 w 89"/>
                <a:gd name="T1" fmla="*/ 0 h 63"/>
                <a:gd name="T2" fmla="*/ 0 w 89"/>
                <a:gd name="T3" fmla="*/ 6 h 63"/>
                <a:gd name="T4" fmla="*/ 89 w 89"/>
                <a:gd name="T5" fmla="*/ 63 h 63"/>
                <a:gd name="T6" fmla="*/ 5 w 89"/>
                <a:gd name="T7" fmla="*/ 0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5" y="0"/>
                  </a:moveTo>
                  <a:lnTo>
                    <a:pt x="0" y="6"/>
                  </a:lnTo>
                  <a:lnTo>
                    <a:pt x="89" y="63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7" name="Freeform 319">
              <a:extLst>
                <a:ext uri="{FF2B5EF4-FFF2-40B4-BE49-F238E27FC236}">
                  <a16:creationId xmlns:a16="http://schemas.microsoft.com/office/drawing/2014/main" id="{782CD62E-B9FE-46DA-8318-F5DD3F98EEC2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2"/>
                <a:gd name="T1" fmla="*/ 0 h 57"/>
                <a:gd name="T2" fmla="*/ 0 w 92"/>
                <a:gd name="T3" fmla="*/ 6 h 57"/>
                <a:gd name="T4" fmla="*/ 92 w 92"/>
                <a:gd name="T5" fmla="*/ 57 h 57"/>
                <a:gd name="T6" fmla="*/ 3 w 92"/>
                <a:gd name="T7" fmla="*/ 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3" y="0"/>
                  </a:moveTo>
                  <a:lnTo>
                    <a:pt x="0" y="6"/>
                  </a:lnTo>
                  <a:lnTo>
                    <a:pt x="92" y="57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8" name="Freeform 320">
              <a:extLst>
                <a:ext uri="{FF2B5EF4-FFF2-40B4-BE49-F238E27FC236}">
                  <a16:creationId xmlns:a16="http://schemas.microsoft.com/office/drawing/2014/main" id="{48738661-D3BD-4660-A3F3-0310D5F23A0B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96"/>
                <a:gd name="T1" fmla="*/ 0 h 51"/>
                <a:gd name="T2" fmla="*/ 0 w 96"/>
                <a:gd name="T3" fmla="*/ 7 h 51"/>
                <a:gd name="T4" fmla="*/ 96 w 96"/>
                <a:gd name="T5" fmla="*/ 51 h 51"/>
                <a:gd name="T6" fmla="*/ 4 w 96"/>
                <a:gd name="T7" fmla="*/ 0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4" y="0"/>
                  </a:moveTo>
                  <a:lnTo>
                    <a:pt x="0" y="7"/>
                  </a:lnTo>
                  <a:lnTo>
                    <a:pt x="96" y="5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9" name="Freeform 321">
              <a:extLst>
                <a:ext uri="{FF2B5EF4-FFF2-40B4-BE49-F238E27FC236}">
                  <a16:creationId xmlns:a16="http://schemas.microsoft.com/office/drawing/2014/main" id="{E374FA19-7849-4FF5-A47D-0066F3CE7537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9"/>
                <a:gd name="T1" fmla="*/ 0 h 44"/>
                <a:gd name="T2" fmla="*/ 0 w 99"/>
                <a:gd name="T3" fmla="*/ 7 h 44"/>
                <a:gd name="T4" fmla="*/ 99 w 99"/>
                <a:gd name="T5" fmla="*/ 44 h 44"/>
                <a:gd name="T6" fmla="*/ 3 w 99"/>
                <a:gd name="T7" fmla="*/ 0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3" y="0"/>
                  </a:moveTo>
                  <a:lnTo>
                    <a:pt x="0" y="7"/>
                  </a:lnTo>
                  <a:lnTo>
                    <a:pt x="99" y="44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0" name="Freeform 322">
              <a:extLst>
                <a:ext uri="{FF2B5EF4-FFF2-40B4-BE49-F238E27FC236}">
                  <a16:creationId xmlns:a16="http://schemas.microsoft.com/office/drawing/2014/main" id="{D26485F2-2DE6-4755-96D1-7D6E3169820A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1"/>
                <a:gd name="T1" fmla="*/ 0 h 37"/>
                <a:gd name="T2" fmla="*/ 0 w 101"/>
                <a:gd name="T3" fmla="*/ 7 h 37"/>
                <a:gd name="T4" fmla="*/ 101 w 101"/>
                <a:gd name="T5" fmla="*/ 37 h 37"/>
                <a:gd name="T6" fmla="*/ 2 w 101"/>
                <a:gd name="T7" fmla="*/ 0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2" y="0"/>
                  </a:moveTo>
                  <a:lnTo>
                    <a:pt x="0" y="7"/>
                  </a:lnTo>
                  <a:lnTo>
                    <a:pt x="101" y="37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1" name="Freeform 323">
              <a:extLst>
                <a:ext uri="{FF2B5EF4-FFF2-40B4-BE49-F238E27FC236}">
                  <a16:creationId xmlns:a16="http://schemas.microsoft.com/office/drawing/2014/main" id="{DF4BD0A3-F0D0-45AB-A68E-A7E053F36FC9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3"/>
                <a:gd name="T1" fmla="*/ 0 h 30"/>
                <a:gd name="T2" fmla="*/ 0 w 103"/>
                <a:gd name="T3" fmla="*/ 7 h 30"/>
                <a:gd name="T4" fmla="*/ 103 w 103"/>
                <a:gd name="T5" fmla="*/ 30 h 30"/>
                <a:gd name="T6" fmla="*/ 2 w 103"/>
                <a:gd name="T7" fmla="*/ 0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2" y="0"/>
                  </a:moveTo>
                  <a:lnTo>
                    <a:pt x="0" y="7"/>
                  </a:lnTo>
                  <a:lnTo>
                    <a:pt x="103" y="3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2" name="Freeform 324">
              <a:extLst>
                <a:ext uri="{FF2B5EF4-FFF2-40B4-BE49-F238E27FC236}">
                  <a16:creationId xmlns:a16="http://schemas.microsoft.com/office/drawing/2014/main" id="{E0F0E8F5-1788-412B-9C0C-BEF04A785AF7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1 w 104"/>
                <a:gd name="T1" fmla="*/ 0 h 23"/>
                <a:gd name="T2" fmla="*/ 0 w 104"/>
                <a:gd name="T3" fmla="*/ 8 h 23"/>
                <a:gd name="T4" fmla="*/ 104 w 104"/>
                <a:gd name="T5" fmla="*/ 23 h 23"/>
                <a:gd name="T6" fmla="*/ 1 w 104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" y="0"/>
                  </a:moveTo>
                  <a:lnTo>
                    <a:pt x="0" y="8"/>
                  </a:lnTo>
                  <a:lnTo>
                    <a:pt x="104" y="2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3" name="Freeform 325">
              <a:extLst>
                <a:ext uri="{FF2B5EF4-FFF2-40B4-BE49-F238E27FC236}">
                  <a16:creationId xmlns:a16="http://schemas.microsoft.com/office/drawing/2014/main" id="{620FFE8A-5FFF-4BC2-A395-14DBA1615EF6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7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7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4" name="Freeform 326">
              <a:extLst>
                <a:ext uri="{FF2B5EF4-FFF2-40B4-BE49-F238E27FC236}">
                  <a16:creationId xmlns:a16="http://schemas.microsoft.com/office/drawing/2014/main" id="{02B0BCE4-2288-4245-AF24-5473445B50E4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8"/>
                <a:gd name="T2" fmla="*/ 0 w 105"/>
                <a:gd name="T3" fmla="*/ 8 h 8"/>
                <a:gd name="T4" fmla="*/ 105 w 105"/>
                <a:gd name="T5" fmla="*/ 8 h 8"/>
                <a:gd name="T6" fmla="*/ 0 w 105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0" y="0"/>
                  </a:moveTo>
                  <a:lnTo>
                    <a:pt x="0" y="8"/>
                  </a:lnTo>
                  <a:lnTo>
                    <a:pt x="105" y="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5" name="Freeform 327">
              <a:extLst>
                <a:ext uri="{FF2B5EF4-FFF2-40B4-BE49-F238E27FC236}">
                  <a16:creationId xmlns:a16="http://schemas.microsoft.com/office/drawing/2014/main" id="{7FD2CD49-BE8B-4C15-B483-CF5499F0E66F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6" name="Freeform 328">
              <a:extLst>
                <a:ext uri="{FF2B5EF4-FFF2-40B4-BE49-F238E27FC236}">
                  <a16:creationId xmlns:a16="http://schemas.microsoft.com/office/drawing/2014/main" id="{7868A3B4-482D-4AE2-910F-859D474F5851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7 h 15"/>
                <a:gd name="T2" fmla="*/ 1 w 105"/>
                <a:gd name="T3" fmla="*/ 15 h 15"/>
                <a:gd name="T4" fmla="*/ 105 w 105"/>
                <a:gd name="T5" fmla="*/ 0 h 15"/>
                <a:gd name="T6" fmla="*/ 0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0" y="7"/>
                  </a:moveTo>
                  <a:lnTo>
                    <a:pt x="1" y="15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7" name="Freeform 329">
              <a:extLst>
                <a:ext uri="{FF2B5EF4-FFF2-40B4-BE49-F238E27FC236}">
                  <a16:creationId xmlns:a16="http://schemas.microsoft.com/office/drawing/2014/main" id="{A9EF796F-95F7-414E-9C16-F4730C16F059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4"/>
                <a:gd name="T1" fmla="*/ 15 h 22"/>
                <a:gd name="T2" fmla="*/ 1 w 104"/>
                <a:gd name="T3" fmla="*/ 22 h 22"/>
                <a:gd name="T4" fmla="*/ 104 w 104"/>
                <a:gd name="T5" fmla="*/ 0 h 22"/>
                <a:gd name="T6" fmla="*/ 0 w 104"/>
                <a:gd name="T7" fmla="*/ 15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0" y="15"/>
                  </a:moveTo>
                  <a:lnTo>
                    <a:pt x="1" y="22"/>
                  </a:lnTo>
                  <a:lnTo>
                    <a:pt x="104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8" name="Freeform 330">
              <a:extLst>
                <a:ext uri="{FF2B5EF4-FFF2-40B4-BE49-F238E27FC236}">
                  <a16:creationId xmlns:a16="http://schemas.microsoft.com/office/drawing/2014/main" id="{3D9BF4F6-D46F-4BC5-AA43-CCD3C73CB207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3"/>
                <a:gd name="T1" fmla="*/ 22 h 29"/>
                <a:gd name="T2" fmla="*/ 2 w 103"/>
                <a:gd name="T3" fmla="*/ 29 h 29"/>
                <a:gd name="T4" fmla="*/ 103 w 103"/>
                <a:gd name="T5" fmla="*/ 0 h 29"/>
                <a:gd name="T6" fmla="*/ 0 w 103"/>
                <a:gd name="T7" fmla="*/ 22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0" y="22"/>
                  </a:moveTo>
                  <a:lnTo>
                    <a:pt x="2" y="29"/>
                  </a:lnTo>
                  <a:lnTo>
                    <a:pt x="103" y="0"/>
                  </a:lnTo>
                  <a:lnTo>
                    <a:pt x="0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9" name="Freeform 331">
              <a:extLst>
                <a:ext uri="{FF2B5EF4-FFF2-40B4-BE49-F238E27FC236}">
                  <a16:creationId xmlns:a16="http://schemas.microsoft.com/office/drawing/2014/main" id="{4F0E2447-DD9A-4ABE-9B47-087868587406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1"/>
                <a:gd name="T1" fmla="*/ 29 h 36"/>
                <a:gd name="T2" fmla="*/ 2 w 101"/>
                <a:gd name="T3" fmla="*/ 36 h 36"/>
                <a:gd name="T4" fmla="*/ 101 w 101"/>
                <a:gd name="T5" fmla="*/ 0 h 36"/>
                <a:gd name="T6" fmla="*/ 0 w 101"/>
                <a:gd name="T7" fmla="*/ 29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0" y="29"/>
                  </a:moveTo>
                  <a:lnTo>
                    <a:pt x="2" y="36"/>
                  </a:lnTo>
                  <a:lnTo>
                    <a:pt x="101" y="0"/>
                  </a:lnTo>
                  <a:lnTo>
                    <a:pt x="0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0" name="Freeform 332">
              <a:extLst>
                <a:ext uri="{FF2B5EF4-FFF2-40B4-BE49-F238E27FC236}">
                  <a16:creationId xmlns:a16="http://schemas.microsoft.com/office/drawing/2014/main" id="{B7CEE86C-8045-4DAF-B6D7-D82EB632EF22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9"/>
                <a:gd name="T1" fmla="*/ 36 h 43"/>
                <a:gd name="T2" fmla="*/ 3 w 99"/>
                <a:gd name="T3" fmla="*/ 43 h 43"/>
                <a:gd name="T4" fmla="*/ 99 w 99"/>
                <a:gd name="T5" fmla="*/ 0 h 43"/>
                <a:gd name="T6" fmla="*/ 0 w 99"/>
                <a:gd name="T7" fmla="*/ 36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0" y="36"/>
                  </a:moveTo>
                  <a:lnTo>
                    <a:pt x="3" y="43"/>
                  </a:lnTo>
                  <a:lnTo>
                    <a:pt x="99" y="0"/>
                  </a:lnTo>
                  <a:lnTo>
                    <a:pt x="0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1" name="Freeform 333">
              <a:extLst>
                <a:ext uri="{FF2B5EF4-FFF2-40B4-BE49-F238E27FC236}">
                  <a16:creationId xmlns:a16="http://schemas.microsoft.com/office/drawing/2014/main" id="{C5410715-8D10-43FD-BFFD-B3AF99B61AC1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6"/>
                <a:gd name="T1" fmla="*/ 43 h 50"/>
                <a:gd name="T2" fmla="*/ 4 w 96"/>
                <a:gd name="T3" fmla="*/ 50 h 50"/>
                <a:gd name="T4" fmla="*/ 96 w 96"/>
                <a:gd name="T5" fmla="*/ 0 h 50"/>
                <a:gd name="T6" fmla="*/ 0 w 96"/>
                <a:gd name="T7" fmla="*/ 43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0" y="43"/>
                  </a:moveTo>
                  <a:lnTo>
                    <a:pt x="4" y="50"/>
                  </a:lnTo>
                  <a:lnTo>
                    <a:pt x="96" y="0"/>
                  </a:lnTo>
                  <a:lnTo>
                    <a:pt x="0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2" name="Freeform 334">
              <a:extLst>
                <a:ext uri="{FF2B5EF4-FFF2-40B4-BE49-F238E27FC236}">
                  <a16:creationId xmlns:a16="http://schemas.microsoft.com/office/drawing/2014/main" id="{81DBD6BE-E4BB-4B97-997F-8E2F35AD8E99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2"/>
                <a:gd name="T1" fmla="*/ 50 h 57"/>
                <a:gd name="T2" fmla="*/ 3 w 92"/>
                <a:gd name="T3" fmla="*/ 57 h 57"/>
                <a:gd name="T4" fmla="*/ 92 w 92"/>
                <a:gd name="T5" fmla="*/ 0 h 57"/>
                <a:gd name="T6" fmla="*/ 0 w 92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0" y="50"/>
                  </a:moveTo>
                  <a:lnTo>
                    <a:pt x="3" y="57"/>
                  </a:lnTo>
                  <a:lnTo>
                    <a:pt x="92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3" name="Freeform 335">
              <a:extLst>
                <a:ext uri="{FF2B5EF4-FFF2-40B4-BE49-F238E27FC236}">
                  <a16:creationId xmlns:a16="http://schemas.microsoft.com/office/drawing/2014/main" id="{66983765-415E-4205-A507-636E132D5726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9"/>
                <a:gd name="T1" fmla="*/ 57 h 63"/>
                <a:gd name="T2" fmla="*/ 5 w 89"/>
                <a:gd name="T3" fmla="*/ 63 h 63"/>
                <a:gd name="T4" fmla="*/ 89 w 89"/>
                <a:gd name="T5" fmla="*/ 0 h 63"/>
                <a:gd name="T6" fmla="*/ 0 w 89"/>
                <a:gd name="T7" fmla="*/ 57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0" y="57"/>
                  </a:moveTo>
                  <a:lnTo>
                    <a:pt x="5" y="63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4" name="Freeform 336">
              <a:extLst>
                <a:ext uri="{FF2B5EF4-FFF2-40B4-BE49-F238E27FC236}">
                  <a16:creationId xmlns:a16="http://schemas.microsoft.com/office/drawing/2014/main" id="{CDDE17DB-60F7-495D-9F23-26B605F39CE6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4"/>
                <a:gd name="T1" fmla="*/ 63 h 69"/>
                <a:gd name="T2" fmla="*/ 4 w 84"/>
                <a:gd name="T3" fmla="*/ 69 h 69"/>
                <a:gd name="T4" fmla="*/ 84 w 84"/>
                <a:gd name="T5" fmla="*/ 0 h 69"/>
                <a:gd name="T6" fmla="*/ 0 w 84"/>
                <a:gd name="T7" fmla="*/ 63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0" y="63"/>
                  </a:moveTo>
                  <a:lnTo>
                    <a:pt x="4" y="69"/>
                  </a:lnTo>
                  <a:lnTo>
                    <a:pt x="84" y="0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5" name="Freeform 337">
              <a:extLst>
                <a:ext uri="{FF2B5EF4-FFF2-40B4-BE49-F238E27FC236}">
                  <a16:creationId xmlns:a16="http://schemas.microsoft.com/office/drawing/2014/main" id="{9EAD0D22-4417-43F1-A2E7-8C85FCCBC226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0"/>
                <a:gd name="T1" fmla="*/ 69 h 74"/>
                <a:gd name="T2" fmla="*/ 6 w 80"/>
                <a:gd name="T3" fmla="*/ 74 h 74"/>
                <a:gd name="T4" fmla="*/ 80 w 80"/>
                <a:gd name="T5" fmla="*/ 0 h 74"/>
                <a:gd name="T6" fmla="*/ 0 w 80"/>
                <a:gd name="T7" fmla="*/ 69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4">
                  <a:moveTo>
                    <a:pt x="0" y="69"/>
                  </a:moveTo>
                  <a:lnTo>
                    <a:pt x="6" y="74"/>
                  </a:lnTo>
                  <a:lnTo>
                    <a:pt x="80" y="0"/>
                  </a:lnTo>
                  <a:lnTo>
                    <a:pt x="0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6" name="Freeform 338">
              <a:extLst>
                <a:ext uri="{FF2B5EF4-FFF2-40B4-BE49-F238E27FC236}">
                  <a16:creationId xmlns:a16="http://schemas.microsoft.com/office/drawing/2014/main" id="{59C01984-7CFE-4DE6-84EB-7A00E6AD140D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74"/>
                <a:gd name="T1" fmla="*/ 74 h 79"/>
                <a:gd name="T2" fmla="*/ 5 w 74"/>
                <a:gd name="T3" fmla="*/ 79 h 79"/>
                <a:gd name="T4" fmla="*/ 74 w 74"/>
                <a:gd name="T5" fmla="*/ 0 h 79"/>
                <a:gd name="T6" fmla="*/ 0 w 74"/>
                <a:gd name="T7" fmla="*/ 74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0" y="74"/>
                  </a:moveTo>
                  <a:lnTo>
                    <a:pt x="5" y="79"/>
                  </a:lnTo>
                  <a:lnTo>
                    <a:pt x="74" y="0"/>
                  </a:lnTo>
                  <a:lnTo>
                    <a:pt x="0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7" name="Freeform 339">
              <a:extLst>
                <a:ext uri="{FF2B5EF4-FFF2-40B4-BE49-F238E27FC236}">
                  <a16:creationId xmlns:a16="http://schemas.microsoft.com/office/drawing/2014/main" id="{E4D3F122-86D4-4D60-BF79-2265DBB156E9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69"/>
                <a:gd name="T1" fmla="*/ 79 h 84"/>
                <a:gd name="T2" fmla="*/ 6 w 69"/>
                <a:gd name="T3" fmla="*/ 84 h 84"/>
                <a:gd name="T4" fmla="*/ 69 w 69"/>
                <a:gd name="T5" fmla="*/ 0 h 84"/>
                <a:gd name="T6" fmla="*/ 0 w 69"/>
                <a:gd name="T7" fmla="*/ 79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0" y="79"/>
                  </a:moveTo>
                  <a:lnTo>
                    <a:pt x="6" y="84"/>
                  </a:lnTo>
                  <a:lnTo>
                    <a:pt x="69" y="0"/>
                  </a:lnTo>
                  <a:lnTo>
                    <a:pt x="0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8" name="Freeform 340">
              <a:extLst>
                <a:ext uri="{FF2B5EF4-FFF2-40B4-BE49-F238E27FC236}">
                  <a16:creationId xmlns:a16="http://schemas.microsoft.com/office/drawing/2014/main" id="{75BEC441-C4BD-4EEE-BAE9-079562DF71AD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63"/>
                <a:gd name="T1" fmla="*/ 84 h 88"/>
                <a:gd name="T2" fmla="*/ 6 w 63"/>
                <a:gd name="T3" fmla="*/ 88 h 88"/>
                <a:gd name="T4" fmla="*/ 63 w 63"/>
                <a:gd name="T5" fmla="*/ 0 h 88"/>
                <a:gd name="T6" fmla="*/ 0 w 63"/>
                <a:gd name="T7" fmla="*/ 84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0" y="84"/>
                  </a:moveTo>
                  <a:lnTo>
                    <a:pt x="6" y="88"/>
                  </a:lnTo>
                  <a:lnTo>
                    <a:pt x="63" y="0"/>
                  </a:lnTo>
                  <a:lnTo>
                    <a:pt x="0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9" name="Freeform 341">
              <a:extLst>
                <a:ext uri="{FF2B5EF4-FFF2-40B4-BE49-F238E27FC236}">
                  <a16:creationId xmlns:a16="http://schemas.microsoft.com/office/drawing/2014/main" id="{28259F5C-1BDF-4EC3-B12E-8AA003A5D635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7"/>
                <a:gd name="T1" fmla="*/ 88 h 92"/>
                <a:gd name="T2" fmla="*/ 7 w 57"/>
                <a:gd name="T3" fmla="*/ 92 h 92"/>
                <a:gd name="T4" fmla="*/ 57 w 57"/>
                <a:gd name="T5" fmla="*/ 0 h 92"/>
                <a:gd name="T6" fmla="*/ 0 w 57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0" y="88"/>
                  </a:moveTo>
                  <a:lnTo>
                    <a:pt x="7" y="92"/>
                  </a:lnTo>
                  <a:lnTo>
                    <a:pt x="57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0" name="Freeform 342">
              <a:extLst>
                <a:ext uri="{FF2B5EF4-FFF2-40B4-BE49-F238E27FC236}">
                  <a16:creationId xmlns:a16="http://schemas.microsoft.com/office/drawing/2014/main" id="{BB5ABA61-9947-40AE-89C7-15634ED06E68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0"/>
                <a:gd name="T1" fmla="*/ 92 h 95"/>
                <a:gd name="T2" fmla="*/ 6 w 50"/>
                <a:gd name="T3" fmla="*/ 95 h 95"/>
                <a:gd name="T4" fmla="*/ 50 w 50"/>
                <a:gd name="T5" fmla="*/ 0 h 95"/>
                <a:gd name="T6" fmla="*/ 0 w 50"/>
                <a:gd name="T7" fmla="*/ 92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0" y="92"/>
                  </a:moveTo>
                  <a:lnTo>
                    <a:pt x="6" y="95"/>
                  </a:lnTo>
                  <a:lnTo>
                    <a:pt x="50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1" name="Freeform 343">
              <a:extLst>
                <a:ext uri="{FF2B5EF4-FFF2-40B4-BE49-F238E27FC236}">
                  <a16:creationId xmlns:a16="http://schemas.microsoft.com/office/drawing/2014/main" id="{07CCFEC4-E2A0-4BEE-897D-DB154023D312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44"/>
                <a:gd name="T1" fmla="*/ 95 h 98"/>
                <a:gd name="T2" fmla="*/ 7 w 44"/>
                <a:gd name="T3" fmla="*/ 98 h 98"/>
                <a:gd name="T4" fmla="*/ 44 w 44"/>
                <a:gd name="T5" fmla="*/ 0 h 98"/>
                <a:gd name="T6" fmla="*/ 0 w 44"/>
                <a:gd name="T7" fmla="*/ 95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0" y="95"/>
                  </a:moveTo>
                  <a:lnTo>
                    <a:pt x="7" y="98"/>
                  </a:lnTo>
                  <a:lnTo>
                    <a:pt x="44" y="0"/>
                  </a:lnTo>
                  <a:lnTo>
                    <a:pt x="0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2" name="Freeform 344">
              <a:extLst>
                <a:ext uri="{FF2B5EF4-FFF2-40B4-BE49-F238E27FC236}">
                  <a16:creationId xmlns:a16="http://schemas.microsoft.com/office/drawing/2014/main" id="{068FE71A-743D-4676-837D-F57A26E55004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7"/>
                <a:gd name="T1" fmla="*/ 98 h 101"/>
                <a:gd name="T2" fmla="*/ 7 w 37"/>
                <a:gd name="T3" fmla="*/ 101 h 101"/>
                <a:gd name="T4" fmla="*/ 37 w 37"/>
                <a:gd name="T5" fmla="*/ 0 h 101"/>
                <a:gd name="T6" fmla="*/ 0 w 37"/>
                <a:gd name="T7" fmla="*/ 98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0" y="98"/>
                  </a:moveTo>
                  <a:lnTo>
                    <a:pt x="7" y="101"/>
                  </a:lnTo>
                  <a:lnTo>
                    <a:pt x="37" y="0"/>
                  </a:lnTo>
                  <a:lnTo>
                    <a:pt x="0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3" name="Freeform 345">
              <a:extLst>
                <a:ext uri="{FF2B5EF4-FFF2-40B4-BE49-F238E27FC236}">
                  <a16:creationId xmlns:a16="http://schemas.microsoft.com/office/drawing/2014/main" id="{5BCB2675-92FA-4504-8D04-FCB5AFC33315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0"/>
                <a:gd name="T1" fmla="*/ 101 h 103"/>
                <a:gd name="T2" fmla="*/ 8 w 30"/>
                <a:gd name="T3" fmla="*/ 103 h 103"/>
                <a:gd name="T4" fmla="*/ 30 w 30"/>
                <a:gd name="T5" fmla="*/ 0 h 103"/>
                <a:gd name="T6" fmla="*/ 0 w 30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0" y="101"/>
                  </a:moveTo>
                  <a:lnTo>
                    <a:pt x="8" y="103"/>
                  </a:lnTo>
                  <a:lnTo>
                    <a:pt x="30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4" name="Freeform 346">
              <a:extLst>
                <a:ext uri="{FF2B5EF4-FFF2-40B4-BE49-F238E27FC236}">
                  <a16:creationId xmlns:a16="http://schemas.microsoft.com/office/drawing/2014/main" id="{3FDD24D1-8F4A-4305-8E19-29E12D0E7E3F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22"/>
                <a:gd name="T1" fmla="*/ 103 h 104"/>
                <a:gd name="T2" fmla="*/ 7 w 22"/>
                <a:gd name="T3" fmla="*/ 104 h 104"/>
                <a:gd name="T4" fmla="*/ 22 w 22"/>
                <a:gd name="T5" fmla="*/ 0 h 104"/>
                <a:gd name="T6" fmla="*/ 0 w 22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0" y="103"/>
                  </a:moveTo>
                  <a:lnTo>
                    <a:pt x="7" y="104"/>
                  </a:lnTo>
                  <a:lnTo>
                    <a:pt x="22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5" name="Freeform 347">
              <a:extLst>
                <a:ext uri="{FF2B5EF4-FFF2-40B4-BE49-F238E27FC236}">
                  <a16:creationId xmlns:a16="http://schemas.microsoft.com/office/drawing/2014/main" id="{0FE54D9A-20E2-4095-AA0C-5A350EB5E210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15"/>
                <a:gd name="T1" fmla="*/ 104 h 105"/>
                <a:gd name="T2" fmla="*/ 7 w 15"/>
                <a:gd name="T3" fmla="*/ 105 h 105"/>
                <a:gd name="T4" fmla="*/ 15 w 15"/>
                <a:gd name="T5" fmla="*/ 0 h 105"/>
                <a:gd name="T6" fmla="*/ 0 w 15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0" y="104"/>
                  </a:moveTo>
                  <a:lnTo>
                    <a:pt x="7" y="105"/>
                  </a:lnTo>
                  <a:lnTo>
                    <a:pt x="15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6" name="Freeform 348">
              <a:extLst>
                <a:ext uri="{FF2B5EF4-FFF2-40B4-BE49-F238E27FC236}">
                  <a16:creationId xmlns:a16="http://schemas.microsoft.com/office/drawing/2014/main" id="{F4E62A35-DFDA-4EC7-B3D2-CC3D52AA2F0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8"/>
                <a:gd name="T1" fmla="*/ 105 h 105"/>
                <a:gd name="T2" fmla="*/ 8 w 8"/>
                <a:gd name="T3" fmla="*/ 105 h 105"/>
                <a:gd name="T4" fmla="*/ 8 w 8"/>
                <a:gd name="T5" fmla="*/ 0 h 105"/>
                <a:gd name="T6" fmla="*/ 0 w 8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5">
                  <a:moveTo>
                    <a:pt x="0" y="105"/>
                  </a:moveTo>
                  <a:lnTo>
                    <a:pt x="8" y="105"/>
                  </a:lnTo>
                  <a:lnTo>
                    <a:pt x="8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7" name="Freeform 349">
              <a:extLst>
                <a:ext uri="{FF2B5EF4-FFF2-40B4-BE49-F238E27FC236}">
                  <a16:creationId xmlns:a16="http://schemas.microsoft.com/office/drawing/2014/main" id="{F247BC75-116B-463F-B91A-3DAC04769A1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8" name="Freeform 350">
              <a:extLst>
                <a:ext uri="{FF2B5EF4-FFF2-40B4-BE49-F238E27FC236}">
                  <a16:creationId xmlns:a16="http://schemas.microsoft.com/office/drawing/2014/main" id="{D9CCDAFA-DF99-4896-B18C-C11245A927F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9" name="Freeform 351">
              <a:extLst>
                <a:ext uri="{FF2B5EF4-FFF2-40B4-BE49-F238E27FC236}">
                  <a16:creationId xmlns:a16="http://schemas.microsoft.com/office/drawing/2014/main" id="{B6810864-4087-49C2-B51F-E8D1CAE0C61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0" name="Freeform 352">
              <a:extLst>
                <a:ext uri="{FF2B5EF4-FFF2-40B4-BE49-F238E27FC236}">
                  <a16:creationId xmlns:a16="http://schemas.microsoft.com/office/drawing/2014/main" id="{5DEEF9F9-F46C-4936-93C6-29D346D220B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22 w 30"/>
                <a:gd name="T1" fmla="*/ 103 h 103"/>
                <a:gd name="T2" fmla="*/ 30 w 30"/>
                <a:gd name="T3" fmla="*/ 101 h 103"/>
                <a:gd name="T4" fmla="*/ 0 w 30"/>
                <a:gd name="T5" fmla="*/ 0 h 103"/>
                <a:gd name="T6" fmla="*/ 22 w 30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22" y="103"/>
                  </a:moveTo>
                  <a:lnTo>
                    <a:pt x="30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1" name="Freeform 353">
              <a:extLst>
                <a:ext uri="{FF2B5EF4-FFF2-40B4-BE49-F238E27FC236}">
                  <a16:creationId xmlns:a16="http://schemas.microsoft.com/office/drawing/2014/main" id="{0C5B4D87-11A7-47A0-A7B2-DEC6041E1CE9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0 w 37"/>
                <a:gd name="T1" fmla="*/ 101 h 101"/>
                <a:gd name="T2" fmla="*/ 37 w 37"/>
                <a:gd name="T3" fmla="*/ 98 h 101"/>
                <a:gd name="T4" fmla="*/ 0 w 37"/>
                <a:gd name="T5" fmla="*/ 0 h 101"/>
                <a:gd name="T6" fmla="*/ 30 w 37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0" y="101"/>
                  </a:moveTo>
                  <a:lnTo>
                    <a:pt x="37" y="98"/>
                  </a:lnTo>
                  <a:lnTo>
                    <a:pt x="0" y="0"/>
                  </a:lnTo>
                  <a:lnTo>
                    <a:pt x="3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2" name="Freeform 354">
              <a:extLst>
                <a:ext uri="{FF2B5EF4-FFF2-40B4-BE49-F238E27FC236}">
                  <a16:creationId xmlns:a16="http://schemas.microsoft.com/office/drawing/2014/main" id="{FF1A18BF-D18F-4EA0-8F30-73980B930F29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7 w 44"/>
                <a:gd name="T1" fmla="*/ 98 h 98"/>
                <a:gd name="T2" fmla="*/ 44 w 44"/>
                <a:gd name="T3" fmla="*/ 95 h 98"/>
                <a:gd name="T4" fmla="*/ 0 w 44"/>
                <a:gd name="T5" fmla="*/ 0 h 98"/>
                <a:gd name="T6" fmla="*/ 37 w 44"/>
                <a:gd name="T7" fmla="*/ 98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37" y="98"/>
                  </a:moveTo>
                  <a:lnTo>
                    <a:pt x="44" y="95"/>
                  </a:lnTo>
                  <a:lnTo>
                    <a:pt x="0" y="0"/>
                  </a:lnTo>
                  <a:lnTo>
                    <a:pt x="37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3" name="Freeform 355">
              <a:extLst>
                <a:ext uri="{FF2B5EF4-FFF2-40B4-BE49-F238E27FC236}">
                  <a16:creationId xmlns:a16="http://schemas.microsoft.com/office/drawing/2014/main" id="{9CCE3C53-C82E-436E-8CE3-4DB59EB22CF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1"/>
            </a:xfrm>
            <a:custGeom>
              <a:avLst/>
              <a:gdLst>
                <a:gd name="T0" fmla="*/ 44 w 50"/>
                <a:gd name="T1" fmla="*/ 95 h 95"/>
                <a:gd name="T2" fmla="*/ 50 w 50"/>
                <a:gd name="T3" fmla="*/ 92 h 95"/>
                <a:gd name="T4" fmla="*/ 0 w 50"/>
                <a:gd name="T5" fmla="*/ 0 h 95"/>
                <a:gd name="T6" fmla="*/ 44 w 50"/>
                <a:gd name="T7" fmla="*/ 95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44" y="95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4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4" name="Freeform 356">
              <a:extLst>
                <a:ext uri="{FF2B5EF4-FFF2-40B4-BE49-F238E27FC236}">
                  <a16:creationId xmlns:a16="http://schemas.microsoft.com/office/drawing/2014/main" id="{C23E461B-5A8E-44E8-808E-745F666D15D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0 w 57"/>
                <a:gd name="T1" fmla="*/ 92 h 92"/>
                <a:gd name="T2" fmla="*/ 57 w 57"/>
                <a:gd name="T3" fmla="*/ 88 h 92"/>
                <a:gd name="T4" fmla="*/ 0 w 57"/>
                <a:gd name="T5" fmla="*/ 0 h 92"/>
                <a:gd name="T6" fmla="*/ 50 w 57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50" y="92"/>
                  </a:moveTo>
                  <a:lnTo>
                    <a:pt x="57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5" name="Freeform 357">
              <a:extLst>
                <a:ext uri="{FF2B5EF4-FFF2-40B4-BE49-F238E27FC236}">
                  <a16:creationId xmlns:a16="http://schemas.microsoft.com/office/drawing/2014/main" id="{F9A225CD-C947-458A-9866-E8A59352BC5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7 w 63"/>
                <a:gd name="T1" fmla="*/ 88 h 88"/>
                <a:gd name="T2" fmla="*/ 63 w 63"/>
                <a:gd name="T3" fmla="*/ 84 h 88"/>
                <a:gd name="T4" fmla="*/ 0 w 63"/>
                <a:gd name="T5" fmla="*/ 0 h 88"/>
                <a:gd name="T6" fmla="*/ 57 w 63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57" y="88"/>
                  </a:moveTo>
                  <a:lnTo>
                    <a:pt x="63" y="84"/>
                  </a:lnTo>
                  <a:lnTo>
                    <a:pt x="0" y="0"/>
                  </a:lnTo>
                  <a:lnTo>
                    <a:pt x="57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6" name="Freeform 358">
              <a:extLst>
                <a:ext uri="{FF2B5EF4-FFF2-40B4-BE49-F238E27FC236}">
                  <a16:creationId xmlns:a16="http://schemas.microsoft.com/office/drawing/2014/main" id="{50E62CBB-A19A-4BAC-A1A7-08EFCD06FEA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3 w 69"/>
                <a:gd name="T1" fmla="*/ 84 h 84"/>
                <a:gd name="T2" fmla="*/ 69 w 69"/>
                <a:gd name="T3" fmla="*/ 79 h 84"/>
                <a:gd name="T4" fmla="*/ 0 w 69"/>
                <a:gd name="T5" fmla="*/ 0 h 84"/>
                <a:gd name="T6" fmla="*/ 63 w 69"/>
                <a:gd name="T7" fmla="*/ 84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63" y="84"/>
                  </a:moveTo>
                  <a:lnTo>
                    <a:pt x="69" y="79"/>
                  </a:lnTo>
                  <a:lnTo>
                    <a:pt x="0" y="0"/>
                  </a:lnTo>
                  <a:lnTo>
                    <a:pt x="63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7" name="Freeform 359">
              <a:extLst>
                <a:ext uri="{FF2B5EF4-FFF2-40B4-BE49-F238E27FC236}">
                  <a16:creationId xmlns:a16="http://schemas.microsoft.com/office/drawing/2014/main" id="{164BA242-EB22-4D98-B0D8-CBBB0A53893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9 w 74"/>
                <a:gd name="T1" fmla="*/ 79 h 79"/>
                <a:gd name="T2" fmla="*/ 74 w 74"/>
                <a:gd name="T3" fmla="*/ 74 h 79"/>
                <a:gd name="T4" fmla="*/ 0 w 74"/>
                <a:gd name="T5" fmla="*/ 0 h 79"/>
                <a:gd name="T6" fmla="*/ 69 w 74"/>
                <a:gd name="T7" fmla="*/ 79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69" y="79"/>
                  </a:moveTo>
                  <a:lnTo>
                    <a:pt x="74" y="74"/>
                  </a:lnTo>
                  <a:lnTo>
                    <a:pt x="0" y="0"/>
                  </a:lnTo>
                  <a:lnTo>
                    <a:pt x="69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8" name="Freeform 360">
              <a:extLst>
                <a:ext uri="{FF2B5EF4-FFF2-40B4-BE49-F238E27FC236}">
                  <a16:creationId xmlns:a16="http://schemas.microsoft.com/office/drawing/2014/main" id="{A01ECAD2-D44E-43F5-A1D1-882F1E1541E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4 w 79"/>
                <a:gd name="T1" fmla="*/ 74 h 74"/>
                <a:gd name="T2" fmla="*/ 79 w 79"/>
                <a:gd name="T3" fmla="*/ 69 h 74"/>
                <a:gd name="T4" fmla="*/ 0 w 79"/>
                <a:gd name="T5" fmla="*/ 0 h 74"/>
                <a:gd name="T6" fmla="*/ 74 w 79"/>
                <a:gd name="T7" fmla="*/ 74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4">
                  <a:moveTo>
                    <a:pt x="74" y="74"/>
                  </a:moveTo>
                  <a:lnTo>
                    <a:pt x="79" y="69"/>
                  </a:lnTo>
                  <a:lnTo>
                    <a:pt x="0" y="0"/>
                  </a:lnTo>
                  <a:lnTo>
                    <a:pt x="74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9" name="Freeform 361">
              <a:extLst>
                <a:ext uri="{FF2B5EF4-FFF2-40B4-BE49-F238E27FC236}">
                  <a16:creationId xmlns:a16="http://schemas.microsoft.com/office/drawing/2014/main" id="{5B61C4B5-9D3B-45CD-8507-3CBF7A422F43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9 w 84"/>
                <a:gd name="T1" fmla="*/ 69 h 69"/>
                <a:gd name="T2" fmla="*/ 84 w 84"/>
                <a:gd name="T3" fmla="*/ 63 h 69"/>
                <a:gd name="T4" fmla="*/ 0 w 84"/>
                <a:gd name="T5" fmla="*/ 0 h 69"/>
                <a:gd name="T6" fmla="*/ 79 w 84"/>
                <a:gd name="T7" fmla="*/ 69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79" y="69"/>
                  </a:moveTo>
                  <a:lnTo>
                    <a:pt x="84" y="63"/>
                  </a:lnTo>
                  <a:lnTo>
                    <a:pt x="0" y="0"/>
                  </a:lnTo>
                  <a:lnTo>
                    <a:pt x="79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0" name="Freeform 362">
              <a:extLst>
                <a:ext uri="{FF2B5EF4-FFF2-40B4-BE49-F238E27FC236}">
                  <a16:creationId xmlns:a16="http://schemas.microsoft.com/office/drawing/2014/main" id="{0455723B-ADE4-48C9-A05A-6DBB44696A5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4 w 88"/>
                <a:gd name="T1" fmla="*/ 63 h 63"/>
                <a:gd name="T2" fmla="*/ 88 w 88"/>
                <a:gd name="T3" fmla="*/ 57 h 63"/>
                <a:gd name="T4" fmla="*/ 0 w 88"/>
                <a:gd name="T5" fmla="*/ 0 h 63"/>
                <a:gd name="T6" fmla="*/ 84 w 88"/>
                <a:gd name="T7" fmla="*/ 63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4" y="63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4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1" name="Freeform 363">
              <a:extLst>
                <a:ext uri="{FF2B5EF4-FFF2-40B4-BE49-F238E27FC236}">
                  <a16:creationId xmlns:a16="http://schemas.microsoft.com/office/drawing/2014/main" id="{0EEDEFC8-D5BF-46FC-A35D-0E8D88708F4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8 w 92"/>
                <a:gd name="T1" fmla="*/ 57 h 57"/>
                <a:gd name="T2" fmla="*/ 92 w 92"/>
                <a:gd name="T3" fmla="*/ 50 h 57"/>
                <a:gd name="T4" fmla="*/ 0 w 92"/>
                <a:gd name="T5" fmla="*/ 0 h 57"/>
                <a:gd name="T6" fmla="*/ 88 w 92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88" y="57"/>
                  </a:moveTo>
                  <a:lnTo>
                    <a:pt x="92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2" name="Freeform 364">
              <a:extLst>
                <a:ext uri="{FF2B5EF4-FFF2-40B4-BE49-F238E27FC236}">
                  <a16:creationId xmlns:a16="http://schemas.microsoft.com/office/drawing/2014/main" id="{9BA95C83-58B0-40AC-BAFE-5B40BA9DFB9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2 w 96"/>
                <a:gd name="T1" fmla="*/ 50 h 50"/>
                <a:gd name="T2" fmla="*/ 96 w 96"/>
                <a:gd name="T3" fmla="*/ 43 h 50"/>
                <a:gd name="T4" fmla="*/ 0 w 96"/>
                <a:gd name="T5" fmla="*/ 0 h 50"/>
                <a:gd name="T6" fmla="*/ 92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2" y="50"/>
                  </a:moveTo>
                  <a:lnTo>
                    <a:pt x="96" y="43"/>
                  </a:lnTo>
                  <a:lnTo>
                    <a:pt x="0" y="0"/>
                  </a:lnTo>
                  <a:lnTo>
                    <a:pt x="92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3" name="Freeform 365">
              <a:extLst>
                <a:ext uri="{FF2B5EF4-FFF2-40B4-BE49-F238E27FC236}">
                  <a16:creationId xmlns:a16="http://schemas.microsoft.com/office/drawing/2014/main" id="{9215E937-FCBD-40E0-84B1-242414520033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6 w 99"/>
                <a:gd name="T1" fmla="*/ 43 h 43"/>
                <a:gd name="T2" fmla="*/ 99 w 99"/>
                <a:gd name="T3" fmla="*/ 36 h 43"/>
                <a:gd name="T4" fmla="*/ 0 w 99"/>
                <a:gd name="T5" fmla="*/ 0 h 43"/>
                <a:gd name="T6" fmla="*/ 96 w 99"/>
                <a:gd name="T7" fmla="*/ 43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6" y="43"/>
                  </a:moveTo>
                  <a:lnTo>
                    <a:pt x="99" y="36"/>
                  </a:lnTo>
                  <a:lnTo>
                    <a:pt x="0" y="0"/>
                  </a:lnTo>
                  <a:lnTo>
                    <a:pt x="96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4" name="Freeform 366">
              <a:extLst>
                <a:ext uri="{FF2B5EF4-FFF2-40B4-BE49-F238E27FC236}">
                  <a16:creationId xmlns:a16="http://schemas.microsoft.com/office/drawing/2014/main" id="{C42BEA3E-FC08-4CBD-9E80-1D5C4F321E2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99 w 101"/>
                <a:gd name="T1" fmla="*/ 36 h 36"/>
                <a:gd name="T2" fmla="*/ 101 w 101"/>
                <a:gd name="T3" fmla="*/ 29 h 36"/>
                <a:gd name="T4" fmla="*/ 0 w 101"/>
                <a:gd name="T5" fmla="*/ 0 h 36"/>
                <a:gd name="T6" fmla="*/ 99 w 101"/>
                <a:gd name="T7" fmla="*/ 36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99" y="36"/>
                  </a:moveTo>
                  <a:lnTo>
                    <a:pt x="101" y="29"/>
                  </a:lnTo>
                  <a:lnTo>
                    <a:pt x="0" y="0"/>
                  </a:lnTo>
                  <a:lnTo>
                    <a:pt x="99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5" name="Freeform 367">
              <a:extLst>
                <a:ext uri="{FF2B5EF4-FFF2-40B4-BE49-F238E27FC236}">
                  <a16:creationId xmlns:a16="http://schemas.microsoft.com/office/drawing/2014/main" id="{453F1C33-BCEC-4957-8FA9-CC6B28ECC2E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1 w 103"/>
                <a:gd name="T1" fmla="*/ 29 h 29"/>
                <a:gd name="T2" fmla="*/ 103 w 103"/>
                <a:gd name="T3" fmla="*/ 22 h 29"/>
                <a:gd name="T4" fmla="*/ 0 w 103"/>
                <a:gd name="T5" fmla="*/ 0 h 29"/>
                <a:gd name="T6" fmla="*/ 101 w 103"/>
                <a:gd name="T7" fmla="*/ 29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1" y="29"/>
                  </a:moveTo>
                  <a:lnTo>
                    <a:pt x="103" y="22"/>
                  </a:lnTo>
                  <a:lnTo>
                    <a:pt x="0" y="0"/>
                  </a:lnTo>
                  <a:lnTo>
                    <a:pt x="101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6" name="Freeform 368">
              <a:extLst>
                <a:ext uri="{FF2B5EF4-FFF2-40B4-BE49-F238E27FC236}">
                  <a16:creationId xmlns:a16="http://schemas.microsoft.com/office/drawing/2014/main" id="{93F6E2C4-CED6-4BBF-8D0E-5A3DFB7ED846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3 w 104"/>
                <a:gd name="T1" fmla="*/ 22 h 22"/>
                <a:gd name="T2" fmla="*/ 104 w 104"/>
                <a:gd name="T3" fmla="*/ 15 h 22"/>
                <a:gd name="T4" fmla="*/ 0 w 104"/>
                <a:gd name="T5" fmla="*/ 0 h 22"/>
                <a:gd name="T6" fmla="*/ 103 w 104"/>
                <a:gd name="T7" fmla="*/ 22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3" y="22"/>
                  </a:moveTo>
                  <a:lnTo>
                    <a:pt x="104" y="15"/>
                  </a:lnTo>
                  <a:lnTo>
                    <a:pt x="0" y="0"/>
                  </a:lnTo>
                  <a:lnTo>
                    <a:pt x="103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7" name="Freeform 369">
              <a:extLst>
                <a:ext uri="{FF2B5EF4-FFF2-40B4-BE49-F238E27FC236}">
                  <a16:creationId xmlns:a16="http://schemas.microsoft.com/office/drawing/2014/main" id="{B528218C-7AAF-4BF1-B787-B77410332C99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4 w 105"/>
                <a:gd name="T1" fmla="*/ 15 h 15"/>
                <a:gd name="T2" fmla="*/ 105 w 105"/>
                <a:gd name="T3" fmla="*/ 7 h 15"/>
                <a:gd name="T4" fmla="*/ 0 w 105"/>
                <a:gd name="T5" fmla="*/ 0 h 15"/>
                <a:gd name="T6" fmla="*/ 104 w 105"/>
                <a:gd name="T7" fmla="*/ 15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4" y="15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8" name="Freeform 370">
              <a:extLst>
                <a:ext uri="{FF2B5EF4-FFF2-40B4-BE49-F238E27FC236}">
                  <a16:creationId xmlns:a16="http://schemas.microsoft.com/office/drawing/2014/main" id="{F29318EC-392D-4AAD-A12A-AB39D79406A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9" name="Freeform 371">
              <a:extLst>
                <a:ext uri="{FF2B5EF4-FFF2-40B4-BE49-F238E27FC236}">
                  <a16:creationId xmlns:a16="http://schemas.microsoft.com/office/drawing/2014/main" id="{9DF34E32-9268-41EE-AA0A-3AF93A4B44A2}"/>
                </a:ext>
              </a:extLst>
            </xdr:cNvPr>
            <xdr:cNvSpPr>
              <a:spLocks/>
            </xdr:cNvSpPr>
          </xdr:nvSpPr>
          <xdr:spPr bwMode="auto">
            <a:xfrm>
              <a:off x="1095" y="188"/>
              <a:ext cx="6" cy="9"/>
            </a:xfrm>
            <a:custGeom>
              <a:avLst/>
              <a:gdLst>
                <a:gd name="T0" fmla="*/ 0 w 352"/>
                <a:gd name="T1" fmla="*/ 526 h 526"/>
                <a:gd name="T2" fmla="*/ 0 w 352"/>
                <a:gd name="T3" fmla="*/ 0 h 526"/>
                <a:gd name="T4" fmla="*/ 264 w 352"/>
                <a:gd name="T5" fmla="*/ 0 h 526"/>
                <a:gd name="T6" fmla="*/ 352 w 352"/>
                <a:gd name="T7" fmla="*/ 88 h 526"/>
                <a:gd name="T8" fmla="*/ 352 w 352"/>
                <a:gd name="T9" fmla="*/ 175 h 526"/>
                <a:gd name="T10" fmla="*/ 264 w 352"/>
                <a:gd name="T11" fmla="*/ 263 h 526"/>
                <a:gd name="T12" fmla="*/ 0 w 352"/>
                <a:gd name="T13" fmla="*/ 263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352" h="526">
                  <a:moveTo>
                    <a:pt x="0" y="526"/>
                  </a:moveTo>
                  <a:lnTo>
                    <a:pt x="0" y="0"/>
                  </a:lnTo>
                  <a:lnTo>
                    <a:pt x="264" y="0"/>
                  </a:lnTo>
                  <a:lnTo>
                    <a:pt x="352" y="88"/>
                  </a:lnTo>
                  <a:lnTo>
                    <a:pt x="352" y="175"/>
                  </a:lnTo>
                  <a:lnTo>
                    <a:pt x="264" y="263"/>
                  </a:lnTo>
                  <a:lnTo>
                    <a:pt x="0" y="263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0" name="Freeform 372">
              <a:extLst>
                <a:ext uri="{FF2B5EF4-FFF2-40B4-BE49-F238E27FC236}">
                  <a16:creationId xmlns:a16="http://schemas.microsoft.com/office/drawing/2014/main" id="{2AD02E2B-388A-4C74-98AC-369A77C3C0AD}"/>
                </a:ext>
              </a:extLst>
            </xdr:cNvPr>
            <xdr:cNvSpPr>
              <a:spLocks/>
            </xdr:cNvSpPr>
          </xdr:nvSpPr>
          <xdr:spPr bwMode="auto">
            <a:xfrm>
              <a:off x="1104" y="191"/>
              <a:ext cx="6" cy="6"/>
            </a:xfrm>
            <a:custGeom>
              <a:avLst/>
              <a:gdLst>
                <a:gd name="T0" fmla="*/ 351 w 351"/>
                <a:gd name="T1" fmla="*/ 0 h 351"/>
                <a:gd name="T2" fmla="*/ 88 w 351"/>
                <a:gd name="T3" fmla="*/ 0 h 351"/>
                <a:gd name="T4" fmla="*/ 0 w 351"/>
                <a:gd name="T5" fmla="*/ 88 h 351"/>
                <a:gd name="T6" fmla="*/ 0 w 351"/>
                <a:gd name="T7" fmla="*/ 264 h 351"/>
                <a:gd name="T8" fmla="*/ 88 w 351"/>
                <a:gd name="T9" fmla="*/ 351 h 351"/>
                <a:gd name="T10" fmla="*/ 351 w 351"/>
                <a:gd name="T11" fmla="*/ 351 h 3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351">
                  <a:moveTo>
                    <a:pt x="351" y="0"/>
                  </a:moveTo>
                  <a:lnTo>
                    <a:pt x="88" y="0"/>
                  </a:lnTo>
                  <a:lnTo>
                    <a:pt x="0" y="88"/>
                  </a:lnTo>
                  <a:lnTo>
                    <a:pt x="0" y="264"/>
                  </a:lnTo>
                  <a:lnTo>
                    <a:pt x="88" y="351"/>
                  </a:lnTo>
                  <a:lnTo>
                    <a:pt x="351" y="351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1" name="Freeform 373">
              <a:extLst>
                <a:ext uri="{FF2B5EF4-FFF2-40B4-BE49-F238E27FC236}">
                  <a16:creationId xmlns:a16="http://schemas.microsoft.com/office/drawing/2014/main" id="{5C9E86AE-25CC-44D1-8BE1-F793E5BCEBE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9"/>
                <a:gd name="T2" fmla="*/ 105 w 105"/>
                <a:gd name="T3" fmla="*/ 0 h 9"/>
                <a:gd name="T4" fmla="*/ 0 w 105"/>
                <a:gd name="T5" fmla="*/ 9 h 9"/>
                <a:gd name="T6" fmla="*/ 105 w 105"/>
                <a:gd name="T7" fmla="*/ 9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9">
                  <a:moveTo>
                    <a:pt x="105" y="9"/>
                  </a:moveTo>
                  <a:lnTo>
                    <a:pt x="105" y="0"/>
                  </a:lnTo>
                  <a:lnTo>
                    <a:pt x="0" y="9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2" name="Freeform 374">
              <a:extLst>
                <a:ext uri="{FF2B5EF4-FFF2-40B4-BE49-F238E27FC236}">
                  <a16:creationId xmlns:a16="http://schemas.microsoft.com/office/drawing/2014/main" id="{AFCC8109-0E4B-464C-B5C7-6C945430BAF5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18"/>
                <a:gd name="T2" fmla="*/ 104 w 105"/>
                <a:gd name="T3" fmla="*/ 0 h 18"/>
                <a:gd name="T4" fmla="*/ 0 w 105"/>
                <a:gd name="T5" fmla="*/ 18 h 18"/>
                <a:gd name="T6" fmla="*/ 105 w 105"/>
                <a:gd name="T7" fmla="*/ 9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8">
                  <a:moveTo>
                    <a:pt x="105" y="9"/>
                  </a:moveTo>
                  <a:lnTo>
                    <a:pt x="104" y="0"/>
                  </a:lnTo>
                  <a:lnTo>
                    <a:pt x="0" y="18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3" name="Freeform 375">
              <a:extLst>
                <a:ext uri="{FF2B5EF4-FFF2-40B4-BE49-F238E27FC236}">
                  <a16:creationId xmlns:a16="http://schemas.microsoft.com/office/drawing/2014/main" id="{BE238E63-0912-4F11-AB0A-5F9C091C1E72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4 w 104"/>
                <a:gd name="T1" fmla="*/ 8 h 26"/>
                <a:gd name="T2" fmla="*/ 102 w 104"/>
                <a:gd name="T3" fmla="*/ 0 h 26"/>
                <a:gd name="T4" fmla="*/ 0 w 104"/>
                <a:gd name="T5" fmla="*/ 26 h 26"/>
                <a:gd name="T6" fmla="*/ 104 w 104"/>
                <a:gd name="T7" fmla="*/ 8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4" y="8"/>
                  </a:moveTo>
                  <a:lnTo>
                    <a:pt x="102" y="0"/>
                  </a:lnTo>
                  <a:lnTo>
                    <a:pt x="0" y="26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4" name="Freeform 376">
              <a:extLst>
                <a:ext uri="{FF2B5EF4-FFF2-40B4-BE49-F238E27FC236}">
                  <a16:creationId xmlns:a16="http://schemas.microsoft.com/office/drawing/2014/main" id="{0A998222-0F5D-40B0-B795-6D189643E549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2 w 102"/>
                <a:gd name="T1" fmla="*/ 9 h 35"/>
                <a:gd name="T2" fmla="*/ 99 w 102"/>
                <a:gd name="T3" fmla="*/ 0 h 35"/>
                <a:gd name="T4" fmla="*/ 0 w 102"/>
                <a:gd name="T5" fmla="*/ 35 h 35"/>
                <a:gd name="T6" fmla="*/ 102 w 102"/>
                <a:gd name="T7" fmla="*/ 9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102" y="9"/>
                  </a:moveTo>
                  <a:lnTo>
                    <a:pt x="99" y="0"/>
                  </a:lnTo>
                  <a:lnTo>
                    <a:pt x="0" y="35"/>
                  </a:lnTo>
                  <a:lnTo>
                    <a:pt x="102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5" name="Freeform 377">
              <a:extLst>
                <a:ext uri="{FF2B5EF4-FFF2-40B4-BE49-F238E27FC236}">
                  <a16:creationId xmlns:a16="http://schemas.microsoft.com/office/drawing/2014/main" id="{F39C2713-A424-4F28-978F-646C810BF69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9 w 99"/>
                <a:gd name="T1" fmla="*/ 8 h 43"/>
                <a:gd name="T2" fmla="*/ 96 w 99"/>
                <a:gd name="T3" fmla="*/ 0 h 43"/>
                <a:gd name="T4" fmla="*/ 0 w 99"/>
                <a:gd name="T5" fmla="*/ 43 h 43"/>
                <a:gd name="T6" fmla="*/ 99 w 99"/>
                <a:gd name="T7" fmla="*/ 8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9" y="8"/>
                  </a:moveTo>
                  <a:lnTo>
                    <a:pt x="96" y="0"/>
                  </a:lnTo>
                  <a:lnTo>
                    <a:pt x="0" y="43"/>
                  </a:lnTo>
                  <a:lnTo>
                    <a:pt x="99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6" name="Freeform 378">
              <a:extLst>
                <a:ext uri="{FF2B5EF4-FFF2-40B4-BE49-F238E27FC236}">
                  <a16:creationId xmlns:a16="http://schemas.microsoft.com/office/drawing/2014/main" id="{59D921D0-3109-47CD-A3B7-97B327A95D2B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6 w 96"/>
                <a:gd name="T1" fmla="*/ 7 h 50"/>
                <a:gd name="T2" fmla="*/ 93 w 96"/>
                <a:gd name="T3" fmla="*/ 0 h 50"/>
                <a:gd name="T4" fmla="*/ 0 w 96"/>
                <a:gd name="T5" fmla="*/ 50 h 50"/>
                <a:gd name="T6" fmla="*/ 96 w 96"/>
                <a:gd name="T7" fmla="*/ 7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6" y="7"/>
                  </a:moveTo>
                  <a:lnTo>
                    <a:pt x="93" y="0"/>
                  </a:lnTo>
                  <a:lnTo>
                    <a:pt x="0" y="50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7" name="Freeform 379">
              <a:extLst>
                <a:ext uri="{FF2B5EF4-FFF2-40B4-BE49-F238E27FC236}">
                  <a16:creationId xmlns:a16="http://schemas.microsoft.com/office/drawing/2014/main" id="{9711A515-C93E-4A6B-96F1-9933868BAA02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3 w 93"/>
                <a:gd name="T1" fmla="*/ 8 h 58"/>
                <a:gd name="T2" fmla="*/ 88 w 93"/>
                <a:gd name="T3" fmla="*/ 0 h 58"/>
                <a:gd name="T4" fmla="*/ 0 w 93"/>
                <a:gd name="T5" fmla="*/ 58 h 58"/>
                <a:gd name="T6" fmla="*/ 93 w 93"/>
                <a:gd name="T7" fmla="*/ 8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8">
                  <a:moveTo>
                    <a:pt x="93" y="8"/>
                  </a:moveTo>
                  <a:lnTo>
                    <a:pt x="88" y="0"/>
                  </a:lnTo>
                  <a:lnTo>
                    <a:pt x="0" y="58"/>
                  </a:lnTo>
                  <a:lnTo>
                    <a:pt x="93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8" name="Freeform 380">
              <a:extLst>
                <a:ext uri="{FF2B5EF4-FFF2-40B4-BE49-F238E27FC236}">
                  <a16:creationId xmlns:a16="http://schemas.microsoft.com/office/drawing/2014/main" id="{D008C6AA-00D0-4097-B2C3-13B1A4E175D9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8 w 88"/>
                <a:gd name="T1" fmla="*/ 7 h 65"/>
                <a:gd name="T2" fmla="*/ 83 w 88"/>
                <a:gd name="T3" fmla="*/ 0 h 65"/>
                <a:gd name="T4" fmla="*/ 0 w 88"/>
                <a:gd name="T5" fmla="*/ 65 h 65"/>
                <a:gd name="T6" fmla="*/ 88 w 88"/>
                <a:gd name="T7" fmla="*/ 7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5">
                  <a:moveTo>
                    <a:pt x="88" y="7"/>
                  </a:moveTo>
                  <a:lnTo>
                    <a:pt x="83" y="0"/>
                  </a:lnTo>
                  <a:lnTo>
                    <a:pt x="0" y="65"/>
                  </a:lnTo>
                  <a:lnTo>
                    <a:pt x="88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9" name="Freeform 381">
              <a:extLst>
                <a:ext uri="{FF2B5EF4-FFF2-40B4-BE49-F238E27FC236}">
                  <a16:creationId xmlns:a16="http://schemas.microsoft.com/office/drawing/2014/main" id="{AF553177-0A0E-4476-AC96-684A01CD45E3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3 w 83"/>
                <a:gd name="T1" fmla="*/ 7 h 72"/>
                <a:gd name="T2" fmla="*/ 77 w 83"/>
                <a:gd name="T3" fmla="*/ 0 h 72"/>
                <a:gd name="T4" fmla="*/ 0 w 83"/>
                <a:gd name="T5" fmla="*/ 72 h 72"/>
                <a:gd name="T6" fmla="*/ 83 w 83"/>
                <a:gd name="T7" fmla="*/ 7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2">
                  <a:moveTo>
                    <a:pt x="83" y="7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0" name="Freeform 382">
              <a:extLst>
                <a:ext uri="{FF2B5EF4-FFF2-40B4-BE49-F238E27FC236}">
                  <a16:creationId xmlns:a16="http://schemas.microsoft.com/office/drawing/2014/main" id="{0C1E03E6-616E-431C-9709-8CF17CB89706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77 w 77"/>
                <a:gd name="T1" fmla="*/ 6 h 78"/>
                <a:gd name="T2" fmla="*/ 71 w 77"/>
                <a:gd name="T3" fmla="*/ 0 h 78"/>
                <a:gd name="T4" fmla="*/ 0 w 77"/>
                <a:gd name="T5" fmla="*/ 78 h 78"/>
                <a:gd name="T6" fmla="*/ 77 w 77"/>
                <a:gd name="T7" fmla="*/ 6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8">
                  <a:moveTo>
                    <a:pt x="77" y="6"/>
                  </a:moveTo>
                  <a:lnTo>
                    <a:pt x="71" y="0"/>
                  </a:lnTo>
                  <a:lnTo>
                    <a:pt x="0" y="78"/>
                  </a:lnTo>
                  <a:lnTo>
                    <a:pt x="77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1" name="Freeform 383">
              <a:extLst>
                <a:ext uri="{FF2B5EF4-FFF2-40B4-BE49-F238E27FC236}">
                  <a16:creationId xmlns:a16="http://schemas.microsoft.com/office/drawing/2014/main" id="{7B4284AC-E0A7-4192-9875-6E6256B57106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71 w 71"/>
                <a:gd name="T1" fmla="*/ 5 h 83"/>
                <a:gd name="T2" fmla="*/ 65 w 71"/>
                <a:gd name="T3" fmla="*/ 0 h 83"/>
                <a:gd name="T4" fmla="*/ 0 w 71"/>
                <a:gd name="T5" fmla="*/ 83 h 83"/>
                <a:gd name="T6" fmla="*/ 71 w 71"/>
                <a:gd name="T7" fmla="*/ 5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71" y="5"/>
                  </a:moveTo>
                  <a:lnTo>
                    <a:pt x="65" y="0"/>
                  </a:lnTo>
                  <a:lnTo>
                    <a:pt x="0" y="83"/>
                  </a:lnTo>
                  <a:lnTo>
                    <a:pt x="71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2" name="Freeform 384">
              <a:extLst>
                <a:ext uri="{FF2B5EF4-FFF2-40B4-BE49-F238E27FC236}">
                  <a16:creationId xmlns:a16="http://schemas.microsoft.com/office/drawing/2014/main" id="{D5FC4CEB-1FFD-463B-AC82-3D8AB1FE303B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65 w 65"/>
                <a:gd name="T1" fmla="*/ 5 h 88"/>
                <a:gd name="T2" fmla="*/ 58 w 65"/>
                <a:gd name="T3" fmla="*/ 0 h 88"/>
                <a:gd name="T4" fmla="*/ 0 w 65"/>
                <a:gd name="T5" fmla="*/ 88 h 88"/>
                <a:gd name="T6" fmla="*/ 65 w 65"/>
                <a:gd name="T7" fmla="*/ 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65" y="5"/>
                  </a:moveTo>
                  <a:lnTo>
                    <a:pt x="58" y="0"/>
                  </a:lnTo>
                  <a:lnTo>
                    <a:pt x="0" y="88"/>
                  </a:lnTo>
                  <a:lnTo>
                    <a:pt x="65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3" name="Freeform 385">
              <a:extLst>
                <a:ext uri="{FF2B5EF4-FFF2-40B4-BE49-F238E27FC236}">
                  <a16:creationId xmlns:a16="http://schemas.microsoft.com/office/drawing/2014/main" id="{BE7CBD91-530B-4407-ACA0-F100C0FC11A9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8 w 58"/>
                <a:gd name="T1" fmla="*/ 5 h 93"/>
                <a:gd name="T2" fmla="*/ 50 w 58"/>
                <a:gd name="T3" fmla="*/ 0 h 93"/>
                <a:gd name="T4" fmla="*/ 0 w 58"/>
                <a:gd name="T5" fmla="*/ 93 h 93"/>
                <a:gd name="T6" fmla="*/ 58 w 58"/>
                <a:gd name="T7" fmla="*/ 5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3">
                  <a:moveTo>
                    <a:pt x="58" y="5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8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4" name="Freeform 386">
              <a:extLst>
                <a:ext uri="{FF2B5EF4-FFF2-40B4-BE49-F238E27FC236}">
                  <a16:creationId xmlns:a16="http://schemas.microsoft.com/office/drawing/2014/main" id="{02B3AB92-60DC-42C5-809C-8F9F5D461DA7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0 w 50"/>
                <a:gd name="T1" fmla="*/ 4 h 97"/>
                <a:gd name="T2" fmla="*/ 42 w 50"/>
                <a:gd name="T3" fmla="*/ 0 h 97"/>
                <a:gd name="T4" fmla="*/ 0 w 50"/>
                <a:gd name="T5" fmla="*/ 97 h 97"/>
                <a:gd name="T6" fmla="*/ 50 w 50"/>
                <a:gd name="T7" fmla="*/ 4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7">
                  <a:moveTo>
                    <a:pt x="50" y="4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50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5" name="Freeform 387">
              <a:extLst>
                <a:ext uri="{FF2B5EF4-FFF2-40B4-BE49-F238E27FC236}">
                  <a16:creationId xmlns:a16="http://schemas.microsoft.com/office/drawing/2014/main" id="{D48EE09F-B33F-4179-92D8-5160FF73BFA3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4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4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6" name="Freeform 388">
              <a:extLst>
                <a:ext uri="{FF2B5EF4-FFF2-40B4-BE49-F238E27FC236}">
                  <a16:creationId xmlns:a16="http://schemas.microsoft.com/office/drawing/2014/main" id="{40C0D4F6-B139-4473-AE1F-AA23940A1F2F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34 w 34"/>
                <a:gd name="T1" fmla="*/ 2 h 102"/>
                <a:gd name="T2" fmla="*/ 26 w 34"/>
                <a:gd name="T3" fmla="*/ 0 h 102"/>
                <a:gd name="T4" fmla="*/ 0 w 34"/>
                <a:gd name="T5" fmla="*/ 102 h 102"/>
                <a:gd name="T6" fmla="*/ 34 w 34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34" y="2"/>
                  </a:moveTo>
                  <a:lnTo>
                    <a:pt x="26" y="0"/>
                  </a:lnTo>
                  <a:lnTo>
                    <a:pt x="0" y="102"/>
                  </a:lnTo>
                  <a:lnTo>
                    <a:pt x="34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7" name="Freeform 389">
              <a:extLst>
                <a:ext uri="{FF2B5EF4-FFF2-40B4-BE49-F238E27FC236}">
                  <a16:creationId xmlns:a16="http://schemas.microsoft.com/office/drawing/2014/main" id="{B81147D3-99A7-45E3-8262-8B10D77A24A8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26 w 26"/>
                <a:gd name="T1" fmla="*/ 2 h 104"/>
                <a:gd name="T2" fmla="*/ 17 w 26"/>
                <a:gd name="T3" fmla="*/ 0 h 104"/>
                <a:gd name="T4" fmla="*/ 0 w 26"/>
                <a:gd name="T5" fmla="*/ 104 h 104"/>
                <a:gd name="T6" fmla="*/ 26 w 26"/>
                <a:gd name="T7" fmla="*/ 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26" y="2"/>
                  </a:moveTo>
                  <a:lnTo>
                    <a:pt x="17" y="0"/>
                  </a:lnTo>
                  <a:lnTo>
                    <a:pt x="0" y="104"/>
                  </a:lnTo>
                  <a:lnTo>
                    <a:pt x="26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8" name="Freeform 390">
              <a:extLst>
                <a:ext uri="{FF2B5EF4-FFF2-40B4-BE49-F238E27FC236}">
                  <a16:creationId xmlns:a16="http://schemas.microsoft.com/office/drawing/2014/main" id="{62F46BBA-0865-4C73-995D-78DA121790FC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17 w 17"/>
                <a:gd name="T1" fmla="*/ 1 h 105"/>
                <a:gd name="T2" fmla="*/ 9 w 17"/>
                <a:gd name="T3" fmla="*/ 0 h 105"/>
                <a:gd name="T4" fmla="*/ 0 w 17"/>
                <a:gd name="T5" fmla="*/ 105 h 105"/>
                <a:gd name="T6" fmla="*/ 17 w 17"/>
                <a:gd name="T7" fmla="*/ 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17" y="1"/>
                  </a:moveTo>
                  <a:lnTo>
                    <a:pt x="9" y="0"/>
                  </a:lnTo>
                  <a:lnTo>
                    <a:pt x="0" y="105"/>
                  </a:lnTo>
                  <a:lnTo>
                    <a:pt x="1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9" name="Freeform 391">
              <a:extLst>
                <a:ext uri="{FF2B5EF4-FFF2-40B4-BE49-F238E27FC236}">
                  <a16:creationId xmlns:a16="http://schemas.microsoft.com/office/drawing/2014/main" id="{C2FA8EEA-24AB-45EC-A592-4A8E57563CA2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1 h 106"/>
                <a:gd name="T2" fmla="*/ 0 w 9"/>
                <a:gd name="T3" fmla="*/ 0 h 106"/>
                <a:gd name="T4" fmla="*/ 0 w 9"/>
                <a:gd name="T5" fmla="*/ 106 h 106"/>
                <a:gd name="T6" fmla="*/ 9 w 9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0" name="Freeform 392">
              <a:extLst>
                <a:ext uri="{FF2B5EF4-FFF2-40B4-BE49-F238E27FC236}">
                  <a16:creationId xmlns:a16="http://schemas.microsoft.com/office/drawing/2014/main" id="{71D28064-C0A2-492C-A78B-980580DEB81B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0 h 106"/>
                <a:gd name="T2" fmla="*/ 0 w 9"/>
                <a:gd name="T3" fmla="*/ 1 h 106"/>
                <a:gd name="T4" fmla="*/ 9 w 9"/>
                <a:gd name="T5" fmla="*/ 106 h 106"/>
                <a:gd name="T6" fmla="*/ 9 w 9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0"/>
                  </a:moveTo>
                  <a:lnTo>
                    <a:pt x="0" y="1"/>
                  </a:lnTo>
                  <a:lnTo>
                    <a:pt x="9" y="106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1" name="Freeform 393">
              <a:extLst>
                <a:ext uri="{FF2B5EF4-FFF2-40B4-BE49-F238E27FC236}">
                  <a16:creationId xmlns:a16="http://schemas.microsoft.com/office/drawing/2014/main" id="{4CBB3942-5ADB-411F-A0E2-89A2379EE1D7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18"/>
                <a:gd name="T1" fmla="*/ 0 h 105"/>
                <a:gd name="T2" fmla="*/ 0 w 18"/>
                <a:gd name="T3" fmla="*/ 1 h 105"/>
                <a:gd name="T4" fmla="*/ 18 w 18"/>
                <a:gd name="T5" fmla="*/ 105 h 105"/>
                <a:gd name="T6" fmla="*/ 9 w 18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9" y="0"/>
                  </a:moveTo>
                  <a:lnTo>
                    <a:pt x="0" y="1"/>
                  </a:lnTo>
                  <a:lnTo>
                    <a:pt x="18" y="105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2" name="Freeform 394">
              <a:extLst>
                <a:ext uri="{FF2B5EF4-FFF2-40B4-BE49-F238E27FC236}">
                  <a16:creationId xmlns:a16="http://schemas.microsoft.com/office/drawing/2014/main" id="{F16C28CD-98C1-457A-AE57-161FEADD5F92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27"/>
                <a:gd name="T1" fmla="*/ 0 h 104"/>
                <a:gd name="T2" fmla="*/ 0 w 27"/>
                <a:gd name="T3" fmla="*/ 2 h 104"/>
                <a:gd name="T4" fmla="*/ 27 w 27"/>
                <a:gd name="T5" fmla="*/ 104 h 104"/>
                <a:gd name="T6" fmla="*/ 9 w 27"/>
                <a:gd name="T7" fmla="*/ 0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9" y="0"/>
                  </a:moveTo>
                  <a:lnTo>
                    <a:pt x="0" y="2"/>
                  </a:lnTo>
                  <a:lnTo>
                    <a:pt x="27" y="104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3" name="Freeform 395">
              <a:extLst>
                <a:ext uri="{FF2B5EF4-FFF2-40B4-BE49-F238E27FC236}">
                  <a16:creationId xmlns:a16="http://schemas.microsoft.com/office/drawing/2014/main" id="{35205A3F-D7C4-4B76-A513-2DDF0ACF56CB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8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8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8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4" name="Freeform 396">
              <a:extLst>
                <a:ext uri="{FF2B5EF4-FFF2-40B4-BE49-F238E27FC236}">
                  <a16:creationId xmlns:a16="http://schemas.microsoft.com/office/drawing/2014/main" id="{AA282D88-D258-4A02-BABF-BEC01D75761C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43"/>
                <a:gd name="T1" fmla="*/ 0 h 100"/>
                <a:gd name="T2" fmla="*/ 0 w 43"/>
                <a:gd name="T3" fmla="*/ 3 h 100"/>
                <a:gd name="T4" fmla="*/ 43 w 43"/>
                <a:gd name="T5" fmla="*/ 100 h 100"/>
                <a:gd name="T6" fmla="*/ 8 w 43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100">
                  <a:moveTo>
                    <a:pt x="8" y="0"/>
                  </a:moveTo>
                  <a:lnTo>
                    <a:pt x="0" y="3"/>
                  </a:lnTo>
                  <a:lnTo>
                    <a:pt x="43" y="100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5" name="Freeform 397">
              <a:extLst>
                <a:ext uri="{FF2B5EF4-FFF2-40B4-BE49-F238E27FC236}">
                  <a16:creationId xmlns:a16="http://schemas.microsoft.com/office/drawing/2014/main" id="{9AD92FE1-10F7-4377-96C0-4D6261B4D7F6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1"/>
                <a:gd name="T1" fmla="*/ 0 h 97"/>
                <a:gd name="T2" fmla="*/ 0 w 51"/>
                <a:gd name="T3" fmla="*/ 4 h 97"/>
                <a:gd name="T4" fmla="*/ 51 w 51"/>
                <a:gd name="T5" fmla="*/ 97 h 97"/>
                <a:gd name="T6" fmla="*/ 8 w 51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7">
                  <a:moveTo>
                    <a:pt x="8" y="0"/>
                  </a:moveTo>
                  <a:lnTo>
                    <a:pt x="0" y="4"/>
                  </a:lnTo>
                  <a:lnTo>
                    <a:pt x="51" y="97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6" name="Freeform 398">
              <a:extLst>
                <a:ext uri="{FF2B5EF4-FFF2-40B4-BE49-F238E27FC236}">
                  <a16:creationId xmlns:a16="http://schemas.microsoft.com/office/drawing/2014/main" id="{52A10A11-296A-40FB-A989-5425749E177E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9"/>
                <a:gd name="T1" fmla="*/ 0 h 93"/>
                <a:gd name="T2" fmla="*/ 0 w 59"/>
                <a:gd name="T3" fmla="*/ 5 h 93"/>
                <a:gd name="T4" fmla="*/ 59 w 59"/>
                <a:gd name="T5" fmla="*/ 93 h 93"/>
                <a:gd name="T6" fmla="*/ 8 w 59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3">
                  <a:moveTo>
                    <a:pt x="8" y="0"/>
                  </a:moveTo>
                  <a:lnTo>
                    <a:pt x="0" y="5"/>
                  </a:lnTo>
                  <a:lnTo>
                    <a:pt x="59" y="9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7" name="Freeform 399">
              <a:extLst>
                <a:ext uri="{FF2B5EF4-FFF2-40B4-BE49-F238E27FC236}">
                  <a16:creationId xmlns:a16="http://schemas.microsoft.com/office/drawing/2014/main" id="{F208557B-1D0C-405A-81BD-1521A5D223BD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7 w 66"/>
                <a:gd name="T1" fmla="*/ 0 h 88"/>
                <a:gd name="T2" fmla="*/ 0 w 66"/>
                <a:gd name="T3" fmla="*/ 5 h 88"/>
                <a:gd name="T4" fmla="*/ 66 w 66"/>
                <a:gd name="T5" fmla="*/ 88 h 88"/>
                <a:gd name="T6" fmla="*/ 7 w 66"/>
                <a:gd name="T7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7" y="0"/>
                  </a:moveTo>
                  <a:lnTo>
                    <a:pt x="0" y="5"/>
                  </a:lnTo>
                  <a:lnTo>
                    <a:pt x="66" y="88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8" name="Freeform 400">
              <a:extLst>
                <a:ext uri="{FF2B5EF4-FFF2-40B4-BE49-F238E27FC236}">
                  <a16:creationId xmlns:a16="http://schemas.microsoft.com/office/drawing/2014/main" id="{18FD7B39-5429-4E10-9B46-6A34B602E457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6 w 72"/>
                <a:gd name="T1" fmla="*/ 0 h 83"/>
                <a:gd name="T2" fmla="*/ 0 w 72"/>
                <a:gd name="T3" fmla="*/ 5 h 83"/>
                <a:gd name="T4" fmla="*/ 72 w 72"/>
                <a:gd name="T5" fmla="*/ 83 h 83"/>
                <a:gd name="T6" fmla="*/ 6 w 72"/>
                <a:gd name="T7" fmla="*/ 0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6" y="0"/>
                  </a:moveTo>
                  <a:lnTo>
                    <a:pt x="0" y="5"/>
                  </a:lnTo>
                  <a:lnTo>
                    <a:pt x="72" y="83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9" name="Freeform 401">
              <a:extLst>
                <a:ext uri="{FF2B5EF4-FFF2-40B4-BE49-F238E27FC236}">
                  <a16:creationId xmlns:a16="http://schemas.microsoft.com/office/drawing/2014/main" id="{5EBDA4BC-CDE7-4AC1-992B-085EFEC5EC4C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78"/>
                <a:gd name="T1" fmla="*/ 0 h 78"/>
                <a:gd name="T2" fmla="*/ 0 w 78"/>
                <a:gd name="T3" fmla="*/ 6 h 78"/>
                <a:gd name="T4" fmla="*/ 78 w 78"/>
                <a:gd name="T5" fmla="*/ 78 h 78"/>
                <a:gd name="T6" fmla="*/ 6 w 78"/>
                <a:gd name="T7" fmla="*/ 0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8">
                  <a:moveTo>
                    <a:pt x="6" y="0"/>
                  </a:moveTo>
                  <a:lnTo>
                    <a:pt x="0" y="6"/>
                  </a:lnTo>
                  <a:lnTo>
                    <a:pt x="78" y="78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0" name="Freeform 402">
              <a:extLst>
                <a:ext uri="{FF2B5EF4-FFF2-40B4-BE49-F238E27FC236}">
                  <a16:creationId xmlns:a16="http://schemas.microsoft.com/office/drawing/2014/main" id="{613AF8B3-3B86-446D-8683-1B7079D8E923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84"/>
                <a:gd name="T1" fmla="*/ 0 h 72"/>
                <a:gd name="T2" fmla="*/ 0 w 84"/>
                <a:gd name="T3" fmla="*/ 7 h 72"/>
                <a:gd name="T4" fmla="*/ 84 w 84"/>
                <a:gd name="T5" fmla="*/ 72 h 72"/>
                <a:gd name="T6" fmla="*/ 6 w 84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2">
                  <a:moveTo>
                    <a:pt x="6" y="0"/>
                  </a:moveTo>
                  <a:lnTo>
                    <a:pt x="0" y="7"/>
                  </a:lnTo>
                  <a:lnTo>
                    <a:pt x="84" y="7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1" name="Freeform 403">
              <a:extLst>
                <a:ext uri="{FF2B5EF4-FFF2-40B4-BE49-F238E27FC236}">
                  <a16:creationId xmlns:a16="http://schemas.microsoft.com/office/drawing/2014/main" id="{2984F758-68E9-44AC-885A-6C9C47C31557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89"/>
                <a:gd name="T1" fmla="*/ 0 h 65"/>
                <a:gd name="T2" fmla="*/ 0 w 89"/>
                <a:gd name="T3" fmla="*/ 7 h 65"/>
                <a:gd name="T4" fmla="*/ 89 w 89"/>
                <a:gd name="T5" fmla="*/ 65 h 65"/>
                <a:gd name="T6" fmla="*/ 5 w 89"/>
                <a:gd name="T7" fmla="*/ 0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5">
                  <a:moveTo>
                    <a:pt x="5" y="0"/>
                  </a:moveTo>
                  <a:lnTo>
                    <a:pt x="0" y="7"/>
                  </a:lnTo>
                  <a:lnTo>
                    <a:pt x="89" y="65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2" name="Freeform 404">
              <a:extLst>
                <a:ext uri="{FF2B5EF4-FFF2-40B4-BE49-F238E27FC236}">
                  <a16:creationId xmlns:a16="http://schemas.microsoft.com/office/drawing/2014/main" id="{B2506FFF-89A3-4394-8B61-CE601ED5E5FA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94"/>
                <a:gd name="T1" fmla="*/ 0 h 58"/>
                <a:gd name="T2" fmla="*/ 0 w 94"/>
                <a:gd name="T3" fmla="*/ 8 h 58"/>
                <a:gd name="T4" fmla="*/ 94 w 94"/>
                <a:gd name="T5" fmla="*/ 58 h 58"/>
                <a:gd name="T6" fmla="*/ 5 w 94"/>
                <a:gd name="T7" fmla="*/ 0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8">
                  <a:moveTo>
                    <a:pt x="5" y="0"/>
                  </a:moveTo>
                  <a:lnTo>
                    <a:pt x="0" y="8"/>
                  </a:lnTo>
                  <a:lnTo>
                    <a:pt x="94" y="58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3" name="Freeform 405">
              <a:extLst>
                <a:ext uri="{FF2B5EF4-FFF2-40B4-BE49-F238E27FC236}">
                  <a16:creationId xmlns:a16="http://schemas.microsoft.com/office/drawing/2014/main" id="{0979C043-9C4B-4568-B9E3-232E5CE538C7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3 w 97"/>
                <a:gd name="T1" fmla="*/ 0 h 50"/>
                <a:gd name="T2" fmla="*/ 0 w 97"/>
                <a:gd name="T3" fmla="*/ 7 h 50"/>
                <a:gd name="T4" fmla="*/ 97 w 97"/>
                <a:gd name="T5" fmla="*/ 50 h 50"/>
                <a:gd name="T6" fmla="*/ 3 w 97"/>
                <a:gd name="T7" fmla="*/ 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3" y="0"/>
                  </a:moveTo>
                  <a:lnTo>
                    <a:pt x="0" y="7"/>
                  </a:lnTo>
                  <a:lnTo>
                    <a:pt x="97" y="5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4" name="Freeform 406">
              <a:extLst>
                <a:ext uri="{FF2B5EF4-FFF2-40B4-BE49-F238E27FC236}">
                  <a16:creationId xmlns:a16="http://schemas.microsoft.com/office/drawing/2014/main" id="{9BDF544A-72F7-4C6E-ACE9-4668BA4BECFE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4 w 101"/>
                <a:gd name="T1" fmla="*/ 0 h 43"/>
                <a:gd name="T2" fmla="*/ 0 w 101"/>
                <a:gd name="T3" fmla="*/ 8 h 43"/>
                <a:gd name="T4" fmla="*/ 101 w 101"/>
                <a:gd name="T5" fmla="*/ 43 h 43"/>
                <a:gd name="T6" fmla="*/ 4 w 101"/>
                <a:gd name="T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3">
                  <a:moveTo>
                    <a:pt x="4" y="0"/>
                  </a:moveTo>
                  <a:lnTo>
                    <a:pt x="0" y="8"/>
                  </a:lnTo>
                  <a:lnTo>
                    <a:pt x="101" y="43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5" name="Freeform 407">
              <a:extLst>
                <a:ext uri="{FF2B5EF4-FFF2-40B4-BE49-F238E27FC236}">
                  <a16:creationId xmlns:a16="http://schemas.microsoft.com/office/drawing/2014/main" id="{E59B5A90-EE4D-4D70-831A-95D96A72073A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3"/>
                <a:gd name="T1" fmla="*/ 0 h 35"/>
                <a:gd name="T2" fmla="*/ 0 w 103"/>
                <a:gd name="T3" fmla="*/ 9 h 35"/>
                <a:gd name="T4" fmla="*/ 103 w 103"/>
                <a:gd name="T5" fmla="*/ 35 h 35"/>
                <a:gd name="T6" fmla="*/ 2 w 103"/>
                <a:gd name="T7" fmla="*/ 0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5">
                  <a:moveTo>
                    <a:pt x="2" y="0"/>
                  </a:moveTo>
                  <a:lnTo>
                    <a:pt x="0" y="9"/>
                  </a:lnTo>
                  <a:lnTo>
                    <a:pt x="103" y="35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6" name="Freeform 408">
              <a:extLst>
                <a:ext uri="{FF2B5EF4-FFF2-40B4-BE49-F238E27FC236}">
                  <a16:creationId xmlns:a16="http://schemas.microsoft.com/office/drawing/2014/main" id="{7FAACB13-503A-4A38-993A-1D83AC0C4A9B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5"/>
                <a:gd name="T1" fmla="*/ 0 h 26"/>
                <a:gd name="T2" fmla="*/ 0 w 105"/>
                <a:gd name="T3" fmla="*/ 8 h 26"/>
                <a:gd name="T4" fmla="*/ 105 w 105"/>
                <a:gd name="T5" fmla="*/ 26 h 26"/>
                <a:gd name="T6" fmla="*/ 2 w 105"/>
                <a:gd name="T7" fmla="*/ 0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2" y="0"/>
                  </a:moveTo>
                  <a:lnTo>
                    <a:pt x="0" y="8"/>
                  </a:lnTo>
                  <a:lnTo>
                    <a:pt x="105" y="2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7" name="Freeform 409">
              <a:extLst>
                <a:ext uri="{FF2B5EF4-FFF2-40B4-BE49-F238E27FC236}">
                  <a16:creationId xmlns:a16="http://schemas.microsoft.com/office/drawing/2014/main" id="{6D2DA442-6637-4441-B3FD-2E5C9A99DC2C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1 w 106"/>
                <a:gd name="T1" fmla="*/ 0 h 18"/>
                <a:gd name="T2" fmla="*/ 0 w 106"/>
                <a:gd name="T3" fmla="*/ 9 h 18"/>
                <a:gd name="T4" fmla="*/ 106 w 106"/>
                <a:gd name="T5" fmla="*/ 18 h 18"/>
                <a:gd name="T6" fmla="*/ 1 w 106"/>
                <a:gd name="T7" fmla="*/ 0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8">
                  <a:moveTo>
                    <a:pt x="1" y="0"/>
                  </a:moveTo>
                  <a:lnTo>
                    <a:pt x="0" y="9"/>
                  </a:lnTo>
                  <a:lnTo>
                    <a:pt x="106" y="18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8" name="Freeform 410">
              <a:extLst>
                <a:ext uri="{FF2B5EF4-FFF2-40B4-BE49-F238E27FC236}">
                  <a16:creationId xmlns:a16="http://schemas.microsoft.com/office/drawing/2014/main" id="{AD0718C8-4EAE-4411-98BD-2D668CA4B19C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9"/>
                <a:gd name="T2" fmla="*/ 0 w 106"/>
                <a:gd name="T3" fmla="*/ 9 h 9"/>
                <a:gd name="T4" fmla="*/ 106 w 106"/>
                <a:gd name="T5" fmla="*/ 9 h 9"/>
                <a:gd name="T6" fmla="*/ 0 w 106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9">
                  <a:moveTo>
                    <a:pt x="0" y="0"/>
                  </a:moveTo>
                  <a:lnTo>
                    <a:pt x="0" y="9"/>
                  </a:lnTo>
                  <a:lnTo>
                    <a:pt x="106" y="9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9" name="Freeform 411">
              <a:extLst>
                <a:ext uri="{FF2B5EF4-FFF2-40B4-BE49-F238E27FC236}">
                  <a16:creationId xmlns:a16="http://schemas.microsoft.com/office/drawing/2014/main" id="{A29822C4-D0DC-4F89-9F6D-60B202E68FF8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8"/>
                <a:gd name="T2" fmla="*/ 0 w 106"/>
                <a:gd name="T3" fmla="*/ 8 h 8"/>
                <a:gd name="T4" fmla="*/ 106 w 106"/>
                <a:gd name="T5" fmla="*/ 0 h 8"/>
                <a:gd name="T6" fmla="*/ 0 w 106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8">
                  <a:moveTo>
                    <a:pt x="0" y="0"/>
                  </a:moveTo>
                  <a:lnTo>
                    <a:pt x="0" y="8"/>
                  </a:lnTo>
                  <a:lnTo>
                    <a:pt x="10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0" name="Freeform 412">
              <a:extLst>
                <a:ext uri="{FF2B5EF4-FFF2-40B4-BE49-F238E27FC236}">
                  <a16:creationId xmlns:a16="http://schemas.microsoft.com/office/drawing/2014/main" id="{700BABAE-17E6-456D-B1B7-049C706CE38B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8 h 17"/>
                <a:gd name="T2" fmla="*/ 1 w 106"/>
                <a:gd name="T3" fmla="*/ 17 h 17"/>
                <a:gd name="T4" fmla="*/ 106 w 106"/>
                <a:gd name="T5" fmla="*/ 0 h 17"/>
                <a:gd name="T6" fmla="*/ 0 w 106"/>
                <a:gd name="T7" fmla="*/ 8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7">
                  <a:moveTo>
                    <a:pt x="0" y="8"/>
                  </a:moveTo>
                  <a:lnTo>
                    <a:pt x="1" y="17"/>
                  </a:lnTo>
                  <a:lnTo>
                    <a:pt x="106" y="0"/>
                  </a:lnTo>
                  <a:lnTo>
                    <a:pt x="0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1" name="Freeform 413">
              <a:extLst>
                <a:ext uri="{FF2B5EF4-FFF2-40B4-BE49-F238E27FC236}">
                  <a16:creationId xmlns:a16="http://schemas.microsoft.com/office/drawing/2014/main" id="{C71D21F1-8918-4AD3-91DE-75CE06C98E17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5"/>
                <a:gd name="T1" fmla="*/ 17 h 26"/>
                <a:gd name="T2" fmla="*/ 2 w 105"/>
                <a:gd name="T3" fmla="*/ 26 h 26"/>
                <a:gd name="T4" fmla="*/ 105 w 105"/>
                <a:gd name="T5" fmla="*/ 0 h 26"/>
                <a:gd name="T6" fmla="*/ 0 w 105"/>
                <a:gd name="T7" fmla="*/ 17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0" y="17"/>
                  </a:moveTo>
                  <a:lnTo>
                    <a:pt x="2" y="26"/>
                  </a:lnTo>
                  <a:lnTo>
                    <a:pt x="105" y="0"/>
                  </a:lnTo>
                  <a:lnTo>
                    <a:pt x="0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2" name="Freeform 414">
              <a:extLst>
                <a:ext uri="{FF2B5EF4-FFF2-40B4-BE49-F238E27FC236}">
                  <a16:creationId xmlns:a16="http://schemas.microsoft.com/office/drawing/2014/main" id="{A9A0454A-D80F-49BB-B9A1-65056997F5A4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3"/>
                <a:gd name="T1" fmla="*/ 26 h 34"/>
                <a:gd name="T2" fmla="*/ 2 w 103"/>
                <a:gd name="T3" fmla="*/ 34 h 34"/>
                <a:gd name="T4" fmla="*/ 103 w 103"/>
                <a:gd name="T5" fmla="*/ 0 h 34"/>
                <a:gd name="T6" fmla="*/ 0 w 103"/>
                <a:gd name="T7" fmla="*/ 26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4">
                  <a:moveTo>
                    <a:pt x="0" y="26"/>
                  </a:moveTo>
                  <a:lnTo>
                    <a:pt x="2" y="34"/>
                  </a:lnTo>
                  <a:lnTo>
                    <a:pt x="103" y="0"/>
                  </a:lnTo>
                  <a:lnTo>
                    <a:pt x="0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3" name="Freeform 415">
              <a:extLst>
                <a:ext uri="{FF2B5EF4-FFF2-40B4-BE49-F238E27FC236}">
                  <a16:creationId xmlns:a16="http://schemas.microsoft.com/office/drawing/2014/main" id="{E36909A0-08C3-403A-82C4-2BD5E23D3DFA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1"/>
            </a:xfrm>
            <a:custGeom>
              <a:avLst/>
              <a:gdLst>
                <a:gd name="T0" fmla="*/ 0 w 101"/>
                <a:gd name="T1" fmla="*/ 34 h 42"/>
                <a:gd name="T2" fmla="*/ 4 w 101"/>
                <a:gd name="T3" fmla="*/ 42 h 42"/>
                <a:gd name="T4" fmla="*/ 101 w 101"/>
                <a:gd name="T5" fmla="*/ 0 h 42"/>
                <a:gd name="T6" fmla="*/ 0 w 101"/>
                <a:gd name="T7" fmla="*/ 34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2">
                  <a:moveTo>
                    <a:pt x="0" y="34"/>
                  </a:moveTo>
                  <a:lnTo>
                    <a:pt x="4" y="42"/>
                  </a:lnTo>
                  <a:lnTo>
                    <a:pt x="101" y="0"/>
                  </a:lnTo>
                  <a:lnTo>
                    <a:pt x="0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4" name="Freeform 416">
              <a:extLst>
                <a:ext uri="{FF2B5EF4-FFF2-40B4-BE49-F238E27FC236}">
                  <a16:creationId xmlns:a16="http://schemas.microsoft.com/office/drawing/2014/main" id="{1865903A-178C-4F95-8EBE-CB915B6D50A0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7"/>
                <a:gd name="T1" fmla="*/ 42 h 50"/>
                <a:gd name="T2" fmla="*/ 3 w 97"/>
                <a:gd name="T3" fmla="*/ 50 h 50"/>
                <a:gd name="T4" fmla="*/ 97 w 97"/>
                <a:gd name="T5" fmla="*/ 0 h 50"/>
                <a:gd name="T6" fmla="*/ 0 w 97"/>
                <a:gd name="T7" fmla="*/ 42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0" y="42"/>
                  </a:moveTo>
                  <a:lnTo>
                    <a:pt x="3" y="50"/>
                  </a:lnTo>
                  <a:lnTo>
                    <a:pt x="97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5" name="Freeform 417">
              <a:extLst>
                <a:ext uri="{FF2B5EF4-FFF2-40B4-BE49-F238E27FC236}">
                  <a16:creationId xmlns:a16="http://schemas.microsoft.com/office/drawing/2014/main" id="{B571322C-A1D3-4196-A1AD-174BCCC1D0D1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4"/>
                <a:gd name="T1" fmla="*/ 50 h 57"/>
                <a:gd name="T2" fmla="*/ 5 w 94"/>
                <a:gd name="T3" fmla="*/ 57 h 57"/>
                <a:gd name="T4" fmla="*/ 94 w 94"/>
                <a:gd name="T5" fmla="*/ 0 h 57"/>
                <a:gd name="T6" fmla="*/ 0 w 94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7">
                  <a:moveTo>
                    <a:pt x="0" y="50"/>
                  </a:moveTo>
                  <a:lnTo>
                    <a:pt x="5" y="57"/>
                  </a:lnTo>
                  <a:lnTo>
                    <a:pt x="94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6" name="Freeform 418">
              <a:extLst>
                <a:ext uri="{FF2B5EF4-FFF2-40B4-BE49-F238E27FC236}">
                  <a16:creationId xmlns:a16="http://schemas.microsoft.com/office/drawing/2014/main" id="{9342C7E1-5602-4420-A600-848DF85C6F34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9"/>
                <a:gd name="T1" fmla="*/ 57 h 64"/>
                <a:gd name="T2" fmla="*/ 5 w 89"/>
                <a:gd name="T3" fmla="*/ 64 h 64"/>
                <a:gd name="T4" fmla="*/ 89 w 89"/>
                <a:gd name="T5" fmla="*/ 0 h 64"/>
                <a:gd name="T6" fmla="*/ 0 w 89"/>
                <a:gd name="T7" fmla="*/ 57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4">
                  <a:moveTo>
                    <a:pt x="0" y="57"/>
                  </a:moveTo>
                  <a:lnTo>
                    <a:pt x="5" y="64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7" name="Freeform 419">
              <a:extLst>
                <a:ext uri="{FF2B5EF4-FFF2-40B4-BE49-F238E27FC236}">
                  <a16:creationId xmlns:a16="http://schemas.microsoft.com/office/drawing/2014/main" id="{2DEB91F0-4BBD-45CF-92B6-20A4F6CE7211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4"/>
                <a:gd name="T1" fmla="*/ 64 h 71"/>
                <a:gd name="T2" fmla="*/ 6 w 84"/>
                <a:gd name="T3" fmla="*/ 71 h 71"/>
                <a:gd name="T4" fmla="*/ 84 w 84"/>
                <a:gd name="T5" fmla="*/ 0 h 71"/>
                <a:gd name="T6" fmla="*/ 0 w 84"/>
                <a:gd name="T7" fmla="*/ 64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1">
                  <a:moveTo>
                    <a:pt x="0" y="64"/>
                  </a:moveTo>
                  <a:lnTo>
                    <a:pt x="6" y="71"/>
                  </a:lnTo>
                  <a:lnTo>
                    <a:pt x="84" y="0"/>
                  </a:lnTo>
                  <a:lnTo>
                    <a:pt x="0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8" name="Freeform 420">
              <a:extLst>
                <a:ext uri="{FF2B5EF4-FFF2-40B4-BE49-F238E27FC236}">
                  <a16:creationId xmlns:a16="http://schemas.microsoft.com/office/drawing/2014/main" id="{BB9BF80B-E19C-4F7A-8552-63D37AB07DF4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8"/>
                <a:gd name="T1" fmla="*/ 71 h 77"/>
                <a:gd name="T2" fmla="*/ 6 w 78"/>
                <a:gd name="T3" fmla="*/ 77 h 77"/>
                <a:gd name="T4" fmla="*/ 78 w 78"/>
                <a:gd name="T5" fmla="*/ 0 h 77"/>
                <a:gd name="T6" fmla="*/ 0 w 78"/>
                <a:gd name="T7" fmla="*/ 71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7">
                  <a:moveTo>
                    <a:pt x="0" y="71"/>
                  </a:moveTo>
                  <a:lnTo>
                    <a:pt x="6" y="77"/>
                  </a:lnTo>
                  <a:lnTo>
                    <a:pt x="78" y="0"/>
                  </a:lnTo>
                  <a:lnTo>
                    <a:pt x="0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9" name="Freeform 421">
              <a:extLst>
                <a:ext uri="{FF2B5EF4-FFF2-40B4-BE49-F238E27FC236}">
                  <a16:creationId xmlns:a16="http://schemas.microsoft.com/office/drawing/2014/main" id="{4BC40C9C-F9F5-4FF7-98AE-6648818B32F0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2"/>
                <a:gd name="T1" fmla="*/ 77 h 83"/>
                <a:gd name="T2" fmla="*/ 6 w 72"/>
                <a:gd name="T3" fmla="*/ 83 h 83"/>
                <a:gd name="T4" fmla="*/ 72 w 72"/>
                <a:gd name="T5" fmla="*/ 0 h 83"/>
                <a:gd name="T6" fmla="*/ 0 w 72"/>
                <a:gd name="T7" fmla="*/ 77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0" y="77"/>
                  </a:moveTo>
                  <a:lnTo>
                    <a:pt x="6" y="83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0" name="Freeform 422">
              <a:extLst>
                <a:ext uri="{FF2B5EF4-FFF2-40B4-BE49-F238E27FC236}">
                  <a16:creationId xmlns:a16="http://schemas.microsoft.com/office/drawing/2014/main" id="{916D8054-9F3C-43DA-B9C2-0E99BDBBD9B6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66"/>
                <a:gd name="T1" fmla="*/ 83 h 88"/>
                <a:gd name="T2" fmla="*/ 7 w 66"/>
                <a:gd name="T3" fmla="*/ 88 h 88"/>
                <a:gd name="T4" fmla="*/ 66 w 66"/>
                <a:gd name="T5" fmla="*/ 0 h 88"/>
                <a:gd name="T6" fmla="*/ 0 w 66"/>
                <a:gd name="T7" fmla="*/ 83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0" y="83"/>
                  </a:moveTo>
                  <a:lnTo>
                    <a:pt x="7" y="88"/>
                  </a:lnTo>
                  <a:lnTo>
                    <a:pt x="66" y="0"/>
                  </a:lnTo>
                  <a:lnTo>
                    <a:pt x="0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1" name="Freeform 423">
              <a:extLst>
                <a:ext uri="{FF2B5EF4-FFF2-40B4-BE49-F238E27FC236}">
                  <a16:creationId xmlns:a16="http://schemas.microsoft.com/office/drawing/2014/main" id="{4A77F690-A1BC-4567-9781-3632B3387430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9"/>
                <a:gd name="T1" fmla="*/ 88 h 92"/>
                <a:gd name="T2" fmla="*/ 8 w 59"/>
                <a:gd name="T3" fmla="*/ 92 h 92"/>
                <a:gd name="T4" fmla="*/ 59 w 59"/>
                <a:gd name="T5" fmla="*/ 0 h 92"/>
                <a:gd name="T6" fmla="*/ 0 w 59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2">
                  <a:moveTo>
                    <a:pt x="0" y="88"/>
                  </a:moveTo>
                  <a:lnTo>
                    <a:pt x="8" y="92"/>
                  </a:lnTo>
                  <a:lnTo>
                    <a:pt x="59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2" name="Freeform 424">
              <a:extLst>
                <a:ext uri="{FF2B5EF4-FFF2-40B4-BE49-F238E27FC236}">
                  <a16:creationId xmlns:a16="http://schemas.microsoft.com/office/drawing/2014/main" id="{4219955D-FDD1-43F7-836D-9B1A70725A3C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1"/>
                <a:gd name="T1" fmla="*/ 92 h 96"/>
                <a:gd name="T2" fmla="*/ 8 w 51"/>
                <a:gd name="T3" fmla="*/ 96 h 96"/>
                <a:gd name="T4" fmla="*/ 51 w 51"/>
                <a:gd name="T5" fmla="*/ 0 h 96"/>
                <a:gd name="T6" fmla="*/ 0 w 51"/>
                <a:gd name="T7" fmla="*/ 92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6">
                  <a:moveTo>
                    <a:pt x="0" y="92"/>
                  </a:moveTo>
                  <a:lnTo>
                    <a:pt x="8" y="96"/>
                  </a:lnTo>
                  <a:lnTo>
                    <a:pt x="51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3" name="Freeform 425">
              <a:extLst>
                <a:ext uri="{FF2B5EF4-FFF2-40B4-BE49-F238E27FC236}">
                  <a16:creationId xmlns:a16="http://schemas.microsoft.com/office/drawing/2014/main" id="{AEF80C2C-105B-4D67-9BBD-FF47EBF69606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2"/>
            </a:xfrm>
            <a:custGeom>
              <a:avLst/>
              <a:gdLst>
                <a:gd name="T0" fmla="*/ 0 w 43"/>
                <a:gd name="T1" fmla="*/ 96 h 99"/>
                <a:gd name="T2" fmla="*/ 8 w 43"/>
                <a:gd name="T3" fmla="*/ 99 h 99"/>
                <a:gd name="T4" fmla="*/ 43 w 43"/>
                <a:gd name="T5" fmla="*/ 0 h 99"/>
                <a:gd name="T6" fmla="*/ 0 w 43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99">
                  <a:moveTo>
                    <a:pt x="0" y="96"/>
                  </a:moveTo>
                  <a:lnTo>
                    <a:pt x="8" y="99"/>
                  </a:lnTo>
                  <a:lnTo>
                    <a:pt x="43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4" name="Freeform 426">
              <a:extLst>
                <a:ext uri="{FF2B5EF4-FFF2-40B4-BE49-F238E27FC236}">
                  <a16:creationId xmlns:a16="http://schemas.microsoft.com/office/drawing/2014/main" id="{DA84C5A8-CB66-4BE0-94D7-9DAAEB828DA6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35"/>
                <a:gd name="T1" fmla="*/ 99 h 102"/>
                <a:gd name="T2" fmla="*/ 8 w 35"/>
                <a:gd name="T3" fmla="*/ 102 h 102"/>
                <a:gd name="T4" fmla="*/ 35 w 35"/>
                <a:gd name="T5" fmla="*/ 0 h 102"/>
                <a:gd name="T6" fmla="*/ 0 w 35"/>
                <a:gd name="T7" fmla="*/ 99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0" y="99"/>
                  </a:moveTo>
                  <a:lnTo>
                    <a:pt x="8" y="102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5" name="Freeform 427">
              <a:extLst>
                <a:ext uri="{FF2B5EF4-FFF2-40B4-BE49-F238E27FC236}">
                  <a16:creationId xmlns:a16="http://schemas.microsoft.com/office/drawing/2014/main" id="{116AF08E-36C3-44B9-A9D9-6472499F8E5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27"/>
                <a:gd name="T1" fmla="*/ 102 h 104"/>
                <a:gd name="T2" fmla="*/ 9 w 27"/>
                <a:gd name="T3" fmla="*/ 104 h 104"/>
                <a:gd name="T4" fmla="*/ 27 w 27"/>
                <a:gd name="T5" fmla="*/ 0 h 104"/>
                <a:gd name="T6" fmla="*/ 0 w 27"/>
                <a:gd name="T7" fmla="*/ 10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0" y="102"/>
                  </a:moveTo>
                  <a:lnTo>
                    <a:pt x="9" y="104"/>
                  </a:lnTo>
                  <a:lnTo>
                    <a:pt x="27" y="0"/>
                  </a:lnTo>
                  <a:lnTo>
                    <a:pt x="0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6" name="Freeform 428">
              <a:extLst>
                <a:ext uri="{FF2B5EF4-FFF2-40B4-BE49-F238E27FC236}">
                  <a16:creationId xmlns:a16="http://schemas.microsoft.com/office/drawing/2014/main" id="{F057744E-7311-47D8-8E8F-81FE62080175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18"/>
                <a:gd name="T1" fmla="*/ 104 h 105"/>
                <a:gd name="T2" fmla="*/ 9 w 18"/>
                <a:gd name="T3" fmla="*/ 105 h 105"/>
                <a:gd name="T4" fmla="*/ 18 w 18"/>
                <a:gd name="T5" fmla="*/ 0 h 105"/>
                <a:gd name="T6" fmla="*/ 0 w 18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0" y="104"/>
                  </a:moveTo>
                  <a:lnTo>
                    <a:pt x="9" y="105"/>
                  </a:lnTo>
                  <a:lnTo>
                    <a:pt x="18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7" name="Freeform 429">
              <a:extLst>
                <a:ext uri="{FF2B5EF4-FFF2-40B4-BE49-F238E27FC236}">
                  <a16:creationId xmlns:a16="http://schemas.microsoft.com/office/drawing/2014/main" id="{89262095-5BE0-49A2-BFEC-FB956CA9E075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9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9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8" name="Freeform 430">
              <a:extLst>
                <a:ext uri="{FF2B5EF4-FFF2-40B4-BE49-F238E27FC236}">
                  <a16:creationId xmlns:a16="http://schemas.microsoft.com/office/drawing/2014/main" id="{F187F0E0-63F2-461C-83A8-F962EBB1E07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0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9" name="Freeform 431">
              <a:extLst>
                <a:ext uri="{FF2B5EF4-FFF2-40B4-BE49-F238E27FC236}">
                  <a16:creationId xmlns:a16="http://schemas.microsoft.com/office/drawing/2014/main" id="{8B03D422-DCB2-42FD-A324-7145A3677FF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9 w 17"/>
                <a:gd name="T1" fmla="*/ 105 h 105"/>
                <a:gd name="T2" fmla="*/ 17 w 17"/>
                <a:gd name="T3" fmla="*/ 104 h 105"/>
                <a:gd name="T4" fmla="*/ 0 w 17"/>
                <a:gd name="T5" fmla="*/ 0 h 105"/>
                <a:gd name="T6" fmla="*/ 9 w 1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9" y="105"/>
                  </a:moveTo>
                  <a:lnTo>
                    <a:pt x="17" y="104"/>
                  </a:lnTo>
                  <a:lnTo>
                    <a:pt x="0" y="0"/>
                  </a:lnTo>
                  <a:lnTo>
                    <a:pt x="9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0" name="Freeform 432">
              <a:extLst>
                <a:ext uri="{FF2B5EF4-FFF2-40B4-BE49-F238E27FC236}">
                  <a16:creationId xmlns:a16="http://schemas.microsoft.com/office/drawing/2014/main" id="{ECD71D60-81AA-4A1D-A395-14882DB7B47A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17 w 26"/>
                <a:gd name="T1" fmla="*/ 104 h 104"/>
                <a:gd name="T2" fmla="*/ 26 w 26"/>
                <a:gd name="T3" fmla="*/ 102 h 104"/>
                <a:gd name="T4" fmla="*/ 0 w 26"/>
                <a:gd name="T5" fmla="*/ 0 h 104"/>
                <a:gd name="T6" fmla="*/ 17 w 26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17" y="104"/>
                  </a:moveTo>
                  <a:lnTo>
                    <a:pt x="26" y="102"/>
                  </a:lnTo>
                  <a:lnTo>
                    <a:pt x="0" y="0"/>
                  </a:lnTo>
                  <a:lnTo>
                    <a:pt x="17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1" name="Freeform 433">
              <a:extLst>
                <a:ext uri="{FF2B5EF4-FFF2-40B4-BE49-F238E27FC236}">
                  <a16:creationId xmlns:a16="http://schemas.microsoft.com/office/drawing/2014/main" id="{674218A6-E00E-4146-856C-D529C047E66F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26 w 34"/>
                <a:gd name="T1" fmla="*/ 102 h 102"/>
                <a:gd name="T2" fmla="*/ 34 w 34"/>
                <a:gd name="T3" fmla="*/ 99 h 102"/>
                <a:gd name="T4" fmla="*/ 0 w 34"/>
                <a:gd name="T5" fmla="*/ 0 h 102"/>
                <a:gd name="T6" fmla="*/ 26 w 34"/>
                <a:gd name="T7" fmla="*/ 10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26" y="102"/>
                  </a:moveTo>
                  <a:lnTo>
                    <a:pt x="34" y="99"/>
                  </a:lnTo>
                  <a:lnTo>
                    <a:pt x="0" y="0"/>
                  </a:lnTo>
                  <a:lnTo>
                    <a:pt x="26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2" name="Freeform 434">
              <a:extLst>
                <a:ext uri="{FF2B5EF4-FFF2-40B4-BE49-F238E27FC236}">
                  <a16:creationId xmlns:a16="http://schemas.microsoft.com/office/drawing/2014/main" id="{2A9FBD79-6B75-4EC7-BC67-B4B06A5FC9D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34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4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4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4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3" name="Freeform 435">
              <a:extLst>
                <a:ext uri="{FF2B5EF4-FFF2-40B4-BE49-F238E27FC236}">
                  <a16:creationId xmlns:a16="http://schemas.microsoft.com/office/drawing/2014/main" id="{374A635C-B084-4541-945B-9592ED2BE20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42 w 50"/>
                <a:gd name="T1" fmla="*/ 96 h 96"/>
                <a:gd name="T2" fmla="*/ 50 w 50"/>
                <a:gd name="T3" fmla="*/ 92 h 96"/>
                <a:gd name="T4" fmla="*/ 0 w 50"/>
                <a:gd name="T5" fmla="*/ 0 h 96"/>
                <a:gd name="T6" fmla="*/ 42 w 50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42" y="96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4" name="Freeform 436">
              <a:extLst>
                <a:ext uri="{FF2B5EF4-FFF2-40B4-BE49-F238E27FC236}">
                  <a16:creationId xmlns:a16="http://schemas.microsoft.com/office/drawing/2014/main" id="{5D930E8E-99E4-48AD-8561-B78BC3353E7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0 w 58"/>
                <a:gd name="T1" fmla="*/ 92 h 92"/>
                <a:gd name="T2" fmla="*/ 58 w 58"/>
                <a:gd name="T3" fmla="*/ 88 h 92"/>
                <a:gd name="T4" fmla="*/ 0 w 58"/>
                <a:gd name="T5" fmla="*/ 0 h 92"/>
                <a:gd name="T6" fmla="*/ 50 w 58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2">
                  <a:moveTo>
                    <a:pt x="50" y="92"/>
                  </a:moveTo>
                  <a:lnTo>
                    <a:pt x="58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5" name="Freeform 437">
              <a:extLst>
                <a:ext uri="{FF2B5EF4-FFF2-40B4-BE49-F238E27FC236}">
                  <a16:creationId xmlns:a16="http://schemas.microsoft.com/office/drawing/2014/main" id="{CAEE8724-C385-49A3-8774-089066632DCC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8 w 65"/>
                <a:gd name="T1" fmla="*/ 88 h 88"/>
                <a:gd name="T2" fmla="*/ 65 w 65"/>
                <a:gd name="T3" fmla="*/ 83 h 88"/>
                <a:gd name="T4" fmla="*/ 0 w 65"/>
                <a:gd name="T5" fmla="*/ 0 h 88"/>
                <a:gd name="T6" fmla="*/ 58 w 65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58" y="88"/>
                  </a:moveTo>
                  <a:lnTo>
                    <a:pt x="65" y="83"/>
                  </a:lnTo>
                  <a:lnTo>
                    <a:pt x="0" y="0"/>
                  </a:lnTo>
                  <a:lnTo>
                    <a:pt x="58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6" name="Freeform 438">
              <a:extLst>
                <a:ext uri="{FF2B5EF4-FFF2-40B4-BE49-F238E27FC236}">
                  <a16:creationId xmlns:a16="http://schemas.microsoft.com/office/drawing/2014/main" id="{6E07C242-6C27-4660-85CC-281E43F90B0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65 w 71"/>
                <a:gd name="T1" fmla="*/ 83 h 83"/>
                <a:gd name="T2" fmla="*/ 71 w 71"/>
                <a:gd name="T3" fmla="*/ 77 h 83"/>
                <a:gd name="T4" fmla="*/ 0 w 71"/>
                <a:gd name="T5" fmla="*/ 0 h 83"/>
                <a:gd name="T6" fmla="*/ 65 w 71"/>
                <a:gd name="T7" fmla="*/ 83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65" y="83"/>
                  </a:moveTo>
                  <a:lnTo>
                    <a:pt x="71" y="77"/>
                  </a:lnTo>
                  <a:lnTo>
                    <a:pt x="0" y="0"/>
                  </a:lnTo>
                  <a:lnTo>
                    <a:pt x="65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7" name="Freeform 439">
              <a:extLst>
                <a:ext uri="{FF2B5EF4-FFF2-40B4-BE49-F238E27FC236}">
                  <a16:creationId xmlns:a16="http://schemas.microsoft.com/office/drawing/2014/main" id="{148CB074-1C4A-443F-A92D-6A15EC356EEF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1 w 77"/>
                <a:gd name="T1" fmla="*/ 77 h 77"/>
                <a:gd name="T2" fmla="*/ 77 w 77"/>
                <a:gd name="T3" fmla="*/ 71 h 77"/>
                <a:gd name="T4" fmla="*/ 0 w 77"/>
                <a:gd name="T5" fmla="*/ 0 h 77"/>
                <a:gd name="T6" fmla="*/ 71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1" y="77"/>
                  </a:moveTo>
                  <a:lnTo>
                    <a:pt x="77" y="71"/>
                  </a:lnTo>
                  <a:lnTo>
                    <a:pt x="0" y="0"/>
                  </a:lnTo>
                  <a:lnTo>
                    <a:pt x="71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8" name="Freeform 440">
              <a:extLst>
                <a:ext uri="{FF2B5EF4-FFF2-40B4-BE49-F238E27FC236}">
                  <a16:creationId xmlns:a16="http://schemas.microsoft.com/office/drawing/2014/main" id="{C5BA3608-D9FC-4393-AA6F-1BBF789C8C7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7 w 83"/>
                <a:gd name="T1" fmla="*/ 71 h 71"/>
                <a:gd name="T2" fmla="*/ 83 w 83"/>
                <a:gd name="T3" fmla="*/ 64 h 71"/>
                <a:gd name="T4" fmla="*/ 0 w 83"/>
                <a:gd name="T5" fmla="*/ 0 h 71"/>
                <a:gd name="T6" fmla="*/ 77 w 83"/>
                <a:gd name="T7" fmla="*/ 71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1">
                  <a:moveTo>
                    <a:pt x="77" y="71"/>
                  </a:moveTo>
                  <a:lnTo>
                    <a:pt x="83" y="64"/>
                  </a:lnTo>
                  <a:lnTo>
                    <a:pt x="0" y="0"/>
                  </a:lnTo>
                  <a:lnTo>
                    <a:pt x="77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9" name="Freeform 441">
              <a:extLst>
                <a:ext uri="{FF2B5EF4-FFF2-40B4-BE49-F238E27FC236}">
                  <a16:creationId xmlns:a16="http://schemas.microsoft.com/office/drawing/2014/main" id="{3FE63971-41CD-4826-93E4-8E2EB350B1EA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3 w 88"/>
                <a:gd name="T1" fmla="*/ 64 h 64"/>
                <a:gd name="T2" fmla="*/ 88 w 88"/>
                <a:gd name="T3" fmla="*/ 57 h 64"/>
                <a:gd name="T4" fmla="*/ 0 w 88"/>
                <a:gd name="T5" fmla="*/ 0 h 64"/>
                <a:gd name="T6" fmla="*/ 83 w 88"/>
                <a:gd name="T7" fmla="*/ 64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4">
                  <a:moveTo>
                    <a:pt x="83" y="64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3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0" name="Freeform 442">
              <a:extLst>
                <a:ext uri="{FF2B5EF4-FFF2-40B4-BE49-F238E27FC236}">
                  <a16:creationId xmlns:a16="http://schemas.microsoft.com/office/drawing/2014/main" id="{A16FF362-1F6E-4623-B047-4528BEBD236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8 w 93"/>
                <a:gd name="T1" fmla="*/ 57 h 57"/>
                <a:gd name="T2" fmla="*/ 93 w 93"/>
                <a:gd name="T3" fmla="*/ 50 h 57"/>
                <a:gd name="T4" fmla="*/ 0 w 93"/>
                <a:gd name="T5" fmla="*/ 0 h 57"/>
                <a:gd name="T6" fmla="*/ 88 w 93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7">
                  <a:moveTo>
                    <a:pt x="88" y="57"/>
                  </a:moveTo>
                  <a:lnTo>
                    <a:pt x="93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1" name="Freeform 443">
              <a:extLst>
                <a:ext uri="{FF2B5EF4-FFF2-40B4-BE49-F238E27FC236}">
                  <a16:creationId xmlns:a16="http://schemas.microsoft.com/office/drawing/2014/main" id="{BC732A28-E1E5-4584-B9AC-B41E3F04E10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3 w 96"/>
                <a:gd name="T1" fmla="*/ 50 h 50"/>
                <a:gd name="T2" fmla="*/ 96 w 96"/>
                <a:gd name="T3" fmla="*/ 42 h 50"/>
                <a:gd name="T4" fmla="*/ 0 w 96"/>
                <a:gd name="T5" fmla="*/ 0 h 50"/>
                <a:gd name="T6" fmla="*/ 93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3" y="50"/>
                  </a:moveTo>
                  <a:lnTo>
                    <a:pt x="96" y="42"/>
                  </a:lnTo>
                  <a:lnTo>
                    <a:pt x="0" y="0"/>
                  </a:lnTo>
                  <a:lnTo>
                    <a:pt x="93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2" name="Freeform 444">
              <a:extLst>
                <a:ext uri="{FF2B5EF4-FFF2-40B4-BE49-F238E27FC236}">
                  <a16:creationId xmlns:a16="http://schemas.microsoft.com/office/drawing/2014/main" id="{D1A79968-D938-4880-A9A1-6EBAB124FD83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6 w 99"/>
                <a:gd name="T1" fmla="*/ 42 h 42"/>
                <a:gd name="T2" fmla="*/ 99 w 99"/>
                <a:gd name="T3" fmla="*/ 34 h 42"/>
                <a:gd name="T4" fmla="*/ 0 w 99"/>
                <a:gd name="T5" fmla="*/ 0 h 42"/>
                <a:gd name="T6" fmla="*/ 96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6" y="42"/>
                  </a:moveTo>
                  <a:lnTo>
                    <a:pt x="99" y="34"/>
                  </a:lnTo>
                  <a:lnTo>
                    <a:pt x="0" y="0"/>
                  </a:lnTo>
                  <a:lnTo>
                    <a:pt x="96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3" name="Freeform 445">
              <a:extLst>
                <a:ext uri="{FF2B5EF4-FFF2-40B4-BE49-F238E27FC236}">
                  <a16:creationId xmlns:a16="http://schemas.microsoft.com/office/drawing/2014/main" id="{B307151C-47F6-4B2C-8532-F7557BF0094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99 w 102"/>
                <a:gd name="T1" fmla="*/ 34 h 34"/>
                <a:gd name="T2" fmla="*/ 102 w 102"/>
                <a:gd name="T3" fmla="*/ 26 h 34"/>
                <a:gd name="T4" fmla="*/ 0 w 102"/>
                <a:gd name="T5" fmla="*/ 0 h 34"/>
                <a:gd name="T6" fmla="*/ 99 w 102"/>
                <a:gd name="T7" fmla="*/ 34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4">
                  <a:moveTo>
                    <a:pt x="99" y="34"/>
                  </a:moveTo>
                  <a:lnTo>
                    <a:pt x="102" y="26"/>
                  </a:lnTo>
                  <a:lnTo>
                    <a:pt x="0" y="0"/>
                  </a:lnTo>
                  <a:lnTo>
                    <a:pt x="99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4" name="Freeform 446">
              <a:extLst>
                <a:ext uri="{FF2B5EF4-FFF2-40B4-BE49-F238E27FC236}">
                  <a16:creationId xmlns:a16="http://schemas.microsoft.com/office/drawing/2014/main" id="{01116742-6056-4E99-99BF-1733ADE97424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2 w 104"/>
                <a:gd name="T1" fmla="*/ 26 h 26"/>
                <a:gd name="T2" fmla="*/ 104 w 104"/>
                <a:gd name="T3" fmla="*/ 17 h 26"/>
                <a:gd name="T4" fmla="*/ 0 w 104"/>
                <a:gd name="T5" fmla="*/ 0 h 26"/>
                <a:gd name="T6" fmla="*/ 102 w 104"/>
                <a:gd name="T7" fmla="*/ 26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2" y="26"/>
                  </a:moveTo>
                  <a:lnTo>
                    <a:pt x="104" y="17"/>
                  </a:lnTo>
                  <a:lnTo>
                    <a:pt x="0" y="0"/>
                  </a:lnTo>
                  <a:lnTo>
                    <a:pt x="102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5" name="Freeform 447">
              <a:extLst>
                <a:ext uri="{FF2B5EF4-FFF2-40B4-BE49-F238E27FC236}">
                  <a16:creationId xmlns:a16="http://schemas.microsoft.com/office/drawing/2014/main" id="{1BC249FE-6C56-435C-9710-B7867FA91A0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4 w 105"/>
                <a:gd name="T1" fmla="*/ 17 h 17"/>
                <a:gd name="T2" fmla="*/ 105 w 105"/>
                <a:gd name="T3" fmla="*/ 8 h 17"/>
                <a:gd name="T4" fmla="*/ 0 w 105"/>
                <a:gd name="T5" fmla="*/ 0 h 17"/>
                <a:gd name="T6" fmla="*/ 104 w 105"/>
                <a:gd name="T7" fmla="*/ 17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7">
                  <a:moveTo>
                    <a:pt x="104" y="17"/>
                  </a:moveTo>
                  <a:lnTo>
                    <a:pt x="105" y="8"/>
                  </a:lnTo>
                  <a:lnTo>
                    <a:pt x="0" y="0"/>
                  </a:lnTo>
                  <a:lnTo>
                    <a:pt x="104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6" name="Freeform 448">
              <a:extLst>
                <a:ext uri="{FF2B5EF4-FFF2-40B4-BE49-F238E27FC236}">
                  <a16:creationId xmlns:a16="http://schemas.microsoft.com/office/drawing/2014/main" id="{26620C9F-9AB3-4DDD-83C3-1B30A4B3DBFF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0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7" name="Freeform 449">
              <a:extLst>
                <a:ext uri="{FF2B5EF4-FFF2-40B4-BE49-F238E27FC236}">
                  <a16:creationId xmlns:a16="http://schemas.microsoft.com/office/drawing/2014/main" id="{F822E576-FB85-4C26-92D0-B90B08B47426}"/>
                </a:ext>
              </a:extLst>
            </xdr:cNvPr>
            <xdr:cNvSpPr>
              <a:spLocks/>
            </xdr:cNvSpPr>
          </xdr:nvSpPr>
          <xdr:spPr bwMode="auto">
            <a:xfrm>
              <a:off x="1178" y="188"/>
              <a:ext cx="6" cy="9"/>
            </a:xfrm>
            <a:custGeom>
              <a:avLst/>
              <a:gdLst>
                <a:gd name="T0" fmla="*/ 0 w 350"/>
                <a:gd name="T1" fmla="*/ 526 h 526"/>
                <a:gd name="T2" fmla="*/ 263 w 350"/>
                <a:gd name="T3" fmla="*/ 526 h 526"/>
                <a:gd name="T4" fmla="*/ 350 w 350"/>
                <a:gd name="T5" fmla="*/ 439 h 526"/>
                <a:gd name="T6" fmla="*/ 350 w 350"/>
                <a:gd name="T7" fmla="*/ 88 h 526"/>
                <a:gd name="T8" fmla="*/ 263 w 350"/>
                <a:gd name="T9" fmla="*/ 0 h 526"/>
                <a:gd name="T10" fmla="*/ 0 w 350"/>
                <a:gd name="T11" fmla="*/ 0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0" h="526">
                  <a:moveTo>
                    <a:pt x="0" y="526"/>
                  </a:moveTo>
                  <a:lnTo>
                    <a:pt x="263" y="526"/>
                  </a:lnTo>
                  <a:lnTo>
                    <a:pt x="350" y="439"/>
                  </a:lnTo>
                  <a:lnTo>
                    <a:pt x="350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38" name="Line 450">
              <a:extLst>
                <a:ext uri="{FF2B5EF4-FFF2-40B4-BE49-F238E27FC236}">
                  <a16:creationId xmlns:a16="http://schemas.microsoft.com/office/drawing/2014/main" id="{CEC10959-F18A-4338-AC3C-8FAB247535D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0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9" name="Freeform 451">
              <a:extLst>
                <a:ext uri="{FF2B5EF4-FFF2-40B4-BE49-F238E27FC236}">
                  <a16:creationId xmlns:a16="http://schemas.microsoft.com/office/drawing/2014/main" id="{8AFF3DBE-8A14-46E5-8541-9B5172FE20C5}"/>
                </a:ext>
              </a:extLst>
            </xdr:cNvPr>
            <xdr:cNvSpPr>
              <a:spLocks/>
            </xdr:cNvSpPr>
          </xdr:nvSpPr>
          <xdr:spPr bwMode="auto">
            <a:xfrm>
              <a:off x="1190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40" name="Freeform 452">
              <a:extLst>
                <a:ext uri="{FF2B5EF4-FFF2-40B4-BE49-F238E27FC236}">
                  <a16:creationId xmlns:a16="http://schemas.microsoft.com/office/drawing/2014/main" id="{BB44348A-BF70-41B4-85B3-5124727D4684}"/>
                </a:ext>
              </a:extLst>
            </xdr:cNvPr>
            <xdr:cNvSpPr>
              <a:spLocks/>
            </xdr:cNvSpPr>
          </xdr:nvSpPr>
          <xdr:spPr bwMode="auto">
            <a:xfrm>
              <a:off x="1190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6" name="Freeform 454">
            <a:extLst>
              <a:ext uri="{FF2B5EF4-FFF2-40B4-BE49-F238E27FC236}">
                <a16:creationId xmlns:a16="http://schemas.microsoft.com/office/drawing/2014/main" id="{EB34427D-8495-435C-AA12-7C27BA1C0612}"/>
              </a:ext>
            </a:extLst>
          </xdr:cNvPr>
          <xdr:cNvSpPr>
            <a:spLocks/>
          </xdr:cNvSpPr>
        </xdr:nvSpPr>
        <xdr:spPr bwMode="auto">
          <a:xfrm>
            <a:off x="1190" y="200"/>
            <a:ext cx="1" cy="2"/>
          </a:xfrm>
          <a:custGeom>
            <a:avLst/>
            <a:gdLst>
              <a:gd name="T0" fmla="*/ 53 w 53"/>
              <a:gd name="T1" fmla="*/ 14 h 106"/>
              <a:gd name="T2" fmla="*/ 0 w 53"/>
              <a:gd name="T3" fmla="*/ 0 h 106"/>
              <a:gd name="T4" fmla="*/ 0 w 53"/>
              <a:gd name="T5" fmla="*/ 106 h 106"/>
              <a:gd name="T6" fmla="*/ 53 w 53"/>
              <a:gd name="T7" fmla="*/ 14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14"/>
                </a:moveTo>
                <a:lnTo>
                  <a:pt x="0" y="0"/>
                </a:lnTo>
                <a:lnTo>
                  <a:pt x="0" y="106"/>
                </a:lnTo>
                <a:lnTo>
                  <a:pt x="53" y="14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Freeform 455">
            <a:extLst>
              <a:ext uri="{FF2B5EF4-FFF2-40B4-BE49-F238E27FC236}">
                <a16:creationId xmlns:a16="http://schemas.microsoft.com/office/drawing/2014/main" id="{2A5CF7EA-2B7D-4049-9817-F1A9E63FD8A2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53 w 53"/>
              <a:gd name="T1" fmla="*/ 0 h 106"/>
              <a:gd name="T2" fmla="*/ 0 w 53"/>
              <a:gd name="T3" fmla="*/ 14 h 106"/>
              <a:gd name="T4" fmla="*/ 53 w 53"/>
              <a:gd name="T5" fmla="*/ 106 h 106"/>
              <a:gd name="T6" fmla="*/ 53 w 53"/>
              <a:gd name="T7" fmla="*/ 0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0"/>
                </a:moveTo>
                <a:lnTo>
                  <a:pt x="0" y="14"/>
                </a:lnTo>
                <a:lnTo>
                  <a:pt x="53" y="106"/>
                </a:lnTo>
                <a:lnTo>
                  <a:pt x="53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" name="Freeform 456">
            <a:extLst>
              <a:ext uri="{FF2B5EF4-FFF2-40B4-BE49-F238E27FC236}">
                <a16:creationId xmlns:a16="http://schemas.microsoft.com/office/drawing/2014/main" id="{E90337DA-A407-417D-A7E5-FD9F2121F34A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38 w 91"/>
              <a:gd name="T1" fmla="*/ 0 h 92"/>
              <a:gd name="T2" fmla="*/ 0 w 91"/>
              <a:gd name="T3" fmla="*/ 39 h 92"/>
              <a:gd name="T4" fmla="*/ 91 w 91"/>
              <a:gd name="T5" fmla="*/ 92 h 92"/>
              <a:gd name="T6" fmla="*/ 38 w 91"/>
              <a:gd name="T7" fmla="*/ 0 h 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2">
                <a:moveTo>
                  <a:pt x="38" y="0"/>
                </a:moveTo>
                <a:lnTo>
                  <a:pt x="0" y="39"/>
                </a:lnTo>
                <a:lnTo>
                  <a:pt x="91" y="92"/>
                </a:lnTo>
                <a:lnTo>
                  <a:pt x="38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Freeform 457">
            <a:extLst>
              <a:ext uri="{FF2B5EF4-FFF2-40B4-BE49-F238E27FC236}">
                <a16:creationId xmlns:a16="http://schemas.microsoft.com/office/drawing/2014/main" id="{38F61B9D-E6C8-42B5-B39B-215C78DBBC21}"/>
              </a:ext>
            </a:extLst>
          </xdr:cNvPr>
          <xdr:cNvSpPr>
            <a:spLocks/>
          </xdr:cNvSpPr>
        </xdr:nvSpPr>
        <xdr:spPr bwMode="auto">
          <a:xfrm>
            <a:off x="1188" y="201"/>
            <a:ext cx="2" cy="1"/>
          </a:xfrm>
          <a:custGeom>
            <a:avLst/>
            <a:gdLst>
              <a:gd name="T0" fmla="*/ 15 w 106"/>
              <a:gd name="T1" fmla="*/ 0 h 53"/>
              <a:gd name="T2" fmla="*/ 0 w 106"/>
              <a:gd name="T3" fmla="*/ 53 h 53"/>
              <a:gd name="T4" fmla="*/ 106 w 106"/>
              <a:gd name="T5" fmla="*/ 53 h 53"/>
              <a:gd name="T6" fmla="*/ 15 w 106"/>
              <a:gd name="T7" fmla="*/ 0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3">
                <a:moveTo>
                  <a:pt x="15" y="0"/>
                </a:moveTo>
                <a:lnTo>
                  <a:pt x="0" y="53"/>
                </a:lnTo>
                <a:lnTo>
                  <a:pt x="106" y="53"/>
                </a:lnTo>
                <a:lnTo>
                  <a:pt x="15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" name="Freeform 458">
            <a:extLst>
              <a:ext uri="{FF2B5EF4-FFF2-40B4-BE49-F238E27FC236}">
                <a16:creationId xmlns:a16="http://schemas.microsoft.com/office/drawing/2014/main" id="{13CF4459-F632-4B06-B8A3-56C0C3B2F40B}"/>
              </a:ext>
            </a:extLst>
          </xdr:cNvPr>
          <xdr:cNvSpPr>
            <a:spLocks/>
          </xdr:cNvSpPr>
        </xdr:nvSpPr>
        <xdr:spPr bwMode="auto">
          <a:xfrm>
            <a:off x="1188" y="202"/>
            <a:ext cx="2" cy="1"/>
          </a:xfrm>
          <a:custGeom>
            <a:avLst/>
            <a:gdLst>
              <a:gd name="T0" fmla="*/ 0 w 106"/>
              <a:gd name="T1" fmla="*/ 0 h 52"/>
              <a:gd name="T2" fmla="*/ 15 w 106"/>
              <a:gd name="T3" fmla="*/ 52 h 52"/>
              <a:gd name="T4" fmla="*/ 106 w 106"/>
              <a:gd name="T5" fmla="*/ 0 h 52"/>
              <a:gd name="T6" fmla="*/ 0 w 106"/>
              <a:gd name="T7" fmla="*/ 0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2">
                <a:moveTo>
                  <a:pt x="0" y="0"/>
                </a:moveTo>
                <a:lnTo>
                  <a:pt x="15" y="52"/>
                </a:lnTo>
                <a:lnTo>
                  <a:pt x="106" y="0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" name="Freeform 459">
            <a:extLst>
              <a:ext uri="{FF2B5EF4-FFF2-40B4-BE49-F238E27FC236}">
                <a16:creationId xmlns:a16="http://schemas.microsoft.com/office/drawing/2014/main" id="{BE45F135-6F05-41AF-BC9C-232B7D737AEE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1"/>
          </a:xfrm>
          <a:custGeom>
            <a:avLst/>
            <a:gdLst>
              <a:gd name="T0" fmla="*/ 0 w 91"/>
              <a:gd name="T1" fmla="*/ 52 h 91"/>
              <a:gd name="T2" fmla="*/ 38 w 91"/>
              <a:gd name="T3" fmla="*/ 91 h 91"/>
              <a:gd name="T4" fmla="*/ 91 w 91"/>
              <a:gd name="T5" fmla="*/ 0 h 91"/>
              <a:gd name="T6" fmla="*/ 0 w 91"/>
              <a:gd name="T7" fmla="*/ 52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0" y="52"/>
                </a:moveTo>
                <a:lnTo>
                  <a:pt x="38" y="91"/>
                </a:lnTo>
                <a:lnTo>
                  <a:pt x="91" y="0"/>
                </a:lnTo>
                <a:lnTo>
                  <a:pt x="0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" name="Freeform 460">
            <a:extLst>
              <a:ext uri="{FF2B5EF4-FFF2-40B4-BE49-F238E27FC236}">
                <a16:creationId xmlns:a16="http://schemas.microsoft.com/office/drawing/2014/main" id="{6F3CDD3E-B423-4C34-9F91-65E1E6C3B9F5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2"/>
          </a:xfrm>
          <a:custGeom>
            <a:avLst/>
            <a:gdLst>
              <a:gd name="T0" fmla="*/ 0 w 53"/>
              <a:gd name="T1" fmla="*/ 91 h 105"/>
              <a:gd name="T2" fmla="*/ 53 w 53"/>
              <a:gd name="T3" fmla="*/ 105 h 105"/>
              <a:gd name="T4" fmla="*/ 53 w 53"/>
              <a:gd name="T5" fmla="*/ 0 h 105"/>
              <a:gd name="T6" fmla="*/ 0 w 53"/>
              <a:gd name="T7" fmla="*/ 9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91"/>
                </a:moveTo>
                <a:lnTo>
                  <a:pt x="53" y="105"/>
                </a:lnTo>
                <a:lnTo>
                  <a:pt x="53" y="0"/>
                </a:lnTo>
                <a:lnTo>
                  <a:pt x="0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" name="Freeform 461">
            <a:extLst>
              <a:ext uri="{FF2B5EF4-FFF2-40B4-BE49-F238E27FC236}">
                <a16:creationId xmlns:a16="http://schemas.microsoft.com/office/drawing/2014/main" id="{AD632D74-C056-4EE2-9FEC-AE85DB204919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1" cy="2"/>
          </a:xfrm>
          <a:custGeom>
            <a:avLst/>
            <a:gdLst>
              <a:gd name="T0" fmla="*/ 0 w 53"/>
              <a:gd name="T1" fmla="*/ 105 h 105"/>
              <a:gd name="T2" fmla="*/ 53 w 53"/>
              <a:gd name="T3" fmla="*/ 91 h 105"/>
              <a:gd name="T4" fmla="*/ 0 w 53"/>
              <a:gd name="T5" fmla="*/ 0 h 105"/>
              <a:gd name="T6" fmla="*/ 0 w 53"/>
              <a:gd name="T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105"/>
                </a:moveTo>
                <a:lnTo>
                  <a:pt x="53" y="91"/>
                </a:lnTo>
                <a:lnTo>
                  <a:pt x="0" y="0"/>
                </a:lnTo>
                <a:lnTo>
                  <a:pt x="0" y="105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4" name="Freeform 462">
            <a:extLst>
              <a:ext uri="{FF2B5EF4-FFF2-40B4-BE49-F238E27FC236}">
                <a16:creationId xmlns:a16="http://schemas.microsoft.com/office/drawing/2014/main" id="{9BE85BEB-3FA9-463E-A6A6-0870FD89F53C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53 w 91"/>
              <a:gd name="T1" fmla="*/ 91 h 91"/>
              <a:gd name="T2" fmla="*/ 91 w 91"/>
              <a:gd name="T3" fmla="*/ 52 h 91"/>
              <a:gd name="T4" fmla="*/ 0 w 91"/>
              <a:gd name="T5" fmla="*/ 0 h 91"/>
              <a:gd name="T6" fmla="*/ 53 w 91"/>
              <a:gd name="T7" fmla="*/ 91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53" y="91"/>
                </a:moveTo>
                <a:lnTo>
                  <a:pt x="91" y="52"/>
                </a:lnTo>
                <a:lnTo>
                  <a:pt x="0" y="0"/>
                </a:lnTo>
                <a:lnTo>
                  <a:pt x="53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" name="Freeform 463">
            <a:extLst>
              <a:ext uri="{FF2B5EF4-FFF2-40B4-BE49-F238E27FC236}">
                <a16:creationId xmlns:a16="http://schemas.microsoft.com/office/drawing/2014/main" id="{7594E028-9A51-492E-BA07-5BA910CFDE23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91 w 105"/>
              <a:gd name="T1" fmla="*/ 52 h 52"/>
              <a:gd name="T2" fmla="*/ 105 w 105"/>
              <a:gd name="T3" fmla="*/ 0 h 52"/>
              <a:gd name="T4" fmla="*/ 0 w 105"/>
              <a:gd name="T5" fmla="*/ 0 h 52"/>
              <a:gd name="T6" fmla="*/ 91 w 105"/>
              <a:gd name="T7" fmla="*/ 52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5" h="52">
                <a:moveTo>
                  <a:pt x="91" y="52"/>
                </a:moveTo>
                <a:lnTo>
                  <a:pt x="105" y="0"/>
                </a:lnTo>
                <a:lnTo>
                  <a:pt x="0" y="0"/>
                </a:lnTo>
                <a:lnTo>
                  <a:pt x="91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" name="Line 464">
            <a:extLst>
              <a:ext uri="{FF2B5EF4-FFF2-40B4-BE49-F238E27FC236}">
                <a16:creationId xmlns:a16="http://schemas.microsoft.com/office/drawing/2014/main" id="{DAD5924A-D94F-4928-BF16-1071F51A51C0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465">
            <a:extLst>
              <a:ext uri="{FF2B5EF4-FFF2-40B4-BE49-F238E27FC236}">
                <a16:creationId xmlns:a16="http://schemas.microsoft.com/office/drawing/2014/main" id="{391EA55A-0A75-4295-BF4F-FE370C875E5E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466">
            <a:extLst>
              <a:ext uri="{FF2B5EF4-FFF2-40B4-BE49-F238E27FC236}">
                <a16:creationId xmlns:a16="http://schemas.microsoft.com/office/drawing/2014/main" id="{47AC82CD-9401-437F-BFB8-2127B3AE3BC6}"/>
              </a:ext>
            </a:extLst>
          </xdr:cNvPr>
          <xdr:cNvSpPr>
            <a:spLocks noChangeShapeType="1"/>
          </xdr:cNvSpPr>
        </xdr:nvSpPr>
        <xdr:spPr bwMode="auto">
          <a:xfrm>
            <a:off x="842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Freeform 467">
            <a:extLst>
              <a:ext uri="{FF2B5EF4-FFF2-40B4-BE49-F238E27FC236}">
                <a16:creationId xmlns:a16="http://schemas.microsoft.com/office/drawing/2014/main" id="{AFD2805C-E860-499C-9FB6-E19A2C66EE15}"/>
              </a:ext>
            </a:extLst>
          </xdr:cNvPr>
          <xdr:cNvSpPr>
            <a:spLocks/>
          </xdr:cNvSpPr>
        </xdr:nvSpPr>
        <xdr:spPr bwMode="auto">
          <a:xfrm>
            <a:off x="833" y="268"/>
            <a:ext cx="9" cy="2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" name="Freeform 468">
            <a:extLst>
              <a:ext uri="{FF2B5EF4-FFF2-40B4-BE49-F238E27FC236}">
                <a16:creationId xmlns:a16="http://schemas.microsoft.com/office/drawing/2014/main" id="{ADD5B580-0BE0-441C-AD89-35237DBFF67A}"/>
              </a:ext>
            </a:extLst>
          </xdr:cNvPr>
          <xdr:cNvSpPr>
            <a:spLocks/>
          </xdr:cNvSpPr>
        </xdr:nvSpPr>
        <xdr:spPr bwMode="auto">
          <a:xfrm>
            <a:off x="922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1" name="Line 474">
            <a:extLst>
              <a:ext uri="{FF2B5EF4-FFF2-40B4-BE49-F238E27FC236}">
                <a16:creationId xmlns:a16="http://schemas.microsoft.com/office/drawing/2014/main" id="{05436459-C782-4ABB-B0D9-D26C4361BDDE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75">
            <a:extLst>
              <a:ext uri="{FF2B5EF4-FFF2-40B4-BE49-F238E27FC236}">
                <a16:creationId xmlns:a16="http://schemas.microsoft.com/office/drawing/2014/main" id="{3205C5AB-23A3-4867-AB6D-A1F8CAADA6CD}"/>
              </a:ext>
            </a:extLst>
          </xdr:cNvPr>
          <xdr:cNvSpPr>
            <a:spLocks noChangeShapeType="1"/>
          </xdr:cNvSpPr>
        </xdr:nvSpPr>
        <xdr:spPr bwMode="auto">
          <a:xfrm>
            <a:off x="1029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76">
            <a:extLst>
              <a:ext uri="{FF2B5EF4-FFF2-40B4-BE49-F238E27FC236}">
                <a16:creationId xmlns:a16="http://schemas.microsoft.com/office/drawing/2014/main" id="{51284750-017D-465F-A34B-3B853562C2B4}"/>
              </a:ext>
            </a:extLst>
          </xdr:cNvPr>
          <xdr:cNvSpPr>
            <a:spLocks noChangeShapeType="1"/>
          </xdr:cNvSpPr>
        </xdr:nvSpPr>
        <xdr:spPr bwMode="auto">
          <a:xfrm>
            <a:off x="940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Freeform 477">
            <a:extLst>
              <a:ext uri="{FF2B5EF4-FFF2-40B4-BE49-F238E27FC236}">
                <a16:creationId xmlns:a16="http://schemas.microsoft.com/office/drawing/2014/main" id="{50316582-E2D4-4484-A4D9-8279E127BF24}"/>
              </a:ext>
            </a:extLst>
          </xdr:cNvPr>
          <xdr:cNvSpPr>
            <a:spLocks/>
          </xdr:cNvSpPr>
        </xdr:nvSpPr>
        <xdr:spPr bwMode="auto">
          <a:xfrm>
            <a:off x="931" y="268"/>
            <a:ext cx="9" cy="2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8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8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5" name="Freeform 478">
            <a:extLst>
              <a:ext uri="{FF2B5EF4-FFF2-40B4-BE49-F238E27FC236}">
                <a16:creationId xmlns:a16="http://schemas.microsoft.com/office/drawing/2014/main" id="{EB589A7A-E05A-44B9-ACA5-D6670C1C34BD}"/>
              </a:ext>
            </a:extLst>
          </xdr:cNvPr>
          <xdr:cNvSpPr>
            <a:spLocks/>
          </xdr:cNvSpPr>
        </xdr:nvSpPr>
        <xdr:spPr bwMode="auto">
          <a:xfrm>
            <a:off x="1020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6" name="Line 484">
            <a:extLst>
              <a:ext uri="{FF2B5EF4-FFF2-40B4-BE49-F238E27FC236}">
                <a16:creationId xmlns:a16="http://schemas.microsoft.com/office/drawing/2014/main" id="{C0465D9A-8959-4D90-B1EC-5B19EBA108F1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89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485">
            <a:extLst>
              <a:ext uri="{FF2B5EF4-FFF2-40B4-BE49-F238E27FC236}">
                <a16:creationId xmlns:a16="http://schemas.microsoft.com/office/drawing/2014/main" id="{BE3A442F-40F4-4A0C-9BD4-6839DDC8016B}"/>
              </a:ext>
            </a:extLst>
          </xdr:cNvPr>
          <xdr:cNvSpPr>
            <a:spLocks noChangeShapeType="1"/>
          </xdr:cNvSpPr>
        </xdr:nvSpPr>
        <xdr:spPr bwMode="auto">
          <a:xfrm>
            <a:off x="1190" y="299"/>
            <a:ext cx="0" cy="3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86">
            <a:extLst>
              <a:ext uri="{FF2B5EF4-FFF2-40B4-BE49-F238E27FC236}">
                <a16:creationId xmlns:a16="http://schemas.microsoft.com/office/drawing/2014/main" id="{E1B3A815-5DF9-403A-8FA6-C098B89D7B0D}"/>
              </a:ext>
            </a:extLst>
          </xdr:cNvPr>
          <xdr:cNvSpPr>
            <a:spLocks noChangeShapeType="1"/>
          </xdr:cNvSpPr>
        </xdr:nvSpPr>
        <xdr:spPr bwMode="auto">
          <a:xfrm>
            <a:off x="842" y="325"/>
            <a:ext cx="339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Freeform 487">
            <a:extLst>
              <a:ext uri="{FF2B5EF4-FFF2-40B4-BE49-F238E27FC236}">
                <a16:creationId xmlns:a16="http://schemas.microsoft.com/office/drawing/2014/main" id="{C02F65F9-3D6F-4119-9A8F-56E22840BF21}"/>
              </a:ext>
            </a:extLst>
          </xdr:cNvPr>
          <xdr:cNvSpPr>
            <a:spLocks/>
          </xdr:cNvSpPr>
        </xdr:nvSpPr>
        <xdr:spPr bwMode="auto">
          <a:xfrm>
            <a:off x="833" y="323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" name="Freeform 488">
            <a:extLst>
              <a:ext uri="{FF2B5EF4-FFF2-40B4-BE49-F238E27FC236}">
                <a16:creationId xmlns:a16="http://schemas.microsoft.com/office/drawing/2014/main" id="{3028A39B-0C95-4F68-AFBA-4D85F3A2C533}"/>
              </a:ext>
            </a:extLst>
          </xdr:cNvPr>
          <xdr:cNvSpPr>
            <a:spLocks/>
          </xdr:cNvSpPr>
        </xdr:nvSpPr>
        <xdr:spPr bwMode="auto">
          <a:xfrm>
            <a:off x="1181" y="323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" name="Line 494">
            <a:extLst>
              <a:ext uri="{FF2B5EF4-FFF2-40B4-BE49-F238E27FC236}">
                <a16:creationId xmlns:a16="http://schemas.microsoft.com/office/drawing/2014/main" id="{30005021-8068-40B2-9E3A-37AE87841B82}"/>
              </a:ext>
            </a:extLst>
          </xdr:cNvPr>
          <xdr:cNvSpPr>
            <a:spLocks noChangeShapeType="1"/>
          </xdr:cNvSpPr>
        </xdr:nvSpPr>
        <xdr:spPr bwMode="auto">
          <a:xfrm flipV="1">
            <a:off x="1029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495">
            <a:extLst>
              <a:ext uri="{FF2B5EF4-FFF2-40B4-BE49-F238E27FC236}">
                <a16:creationId xmlns:a16="http://schemas.microsoft.com/office/drawing/2014/main" id="{7CC5D91F-185A-4A7F-A174-50F5C01A2D6C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496">
            <a:extLst>
              <a:ext uri="{FF2B5EF4-FFF2-40B4-BE49-F238E27FC236}">
                <a16:creationId xmlns:a16="http://schemas.microsoft.com/office/drawing/2014/main" id="{6729F2CC-7863-4A17-9B40-05B87EAB9672}"/>
              </a:ext>
            </a:extLst>
          </xdr:cNvPr>
          <xdr:cNvSpPr>
            <a:spLocks noChangeShapeType="1"/>
          </xdr:cNvSpPr>
        </xdr:nvSpPr>
        <xdr:spPr bwMode="auto">
          <a:xfrm>
            <a:off x="1038" y="86"/>
            <a:ext cx="6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Freeform 497">
            <a:extLst>
              <a:ext uri="{FF2B5EF4-FFF2-40B4-BE49-F238E27FC236}">
                <a16:creationId xmlns:a16="http://schemas.microsoft.com/office/drawing/2014/main" id="{B7F3993F-A90D-4358-B5DB-9CD8DF1E214D}"/>
              </a:ext>
            </a:extLst>
          </xdr:cNvPr>
          <xdr:cNvSpPr>
            <a:spLocks/>
          </xdr:cNvSpPr>
        </xdr:nvSpPr>
        <xdr:spPr bwMode="auto">
          <a:xfrm>
            <a:off x="1029" y="84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7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7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" name="Freeform 498">
            <a:extLst>
              <a:ext uri="{FF2B5EF4-FFF2-40B4-BE49-F238E27FC236}">
                <a16:creationId xmlns:a16="http://schemas.microsoft.com/office/drawing/2014/main" id="{B4F9DEE5-CE9C-4E6A-8F6F-8F1C8F3EB0F7}"/>
              </a:ext>
            </a:extLst>
          </xdr:cNvPr>
          <xdr:cNvSpPr>
            <a:spLocks/>
          </xdr:cNvSpPr>
        </xdr:nvSpPr>
        <xdr:spPr bwMode="auto">
          <a:xfrm>
            <a:off x="1103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" name="Line 504">
            <a:extLst>
              <a:ext uri="{FF2B5EF4-FFF2-40B4-BE49-F238E27FC236}">
                <a16:creationId xmlns:a16="http://schemas.microsoft.com/office/drawing/2014/main" id="{B960F321-3544-4FB8-8A78-0B75EEB668BD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505">
            <a:extLst>
              <a:ext uri="{FF2B5EF4-FFF2-40B4-BE49-F238E27FC236}">
                <a16:creationId xmlns:a16="http://schemas.microsoft.com/office/drawing/2014/main" id="{36228C8D-3F7C-47FE-A5F5-56C325727419}"/>
              </a:ext>
            </a:extLst>
          </xdr:cNvPr>
          <xdr:cNvSpPr>
            <a:spLocks noChangeShapeType="1"/>
          </xdr:cNvSpPr>
        </xdr:nvSpPr>
        <xdr:spPr bwMode="auto">
          <a:xfrm flipV="1">
            <a:off x="1190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506">
            <a:extLst>
              <a:ext uri="{FF2B5EF4-FFF2-40B4-BE49-F238E27FC236}">
                <a16:creationId xmlns:a16="http://schemas.microsoft.com/office/drawing/2014/main" id="{E4A3CCB0-47E9-4871-9AAA-7D305A90D798}"/>
              </a:ext>
            </a:extLst>
          </xdr:cNvPr>
          <xdr:cNvSpPr>
            <a:spLocks noChangeShapeType="1"/>
          </xdr:cNvSpPr>
        </xdr:nvSpPr>
        <xdr:spPr bwMode="auto">
          <a:xfrm>
            <a:off x="1121" y="86"/>
            <a:ext cx="6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Freeform 507">
            <a:extLst>
              <a:ext uri="{FF2B5EF4-FFF2-40B4-BE49-F238E27FC236}">
                <a16:creationId xmlns:a16="http://schemas.microsoft.com/office/drawing/2014/main" id="{6158F862-413B-4B32-8628-CEBBA4750A0E}"/>
              </a:ext>
            </a:extLst>
          </xdr:cNvPr>
          <xdr:cNvSpPr>
            <a:spLocks/>
          </xdr:cNvSpPr>
        </xdr:nvSpPr>
        <xdr:spPr bwMode="auto">
          <a:xfrm>
            <a:off x="1112" y="84"/>
            <a:ext cx="9" cy="3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7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7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" name="Freeform 508">
            <a:extLst>
              <a:ext uri="{FF2B5EF4-FFF2-40B4-BE49-F238E27FC236}">
                <a16:creationId xmlns:a16="http://schemas.microsoft.com/office/drawing/2014/main" id="{0488B537-4470-44B4-A784-70B67E9350C4}"/>
              </a:ext>
            </a:extLst>
          </xdr:cNvPr>
          <xdr:cNvSpPr>
            <a:spLocks/>
          </xdr:cNvSpPr>
        </xdr:nvSpPr>
        <xdr:spPr bwMode="auto">
          <a:xfrm>
            <a:off x="1181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" name="Line 514">
            <a:extLst>
              <a:ext uri="{FF2B5EF4-FFF2-40B4-BE49-F238E27FC236}">
                <a16:creationId xmlns:a16="http://schemas.microsoft.com/office/drawing/2014/main" id="{23171DB8-EECB-4DE2-A5E2-815DA2D73ADA}"/>
              </a:ext>
            </a:extLst>
          </xdr:cNvPr>
          <xdr:cNvSpPr>
            <a:spLocks noChangeShapeType="1"/>
          </xdr:cNvSpPr>
        </xdr:nvSpPr>
        <xdr:spPr bwMode="auto">
          <a:xfrm>
            <a:off x="1226" y="107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15">
            <a:extLst>
              <a:ext uri="{FF2B5EF4-FFF2-40B4-BE49-F238E27FC236}">
                <a16:creationId xmlns:a16="http://schemas.microsoft.com/office/drawing/2014/main" id="{B821CB3C-71DE-4B0E-B7C3-7D3E92CA2493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516">
            <a:extLst>
              <a:ext uri="{FF2B5EF4-FFF2-40B4-BE49-F238E27FC236}">
                <a16:creationId xmlns:a16="http://schemas.microsoft.com/office/drawing/2014/main" id="{A576BD8C-374B-4D29-896C-C4EE5CE5CE41}"/>
              </a:ext>
            </a:extLst>
          </xdr:cNvPr>
          <xdr:cNvSpPr>
            <a:spLocks noChangeShapeType="1"/>
          </xdr:cNvSpPr>
        </xdr:nvSpPr>
        <xdr:spPr bwMode="auto">
          <a:xfrm>
            <a:off x="1240" y="116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517">
            <a:extLst>
              <a:ext uri="{FF2B5EF4-FFF2-40B4-BE49-F238E27FC236}">
                <a16:creationId xmlns:a16="http://schemas.microsoft.com/office/drawing/2014/main" id="{2E4D6B06-BA94-4B99-B7F7-4289D1B0D4FB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16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518">
            <a:extLst>
              <a:ext uri="{FF2B5EF4-FFF2-40B4-BE49-F238E27FC236}">
                <a16:creationId xmlns:a16="http://schemas.microsoft.com/office/drawing/2014/main" id="{E9E8EB7C-248A-4081-A17F-17C2472EAF39}"/>
              </a:ext>
            </a:extLst>
          </xdr:cNvPr>
          <xdr:cNvSpPr>
            <a:spLocks/>
          </xdr:cNvSpPr>
        </xdr:nvSpPr>
        <xdr:spPr bwMode="auto">
          <a:xfrm>
            <a:off x="1238" y="107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" name="Freeform 519">
            <a:extLst>
              <a:ext uri="{FF2B5EF4-FFF2-40B4-BE49-F238E27FC236}">
                <a16:creationId xmlns:a16="http://schemas.microsoft.com/office/drawing/2014/main" id="{A76C2DCD-CA35-4F3F-9CAE-1F7AC7E249E7}"/>
              </a:ext>
            </a:extLst>
          </xdr:cNvPr>
          <xdr:cNvSpPr>
            <a:spLocks/>
          </xdr:cNvSpPr>
        </xdr:nvSpPr>
        <xdr:spPr bwMode="auto">
          <a:xfrm>
            <a:off x="1238" y="193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7" name="Freeform 520">
            <a:extLst>
              <a:ext uri="{FF2B5EF4-FFF2-40B4-BE49-F238E27FC236}">
                <a16:creationId xmlns:a16="http://schemas.microsoft.com/office/drawing/2014/main" id="{CD0813C7-E7D9-4468-9D7F-9C6B63944AEC}"/>
              </a:ext>
            </a:extLst>
          </xdr:cNvPr>
          <xdr:cNvSpPr>
            <a:spLocks/>
          </xdr:cNvSpPr>
        </xdr:nvSpPr>
        <xdr:spPr bwMode="auto">
          <a:xfrm>
            <a:off x="1208" y="153"/>
            <a:ext cx="3" cy="5"/>
          </a:xfrm>
          <a:custGeom>
            <a:avLst/>
            <a:gdLst>
              <a:gd name="T0" fmla="*/ 140 w 210"/>
              <a:gd name="T1" fmla="*/ 280 h 280"/>
              <a:gd name="T2" fmla="*/ 70 w 210"/>
              <a:gd name="T3" fmla="*/ 280 h 280"/>
              <a:gd name="T4" fmla="*/ 0 w 210"/>
              <a:gd name="T5" fmla="*/ 210 h 280"/>
              <a:gd name="T6" fmla="*/ 0 w 210"/>
              <a:gd name="T7" fmla="*/ 70 h 280"/>
              <a:gd name="T8" fmla="*/ 70 w 210"/>
              <a:gd name="T9" fmla="*/ 0 h 280"/>
              <a:gd name="T10" fmla="*/ 140 w 210"/>
              <a:gd name="T11" fmla="*/ 0 h 280"/>
              <a:gd name="T12" fmla="*/ 210 w 210"/>
              <a:gd name="T13" fmla="*/ 70 h 280"/>
              <a:gd name="T14" fmla="*/ 210 w 210"/>
              <a:gd name="T15" fmla="*/ 210 h 280"/>
              <a:gd name="T16" fmla="*/ 140 w 21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0">
                <a:moveTo>
                  <a:pt x="14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10" y="70"/>
                </a:lnTo>
                <a:lnTo>
                  <a:pt x="210" y="210"/>
                </a:lnTo>
                <a:lnTo>
                  <a:pt x="140" y="28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Line 521">
            <a:extLst>
              <a:ext uri="{FF2B5EF4-FFF2-40B4-BE49-F238E27FC236}">
                <a16:creationId xmlns:a16="http://schemas.microsoft.com/office/drawing/2014/main" id="{C303AEFC-3805-439D-8D18-BA99CAB5FB54}"/>
              </a:ext>
            </a:extLst>
          </xdr:cNvPr>
          <xdr:cNvSpPr>
            <a:spLocks noChangeShapeType="1"/>
          </xdr:cNvSpPr>
        </xdr:nvSpPr>
        <xdr:spPr bwMode="auto">
          <a:xfrm>
            <a:off x="1211" y="157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522">
            <a:extLst>
              <a:ext uri="{FF2B5EF4-FFF2-40B4-BE49-F238E27FC236}">
                <a16:creationId xmlns:a16="http://schemas.microsoft.com/office/drawing/2014/main" id="{C2AC2E12-5B9C-4594-AF4F-75348D99A8D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157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Freeform 523">
            <a:extLst>
              <a:ext uri="{FF2B5EF4-FFF2-40B4-BE49-F238E27FC236}">
                <a16:creationId xmlns:a16="http://schemas.microsoft.com/office/drawing/2014/main" id="{5DA687A4-A9D9-46AD-9943-6EE29C38E88C}"/>
              </a:ext>
            </a:extLst>
          </xdr:cNvPr>
          <xdr:cNvSpPr>
            <a:spLocks/>
          </xdr:cNvSpPr>
        </xdr:nvSpPr>
        <xdr:spPr bwMode="auto">
          <a:xfrm>
            <a:off x="1217" y="151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1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1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Line 524">
            <a:extLst>
              <a:ext uri="{FF2B5EF4-FFF2-40B4-BE49-F238E27FC236}">
                <a16:creationId xmlns:a16="http://schemas.microsoft.com/office/drawing/2014/main" id="{AEFF39E1-B291-4B69-95C7-C52FEF238F9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151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Freeform 525">
            <a:extLst>
              <a:ext uri="{FF2B5EF4-FFF2-40B4-BE49-F238E27FC236}">
                <a16:creationId xmlns:a16="http://schemas.microsoft.com/office/drawing/2014/main" id="{510CF99C-7C29-46B7-892E-88A8487AFB83}"/>
              </a:ext>
            </a:extLst>
          </xdr:cNvPr>
          <xdr:cNvSpPr>
            <a:spLocks/>
          </xdr:cNvSpPr>
        </xdr:nvSpPr>
        <xdr:spPr bwMode="auto">
          <a:xfrm>
            <a:off x="1231" y="151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1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1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Line 526">
            <a:extLst>
              <a:ext uri="{FF2B5EF4-FFF2-40B4-BE49-F238E27FC236}">
                <a16:creationId xmlns:a16="http://schemas.microsoft.com/office/drawing/2014/main" id="{4DF7088F-D2A4-47FD-AFB9-25F7EEC1A3A4}"/>
              </a:ext>
            </a:extLst>
          </xdr:cNvPr>
          <xdr:cNvSpPr>
            <a:spLocks noChangeShapeType="1"/>
          </xdr:cNvSpPr>
        </xdr:nvSpPr>
        <xdr:spPr bwMode="auto">
          <a:xfrm>
            <a:off x="1239" y="153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527">
            <a:extLst>
              <a:ext uri="{FF2B5EF4-FFF2-40B4-BE49-F238E27FC236}">
                <a16:creationId xmlns:a16="http://schemas.microsoft.com/office/drawing/2014/main" id="{57CFE1C1-41A5-4B22-BC9D-6365DA8CB07D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156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534">
            <a:extLst>
              <a:ext uri="{FF2B5EF4-FFF2-40B4-BE49-F238E27FC236}">
                <a16:creationId xmlns:a16="http://schemas.microsoft.com/office/drawing/2014/main" id="{C8544166-FB85-400D-A4EC-354D22E416D3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535">
            <a:extLst>
              <a:ext uri="{FF2B5EF4-FFF2-40B4-BE49-F238E27FC236}">
                <a16:creationId xmlns:a16="http://schemas.microsoft.com/office/drawing/2014/main" id="{5E2CD321-294D-4865-B6B0-063A16C00453}"/>
              </a:ext>
            </a:extLst>
          </xdr:cNvPr>
          <xdr:cNvSpPr>
            <a:spLocks noChangeShapeType="1"/>
          </xdr:cNvSpPr>
        </xdr:nvSpPr>
        <xdr:spPr bwMode="auto">
          <a:xfrm>
            <a:off x="1226" y="296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536">
            <a:extLst>
              <a:ext uri="{FF2B5EF4-FFF2-40B4-BE49-F238E27FC236}">
                <a16:creationId xmlns:a16="http://schemas.microsoft.com/office/drawing/2014/main" id="{D926699C-D413-49E2-AE6A-6B36FDD32170}"/>
              </a:ext>
            </a:extLst>
          </xdr:cNvPr>
          <xdr:cNvSpPr>
            <a:spLocks noChangeShapeType="1"/>
          </xdr:cNvSpPr>
        </xdr:nvSpPr>
        <xdr:spPr bwMode="auto">
          <a:xfrm>
            <a:off x="1240" y="211"/>
            <a:ext cx="0" cy="3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537">
            <a:extLst>
              <a:ext uri="{FF2B5EF4-FFF2-40B4-BE49-F238E27FC236}">
                <a16:creationId xmlns:a16="http://schemas.microsoft.com/office/drawing/2014/main" id="{D0B6B793-FEC3-4D3E-BF87-5919DD3F752A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255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Freeform 538">
            <a:extLst>
              <a:ext uri="{FF2B5EF4-FFF2-40B4-BE49-F238E27FC236}">
                <a16:creationId xmlns:a16="http://schemas.microsoft.com/office/drawing/2014/main" id="{AF8CC4DF-ADFF-4ABA-A56D-9CC8303D5DC7}"/>
              </a:ext>
            </a:extLst>
          </xdr:cNvPr>
          <xdr:cNvSpPr>
            <a:spLocks/>
          </xdr:cNvSpPr>
        </xdr:nvSpPr>
        <xdr:spPr bwMode="auto">
          <a:xfrm>
            <a:off x="123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0" name="Freeform 539">
            <a:extLst>
              <a:ext uri="{FF2B5EF4-FFF2-40B4-BE49-F238E27FC236}">
                <a16:creationId xmlns:a16="http://schemas.microsoft.com/office/drawing/2014/main" id="{C557F54C-1C99-4F0B-97C0-6F4482A3EFB5}"/>
              </a:ext>
            </a:extLst>
          </xdr:cNvPr>
          <xdr:cNvSpPr>
            <a:spLocks/>
          </xdr:cNvSpPr>
        </xdr:nvSpPr>
        <xdr:spPr bwMode="auto">
          <a:xfrm>
            <a:off x="1238" y="288"/>
            <a:ext cx="3" cy="8"/>
          </a:xfrm>
          <a:custGeom>
            <a:avLst/>
            <a:gdLst>
              <a:gd name="T0" fmla="*/ 0 w 175"/>
              <a:gd name="T1" fmla="*/ 0 h 526"/>
              <a:gd name="T2" fmla="*/ 175 w 175"/>
              <a:gd name="T3" fmla="*/ 0 h 526"/>
              <a:gd name="T4" fmla="*/ 88 w 175"/>
              <a:gd name="T5" fmla="*/ 526 h 526"/>
              <a:gd name="T6" fmla="*/ 0 w 175"/>
              <a:gd name="T7" fmla="*/ 0 h 5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6">
                <a:moveTo>
                  <a:pt x="0" y="0"/>
                </a:moveTo>
                <a:lnTo>
                  <a:pt x="175" y="0"/>
                </a:lnTo>
                <a:lnTo>
                  <a:pt x="88" y="526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" name="Freeform 540">
            <a:extLst>
              <a:ext uri="{FF2B5EF4-FFF2-40B4-BE49-F238E27FC236}">
                <a16:creationId xmlns:a16="http://schemas.microsoft.com/office/drawing/2014/main" id="{BC11F687-959B-4941-A2D1-08215059A4B0}"/>
              </a:ext>
            </a:extLst>
          </xdr:cNvPr>
          <xdr:cNvSpPr>
            <a:spLocks/>
          </xdr:cNvSpPr>
        </xdr:nvSpPr>
        <xdr:spPr bwMode="auto">
          <a:xfrm>
            <a:off x="1208" y="248"/>
            <a:ext cx="3" cy="5"/>
          </a:xfrm>
          <a:custGeom>
            <a:avLst/>
            <a:gdLst>
              <a:gd name="T0" fmla="*/ 140 w 210"/>
              <a:gd name="T1" fmla="*/ 281 h 281"/>
              <a:gd name="T2" fmla="*/ 70 w 210"/>
              <a:gd name="T3" fmla="*/ 281 h 281"/>
              <a:gd name="T4" fmla="*/ 0 w 210"/>
              <a:gd name="T5" fmla="*/ 211 h 281"/>
              <a:gd name="T6" fmla="*/ 0 w 210"/>
              <a:gd name="T7" fmla="*/ 71 h 281"/>
              <a:gd name="T8" fmla="*/ 70 w 210"/>
              <a:gd name="T9" fmla="*/ 0 h 281"/>
              <a:gd name="T10" fmla="*/ 140 w 210"/>
              <a:gd name="T11" fmla="*/ 0 h 281"/>
              <a:gd name="T12" fmla="*/ 210 w 210"/>
              <a:gd name="T13" fmla="*/ 71 h 281"/>
              <a:gd name="T14" fmla="*/ 210 w 210"/>
              <a:gd name="T15" fmla="*/ 211 h 281"/>
              <a:gd name="T16" fmla="*/ 140 w 210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1">
                <a:moveTo>
                  <a:pt x="140" y="281"/>
                </a:moveTo>
                <a:lnTo>
                  <a:pt x="70" y="281"/>
                </a:lnTo>
                <a:lnTo>
                  <a:pt x="0" y="211"/>
                </a:lnTo>
                <a:lnTo>
                  <a:pt x="0" y="71"/>
                </a:lnTo>
                <a:lnTo>
                  <a:pt x="70" y="0"/>
                </a:lnTo>
                <a:lnTo>
                  <a:pt x="140" y="0"/>
                </a:lnTo>
                <a:lnTo>
                  <a:pt x="210" y="71"/>
                </a:lnTo>
                <a:lnTo>
                  <a:pt x="210" y="211"/>
                </a:lnTo>
                <a:lnTo>
                  <a:pt x="140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Line 541">
            <a:extLst>
              <a:ext uri="{FF2B5EF4-FFF2-40B4-BE49-F238E27FC236}">
                <a16:creationId xmlns:a16="http://schemas.microsoft.com/office/drawing/2014/main" id="{001F62FC-B483-4466-9439-C12B8963A9D0}"/>
              </a:ext>
            </a:extLst>
          </xdr:cNvPr>
          <xdr:cNvSpPr>
            <a:spLocks noChangeShapeType="1"/>
          </xdr:cNvSpPr>
        </xdr:nvSpPr>
        <xdr:spPr bwMode="auto">
          <a:xfrm>
            <a:off x="1211" y="252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542">
            <a:extLst>
              <a:ext uri="{FF2B5EF4-FFF2-40B4-BE49-F238E27FC236}">
                <a16:creationId xmlns:a16="http://schemas.microsoft.com/office/drawing/2014/main" id="{AB9D7655-00DA-490D-93EE-61199C49FC9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252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Freeform 543">
            <a:extLst>
              <a:ext uri="{FF2B5EF4-FFF2-40B4-BE49-F238E27FC236}">
                <a16:creationId xmlns:a16="http://schemas.microsoft.com/office/drawing/2014/main" id="{2EB76B88-BA22-444B-AEFA-3A16EDA7ECE7}"/>
              </a:ext>
            </a:extLst>
          </xdr:cNvPr>
          <xdr:cNvSpPr>
            <a:spLocks/>
          </xdr:cNvSpPr>
        </xdr:nvSpPr>
        <xdr:spPr bwMode="auto">
          <a:xfrm>
            <a:off x="1217" y="246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0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0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544">
            <a:extLst>
              <a:ext uri="{FF2B5EF4-FFF2-40B4-BE49-F238E27FC236}">
                <a16:creationId xmlns:a16="http://schemas.microsoft.com/office/drawing/2014/main" id="{A3C13AA6-36DB-4362-8A7E-83EA7998367A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246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Freeform 545">
            <a:extLst>
              <a:ext uri="{FF2B5EF4-FFF2-40B4-BE49-F238E27FC236}">
                <a16:creationId xmlns:a16="http://schemas.microsoft.com/office/drawing/2014/main" id="{81385858-73BD-475A-A91D-07FEA7BE451B}"/>
              </a:ext>
            </a:extLst>
          </xdr:cNvPr>
          <xdr:cNvSpPr>
            <a:spLocks/>
          </xdr:cNvSpPr>
        </xdr:nvSpPr>
        <xdr:spPr bwMode="auto">
          <a:xfrm>
            <a:off x="1231" y="246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0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0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7" name="Line 546">
            <a:extLst>
              <a:ext uri="{FF2B5EF4-FFF2-40B4-BE49-F238E27FC236}">
                <a16:creationId xmlns:a16="http://schemas.microsoft.com/office/drawing/2014/main" id="{DAD8ACB1-11A3-4E87-A47F-42C5792FCA69}"/>
              </a:ext>
            </a:extLst>
          </xdr:cNvPr>
          <xdr:cNvSpPr>
            <a:spLocks noChangeShapeType="1"/>
          </xdr:cNvSpPr>
        </xdr:nvSpPr>
        <xdr:spPr bwMode="auto">
          <a:xfrm>
            <a:off x="1239" y="248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547">
            <a:extLst>
              <a:ext uri="{FF2B5EF4-FFF2-40B4-BE49-F238E27FC236}">
                <a16:creationId xmlns:a16="http://schemas.microsoft.com/office/drawing/2014/main" id="{CEBE2731-0686-4B3C-9582-78FA3363256D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250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554">
            <a:extLst>
              <a:ext uri="{FF2B5EF4-FFF2-40B4-BE49-F238E27FC236}">
                <a16:creationId xmlns:a16="http://schemas.microsoft.com/office/drawing/2014/main" id="{500F1D99-348B-4AAB-A685-32E7C7219405}"/>
              </a:ext>
            </a:extLst>
          </xdr:cNvPr>
          <xdr:cNvSpPr>
            <a:spLocks noChangeShapeType="1"/>
          </xdr:cNvSpPr>
        </xdr:nvSpPr>
        <xdr:spPr bwMode="auto">
          <a:xfrm>
            <a:off x="1192" y="238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555">
            <a:extLst>
              <a:ext uri="{FF2B5EF4-FFF2-40B4-BE49-F238E27FC236}">
                <a16:creationId xmlns:a16="http://schemas.microsoft.com/office/drawing/2014/main" id="{3F1E48DA-F5A0-48F7-BA49-23584D572A8A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56">
            <a:extLst>
              <a:ext uri="{FF2B5EF4-FFF2-40B4-BE49-F238E27FC236}">
                <a16:creationId xmlns:a16="http://schemas.microsoft.com/office/drawing/2014/main" id="{AF0065B5-369A-47D5-BDDC-F2DC12C71F8F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9" y="226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57">
            <a:extLst>
              <a:ext uri="{FF2B5EF4-FFF2-40B4-BE49-F238E27FC236}">
                <a16:creationId xmlns:a16="http://schemas.microsoft.com/office/drawing/2014/main" id="{DE665CBB-9C10-4E4A-859F-1651F8226D38}"/>
              </a:ext>
            </a:extLst>
          </xdr:cNvPr>
          <xdr:cNvSpPr>
            <a:spLocks noChangeShapeType="1"/>
          </xdr:cNvSpPr>
        </xdr:nvSpPr>
        <xdr:spPr bwMode="auto">
          <a:xfrm>
            <a:off x="1209" y="211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558">
            <a:extLst>
              <a:ext uri="{FF2B5EF4-FFF2-40B4-BE49-F238E27FC236}">
                <a16:creationId xmlns:a16="http://schemas.microsoft.com/office/drawing/2014/main" id="{8C1DBDD9-91FF-48D2-BC8B-F1E2E5409457}"/>
              </a:ext>
            </a:extLst>
          </xdr:cNvPr>
          <xdr:cNvSpPr>
            <a:spLocks/>
          </xdr:cNvSpPr>
        </xdr:nvSpPr>
        <xdr:spPr bwMode="auto">
          <a:xfrm>
            <a:off x="1208" y="229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4" name="Freeform 559">
            <a:extLst>
              <a:ext uri="{FF2B5EF4-FFF2-40B4-BE49-F238E27FC236}">
                <a16:creationId xmlns:a16="http://schemas.microsoft.com/office/drawing/2014/main" id="{1C9BE8C8-A220-4198-B392-A971DB10EF97}"/>
              </a:ext>
            </a:extLst>
          </xdr:cNvPr>
          <xdr:cNvSpPr>
            <a:spLocks/>
          </xdr:cNvSpPr>
        </xdr:nvSpPr>
        <xdr:spPr bwMode="auto">
          <a:xfrm>
            <a:off x="120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" name="Line 564">
            <a:extLst>
              <a:ext uri="{FF2B5EF4-FFF2-40B4-BE49-F238E27FC236}">
                <a16:creationId xmlns:a16="http://schemas.microsoft.com/office/drawing/2014/main" id="{4B7BD053-4AE1-4CE1-9900-5D345CA6BD6A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38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65">
            <a:extLst>
              <a:ext uri="{FF2B5EF4-FFF2-40B4-BE49-F238E27FC236}">
                <a16:creationId xmlns:a16="http://schemas.microsoft.com/office/drawing/2014/main" id="{0A92B06F-D9D8-4D15-B571-FD9CF9C074C6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02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66">
            <a:extLst>
              <a:ext uri="{FF2B5EF4-FFF2-40B4-BE49-F238E27FC236}">
                <a16:creationId xmlns:a16="http://schemas.microsoft.com/office/drawing/2014/main" id="{FE8506DE-8934-47A2-9FAA-F7AC52C5342E}"/>
              </a:ext>
            </a:extLst>
          </xdr:cNvPr>
          <xdr:cNvSpPr>
            <a:spLocks noChangeShapeType="1"/>
          </xdr:cNvSpPr>
        </xdr:nvSpPr>
        <xdr:spPr bwMode="auto">
          <a:xfrm flipV="1">
            <a:off x="793" y="228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567">
            <a:extLst>
              <a:ext uri="{FF2B5EF4-FFF2-40B4-BE49-F238E27FC236}">
                <a16:creationId xmlns:a16="http://schemas.microsoft.com/office/drawing/2014/main" id="{D6444866-CAA4-4AD5-AE7B-D3C3BB7B2B1B}"/>
              </a:ext>
            </a:extLst>
          </xdr:cNvPr>
          <xdr:cNvSpPr>
            <a:spLocks noChangeShapeType="1"/>
          </xdr:cNvSpPr>
        </xdr:nvSpPr>
        <xdr:spPr bwMode="auto">
          <a:xfrm>
            <a:off x="793" y="211"/>
            <a:ext cx="0" cy="5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Freeform 568">
            <a:extLst>
              <a:ext uri="{FF2B5EF4-FFF2-40B4-BE49-F238E27FC236}">
                <a16:creationId xmlns:a16="http://schemas.microsoft.com/office/drawing/2014/main" id="{F589153E-4A93-450E-987F-DA43850F3D5C}"/>
              </a:ext>
            </a:extLst>
          </xdr:cNvPr>
          <xdr:cNvSpPr>
            <a:spLocks/>
          </xdr:cNvSpPr>
        </xdr:nvSpPr>
        <xdr:spPr bwMode="auto">
          <a:xfrm>
            <a:off x="791" y="229"/>
            <a:ext cx="3" cy="9"/>
          </a:xfrm>
          <a:custGeom>
            <a:avLst/>
            <a:gdLst>
              <a:gd name="T0" fmla="*/ 0 w 176"/>
              <a:gd name="T1" fmla="*/ 0 h 527"/>
              <a:gd name="T2" fmla="*/ 176 w 176"/>
              <a:gd name="T3" fmla="*/ 0 h 527"/>
              <a:gd name="T4" fmla="*/ 89 w 176"/>
              <a:gd name="T5" fmla="*/ 527 h 527"/>
              <a:gd name="T6" fmla="*/ 0 w 176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0"/>
                </a:moveTo>
                <a:lnTo>
                  <a:pt x="176" y="0"/>
                </a:lnTo>
                <a:lnTo>
                  <a:pt x="89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0" name="Freeform 569">
            <a:extLst>
              <a:ext uri="{FF2B5EF4-FFF2-40B4-BE49-F238E27FC236}">
                <a16:creationId xmlns:a16="http://schemas.microsoft.com/office/drawing/2014/main" id="{E1BA30BB-7EE4-4415-8118-94DC964CB139}"/>
              </a:ext>
            </a:extLst>
          </xdr:cNvPr>
          <xdr:cNvSpPr>
            <a:spLocks/>
          </xdr:cNvSpPr>
        </xdr:nvSpPr>
        <xdr:spPr bwMode="auto">
          <a:xfrm>
            <a:off x="791" y="202"/>
            <a:ext cx="3" cy="9"/>
          </a:xfrm>
          <a:custGeom>
            <a:avLst/>
            <a:gdLst>
              <a:gd name="T0" fmla="*/ 0 w 176"/>
              <a:gd name="T1" fmla="*/ 527 h 527"/>
              <a:gd name="T2" fmla="*/ 176 w 176"/>
              <a:gd name="T3" fmla="*/ 527 h 527"/>
              <a:gd name="T4" fmla="*/ 89 w 176"/>
              <a:gd name="T5" fmla="*/ 0 h 527"/>
              <a:gd name="T6" fmla="*/ 0 w 176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527"/>
                </a:moveTo>
                <a:lnTo>
                  <a:pt x="176" y="527"/>
                </a:lnTo>
                <a:lnTo>
                  <a:pt x="89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1" name="Freeform 570">
            <a:extLst>
              <a:ext uri="{FF2B5EF4-FFF2-40B4-BE49-F238E27FC236}">
                <a16:creationId xmlns:a16="http://schemas.microsoft.com/office/drawing/2014/main" id="{06DDF631-5C66-4CE0-9A80-463614FB6D02}"/>
              </a:ext>
            </a:extLst>
          </xdr:cNvPr>
          <xdr:cNvSpPr>
            <a:spLocks/>
          </xdr:cNvSpPr>
        </xdr:nvSpPr>
        <xdr:spPr bwMode="auto">
          <a:xfrm>
            <a:off x="760" y="221"/>
            <a:ext cx="4" cy="5"/>
          </a:xfrm>
          <a:custGeom>
            <a:avLst/>
            <a:gdLst>
              <a:gd name="T0" fmla="*/ 141 w 211"/>
              <a:gd name="T1" fmla="*/ 281 h 281"/>
              <a:gd name="T2" fmla="*/ 71 w 211"/>
              <a:gd name="T3" fmla="*/ 281 h 281"/>
              <a:gd name="T4" fmla="*/ 0 w 211"/>
              <a:gd name="T5" fmla="*/ 210 h 281"/>
              <a:gd name="T6" fmla="*/ 0 w 211"/>
              <a:gd name="T7" fmla="*/ 70 h 281"/>
              <a:gd name="T8" fmla="*/ 71 w 211"/>
              <a:gd name="T9" fmla="*/ 0 h 281"/>
              <a:gd name="T10" fmla="*/ 141 w 211"/>
              <a:gd name="T11" fmla="*/ 0 h 281"/>
              <a:gd name="T12" fmla="*/ 211 w 211"/>
              <a:gd name="T13" fmla="*/ 70 h 281"/>
              <a:gd name="T14" fmla="*/ 211 w 211"/>
              <a:gd name="T15" fmla="*/ 210 h 281"/>
              <a:gd name="T16" fmla="*/ 141 w 21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1" h="281">
                <a:moveTo>
                  <a:pt x="141" y="281"/>
                </a:moveTo>
                <a:lnTo>
                  <a:pt x="71" y="281"/>
                </a:lnTo>
                <a:lnTo>
                  <a:pt x="0" y="210"/>
                </a:lnTo>
                <a:lnTo>
                  <a:pt x="0" y="70"/>
                </a:lnTo>
                <a:lnTo>
                  <a:pt x="71" y="0"/>
                </a:lnTo>
                <a:lnTo>
                  <a:pt x="141" y="0"/>
                </a:lnTo>
                <a:lnTo>
                  <a:pt x="211" y="70"/>
                </a:lnTo>
                <a:lnTo>
                  <a:pt x="211" y="210"/>
                </a:lnTo>
                <a:lnTo>
                  <a:pt x="141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2" name="Line 571">
            <a:extLst>
              <a:ext uri="{FF2B5EF4-FFF2-40B4-BE49-F238E27FC236}">
                <a16:creationId xmlns:a16="http://schemas.microsoft.com/office/drawing/2014/main" id="{355C4D3E-DE28-4EAF-AD21-ACDEEECA3D0F}"/>
              </a:ext>
            </a:extLst>
          </xdr:cNvPr>
          <xdr:cNvSpPr>
            <a:spLocks noChangeShapeType="1"/>
          </xdr:cNvSpPr>
        </xdr:nvSpPr>
        <xdr:spPr bwMode="auto">
          <a:xfrm>
            <a:off x="764" y="224"/>
            <a:ext cx="1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572">
            <a:extLst>
              <a:ext uri="{FF2B5EF4-FFF2-40B4-BE49-F238E27FC236}">
                <a16:creationId xmlns:a16="http://schemas.microsoft.com/office/drawing/2014/main" id="{CD33C0DE-64F7-46D1-A76D-472587AB5A6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8" y="224"/>
            <a:ext cx="0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573">
            <a:extLst>
              <a:ext uri="{FF2B5EF4-FFF2-40B4-BE49-F238E27FC236}">
                <a16:creationId xmlns:a16="http://schemas.microsoft.com/office/drawing/2014/main" id="{E6C49639-1EB1-4172-A01F-459524693A30}"/>
              </a:ext>
            </a:extLst>
          </xdr:cNvPr>
          <xdr:cNvSpPr>
            <a:spLocks noChangeShapeType="1"/>
          </xdr:cNvSpPr>
        </xdr:nvSpPr>
        <xdr:spPr bwMode="auto">
          <a:xfrm flipV="1">
            <a:off x="770" y="219"/>
            <a:ext cx="0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Freeform 574">
            <a:extLst>
              <a:ext uri="{FF2B5EF4-FFF2-40B4-BE49-F238E27FC236}">
                <a16:creationId xmlns:a16="http://schemas.microsoft.com/office/drawing/2014/main" id="{0B75B7CA-6800-4436-833F-D4B90E623640}"/>
              </a:ext>
            </a:extLst>
          </xdr:cNvPr>
          <xdr:cNvSpPr>
            <a:spLocks/>
          </xdr:cNvSpPr>
        </xdr:nvSpPr>
        <xdr:spPr bwMode="auto">
          <a:xfrm>
            <a:off x="770" y="221"/>
            <a:ext cx="5" cy="5"/>
          </a:xfrm>
          <a:custGeom>
            <a:avLst/>
            <a:gdLst>
              <a:gd name="T0" fmla="*/ 0 w 281"/>
              <a:gd name="T1" fmla="*/ 140 h 281"/>
              <a:gd name="T2" fmla="*/ 140 w 281"/>
              <a:gd name="T3" fmla="*/ 0 h 281"/>
              <a:gd name="T4" fmla="*/ 210 w 281"/>
              <a:gd name="T5" fmla="*/ 0 h 281"/>
              <a:gd name="T6" fmla="*/ 281 w 281"/>
              <a:gd name="T7" fmla="*/ 70 h 281"/>
              <a:gd name="T8" fmla="*/ 281 w 281"/>
              <a:gd name="T9" fmla="*/ 210 h 281"/>
              <a:gd name="T10" fmla="*/ 210 w 281"/>
              <a:gd name="T11" fmla="*/ 281 h 281"/>
              <a:gd name="T12" fmla="*/ 140 w 281"/>
              <a:gd name="T13" fmla="*/ 281 h 281"/>
              <a:gd name="T14" fmla="*/ 0 w 281"/>
              <a:gd name="T15" fmla="*/ 140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1"/>
                </a:lnTo>
                <a:lnTo>
                  <a:pt x="140" y="281"/>
                </a:lnTo>
                <a:lnTo>
                  <a:pt x="0" y="14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Line 575">
            <a:extLst>
              <a:ext uri="{FF2B5EF4-FFF2-40B4-BE49-F238E27FC236}">
                <a16:creationId xmlns:a16="http://schemas.microsoft.com/office/drawing/2014/main" id="{FC24850D-0684-4409-95FB-D701049F1288}"/>
              </a:ext>
            </a:extLst>
          </xdr:cNvPr>
          <xdr:cNvSpPr>
            <a:spLocks noChangeShapeType="1"/>
          </xdr:cNvSpPr>
        </xdr:nvSpPr>
        <xdr:spPr bwMode="auto">
          <a:xfrm flipV="1">
            <a:off x="777" y="219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Freeform 576">
            <a:extLst>
              <a:ext uri="{FF2B5EF4-FFF2-40B4-BE49-F238E27FC236}">
                <a16:creationId xmlns:a16="http://schemas.microsoft.com/office/drawing/2014/main" id="{9D9597E4-6EB7-4FC2-B4A6-D540F3CBD523}"/>
              </a:ext>
            </a:extLst>
          </xdr:cNvPr>
          <xdr:cNvSpPr>
            <a:spLocks/>
          </xdr:cNvSpPr>
        </xdr:nvSpPr>
        <xdr:spPr bwMode="auto">
          <a:xfrm>
            <a:off x="784" y="219"/>
            <a:ext cx="5" cy="7"/>
          </a:xfrm>
          <a:custGeom>
            <a:avLst/>
            <a:gdLst>
              <a:gd name="T0" fmla="*/ 0 w 280"/>
              <a:gd name="T1" fmla="*/ 71 h 422"/>
              <a:gd name="T2" fmla="*/ 70 w 280"/>
              <a:gd name="T3" fmla="*/ 0 h 422"/>
              <a:gd name="T4" fmla="*/ 210 w 280"/>
              <a:gd name="T5" fmla="*/ 0 h 422"/>
              <a:gd name="T6" fmla="*/ 280 w 280"/>
              <a:gd name="T7" fmla="*/ 71 h 422"/>
              <a:gd name="T8" fmla="*/ 280 w 280"/>
              <a:gd name="T9" fmla="*/ 141 h 422"/>
              <a:gd name="T10" fmla="*/ 210 w 280"/>
              <a:gd name="T11" fmla="*/ 211 h 422"/>
              <a:gd name="T12" fmla="*/ 70 w 280"/>
              <a:gd name="T13" fmla="*/ 211 h 422"/>
              <a:gd name="T14" fmla="*/ 0 w 280"/>
              <a:gd name="T15" fmla="*/ 281 h 422"/>
              <a:gd name="T16" fmla="*/ 0 w 280"/>
              <a:gd name="T17" fmla="*/ 422 h 422"/>
              <a:gd name="T18" fmla="*/ 280 w 280"/>
              <a:gd name="T19" fmla="*/ 42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0" h="422">
                <a:moveTo>
                  <a:pt x="0" y="71"/>
                </a:move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141"/>
                </a:lnTo>
                <a:lnTo>
                  <a:pt x="210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2"/>
                </a:lnTo>
                <a:lnTo>
                  <a:pt x="280" y="422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Line 577">
            <a:extLst>
              <a:ext uri="{FF2B5EF4-FFF2-40B4-BE49-F238E27FC236}">
                <a16:creationId xmlns:a16="http://schemas.microsoft.com/office/drawing/2014/main" id="{BEDAA735-E274-44EB-ABF7-5AFE3662371F}"/>
              </a:ext>
            </a:extLst>
          </xdr:cNvPr>
          <xdr:cNvSpPr>
            <a:spLocks noChangeShapeType="1"/>
          </xdr:cNvSpPr>
        </xdr:nvSpPr>
        <xdr:spPr bwMode="auto">
          <a:xfrm>
            <a:off x="791" y="221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578">
            <a:extLst>
              <a:ext uri="{FF2B5EF4-FFF2-40B4-BE49-F238E27FC236}">
                <a16:creationId xmlns:a16="http://schemas.microsoft.com/office/drawing/2014/main" id="{1D19ED6A-13E6-4EE8-975A-0E7112868248}"/>
              </a:ext>
            </a:extLst>
          </xdr:cNvPr>
          <xdr:cNvSpPr>
            <a:spLocks noChangeShapeType="1"/>
          </xdr:cNvSpPr>
        </xdr:nvSpPr>
        <xdr:spPr bwMode="auto">
          <a:xfrm flipH="1">
            <a:off x="791" y="223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Freeform 586">
            <a:extLst>
              <a:ext uri="{FF2B5EF4-FFF2-40B4-BE49-F238E27FC236}">
                <a16:creationId xmlns:a16="http://schemas.microsoft.com/office/drawing/2014/main" id="{98B09F8F-7360-48FB-879D-7C3519A08284}"/>
              </a:ext>
            </a:extLst>
          </xdr:cNvPr>
          <xdr:cNvSpPr>
            <a:spLocks/>
          </xdr:cNvSpPr>
        </xdr:nvSpPr>
        <xdr:spPr bwMode="auto">
          <a:xfrm>
            <a:off x="1201" y="96"/>
            <a:ext cx="4" cy="4"/>
          </a:xfrm>
          <a:custGeom>
            <a:avLst/>
            <a:gdLst>
              <a:gd name="T0" fmla="*/ 0 w 282"/>
              <a:gd name="T1" fmla="*/ 210 h 210"/>
              <a:gd name="T2" fmla="*/ 212 w 282"/>
              <a:gd name="T3" fmla="*/ 210 h 210"/>
              <a:gd name="T4" fmla="*/ 282 w 282"/>
              <a:gd name="T5" fmla="*/ 140 h 210"/>
              <a:gd name="T6" fmla="*/ 282 w 282"/>
              <a:gd name="T7" fmla="*/ 70 h 210"/>
              <a:gd name="T8" fmla="*/ 212 w 282"/>
              <a:gd name="T9" fmla="*/ 0 h 210"/>
              <a:gd name="T10" fmla="*/ 70 w 282"/>
              <a:gd name="T11" fmla="*/ 0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2" h="210">
                <a:moveTo>
                  <a:pt x="0" y="210"/>
                </a:moveTo>
                <a:lnTo>
                  <a:pt x="212" y="210"/>
                </a:lnTo>
                <a:lnTo>
                  <a:pt x="282" y="140"/>
                </a:lnTo>
                <a:lnTo>
                  <a:pt x="282" y="70"/>
                </a:lnTo>
                <a:lnTo>
                  <a:pt x="212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Freeform 587">
            <a:extLst>
              <a:ext uri="{FF2B5EF4-FFF2-40B4-BE49-F238E27FC236}">
                <a16:creationId xmlns:a16="http://schemas.microsoft.com/office/drawing/2014/main" id="{0970255D-C31E-4413-A092-9CEBCC3B97B8}"/>
              </a:ext>
            </a:extLst>
          </xdr:cNvPr>
          <xdr:cNvSpPr>
            <a:spLocks/>
          </xdr:cNvSpPr>
        </xdr:nvSpPr>
        <xdr:spPr bwMode="auto">
          <a:xfrm>
            <a:off x="1201" y="93"/>
            <a:ext cx="4" cy="3"/>
          </a:xfrm>
          <a:custGeom>
            <a:avLst/>
            <a:gdLst>
              <a:gd name="T0" fmla="*/ 212 w 282"/>
              <a:gd name="T1" fmla="*/ 211 h 211"/>
              <a:gd name="T2" fmla="*/ 282 w 282"/>
              <a:gd name="T3" fmla="*/ 141 h 211"/>
              <a:gd name="T4" fmla="*/ 282 w 282"/>
              <a:gd name="T5" fmla="*/ 70 h 211"/>
              <a:gd name="T6" fmla="*/ 212 w 282"/>
              <a:gd name="T7" fmla="*/ 0 h 211"/>
              <a:gd name="T8" fmla="*/ 0 w 282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2" h="211">
                <a:moveTo>
                  <a:pt x="212" y="211"/>
                </a:moveTo>
                <a:lnTo>
                  <a:pt x="282" y="141"/>
                </a:lnTo>
                <a:lnTo>
                  <a:pt x="282" y="70"/>
                </a:lnTo>
                <a:lnTo>
                  <a:pt x="212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Line 588">
            <a:extLst>
              <a:ext uri="{FF2B5EF4-FFF2-40B4-BE49-F238E27FC236}">
                <a16:creationId xmlns:a16="http://schemas.microsoft.com/office/drawing/2014/main" id="{83E3BD6D-B91A-43A5-B517-4B4F75C7FD38}"/>
              </a:ext>
            </a:extLst>
          </xdr:cNvPr>
          <xdr:cNvSpPr>
            <a:spLocks noChangeShapeType="1"/>
          </xdr:cNvSpPr>
        </xdr:nvSpPr>
        <xdr:spPr bwMode="auto">
          <a:xfrm>
            <a:off x="1202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Freeform 589">
            <a:extLst>
              <a:ext uri="{FF2B5EF4-FFF2-40B4-BE49-F238E27FC236}">
                <a16:creationId xmlns:a16="http://schemas.microsoft.com/office/drawing/2014/main" id="{A5FE3F7C-8BB4-4EAB-BA36-172C3FA28A6D}"/>
              </a:ext>
            </a:extLst>
          </xdr:cNvPr>
          <xdr:cNvSpPr>
            <a:spLocks/>
          </xdr:cNvSpPr>
        </xdr:nvSpPr>
        <xdr:spPr bwMode="auto">
          <a:xfrm>
            <a:off x="1208" y="95"/>
            <a:ext cx="5" cy="5"/>
          </a:xfrm>
          <a:custGeom>
            <a:avLst/>
            <a:gdLst>
              <a:gd name="T0" fmla="*/ 210 w 281"/>
              <a:gd name="T1" fmla="*/ 280 h 280"/>
              <a:gd name="T2" fmla="*/ 70 w 281"/>
              <a:gd name="T3" fmla="*/ 280 h 280"/>
              <a:gd name="T4" fmla="*/ 0 w 281"/>
              <a:gd name="T5" fmla="*/ 210 h 280"/>
              <a:gd name="T6" fmla="*/ 0 w 281"/>
              <a:gd name="T7" fmla="*/ 70 h 280"/>
              <a:gd name="T8" fmla="*/ 70 w 281"/>
              <a:gd name="T9" fmla="*/ 0 h 280"/>
              <a:gd name="T10" fmla="*/ 210 w 281"/>
              <a:gd name="T11" fmla="*/ 0 h 280"/>
              <a:gd name="T12" fmla="*/ 281 w 281"/>
              <a:gd name="T13" fmla="*/ 70 h 280"/>
              <a:gd name="T14" fmla="*/ 281 w 281"/>
              <a:gd name="T15" fmla="*/ 210 h 280"/>
              <a:gd name="T16" fmla="*/ 210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Line 590">
            <a:extLst>
              <a:ext uri="{FF2B5EF4-FFF2-40B4-BE49-F238E27FC236}">
                <a16:creationId xmlns:a16="http://schemas.microsoft.com/office/drawing/2014/main" id="{0324B0ED-15FD-4355-BA49-9EAE33ABDC9C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Freeform 591">
            <a:extLst>
              <a:ext uri="{FF2B5EF4-FFF2-40B4-BE49-F238E27FC236}">
                <a16:creationId xmlns:a16="http://schemas.microsoft.com/office/drawing/2014/main" id="{E891E763-C865-4C54-BB61-BB57AE8DA4C9}"/>
              </a:ext>
            </a:extLst>
          </xdr:cNvPr>
          <xdr:cNvSpPr>
            <a:spLocks/>
          </xdr:cNvSpPr>
        </xdr:nvSpPr>
        <xdr:spPr bwMode="auto">
          <a:xfrm>
            <a:off x="1215" y="95"/>
            <a:ext cx="5" cy="3"/>
          </a:xfrm>
          <a:custGeom>
            <a:avLst/>
            <a:gdLst>
              <a:gd name="T0" fmla="*/ 0 w 281"/>
              <a:gd name="T1" fmla="*/ 140 h 140"/>
              <a:gd name="T2" fmla="*/ 140 w 281"/>
              <a:gd name="T3" fmla="*/ 0 h 140"/>
              <a:gd name="T4" fmla="*/ 210 w 281"/>
              <a:gd name="T5" fmla="*/ 0 h 140"/>
              <a:gd name="T6" fmla="*/ 281 w 281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1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6" name="Freeform 592">
            <a:extLst>
              <a:ext uri="{FF2B5EF4-FFF2-40B4-BE49-F238E27FC236}">
                <a16:creationId xmlns:a16="http://schemas.microsoft.com/office/drawing/2014/main" id="{2E7694BE-45B4-47F2-8D04-63C6159639AF}"/>
              </a:ext>
            </a:extLst>
          </xdr:cNvPr>
          <xdr:cNvSpPr>
            <a:spLocks/>
          </xdr:cNvSpPr>
        </xdr:nvSpPr>
        <xdr:spPr bwMode="auto">
          <a:xfrm>
            <a:off x="1222" y="95"/>
            <a:ext cx="5" cy="5"/>
          </a:xfrm>
          <a:custGeom>
            <a:avLst/>
            <a:gdLst>
              <a:gd name="T0" fmla="*/ 280 w 280"/>
              <a:gd name="T1" fmla="*/ 140 h 280"/>
              <a:gd name="T2" fmla="*/ 140 w 280"/>
              <a:gd name="T3" fmla="*/ 280 h 280"/>
              <a:gd name="T4" fmla="*/ 70 w 280"/>
              <a:gd name="T5" fmla="*/ 280 h 280"/>
              <a:gd name="T6" fmla="*/ 0 w 280"/>
              <a:gd name="T7" fmla="*/ 210 h 280"/>
              <a:gd name="T8" fmla="*/ 0 w 280"/>
              <a:gd name="T9" fmla="*/ 70 h 280"/>
              <a:gd name="T10" fmla="*/ 70 w 280"/>
              <a:gd name="T11" fmla="*/ 0 h 280"/>
              <a:gd name="T12" fmla="*/ 140 w 280"/>
              <a:gd name="T13" fmla="*/ 0 h 280"/>
              <a:gd name="T14" fmla="*/ 280 w 280"/>
              <a:gd name="T15" fmla="*/ 14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0" h="280">
                <a:moveTo>
                  <a:pt x="280" y="140"/>
                </a:moveTo>
                <a:lnTo>
                  <a:pt x="140" y="280"/>
                </a:ln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80" y="14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593">
            <a:extLst>
              <a:ext uri="{FF2B5EF4-FFF2-40B4-BE49-F238E27FC236}">
                <a16:creationId xmlns:a16="http://schemas.microsoft.com/office/drawing/2014/main" id="{7B06BD76-BC75-44C2-A156-506C97DEDBC3}"/>
              </a:ext>
            </a:extLst>
          </xdr:cNvPr>
          <xdr:cNvSpPr>
            <a:spLocks noChangeShapeType="1"/>
          </xdr:cNvSpPr>
        </xdr:nvSpPr>
        <xdr:spPr bwMode="auto">
          <a:xfrm>
            <a:off x="1227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Freeform 594">
            <a:extLst>
              <a:ext uri="{FF2B5EF4-FFF2-40B4-BE49-F238E27FC236}">
                <a16:creationId xmlns:a16="http://schemas.microsoft.com/office/drawing/2014/main" id="{92F47B7B-3693-40C4-9F96-4FCD20991FB4}"/>
              </a:ext>
            </a:extLst>
          </xdr:cNvPr>
          <xdr:cNvSpPr>
            <a:spLocks/>
          </xdr:cNvSpPr>
        </xdr:nvSpPr>
        <xdr:spPr bwMode="auto">
          <a:xfrm>
            <a:off x="1229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" name="Freeform 595">
            <a:extLst>
              <a:ext uri="{FF2B5EF4-FFF2-40B4-BE49-F238E27FC236}">
                <a16:creationId xmlns:a16="http://schemas.microsoft.com/office/drawing/2014/main" id="{AFBBCB6A-B901-48C3-A5C6-AF57B3563C3B}"/>
              </a:ext>
            </a:extLst>
          </xdr:cNvPr>
          <xdr:cNvSpPr>
            <a:spLocks/>
          </xdr:cNvSpPr>
        </xdr:nvSpPr>
        <xdr:spPr bwMode="auto">
          <a:xfrm>
            <a:off x="1244" y="95"/>
            <a:ext cx="4" cy="5"/>
          </a:xfrm>
          <a:custGeom>
            <a:avLst/>
            <a:gdLst>
              <a:gd name="T0" fmla="*/ 0 w 281"/>
              <a:gd name="T1" fmla="*/ 140 h 280"/>
              <a:gd name="T2" fmla="*/ 211 w 281"/>
              <a:gd name="T3" fmla="*/ 140 h 280"/>
              <a:gd name="T4" fmla="*/ 281 w 281"/>
              <a:gd name="T5" fmla="*/ 70 h 280"/>
              <a:gd name="T6" fmla="*/ 211 w 281"/>
              <a:gd name="T7" fmla="*/ 0 h 280"/>
              <a:gd name="T8" fmla="*/ 70 w 281"/>
              <a:gd name="T9" fmla="*/ 0 h 280"/>
              <a:gd name="T10" fmla="*/ 0 w 281"/>
              <a:gd name="T11" fmla="*/ 70 h 280"/>
              <a:gd name="T12" fmla="*/ 0 w 281"/>
              <a:gd name="T13" fmla="*/ 210 h 280"/>
              <a:gd name="T14" fmla="*/ 70 w 281"/>
              <a:gd name="T15" fmla="*/ 280 h 280"/>
              <a:gd name="T16" fmla="*/ 211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0" y="140"/>
                </a:moveTo>
                <a:lnTo>
                  <a:pt x="211" y="140"/>
                </a:lnTo>
                <a:lnTo>
                  <a:pt x="281" y="70"/>
                </a:lnTo>
                <a:lnTo>
                  <a:pt x="211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1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0" name="Line 596">
            <a:extLst>
              <a:ext uri="{FF2B5EF4-FFF2-40B4-BE49-F238E27FC236}">
                <a16:creationId xmlns:a16="http://schemas.microsoft.com/office/drawing/2014/main" id="{8FC69012-B681-4934-960F-013E9EA88DAA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597">
            <a:extLst>
              <a:ext uri="{FF2B5EF4-FFF2-40B4-BE49-F238E27FC236}">
                <a16:creationId xmlns:a16="http://schemas.microsoft.com/office/drawing/2014/main" id="{4A3C7A50-02F6-437D-96BC-026ED0155847}"/>
              </a:ext>
            </a:extLst>
          </xdr:cNvPr>
          <xdr:cNvSpPr>
            <a:spLocks noChangeShapeType="1"/>
          </xdr:cNvSpPr>
        </xdr:nvSpPr>
        <xdr:spPr bwMode="auto">
          <a:xfrm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598">
            <a:extLst>
              <a:ext uri="{FF2B5EF4-FFF2-40B4-BE49-F238E27FC236}">
                <a16:creationId xmlns:a16="http://schemas.microsoft.com/office/drawing/2014/main" id="{BBA81977-83B4-4200-9E80-36D40FD3092D}"/>
              </a:ext>
            </a:extLst>
          </xdr:cNvPr>
          <xdr:cNvSpPr>
            <a:spLocks noChangeShapeType="1"/>
          </xdr:cNvSpPr>
        </xdr:nvSpPr>
        <xdr:spPr bwMode="auto">
          <a:xfrm>
            <a:off x="1258" y="95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Freeform 599">
            <a:extLst>
              <a:ext uri="{FF2B5EF4-FFF2-40B4-BE49-F238E27FC236}">
                <a16:creationId xmlns:a16="http://schemas.microsoft.com/office/drawing/2014/main" id="{64FD28D8-E95E-4F87-AFD0-516F2CE7C652}"/>
              </a:ext>
            </a:extLst>
          </xdr:cNvPr>
          <xdr:cNvSpPr>
            <a:spLocks/>
          </xdr:cNvSpPr>
        </xdr:nvSpPr>
        <xdr:spPr bwMode="auto">
          <a:xfrm>
            <a:off x="1260" y="93"/>
            <a:ext cx="3" cy="7"/>
          </a:xfrm>
          <a:custGeom>
            <a:avLst/>
            <a:gdLst>
              <a:gd name="T0" fmla="*/ 0 w 141"/>
              <a:gd name="T1" fmla="*/ 0 h 421"/>
              <a:gd name="T2" fmla="*/ 0 w 141"/>
              <a:gd name="T3" fmla="*/ 351 h 421"/>
              <a:gd name="T4" fmla="*/ 70 w 141"/>
              <a:gd name="T5" fmla="*/ 421 h 421"/>
              <a:gd name="T6" fmla="*/ 141 w 141"/>
              <a:gd name="T7" fmla="*/ 35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1">
                <a:moveTo>
                  <a:pt x="0" y="0"/>
                </a:moveTo>
                <a:lnTo>
                  <a:pt x="0" y="351"/>
                </a:lnTo>
                <a:lnTo>
                  <a:pt x="70" y="421"/>
                </a:lnTo>
                <a:lnTo>
                  <a:pt x="141" y="35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4" name="Freeform 600">
            <a:extLst>
              <a:ext uri="{FF2B5EF4-FFF2-40B4-BE49-F238E27FC236}">
                <a16:creationId xmlns:a16="http://schemas.microsoft.com/office/drawing/2014/main" id="{AD0A3916-E21D-40BF-96F5-F052FFCC9CAD}"/>
              </a:ext>
            </a:extLst>
          </xdr:cNvPr>
          <xdr:cNvSpPr>
            <a:spLocks/>
          </xdr:cNvSpPr>
        </xdr:nvSpPr>
        <xdr:spPr bwMode="auto">
          <a:xfrm>
            <a:off x="1265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" name="Line 601">
            <a:extLst>
              <a:ext uri="{FF2B5EF4-FFF2-40B4-BE49-F238E27FC236}">
                <a16:creationId xmlns:a16="http://schemas.microsoft.com/office/drawing/2014/main" id="{AB8FA20B-6AF6-4F53-8CA4-43632500438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2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Freeform 602">
            <a:extLst>
              <a:ext uri="{FF2B5EF4-FFF2-40B4-BE49-F238E27FC236}">
                <a16:creationId xmlns:a16="http://schemas.microsoft.com/office/drawing/2014/main" id="{EF8004E0-01C5-4639-A6D4-676F0BE8ECF0}"/>
              </a:ext>
            </a:extLst>
          </xdr:cNvPr>
          <xdr:cNvSpPr>
            <a:spLocks/>
          </xdr:cNvSpPr>
        </xdr:nvSpPr>
        <xdr:spPr bwMode="auto">
          <a:xfrm>
            <a:off x="1272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" name="Line 603">
            <a:extLst>
              <a:ext uri="{FF2B5EF4-FFF2-40B4-BE49-F238E27FC236}">
                <a16:creationId xmlns:a16="http://schemas.microsoft.com/office/drawing/2014/main" id="{1DC21D74-7F72-4F36-988F-E47B5817B7C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604">
            <a:extLst>
              <a:ext uri="{FF2B5EF4-FFF2-40B4-BE49-F238E27FC236}">
                <a16:creationId xmlns:a16="http://schemas.microsoft.com/office/drawing/2014/main" id="{B1FEB46F-E28B-4385-AB26-7BCF8AE47FF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Freeform 605">
            <a:extLst>
              <a:ext uri="{FF2B5EF4-FFF2-40B4-BE49-F238E27FC236}">
                <a16:creationId xmlns:a16="http://schemas.microsoft.com/office/drawing/2014/main" id="{3334577D-E006-4767-952F-BA9CC4D32994}"/>
              </a:ext>
            </a:extLst>
          </xdr:cNvPr>
          <xdr:cNvSpPr>
            <a:spLocks/>
          </xdr:cNvSpPr>
        </xdr:nvSpPr>
        <xdr:spPr bwMode="auto">
          <a:xfrm>
            <a:off x="1282" y="95"/>
            <a:ext cx="4" cy="5"/>
          </a:xfrm>
          <a:custGeom>
            <a:avLst/>
            <a:gdLst>
              <a:gd name="T0" fmla="*/ 210 w 280"/>
              <a:gd name="T1" fmla="*/ 280 h 280"/>
              <a:gd name="T2" fmla="*/ 70 w 280"/>
              <a:gd name="T3" fmla="*/ 280 h 280"/>
              <a:gd name="T4" fmla="*/ 0 w 280"/>
              <a:gd name="T5" fmla="*/ 210 h 280"/>
              <a:gd name="T6" fmla="*/ 0 w 280"/>
              <a:gd name="T7" fmla="*/ 70 h 280"/>
              <a:gd name="T8" fmla="*/ 70 w 280"/>
              <a:gd name="T9" fmla="*/ 0 h 280"/>
              <a:gd name="T10" fmla="*/ 210 w 280"/>
              <a:gd name="T11" fmla="*/ 0 h 280"/>
              <a:gd name="T12" fmla="*/ 280 w 280"/>
              <a:gd name="T13" fmla="*/ 70 h 280"/>
              <a:gd name="T14" fmla="*/ 280 w 280"/>
              <a:gd name="T15" fmla="*/ 21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0" y="70"/>
                </a:lnTo>
                <a:lnTo>
                  <a:pt x="280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" name="Line 606">
            <a:extLst>
              <a:ext uri="{FF2B5EF4-FFF2-40B4-BE49-F238E27FC236}">
                <a16:creationId xmlns:a16="http://schemas.microsoft.com/office/drawing/2014/main" id="{C7ED8790-46F8-4E6E-9E42-C3BE4EA655D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Freeform 607">
            <a:extLst>
              <a:ext uri="{FF2B5EF4-FFF2-40B4-BE49-F238E27FC236}">
                <a16:creationId xmlns:a16="http://schemas.microsoft.com/office/drawing/2014/main" id="{4357BB9F-3E83-4208-88CB-43B520A1D404}"/>
              </a:ext>
            </a:extLst>
          </xdr:cNvPr>
          <xdr:cNvSpPr>
            <a:spLocks/>
          </xdr:cNvSpPr>
        </xdr:nvSpPr>
        <xdr:spPr bwMode="auto">
          <a:xfrm>
            <a:off x="1289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" name="Freeform 608">
            <a:extLst>
              <a:ext uri="{FF2B5EF4-FFF2-40B4-BE49-F238E27FC236}">
                <a16:creationId xmlns:a16="http://schemas.microsoft.com/office/drawing/2014/main" id="{7118057B-F66B-4C97-B81A-1F2F65728063}"/>
              </a:ext>
            </a:extLst>
          </xdr:cNvPr>
          <xdr:cNvSpPr>
            <a:spLocks/>
          </xdr:cNvSpPr>
        </xdr:nvSpPr>
        <xdr:spPr bwMode="auto">
          <a:xfrm>
            <a:off x="1206" y="307"/>
            <a:ext cx="5" cy="3"/>
          </a:xfrm>
          <a:custGeom>
            <a:avLst/>
            <a:gdLst>
              <a:gd name="T0" fmla="*/ 0 w 280"/>
              <a:gd name="T1" fmla="*/ 211 h 211"/>
              <a:gd name="T2" fmla="*/ 210 w 280"/>
              <a:gd name="T3" fmla="*/ 211 h 211"/>
              <a:gd name="T4" fmla="*/ 280 w 280"/>
              <a:gd name="T5" fmla="*/ 141 h 211"/>
              <a:gd name="T6" fmla="*/ 280 w 280"/>
              <a:gd name="T7" fmla="*/ 70 h 211"/>
              <a:gd name="T8" fmla="*/ 210 w 280"/>
              <a:gd name="T9" fmla="*/ 0 h 211"/>
              <a:gd name="T10" fmla="*/ 70 w 280"/>
              <a:gd name="T11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0" h="211">
                <a:moveTo>
                  <a:pt x="0" y="211"/>
                </a:moveTo>
                <a:lnTo>
                  <a:pt x="210" y="211"/>
                </a:lnTo>
                <a:lnTo>
                  <a:pt x="280" y="141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" name="Freeform 609">
            <a:extLst>
              <a:ext uri="{FF2B5EF4-FFF2-40B4-BE49-F238E27FC236}">
                <a16:creationId xmlns:a16="http://schemas.microsoft.com/office/drawing/2014/main" id="{D043E6FC-EF5D-43F8-9A49-24CF48CA3B49}"/>
              </a:ext>
            </a:extLst>
          </xdr:cNvPr>
          <xdr:cNvSpPr>
            <a:spLocks/>
          </xdr:cNvSpPr>
        </xdr:nvSpPr>
        <xdr:spPr bwMode="auto">
          <a:xfrm>
            <a:off x="1206" y="303"/>
            <a:ext cx="5" cy="4"/>
          </a:xfrm>
          <a:custGeom>
            <a:avLst/>
            <a:gdLst>
              <a:gd name="T0" fmla="*/ 210 w 280"/>
              <a:gd name="T1" fmla="*/ 211 h 211"/>
              <a:gd name="T2" fmla="*/ 280 w 280"/>
              <a:gd name="T3" fmla="*/ 140 h 211"/>
              <a:gd name="T4" fmla="*/ 280 w 280"/>
              <a:gd name="T5" fmla="*/ 70 h 211"/>
              <a:gd name="T6" fmla="*/ 210 w 280"/>
              <a:gd name="T7" fmla="*/ 0 h 211"/>
              <a:gd name="T8" fmla="*/ 0 w 280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0" h="211">
                <a:moveTo>
                  <a:pt x="210" y="211"/>
                </a:moveTo>
                <a:lnTo>
                  <a:pt x="280" y="140"/>
                </a:lnTo>
                <a:lnTo>
                  <a:pt x="280" y="70"/>
                </a:lnTo>
                <a:lnTo>
                  <a:pt x="210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" name="Line 610">
            <a:extLst>
              <a:ext uri="{FF2B5EF4-FFF2-40B4-BE49-F238E27FC236}">
                <a16:creationId xmlns:a16="http://schemas.microsoft.com/office/drawing/2014/main" id="{5ECC2FB9-E440-4323-94C4-B93CB974B275}"/>
              </a:ext>
            </a:extLst>
          </xdr:cNvPr>
          <xdr:cNvSpPr>
            <a:spLocks noChangeShapeType="1"/>
          </xdr:cNvSpPr>
        </xdr:nvSpPr>
        <xdr:spPr bwMode="auto">
          <a:xfrm>
            <a:off x="1208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Freeform 611">
            <a:extLst>
              <a:ext uri="{FF2B5EF4-FFF2-40B4-BE49-F238E27FC236}">
                <a16:creationId xmlns:a16="http://schemas.microsoft.com/office/drawing/2014/main" id="{8B0D4404-B5C9-413A-A1E3-019A1251FD84}"/>
              </a:ext>
            </a:extLst>
          </xdr:cNvPr>
          <xdr:cNvSpPr>
            <a:spLocks/>
          </xdr:cNvSpPr>
        </xdr:nvSpPr>
        <xdr:spPr bwMode="auto">
          <a:xfrm>
            <a:off x="1213" y="305"/>
            <a:ext cx="5" cy="5"/>
          </a:xfrm>
          <a:custGeom>
            <a:avLst/>
            <a:gdLst>
              <a:gd name="T0" fmla="*/ 210 w 280"/>
              <a:gd name="T1" fmla="*/ 282 h 282"/>
              <a:gd name="T2" fmla="*/ 70 w 280"/>
              <a:gd name="T3" fmla="*/ 282 h 282"/>
              <a:gd name="T4" fmla="*/ 0 w 280"/>
              <a:gd name="T5" fmla="*/ 212 h 282"/>
              <a:gd name="T6" fmla="*/ 0 w 280"/>
              <a:gd name="T7" fmla="*/ 71 h 282"/>
              <a:gd name="T8" fmla="*/ 70 w 280"/>
              <a:gd name="T9" fmla="*/ 0 h 282"/>
              <a:gd name="T10" fmla="*/ 210 w 280"/>
              <a:gd name="T11" fmla="*/ 0 h 282"/>
              <a:gd name="T12" fmla="*/ 280 w 280"/>
              <a:gd name="T13" fmla="*/ 71 h 282"/>
              <a:gd name="T14" fmla="*/ 280 w 280"/>
              <a:gd name="T15" fmla="*/ 212 h 282"/>
              <a:gd name="T16" fmla="*/ 210 w 280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" name="Line 612">
            <a:extLst>
              <a:ext uri="{FF2B5EF4-FFF2-40B4-BE49-F238E27FC236}">
                <a16:creationId xmlns:a16="http://schemas.microsoft.com/office/drawing/2014/main" id="{7A5F0943-2FBD-46E3-87D9-1A95A804EF5F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1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Freeform 613">
            <a:extLst>
              <a:ext uri="{FF2B5EF4-FFF2-40B4-BE49-F238E27FC236}">
                <a16:creationId xmlns:a16="http://schemas.microsoft.com/office/drawing/2014/main" id="{9EBC2E70-3EDA-4478-AD10-6F6B72E4134E}"/>
              </a:ext>
            </a:extLst>
          </xdr:cNvPr>
          <xdr:cNvSpPr>
            <a:spLocks/>
          </xdr:cNvSpPr>
        </xdr:nvSpPr>
        <xdr:spPr bwMode="auto">
          <a:xfrm>
            <a:off x="1221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" name="Freeform 614">
            <a:extLst>
              <a:ext uri="{FF2B5EF4-FFF2-40B4-BE49-F238E27FC236}">
                <a16:creationId xmlns:a16="http://schemas.microsoft.com/office/drawing/2014/main" id="{867DF4F3-AFEF-4225-9A43-A255070D5F95}"/>
              </a:ext>
            </a:extLst>
          </xdr:cNvPr>
          <xdr:cNvSpPr>
            <a:spLocks/>
          </xdr:cNvSpPr>
        </xdr:nvSpPr>
        <xdr:spPr bwMode="auto">
          <a:xfrm>
            <a:off x="1228" y="305"/>
            <a:ext cx="5" cy="5"/>
          </a:xfrm>
          <a:custGeom>
            <a:avLst/>
            <a:gdLst>
              <a:gd name="T0" fmla="*/ 281 w 281"/>
              <a:gd name="T1" fmla="*/ 141 h 282"/>
              <a:gd name="T2" fmla="*/ 141 w 281"/>
              <a:gd name="T3" fmla="*/ 282 h 282"/>
              <a:gd name="T4" fmla="*/ 71 w 281"/>
              <a:gd name="T5" fmla="*/ 282 h 282"/>
              <a:gd name="T6" fmla="*/ 0 w 281"/>
              <a:gd name="T7" fmla="*/ 212 h 282"/>
              <a:gd name="T8" fmla="*/ 0 w 281"/>
              <a:gd name="T9" fmla="*/ 71 h 282"/>
              <a:gd name="T10" fmla="*/ 71 w 281"/>
              <a:gd name="T11" fmla="*/ 0 h 282"/>
              <a:gd name="T12" fmla="*/ 141 w 281"/>
              <a:gd name="T13" fmla="*/ 0 h 282"/>
              <a:gd name="T14" fmla="*/ 281 w 281"/>
              <a:gd name="T15" fmla="*/ 141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2">
                <a:moveTo>
                  <a:pt x="281" y="141"/>
                </a:moveTo>
                <a:lnTo>
                  <a:pt x="141" y="282"/>
                </a:lnTo>
                <a:lnTo>
                  <a:pt x="71" y="282"/>
                </a:lnTo>
                <a:lnTo>
                  <a:pt x="0" y="212"/>
                </a:lnTo>
                <a:lnTo>
                  <a:pt x="0" y="71"/>
                </a:lnTo>
                <a:lnTo>
                  <a:pt x="71" y="0"/>
                </a:lnTo>
                <a:lnTo>
                  <a:pt x="141" y="0"/>
                </a:lnTo>
                <a:lnTo>
                  <a:pt x="281" y="141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" name="Line 615">
            <a:extLst>
              <a:ext uri="{FF2B5EF4-FFF2-40B4-BE49-F238E27FC236}">
                <a16:creationId xmlns:a16="http://schemas.microsoft.com/office/drawing/2014/main" id="{899BDA7F-0B19-48BE-8E7C-41EB7FF693DC}"/>
              </a:ext>
            </a:extLst>
          </xdr:cNvPr>
          <xdr:cNvSpPr>
            <a:spLocks noChangeShapeType="1"/>
          </xdr:cNvSpPr>
        </xdr:nvSpPr>
        <xdr:spPr bwMode="auto">
          <a:xfrm>
            <a:off x="1233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Freeform 616">
            <a:extLst>
              <a:ext uri="{FF2B5EF4-FFF2-40B4-BE49-F238E27FC236}">
                <a16:creationId xmlns:a16="http://schemas.microsoft.com/office/drawing/2014/main" id="{2CBE0216-93F4-4711-8F24-F084FB4975D3}"/>
              </a:ext>
            </a:extLst>
          </xdr:cNvPr>
          <xdr:cNvSpPr>
            <a:spLocks/>
          </xdr:cNvSpPr>
        </xdr:nvSpPr>
        <xdr:spPr bwMode="auto">
          <a:xfrm>
            <a:off x="1235" y="305"/>
            <a:ext cx="5" cy="5"/>
          </a:xfrm>
          <a:custGeom>
            <a:avLst/>
            <a:gdLst>
              <a:gd name="T0" fmla="*/ 0 w 281"/>
              <a:gd name="T1" fmla="*/ 141 h 282"/>
              <a:gd name="T2" fmla="*/ 211 w 281"/>
              <a:gd name="T3" fmla="*/ 141 h 282"/>
              <a:gd name="T4" fmla="*/ 281 w 281"/>
              <a:gd name="T5" fmla="*/ 71 h 282"/>
              <a:gd name="T6" fmla="*/ 211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1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1" y="141"/>
                </a:lnTo>
                <a:lnTo>
                  <a:pt x="281" y="71"/>
                </a:lnTo>
                <a:lnTo>
                  <a:pt x="211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1" name="Line 617">
            <a:extLst>
              <a:ext uri="{FF2B5EF4-FFF2-40B4-BE49-F238E27FC236}">
                <a16:creationId xmlns:a16="http://schemas.microsoft.com/office/drawing/2014/main" id="{11736BED-DC92-4DD7-8D28-84030DCACB7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Line 618">
            <a:extLst>
              <a:ext uri="{FF2B5EF4-FFF2-40B4-BE49-F238E27FC236}">
                <a16:creationId xmlns:a16="http://schemas.microsoft.com/office/drawing/2014/main" id="{483DD3AF-FD7E-408F-8A54-31905FAA1B0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619">
            <a:extLst>
              <a:ext uri="{FF2B5EF4-FFF2-40B4-BE49-F238E27FC236}">
                <a16:creationId xmlns:a16="http://schemas.microsoft.com/office/drawing/2014/main" id="{8870C718-60C6-45D7-8723-87B841305358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2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Freeform 620">
            <a:extLst>
              <a:ext uri="{FF2B5EF4-FFF2-40B4-BE49-F238E27FC236}">
                <a16:creationId xmlns:a16="http://schemas.microsoft.com/office/drawing/2014/main" id="{125FD758-A2C9-4914-8730-714D27EF78C9}"/>
              </a:ext>
            </a:extLst>
          </xdr:cNvPr>
          <xdr:cNvSpPr>
            <a:spLocks/>
          </xdr:cNvSpPr>
        </xdr:nvSpPr>
        <xdr:spPr bwMode="auto">
          <a:xfrm>
            <a:off x="1252" y="305"/>
            <a:ext cx="4" cy="5"/>
          </a:xfrm>
          <a:custGeom>
            <a:avLst/>
            <a:gdLst>
              <a:gd name="T0" fmla="*/ 0 w 281"/>
              <a:gd name="T1" fmla="*/ 141 h 282"/>
              <a:gd name="T2" fmla="*/ 141 w 281"/>
              <a:gd name="T3" fmla="*/ 0 h 282"/>
              <a:gd name="T4" fmla="*/ 211 w 281"/>
              <a:gd name="T5" fmla="*/ 0 h 282"/>
              <a:gd name="T6" fmla="*/ 281 w 281"/>
              <a:gd name="T7" fmla="*/ 71 h 282"/>
              <a:gd name="T8" fmla="*/ 281 w 281"/>
              <a:gd name="T9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141" y="0"/>
                </a:lnTo>
                <a:lnTo>
                  <a:pt x="211" y="0"/>
                </a:lnTo>
                <a:lnTo>
                  <a:pt x="281" y="71"/>
                </a:lnTo>
                <a:lnTo>
                  <a:pt x="28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" name="Line 621">
            <a:extLst>
              <a:ext uri="{FF2B5EF4-FFF2-40B4-BE49-F238E27FC236}">
                <a16:creationId xmlns:a16="http://schemas.microsoft.com/office/drawing/2014/main" id="{B90B0EA0-FA65-4897-A155-4DA122A2A6E6}"/>
              </a:ext>
            </a:extLst>
          </xdr:cNvPr>
          <xdr:cNvSpPr>
            <a:spLocks noChangeShapeType="1"/>
          </xdr:cNvSpPr>
        </xdr:nvSpPr>
        <xdr:spPr bwMode="auto">
          <a:xfrm>
            <a:off x="1259" y="305"/>
            <a:ext cx="4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Freeform 622">
            <a:extLst>
              <a:ext uri="{FF2B5EF4-FFF2-40B4-BE49-F238E27FC236}">
                <a16:creationId xmlns:a16="http://schemas.microsoft.com/office/drawing/2014/main" id="{2F069C0B-249D-4696-BE62-2812846B531D}"/>
              </a:ext>
            </a:extLst>
          </xdr:cNvPr>
          <xdr:cNvSpPr>
            <a:spLocks/>
          </xdr:cNvSpPr>
        </xdr:nvSpPr>
        <xdr:spPr bwMode="auto">
          <a:xfrm>
            <a:off x="1261" y="303"/>
            <a:ext cx="2" cy="7"/>
          </a:xfrm>
          <a:custGeom>
            <a:avLst/>
            <a:gdLst>
              <a:gd name="T0" fmla="*/ 0 w 141"/>
              <a:gd name="T1" fmla="*/ 0 h 422"/>
              <a:gd name="T2" fmla="*/ 0 w 141"/>
              <a:gd name="T3" fmla="*/ 352 h 422"/>
              <a:gd name="T4" fmla="*/ 71 w 141"/>
              <a:gd name="T5" fmla="*/ 422 h 422"/>
              <a:gd name="T6" fmla="*/ 141 w 141"/>
              <a:gd name="T7" fmla="*/ 35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2">
                <a:moveTo>
                  <a:pt x="0" y="0"/>
                </a:moveTo>
                <a:lnTo>
                  <a:pt x="0" y="352"/>
                </a:lnTo>
                <a:lnTo>
                  <a:pt x="71" y="422"/>
                </a:lnTo>
                <a:lnTo>
                  <a:pt x="141" y="35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7" name="Freeform 623">
            <a:extLst>
              <a:ext uri="{FF2B5EF4-FFF2-40B4-BE49-F238E27FC236}">
                <a16:creationId xmlns:a16="http://schemas.microsoft.com/office/drawing/2014/main" id="{DAAF5515-0FC3-4F1A-9AF3-CA291C857400}"/>
              </a:ext>
            </a:extLst>
          </xdr:cNvPr>
          <xdr:cNvSpPr>
            <a:spLocks/>
          </xdr:cNvSpPr>
        </xdr:nvSpPr>
        <xdr:spPr bwMode="auto">
          <a:xfrm>
            <a:off x="1266" y="305"/>
            <a:ext cx="5" cy="5"/>
          </a:xfrm>
          <a:custGeom>
            <a:avLst/>
            <a:gdLst>
              <a:gd name="T0" fmla="*/ 0 w 281"/>
              <a:gd name="T1" fmla="*/ 141 h 282"/>
              <a:gd name="T2" fmla="*/ 210 w 281"/>
              <a:gd name="T3" fmla="*/ 141 h 282"/>
              <a:gd name="T4" fmla="*/ 281 w 281"/>
              <a:gd name="T5" fmla="*/ 71 h 282"/>
              <a:gd name="T6" fmla="*/ 210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0" y="141"/>
                </a:lnTo>
                <a:lnTo>
                  <a:pt x="281" y="71"/>
                </a:lnTo>
                <a:lnTo>
                  <a:pt x="210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0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" name="Line 624">
            <a:extLst>
              <a:ext uri="{FF2B5EF4-FFF2-40B4-BE49-F238E27FC236}">
                <a16:creationId xmlns:a16="http://schemas.microsoft.com/office/drawing/2014/main" id="{EA7B31B4-8D28-4F82-BC66-3BCFE65070A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3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Freeform 625">
            <a:extLst>
              <a:ext uri="{FF2B5EF4-FFF2-40B4-BE49-F238E27FC236}">
                <a16:creationId xmlns:a16="http://schemas.microsoft.com/office/drawing/2014/main" id="{7F7E43E0-E3A2-458B-97E8-28C8F4BE8BB5}"/>
              </a:ext>
            </a:extLst>
          </xdr:cNvPr>
          <xdr:cNvSpPr>
            <a:spLocks/>
          </xdr:cNvSpPr>
        </xdr:nvSpPr>
        <xdr:spPr bwMode="auto">
          <a:xfrm>
            <a:off x="1273" y="305"/>
            <a:ext cx="5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0" name="Line 626">
            <a:extLst>
              <a:ext uri="{FF2B5EF4-FFF2-40B4-BE49-F238E27FC236}">
                <a16:creationId xmlns:a16="http://schemas.microsoft.com/office/drawing/2014/main" id="{8DCCA378-A673-4953-A885-9053B93C62FB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627">
            <a:extLst>
              <a:ext uri="{FF2B5EF4-FFF2-40B4-BE49-F238E27FC236}">
                <a16:creationId xmlns:a16="http://schemas.microsoft.com/office/drawing/2014/main" id="{21230EC7-F9AF-4ED1-B232-988BFE852E64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Freeform 628">
            <a:extLst>
              <a:ext uri="{FF2B5EF4-FFF2-40B4-BE49-F238E27FC236}">
                <a16:creationId xmlns:a16="http://schemas.microsoft.com/office/drawing/2014/main" id="{E57B8F5C-B0C4-4FC9-B33B-861BD4E8C60F}"/>
              </a:ext>
            </a:extLst>
          </xdr:cNvPr>
          <xdr:cNvSpPr>
            <a:spLocks/>
          </xdr:cNvSpPr>
        </xdr:nvSpPr>
        <xdr:spPr bwMode="auto">
          <a:xfrm>
            <a:off x="1283" y="305"/>
            <a:ext cx="4" cy="5"/>
          </a:xfrm>
          <a:custGeom>
            <a:avLst/>
            <a:gdLst>
              <a:gd name="T0" fmla="*/ 210 w 281"/>
              <a:gd name="T1" fmla="*/ 282 h 282"/>
              <a:gd name="T2" fmla="*/ 70 w 281"/>
              <a:gd name="T3" fmla="*/ 282 h 282"/>
              <a:gd name="T4" fmla="*/ 0 w 281"/>
              <a:gd name="T5" fmla="*/ 212 h 282"/>
              <a:gd name="T6" fmla="*/ 0 w 281"/>
              <a:gd name="T7" fmla="*/ 71 h 282"/>
              <a:gd name="T8" fmla="*/ 70 w 281"/>
              <a:gd name="T9" fmla="*/ 0 h 282"/>
              <a:gd name="T10" fmla="*/ 210 w 281"/>
              <a:gd name="T11" fmla="*/ 0 h 282"/>
              <a:gd name="T12" fmla="*/ 281 w 281"/>
              <a:gd name="T13" fmla="*/ 71 h 282"/>
              <a:gd name="T14" fmla="*/ 281 w 281"/>
              <a:gd name="T15" fmla="*/ 21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1" y="71"/>
                </a:lnTo>
                <a:lnTo>
                  <a:pt x="281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" name="Line 629">
            <a:extLst>
              <a:ext uri="{FF2B5EF4-FFF2-40B4-BE49-F238E27FC236}">
                <a16:creationId xmlns:a16="http://schemas.microsoft.com/office/drawing/2014/main" id="{8C048899-6A4A-4D5A-8FB0-C1FD4980B68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9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Freeform 630">
            <a:extLst>
              <a:ext uri="{FF2B5EF4-FFF2-40B4-BE49-F238E27FC236}">
                <a16:creationId xmlns:a16="http://schemas.microsoft.com/office/drawing/2014/main" id="{7EC1FCC6-F945-47CF-9796-46F9670E0A60}"/>
              </a:ext>
            </a:extLst>
          </xdr:cNvPr>
          <xdr:cNvSpPr>
            <a:spLocks/>
          </xdr:cNvSpPr>
        </xdr:nvSpPr>
        <xdr:spPr bwMode="auto">
          <a:xfrm>
            <a:off x="1290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5" name="Freeform 631">
            <a:extLst>
              <a:ext uri="{FF2B5EF4-FFF2-40B4-BE49-F238E27FC236}">
                <a16:creationId xmlns:a16="http://schemas.microsoft.com/office/drawing/2014/main" id="{3BF0B588-5F89-4782-80C3-ED2655E5EE37}"/>
              </a:ext>
            </a:extLst>
          </xdr:cNvPr>
          <xdr:cNvSpPr>
            <a:spLocks/>
          </xdr:cNvSpPr>
        </xdr:nvSpPr>
        <xdr:spPr bwMode="auto">
          <a:xfrm>
            <a:off x="864" y="189"/>
            <a:ext cx="5" cy="7"/>
          </a:xfrm>
          <a:custGeom>
            <a:avLst/>
            <a:gdLst>
              <a:gd name="T0" fmla="*/ 0 w 282"/>
              <a:gd name="T1" fmla="*/ 422 h 422"/>
              <a:gd name="T2" fmla="*/ 0 w 282"/>
              <a:gd name="T3" fmla="*/ 0 h 422"/>
              <a:gd name="T4" fmla="*/ 282 w 282"/>
              <a:gd name="T5" fmla="*/ 0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82" h="422">
                <a:moveTo>
                  <a:pt x="0" y="422"/>
                </a:moveTo>
                <a:lnTo>
                  <a:pt x="0" y="0"/>
                </a:lnTo>
                <a:lnTo>
                  <a:pt x="282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6" name="Line 632">
            <a:extLst>
              <a:ext uri="{FF2B5EF4-FFF2-40B4-BE49-F238E27FC236}">
                <a16:creationId xmlns:a16="http://schemas.microsoft.com/office/drawing/2014/main" id="{99C61DBF-D97B-4171-A9D1-A7D5AE76C2CB}"/>
              </a:ext>
            </a:extLst>
          </xdr:cNvPr>
          <xdr:cNvSpPr>
            <a:spLocks noChangeShapeType="1"/>
          </xdr:cNvSpPr>
        </xdr:nvSpPr>
        <xdr:spPr bwMode="auto">
          <a:xfrm>
            <a:off x="864" y="193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633">
            <a:extLst>
              <a:ext uri="{FF2B5EF4-FFF2-40B4-BE49-F238E27FC236}">
                <a16:creationId xmlns:a16="http://schemas.microsoft.com/office/drawing/2014/main" id="{31115FCE-85B6-4B68-B0C9-B1E49FD2620C}"/>
              </a:ext>
            </a:extLst>
          </xdr:cNvPr>
          <xdr:cNvSpPr>
            <a:spLocks noChangeShapeType="1"/>
          </xdr:cNvSpPr>
        </xdr:nvSpPr>
        <xdr:spPr bwMode="auto">
          <a:xfrm>
            <a:off x="864" y="196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Freeform 634">
            <a:extLst>
              <a:ext uri="{FF2B5EF4-FFF2-40B4-BE49-F238E27FC236}">
                <a16:creationId xmlns:a16="http://schemas.microsoft.com/office/drawing/2014/main" id="{70EB83BA-DCAB-4C56-B179-69E32340FBFE}"/>
              </a:ext>
            </a:extLst>
          </xdr:cNvPr>
          <xdr:cNvSpPr>
            <a:spLocks/>
          </xdr:cNvSpPr>
        </xdr:nvSpPr>
        <xdr:spPr bwMode="auto">
          <a:xfrm>
            <a:off x="871" y="192"/>
            <a:ext cx="4" cy="7"/>
          </a:xfrm>
          <a:custGeom>
            <a:avLst/>
            <a:gdLst>
              <a:gd name="T0" fmla="*/ 0 w 211"/>
              <a:gd name="T1" fmla="*/ 351 h 421"/>
              <a:gd name="T2" fmla="*/ 70 w 211"/>
              <a:gd name="T3" fmla="*/ 421 h 421"/>
              <a:gd name="T4" fmla="*/ 141 w 211"/>
              <a:gd name="T5" fmla="*/ 421 h 421"/>
              <a:gd name="T6" fmla="*/ 211 w 211"/>
              <a:gd name="T7" fmla="*/ 351 h 421"/>
              <a:gd name="T8" fmla="*/ 211 w 211"/>
              <a:gd name="T9" fmla="*/ 0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11" h="421">
                <a:moveTo>
                  <a:pt x="0" y="351"/>
                </a:moveTo>
                <a:lnTo>
                  <a:pt x="70" y="421"/>
                </a:lnTo>
                <a:lnTo>
                  <a:pt x="141" y="421"/>
                </a:lnTo>
                <a:lnTo>
                  <a:pt x="211" y="351"/>
                </a:lnTo>
                <a:lnTo>
                  <a:pt x="211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9" name="Line 635">
            <a:extLst>
              <a:ext uri="{FF2B5EF4-FFF2-40B4-BE49-F238E27FC236}">
                <a16:creationId xmlns:a16="http://schemas.microsoft.com/office/drawing/2014/main" id="{CC198278-3006-4DBF-9E79-0F000CFCDCFC}"/>
              </a:ext>
            </a:extLst>
          </xdr:cNvPr>
          <xdr:cNvSpPr>
            <a:spLocks noChangeShapeType="1"/>
          </xdr:cNvSpPr>
        </xdr:nvSpPr>
        <xdr:spPr bwMode="auto">
          <a:xfrm flipV="1">
            <a:off x="875" y="189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Freeform 636">
            <a:extLst>
              <a:ext uri="{FF2B5EF4-FFF2-40B4-BE49-F238E27FC236}">
                <a16:creationId xmlns:a16="http://schemas.microsoft.com/office/drawing/2014/main" id="{8344B12A-E75D-4E4C-96A6-8BA1B0C52555}"/>
              </a:ext>
            </a:extLst>
          </xdr:cNvPr>
          <xdr:cNvSpPr>
            <a:spLocks/>
          </xdr:cNvSpPr>
        </xdr:nvSpPr>
        <xdr:spPr bwMode="auto">
          <a:xfrm>
            <a:off x="877" y="192"/>
            <a:ext cx="5" cy="4"/>
          </a:xfrm>
          <a:custGeom>
            <a:avLst/>
            <a:gdLst>
              <a:gd name="T0" fmla="*/ 0 w 281"/>
              <a:gd name="T1" fmla="*/ 140 h 281"/>
              <a:gd name="T2" fmla="*/ 210 w 281"/>
              <a:gd name="T3" fmla="*/ 140 h 281"/>
              <a:gd name="T4" fmla="*/ 281 w 281"/>
              <a:gd name="T5" fmla="*/ 70 h 281"/>
              <a:gd name="T6" fmla="*/ 210 w 281"/>
              <a:gd name="T7" fmla="*/ 0 h 281"/>
              <a:gd name="T8" fmla="*/ 70 w 281"/>
              <a:gd name="T9" fmla="*/ 0 h 281"/>
              <a:gd name="T10" fmla="*/ 0 w 281"/>
              <a:gd name="T11" fmla="*/ 70 h 281"/>
              <a:gd name="T12" fmla="*/ 0 w 281"/>
              <a:gd name="T13" fmla="*/ 210 h 281"/>
              <a:gd name="T14" fmla="*/ 70 w 281"/>
              <a:gd name="T15" fmla="*/ 281 h 281"/>
              <a:gd name="T16" fmla="*/ 210 w 28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210" y="140"/>
                </a:lnTo>
                <a:lnTo>
                  <a:pt x="281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1"/>
                </a:lnTo>
                <a:lnTo>
                  <a:pt x="210" y="28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</xdr:col>
      <xdr:colOff>236604</xdr:colOff>
      <xdr:row>11</xdr:row>
      <xdr:rowOff>109497</xdr:rowOff>
    </xdr:from>
    <xdr:to>
      <xdr:col>2</xdr:col>
      <xdr:colOff>236606</xdr:colOff>
      <xdr:row>14</xdr:row>
      <xdr:rowOff>144876</xdr:rowOff>
    </xdr:to>
    <xdr:cxnSp macro="">
      <xdr:nvCxnSpPr>
        <xdr:cNvPr id="541" name="Conector recto de flecha 540">
          <a:extLst>
            <a:ext uri="{FF2B5EF4-FFF2-40B4-BE49-F238E27FC236}">
              <a16:creationId xmlns:a16="http://schemas.microsoft.com/office/drawing/2014/main" id="{AE027E63-FA58-40FF-AFDA-B45B4F16042B}"/>
            </a:ext>
          </a:extLst>
        </xdr:cNvPr>
        <xdr:cNvCxnSpPr/>
      </xdr:nvCxnSpPr>
      <xdr:spPr>
        <a:xfrm>
          <a:off x="2446404" y="2224047"/>
          <a:ext cx="2" cy="7307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</xdr:colOff>
      <xdr:row>11</xdr:row>
      <xdr:rowOff>108857</xdr:rowOff>
    </xdr:from>
    <xdr:to>
      <xdr:col>2</xdr:col>
      <xdr:colOff>228600</xdr:colOff>
      <xdr:row>11</xdr:row>
      <xdr:rowOff>108857</xdr:rowOff>
    </xdr:to>
    <xdr:cxnSp macro="">
      <xdr:nvCxnSpPr>
        <xdr:cNvPr id="542" name="Conector recto de flecha 541">
          <a:extLst>
            <a:ext uri="{FF2B5EF4-FFF2-40B4-BE49-F238E27FC236}">
              <a16:creationId xmlns:a16="http://schemas.microsoft.com/office/drawing/2014/main" id="{3482CAFC-EAAB-490B-8645-50135768456D}"/>
            </a:ext>
          </a:extLst>
        </xdr:cNvPr>
        <xdr:cNvCxnSpPr/>
      </xdr:nvCxnSpPr>
      <xdr:spPr>
        <a:xfrm flipH="1">
          <a:off x="2231571" y="2223407"/>
          <a:ext cx="2068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621907</xdr:colOff>
      <xdr:row>39</xdr:row>
      <xdr:rowOff>11350</xdr:rowOff>
    </xdr:from>
    <xdr:to>
      <xdr:col>7</xdr:col>
      <xdr:colOff>565367</xdr:colOff>
      <xdr:row>57</xdr:row>
      <xdr:rowOff>180078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id="{2B035D97-9C92-45F3-AEC1-E9449C0E25F7}"/>
            </a:ext>
          </a:extLst>
        </xdr:cNvPr>
        <xdr:cNvGrpSpPr>
          <a:grpSpLocks noChangeAspect="1"/>
        </xdr:cNvGrpSpPr>
      </xdr:nvGrpSpPr>
      <xdr:grpSpPr bwMode="auto">
        <a:xfrm>
          <a:off x="621907" y="7483615"/>
          <a:ext cx="6910317" cy="3527749"/>
          <a:chOff x="753" y="57"/>
          <a:chExt cx="550" cy="299"/>
        </a:xfrm>
      </xdr:grpSpPr>
      <xdr:sp macro="" textlink="">
        <xdr:nvSpPr>
          <xdr:cNvPr id="3" name="AutoShape 50">
            <a:extLst>
              <a:ext uri="{FF2B5EF4-FFF2-40B4-BE49-F238E27FC236}">
                <a16:creationId xmlns:a16="http://schemas.microsoft.com/office/drawing/2014/main" id="{E776DA42-2EDB-4EAF-AC19-0C0E245382EB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753" y="57"/>
            <a:ext cx="550" cy="2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grpSp>
        <xdr:nvGrpSpPr>
          <xdr:cNvPr id="4" name="Group 252">
            <a:extLst>
              <a:ext uri="{FF2B5EF4-FFF2-40B4-BE49-F238E27FC236}">
                <a16:creationId xmlns:a16="http://schemas.microsoft.com/office/drawing/2014/main" id="{BD7E2C9D-1BF1-4D2B-AEE2-DF85561F3D4E}"/>
              </a:ext>
            </a:extLst>
          </xdr:cNvPr>
          <xdr:cNvGrpSpPr>
            <a:grpSpLocks/>
          </xdr:cNvGrpSpPr>
        </xdr:nvGrpSpPr>
        <xdr:grpSpPr bwMode="auto">
          <a:xfrm>
            <a:off x="821" y="106"/>
            <a:ext cx="402" cy="191"/>
            <a:chOff x="821" y="106"/>
            <a:chExt cx="402" cy="191"/>
          </a:xfrm>
        </xdr:grpSpPr>
        <xdr:sp macro="" textlink="">
          <xdr:nvSpPr>
            <xdr:cNvPr id="341" name="Line 52">
              <a:extLst>
                <a:ext uri="{FF2B5EF4-FFF2-40B4-BE49-F238E27FC236}">
                  <a16:creationId xmlns:a16="http://schemas.microsoft.com/office/drawing/2014/main" id="{CF4C7E24-1E40-4335-A8C3-E77FEE98D83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23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2" name="Line 53">
              <a:extLst>
                <a:ext uri="{FF2B5EF4-FFF2-40B4-BE49-F238E27FC236}">
                  <a16:creationId xmlns:a16="http://schemas.microsoft.com/office/drawing/2014/main" id="{5734AE95-83A1-4967-89C4-77820FBAFC2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32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3" name="Line 54">
              <a:extLst>
                <a:ext uri="{FF2B5EF4-FFF2-40B4-BE49-F238E27FC236}">
                  <a16:creationId xmlns:a16="http://schemas.microsoft.com/office/drawing/2014/main" id="{6D0AE0FE-3F68-40F7-9EA6-F6362279E8A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0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4" name="Line 55">
              <a:extLst>
                <a:ext uri="{FF2B5EF4-FFF2-40B4-BE49-F238E27FC236}">
                  <a16:creationId xmlns:a16="http://schemas.microsoft.com/office/drawing/2014/main" id="{A3BBA94E-CA10-4C02-96CC-4AAE874B175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9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5" name="Line 56">
              <a:extLst>
                <a:ext uri="{FF2B5EF4-FFF2-40B4-BE49-F238E27FC236}">
                  <a16:creationId xmlns:a16="http://schemas.microsoft.com/office/drawing/2014/main" id="{09743BF5-6E8E-4322-8628-CCC85E4007A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57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6" name="Line 57">
              <a:extLst>
                <a:ext uri="{FF2B5EF4-FFF2-40B4-BE49-F238E27FC236}">
                  <a16:creationId xmlns:a16="http://schemas.microsoft.com/office/drawing/2014/main" id="{FAC74078-3195-4B1F-B7B3-92A6938E42D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66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7" name="Line 58">
              <a:extLst>
                <a:ext uri="{FF2B5EF4-FFF2-40B4-BE49-F238E27FC236}">
                  <a16:creationId xmlns:a16="http://schemas.microsoft.com/office/drawing/2014/main" id="{6E7C273C-4FC6-41FC-B16C-FD6316A3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74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8" name="Line 59">
              <a:extLst>
                <a:ext uri="{FF2B5EF4-FFF2-40B4-BE49-F238E27FC236}">
                  <a16:creationId xmlns:a16="http://schemas.microsoft.com/office/drawing/2014/main" id="{EF22E245-4702-410F-8B95-8C3330BE883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83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9" name="Line 60">
              <a:extLst>
                <a:ext uri="{FF2B5EF4-FFF2-40B4-BE49-F238E27FC236}">
                  <a16:creationId xmlns:a16="http://schemas.microsoft.com/office/drawing/2014/main" id="{5BEB2FB2-066D-41DC-9E76-22994C0C0D8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91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0" name="Line 61">
              <a:extLst>
                <a:ext uri="{FF2B5EF4-FFF2-40B4-BE49-F238E27FC236}">
                  <a16:creationId xmlns:a16="http://schemas.microsoft.com/office/drawing/2014/main" id="{14EF7BE6-49A9-4E36-85EE-E3CACB2D6BA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0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1" name="Line 62">
              <a:extLst>
                <a:ext uri="{FF2B5EF4-FFF2-40B4-BE49-F238E27FC236}">
                  <a16:creationId xmlns:a16="http://schemas.microsoft.com/office/drawing/2014/main" id="{1393B114-EA9A-4AFE-A8D6-8876F7FF896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8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2" name="Line 63">
              <a:extLst>
                <a:ext uri="{FF2B5EF4-FFF2-40B4-BE49-F238E27FC236}">
                  <a16:creationId xmlns:a16="http://schemas.microsoft.com/office/drawing/2014/main" id="{DF5513C9-1FE5-4908-9C58-8452E593407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17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3" name="Line 64">
              <a:extLst>
                <a:ext uri="{FF2B5EF4-FFF2-40B4-BE49-F238E27FC236}">
                  <a16:creationId xmlns:a16="http://schemas.microsoft.com/office/drawing/2014/main" id="{E4C556B1-2FE2-43AA-AF06-42FC101E377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25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4" name="Line 65">
              <a:extLst>
                <a:ext uri="{FF2B5EF4-FFF2-40B4-BE49-F238E27FC236}">
                  <a16:creationId xmlns:a16="http://schemas.microsoft.com/office/drawing/2014/main" id="{B7A47265-5286-4176-9A11-7622D306FD5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34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5" name="Line 66">
              <a:extLst>
                <a:ext uri="{FF2B5EF4-FFF2-40B4-BE49-F238E27FC236}">
                  <a16:creationId xmlns:a16="http://schemas.microsoft.com/office/drawing/2014/main" id="{9D2B9465-AE73-4C75-B496-64837B3B76B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42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6" name="Line 67">
              <a:extLst>
                <a:ext uri="{FF2B5EF4-FFF2-40B4-BE49-F238E27FC236}">
                  <a16:creationId xmlns:a16="http://schemas.microsoft.com/office/drawing/2014/main" id="{489369F6-5E4E-40B4-9BB9-22AA35AFE43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1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7" name="Line 68">
              <a:extLst>
                <a:ext uri="{FF2B5EF4-FFF2-40B4-BE49-F238E27FC236}">
                  <a16:creationId xmlns:a16="http://schemas.microsoft.com/office/drawing/2014/main" id="{0FC1D73C-9D89-4B1A-9921-74184246D6E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9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8" name="Line 69">
              <a:extLst>
                <a:ext uri="{FF2B5EF4-FFF2-40B4-BE49-F238E27FC236}">
                  <a16:creationId xmlns:a16="http://schemas.microsoft.com/office/drawing/2014/main" id="{FCE2C4FA-2153-40A8-A156-45D07185C00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68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9" name="Line 70">
              <a:extLst>
                <a:ext uri="{FF2B5EF4-FFF2-40B4-BE49-F238E27FC236}">
                  <a16:creationId xmlns:a16="http://schemas.microsoft.com/office/drawing/2014/main" id="{5616E39D-BE61-4A27-AABF-DD05F290392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76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0" name="Line 71">
              <a:extLst>
                <a:ext uri="{FF2B5EF4-FFF2-40B4-BE49-F238E27FC236}">
                  <a16:creationId xmlns:a16="http://schemas.microsoft.com/office/drawing/2014/main" id="{498909DD-8E5B-4F74-958B-3BA9F67BBAF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5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1" name="Line 72">
              <a:extLst>
                <a:ext uri="{FF2B5EF4-FFF2-40B4-BE49-F238E27FC236}">
                  <a16:creationId xmlns:a16="http://schemas.microsoft.com/office/drawing/2014/main" id="{D049CE63-9AC1-4DC9-A7AD-281918065AC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8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2" name="Line 73">
              <a:extLst>
                <a:ext uri="{FF2B5EF4-FFF2-40B4-BE49-F238E27FC236}">
                  <a16:creationId xmlns:a16="http://schemas.microsoft.com/office/drawing/2014/main" id="{294D5B74-86BC-4B66-A54C-E9983D31124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3" name="Line 74">
              <a:extLst>
                <a:ext uri="{FF2B5EF4-FFF2-40B4-BE49-F238E27FC236}">
                  <a16:creationId xmlns:a16="http://schemas.microsoft.com/office/drawing/2014/main" id="{88752561-FE45-4ED5-9CBE-46D2262E7D3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8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4" name="Line 75">
              <a:extLst>
                <a:ext uri="{FF2B5EF4-FFF2-40B4-BE49-F238E27FC236}">
                  <a16:creationId xmlns:a16="http://schemas.microsoft.com/office/drawing/2014/main" id="{88CED2F2-5BB4-4626-A8FF-3B4A380C949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7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5" name="Line 76">
              <a:extLst>
                <a:ext uri="{FF2B5EF4-FFF2-40B4-BE49-F238E27FC236}">
                  <a16:creationId xmlns:a16="http://schemas.microsoft.com/office/drawing/2014/main" id="{FD9F9C29-D84F-441B-A944-555370F0813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6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6" name="Line 77">
              <a:extLst>
                <a:ext uri="{FF2B5EF4-FFF2-40B4-BE49-F238E27FC236}">
                  <a16:creationId xmlns:a16="http://schemas.microsoft.com/office/drawing/2014/main" id="{3FC77E92-CEF4-40E3-B292-B32314AEDB6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5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7" name="Line 78">
              <a:extLst>
                <a:ext uri="{FF2B5EF4-FFF2-40B4-BE49-F238E27FC236}">
                  <a16:creationId xmlns:a16="http://schemas.microsoft.com/office/drawing/2014/main" id="{7090FC43-A4B3-4762-B137-439175D0F8E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47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8" name="Line 79">
              <a:extLst>
                <a:ext uri="{FF2B5EF4-FFF2-40B4-BE49-F238E27FC236}">
                  <a16:creationId xmlns:a16="http://schemas.microsoft.com/office/drawing/2014/main" id="{19B0DDF2-DDC3-4C74-80F5-C7ACD8E1556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9" name="Line 80">
              <a:extLst>
                <a:ext uri="{FF2B5EF4-FFF2-40B4-BE49-F238E27FC236}">
                  <a16:creationId xmlns:a16="http://schemas.microsoft.com/office/drawing/2014/main" id="{9292E5BA-3277-45BD-BF3F-E7CE522FF7C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0" name="Line 81">
              <a:extLst>
                <a:ext uri="{FF2B5EF4-FFF2-40B4-BE49-F238E27FC236}">
                  <a16:creationId xmlns:a16="http://schemas.microsoft.com/office/drawing/2014/main" id="{EC5EF872-7EFA-44AB-B6A2-13B399BCF09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2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1" name="Line 82">
              <a:extLst>
                <a:ext uri="{FF2B5EF4-FFF2-40B4-BE49-F238E27FC236}">
                  <a16:creationId xmlns:a16="http://schemas.microsoft.com/office/drawing/2014/main" id="{81D8FAED-5918-4F2F-AE63-35CFDC41685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1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2" name="Line 83">
              <a:extLst>
                <a:ext uri="{FF2B5EF4-FFF2-40B4-BE49-F238E27FC236}">
                  <a16:creationId xmlns:a16="http://schemas.microsoft.com/office/drawing/2014/main" id="{3E5205BC-398D-41F2-9212-CA124BA76D5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3" name="Freeform 84">
              <a:extLst>
                <a:ext uri="{FF2B5EF4-FFF2-40B4-BE49-F238E27FC236}">
                  <a16:creationId xmlns:a16="http://schemas.microsoft.com/office/drawing/2014/main" id="{A80F97CE-441D-4B43-A391-4D66175EA68A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105 h 105"/>
                <a:gd name="T2" fmla="*/ 1979 w 1979"/>
                <a:gd name="T3" fmla="*/ 0 h 105"/>
                <a:gd name="T4" fmla="*/ 0 w 1979"/>
                <a:gd name="T5" fmla="*/ 105 h 105"/>
                <a:gd name="T6" fmla="*/ 1979 w 197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105"/>
                  </a:moveTo>
                  <a:lnTo>
                    <a:pt x="1979" y="0"/>
                  </a:lnTo>
                  <a:lnTo>
                    <a:pt x="0" y="105"/>
                  </a:lnTo>
                  <a:lnTo>
                    <a:pt x="1979" y="10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4" name="Freeform 85">
              <a:extLst>
                <a:ext uri="{FF2B5EF4-FFF2-40B4-BE49-F238E27FC236}">
                  <a16:creationId xmlns:a16="http://schemas.microsoft.com/office/drawing/2014/main" id="{32D16989-D833-449A-BB60-FF13B76D0EC3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0 h 105"/>
                <a:gd name="T2" fmla="*/ 0 w 1979"/>
                <a:gd name="T3" fmla="*/ 105 h 105"/>
                <a:gd name="T4" fmla="*/ 18 w 1979"/>
                <a:gd name="T5" fmla="*/ 0 h 105"/>
                <a:gd name="T6" fmla="*/ 1979 w 1979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0"/>
                  </a:moveTo>
                  <a:lnTo>
                    <a:pt x="0" y="105"/>
                  </a:lnTo>
                  <a:lnTo>
                    <a:pt x="18" y="0"/>
                  </a:lnTo>
                  <a:lnTo>
                    <a:pt x="197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5" name="Freeform 86">
              <a:extLst>
                <a:ext uri="{FF2B5EF4-FFF2-40B4-BE49-F238E27FC236}">
                  <a16:creationId xmlns:a16="http://schemas.microsoft.com/office/drawing/2014/main" id="{B18B752A-2E66-4F87-9E49-A3A1BE488289}"/>
                </a:ext>
              </a:extLst>
            </xdr:cNvPr>
            <xdr:cNvSpPr>
              <a:spLocks/>
            </xdr:cNvSpPr>
          </xdr:nvSpPr>
          <xdr:spPr bwMode="auto">
            <a:xfrm>
              <a:off x="1028" y="238"/>
              <a:ext cx="162" cy="59"/>
            </a:xfrm>
            <a:custGeom>
              <a:avLst/>
              <a:gdLst>
                <a:gd name="T0" fmla="*/ 9523 w 9541"/>
                <a:gd name="T1" fmla="*/ 3477 h 3477"/>
                <a:gd name="T2" fmla="*/ 9541 w 9541"/>
                <a:gd name="T3" fmla="*/ 3372 h 3477"/>
                <a:gd name="T4" fmla="*/ 0 w 9541"/>
                <a:gd name="T5" fmla="*/ 0 h 3477"/>
                <a:gd name="T6" fmla="*/ 9523 w 9541"/>
                <a:gd name="T7" fmla="*/ 3477 h 34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7">
                  <a:moveTo>
                    <a:pt x="9523" y="3477"/>
                  </a:moveTo>
                  <a:lnTo>
                    <a:pt x="9541" y="3372"/>
                  </a:lnTo>
                  <a:lnTo>
                    <a:pt x="0" y="0"/>
                  </a:lnTo>
                  <a:lnTo>
                    <a:pt x="9523" y="347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6" name="Freeform 87">
              <a:extLst>
                <a:ext uri="{FF2B5EF4-FFF2-40B4-BE49-F238E27FC236}">
                  <a16:creationId xmlns:a16="http://schemas.microsoft.com/office/drawing/2014/main" id="{005E0BAA-30EF-4D8B-8C2F-A8B688F9D200}"/>
                </a:ext>
              </a:extLst>
            </xdr:cNvPr>
            <xdr:cNvSpPr>
              <a:spLocks/>
            </xdr:cNvSpPr>
          </xdr:nvSpPr>
          <xdr:spPr bwMode="auto">
            <a:xfrm>
              <a:off x="1028" y="237"/>
              <a:ext cx="162" cy="59"/>
            </a:xfrm>
            <a:custGeom>
              <a:avLst/>
              <a:gdLst>
                <a:gd name="T0" fmla="*/ 9541 w 9541"/>
                <a:gd name="T1" fmla="*/ 3478 h 3478"/>
                <a:gd name="T2" fmla="*/ 0 w 9541"/>
                <a:gd name="T3" fmla="*/ 106 h 3478"/>
                <a:gd name="T4" fmla="*/ 18 w 9541"/>
                <a:gd name="T5" fmla="*/ 0 h 3478"/>
                <a:gd name="T6" fmla="*/ 9541 w 9541"/>
                <a:gd name="T7" fmla="*/ 3478 h 34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8">
                  <a:moveTo>
                    <a:pt x="9541" y="3478"/>
                  </a:moveTo>
                  <a:lnTo>
                    <a:pt x="0" y="106"/>
                  </a:lnTo>
                  <a:lnTo>
                    <a:pt x="18" y="0"/>
                  </a:lnTo>
                  <a:lnTo>
                    <a:pt x="9541" y="3478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7" name="Freeform 88">
              <a:extLst>
                <a:ext uri="{FF2B5EF4-FFF2-40B4-BE49-F238E27FC236}">
                  <a16:creationId xmlns:a16="http://schemas.microsoft.com/office/drawing/2014/main" id="{D6CFD0AF-5F2D-47BD-BDD6-91D382AB41C9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35 w 11553"/>
                <a:gd name="T1" fmla="*/ 106 h 106"/>
                <a:gd name="T2" fmla="*/ 11553 w 11553"/>
                <a:gd name="T3" fmla="*/ 0 h 106"/>
                <a:gd name="T4" fmla="*/ 0 w 11553"/>
                <a:gd name="T5" fmla="*/ 106 h 106"/>
                <a:gd name="T6" fmla="*/ 11535 w 11553"/>
                <a:gd name="T7" fmla="*/ 106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35" y="106"/>
                  </a:moveTo>
                  <a:lnTo>
                    <a:pt x="11553" y="0"/>
                  </a:lnTo>
                  <a:lnTo>
                    <a:pt x="0" y="106"/>
                  </a:lnTo>
                  <a:lnTo>
                    <a:pt x="11535" y="10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8" name="Freeform 89">
              <a:extLst>
                <a:ext uri="{FF2B5EF4-FFF2-40B4-BE49-F238E27FC236}">
                  <a16:creationId xmlns:a16="http://schemas.microsoft.com/office/drawing/2014/main" id="{24842E2E-575D-4AB8-A1AF-5F4F15E9279C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53 w 11553"/>
                <a:gd name="T1" fmla="*/ 0 h 106"/>
                <a:gd name="T2" fmla="*/ 0 w 11553"/>
                <a:gd name="T3" fmla="*/ 106 h 106"/>
                <a:gd name="T4" fmla="*/ 0 w 11553"/>
                <a:gd name="T5" fmla="*/ 0 h 106"/>
                <a:gd name="T6" fmla="*/ 11553 w 115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53" y="0"/>
                  </a:moveTo>
                  <a:lnTo>
                    <a:pt x="0" y="106"/>
                  </a:lnTo>
                  <a:lnTo>
                    <a:pt x="0" y="0"/>
                  </a:lnTo>
                  <a:lnTo>
                    <a:pt x="1155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9" name="Freeform 90">
              <a:extLst>
                <a:ext uri="{FF2B5EF4-FFF2-40B4-BE49-F238E27FC236}">
                  <a16:creationId xmlns:a16="http://schemas.microsoft.com/office/drawing/2014/main" id="{352B69AB-7D21-4746-9426-582D14986233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76"/>
                <a:gd name="T1" fmla="*/ 7696 h 7794"/>
                <a:gd name="T2" fmla="*/ 36 w 21076"/>
                <a:gd name="T3" fmla="*/ 7794 h 7794"/>
                <a:gd name="T4" fmla="*/ 21076 w 21076"/>
                <a:gd name="T5" fmla="*/ 0 h 7794"/>
                <a:gd name="T6" fmla="*/ 0 w 21076"/>
                <a:gd name="T7" fmla="*/ 7696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76" h="7794">
                  <a:moveTo>
                    <a:pt x="0" y="7696"/>
                  </a:moveTo>
                  <a:lnTo>
                    <a:pt x="36" y="7794"/>
                  </a:lnTo>
                  <a:lnTo>
                    <a:pt x="21076" y="0"/>
                  </a:lnTo>
                  <a:lnTo>
                    <a:pt x="0" y="769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0" name="Freeform 91">
              <a:extLst>
                <a:ext uri="{FF2B5EF4-FFF2-40B4-BE49-F238E27FC236}">
                  <a16:creationId xmlns:a16="http://schemas.microsoft.com/office/drawing/2014/main" id="{1AE23676-7062-4650-B0E6-CCD9C6589947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58"/>
                <a:gd name="T1" fmla="*/ 7794 h 7794"/>
                <a:gd name="T2" fmla="*/ 21040 w 21058"/>
                <a:gd name="T3" fmla="*/ 0 h 7794"/>
                <a:gd name="T4" fmla="*/ 21058 w 21058"/>
                <a:gd name="T5" fmla="*/ 107 h 7794"/>
                <a:gd name="T6" fmla="*/ 0 w 21058"/>
                <a:gd name="T7" fmla="*/ 7794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58" h="7794">
                  <a:moveTo>
                    <a:pt x="0" y="7794"/>
                  </a:moveTo>
                  <a:lnTo>
                    <a:pt x="21040" y="0"/>
                  </a:lnTo>
                  <a:lnTo>
                    <a:pt x="21058" y="107"/>
                  </a:lnTo>
                  <a:lnTo>
                    <a:pt x="0" y="779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1" name="Freeform 92">
              <a:extLst>
                <a:ext uri="{FF2B5EF4-FFF2-40B4-BE49-F238E27FC236}">
                  <a16:creationId xmlns:a16="http://schemas.microsoft.com/office/drawing/2014/main" id="{51FE02DE-5E8A-46BE-BDE9-813152240CC1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79"/>
                <a:gd name="T1" fmla="*/ 0 h 107"/>
                <a:gd name="T2" fmla="*/ 18 w 1979"/>
                <a:gd name="T3" fmla="*/ 107 h 107"/>
                <a:gd name="T4" fmla="*/ 1979 w 1979"/>
                <a:gd name="T5" fmla="*/ 0 h 107"/>
                <a:gd name="T6" fmla="*/ 0 w 1979"/>
                <a:gd name="T7" fmla="*/ 0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7">
                  <a:moveTo>
                    <a:pt x="0" y="0"/>
                  </a:moveTo>
                  <a:lnTo>
                    <a:pt x="18" y="107"/>
                  </a:lnTo>
                  <a:lnTo>
                    <a:pt x="1979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2" name="Freeform 93">
              <a:extLst>
                <a:ext uri="{FF2B5EF4-FFF2-40B4-BE49-F238E27FC236}">
                  <a16:creationId xmlns:a16="http://schemas.microsoft.com/office/drawing/2014/main" id="{1DAFC96B-6685-4621-BA46-7A96EE0428DA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61"/>
                <a:gd name="T1" fmla="*/ 107 h 107"/>
                <a:gd name="T2" fmla="*/ 1961 w 1961"/>
                <a:gd name="T3" fmla="*/ 0 h 107"/>
                <a:gd name="T4" fmla="*/ 1961 w 1961"/>
                <a:gd name="T5" fmla="*/ 107 h 107"/>
                <a:gd name="T6" fmla="*/ 0 w 1961"/>
                <a:gd name="T7" fmla="*/ 107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61" h="107">
                  <a:moveTo>
                    <a:pt x="0" y="107"/>
                  </a:moveTo>
                  <a:lnTo>
                    <a:pt x="1961" y="0"/>
                  </a:lnTo>
                  <a:lnTo>
                    <a:pt x="1961" y="107"/>
                  </a:lnTo>
                  <a:lnTo>
                    <a:pt x="0" y="10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3" name="Line 94">
              <a:extLst>
                <a:ext uri="{FF2B5EF4-FFF2-40B4-BE49-F238E27FC236}">
                  <a16:creationId xmlns:a16="http://schemas.microsoft.com/office/drawing/2014/main" id="{CB08E88D-5E72-4E37-B733-A253C09F6D6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928" y="202"/>
              <a:ext cx="262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4" name="Line 95">
              <a:extLst>
                <a:ext uri="{FF2B5EF4-FFF2-40B4-BE49-F238E27FC236}">
                  <a16:creationId xmlns:a16="http://schemas.microsoft.com/office/drawing/2014/main" id="{6BE728BF-6F7A-429E-8A10-5BC68D53B2C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93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5" name="Line 96">
              <a:extLst>
                <a:ext uri="{FF2B5EF4-FFF2-40B4-BE49-F238E27FC236}">
                  <a16:creationId xmlns:a16="http://schemas.microsoft.com/office/drawing/2014/main" id="{B186CB79-BE63-40E0-8BA1-44C88C48216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8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6" name="Line 97">
              <a:extLst>
                <a:ext uri="{FF2B5EF4-FFF2-40B4-BE49-F238E27FC236}">
                  <a16:creationId xmlns:a16="http://schemas.microsoft.com/office/drawing/2014/main" id="{36E9B2DB-873B-4FF9-8970-D260C7FBAC0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7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7" name="Line 98">
              <a:extLst>
                <a:ext uri="{FF2B5EF4-FFF2-40B4-BE49-F238E27FC236}">
                  <a16:creationId xmlns:a16="http://schemas.microsoft.com/office/drawing/2014/main" id="{901FC0CD-AEFD-43C4-A600-A2398C88B61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6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8" name="Line 99">
              <a:extLst>
                <a:ext uri="{FF2B5EF4-FFF2-40B4-BE49-F238E27FC236}">
                  <a16:creationId xmlns:a16="http://schemas.microsoft.com/office/drawing/2014/main" id="{FFC2F458-945A-4889-95AB-58D035E5A2C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9" name="Line 100">
              <a:extLst>
                <a:ext uri="{FF2B5EF4-FFF2-40B4-BE49-F238E27FC236}">
                  <a16:creationId xmlns:a16="http://schemas.microsoft.com/office/drawing/2014/main" id="{F4CE37BF-2586-4AA6-839E-1F6BCC9AFA4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0" name="Line 101">
              <a:extLst>
                <a:ext uri="{FF2B5EF4-FFF2-40B4-BE49-F238E27FC236}">
                  <a16:creationId xmlns:a16="http://schemas.microsoft.com/office/drawing/2014/main" id="{8E97E3A2-968B-47B3-AA3A-08868E953FC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4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1" name="Line 102">
              <a:extLst>
                <a:ext uri="{FF2B5EF4-FFF2-40B4-BE49-F238E27FC236}">
                  <a16:creationId xmlns:a16="http://schemas.microsoft.com/office/drawing/2014/main" id="{CF575FC3-8F64-47C3-B8D8-ACC9A6544FE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3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2" name="Line 103">
              <a:extLst>
                <a:ext uri="{FF2B5EF4-FFF2-40B4-BE49-F238E27FC236}">
                  <a16:creationId xmlns:a16="http://schemas.microsoft.com/office/drawing/2014/main" id="{078CB110-2098-48DF-B2A2-22448A2F50A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2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3" name="Line 104">
              <a:extLst>
                <a:ext uri="{FF2B5EF4-FFF2-40B4-BE49-F238E27FC236}">
                  <a16:creationId xmlns:a16="http://schemas.microsoft.com/office/drawing/2014/main" id="{BBEDF083-E79D-4BAD-9F9F-7C91A13D6C2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1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4" name="Line 105">
              <a:extLst>
                <a:ext uri="{FF2B5EF4-FFF2-40B4-BE49-F238E27FC236}">
                  <a16:creationId xmlns:a16="http://schemas.microsoft.com/office/drawing/2014/main" id="{80B8DEF7-0699-4A9C-A19B-21834AD0CBD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5" name="Line 106">
              <a:extLst>
                <a:ext uri="{FF2B5EF4-FFF2-40B4-BE49-F238E27FC236}">
                  <a16:creationId xmlns:a16="http://schemas.microsoft.com/office/drawing/2014/main" id="{5A41F23A-3405-40C8-AE2D-1548C13A049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2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6" name="Line 107">
              <a:extLst>
                <a:ext uri="{FF2B5EF4-FFF2-40B4-BE49-F238E27FC236}">
                  <a16:creationId xmlns:a16="http://schemas.microsoft.com/office/drawing/2014/main" id="{D5B82847-4277-4F20-87E4-C885E27C6DB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7" name="Line 108">
              <a:extLst>
                <a:ext uri="{FF2B5EF4-FFF2-40B4-BE49-F238E27FC236}">
                  <a16:creationId xmlns:a16="http://schemas.microsoft.com/office/drawing/2014/main" id="{E73174A3-BD64-479A-B300-073091710EE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8" name="Line 109">
              <a:extLst>
                <a:ext uri="{FF2B5EF4-FFF2-40B4-BE49-F238E27FC236}">
                  <a16:creationId xmlns:a16="http://schemas.microsoft.com/office/drawing/2014/main" id="{FC514A35-6500-4E14-ADFC-D27B711FF0A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9" name="Line 110">
              <a:extLst>
                <a:ext uri="{FF2B5EF4-FFF2-40B4-BE49-F238E27FC236}">
                  <a16:creationId xmlns:a16="http://schemas.microsoft.com/office/drawing/2014/main" id="{4E38111B-79B9-49AF-9247-8E09401E756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0" name="Line 111">
              <a:extLst>
                <a:ext uri="{FF2B5EF4-FFF2-40B4-BE49-F238E27FC236}">
                  <a16:creationId xmlns:a16="http://schemas.microsoft.com/office/drawing/2014/main" id="{995C2CCF-A495-47D3-BBDC-928E031420F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1" name="Line 112">
              <a:extLst>
                <a:ext uri="{FF2B5EF4-FFF2-40B4-BE49-F238E27FC236}">
                  <a16:creationId xmlns:a16="http://schemas.microsoft.com/office/drawing/2014/main" id="{E59E9AD6-3060-4217-9E7A-D587D964D82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2" name="Line 113">
              <a:extLst>
                <a:ext uri="{FF2B5EF4-FFF2-40B4-BE49-F238E27FC236}">
                  <a16:creationId xmlns:a16="http://schemas.microsoft.com/office/drawing/2014/main" id="{014CBB6B-B652-4056-A179-701D671D0C4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3" name="Line 114">
              <a:extLst>
                <a:ext uri="{FF2B5EF4-FFF2-40B4-BE49-F238E27FC236}">
                  <a16:creationId xmlns:a16="http://schemas.microsoft.com/office/drawing/2014/main" id="{281DF4E0-A87C-4E51-8FE8-64795E608AF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4" name="Line 115">
              <a:extLst>
                <a:ext uri="{FF2B5EF4-FFF2-40B4-BE49-F238E27FC236}">
                  <a16:creationId xmlns:a16="http://schemas.microsoft.com/office/drawing/2014/main" id="{795672E4-4275-4D01-BED3-C1AFDEC33BC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5" name="Line 116">
              <a:extLst>
                <a:ext uri="{FF2B5EF4-FFF2-40B4-BE49-F238E27FC236}">
                  <a16:creationId xmlns:a16="http://schemas.microsoft.com/office/drawing/2014/main" id="{A2F3A4F4-9BF1-41D0-B204-3C1AA39D2C4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6" name="Line 117">
              <a:extLst>
                <a:ext uri="{FF2B5EF4-FFF2-40B4-BE49-F238E27FC236}">
                  <a16:creationId xmlns:a16="http://schemas.microsoft.com/office/drawing/2014/main" id="{8B9D84EA-906D-4947-828C-5D11DB20CB8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7" name="Line 118">
              <a:extLst>
                <a:ext uri="{FF2B5EF4-FFF2-40B4-BE49-F238E27FC236}">
                  <a16:creationId xmlns:a16="http://schemas.microsoft.com/office/drawing/2014/main" id="{3B6B7D44-18D1-41F8-99A3-093D76D240D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8" name="Line 119">
              <a:extLst>
                <a:ext uri="{FF2B5EF4-FFF2-40B4-BE49-F238E27FC236}">
                  <a16:creationId xmlns:a16="http://schemas.microsoft.com/office/drawing/2014/main" id="{506C01C3-7AF3-4FF1-BB9E-AFD357CE53D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9" name="Line 120">
              <a:extLst>
                <a:ext uri="{FF2B5EF4-FFF2-40B4-BE49-F238E27FC236}">
                  <a16:creationId xmlns:a16="http://schemas.microsoft.com/office/drawing/2014/main" id="{B4C14FDF-DA37-4C6A-9292-60DFF0A87F6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0" name="Line 121">
              <a:extLst>
                <a:ext uri="{FF2B5EF4-FFF2-40B4-BE49-F238E27FC236}">
                  <a16:creationId xmlns:a16="http://schemas.microsoft.com/office/drawing/2014/main" id="{4033A091-6927-4D35-ACFE-324237B2D84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1" name="Line 122">
              <a:extLst>
                <a:ext uri="{FF2B5EF4-FFF2-40B4-BE49-F238E27FC236}">
                  <a16:creationId xmlns:a16="http://schemas.microsoft.com/office/drawing/2014/main" id="{6A26E1B0-F5B3-4CEE-96EB-786BA1499DB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2" name="Line 123">
              <a:extLst>
                <a:ext uri="{FF2B5EF4-FFF2-40B4-BE49-F238E27FC236}">
                  <a16:creationId xmlns:a16="http://schemas.microsoft.com/office/drawing/2014/main" id="{550AE13B-D7A6-4A05-BB4C-A3BD9024744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3" name="Line 124">
              <a:extLst>
                <a:ext uri="{FF2B5EF4-FFF2-40B4-BE49-F238E27FC236}">
                  <a16:creationId xmlns:a16="http://schemas.microsoft.com/office/drawing/2014/main" id="{25E9F01F-2DC0-4110-8037-CA03FF5E242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4" name="Line 125">
              <a:extLst>
                <a:ext uri="{FF2B5EF4-FFF2-40B4-BE49-F238E27FC236}">
                  <a16:creationId xmlns:a16="http://schemas.microsoft.com/office/drawing/2014/main" id="{DD9F69E0-1901-4A24-9E05-E070CABDFBE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5" name="Line 126">
              <a:extLst>
                <a:ext uri="{FF2B5EF4-FFF2-40B4-BE49-F238E27FC236}">
                  <a16:creationId xmlns:a16="http://schemas.microsoft.com/office/drawing/2014/main" id="{F342703F-B0E5-4659-AAED-83F9099F4BC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6" name="Line 127">
              <a:extLst>
                <a:ext uri="{FF2B5EF4-FFF2-40B4-BE49-F238E27FC236}">
                  <a16:creationId xmlns:a16="http://schemas.microsoft.com/office/drawing/2014/main" id="{04694988-D034-430A-9ED4-B0CC743EC0F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7" name="Line 128">
              <a:extLst>
                <a:ext uri="{FF2B5EF4-FFF2-40B4-BE49-F238E27FC236}">
                  <a16:creationId xmlns:a16="http://schemas.microsoft.com/office/drawing/2014/main" id="{4C654770-5886-4681-B04D-3C964DB3D91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8" name="Line 129">
              <a:extLst>
                <a:ext uri="{FF2B5EF4-FFF2-40B4-BE49-F238E27FC236}">
                  <a16:creationId xmlns:a16="http://schemas.microsoft.com/office/drawing/2014/main" id="{372BAF39-26E1-4B34-AB0B-455D90324C6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9" name="Line 130">
              <a:extLst>
                <a:ext uri="{FF2B5EF4-FFF2-40B4-BE49-F238E27FC236}">
                  <a16:creationId xmlns:a16="http://schemas.microsoft.com/office/drawing/2014/main" id="{B15535C1-3AA9-4042-82CB-DDCE9F0D0C9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0" name="Line 131">
              <a:extLst>
                <a:ext uri="{FF2B5EF4-FFF2-40B4-BE49-F238E27FC236}">
                  <a16:creationId xmlns:a16="http://schemas.microsoft.com/office/drawing/2014/main" id="{98261035-89B0-4491-8EA1-AF593942031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1" name="Line 132">
              <a:extLst>
                <a:ext uri="{FF2B5EF4-FFF2-40B4-BE49-F238E27FC236}">
                  <a16:creationId xmlns:a16="http://schemas.microsoft.com/office/drawing/2014/main" id="{4FCEA68A-3A8A-47C9-A690-8078A16B53C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2" name="Line 133">
              <a:extLst>
                <a:ext uri="{FF2B5EF4-FFF2-40B4-BE49-F238E27FC236}">
                  <a16:creationId xmlns:a16="http://schemas.microsoft.com/office/drawing/2014/main" id="{29A513F6-7325-4A4E-A714-E9E12753371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3" name="Line 134">
              <a:extLst>
                <a:ext uri="{FF2B5EF4-FFF2-40B4-BE49-F238E27FC236}">
                  <a16:creationId xmlns:a16="http://schemas.microsoft.com/office/drawing/2014/main" id="{6A7599B6-85D8-4F4C-BC7C-0E36F4AA6DB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4" name="Line 135">
              <a:extLst>
                <a:ext uri="{FF2B5EF4-FFF2-40B4-BE49-F238E27FC236}">
                  <a16:creationId xmlns:a16="http://schemas.microsoft.com/office/drawing/2014/main" id="{F46BD3CD-D62F-49E9-AA7E-B3E65C3040E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5" name="Line 136">
              <a:extLst>
                <a:ext uri="{FF2B5EF4-FFF2-40B4-BE49-F238E27FC236}">
                  <a16:creationId xmlns:a16="http://schemas.microsoft.com/office/drawing/2014/main" id="{0AE17464-8FDB-4A16-A09E-D39EE3E2184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6" name="Line 137">
              <a:extLst>
                <a:ext uri="{FF2B5EF4-FFF2-40B4-BE49-F238E27FC236}">
                  <a16:creationId xmlns:a16="http://schemas.microsoft.com/office/drawing/2014/main" id="{6382FC16-CB0C-47DD-BA59-5C569A0C23E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7" name="Line 138">
              <a:extLst>
                <a:ext uri="{FF2B5EF4-FFF2-40B4-BE49-F238E27FC236}">
                  <a16:creationId xmlns:a16="http://schemas.microsoft.com/office/drawing/2014/main" id="{B430295E-2A1B-42AF-8F87-05C7205F689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8" name="Line 139">
              <a:extLst>
                <a:ext uri="{FF2B5EF4-FFF2-40B4-BE49-F238E27FC236}">
                  <a16:creationId xmlns:a16="http://schemas.microsoft.com/office/drawing/2014/main" id="{3CC4F53C-D9B2-4C6D-88AA-06F67A87D50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9" name="Line 140">
              <a:extLst>
                <a:ext uri="{FF2B5EF4-FFF2-40B4-BE49-F238E27FC236}">
                  <a16:creationId xmlns:a16="http://schemas.microsoft.com/office/drawing/2014/main" id="{9AA457E1-9DB4-4F77-A730-392BABEBA65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0" name="Line 141">
              <a:extLst>
                <a:ext uri="{FF2B5EF4-FFF2-40B4-BE49-F238E27FC236}">
                  <a16:creationId xmlns:a16="http://schemas.microsoft.com/office/drawing/2014/main" id="{DC574A24-D99D-4E11-AEC7-E7A7A22A6CB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1" name="Line 142">
              <a:extLst>
                <a:ext uri="{FF2B5EF4-FFF2-40B4-BE49-F238E27FC236}">
                  <a16:creationId xmlns:a16="http://schemas.microsoft.com/office/drawing/2014/main" id="{584BCF9C-9EC4-420A-BAED-C00A9C56305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2" name="Line 143">
              <a:extLst>
                <a:ext uri="{FF2B5EF4-FFF2-40B4-BE49-F238E27FC236}">
                  <a16:creationId xmlns:a16="http://schemas.microsoft.com/office/drawing/2014/main" id="{897AD1FB-C108-48CC-8A1F-BFB47B1B491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3" name="Line 144">
              <a:extLst>
                <a:ext uri="{FF2B5EF4-FFF2-40B4-BE49-F238E27FC236}">
                  <a16:creationId xmlns:a16="http://schemas.microsoft.com/office/drawing/2014/main" id="{F3DC80AC-3DEE-4B3B-91FD-1586CB69810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4" name="Line 145">
              <a:extLst>
                <a:ext uri="{FF2B5EF4-FFF2-40B4-BE49-F238E27FC236}">
                  <a16:creationId xmlns:a16="http://schemas.microsoft.com/office/drawing/2014/main" id="{FC59B1CA-04B2-4192-AF85-D01D2D204CE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5" name="Line 146">
              <a:extLst>
                <a:ext uri="{FF2B5EF4-FFF2-40B4-BE49-F238E27FC236}">
                  <a16:creationId xmlns:a16="http://schemas.microsoft.com/office/drawing/2014/main" id="{3AF3DE39-BA71-4614-B0DA-F090A341CBD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6" name="Line 147">
              <a:extLst>
                <a:ext uri="{FF2B5EF4-FFF2-40B4-BE49-F238E27FC236}">
                  <a16:creationId xmlns:a16="http://schemas.microsoft.com/office/drawing/2014/main" id="{E2BCE47B-84DC-4F00-801C-C06FAE77A11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7" name="Line 148">
              <a:extLst>
                <a:ext uri="{FF2B5EF4-FFF2-40B4-BE49-F238E27FC236}">
                  <a16:creationId xmlns:a16="http://schemas.microsoft.com/office/drawing/2014/main" id="{0A801413-A261-4635-8CE5-275ADA132E4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8" name="Line 149">
              <a:extLst>
                <a:ext uri="{FF2B5EF4-FFF2-40B4-BE49-F238E27FC236}">
                  <a16:creationId xmlns:a16="http://schemas.microsoft.com/office/drawing/2014/main" id="{8D4BF8B3-954D-43D9-AB11-EF895EF3507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9" name="Line 150">
              <a:extLst>
                <a:ext uri="{FF2B5EF4-FFF2-40B4-BE49-F238E27FC236}">
                  <a16:creationId xmlns:a16="http://schemas.microsoft.com/office/drawing/2014/main" id="{FE8FCB77-A43D-4960-AC03-80635918F67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0" name="Line 151">
              <a:extLst>
                <a:ext uri="{FF2B5EF4-FFF2-40B4-BE49-F238E27FC236}">
                  <a16:creationId xmlns:a16="http://schemas.microsoft.com/office/drawing/2014/main" id="{D55F8A89-CCF6-475B-A094-A2017047A3B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1" name="Line 152">
              <a:extLst>
                <a:ext uri="{FF2B5EF4-FFF2-40B4-BE49-F238E27FC236}">
                  <a16:creationId xmlns:a16="http://schemas.microsoft.com/office/drawing/2014/main" id="{07B2A942-ED7C-46F4-A455-2A7B41DED2C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2" name="Line 153">
              <a:extLst>
                <a:ext uri="{FF2B5EF4-FFF2-40B4-BE49-F238E27FC236}">
                  <a16:creationId xmlns:a16="http://schemas.microsoft.com/office/drawing/2014/main" id="{DA90A959-0AA0-4E96-9508-C43398DB99C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3" name="Line 154">
              <a:extLst>
                <a:ext uri="{FF2B5EF4-FFF2-40B4-BE49-F238E27FC236}">
                  <a16:creationId xmlns:a16="http://schemas.microsoft.com/office/drawing/2014/main" id="{5F774584-5712-4505-A05E-9D7C95B7B9F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4" name="Line 155">
              <a:extLst>
                <a:ext uri="{FF2B5EF4-FFF2-40B4-BE49-F238E27FC236}">
                  <a16:creationId xmlns:a16="http://schemas.microsoft.com/office/drawing/2014/main" id="{3FAE57FA-4E47-4F4E-9D50-2107DA5D0E3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5" name="Line 156">
              <a:extLst>
                <a:ext uri="{FF2B5EF4-FFF2-40B4-BE49-F238E27FC236}">
                  <a16:creationId xmlns:a16="http://schemas.microsoft.com/office/drawing/2014/main" id="{F8509266-3509-4D12-AE13-6658B2094D5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6" name="Line 157">
              <a:extLst>
                <a:ext uri="{FF2B5EF4-FFF2-40B4-BE49-F238E27FC236}">
                  <a16:creationId xmlns:a16="http://schemas.microsoft.com/office/drawing/2014/main" id="{BAE3D48C-D960-42CC-A5E3-9C4E09C26D1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7" name="Line 158">
              <a:extLst>
                <a:ext uri="{FF2B5EF4-FFF2-40B4-BE49-F238E27FC236}">
                  <a16:creationId xmlns:a16="http://schemas.microsoft.com/office/drawing/2014/main" id="{B93115C0-3531-48B1-B8D2-739A71A5BAF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8" name="Line 159">
              <a:extLst>
                <a:ext uri="{FF2B5EF4-FFF2-40B4-BE49-F238E27FC236}">
                  <a16:creationId xmlns:a16="http://schemas.microsoft.com/office/drawing/2014/main" id="{FBE50B94-F004-44EC-9F5D-0C622B02F26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9" name="Line 160">
              <a:extLst>
                <a:ext uri="{FF2B5EF4-FFF2-40B4-BE49-F238E27FC236}">
                  <a16:creationId xmlns:a16="http://schemas.microsoft.com/office/drawing/2014/main" id="{2D3B4774-6890-4373-B5F5-EEE404E5E4F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0" name="Line 161">
              <a:extLst>
                <a:ext uri="{FF2B5EF4-FFF2-40B4-BE49-F238E27FC236}">
                  <a16:creationId xmlns:a16="http://schemas.microsoft.com/office/drawing/2014/main" id="{5ED02D7A-8538-4D4E-A5E8-228EF55CD80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1" name="Line 162">
              <a:extLst>
                <a:ext uri="{FF2B5EF4-FFF2-40B4-BE49-F238E27FC236}">
                  <a16:creationId xmlns:a16="http://schemas.microsoft.com/office/drawing/2014/main" id="{1058397E-86AE-4241-B8A2-9F1E5C34227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2" name="Line 163">
              <a:extLst>
                <a:ext uri="{FF2B5EF4-FFF2-40B4-BE49-F238E27FC236}">
                  <a16:creationId xmlns:a16="http://schemas.microsoft.com/office/drawing/2014/main" id="{83CAF53F-09D9-4589-AA2E-05AFBCEA6BD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3" name="Line 164">
              <a:extLst>
                <a:ext uri="{FF2B5EF4-FFF2-40B4-BE49-F238E27FC236}">
                  <a16:creationId xmlns:a16="http://schemas.microsoft.com/office/drawing/2014/main" id="{5E8A9B2D-CD2D-485F-BF05-97D525D6276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4" name="Line 165">
              <a:extLst>
                <a:ext uri="{FF2B5EF4-FFF2-40B4-BE49-F238E27FC236}">
                  <a16:creationId xmlns:a16="http://schemas.microsoft.com/office/drawing/2014/main" id="{F29389C1-EE2E-4994-8927-0C63CF9904D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5" name="Line 166">
              <a:extLst>
                <a:ext uri="{FF2B5EF4-FFF2-40B4-BE49-F238E27FC236}">
                  <a16:creationId xmlns:a16="http://schemas.microsoft.com/office/drawing/2014/main" id="{5CD09274-1658-4248-9DEA-C3F46DC45BD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6" name="Line 167">
              <a:extLst>
                <a:ext uri="{FF2B5EF4-FFF2-40B4-BE49-F238E27FC236}">
                  <a16:creationId xmlns:a16="http://schemas.microsoft.com/office/drawing/2014/main" id="{A9A99DD0-3031-41B0-9970-F8FAAF439F0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7" name="Line 168">
              <a:extLst>
                <a:ext uri="{FF2B5EF4-FFF2-40B4-BE49-F238E27FC236}">
                  <a16:creationId xmlns:a16="http://schemas.microsoft.com/office/drawing/2014/main" id="{BA8C0F8D-E2C2-4D93-8400-C995DA784FE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8" name="Line 169">
              <a:extLst>
                <a:ext uri="{FF2B5EF4-FFF2-40B4-BE49-F238E27FC236}">
                  <a16:creationId xmlns:a16="http://schemas.microsoft.com/office/drawing/2014/main" id="{37EDEE38-A28E-456E-ADA0-BED820EF8DD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9" name="Line 170">
              <a:extLst>
                <a:ext uri="{FF2B5EF4-FFF2-40B4-BE49-F238E27FC236}">
                  <a16:creationId xmlns:a16="http://schemas.microsoft.com/office/drawing/2014/main" id="{C1B3C7CC-D1D1-4602-952F-DA2D5FAC8C8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0" name="Line 171">
              <a:extLst>
                <a:ext uri="{FF2B5EF4-FFF2-40B4-BE49-F238E27FC236}">
                  <a16:creationId xmlns:a16="http://schemas.microsoft.com/office/drawing/2014/main" id="{261ECAC2-0D04-401C-8D73-540907D12E4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33" y="202"/>
              <a:ext cx="95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1" name="Freeform 172">
              <a:extLst>
                <a:ext uri="{FF2B5EF4-FFF2-40B4-BE49-F238E27FC236}">
                  <a16:creationId xmlns:a16="http://schemas.microsoft.com/office/drawing/2014/main" id="{1B5EF44F-3899-476B-A71D-4E4B54002F19}"/>
                </a:ext>
              </a:extLst>
            </xdr:cNvPr>
            <xdr:cNvSpPr>
              <a:spLocks/>
            </xdr:cNvSpPr>
          </xdr:nvSpPr>
          <xdr:spPr bwMode="auto">
            <a:xfrm>
              <a:off x="821" y="188"/>
              <a:ext cx="6" cy="9"/>
            </a:xfrm>
            <a:custGeom>
              <a:avLst/>
              <a:gdLst>
                <a:gd name="T0" fmla="*/ 0 w 351"/>
                <a:gd name="T1" fmla="*/ 526 h 526"/>
                <a:gd name="T2" fmla="*/ 0 w 351"/>
                <a:gd name="T3" fmla="*/ 351 h 526"/>
                <a:gd name="T4" fmla="*/ 176 w 351"/>
                <a:gd name="T5" fmla="*/ 0 h 526"/>
                <a:gd name="T6" fmla="*/ 351 w 351"/>
                <a:gd name="T7" fmla="*/ 351 h 526"/>
                <a:gd name="T8" fmla="*/ 351 w 351"/>
                <a:gd name="T9" fmla="*/ 526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526">
                  <a:moveTo>
                    <a:pt x="0" y="526"/>
                  </a:moveTo>
                  <a:lnTo>
                    <a:pt x="0" y="351"/>
                  </a:lnTo>
                  <a:lnTo>
                    <a:pt x="176" y="0"/>
                  </a:lnTo>
                  <a:lnTo>
                    <a:pt x="351" y="351"/>
                  </a:lnTo>
                  <a:lnTo>
                    <a:pt x="351" y="526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62" name="Line 173">
              <a:extLst>
                <a:ext uri="{FF2B5EF4-FFF2-40B4-BE49-F238E27FC236}">
                  <a16:creationId xmlns:a16="http://schemas.microsoft.com/office/drawing/2014/main" id="{03D772DB-BC1D-4858-A400-6D8C7CBB24F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1" y="194"/>
              <a:ext cx="6" cy="0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3" name="Freeform 174">
              <a:extLst>
                <a:ext uri="{FF2B5EF4-FFF2-40B4-BE49-F238E27FC236}">
                  <a16:creationId xmlns:a16="http://schemas.microsoft.com/office/drawing/2014/main" id="{4F921A4F-4EC5-4ED8-8BEB-FB0E359B3F07}"/>
                </a:ext>
              </a:extLst>
            </xdr:cNvPr>
            <xdr:cNvSpPr>
              <a:spLocks/>
            </xdr:cNvSpPr>
          </xdr:nvSpPr>
          <xdr:spPr bwMode="auto">
            <a:xfrm>
              <a:off x="833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4" name="Freeform 175">
              <a:extLst>
                <a:ext uri="{FF2B5EF4-FFF2-40B4-BE49-F238E27FC236}">
                  <a16:creationId xmlns:a16="http://schemas.microsoft.com/office/drawing/2014/main" id="{1210E19D-7BAD-4E8C-933E-3B0AF4B9C8CE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5" name="Freeform 176">
              <a:extLst>
                <a:ext uri="{FF2B5EF4-FFF2-40B4-BE49-F238E27FC236}">
                  <a16:creationId xmlns:a16="http://schemas.microsoft.com/office/drawing/2014/main" id="{E9C8777D-E463-4A8F-9B4A-2757D9CE5EBF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1" cy="2"/>
            </a:xfrm>
            <a:custGeom>
              <a:avLst/>
              <a:gdLst>
                <a:gd name="T0" fmla="*/ 53 w 53"/>
                <a:gd name="T1" fmla="*/ 14 h 106"/>
                <a:gd name="T2" fmla="*/ 0 w 53"/>
                <a:gd name="T3" fmla="*/ 0 h 106"/>
                <a:gd name="T4" fmla="*/ 0 w 53"/>
                <a:gd name="T5" fmla="*/ 106 h 106"/>
                <a:gd name="T6" fmla="*/ 53 w 53"/>
                <a:gd name="T7" fmla="*/ 14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14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53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6" name="Freeform 177">
              <a:extLst>
                <a:ext uri="{FF2B5EF4-FFF2-40B4-BE49-F238E27FC236}">
                  <a16:creationId xmlns:a16="http://schemas.microsoft.com/office/drawing/2014/main" id="{AAFB3AD5-AFB2-4ECE-81CA-530A1DFAA989}"/>
                </a:ext>
              </a:extLst>
            </xdr:cNvPr>
            <xdr:cNvSpPr>
              <a:spLocks/>
            </xdr:cNvSpPr>
          </xdr:nvSpPr>
          <xdr:spPr bwMode="auto">
            <a:xfrm>
              <a:off x="832" y="200"/>
              <a:ext cx="1" cy="2"/>
            </a:xfrm>
            <a:custGeom>
              <a:avLst/>
              <a:gdLst>
                <a:gd name="T0" fmla="*/ 53 w 53"/>
                <a:gd name="T1" fmla="*/ 0 h 106"/>
                <a:gd name="T2" fmla="*/ 0 w 53"/>
                <a:gd name="T3" fmla="*/ 14 h 106"/>
                <a:gd name="T4" fmla="*/ 53 w 53"/>
                <a:gd name="T5" fmla="*/ 106 h 106"/>
                <a:gd name="T6" fmla="*/ 53 w 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0"/>
                  </a:moveTo>
                  <a:lnTo>
                    <a:pt x="0" y="14"/>
                  </a:lnTo>
                  <a:lnTo>
                    <a:pt x="53" y="106"/>
                  </a:lnTo>
                  <a:lnTo>
                    <a:pt x="5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7" name="Freeform 178">
              <a:extLst>
                <a:ext uri="{FF2B5EF4-FFF2-40B4-BE49-F238E27FC236}">
                  <a16:creationId xmlns:a16="http://schemas.microsoft.com/office/drawing/2014/main" id="{C528910E-D908-48A7-BABC-F378533FFDE2}"/>
                </a:ext>
              </a:extLst>
            </xdr:cNvPr>
            <xdr:cNvSpPr>
              <a:spLocks/>
            </xdr:cNvSpPr>
          </xdr:nvSpPr>
          <xdr:spPr bwMode="auto">
            <a:xfrm>
              <a:off x="831" y="200"/>
              <a:ext cx="2" cy="2"/>
            </a:xfrm>
            <a:custGeom>
              <a:avLst/>
              <a:gdLst>
                <a:gd name="T0" fmla="*/ 38 w 91"/>
                <a:gd name="T1" fmla="*/ 0 h 92"/>
                <a:gd name="T2" fmla="*/ 0 w 91"/>
                <a:gd name="T3" fmla="*/ 39 h 92"/>
                <a:gd name="T4" fmla="*/ 91 w 91"/>
                <a:gd name="T5" fmla="*/ 92 h 92"/>
                <a:gd name="T6" fmla="*/ 38 w 91"/>
                <a:gd name="T7" fmla="*/ 0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38" y="0"/>
                  </a:moveTo>
                  <a:lnTo>
                    <a:pt x="0" y="39"/>
                  </a:lnTo>
                  <a:lnTo>
                    <a:pt x="91" y="92"/>
                  </a:lnTo>
                  <a:lnTo>
                    <a:pt x="3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8" name="Freeform 179">
              <a:extLst>
                <a:ext uri="{FF2B5EF4-FFF2-40B4-BE49-F238E27FC236}">
                  <a16:creationId xmlns:a16="http://schemas.microsoft.com/office/drawing/2014/main" id="{CD56D12E-7CA6-48D1-BEFE-731645845BF7}"/>
                </a:ext>
              </a:extLst>
            </xdr:cNvPr>
            <xdr:cNvSpPr>
              <a:spLocks/>
            </xdr:cNvSpPr>
          </xdr:nvSpPr>
          <xdr:spPr bwMode="auto">
            <a:xfrm>
              <a:off x="831" y="201"/>
              <a:ext cx="2" cy="1"/>
            </a:xfrm>
            <a:custGeom>
              <a:avLst/>
              <a:gdLst>
                <a:gd name="T0" fmla="*/ 14 w 105"/>
                <a:gd name="T1" fmla="*/ 0 h 53"/>
                <a:gd name="T2" fmla="*/ 0 w 105"/>
                <a:gd name="T3" fmla="*/ 53 h 53"/>
                <a:gd name="T4" fmla="*/ 105 w 105"/>
                <a:gd name="T5" fmla="*/ 53 h 53"/>
                <a:gd name="T6" fmla="*/ 14 w 105"/>
                <a:gd name="T7" fmla="*/ 0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4" y="0"/>
                  </a:moveTo>
                  <a:lnTo>
                    <a:pt x="0" y="53"/>
                  </a:lnTo>
                  <a:lnTo>
                    <a:pt x="105" y="53"/>
                  </a:lnTo>
                  <a:lnTo>
                    <a:pt x="1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9" name="Freeform 180">
              <a:extLst>
                <a:ext uri="{FF2B5EF4-FFF2-40B4-BE49-F238E27FC236}">
                  <a16:creationId xmlns:a16="http://schemas.microsoft.com/office/drawing/2014/main" id="{73971E05-EE6F-48DD-92F2-623D15F59356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105"/>
                <a:gd name="T1" fmla="*/ 0 h 52"/>
                <a:gd name="T2" fmla="*/ 14 w 105"/>
                <a:gd name="T3" fmla="*/ 52 h 52"/>
                <a:gd name="T4" fmla="*/ 105 w 105"/>
                <a:gd name="T5" fmla="*/ 0 h 52"/>
                <a:gd name="T6" fmla="*/ 0 w 105"/>
                <a:gd name="T7" fmla="*/ 0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0" y="0"/>
                  </a:moveTo>
                  <a:lnTo>
                    <a:pt x="14" y="52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0" name="Freeform 181">
              <a:extLst>
                <a:ext uri="{FF2B5EF4-FFF2-40B4-BE49-F238E27FC236}">
                  <a16:creationId xmlns:a16="http://schemas.microsoft.com/office/drawing/2014/main" id="{D1A793D7-7C57-434A-AA38-2E8C9ED9267A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91"/>
                <a:gd name="T1" fmla="*/ 52 h 91"/>
                <a:gd name="T2" fmla="*/ 38 w 91"/>
                <a:gd name="T3" fmla="*/ 91 h 91"/>
                <a:gd name="T4" fmla="*/ 91 w 91"/>
                <a:gd name="T5" fmla="*/ 0 h 91"/>
                <a:gd name="T6" fmla="*/ 0 w 91"/>
                <a:gd name="T7" fmla="*/ 52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0" y="52"/>
                  </a:moveTo>
                  <a:lnTo>
                    <a:pt x="38" y="91"/>
                  </a:lnTo>
                  <a:lnTo>
                    <a:pt x="91" y="0"/>
                  </a:lnTo>
                  <a:lnTo>
                    <a:pt x="0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1" name="Freeform 182">
              <a:extLst>
                <a:ext uri="{FF2B5EF4-FFF2-40B4-BE49-F238E27FC236}">
                  <a16:creationId xmlns:a16="http://schemas.microsoft.com/office/drawing/2014/main" id="{B40ABC85-3344-46EC-9DB0-A357767F0EE0}"/>
                </a:ext>
              </a:extLst>
            </xdr:cNvPr>
            <xdr:cNvSpPr>
              <a:spLocks/>
            </xdr:cNvSpPr>
          </xdr:nvSpPr>
          <xdr:spPr bwMode="auto">
            <a:xfrm>
              <a:off x="832" y="202"/>
              <a:ext cx="1" cy="2"/>
            </a:xfrm>
            <a:custGeom>
              <a:avLst/>
              <a:gdLst>
                <a:gd name="T0" fmla="*/ 0 w 53"/>
                <a:gd name="T1" fmla="*/ 91 h 105"/>
                <a:gd name="T2" fmla="*/ 53 w 53"/>
                <a:gd name="T3" fmla="*/ 105 h 105"/>
                <a:gd name="T4" fmla="*/ 53 w 53"/>
                <a:gd name="T5" fmla="*/ 0 h 105"/>
                <a:gd name="T6" fmla="*/ 0 w 53"/>
                <a:gd name="T7" fmla="*/ 9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91"/>
                  </a:moveTo>
                  <a:lnTo>
                    <a:pt x="53" y="105"/>
                  </a:lnTo>
                  <a:lnTo>
                    <a:pt x="53" y="0"/>
                  </a:lnTo>
                  <a:lnTo>
                    <a:pt x="0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2" name="Freeform 183">
              <a:extLst>
                <a:ext uri="{FF2B5EF4-FFF2-40B4-BE49-F238E27FC236}">
                  <a16:creationId xmlns:a16="http://schemas.microsoft.com/office/drawing/2014/main" id="{02AF66EB-21AE-4F1E-B1C2-8CB4E9A454DA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1" cy="2"/>
            </a:xfrm>
            <a:custGeom>
              <a:avLst/>
              <a:gdLst>
                <a:gd name="T0" fmla="*/ 0 w 53"/>
                <a:gd name="T1" fmla="*/ 105 h 105"/>
                <a:gd name="T2" fmla="*/ 53 w 53"/>
                <a:gd name="T3" fmla="*/ 91 h 105"/>
                <a:gd name="T4" fmla="*/ 0 w 53"/>
                <a:gd name="T5" fmla="*/ 0 h 105"/>
                <a:gd name="T6" fmla="*/ 0 w 53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105"/>
                  </a:moveTo>
                  <a:lnTo>
                    <a:pt x="53" y="91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3" name="Freeform 184">
              <a:extLst>
                <a:ext uri="{FF2B5EF4-FFF2-40B4-BE49-F238E27FC236}">
                  <a16:creationId xmlns:a16="http://schemas.microsoft.com/office/drawing/2014/main" id="{9F377F60-6FE7-44DA-80D6-6E9C019F82F5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53 w 91"/>
                <a:gd name="T1" fmla="*/ 91 h 91"/>
                <a:gd name="T2" fmla="*/ 91 w 91"/>
                <a:gd name="T3" fmla="*/ 52 h 91"/>
                <a:gd name="T4" fmla="*/ 0 w 91"/>
                <a:gd name="T5" fmla="*/ 0 h 91"/>
                <a:gd name="T6" fmla="*/ 53 w 91"/>
                <a:gd name="T7" fmla="*/ 91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53" y="91"/>
                  </a:moveTo>
                  <a:lnTo>
                    <a:pt x="91" y="52"/>
                  </a:lnTo>
                  <a:lnTo>
                    <a:pt x="0" y="0"/>
                  </a:lnTo>
                  <a:lnTo>
                    <a:pt x="53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4" name="Freeform 185">
              <a:extLst>
                <a:ext uri="{FF2B5EF4-FFF2-40B4-BE49-F238E27FC236}">
                  <a16:creationId xmlns:a16="http://schemas.microsoft.com/office/drawing/2014/main" id="{6995FEB0-DF22-458B-A793-A9EC5F7063C8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91 w 105"/>
                <a:gd name="T1" fmla="*/ 52 h 52"/>
                <a:gd name="T2" fmla="*/ 105 w 105"/>
                <a:gd name="T3" fmla="*/ 0 h 52"/>
                <a:gd name="T4" fmla="*/ 0 w 105"/>
                <a:gd name="T5" fmla="*/ 0 h 52"/>
                <a:gd name="T6" fmla="*/ 91 w 105"/>
                <a:gd name="T7" fmla="*/ 52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91" y="52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91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5" name="Freeform 186">
              <a:extLst>
                <a:ext uri="{FF2B5EF4-FFF2-40B4-BE49-F238E27FC236}">
                  <a16:creationId xmlns:a16="http://schemas.microsoft.com/office/drawing/2014/main" id="{A8D6B580-D677-4EE9-9345-4AA872551543}"/>
                </a:ext>
              </a:extLst>
            </xdr:cNvPr>
            <xdr:cNvSpPr>
              <a:spLocks/>
            </xdr:cNvSpPr>
          </xdr:nvSpPr>
          <xdr:spPr bwMode="auto">
            <a:xfrm>
              <a:off x="916" y="192"/>
              <a:ext cx="6" cy="5"/>
            </a:xfrm>
            <a:custGeom>
              <a:avLst/>
              <a:gdLst>
                <a:gd name="T0" fmla="*/ 0 w 351"/>
                <a:gd name="T1" fmla="*/ 263 h 263"/>
                <a:gd name="T2" fmla="*/ 263 w 351"/>
                <a:gd name="T3" fmla="*/ 263 h 263"/>
                <a:gd name="T4" fmla="*/ 351 w 351"/>
                <a:gd name="T5" fmla="*/ 176 h 263"/>
                <a:gd name="T6" fmla="*/ 351 w 351"/>
                <a:gd name="T7" fmla="*/ 88 h 263"/>
                <a:gd name="T8" fmla="*/ 263 w 351"/>
                <a:gd name="T9" fmla="*/ 0 h 263"/>
                <a:gd name="T10" fmla="*/ 88 w 351"/>
                <a:gd name="T11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263">
                  <a:moveTo>
                    <a:pt x="0" y="263"/>
                  </a:moveTo>
                  <a:lnTo>
                    <a:pt x="263" y="263"/>
                  </a:lnTo>
                  <a:lnTo>
                    <a:pt x="351" y="176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88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6" name="Freeform 187">
              <a:extLst>
                <a:ext uri="{FF2B5EF4-FFF2-40B4-BE49-F238E27FC236}">
                  <a16:creationId xmlns:a16="http://schemas.microsoft.com/office/drawing/2014/main" id="{B1F3D0A7-8E4B-45C2-91A0-57F2C84EB64E}"/>
                </a:ext>
              </a:extLst>
            </xdr:cNvPr>
            <xdr:cNvSpPr>
              <a:spLocks/>
            </xdr:cNvSpPr>
          </xdr:nvSpPr>
          <xdr:spPr bwMode="auto">
            <a:xfrm>
              <a:off x="916" y="188"/>
              <a:ext cx="6" cy="4"/>
            </a:xfrm>
            <a:custGeom>
              <a:avLst/>
              <a:gdLst>
                <a:gd name="T0" fmla="*/ 263 w 351"/>
                <a:gd name="T1" fmla="*/ 263 h 263"/>
                <a:gd name="T2" fmla="*/ 351 w 351"/>
                <a:gd name="T3" fmla="*/ 175 h 263"/>
                <a:gd name="T4" fmla="*/ 351 w 351"/>
                <a:gd name="T5" fmla="*/ 88 h 263"/>
                <a:gd name="T6" fmla="*/ 263 w 351"/>
                <a:gd name="T7" fmla="*/ 0 h 263"/>
                <a:gd name="T8" fmla="*/ 0 w 351"/>
                <a:gd name="T9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263">
                  <a:moveTo>
                    <a:pt x="263" y="263"/>
                  </a:moveTo>
                  <a:lnTo>
                    <a:pt x="351" y="175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7" name="Line 188">
              <a:extLst>
                <a:ext uri="{FF2B5EF4-FFF2-40B4-BE49-F238E27FC236}">
                  <a16:creationId xmlns:a16="http://schemas.microsoft.com/office/drawing/2014/main" id="{427EFF52-46CD-4EF2-A78D-5E656CBD015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18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8" name="Freeform 189">
              <a:extLst>
                <a:ext uri="{FF2B5EF4-FFF2-40B4-BE49-F238E27FC236}">
                  <a16:creationId xmlns:a16="http://schemas.microsoft.com/office/drawing/2014/main" id="{294EEE78-69F2-4326-A2E8-78C40874A8B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7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7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9" name="Freeform 190">
              <a:extLst>
                <a:ext uri="{FF2B5EF4-FFF2-40B4-BE49-F238E27FC236}">
                  <a16:creationId xmlns:a16="http://schemas.microsoft.com/office/drawing/2014/main" id="{8BB02333-578D-449A-A5A9-90424B33F42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8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8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8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0" name="Freeform 191">
              <a:extLst>
                <a:ext uri="{FF2B5EF4-FFF2-40B4-BE49-F238E27FC236}">
                  <a16:creationId xmlns:a16="http://schemas.microsoft.com/office/drawing/2014/main" id="{33FE38D7-620A-490C-9F79-264134C68D36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4 w 104"/>
                <a:gd name="T1" fmla="*/ 7 h 22"/>
                <a:gd name="T2" fmla="*/ 103 w 104"/>
                <a:gd name="T3" fmla="*/ 0 h 22"/>
                <a:gd name="T4" fmla="*/ 0 w 104"/>
                <a:gd name="T5" fmla="*/ 22 h 22"/>
                <a:gd name="T6" fmla="*/ 104 w 104"/>
                <a:gd name="T7" fmla="*/ 7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4" y="7"/>
                  </a:moveTo>
                  <a:lnTo>
                    <a:pt x="103" y="0"/>
                  </a:lnTo>
                  <a:lnTo>
                    <a:pt x="0" y="22"/>
                  </a:lnTo>
                  <a:lnTo>
                    <a:pt x="104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1" name="Freeform 192">
              <a:extLst>
                <a:ext uri="{FF2B5EF4-FFF2-40B4-BE49-F238E27FC236}">
                  <a16:creationId xmlns:a16="http://schemas.microsoft.com/office/drawing/2014/main" id="{8CC51398-60E2-4198-B39D-B9F29873E406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3 w 103"/>
                <a:gd name="T1" fmla="*/ 7 h 29"/>
                <a:gd name="T2" fmla="*/ 102 w 103"/>
                <a:gd name="T3" fmla="*/ 0 h 29"/>
                <a:gd name="T4" fmla="*/ 0 w 103"/>
                <a:gd name="T5" fmla="*/ 29 h 29"/>
                <a:gd name="T6" fmla="*/ 103 w 103"/>
                <a:gd name="T7" fmla="*/ 7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3" y="7"/>
                  </a:moveTo>
                  <a:lnTo>
                    <a:pt x="102" y="0"/>
                  </a:lnTo>
                  <a:lnTo>
                    <a:pt x="0" y="29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2" name="Freeform 193">
              <a:extLst>
                <a:ext uri="{FF2B5EF4-FFF2-40B4-BE49-F238E27FC236}">
                  <a16:creationId xmlns:a16="http://schemas.microsoft.com/office/drawing/2014/main" id="{3800BD2B-69AC-4112-9968-883D8798682A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2 w 102"/>
                <a:gd name="T1" fmla="*/ 7 h 36"/>
                <a:gd name="T2" fmla="*/ 99 w 102"/>
                <a:gd name="T3" fmla="*/ 0 h 36"/>
                <a:gd name="T4" fmla="*/ 0 w 102"/>
                <a:gd name="T5" fmla="*/ 36 h 36"/>
                <a:gd name="T6" fmla="*/ 102 w 102"/>
                <a:gd name="T7" fmla="*/ 7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6">
                  <a:moveTo>
                    <a:pt x="102" y="7"/>
                  </a:moveTo>
                  <a:lnTo>
                    <a:pt x="99" y="0"/>
                  </a:lnTo>
                  <a:lnTo>
                    <a:pt x="0" y="36"/>
                  </a:lnTo>
                  <a:lnTo>
                    <a:pt x="102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3" name="Freeform 194">
              <a:extLst>
                <a:ext uri="{FF2B5EF4-FFF2-40B4-BE49-F238E27FC236}">
                  <a16:creationId xmlns:a16="http://schemas.microsoft.com/office/drawing/2014/main" id="{3CA3075E-0F41-4FA8-A38F-C83F684F4D70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9 w 99"/>
                <a:gd name="T1" fmla="*/ 6 h 42"/>
                <a:gd name="T2" fmla="*/ 97 w 99"/>
                <a:gd name="T3" fmla="*/ 0 h 42"/>
                <a:gd name="T4" fmla="*/ 0 w 99"/>
                <a:gd name="T5" fmla="*/ 42 h 42"/>
                <a:gd name="T6" fmla="*/ 99 w 99"/>
                <a:gd name="T7" fmla="*/ 6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9" y="6"/>
                  </a:moveTo>
                  <a:lnTo>
                    <a:pt x="97" y="0"/>
                  </a:lnTo>
                  <a:lnTo>
                    <a:pt x="0" y="42"/>
                  </a:lnTo>
                  <a:lnTo>
                    <a:pt x="9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4" name="Freeform 195">
              <a:extLst>
                <a:ext uri="{FF2B5EF4-FFF2-40B4-BE49-F238E27FC236}">
                  <a16:creationId xmlns:a16="http://schemas.microsoft.com/office/drawing/2014/main" id="{5F0DFDCB-33F6-42C9-9DE2-8A9E24B1E24A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7 w 97"/>
                <a:gd name="T1" fmla="*/ 7 h 49"/>
                <a:gd name="T2" fmla="*/ 94 w 97"/>
                <a:gd name="T3" fmla="*/ 0 h 49"/>
                <a:gd name="T4" fmla="*/ 0 w 97"/>
                <a:gd name="T5" fmla="*/ 49 h 49"/>
                <a:gd name="T6" fmla="*/ 97 w 97"/>
                <a:gd name="T7" fmla="*/ 7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9">
                  <a:moveTo>
                    <a:pt x="97" y="7"/>
                  </a:moveTo>
                  <a:lnTo>
                    <a:pt x="94" y="0"/>
                  </a:lnTo>
                  <a:lnTo>
                    <a:pt x="0" y="49"/>
                  </a:lnTo>
                  <a:lnTo>
                    <a:pt x="97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5" name="Freeform 196">
              <a:extLst>
                <a:ext uri="{FF2B5EF4-FFF2-40B4-BE49-F238E27FC236}">
                  <a16:creationId xmlns:a16="http://schemas.microsoft.com/office/drawing/2014/main" id="{1F428617-7319-4D89-B63C-31E2ED500B92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4 w 94"/>
                <a:gd name="T1" fmla="*/ 6 h 55"/>
                <a:gd name="T2" fmla="*/ 90 w 94"/>
                <a:gd name="T3" fmla="*/ 0 h 55"/>
                <a:gd name="T4" fmla="*/ 0 w 94"/>
                <a:gd name="T5" fmla="*/ 55 h 55"/>
                <a:gd name="T6" fmla="*/ 94 w 94"/>
                <a:gd name="T7" fmla="*/ 6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5">
                  <a:moveTo>
                    <a:pt x="94" y="6"/>
                  </a:moveTo>
                  <a:lnTo>
                    <a:pt x="90" y="0"/>
                  </a:lnTo>
                  <a:lnTo>
                    <a:pt x="0" y="55"/>
                  </a:lnTo>
                  <a:lnTo>
                    <a:pt x="9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6" name="Freeform 197">
              <a:extLst>
                <a:ext uri="{FF2B5EF4-FFF2-40B4-BE49-F238E27FC236}">
                  <a16:creationId xmlns:a16="http://schemas.microsoft.com/office/drawing/2014/main" id="{24A3779A-AD67-478E-B6A6-7ECF135F3B87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0 w 90"/>
                <a:gd name="T1" fmla="*/ 6 h 61"/>
                <a:gd name="T2" fmla="*/ 86 w 90"/>
                <a:gd name="T3" fmla="*/ 0 h 61"/>
                <a:gd name="T4" fmla="*/ 0 w 90"/>
                <a:gd name="T5" fmla="*/ 61 h 61"/>
                <a:gd name="T6" fmla="*/ 90 w 90"/>
                <a:gd name="T7" fmla="*/ 6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90" y="6"/>
                  </a:moveTo>
                  <a:lnTo>
                    <a:pt x="86" y="0"/>
                  </a:lnTo>
                  <a:lnTo>
                    <a:pt x="0" y="61"/>
                  </a:lnTo>
                  <a:lnTo>
                    <a:pt x="90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7" name="Freeform 198">
              <a:extLst>
                <a:ext uri="{FF2B5EF4-FFF2-40B4-BE49-F238E27FC236}">
                  <a16:creationId xmlns:a16="http://schemas.microsoft.com/office/drawing/2014/main" id="{88BF43F1-03B5-4159-A204-3D7EDBF51204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6 w 86"/>
                <a:gd name="T1" fmla="*/ 6 h 67"/>
                <a:gd name="T2" fmla="*/ 82 w 86"/>
                <a:gd name="T3" fmla="*/ 0 h 67"/>
                <a:gd name="T4" fmla="*/ 0 w 86"/>
                <a:gd name="T5" fmla="*/ 67 h 67"/>
                <a:gd name="T6" fmla="*/ 86 w 86"/>
                <a:gd name="T7" fmla="*/ 6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86" y="6"/>
                  </a:moveTo>
                  <a:lnTo>
                    <a:pt x="82" y="0"/>
                  </a:lnTo>
                  <a:lnTo>
                    <a:pt x="0" y="67"/>
                  </a:lnTo>
                  <a:lnTo>
                    <a:pt x="86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8" name="Freeform 199">
              <a:extLst>
                <a:ext uri="{FF2B5EF4-FFF2-40B4-BE49-F238E27FC236}">
                  <a16:creationId xmlns:a16="http://schemas.microsoft.com/office/drawing/2014/main" id="{62568801-A170-4CAE-B44C-1B372811406C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2 w 82"/>
                <a:gd name="T1" fmla="*/ 5 h 72"/>
                <a:gd name="T2" fmla="*/ 77 w 82"/>
                <a:gd name="T3" fmla="*/ 0 h 72"/>
                <a:gd name="T4" fmla="*/ 0 w 82"/>
                <a:gd name="T5" fmla="*/ 72 h 72"/>
                <a:gd name="T6" fmla="*/ 82 w 82"/>
                <a:gd name="T7" fmla="*/ 5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82" y="5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9" name="Freeform 200">
              <a:extLst>
                <a:ext uri="{FF2B5EF4-FFF2-40B4-BE49-F238E27FC236}">
                  <a16:creationId xmlns:a16="http://schemas.microsoft.com/office/drawing/2014/main" id="{1FE98D62-21D4-4487-B7CC-C9217BFDAFE8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77 w 77"/>
                <a:gd name="T1" fmla="*/ 5 h 77"/>
                <a:gd name="T2" fmla="*/ 72 w 77"/>
                <a:gd name="T3" fmla="*/ 0 h 77"/>
                <a:gd name="T4" fmla="*/ 0 w 77"/>
                <a:gd name="T5" fmla="*/ 77 h 77"/>
                <a:gd name="T6" fmla="*/ 77 w 77"/>
                <a:gd name="T7" fmla="*/ 5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7" y="5"/>
                  </a:moveTo>
                  <a:lnTo>
                    <a:pt x="72" y="0"/>
                  </a:lnTo>
                  <a:lnTo>
                    <a:pt x="0" y="77"/>
                  </a:lnTo>
                  <a:lnTo>
                    <a:pt x="77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0" name="Freeform 201">
              <a:extLst>
                <a:ext uri="{FF2B5EF4-FFF2-40B4-BE49-F238E27FC236}">
                  <a16:creationId xmlns:a16="http://schemas.microsoft.com/office/drawing/2014/main" id="{25AC6244-2C5E-47BE-A9E1-60F5FFA1F9AC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72 w 72"/>
                <a:gd name="T1" fmla="*/ 5 h 82"/>
                <a:gd name="T2" fmla="*/ 67 w 72"/>
                <a:gd name="T3" fmla="*/ 0 h 82"/>
                <a:gd name="T4" fmla="*/ 0 w 72"/>
                <a:gd name="T5" fmla="*/ 82 h 82"/>
                <a:gd name="T6" fmla="*/ 72 w 72"/>
                <a:gd name="T7" fmla="*/ 5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72" y="5"/>
                  </a:moveTo>
                  <a:lnTo>
                    <a:pt x="67" y="0"/>
                  </a:lnTo>
                  <a:lnTo>
                    <a:pt x="0" y="82"/>
                  </a:lnTo>
                  <a:lnTo>
                    <a:pt x="7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1" name="Freeform 202">
              <a:extLst>
                <a:ext uri="{FF2B5EF4-FFF2-40B4-BE49-F238E27FC236}">
                  <a16:creationId xmlns:a16="http://schemas.microsoft.com/office/drawing/2014/main" id="{EACE1F98-6C9F-4564-B42C-2E69DD640549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7 w 67"/>
                <a:gd name="T1" fmla="*/ 4 h 86"/>
                <a:gd name="T2" fmla="*/ 61 w 67"/>
                <a:gd name="T3" fmla="*/ 0 h 86"/>
                <a:gd name="T4" fmla="*/ 0 w 67"/>
                <a:gd name="T5" fmla="*/ 86 h 86"/>
                <a:gd name="T6" fmla="*/ 67 w 67"/>
                <a:gd name="T7" fmla="*/ 4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7" y="4"/>
                  </a:moveTo>
                  <a:lnTo>
                    <a:pt x="61" y="0"/>
                  </a:lnTo>
                  <a:lnTo>
                    <a:pt x="0" y="86"/>
                  </a:lnTo>
                  <a:lnTo>
                    <a:pt x="6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2" name="Freeform 203">
              <a:extLst>
                <a:ext uri="{FF2B5EF4-FFF2-40B4-BE49-F238E27FC236}">
                  <a16:creationId xmlns:a16="http://schemas.microsoft.com/office/drawing/2014/main" id="{7A06A644-BB0D-48BA-9975-06371A1501C3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1 w 61"/>
                <a:gd name="T1" fmla="*/ 4 h 90"/>
                <a:gd name="T2" fmla="*/ 55 w 61"/>
                <a:gd name="T3" fmla="*/ 0 h 90"/>
                <a:gd name="T4" fmla="*/ 0 w 61"/>
                <a:gd name="T5" fmla="*/ 90 h 90"/>
                <a:gd name="T6" fmla="*/ 61 w 61"/>
                <a:gd name="T7" fmla="*/ 4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61" y="4"/>
                  </a:moveTo>
                  <a:lnTo>
                    <a:pt x="55" y="0"/>
                  </a:lnTo>
                  <a:lnTo>
                    <a:pt x="0" y="90"/>
                  </a:lnTo>
                  <a:lnTo>
                    <a:pt x="61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3" name="Freeform 204">
              <a:extLst>
                <a:ext uri="{FF2B5EF4-FFF2-40B4-BE49-F238E27FC236}">
                  <a16:creationId xmlns:a16="http://schemas.microsoft.com/office/drawing/2014/main" id="{A56932B2-C798-492C-861C-5791F10E75F8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55 w 55"/>
                <a:gd name="T1" fmla="*/ 4 h 94"/>
                <a:gd name="T2" fmla="*/ 49 w 55"/>
                <a:gd name="T3" fmla="*/ 0 h 94"/>
                <a:gd name="T4" fmla="*/ 0 w 55"/>
                <a:gd name="T5" fmla="*/ 94 h 94"/>
                <a:gd name="T6" fmla="*/ 55 w 55"/>
                <a:gd name="T7" fmla="*/ 4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4">
                  <a:moveTo>
                    <a:pt x="55" y="4"/>
                  </a:moveTo>
                  <a:lnTo>
                    <a:pt x="49" y="0"/>
                  </a:lnTo>
                  <a:lnTo>
                    <a:pt x="0" y="94"/>
                  </a:lnTo>
                  <a:lnTo>
                    <a:pt x="55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4" name="Freeform 205">
              <a:extLst>
                <a:ext uri="{FF2B5EF4-FFF2-40B4-BE49-F238E27FC236}">
                  <a16:creationId xmlns:a16="http://schemas.microsoft.com/office/drawing/2014/main" id="{1FA6FBE4-64BD-4082-B9E4-DDED7455E542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9 w 49"/>
                <a:gd name="T1" fmla="*/ 3 h 97"/>
                <a:gd name="T2" fmla="*/ 42 w 49"/>
                <a:gd name="T3" fmla="*/ 0 h 97"/>
                <a:gd name="T4" fmla="*/ 0 w 49"/>
                <a:gd name="T5" fmla="*/ 97 h 97"/>
                <a:gd name="T6" fmla="*/ 49 w 49"/>
                <a:gd name="T7" fmla="*/ 3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7">
                  <a:moveTo>
                    <a:pt x="49" y="3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49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5" name="Freeform 206">
              <a:extLst>
                <a:ext uri="{FF2B5EF4-FFF2-40B4-BE49-F238E27FC236}">
                  <a16:creationId xmlns:a16="http://schemas.microsoft.com/office/drawing/2014/main" id="{F3543C30-BF9C-4F7D-AC12-92C380C296BE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5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5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6" name="Freeform 207">
              <a:extLst>
                <a:ext uri="{FF2B5EF4-FFF2-40B4-BE49-F238E27FC236}">
                  <a16:creationId xmlns:a16="http://schemas.microsoft.com/office/drawing/2014/main" id="{D50FD98C-CC88-444B-8061-32D5D45CC6DF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35 w 35"/>
                <a:gd name="T1" fmla="*/ 2 h 102"/>
                <a:gd name="T2" fmla="*/ 29 w 35"/>
                <a:gd name="T3" fmla="*/ 0 h 102"/>
                <a:gd name="T4" fmla="*/ 0 w 35"/>
                <a:gd name="T5" fmla="*/ 102 h 102"/>
                <a:gd name="T6" fmla="*/ 35 w 35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35" y="2"/>
                  </a:moveTo>
                  <a:lnTo>
                    <a:pt x="29" y="0"/>
                  </a:lnTo>
                  <a:lnTo>
                    <a:pt x="0" y="102"/>
                  </a:lnTo>
                  <a:lnTo>
                    <a:pt x="35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7" name="Freeform 208">
              <a:extLst>
                <a:ext uri="{FF2B5EF4-FFF2-40B4-BE49-F238E27FC236}">
                  <a16:creationId xmlns:a16="http://schemas.microsoft.com/office/drawing/2014/main" id="{35F44186-A30C-42A4-8C47-38CB79FD2B8E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9 w 29"/>
                <a:gd name="T1" fmla="*/ 1 h 103"/>
                <a:gd name="T2" fmla="*/ 22 w 29"/>
                <a:gd name="T3" fmla="*/ 0 h 103"/>
                <a:gd name="T4" fmla="*/ 0 w 29"/>
                <a:gd name="T5" fmla="*/ 103 h 103"/>
                <a:gd name="T6" fmla="*/ 29 w 29"/>
                <a:gd name="T7" fmla="*/ 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9" y="1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2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8" name="Freeform 209">
              <a:extLst>
                <a:ext uri="{FF2B5EF4-FFF2-40B4-BE49-F238E27FC236}">
                  <a16:creationId xmlns:a16="http://schemas.microsoft.com/office/drawing/2014/main" id="{F7B3D47D-8912-4FFD-A7FF-A39B40FC14FD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9" name="Freeform 210">
              <a:extLst>
                <a:ext uri="{FF2B5EF4-FFF2-40B4-BE49-F238E27FC236}">
                  <a16:creationId xmlns:a16="http://schemas.microsoft.com/office/drawing/2014/main" id="{157C680E-9B5F-46D6-8107-F84B69ED74B9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0" name="Freeform 211">
              <a:extLst>
                <a:ext uri="{FF2B5EF4-FFF2-40B4-BE49-F238E27FC236}">
                  <a16:creationId xmlns:a16="http://schemas.microsoft.com/office/drawing/2014/main" id="{395FE143-95E9-4460-9619-3319A967723E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1" name="Freeform 212">
              <a:extLst>
                <a:ext uri="{FF2B5EF4-FFF2-40B4-BE49-F238E27FC236}">
                  <a16:creationId xmlns:a16="http://schemas.microsoft.com/office/drawing/2014/main" id="{9FF8602D-572A-4E11-8D38-B2096816047D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0 h 106"/>
                <a:gd name="T2" fmla="*/ 0 w 7"/>
                <a:gd name="T3" fmla="*/ 1 h 106"/>
                <a:gd name="T4" fmla="*/ 7 w 7"/>
                <a:gd name="T5" fmla="*/ 106 h 106"/>
                <a:gd name="T6" fmla="*/ 7 w 7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0"/>
                  </a:moveTo>
                  <a:lnTo>
                    <a:pt x="0" y="1"/>
                  </a:lnTo>
                  <a:lnTo>
                    <a:pt x="7" y="106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2" name="Freeform 213">
              <a:extLst>
                <a:ext uri="{FF2B5EF4-FFF2-40B4-BE49-F238E27FC236}">
                  <a16:creationId xmlns:a16="http://schemas.microsoft.com/office/drawing/2014/main" id="{8A6D8867-5670-4821-B867-B8BD0C890AA6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14"/>
                <a:gd name="T1" fmla="*/ 0 h 105"/>
                <a:gd name="T2" fmla="*/ 0 w 14"/>
                <a:gd name="T3" fmla="*/ 0 h 105"/>
                <a:gd name="T4" fmla="*/ 14 w 14"/>
                <a:gd name="T5" fmla="*/ 105 h 105"/>
                <a:gd name="T6" fmla="*/ 7 w 14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7" y="0"/>
                  </a:moveTo>
                  <a:lnTo>
                    <a:pt x="0" y="0"/>
                  </a:lnTo>
                  <a:lnTo>
                    <a:pt x="14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3" name="Freeform 214">
              <a:extLst>
                <a:ext uri="{FF2B5EF4-FFF2-40B4-BE49-F238E27FC236}">
                  <a16:creationId xmlns:a16="http://schemas.microsoft.com/office/drawing/2014/main" id="{91E6C987-875C-4F4F-92BE-37723CA59164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1"/>
                <a:gd name="T1" fmla="*/ 0 h 105"/>
                <a:gd name="T2" fmla="*/ 0 w 21"/>
                <a:gd name="T3" fmla="*/ 2 h 105"/>
                <a:gd name="T4" fmla="*/ 21 w 21"/>
                <a:gd name="T5" fmla="*/ 105 h 105"/>
                <a:gd name="T6" fmla="*/ 7 w 21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5">
                  <a:moveTo>
                    <a:pt x="7" y="0"/>
                  </a:moveTo>
                  <a:lnTo>
                    <a:pt x="0" y="2"/>
                  </a:lnTo>
                  <a:lnTo>
                    <a:pt x="21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4" name="Freeform 215">
              <a:extLst>
                <a:ext uri="{FF2B5EF4-FFF2-40B4-BE49-F238E27FC236}">
                  <a16:creationId xmlns:a16="http://schemas.microsoft.com/office/drawing/2014/main" id="{67D57E9A-50A3-40F0-AD0D-CDAACDE1FECE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8"/>
                <a:gd name="T1" fmla="*/ 0 h 103"/>
                <a:gd name="T2" fmla="*/ 0 w 28"/>
                <a:gd name="T3" fmla="*/ 1 h 103"/>
                <a:gd name="T4" fmla="*/ 28 w 28"/>
                <a:gd name="T5" fmla="*/ 103 h 103"/>
                <a:gd name="T6" fmla="*/ 7 w 28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7" y="0"/>
                  </a:moveTo>
                  <a:lnTo>
                    <a:pt x="0" y="1"/>
                  </a:lnTo>
                  <a:lnTo>
                    <a:pt x="28" y="10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5" name="Freeform 216">
              <a:extLst>
                <a:ext uri="{FF2B5EF4-FFF2-40B4-BE49-F238E27FC236}">
                  <a16:creationId xmlns:a16="http://schemas.microsoft.com/office/drawing/2014/main" id="{CF8D3D6A-EF6F-47A9-B1B7-10662CD73044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7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7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6" name="Freeform 217">
              <a:extLst>
                <a:ext uri="{FF2B5EF4-FFF2-40B4-BE49-F238E27FC236}">
                  <a16:creationId xmlns:a16="http://schemas.microsoft.com/office/drawing/2014/main" id="{4AEC7968-E8E5-49DD-AFD7-3129A55DF30C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42"/>
                <a:gd name="T1" fmla="*/ 0 h 100"/>
                <a:gd name="T2" fmla="*/ 0 w 42"/>
                <a:gd name="T3" fmla="*/ 3 h 100"/>
                <a:gd name="T4" fmla="*/ 42 w 42"/>
                <a:gd name="T5" fmla="*/ 100 h 100"/>
                <a:gd name="T6" fmla="*/ 7 w 42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7" y="0"/>
                  </a:moveTo>
                  <a:lnTo>
                    <a:pt x="0" y="3"/>
                  </a:lnTo>
                  <a:lnTo>
                    <a:pt x="42" y="10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7" name="Freeform 218">
              <a:extLst>
                <a:ext uri="{FF2B5EF4-FFF2-40B4-BE49-F238E27FC236}">
                  <a16:creationId xmlns:a16="http://schemas.microsoft.com/office/drawing/2014/main" id="{03D0B47E-B274-42CE-A009-EA70949D5AF9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48"/>
                <a:gd name="T1" fmla="*/ 0 h 97"/>
                <a:gd name="T2" fmla="*/ 0 w 48"/>
                <a:gd name="T3" fmla="*/ 3 h 97"/>
                <a:gd name="T4" fmla="*/ 48 w 48"/>
                <a:gd name="T5" fmla="*/ 97 h 97"/>
                <a:gd name="T6" fmla="*/ 6 w 48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7">
                  <a:moveTo>
                    <a:pt x="6" y="0"/>
                  </a:moveTo>
                  <a:lnTo>
                    <a:pt x="0" y="3"/>
                  </a:lnTo>
                  <a:lnTo>
                    <a:pt x="48" y="97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8" name="Freeform 219">
              <a:extLst>
                <a:ext uri="{FF2B5EF4-FFF2-40B4-BE49-F238E27FC236}">
                  <a16:creationId xmlns:a16="http://schemas.microsoft.com/office/drawing/2014/main" id="{99902D4C-548A-4667-966D-B09504CE29B0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54"/>
                <a:gd name="T1" fmla="*/ 0 h 94"/>
                <a:gd name="T2" fmla="*/ 0 w 54"/>
                <a:gd name="T3" fmla="*/ 4 h 94"/>
                <a:gd name="T4" fmla="*/ 54 w 54"/>
                <a:gd name="T5" fmla="*/ 94 h 94"/>
                <a:gd name="T6" fmla="*/ 6 w 54"/>
                <a:gd name="T7" fmla="*/ 0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4">
                  <a:moveTo>
                    <a:pt x="6" y="0"/>
                  </a:moveTo>
                  <a:lnTo>
                    <a:pt x="0" y="4"/>
                  </a:lnTo>
                  <a:lnTo>
                    <a:pt x="54" y="94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9" name="Freeform 220">
              <a:extLst>
                <a:ext uri="{FF2B5EF4-FFF2-40B4-BE49-F238E27FC236}">
                  <a16:creationId xmlns:a16="http://schemas.microsoft.com/office/drawing/2014/main" id="{825B7F2B-FCFE-452D-9322-EAEB84E0E00E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0"/>
                <a:gd name="T1" fmla="*/ 0 h 90"/>
                <a:gd name="T2" fmla="*/ 0 w 60"/>
                <a:gd name="T3" fmla="*/ 4 h 90"/>
                <a:gd name="T4" fmla="*/ 60 w 60"/>
                <a:gd name="T5" fmla="*/ 90 h 90"/>
                <a:gd name="T6" fmla="*/ 6 w 60"/>
                <a:gd name="T7" fmla="*/ 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6" y="0"/>
                  </a:moveTo>
                  <a:lnTo>
                    <a:pt x="0" y="4"/>
                  </a:lnTo>
                  <a:lnTo>
                    <a:pt x="60" y="9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0" name="Freeform 221">
              <a:extLst>
                <a:ext uri="{FF2B5EF4-FFF2-40B4-BE49-F238E27FC236}">
                  <a16:creationId xmlns:a16="http://schemas.microsoft.com/office/drawing/2014/main" id="{C73A2600-04F5-443A-A219-60A72D1D063C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6"/>
                <a:gd name="T1" fmla="*/ 0 h 86"/>
                <a:gd name="T2" fmla="*/ 0 w 66"/>
                <a:gd name="T3" fmla="*/ 4 h 86"/>
                <a:gd name="T4" fmla="*/ 66 w 66"/>
                <a:gd name="T5" fmla="*/ 86 h 86"/>
                <a:gd name="T6" fmla="*/ 6 w 66"/>
                <a:gd name="T7" fmla="*/ 0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6" y="0"/>
                  </a:moveTo>
                  <a:lnTo>
                    <a:pt x="0" y="4"/>
                  </a:lnTo>
                  <a:lnTo>
                    <a:pt x="66" y="8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1" name="Freeform 222">
              <a:extLst>
                <a:ext uri="{FF2B5EF4-FFF2-40B4-BE49-F238E27FC236}">
                  <a16:creationId xmlns:a16="http://schemas.microsoft.com/office/drawing/2014/main" id="{E4C5A782-FA4E-4600-B36F-1EB92681BBFD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72"/>
                <a:gd name="T1" fmla="*/ 0 h 82"/>
                <a:gd name="T2" fmla="*/ 0 w 72"/>
                <a:gd name="T3" fmla="*/ 5 h 82"/>
                <a:gd name="T4" fmla="*/ 72 w 72"/>
                <a:gd name="T5" fmla="*/ 82 h 82"/>
                <a:gd name="T6" fmla="*/ 6 w 72"/>
                <a:gd name="T7" fmla="*/ 0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6" y="0"/>
                  </a:moveTo>
                  <a:lnTo>
                    <a:pt x="0" y="5"/>
                  </a:lnTo>
                  <a:lnTo>
                    <a:pt x="72" y="8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2" name="Freeform 223">
              <a:extLst>
                <a:ext uri="{FF2B5EF4-FFF2-40B4-BE49-F238E27FC236}">
                  <a16:creationId xmlns:a16="http://schemas.microsoft.com/office/drawing/2014/main" id="{96F46D66-7450-45EC-AA3D-E95E1939078F}"/>
                </a:ext>
              </a:extLst>
            </xdr:cNvPr>
            <xdr:cNvSpPr>
              <a:spLocks/>
            </xdr:cNvSpPr>
          </xdr:nvSpPr>
          <xdr:spPr bwMode="auto">
            <a:xfrm>
              <a:off x="930" y="201"/>
              <a:ext cx="1" cy="1"/>
            </a:xfrm>
            <a:custGeom>
              <a:avLst/>
              <a:gdLst>
                <a:gd name="T0" fmla="*/ 5 w 77"/>
                <a:gd name="T1" fmla="*/ 0 h 77"/>
                <a:gd name="T2" fmla="*/ 0 w 77"/>
                <a:gd name="T3" fmla="*/ 5 h 77"/>
                <a:gd name="T4" fmla="*/ 77 w 77"/>
                <a:gd name="T5" fmla="*/ 77 h 77"/>
                <a:gd name="T6" fmla="*/ 5 w 77"/>
                <a:gd name="T7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5" y="0"/>
                  </a:moveTo>
                  <a:lnTo>
                    <a:pt x="0" y="5"/>
                  </a:lnTo>
                  <a:lnTo>
                    <a:pt x="77" y="7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3" name="Freeform 224">
              <a:extLst>
                <a:ext uri="{FF2B5EF4-FFF2-40B4-BE49-F238E27FC236}">
                  <a16:creationId xmlns:a16="http://schemas.microsoft.com/office/drawing/2014/main" id="{7219E889-CD35-44F2-93C0-F96E2E90F09A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81"/>
                <a:gd name="T1" fmla="*/ 0 h 72"/>
                <a:gd name="T2" fmla="*/ 0 w 81"/>
                <a:gd name="T3" fmla="*/ 5 h 72"/>
                <a:gd name="T4" fmla="*/ 81 w 81"/>
                <a:gd name="T5" fmla="*/ 72 h 72"/>
                <a:gd name="T6" fmla="*/ 4 w 81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4" y="0"/>
                  </a:moveTo>
                  <a:lnTo>
                    <a:pt x="0" y="5"/>
                  </a:lnTo>
                  <a:lnTo>
                    <a:pt x="81" y="7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4" name="Freeform 225">
              <a:extLst>
                <a:ext uri="{FF2B5EF4-FFF2-40B4-BE49-F238E27FC236}">
                  <a16:creationId xmlns:a16="http://schemas.microsoft.com/office/drawing/2014/main" id="{84E8AB5A-CCF4-4AC7-AD1B-FE04E103622A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5 w 86"/>
                <a:gd name="T1" fmla="*/ 0 h 67"/>
                <a:gd name="T2" fmla="*/ 0 w 86"/>
                <a:gd name="T3" fmla="*/ 6 h 67"/>
                <a:gd name="T4" fmla="*/ 86 w 86"/>
                <a:gd name="T5" fmla="*/ 67 h 67"/>
                <a:gd name="T6" fmla="*/ 5 w 86"/>
                <a:gd name="T7" fmla="*/ 0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5" y="0"/>
                  </a:moveTo>
                  <a:lnTo>
                    <a:pt x="0" y="6"/>
                  </a:lnTo>
                  <a:lnTo>
                    <a:pt x="86" y="6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5" name="Freeform 226">
              <a:extLst>
                <a:ext uri="{FF2B5EF4-FFF2-40B4-BE49-F238E27FC236}">
                  <a16:creationId xmlns:a16="http://schemas.microsoft.com/office/drawing/2014/main" id="{361D8C4D-A87E-4DB3-A452-121A8ECA3CAC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90"/>
                <a:gd name="T1" fmla="*/ 0 h 61"/>
                <a:gd name="T2" fmla="*/ 0 w 90"/>
                <a:gd name="T3" fmla="*/ 6 h 61"/>
                <a:gd name="T4" fmla="*/ 90 w 90"/>
                <a:gd name="T5" fmla="*/ 61 h 61"/>
                <a:gd name="T6" fmla="*/ 4 w 90"/>
                <a:gd name="T7" fmla="*/ 0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4" y="0"/>
                  </a:moveTo>
                  <a:lnTo>
                    <a:pt x="0" y="6"/>
                  </a:lnTo>
                  <a:lnTo>
                    <a:pt x="90" y="6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6" name="Freeform 227">
              <a:extLst>
                <a:ext uri="{FF2B5EF4-FFF2-40B4-BE49-F238E27FC236}">
                  <a16:creationId xmlns:a16="http://schemas.microsoft.com/office/drawing/2014/main" id="{22231049-54E2-4E8D-B5F8-6B19A938C2BA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3"/>
                <a:gd name="T1" fmla="*/ 0 h 55"/>
                <a:gd name="T2" fmla="*/ 0 w 93"/>
                <a:gd name="T3" fmla="*/ 6 h 55"/>
                <a:gd name="T4" fmla="*/ 93 w 93"/>
                <a:gd name="T5" fmla="*/ 55 h 55"/>
                <a:gd name="T6" fmla="*/ 3 w 93"/>
                <a:gd name="T7" fmla="*/ 0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5">
                  <a:moveTo>
                    <a:pt x="3" y="0"/>
                  </a:moveTo>
                  <a:lnTo>
                    <a:pt x="0" y="6"/>
                  </a:lnTo>
                  <a:lnTo>
                    <a:pt x="93" y="55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7" name="Freeform 228">
              <a:extLst>
                <a:ext uri="{FF2B5EF4-FFF2-40B4-BE49-F238E27FC236}">
                  <a16:creationId xmlns:a16="http://schemas.microsoft.com/office/drawing/2014/main" id="{CC4B24D7-17C3-49F9-B199-99AA4DDA5E46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6"/>
                <a:gd name="T1" fmla="*/ 0 h 49"/>
                <a:gd name="T2" fmla="*/ 0 w 96"/>
                <a:gd name="T3" fmla="*/ 7 h 49"/>
                <a:gd name="T4" fmla="*/ 96 w 96"/>
                <a:gd name="T5" fmla="*/ 49 h 49"/>
                <a:gd name="T6" fmla="*/ 3 w 96"/>
                <a:gd name="T7" fmla="*/ 0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9">
                  <a:moveTo>
                    <a:pt x="3" y="0"/>
                  </a:moveTo>
                  <a:lnTo>
                    <a:pt x="0" y="7"/>
                  </a:lnTo>
                  <a:lnTo>
                    <a:pt x="96" y="49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8" name="Freeform 229">
              <a:extLst>
                <a:ext uri="{FF2B5EF4-FFF2-40B4-BE49-F238E27FC236}">
                  <a16:creationId xmlns:a16="http://schemas.microsoft.com/office/drawing/2014/main" id="{BB2387B0-62C4-41C3-9D5C-618BF0942370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9"/>
                <a:gd name="T1" fmla="*/ 0 h 42"/>
                <a:gd name="T2" fmla="*/ 0 w 99"/>
                <a:gd name="T3" fmla="*/ 6 h 42"/>
                <a:gd name="T4" fmla="*/ 99 w 99"/>
                <a:gd name="T5" fmla="*/ 42 h 42"/>
                <a:gd name="T6" fmla="*/ 3 w 99"/>
                <a:gd name="T7" fmla="*/ 0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3" y="0"/>
                  </a:moveTo>
                  <a:lnTo>
                    <a:pt x="0" y="6"/>
                  </a:lnTo>
                  <a:lnTo>
                    <a:pt x="99" y="4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9" name="Freeform 230">
              <a:extLst>
                <a:ext uri="{FF2B5EF4-FFF2-40B4-BE49-F238E27FC236}">
                  <a16:creationId xmlns:a16="http://schemas.microsoft.com/office/drawing/2014/main" id="{ACCB7E6C-8490-4F73-ACA5-B35490C65069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1"/>
                <a:gd name="T1" fmla="*/ 0 h 36"/>
                <a:gd name="T2" fmla="*/ 0 w 101"/>
                <a:gd name="T3" fmla="*/ 7 h 36"/>
                <a:gd name="T4" fmla="*/ 101 w 101"/>
                <a:gd name="T5" fmla="*/ 36 h 36"/>
                <a:gd name="T6" fmla="*/ 2 w 101"/>
                <a:gd name="T7" fmla="*/ 0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2" y="0"/>
                  </a:moveTo>
                  <a:lnTo>
                    <a:pt x="0" y="7"/>
                  </a:lnTo>
                  <a:lnTo>
                    <a:pt x="101" y="3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0" name="Freeform 231">
              <a:extLst>
                <a:ext uri="{FF2B5EF4-FFF2-40B4-BE49-F238E27FC236}">
                  <a16:creationId xmlns:a16="http://schemas.microsoft.com/office/drawing/2014/main" id="{92304AB9-1D44-4B77-916A-F1B17B5A736A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3"/>
                <a:gd name="T1" fmla="*/ 0 h 29"/>
                <a:gd name="T2" fmla="*/ 0 w 103"/>
                <a:gd name="T3" fmla="*/ 7 h 29"/>
                <a:gd name="T4" fmla="*/ 103 w 103"/>
                <a:gd name="T5" fmla="*/ 29 h 29"/>
                <a:gd name="T6" fmla="*/ 2 w 103"/>
                <a:gd name="T7" fmla="*/ 0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2" y="0"/>
                  </a:moveTo>
                  <a:lnTo>
                    <a:pt x="0" y="7"/>
                  </a:lnTo>
                  <a:lnTo>
                    <a:pt x="103" y="29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1" name="Freeform 232">
              <a:extLst>
                <a:ext uri="{FF2B5EF4-FFF2-40B4-BE49-F238E27FC236}">
                  <a16:creationId xmlns:a16="http://schemas.microsoft.com/office/drawing/2014/main" id="{7119A9E1-DC44-4FB7-B8A7-86CA962BDD02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1 w 104"/>
                <a:gd name="T1" fmla="*/ 0 h 22"/>
                <a:gd name="T2" fmla="*/ 0 w 104"/>
                <a:gd name="T3" fmla="*/ 7 h 22"/>
                <a:gd name="T4" fmla="*/ 104 w 104"/>
                <a:gd name="T5" fmla="*/ 22 h 22"/>
                <a:gd name="T6" fmla="*/ 1 w 104"/>
                <a:gd name="T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" y="0"/>
                  </a:moveTo>
                  <a:lnTo>
                    <a:pt x="0" y="7"/>
                  </a:lnTo>
                  <a:lnTo>
                    <a:pt x="104" y="2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2" name="Freeform 233">
              <a:extLst>
                <a:ext uri="{FF2B5EF4-FFF2-40B4-BE49-F238E27FC236}">
                  <a16:creationId xmlns:a16="http://schemas.microsoft.com/office/drawing/2014/main" id="{CDADB8E4-2DA7-4CBF-8811-670199DBF3F6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8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8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3" name="Freeform 234">
              <a:extLst>
                <a:ext uri="{FF2B5EF4-FFF2-40B4-BE49-F238E27FC236}">
                  <a16:creationId xmlns:a16="http://schemas.microsoft.com/office/drawing/2014/main" id="{A0FB875A-C90B-402B-AC44-804F6518E4FE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7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4" name="Freeform 235">
              <a:extLst>
                <a:ext uri="{FF2B5EF4-FFF2-40B4-BE49-F238E27FC236}">
                  <a16:creationId xmlns:a16="http://schemas.microsoft.com/office/drawing/2014/main" id="{00A43EAB-9ECD-4509-8EA8-17B1F2C2318D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5" name="Freeform 236">
              <a:extLst>
                <a:ext uri="{FF2B5EF4-FFF2-40B4-BE49-F238E27FC236}">
                  <a16:creationId xmlns:a16="http://schemas.microsoft.com/office/drawing/2014/main" id="{03F4BF5A-1596-4518-8A12-CA7A862274E5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7 h 14"/>
                <a:gd name="T2" fmla="*/ 1 w 105"/>
                <a:gd name="T3" fmla="*/ 14 h 14"/>
                <a:gd name="T4" fmla="*/ 105 w 105"/>
                <a:gd name="T5" fmla="*/ 0 h 14"/>
                <a:gd name="T6" fmla="*/ 0 w 105"/>
                <a:gd name="T7" fmla="*/ 7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0" y="7"/>
                  </a:moveTo>
                  <a:lnTo>
                    <a:pt x="1" y="14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6" name="Freeform 237">
              <a:extLst>
                <a:ext uri="{FF2B5EF4-FFF2-40B4-BE49-F238E27FC236}">
                  <a16:creationId xmlns:a16="http://schemas.microsoft.com/office/drawing/2014/main" id="{C51303F2-0D5B-4697-B424-A9F4AD71DC7B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4"/>
                <a:gd name="T1" fmla="*/ 14 h 21"/>
                <a:gd name="T2" fmla="*/ 1 w 104"/>
                <a:gd name="T3" fmla="*/ 21 h 21"/>
                <a:gd name="T4" fmla="*/ 104 w 104"/>
                <a:gd name="T5" fmla="*/ 0 h 21"/>
                <a:gd name="T6" fmla="*/ 0 w 104"/>
                <a:gd name="T7" fmla="*/ 14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0" y="14"/>
                  </a:moveTo>
                  <a:lnTo>
                    <a:pt x="1" y="21"/>
                  </a:lnTo>
                  <a:lnTo>
                    <a:pt x="104" y="0"/>
                  </a:lnTo>
                  <a:lnTo>
                    <a:pt x="0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7" name="Freeform 238">
              <a:extLst>
                <a:ext uri="{FF2B5EF4-FFF2-40B4-BE49-F238E27FC236}">
                  <a16:creationId xmlns:a16="http://schemas.microsoft.com/office/drawing/2014/main" id="{A98A935D-91B7-4273-B8AA-69A6816AB546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3"/>
                <a:gd name="T1" fmla="*/ 21 h 28"/>
                <a:gd name="T2" fmla="*/ 2 w 103"/>
                <a:gd name="T3" fmla="*/ 28 h 28"/>
                <a:gd name="T4" fmla="*/ 103 w 103"/>
                <a:gd name="T5" fmla="*/ 0 h 28"/>
                <a:gd name="T6" fmla="*/ 0 w 103"/>
                <a:gd name="T7" fmla="*/ 21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0" y="21"/>
                  </a:moveTo>
                  <a:lnTo>
                    <a:pt x="2" y="28"/>
                  </a:lnTo>
                  <a:lnTo>
                    <a:pt x="103" y="0"/>
                  </a:lnTo>
                  <a:lnTo>
                    <a:pt x="0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8" name="Freeform 239">
              <a:extLst>
                <a:ext uri="{FF2B5EF4-FFF2-40B4-BE49-F238E27FC236}">
                  <a16:creationId xmlns:a16="http://schemas.microsoft.com/office/drawing/2014/main" id="{28DF5A7A-EE61-403D-A42E-303DD7DD45E3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1"/>
                <a:gd name="T1" fmla="*/ 28 h 35"/>
                <a:gd name="T2" fmla="*/ 2 w 101"/>
                <a:gd name="T3" fmla="*/ 35 h 35"/>
                <a:gd name="T4" fmla="*/ 101 w 101"/>
                <a:gd name="T5" fmla="*/ 0 h 35"/>
                <a:gd name="T6" fmla="*/ 0 w 101"/>
                <a:gd name="T7" fmla="*/ 28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5">
                  <a:moveTo>
                    <a:pt x="0" y="28"/>
                  </a:moveTo>
                  <a:lnTo>
                    <a:pt x="2" y="35"/>
                  </a:lnTo>
                  <a:lnTo>
                    <a:pt x="101" y="0"/>
                  </a:lnTo>
                  <a:lnTo>
                    <a:pt x="0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9" name="Freeform 240">
              <a:extLst>
                <a:ext uri="{FF2B5EF4-FFF2-40B4-BE49-F238E27FC236}">
                  <a16:creationId xmlns:a16="http://schemas.microsoft.com/office/drawing/2014/main" id="{7F170EAB-4E4E-49A9-97B2-05B10C7863A7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9"/>
                <a:gd name="T1" fmla="*/ 35 h 42"/>
                <a:gd name="T2" fmla="*/ 3 w 99"/>
                <a:gd name="T3" fmla="*/ 42 h 42"/>
                <a:gd name="T4" fmla="*/ 99 w 99"/>
                <a:gd name="T5" fmla="*/ 0 h 42"/>
                <a:gd name="T6" fmla="*/ 0 w 99"/>
                <a:gd name="T7" fmla="*/ 35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0" y="35"/>
                  </a:moveTo>
                  <a:lnTo>
                    <a:pt x="3" y="42"/>
                  </a:lnTo>
                  <a:lnTo>
                    <a:pt x="99" y="0"/>
                  </a:lnTo>
                  <a:lnTo>
                    <a:pt x="0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0" name="Freeform 241">
              <a:extLst>
                <a:ext uri="{FF2B5EF4-FFF2-40B4-BE49-F238E27FC236}">
                  <a16:creationId xmlns:a16="http://schemas.microsoft.com/office/drawing/2014/main" id="{FD56931F-D010-4FB5-A887-C6B73FAAD78A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6"/>
                <a:gd name="T1" fmla="*/ 42 h 48"/>
                <a:gd name="T2" fmla="*/ 3 w 96"/>
                <a:gd name="T3" fmla="*/ 48 h 48"/>
                <a:gd name="T4" fmla="*/ 96 w 96"/>
                <a:gd name="T5" fmla="*/ 0 h 48"/>
                <a:gd name="T6" fmla="*/ 0 w 96"/>
                <a:gd name="T7" fmla="*/ 42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8">
                  <a:moveTo>
                    <a:pt x="0" y="42"/>
                  </a:moveTo>
                  <a:lnTo>
                    <a:pt x="3" y="48"/>
                  </a:lnTo>
                  <a:lnTo>
                    <a:pt x="96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1" name="Freeform 242">
              <a:extLst>
                <a:ext uri="{FF2B5EF4-FFF2-40B4-BE49-F238E27FC236}">
                  <a16:creationId xmlns:a16="http://schemas.microsoft.com/office/drawing/2014/main" id="{D563D8E4-7E28-48D5-9BA5-23BE45064DF4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3"/>
                <a:gd name="T1" fmla="*/ 48 h 54"/>
                <a:gd name="T2" fmla="*/ 3 w 93"/>
                <a:gd name="T3" fmla="*/ 54 h 54"/>
                <a:gd name="T4" fmla="*/ 93 w 93"/>
                <a:gd name="T5" fmla="*/ 0 h 54"/>
                <a:gd name="T6" fmla="*/ 0 w 93"/>
                <a:gd name="T7" fmla="*/ 48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4">
                  <a:moveTo>
                    <a:pt x="0" y="48"/>
                  </a:moveTo>
                  <a:lnTo>
                    <a:pt x="3" y="54"/>
                  </a:lnTo>
                  <a:lnTo>
                    <a:pt x="93" y="0"/>
                  </a:lnTo>
                  <a:lnTo>
                    <a:pt x="0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2" name="Freeform 243">
              <a:extLst>
                <a:ext uri="{FF2B5EF4-FFF2-40B4-BE49-F238E27FC236}">
                  <a16:creationId xmlns:a16="http://schemas.microsoft.com/office/drawing/2014/main" id="{F3870D9F-0348-473A-9CE3-3E5A4645462D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0"/>
                <a:gd name="T1" fmla="*/ 54 h 60"/>
                <a:gd name="T2" fmla="*/ 4 w 90"/>
                <a:gd name="T3" fmla="*/ 60 h 60"/>
                <a:gd name="T4" fmla="*/ 90 w 90"/>
                <a:gd name="T5" fmla="*/ 0 h 60"/>
                <a:gd name="T6" fmla="*/ 0 w 90"/>
                <a:gd name="T7" fmla="*/ 54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0" y="54"/>
                  </a:moveTo>
                  <a:lnTo>
                    <a:pt x="4" y="60"/>
                  </a:lnTo>
                  <a:lnTo>
                    <a:pt x="90" y="0"/>
                  </a:lnTo>
                  <a:lnTo>
                    <a:pt x="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3" name="Freeform 244">
              <a:extLst>
                <a:ext uri="{FF2B5EF4-FFF2-40B4-BE49-F238E27FC236}">
                  <a16:creationId xmlns:a16="http://schemas.microsoft.com/office/drawing/2014/main" id="{1839C002-5CD3-4B2E-9F2D-60519D8FEC48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6"/>
                <a:gd name="T1" fmla="*/ 60 h 66"/>
                <a:gd name="T2" fmla="*/ 5 w 86"/>
                <a:gd name="T3" fmla="*/ 66 h 66"/>
                <a:gd name="T4" fmla="*/ 86 w 86"/>
                <a:gd name="T5" fmla="*/ 0 h 66"/>
                <a:gd name="T6" fmla="*/ 0 w 86"/>
                <a:gd name="T7" fmla="*/ 60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0" y="60"/>
                  </a:moveTo>
                  <a:lnTo>
                    <a:pt x="5" y="66"/>
                  </a:lnTo>
                  <a:lnTo>
                    <a:pt x="86" y="0"/>
                  </a:lnTo>
                  <a:lnTo>
                    <a:pt x="0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4" name="Freeform 245">
              <a:extLst>
                <a:ext uri="{FF2B5EF4-FFF2-40B4-BE49-F238E27FC236}">
                  <a16:creationId xmlns:a16="http://schemas.microsoft.com/office/drawing/2014/main" id="{6BB4E90F-8792-453B-8901-B4753309B3E8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1"/>
                <a:gd name="T1" fmla="*/ 66 h 72"/>
                <a:gd name="T2" fmla="*/ 4 w 81"/>
                <a:gd name="T3" fmla="*/ 72 h 72"/>
                <a:gd name="T4" fmla="*/ 81 w 81"/>
                <a:gd name="T5" fmla="*/ 0 h 72"/>
                <a:gd name="T6" fmla="*/ 0 w 81"/>
                <a:gd name="T7" fmla="*/ 66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0" y="66"/>
                  </a:moveTo>
                  <a:lnTo>
                    <a:pt x="4" y="72"/>
                  </a:lnTo>
                  <a:lnTo>
                    <a:pt x="81" y="0"/>
                  </a:lnTo>
                  <a:lnTo>
                    <a:pt x="0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5" name="Freeform 246">
              <a:extLst>
                <a:ext uri="{FF2B5EF4-FFF2-40B4-BE49-F238E27FC236}">
                  <a16:creationId xmlns:a16="http://schemas.microsoft.com/office/drawing/2014/main" id="{3C8E795B-094F-4C90-BD88-28D5D87EE492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7"/>
                <a:gd name="T1" fmla="*/ 72 h 77"/>
                <a:gd name="T2" fmla="*/ 5 w 77"/>
                <a:gd name="T3" fmla="*/ 77 h 77"/>
                <a:gd name="T4" fmla="*/ 77 w 77"/>
                <a:gd name="T5" fmla="*/ 0 h 77"/>
                <a:gd name="T6" fmla="*/ 0 w 77"/>
                <a:gd name="T7" fmla="*/ 72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0" y="72"/>
                  </a:moveTo>
                  <a:lnTo>
                    <a:pt x="5" y="77"/>
                  </a:lnTo>
                  <a:lnTo>
                    <a:pt x="77" y="0"/>
                  </a:lnTo>
                  <a:lnTo>
                    <a:pt x="0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6" name="Freeform 247">
              <a:extLst>
                <a:ext uri="{FF2B5EF4-FFF2-40B4-BE49-F238E27FC236}">
                  <a16:creationId xmlns:a16="http://schemas.microsoft.com/office/drawing/2014/main" id="{A1B59C12-B059-453E-92F3-1EC73C0D86D9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2"/>
                <a:gd name="T1" fmla="*/ 77 h 81"/>
                <a:gd name="T2" fmla="*/ 6 w 72"/>
                <a:gd name="T3" fmla="*/ 81 h 81"/>
                <a:gd name="T4" fmla="*/ 72 w 72"/>
                <a:gd name="T5" fmla="*/ 0 h 81"/>
                <a:gd name="T6" fmla="*/ 0 w 72"/>
                <a:gd name="T7" fmla="*/ 77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0" y="77"/>
                  </a:moveTo>
                  <a:lnTo>
                    <a:pt x="6" y="81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7" name="Freeform 248">
              <a:extLst>
                <a:ext uri="{FF2B5EF4-FFF2-40B4-BE49-F238E27FC236}">
                  <a16:creationId xmlns:a16="http://schemas.microsoft.com/office/drawing/2014/main" id="{84935BF8-7B06-4DB5-A9D3-F16696EFF01D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6"/>
                <a:gd name="T1" fmla="*/ 81 h 86"/>
                <a:gd name="T2" fmla="*/ 6 w 66"/>
                <a:gd name="T3" fmla="*/ 86 h 86"/>
                <a:gd name="T4" fmla="*/ 66 w 66"/>
                <a:gd name="T5" fmla="*/ 0 h 86"/>
                <a:gd name="T6" fmla="*/ 0 w 66"/>
                <a:gd name="T7" fmla="*/ 81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0" y="81"/>
                  </a:moveTo>
                  <a:lnTo>
                    <a:pt x="6" y="86"/>
                  </a:lnTo>
                  <a:lnTo>
                    <a:pt x="66" y="0"/>
                  </a:lnTo>
                  <a:lnTo>
                    <a:pt x="0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8" name="Freeform 249">
              <a:extLst>
                <a:ext uri="{FF2B5EF4-FFF2-40B4-BE49-F238E27FC236}">
                  <a16:creationId xmlns:a16="http://schemas.microsoft.com/office/drawing/2014/main" id="{EE81D6AE-0DA9-4057-8FE1-F90F5461697E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0"/>
                <a:gd name="T1" fmla="*/ 86 h 90"/>
                <a:gd name="T2" fmla="*/ 6 w 60"/>
                <a:gd name="T3" fmla="*/ 90 h 90"/>
                <a:gd name="T4" fmla="*/ 60 w 60"/>
                <a:gd name="T5" fmla="*/ 0 h 90"/>
                <a:gd name="T6" fmla="*/ 0 w 60"/>
                <a:gd name="T7" fmla="*/ 86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0" y="86"/>
                  </a:moveTo>
                  <a:lnTo>
                    <a:pt x="6" y="90"/>
                  </a:lnTo>
                  <a:lnTo>
                    <a:pt x="60" y="0"/>
                  </a:lnTo>
                  <a:lnTo>
                    <a:pt x="0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9" name="Freeform 250">
              <a:extLst>
                <a:ext uri="{FF2B5EF4-FFF2-40B4-BE49-F238E27FC236}">
                  <a16:creationId xmlns:a16="http://schemas.microsoft.com/office/drawing/2014/main" id="{798D2E53-5C4D-4CF2-A2E7-636DBBAD4D9C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54"/>
                <a:gd name="T1" fmla="*/ 90 h 93"/>
                <a:gd name="T2" fmla="*/ 6 w 54"/>
                <a:gd name="T3" fmla="*/ 93 h 93"/>
                <a:gd name="T4" fmla="*/ 54 w 54"/>
                <a:gd name="T5" fmla="*/ 0 h 93"/>
                <a:gd name="T6" fmla="*/ 0 w 54"/>
                <a:gd name="T7" fmla="*/ 9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3">
                  <a:moveTo>
                    <a:pt x="0" y="90"/>
                  </a:moveTo>
                  <a:lnTo>
                    <a:pt x="6" y="93"/>
                  </a:lnTo>
                  <a:lnTo>
                    <a:pt x="54" y="0"/>
                  </a:lnTo>
                  <a:lnTo>
                    <a:pt x="0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" name="Freeform 251">
              <a:extLst>
                <a:ext uri="{FF2B5EF4-FFF2-40B4-BE49-F238E27FC236}">
                  <a16:creationId xmlns:a16="http://schemas.microsoft.com/office/drawing/2014/main" id="{B2C2E75A-D17F-4A8D-A509-1EA8751DC60F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48"/>
                <a:gd name="T1" fmla="*/ 93 h 96"/>
                <a:gd name="T2" fmla="*/ 6 w 48"/>
                <a:gd name="T3" fmla="*/ 96 h 96"/>
                <a:gd name="T4" fmla="*/ 48 w 48"/>
                <a:gd name="T5" fmla="*/ 0 h 96"/>
                <a:gd name="T6" fmla="*/ 0 w 48"/>
                <a:gd name="T7" fmla="*/ 9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6">
                  <a:moveTo>
                    <a:pt x="0" y="93"/>
                  </a:moveTo>
                  <a:lnTo>
                    <a:pt x="6" y="96"/>
                  </a:lnTo>
                  <a:lnTo>
                    <a:pt x="48" y="0"/>
                  </a:lnTo>
                  <a:lnTo>
                    <a:pt x="0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5" name="Group 453">
            <a:extLst>
              <a:ext uri="{FF2B5EF4-FFF2-40B4-BE49-F238E27FC236}">
                <a16:creationId xmlns:a16="http://schemas.microsoft.com/office/drawing/2014/main" id="{DF30035C-695A-4CC3-B279-5041FD5EBB85}"/>
              </a:ext>
            </a:extLst>
          </xdr:cNvPr>
          <xdr:cNvGrpSpPr>
            <a:grpSpLocks/>
          </xdr:cNvGrpSpPr>
        </xdr:nvGrpSpPr>
        <xdr:grpSpPr bwMode="auto">
          <a:xfrm>
            <a:off x="930" y="188"/>
            <a:ext cx="262" cy="16"/>
            <a:chOff x="930" y="188"/>
            <a:chExt cx="262" cy="16"/>
          </a:xfrm>
        </xdr:grpSpPr>
        <xdr:sp macro="" textlink="">
          <xdr:nvSpPr>
            <xdr:cNvPr id="141" name="Freeform 253">
              <a:extLst>
                <a:ext uri="{FF2B5EF4-FFF2-40B4-BE49-F238E27FC236}">
                  <a16:creationId xmlns:a16="http://schemas.microsoft.com/office/drawing/2014/main" id="{BE7CDE63-1824-4002-8F20-C77DC3F71428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42"/>
                <a:gd name="T1" fmla="*/ 96 h 99"/>
                <a:gd name="T2" fmla="*/ 7 w 42"/>
                <a:gd name="T3" fmla="*/ 99 h 99"/>
                <a:gd name="T4" fmla="*/ 42 w 42"/>
                <a:gd name="T5" fmla="*/ 0 h 99"/>
                <a:gd name="T6" fmla="*/ 0 w 42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0" y="96"/>
                  </a:moveTo>
                  <a:lnTo>
                    <a:pt x="7" y="99"/>
                  </a:lnTo>
                  <a:lnTo>
                    <a:pt x="42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2" name="Freeform 254">
              <a:extLst>
                <a:ext uri="{FF2B5EF4-FFF2-40B4-BE49-F238E27FC236}">
                  <a16:creationId xmlns:a16="http://schemas.microsoft.com/office/drawing/2014/main" id="{8EF79BD6-8DAE-4AC6-964C-0EB00D832DFC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35"/>
                <a:gd name="T1" fmla="*/ 99 h 101"/>
                <a:gd name="T2" fmla="*/ 7 w 35"/>
                <a:gd name="T3" fmla="*/ 101 h 101"/>
                <a:gd name="T4" fmla="*/ 35 w 35"/>
                <a:gd name="T5" fmla="*/ 0 h 101"/>
                <a:gd name="T6" fmla="*/ 0 w 35"/>
                <a:gd name="T7" fmla="*/ 99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0" y="99"/>
                  </a:moveTo>
                  <a:lnTo>
                    <a:pt x="7" y="101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3" name="Freeform 255">
              <a:extLst>
                <a:ext uri="{FF2B5EF4-FFF2-40B4-BE49-F238E27FC236}">
                  <a16:creationId xmlns:a16="http://schemas.microsoft.com/office/drawing/2014/main" id="{2AD2DDF0-2BC9-47A4-85D6-C9D9836D5E47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8"/>
                <a:gd name="T1" fmla="*/ 101 h 103"/>
                <a:gd name="T2" fmla="*/ 7 w 28"/>
                <a:gd name="T3" fmla="*/ 103 h 103"/>
                <a:gd name="T4" fmla="*/ 28 w 28"/>
                <a:gd name="T5" fmla="*/ 0 h 103"/>
                <a:gd name="T6" fmla="*/ 0 w 28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0" y="101"/>
                  </a:moveTo>
                  <a:lnTo>
                    <a:pt x="7" y="103"/>
                  </a:lnTo>
                  <a:lnTo>
                    <a:pt x="28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4" name="Freeform 256">
              <a:extLst>
                <a:ext uri="{FF2B5EF4-FFF2-40B4-BE49-F238E27FC236}">
                  <a16:creationId xmlns:a16="http://schemas.microsoft.com/office/drawing/2014/main" id="{E5E0FAC3-6F8C-4195-9733-70FB38ADDA83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1"/>
                <a:gd name="T1" fmla="*/ 103 h 104"/>
                <a:gd name="T2" fmla="*/ 7 w 21"/>
                <a:gd name="T3" fmla="*/ 104 h 104"/>
                <a:gd name="T4" fmla="*/ 21 w 21"/>
                <a:gd name="T5" fmla="*/ 0 h 104"/>
                <a:gd name="T6" fmla="*/ 0 w 21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4">
                  <a:moveTo>
                    <a:pt x="0" y="103"/>
                  </a:moveTo>
                  <a:lnTo>
                    <a:pt x="7" y="104"/>
                  </a:lnTo>
                  <a:lnTo>
                    <a:pt x="21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5" name="Freeform 257">
              <a:extLst>
                <a:ext uri="{FF2B5EF4-FFF2-40B4-BE49-F238E27FC236}">
                  <a16:creationId xmlns:a16="http://schemas.microsoft.com/office/drawing/2014/main" id="{0EE3B22A-2AA2-449C-9090-53CF3FE975E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14"/>
                <a:gd name="T1" fmla="*/ 104 h 105"/>
                <a:gd name="T2" fmla="*/ 7 w 14"/>
                <a:gd name="T3" fmla="*/ 105 h 105"/>
                <a:gd name="T4" fmla="*/ 14 w 14"/>
                <a:gd name="T5" fmla="*/ 0 h 105"/>
                <a:gd name="T6" fmla="*/ 0 w 14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0" y="104"/>
                  </a:moveTo>
                  <a:lnTo>
                    <a:pt x="7" y="105"/>
                  </a:lnTo>
                  <a:lnTo>
                    <a:pt x="14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6" name="Freeform 258">
              <a:extLst>
                <a:ext uri="{FF2B5EF4-FFF2-40B4-BE49-F238E27FC236}">
                  <a16:creationId xmlns:a16="http://schemas.microsoft.com/office/drawing/2014/main" id="{2ACA6F14-069F-4D64-BC76-521FAC6DA0E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7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7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7" name="Freeform 259">
              <a:extLst>
                <a:ext uri="{FF2B5EF4-FFF2-40B4-BE49-F238E27FC236}">
                  <a16:creationId xmlns:a16="http://schemas.microsoft.com/office/drawing/2014/main" id="{9B56B765-B1B8-47A4-A257-36E40921E74B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8" name="Freeform 260">
              <a:extLst>
                <a:ext uri="{FF2B5EF4-FFF2-40B4-BE49-F238E27FC236}">
                  <a16:creationId xmlns:a16="http://schemas.microsoft.com/office/drawing/2014/main" id="{000012F2-D25A-44A8-AFE7-C68EB8E67CD1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9" name="Freeform 261">
              <a:extLst>
                <a:ext uri="{FF2B5EF4-FFF2-40B4-BE49-F238E27FC236}">
                  <a16:creationId xmlns:a16="http://schemas.microsoft.com/office/drawing/2014/main" id="{55584965-499F-440B-9C4B-BAFE2F9EB9D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0" name="Freeform 262">
              <a:extLst>
                <a:ext uri="{FF2B5EF4-FFF2-40B4-BE49-F238E27FC236}">
                  <a16:creationId xmlns:a16="http://schemas.microsoft.com/office/drawing/2014/main" id="{C6AAC5C8-FDBB-42CA-A5ED-7D0A9D17534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2 w 29"/>
                <a:gd name="T1" fmla="*/ 103 h 103"/>
                <a:gd name="T2" fmla="*/ 29 w 29"/>
                <a:gd name="T3" fmla="*/ 101 h 103"/>
                <a:gd name="T4" fmla="*/ 0 w 29"/>
                <a:gd name="T5" fmla="*/ 0 h 103"/>
                <a:gd name="T6" fmla="*/ 22 w 29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2" y="103"/>
                  </a:moveTo>
                  <a:lnTo>
                    <a:pt x="29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1" name="Freeform 263">
              <a:extLst>
                <a:ext uri="{FF2B5EF4-FFF2-40B4-BE49-F238E27FC236}">
                  <a16:creationId xmlns:a16="http://schemas.microsoft.com/office/drawing/2014/main" id="{23325996-1984-4308-88F1-9F9698EE5755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9 w 35"/>
                <a:gd name="T1" fmla="*/ 101 h 101"/>
                <a:gd name="T2" fmla="*/ 35 w 35"/>
                <a:gd name="T3" fmla="*/ 99 h 101"/>
                <a:gd name="T4" fmla="*/ 0 w 35"/>
                <a:gd name="T5" fmla="*/ 0 h 101"/>
                <a:gd name="T6" fmla="*/ 29 w 35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29" y="101"/>
                  </a:moveTo>
                  <a:lnTo>
                    <a:pt x="35" y="99"/>
                  </a:lnTo>
                  <a:lnTo>
                    <a:pt x="0" y="0"/>
                  </a:lnTo>
                  <a:lnTo>
                    <a:pt x="29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2" name="Freeform 264">
              <a:extLst>
                <a:ext uri="{FF2B5EF4-FFF2-40B4-BE49-F238E27FC236}">
                  <a16:creationId xmlns:a16="http://schemas.microsoft.com/office/drawing/2014/main" id="{A734C81A-35A7-450C-96EF-63352F3E3DA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2"/>
            </a:xfrm>
            <a:custGeom>
              <a:avLst/>
              <a:gdLst>
                <a:gd name="T0" fmla="*/ 35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5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5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5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3" name="Freeform 265">
              <a:extLst>
                <a:ext uri="{FF2B5EF4-FFF2-40B4-BE49-F238E27FC236}">
                  <a16:creationId xmlns:a16="http://schemas.microsoft.com/office/drawing/2014/main" id="{D69927ED-1EC6-4332-AF87-47178E1B59B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2 w 49"/>
                <a:gd name="T1" fmla="*/ 96 h 96"/>
                <a:gd name="T2" fmla="*/ 49 w 49"/>
                <a:gd name="T3" fmla="*/ 93 h 96"/>
                <a:gd name="T4" fmla="*/ 0 w 49"/>
                <a:gd name="T5" fmla="*/ 0 h 96"/>
                <a:gd name="T6" fmla="*/ 42 w 49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6">
                  <a:moveTo>
                    <a:pt x="42" y="96"/>
                  </a:moveTo>
                  <a:lnTo>
                    <a:pt x="49" y="93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4" name="Freeform 266">
              <a:extLst>
                <a:ext uri="{FF2B5EF4-FFF2-40B4-BE49-F238E27FC236}">
                  <a16:creationId xmlns:a16="http://schemas.microsoft.com/office/drawing/2014/main" id="{CEC6FE1F-B7A0-466D-A2CB-C4E3EE4506BC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9 w 55"/>
                <a:gd name="T1" fmla="*/ 93 h 93"/>
                <a:gd name="T2" fmla="*/ 55 w 55"/>
                <a:gd name="T3" fmla="*/ 90 h 93"/>
                <a:gd name="T4" fmla="*/ 0 w 55"/>
                <a:gd name="T5" fmla="*/ 0 h 93"/>
                <a:gd name="T6" fmla="*/ 49 w 55"/>
                <a:gd name="T7" fmla="*/ 93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3">
                  <a:moveTo>
                    <a:pt x="49" y="93"/>
                  </a:moveTo>
                  <a:lnTo>
                    <a:pt x="55" y="90"/>
                  </a:lnTo>
                  <a:lnTo>
                    <a:pt x="0" y="0"/>
                  </a:lnTo>
                  <a:lnTo>
                    <a:pt x="49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5" name="Freeform 267">
              <a:extLst>
                <a:ext uri="{FF2B5EF4-FFF2-40B4-BE49-F238E27FC236}">
                  <a16:creationId xmlns:a16="http://schemas.microsoft.com/office/drawing/2014/main" id="{0FABE21F-40DD-4735-8EC9-7D079540D19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55 w 61"/>
                <a:gd name="T1" fmla="*/ 90 h 90"/>
                <a:gd name="T2" fmla="*/ 61 w 61"/>
                <a:gd name="T3" fmla="*/ 86 h 90"/>
                <a:gd name="T4" fmla="*/ 0 w 61"/>
                <a:gd name="T5" fmla="*/ 0 h 90"/>
                <a:gd name="T6" fmla="*/ 55 w 61"/>
                <a:gd name="T7" fmla="*/ 9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55" y="90"/>
                  </a:moveTo>
                  <a:lnTo>
                    <a:pt x="61" y="86"/>
                  </a:lnTo>
                  <a:lnTo>
                    <a:pt x="0" y="0"/>
                  </a:lnTo>
                  <a:lnTo>
                    <a:pt x="55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6" name="Freeform 268">
              <a:extLst>
                <a:ext uri="{FF2B5EF4-FFF2-40B4-BE49-F238E27FC236}">
                  <a16:creationId xmlns:a16="http://schemas.microsoft.com/office/drawing/2014/main" id="{23CBC80B-AFD2-40E2-A56B-B9ABCD2DDC56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1 w 67"/>
                <a:gd name="T1" fmla="*/ 86 h 86"/>
                <a:gd name="T2" fmla="*/ 67 w 67"/>
                <a:gd name="T3" fmla="*/ 81 h 86"/>
                <a:gd name="T4" fmla="*/ 0 w 67"/>
                <a:gd name="T5" fmla="*/ 0 h 86"/>
                <a:gd name="T6" fmla="*/ 61 w 67"/>
                <a:gd name="T7" fmla="*/ 86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1" y="86"/>
                  </a:moveTo>
                  <a:lnTo>
                    <a:pt x="67" y="81"/>
                  </a:lnTo>
                  <a:lnTo>
                    <a:pt x="0" y="0"/>
                  </a:lnTo>
                  <a:lnTo>
                    <a:pt x="61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7" name="Freeform 269">
              <a:extLst>
                <a:ext uri="{FF2B5EF4-FFF2-40B4-BE49-F238E27FC236}">
                  <a16:creationId xmlns:a16="http://schemas.microsoft.com/office/drawing/2014/main" id="{14D23044-FB65-40FE-A211-E84D0A1E3971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7 w 72"/>
                <a:gd name="T1" fmla="*/ 81 h 81"/>
                <a:gd name="T2" fmla="*/ 72 w 72"/>
                <a:gd name="T3" fmla="*/ 77 h 81"/>
                <a:gd name="T4" fmla="*/ 0 w 72"/>
                <a:gd name="T5" fmla="*/ 0 h 81"/>
                <a:gd name="T6" fmla="*/ 67 w 72"/>
                <a:gd name="T7" fmla="*/ 81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67" y="81"/>
                  </a:moveTo>
                  <a:lnTo>
                    <a:pt x="72" y="77"/>
                  </a:lnTo>
                  <a:lnTo>
                    <a:pt x="0" y="0"/>
                  </a:lnTo>
                  <a:lnTo>
                    <a:pt x="67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8" name="Freeform 270">
              <a:extLst>
                <a:ext uri="{FF2B5EF4-FFF2-40B4-BE49-F238E27FC236}">
                  <a16:creationId xmlns:a16="http://schemas.microsoft.com/office/drawing/2014/main" id="{D2781C14-F6C6-4C15-B787-B34C819D4CA9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2 w 77"/>
                <a:gd name="T1" fmla="*/ 77 h 77"/>
                <a:gd name="T2" fmla="*/ 77 w 77"/>
                <a:gd name="T3" fmla="*/ 72 h 77"/>
                <a:gd name="T4" fmla="*/ 0 w 77"/>
                <a:gd name="T5" fmla="*/ 0 h 77"/>
                <a:gd name="T6" fmla="*/ 72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2" y="77"/>
                  </a:moveTo>
                  <a:lnTo>
                    <a:pt x="77" y="72"/>
                  </a:lnTo>
                  <a:lnTo>
                    <a:pt x="0" y="0"/>
                  </a:lnTo>
                  <a:lnTo>
                    <a:pt x="72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9" name="Freeform 271">
              <a:extLst>
                <a:ext uri="{FF2B5EF4-FFF2-40B4-BE49-F238E27FC236}">
                  <a16:creationId xmlns:a16="http://schemas.microsoft.com/office/drawing/2014/main" id="{8563B4DD-0E1F-4538-91E5-23F9B9B4EF6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7 w 82"/>
                <a:gd name="T1" fmla="*/ 72 h 72"/>
                <a:gd name="T2" fmla="*/ 82 w 82"/>
                <a:gd name="T3" fmla="*/ 66 h 72"/>
                <a:gd name="T4" fmla="*/ 0 w 82"/>
                <a:gd name="T5" fmla="*/ 0 h 72"/>
                <a:gd name="T6" fmla="*/ 77 w 82"/>
                <a:gd name="T7" fmla="*/ 72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77" y="72"/>
                  </a:moveTo>
                  <a:lnTo>
                    <a:pt x="82" y="66"/>
                  </a:lnTo>
                  <a:lnTo>
                    <a:pt x="0" y="0"/>
                  </a:lnTo>
                  <a:lnTo>
                    <a:pt x="77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0" name="Freeform 272">
              <a:extLst>
                <a:ext uri="{FF2B5EF4-FFF2-40B4-BE49-F238E27FC236}">
                  <a16:creationId xmlns:a16="http://schemas.microsoft.com/office/drawing/2014/main" id="{D869B2E0-D2C2-4C4F-9C5F-8E955A6DBDD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2 w 86"/>
                <a:gd name="T1" fmla="*/ 66 h 66"/>
                <a:gd name="T2" fmla="*/ 86 w 86"/>
                <a:gd name="T3" fmla="*/ 60 h 66"/>
                <a:gd name="T4" fmla="*/ 0 w 86"/>
                <a:gd name="T5" fmla="*/ 0 h 66"/>
                <a:gd name="T6" fmla="*/ 82 w 86"/>
                <a:gd name="T7" fmla="*/ 66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82" y="66"/>
                  </a:moveTo>
                  <a:lnTo>
                    <a:pt x="86" y="60"/>
                  </a:lnTo>
                  <a:lnTo>
                    <a:pt x="0" y="0"/>
                  </a:lnTo>
                  <a:lnTo>
                    <a:pt x="82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1" name="Freeform 273">
              <a:extLst>
                <a:ext uri="{FF2B5EF4-FFF2-40B4-BE49-F238E27FC236}">
                  <a16:creationId xmlns:a16="http://schemas.microsoft.com/office/drawing/2014/main" id="{9DBD86E6-8518-4940-A335-C162EFF5C55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6 w 90"/>
                <a:gd name="T1" fmla="*/ 60 h 60"/>
                <a:gd name="T2" fmla="*/ 90 w 90"/>
                <a:gd name="T3" fmla="*/ 54 h 60"/>
                <a:gd name="T4" fmla="*/ 0 w 90"/>
                <a:gd name="T5" fmla="*/ 0 h 60"/>
                <a:gd name="T6" fmla="*/ 86 w 90"/>
                <a:gd name="T7" fmla="*/ 60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86" y="60"/>
                  </a:moveTo>
                  <a:lnTo>
                    <a:pt x="90" y="54"/>
                  </a:lnTo>
                  <a:lnTo>
                    <a:pt x="0" y="0"/>
                  </a:lnTo>
                  <a:lnTo>
                    <a:pt x="86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2" name="Freeform 274">
              <a:extLst>
                <a:ext uri="{FF2B5EF4-FFF2-40B4-BE49-F238E27FC236}">
                  <a16:creationId xmlns:a16="http://schemas.microsoft.com/office/drawing/2014/main" id="{687459EE-FF86-4208-BEAE-82C13388FD7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0 w 94"/>
                <a:gd name="T1" fmla="*/ 54 h 54"/>
                <a:gd name="T2" fmla="*/ 94 w 94"/>
                <a:gd name="T3" fmla="*/ 48 h 54"/>
                <a:gd name="T4" fmla="*/ 0 w 94"/>
                <a:gd name="T5" fmla="*/ 0 h 54"/>
                <a:gd name="T6" fmla="*/ 90 w 94"/>
                <a:gd name="T7" fmla="*/ 54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4">
                  <a:moveTo>
                    <a:pt x="90" y="54"/>
                  </a:moveTo>
                  <a:lnTo>
                    <a:pt x="94" y="48"/>
                  </a:lnTo>
                  <a:lnTo>
                    <a:pt x="0" y="0"/>
                  </a:lnTo>
                  <a:lnTo>
                    <a:pt x="9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3" name="Freeform 275">
              <a:extLst>
                <a:ext uri="{FF2B5EF4-FFF2-40B4-BE49-F238E27FC236}">
                  <a16:creationId xmlns:a16="http://schemas.microsoft.com/office/drawing/2014/main" id="{1C85FF7C-7C9B-4B70-B0B3-777FFABF356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4 w 97"/>
                <a:gd name="T1" fmla="*/ 48 h 48"/>
                <a:gd name="T2" fmla="*/ 97 w 97"/>
                <a:gd name="T3" fmla="*/ 42 h 48"/>
                <a:gd name="T4" fmla="*/ 0 w 97"/>
                <a:gd name="T5" fmla="*/ 0 h 48"/>
                <a:gd name="T6" fmla="*/ 94 w 97"/>
                <a:gd name="T7" fmla="*/ 48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8">
                  <a:moveTo>
                    <a:pt x="94" y="48"/>
                  </a:moveTo>
                  <a:lnTo>
                    <a:pt x="97" y="42"/>
                  </a:lnTo>
                  <a:lnTo>
                    <a:pt x="0" y="0"/>
                  </a:lnTo>
                  <a:lnTo>
                    <a:pt x="94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4" name="Freeform 276">
              <a:extLst>
                <a:ext uri="{FF2B5EF4-FFF2-40B4-BE49-F238E27FC236}">
                  <a16:creationId xmlns:a16="http://schemas.microsoft.com/office/drawing/2014/main" id="{9D6C5761-2672-405A-A09E-6BA11EDC11B3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7 w 99"/>
                <a:gd name="T1" fmla="*/ 42 h 42"/>
                <a:gd name="T2" fmla="*/ 99 w 99"/>
                <a:gd name="T3" fmla="*/ 35 h 42"/>
                <a:gd name="T4" fmla="*/ 0 w 99"/>
                <a:gd name="T5" fmla="*/ 0 h 42"/>
                <a:gd name="T6" fmla="*/ 97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7" y="42"/>
                  </a:moveTo>
                  <a:lnTo>
                    <a:pt x="99" y="35"/>
                  </a:lnTo>
                  <a:lnTo>
                    <a:pt x="0" y="0"/>
                  </a:lnTo>
                  <a:lnTo>
                    <a:pt x="97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5" name="Freeform 277">
              <a:extLst>
                <a:ext uri="{FF2B5EF4-FFF2-40B4-BE49-F238E27FC236}">
                  <a16:creationId xmlns:a16="http://schemas.microsoft.com/office/drawing/2014/main" id="{EAD1438C-811B-4E94-8D49-386EE0A1693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99 w 102"/>
                <a:gd name="T1" fmla="*/ 35 h 35"/>
                <a:gd name="T2" fmla="*/ 102 w 102"/>
                <a:gd name="T3" fmla="*/ 28 h 35"/>
                <a:gd name="T4" fmla="*/ 0 w 102"/>
                <a:gd name="T5" fmla="*/ 0 h 35"/>
                <a:gd name="T6" fmla="*/ 99 w 102"/>
                <a:gd name="T7" fmla="*/ 35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99" y="35"/>
                  </a:moveTo>
                  <a:lnTo>
                    <a:pt x="102" y="28"/>
                  </a:lnTo>
                  <a:lnTo>
                    <a:pt x="0" y="0"/>
                  </a:lnTo>
                  <a:lnTo>
                    <a:pt x="99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6" name="Freeform 278">
              <a:extLst>
                <a:ext uri="{FF2B5EF4-FFF2-40B4-BE49-F238E27FC236}">
                  <a16:creationId xmlns:a16="http://schemas.microsoft.com/office/drawing/2014/main" id="{3CDA5DA8-9415-47E6-9994-2BB11AA877A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2 w 103"/>
                <a:gd name="T1" fmla="*/ 28 h 28"/>
                <a:gd name="T2" fmla="*/ 103 w 103"/>
                <a:gd name="T3" fmla="*/ 21 h 28"/>
                <a:gd name="T4" fmla="*/ 0 w 103"/>
                <a:gd name="T5" fmla="*/ 0 h 28"/>
                <a:gd name="T6" fmla="*/ 102 w 103"/>
                <a:gd name="T7" fmla="*/ 28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102" y="28"/>
                  </a:moveTo>
                  <a:lnTo>
                    <a:pt x="103" y="21"/>
                  </a:lnTo>
                  <a:lnTo>
                    <a:pt x="0" y="0"/>
                  </a:lnTo>
                  <a:lnTo>
                    <a:pt x="102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7" name="Freeform 279">
              <a:extLst>
                <a:ext uri="{FF2B5EF4-FFF2-40B4-BE49-F238E27FC236}">
                  <a16:creationId xmlns:a16="http://schemas.microsoft.com/office/drawing/2014/main" id="{D9A499AC-EFEA-48C7-9FA7-424FD07212FB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3 w 104"/>
                <a:gd name="T1" fmla="*/ 21 h 21"/>
                <a:gd name="T2" fmla="*/ 104 w 104"/>
                <a:gd name="T3" fmla="*/ 14 h 21"/>
                <a:gd name="T4" fmla="*/ 0 w 104"/>
                <a:gd name="T5" fmla="*/ 0 h 21"/>
                <a:gd name="T6" fmla="*/ 103 w 104"/>
                <a:gd name="T7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103" y="21"/>
                  </a:moveTo>
                  <a:lnTo>
                    <a:pt x="104" y="14"/>
                  </a:lnTo>
                  <a:lnTo>
                    <a:pt x="0" y="0"/>
                  </a:lnTo>
                  <a:lnTo>
                    <a:pt x="103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8" name="Freeform 280">
              <a:extLst>
                <a:ext uri="{FF2B5EF4-FFF2-40B4-BE49-F238E27FC236}">
                  <a16:creationId xmlns:a16="http://schemas.microsoft.com/office/drawing/2014/main" id="{E6FDCC15-1CE3-4691-85F6-6AAEDA05DD9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4 w 105"/>
                <a:gd name="T1" fmla="*/ 14 h 14"/>
                <a:gd name="T2" fmla="*/ 105 w 105"/>
                <a:gd name="T3" fmla="*/ 7 h 14"/>
                <a:gd name="T4" fmla="*/ 0 w 105"/>
                <a:gd name="T5" fmla="*/ 0 h 14"/>
                <a:gd name="T6" fmla="*/ 104 w 105"/>
                <a:gd name="T7" fmla="*/ 14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104" y="14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9" name="Freeform 281">
              <a:extLst>
                <a:ext uri="{FF2B5EF4-FFF2-40B4-BE49-F238E27FC236}">
                  <a16:creationId xmlns:a16="http://schemas.microsoft.com/office/drawing/2014/main" id="{9A92A001-750F-4BE8-A815-F44276BB377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0" name="Freeform 282">
              <a:extLst>
                <a:ext uri="{FF2B5EF4-FFF2-40B4-BE49-F238E27FC236}">
                  <a16:creationId xmlns:a16="http://schemas.microsoft.com/office/drawing/2014/main" id="{5C5549F9-86E3-4D74-A288-A32CB3149A70}"/>
                </a:ext>
              </a:extLst>
            </xdr:cNvPr>
            <xdr:cNvSpPr>
              <a:spLocks/>
            </xdr:cNvSpPr>
          </xdr:nvSpPr>
          <xdr:spPr bwMode="auto">
            <a:xfrm>
              <a:off x="1017" y="188"/>
              <a:ext cx="6" cy="9"/>
            </a:xfrm>
            <a:custGeom>
              <a:avLst/>
              <a:gdLst>
                <a:gd name="T0" fmla="*/ 351 w 351"/>
                <a:gd name="T1" fmla="*/ 439 h 526"/>
                <a:gd name="T2" fmla="*/ 264 w 351"/>
                <a:gd name="T3" fmla="*/ 526 h 526"/>
                <a:gd name="T4" fmla="*/ 87 w 351"/>
                <a:gd name="T5" fmla="*/ 526 h 526"/>
                <a:gd name="T6" fmla="*/ 0 w 351"/>
                <a:gd name="T7" fmla="*/ 439 h 526"/>
                <a:gd name="T8" fmla="*/ 0 w 351"/>
                <a:gd name="T9" fmla="*/ 88 h 526"/>
                <a:gd name="T10" fmla="*/ 87 w 351"/>
                <a:gd name="T11" fmla="*/ 0 h 526"/>
                <a:gd name="T12" fmla="*/ 264 w 351"/>
                <a:gd name="T13" fmla="*/ 0 h 526"/>
                <a:gd name="T14" fmla="*/ 351 w 351"/>
                <a:gd name="T15" fmla="*/ 88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351" h="526">
                  <a:moveTo>
                    <a:pt x="351" y="439"/>
                  </a:moveTo>
                  <a:lnTo>
                    <a:pt x="264" y="526"/>
                  </a:lnTo>
                  <a:lnTo>
                    <a:pt x="87" y="526"/>
                  </a:lnTo>
                  <a:lnTo>
                    <a:pt x="0" y="439"/>
                  </a:lnTo>
                  <a:lnTo>
                    <a:pt x="0" y="88"/>
                  </a:lnTo>
                  <a:lnTo>
                    <a:pt x="87" y="0"/>
                  </a:lnTo>
                  <a:lnTo>
                    <a:pt x="264" y="0"/>
                  </a:lnTo>
                  <a:lnTo>
                    <a:pt x="351" y="88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71" name="Freeform 283">
              <a:extLst>
                <a:ext uri="{FF2B5EF4-FFF2-40B4-BE49-F238E27FC236}">
                  <a16:creationId xmlns:a16="http://schemas.microsoft.com/office/drawing/2014/main" id="{E8F974A1-F57E-4192-9045-54CB03F7F47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8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8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2" name="Freeform 284">
              <a:extLst>
                <a:ext uri="{FF2B5EF4-FFF2-40B4-BE49-F238E27FC236}">
                  <a16:creationId xmlns:a16="http://schemas.microsoft.com/office/drawing/2014/main" id="{FDC496ED-FCFA-4EF6-9F61-070BA7B97DF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7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3" name="Freeform 285">
              <a:extLst>
                <a:ext uri="{FF2B5EF4-FFF2-40B4-BE49-F238E27FC236}">
                  <a16:creationId xmlns:a16="http://schemas.microsoft.com/office/drawing/2014/main" id="{9F967A46-E0EF-445D-AA2E-DA503AF340AA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4 w 104"/>
                <a:gd name="T1" fmla="*/ 8 h 23"/>
                <a:gd name="T2" fmla="*/ 103 w 104"/>
                <a:gd name="T3" fmla="*/ 0 h 23"/>
                <a:gd name="T4" fmla="*/ 0 w 104"/>
                <a:gd name="T5" fmla="*/ 23 h 23"/>
                <a:gd name="T6" fmla="*/ 104 w 104"/>
                <a:gd name="T7" fmla="*/ 8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04" y="8"/>
                  </a:moveTo>
                  <a:lnTo>
                    <a:pt x="103" y="0"/>
                  </a:lnTo>
                  <a:lnTo>
                    <a:pt x="0" y="23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4" name="Freeform 286">
              <a:extLst>
                <a:ext uri="{FF2B5EF4-FFF2-40B4-BE49-F238E27FC236}">
                  <a16:creationId xmlns:a16="http://schemas.microsoft.com/office/drawing/2014/main" id="{7365F51A-169F-49C5-A0BF-7D2CE4C68E74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3 w 103"/>
                <a:gd name="T1" fmla="*/ 7 h 30"/>
                <a:gd name="T2" fmla="*/ 101 w 103"/>
                <a:gd name="T3" fmla="*/ 0 h 30"/>
                <a:gd name="T4" fmla="*/ 0 w 103"/>
                <a:gd name="T5" fmla="*/ 30 h 30"/>
                <a:gd name="T6" fmla="*/ 103 w 103"/>
                <a:gd name="T7" fmla="*/ 7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103" y="7"/>
                  </a:moveTo>
                  <a:lnTo>
                    <a:pt x="101" y="0"/>
                  </a:lnTo>
                  <a:lnTo>
                    <a:pt x="0" y="30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5" name="Freeform 287">
              <a:extLst>
                <a:ext uri="{FF2B5EF4-FFF2-40B4-BE49-F238E27FC236}">
                  <a16:creationId xmlns:a16="http://schemas.microsoft.com/office/drawing/2014/main" id="{D5F690FB-2C1B-4254-8C8A-D3A49C01AF24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1 w 101"/>
                <a:gd name="T1" fmla="*/ 7 h 37"/>
                <a:gd name="T2" fmla="*/ 99 w 101"/>
                <a:gd name="T3" fmla="*/ 0 h 37"/>
                <a:gd name="T4" fmla="*/ 0 w 101"/>
                <a:gd name="T5" fmla="*/ 37 h 37"/>
                <a:gd name="T6" fmla="*/ 101 w 101"/>
                <a:gd name="T7" fmla="*/ 7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101" y="7"/>
                  </a:moveTo>
                  <a:lnTo>
                    <a:pt x="99" y="0"/>
                  </a:lnTo>
                  <a:lnTo>
                    <a:pt x="0" y="37"/>
                  </a:lnTo>
                  <a:lnTo>
                    <a:pt x="101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6" name="Freeform 288">
              <a:extLst>
                <a:ext uri="{FF2B5EF4-FFF2-40B4-BE49-F238E27FC236}">
                  <a16:creationId xmlns:a16="http://schemas.microsoft.com/office/drawing/2014/main" id="{17CAD270-1B09-4418-B010-9918FA778883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9 w 99"/>
                <a:gd name="T1" fmla="*/ 7 h 44"/>
                <a:gd name="T2" fmla="*/ 96 w 99"/>
                <a:gd name="T3" fmla="*/ 0 h 44"/>
                <a:gd name="T4" fmla="*/ 0 w 99"/>
                <a:gd name="T5" fmla="*/ 44 h 44"/>
                <a:gd name="T6" fmla="*/ 99 w 99"/>
                <a:gd name="T7" fmla="*/ 7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99" y="7"/>
                  </a:moveTo>
                  <a:lnTo>
                    <a:pt x="96" y="0"/>
                  </a:lnTo>
                  <a:lnTo>
                    <a:pt x="0" y="44"/>
                  </a:lnTo>
                  <a:lnTo>
                    <a:pt x="99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7" name="Freeform 289">
              <a:extLst>
                <a:ext uri="{FF2B5EF4-FFF2-40B4-BE49-F238E27FC236}">
                  <a16:creationId xmlns:a16="http://schemas.microsoft.com/office/drawing/2014/main" id="{4C56BD43-C99F-4E0D-A543-8EE5EC30A0E5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6 w 96"/>
                <a:gd name="T1" fmla="*/ 7 h 51"/>
                <a:gd name="T2" fmla="*/ 92 w 96"/>
                <a:gd name="T3" fmla="*/ 0 h 51"/>
                <a:gd name="T4" fmla="*/ 0 w 96"/>
                <a:gd name="T5" fmla="*/ 51 h 51"/>
                <a:gd name="T6" fmla="*/ 96 w 96"/>
                <a:gd name="T7" fmla="*/ 7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96" y="7"/>
                  </a:moveTo>
                  <a:lnTo>
                    <a:pt x="92" y="0"/>
                  </a:lnTo>
                  <a:lnTo>
                    <a:pt x="0" y="51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8" name="Freeform 290">
              <a:extLst>
                <a:ext uri="{FF2B5EF4-FFF2-40B4-BE49-F238E27FC236}">
                  <a16:creationId xmlns:a16="http://schemas.microsoft.com/office/drawing/2014/main" id="{1128D1AE-2D17-4AC8-9BB8-2D29B778006E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2 w 92"/>
                <a:gd name="T1" fmla="*/ 6 h 57"/>
                <a:gd name="T2" fmla="*/ 88 w 92"/>
                <a:gd name="T3" fmla="*/ 0 h 57"/>
                <a:gd name="T4" fmla="*/ 0 w 92"/>
                <a:gd name="T5" fmla="*/ 57 h 57"/>
                <a:gd name="T6" fmla="*/ 92 w 92"/>
                <a:gd name="T7" fmla="*/ 6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92" y="6"/>
                  </a:moveTo>
                  <a:lnTo>
                    <a:pt x="88" y="0"/>
                  </a:lnTo>
                  <a:lnTo>
                    <a:pt x="0" y="57"/>
                  </a:lnTo>
                  <a:lnTo>
                    <a:pt x="92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9" name="Freeform 291">
              <a:extLst>
                <a:ext uri="{FF2B5EF4-FFF2-40B4-BE49-F238E27FC236}">
                  <a16:creationId xmlns:a16="http://schemas.microsoft.com/office/drawing/2014/main" id="{061872B2-CC00-4549-B292-8D7B3FB698B1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8 w 88"/>
                <a:gd name="T1" fmla="*/ 6 h 63"/>
                <a:gd name="T2" fmla="*/ 84 w 88"/>
                <a:gd name="T3" fmla="*/ 0 h 63"/>
                <a:gd name="T4" fmla="*/ 0 w 88"/>
                <a:gd name="T5" fmla="*/ 63 h 63"/>
                <a:gd name="T6" fmla="*/ 88 w 88"/>
                <a:gd name="T7" fmla="*/ 6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8" y="6"/>
                  </a:moveTo>
                  <a:lnTo>
                    <a:pt x="84" y="0"/>
                  </a:lnTo>
                  <a:lnTo>
                    <a:pt x="0" y="63"/>
                  </a:lnTo>
                  <a:lnTo>
                    <a:pt x="88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0" name="Freeform 292">
              <a:extLst>
                <a:ext uri="{FF2B5EF4-FFF2-40B4-BE49-F238E27FC236}">
                  <a16:creationId xmlns:a16="http://schemas.microsoft.com/office/drawing/2014/main" id="{3F98A3FF-D1B8-4511-9799-BBDF902BB7CF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4 w 84"/>
                <a:gd name="T1" fmla="*/ 6 h 69"/>
                <a:gd name="T2" fmla="*/ 79 w 84"/>
                <a:gd name="T3" fmla="*/ 0 h 69"/>
                <a:gd name="T4" fmla="*/ 0 w 84"/>
                <a:gd name="T5" fmla="*/ 69 h 69"/>
                <a:gd name="T6" fmla="*/ 84 w 84"/>
                <a:gd name="T7" fmla="*/ 6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84" y="6"/>
                  </a:moveTo>
                  <a:lnTo>
                    <a:pt x="79" y="0"/>
                  </a:lnTo>
                  <a:lnTo>
                    <a:pt x="0" y="69"/>
                  </a:lnTo>
                  <a:lnTo>
                    <a:pt x="8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1" name="Freeform 293">
              <a:extLst>
                <a:ext uri="{FF2B5EF4-FFF2-40B4-BE49-F238E27FC236}">
                  <a16:creationId xmlns:a16="http://schemas.microsoft.com/office/drawing/2014/main" id="{F5AA0BDD-7C37-41FC-9C94-C0953847A8FA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79 w 79"/>
                <a:gd name="T1" fmla="*/ 6 h 75"/>
                <a:gd name="T2" fmla="*/ 74 w 79"/>
                <a:gd name="T3" fmla="*/ 0 h 75"/>
                <a:gd name="T4" fmla="*/ 0 w 79"/>
                <a:gd name="T5" fmla="*/ 75 h 75"/>
                <a:gd name="T6" fmla="*/ 79 w 79"/>
                <a:gd name="T7" fmla="*/ 6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5">
                  <a:moveTo>
                    <a:pt x="79" y="6"/>
                  </a:moveTo>
                  <a:lnTo>
                    <a:pt x="74" y="0"/>
                  </a:lnTo>
                  <a:lnTo>
                    <a:pt x="0" y="75"/>
                  </a:lnTo>
                  <a:lnTo>
                    <a:pt x="7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2" name="Freeform 294">
              <a:extLst>
                <a:ext uri="{FF2B5EF4-FFF2-40B4-BE49-F238E27FC236}">
                  <a16:creationId xmlns:a16="http://schemas.microsoft.com/office/drawing/2014/main" id="{031D091A-6BE2-4D18-A3F0-72EE20004B77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74 w 74"/>
                <a:gd name="T1" fmla="*/ 5 h 80"/>
                <a:gd name="T2" fmla="*/ 69 w 74"/>
                <a:gd name="T3" fmla="*/ 0 h 80"/>
                <a:gd name="T4" fmla="*/ 0 w 74"/>
                <a:gd name="T5" fmla="*/ 80 h 80"/>
                <a:gd name="T6" fmla="*/ 74 w 74"/>
                <a:gd name="T7" fmla="*/ 5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74" y="5"/>
                  </a:moveTo>
                  <a:lnTo>
                    <a:pt x="69" y="0"/>
                  </a:lnTo>
                  <a:lnTo>
                    <a:pt x="0" y="80"/>
                  </a:lnTo>
                  <a:lnTo>
                    <a:pt x="74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3" name="Freeform 295">
              <a:extLst>
                <a:ext uri="{FF2B5EF4-FFF2-40B4-BE49-F238E27FC236}">
                  <a16:creationId xmlns:a16="http://schemas.microsoft.com/office/drawing/2014/main" id="{79ADB767-AB25-4F01-B1EE-F49161972557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9 w 69"/>
                <a:gd name="T1" fmla="*/ 5 h 85"/>
                <a:gd name="T2" fmla="*/ 63 w 69"/>
                <a:gd name="T3" fmla="*/ 0 h 85"/>
                <a:gd name="T4" fmla="*/ 0 w 69"/>
                <a:gd name="T5" fmla="*/ 85 h 85"/>
                <a:gd name="T6" fmla="*/ 69 w 69"/>
                <a:gd name="T7" fmla="*/ 5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9" y="5"/>
                  </a:moveTo>
                  <a:lnTo>
                    <a:pt x="63" y="0"/>
                  </a:lnTo>
                  <a:lnTo>
                    <a:pt x="0" y="85"/>
                  </a:lnTo>
                  <a:lnTo>
                    <a:pt x="69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4" name="Freeform 296">
              <a:extLst>
                <a:ext uri="{FF2B5EF4-FFF2-40B4-BE49-F238E27FC236}">
                  <a16:creationId xmlns:a16="http://schemas.microsoft.com/office/drawing/2014/main" id="{717F6F10-A6B4-4F60-9B05-4BEA0994F3A1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3 w 63"/>
                <a:gd name="T1" fmla="*/ 4 h 89"/>
                <a:gd name="T2" fmla="*/ 57 w 63"/>
                <a:gd name="T3" fmla="*/ 0 h 89"/>
                <a:gd name="T4" fmla="*/ 0 w 63"/>
                <a:gd name="T5" fmla="*/ 89 h 89"/>
                <a:gd name="T6" fmla="*/ 63 w 63"/>
                <a:gd name="T7" fmla="*/ 4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3" y="4"/>
                  </a:moveTo>
                  <a:lnTo>
                    <a:pt x="57" y="0"/>
                  </a:lnTo>
                  <a:lnTo>
                    <a:pt x="0" y="89"/>
                  </a:lnTo>
                  <a:lnTo>
                    <a:pt x="63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5" name="Freeform 297">
              <a:extLst>
                <a:ext uri="{FF2B5EF4-FFF2-40B4-BE49-F238E27FC236}">
                  <a16:creationId xmlns:a16="http://schemas.microsoft.com/office/drawing/2014/main" id="{2B2DDE2E-DC2B-4C01-9455-5EB879C89694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57 w 57"/>
                <a:gd name="T1" fmla="*/ 4 h 93"/>
                <a:gd name="T2" fmla="*/ 50 w 57"/>
                <a:gd name="T3" fmla="*/ 0 h 93"/>
                <a:gd name="T4" fmla="*/ 0 w 57"/>
                <a:gd name="T5" fmla="*/ 93 h 93"/>
                <a:gd name="T6" fmla="*/ 57 w 57"/>
                <a:gd name="T7" fmla="*/ 4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57" y="4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6" name="Freeform 298">
              <a:extLst>
                <a:ext uri="{FF2B5EF4-FFF2-40B4-BE49-F238E27FC236}">
                  <a16:creationId xmlns:a16="http://schemas.microsoft.com/office/drawing/2014/main" id="{64F3A987-33CE-471A-81D2-CB6FE397F39C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50 w 50"/>
                <a:gd name="T1" fmla="*/ 3 h 96"/>
                <a:gd name="T2" fmla="*/ 44 w 50"/>
                <a:gd name="T3" fmla="*/ 0 h 96"/>
                <a:gd name="T4" fmla="*/ 0 w 50"/>
                <a:gd name="T5" fmla="*/ 96 h 96"/>
                <a:gd name="T6" fmla="*/ 50 w 50"/>
                <a:gd name="T7" fmla="*/ 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50" y="3"/>
                  </a:moveTo>
                  <a:lnTo>
                    <a:pt x="44" y="0"/>
                  </a:lnTo>
                  <a:lnTo>
                    <a:pt x="0" y="96"/>
                  </a:lnTo>
                  <a:lnTo>
                    <a:pt x="50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7" name="Freeform 299">
              <a:extLst>
                <a:ext uri="{FF2B5EF4-FFF2-40B4-BE49-F238E27FC236}">
                  <a16:creationId xmlns:a16="http://schemas.microsoft.com/office/drawing/2014/main" id="{D0B93378-AA2D-453F-9408-6B8A6276720B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44 w 44"/>
                <a:gd name="T1" fmla="*/ 3 h 99"/>
                <a:gd name="T2" fmla="*/ 37 w 44"/>
                <a:gd name="T3" fmla="*/ 0 h 99"/>
                <a:gd name="T4" fmla="*/ 0 w 44"/>
                <a:gd name="T5" fmla="*/ 99 h 99"/>
                <a:gd name="T6" fmla="*/ 44 w 44"/>
                <a:gd name="T7" fmla="*/ 3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44" y="3"/>
                  </a:moveTo>
                  <a:lnTo>
                    <a:pt x="37" y="0"/>
                  </a:lnTo>
                  <a:lnTo>
                    <a:pt x="0" y="99"/>
                  </a:lnTo>
                  <a:lnTo>
                    <a:pt x="44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8" name="Freeform 300">
              <a:extLst>
                <a:ext uri="{FF2B5EF4-FFF2-40B4-BE49-F238E27FC236}">
                  <a16:creationId xmlns:a16="http://schemas.microsoft.com/office/drawing/2014/main" id="{FF85BB15-392C-46B7-8F64-0CC1410F4E57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7 w 37"/>
                <a:gd name="T1" fmla="*/ 2 h 101"/>
                <a:gd name="T2" fmla="*/ 30 w 37"/>
                <a:gd name="T3" fmla="*/ 0 h 101"/>
                <a:gd name="T4" fmla="*/ 0 w 37"/>
                <a:gd name="T5" fmla="*/ 101 h 101"/>
                <a:gd name="T6" fmla="*/ 37 w 37"/>
                <a:gd name="T7" fmla="*/ 2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7" y="2"/>
                  </a:moveTo>
                  <a:lnTo>
                    <a:pt x="30" y="0"/>
                  </a:lnTo>
                  <a:lnTo>
                    <a:pt x="0" y="101"/>
                  </a:lnTo>
                  <a:lnTo>
                    <a:pt x="37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9" name="Freeform 301">
              <a:extLst>
                <a:ext uri="{FF2B5EF4-FFF2-40B4-BE49-F238E27FC236}">
                  <a16:creationId xmlns:a16="http://schemas.microsoft.com/office/drawing/2014/main" id="{8AF60056-7DE5-4B0A-9ED6-76962D378448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0 w 30"/>
                <a:gd name="T1" fmla="*/ 2 h 103"/>
                <a:gd name="T2" fmla="*/ 22 w 30"/>
                <a:gd name="T3" fmla="*/ 0 h 103"/>
                <a:gd name="T4" fmla="*/ 0 w 30"/>
                <a:gd name="T5" fmla="*/ 103 h 103"/>
                <a:gd name="T6" fmla="*/ 30 w 30"/>
                <a:gd name="T7" fmla="*/ 2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30" y="2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30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0" name="Freeform 302">
              <a:extLst>
                <a:ext uri="{FF2B5EF4-FFF2-40B4-BE49-F238E27FC236}">
                  <a16:creationId xmlns:a16="http://schemas.microsoft.com/office/drawing/2014/main" id="{51AA4FB1-8691-4BFB-82BC-71EF5547A3A4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1" name="Freeform 303">
              <a:extLst>
                <a:ext uri="{FF2B5EF4-FFF2-40B4-BE49-F238E27FC236}">
                  <a16:creationId xmlns:a16="http://schemas.microsoft.com/office/drawing/2014/main" id="{33D02FF2-1EE8-48DF-B7BD-A5EF0E9794A2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2" name="Freeform 304">
              <a:extLst>
                <a:ext uri="{FF2B5EF4-FFF2-40B4-BE49-F238E27FC236}">
                  <a16:creationId xmlns:a16="http://schemas.microsoft.com/office/drawing/2014/main" id="{02BDB195-9F4E-45FD-9CC9-5BD82A0BD12C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3" name="Freeform 305">
              <a:extLst>
                <a:ext uri="{FF2B5EF4-FFF2-40B4-BE49-F238E27FC236}">
                  <a16:creationId xmlns:a16="http://schemas.microsoft.com/office/drawing/2014/main" id="{0EC5F172-1AB0-4808-B2F9-03C98D61EE2F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8 w 8"/>
                <a:gd name="T1" fmla="*/ 0 h 106"/>
                <a:gd name="T2" fmla="*/ 0 w 8"/>
                <a:gd name="T3" fmla="*/ 1 h 106"/>
                <a:gd name="T4" fmla="*/ 8 w 8"/>
                <a:gd name="T5" fmla="*/ 106 h 106"/>
                <a:gd name="T6" fmla="*/ 8 w 8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6">
                  <a:moveTo>
                    <a:pt x="8" y="0"/>
                  </a:moveTo>
                  <a:lnTo>
                    <a:pt x="0" y="1"/>
                  </a:lnTo>
                  <a:lnTo>
                    <a:pt x="8" y="106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4" name="Freeform 306">
              <a:extLst>
                <a:ext uri="{FF2B5EF4-FFF2-40B4-BE49-F238E27FC236}">
                  <a16:creationId xmlns:a16="http://schemas.microsoft.com/office/drawing/2014/main" id="{DC27C222-A6D8-46AE-A3EF-5BD601BDAB19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15"/>
                <a:gd name="T1" fmla="*/ 0 h 105"/>
                <a:gd name="T2" fmla="*/ 0 w 15"/>
                <a:gd name="T3" fmla="*/ 0 h 105"/>
                <a:gd name="T4" fmla="*/ 15 w 15"/>
                <a:gd name="T5" fmla="*/ 105 h 105"/>
                <a:gd name="T6" fmla="*/ 7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0"/>
                  </a:moveTo>
                  <a:lnTo>
                    <a:pt x="0" y="0"/>
                  </a:lnTo>
                  <a:lnTo>
                    <a:pt x="15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5" name="Freeform 307">
              <a:extLst>
                <a:ext uri="{FF2B5EF4-FFF2-40B4-BE49-F238E27FC236}">
                  <a16:creationId xmlns:a16="http://schemas.microsoft.com/office/drawing/2014/main" id="{F5505304-B9D1-4209-8A71-8A437EBD4A94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22"/>
                <a:gd name="T1" fmla="*/ 0 h 105"/>
                <a:gd name="T2" fmla="*/ 0 w 22"/>
                <a:gd name="T3" fmla="*/ 2 h 105"/>
                <a:gd name="T4" fmla="*/ 22 w 22"/>
                <a:gd name="T5" fmla="*/ 105 h 105"/>
                <a:gd name="T6" fmla="*/ 7 w 22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7" y="0"/>
                  </a:moveTo>
                  <a:lnTo>
                    <a:pt x="0" y="2"/>
                  </a:lnTo>
                  <a:lnTo>
                    <a:pt x="22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6" name="Freeform 308">
              <a:extLst>
                <a:ext uri="{FF2B5EF4-FFF2-40B4-BE49-F238E27FC236}">
                  <a16:creationId xmlns:a16="http://schemas.microsoft.com/office/drawing/2014/main" id="{7A343E89-9C34-4D9C-8BEF-0ABA3A9749F6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8 w 30"/>
                <a:gd name="T1" fmla="*/ 0 h 103"/>
                <a:gd name="T2" fmla="*/ 0 w 30"/>
                <a:gd name="T3" fmla="*/ 2 h 103"/>
                <a:gd name="T4" fmla="*/ 30 w 30"/>
                <a:gd name="T5" fmla="*/ 103 h 103"/>
                <a:gd name="T6" fmla="*/ 8 w 30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8" y="0"/>
                  </a:moveTo>
                  <a:lnTo>
                    <a:pt x="0" y="2"/>
                  </a:lnTo>
                  <a:lnTo>
                    <a:pt x="30" y="10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7" name="Freeform 309">
              <a:extLst>
                <a:ext uri="{FF2B5EF4-FFF2-40B4-BE49-F238E27FC236}">
                  <a16:creationId xmlns:a16="http://schemas.microsoft.com/office/drawing/2014/main" id="{23049549-B762-43A7-9062-8238F4ACD5D2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37"/>
                <a:gd name="T1" fmla="*/ 0 h 101"/>
                <a:gd name="T2" fmla="*/ 0 w 37"/>
                <a:gd name="T3" fmla="*/ 2 h 101"/>
                <a:gd name="T4" fmla="*/ 37 w 37"/>
                <a:gd name="T5" fmla="*/ 101 h 101"/>
                <a:gd name="T6" fmla="*/ 7 w 37"/>
                <a:gd name="T7" fmla="*/ 0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7" y="0"/>
                  </a:moveTo>
                  <a:lnTo>
                    <a:pt x="0" y="2"/>
                  </a:lnTo>
                  <a:lnTo>
                    <a:pt x="37" y="10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8" name="Freeform 310">
              <a:extLst>
                <a:ext uri="{FF2B5EF4-FFF2-40B4-BE49-F238E27FC236}">
                  <a16:creationId xmlns:a16="http://schemas.microsoft.com/office/drawing/2014/main" id="{B4DCE679-DDFB-4320-AEDE-436B0AF86BC8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44"/>
                <a:gd name="T1" fmla="*/ 0 h 99"/>
                <a:gd name="T2" fmla="*/ 0 w 44"/>
                <a:gd name="T3" fmla="*/ 3 h 99"/>
                <a:gd name="T4" fmla="*/ 44 w 44"/>
                <a:gd name="T5" fmla="*/ 99 h 99"/>
                <a:gd name="T6" fmla="*/ 7 w 44"/>
                <a:gd name="T7" fmla="*/ 0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7" y="0"/>
                  </a:moveTo>
                  <a:lnTo>
                    <a:pt x="0" y="3"/>
                  </a:lnTo>
                  <a:lnTo>
                    <a:pt x="44" y="99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9" name="Freeform 311">
              <a:extLst>
                <a:ext uri="{FF2B5EF4-FFF2-40B4-BE49-F238E27FC236}">
                  <a16:creationId xmlns:a16="http://schemas.microsoft.com/office/drawing/2014/main" id="{482FA371-5459-4DC0-8C73-0F146816C558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50"/>
                <a:gd name="T1" fmla="*/ 0 h 96"/>
                <a:gd name="T2" fmla="*/ 0 w 50"/>
                <a:gd name="T3" fmla="*/ 3 h 96"/>
                <a:gd name="T4" fmla="*/ 50 w 50"/>
                <a:gd name="T5" fmla="*/ 96 h 96"/>
                <a:gd name="T6" fmla="*/ 6 w 50"/>
                <a:gd name="T7" fmla="*/ 0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6" y="0"/>
                  </a:moveTo>
                  <a:lnTo>
                    <a:pt x="0" y="3"/>
                  </a:lnTo>
                  <a:lnTo>
                    <a:pt x="50" y="9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0" name="Freeform 312">
              <a:extLst>
                <a:ext uri="{FF2B5EF4-FFF2-40B4-BE49-F238E27FC236}">
                  <a16:creationId xmlns:a16="http://schemas.microsoft.com/office/drawing/2014/main" id="{415A61F4-4D80-4AAE-A03F-7DC626D41436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57"/>
                <a:gd name="T1" fmla="*/ 0 h 93"/>
                <a:gd name="T2" fmla="*/ 0 w 57"/>
                <a:gd name="T3" fmla="*/ 4 h 93"/>
                <a:gd name="T4" fmla="*/ 57 w 57"/>
                <a:gd name="T5" fmla="*/ 93 h 93"/>
                <a:gd name="T6" fmla="*/ 7 w 57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7" y="0"/>
                  </a:moveTo>
                  <a:lnTo>
                    <a:pt x="0" y="4"/>
                  </a:lnTo>
                  <a:lnTo>
                    <a:pt x="57" y="9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1" name="Freeform 313">
              <a:extLst>
                <a:ext uri="{FF2B5EF4-FFF2-40B4-BE49-F238E27FC236}">
                  <a16:creationId xmlns:a16="http://schemas.microsoft.com/office/drawing/2014/main" id="{73D6929A-D619-4D2F-849B-01B65BE563FE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63"/>
                <a:gd name="T1" fmla="*/ 0 h 89"/>
                <a:gd name="T2" fmla="*/ 0 w 63"/>
                <a:gd name="T3" fmla="*/ 4 h 89"/>
                <a:gd name="T4" fmla="*/ 63 w 63"/>
                <a:gd name="T5" fmla="*/ 89 h 89"/>
                <a:gd name="T6" fmla="*/ 6 w 63"/>
                <a:gd name="T7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" y="0"/>
                  </a:moveTo>
                  <a:lnTo>
                    <a:pt x="0" y="4"/>
                  </a:lnTo>
                  <a:lnTo>
                    <a:pt x="63" y="89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2" name="Freeform 314">
              <a:extLst>
                <a:ext uri="{FF2B5EF4-FFF2-40B4-BE49-F238E27FC236}">
                  <a16:creationId xmlns:a16="http://schemas.microsoft.com/office/drawing/2014/main" id="{97516936-27E3-4F22-8DCD-326CBDB32A44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6 w 69"/>
                <a:gd name="T1" fmla="*/ 0 h 85"/>
                <a:gd name="T2" fmla="*/ 0 w 69"/>
                <a:gd name="T3" fmla="*/ 5 h 85"/>
                <a:gd name="T4" fmla="*/ 69 w 69"/>
                <a:gd name="T5" fmla="*/ 85 h 85"/>
                <a:gd name="T6" fmla="*/ 6 w 69"/>
                <a:gd name="T7" fmla="*/ 0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" y="0"/>
                  </a:moveTo>
                  <a:lnTo>
                    <a:pt x="0" y="5"/>
                  </a:lnTo>
                  <a:lnTo>
                    <a:pt x="69" y="8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3" name="Freeform 315">
              <a:extLst>
                <a:ext uri="{FF2B5EF4-FFF2-40B4-BE49-F238E27FC236}">
                  <a16:creationId xmlns:a16="http://schemas.microsoft.com/office/drawing/2014/main" id="{AF16E0CF-3EC6-47DC-979A-1F62F2708774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5 w 74"/>
                <a:gd name="T1" fmla="*/ 0 h 80"/>
                <a:gd name="T2" fmla="*/ 0 w 74"/>
                <a:gd name="T3" fmla="*/ 5 h 80"/>
                <a:gd name="T4" fmla="*/ 74 w 74"/>
                <a:gd name="T5" fmla="*/ 80 h 80"/>
                <a:gd name="T6" fmla="*/ 5 w 74"/>
                <a:gd name="T7" fmla="*/ 0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5" y="0"/>
                  </a:moveTo>
                  <a:lnTo>
                    <a:pt x="0" y="5"/>
                  </a:lnTo>
                  <a:lnTo>
                    <a:pt x="74" y="8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4" name="Freeform 316">
              <a:extLst>
                <a:ext uri="{FF2B5EF4-FFF2-40B4-BE49-F238E27FC236}">
                  <a16:creationId xmlns:a16="http://schemas.microsoft.com/office/drawing/2014/main" id="{5F26E232-42A0-4A33-BEA2-A095D72BB76C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6 w 80"/>
                <a:gd name="T1" fmla="*/ 0 h 75"/>
                <a:gd name="T2" fmla="*/ 0 w 80"/>
                <a:gd name="T3" fmla="*/ 6 h 75"/>
                <a:gd name="T4" fmla="*/ 80 w 80"/>
                <a:gd name="T5" fmla="*/ 75 h 75"/>
                <a:gd name="T6" fmla="*/ 6 w 80"/>
                <a:gd name="T7" fmla="*/ 0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5">
                  <a:moveTo>
                    <a:pt x="6" y="0"/>
                  </a:moveTo>
                  <a:lnTo>
                    <a:pt x="0" y="6"/>
                  </a:lnTo>
                  <a:lnTo>
                    <a:pt x="80" y="7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5" name="Freeform 317">
              <a:extLst>
                <a:ext uri="{FF2B5EF4-FFF2-40B4-BE49-F238E27FC236}">
                  <a16:creationId xmlns:a16="http://schemas.microsoft.com/office/drawing/2014/main" id="{06B7B2B6-5667-418E-9A5D-71092E18D309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84"/>
                <a:gd name="T1" fmla="*/ 0 h 69"/>
                <a:gd name="T2" fmla="*/ 0 w 84"/>
                <a:gd name="T3" fmla="*/ 6 h 69"/>
                <a:gd name="T4" fmla="*/ 84 w 84"/>
                <a:gd name="T5" fmla="*/ 69 h 69"/>
                <a:gd name="T6" fmla="*/ 4 w 84"/>
                <a:gd name="T7" fmla="*/ 0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4" y="0"/>
                  </a:moveTo>
                  <a:lnTo>
                    <a:pt x="0" y="6"/>
                  </a:lnTo>
                  <a:lnTo>
                    <a:pt x="84" y="69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6" name="Freeform 318">
              <a:extLst>
                <a:ext uri="{FF2B5EF4-FFF2-40B4-BE49-F238E27FC236}">
                  <a16:creationId xmlns:a16="http://schemas.microsoft.com/office/drawing/2014/main" id="{0423F2E3-FCD5-4400-BBBF-43CFCF7B5F81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5 w 89"/>
                <a:gd name="T1" fmla="*/ 0 h 63"/>
                <a:gd name="T2" fmla="*/ 0 w 89"/>
                <a:gd name="T3" fmla="*/ 6 h 63"/>
                <a:gd name="T4" fmla="*/ 89 w 89"/>
                <a:gd name="T5" fmla="*/ 63 h 63"/>
                <a:gd name="T6" fmla="*/ 5 w 89"/>
                <a:gd name="T7" fmla="*/ 0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5" y="0"/>
                  </a:moveTo>
                  <a:lnTo>
                    <a:pt x="0" y="6"/>
                  </a:lnTo>
                  <a:lnTo>
                    <a:pt x="89" y="63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7" name="Freeform 319">
              <a:extLst>
                <a:ext uri="{FF2B5EF4-FFF2-40B4-BE49-F238E27FC236}">
                  <a16:creationId xmlns:a16="http://schemas.microsoft.com/office/drawing/2014/main" id="{1D1E4487-CF10-4397-B5A7-DF8379AA18DD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2"/>
                <a:gd name="T1" fmla="*/ 0 h 57"/>
                <a:gd name="T2" fmla="*/ 0 w 92"/>
                <a:gd name="T3" fmla="*/ 6 h 57"/>
                <a:gd name="T4" fmla="*/ 92 w 92"/>
                <a:gd name="T5" fmla="*/ 57 h 57"/>
                <a:gd name="T6" fmla="*/ 3 w 92"/>
                <a:gd name="T7" fmla="*/ 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3" y="0"/>
                  </a:moveTo>
                  <a:lnTo>
                    <a:pt x="0" y="6"/>
                  </a:lnTo>
                  <a:lnTo>
                    <a:pt x="92" y="57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8" name="Freeform 320">
              <a:extLst>
                <a:ext uri="{FF2B5EF4-FFF2-40B4-BE49-F238E27FC236}">
                  <a16:creationId xmlns:a16="http://schemas.microsoft.com/office/drawing/2014/main" id="{C3B9AB99-F89D-47BF-91F7-7FBEBB29EFBA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96"/>
                <a:gd name="T1" fmla="*/ 0 h 51"/>
                <a:gd name="T2" fmla="*/ 0 w 96"/>
                <a:gd name="T3" fmla="*/ 7 h 51"/>
                <a:gd name="T4" fmla="*/ 96 w 96"/>
                <a:gd name="T5" fmla="*/ 51 h 51"/>
                <a:gd name="T6" fmla="*/ 4 w 96"/>
                <a:gd name="T7" fmla="*/ 0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4" y="0"/>
                  </a:moveTo>
                  <a:lnTo>
                    <a:pt x="0" y="7"/>
                  </a:lnTo>
                  <a:lnTo>
                    <a:pt x="96" y="5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9" name="Freeform 321">
              <a:extLst>
                <a:ext uri="{FF2B5EF4-FFF2-40B4-BE49-F238E27FC236}">
                  <a16:creationId xmlns:a16="http://schemas.microsoft.com/office/drawing/2014/main" id="{9DFF1360-FCD2-4C48-9F48-E337A4939723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9"/>
                <a:gd name="T1" fmla="*/ 0 h 44"/>
                <a:gd name="T2" fmla="*/ 0 w 99"/>
                <a:gd name="T3" fmla="*/ 7 h 44"/>
                <a:gd name="T4" fmla="*/ 99 w 99"/>
                <a:gd name="T5" fmla="*/ 44 h 44"/>
                <a:gd name="T6" fmla="*/ 3 w 99"/>
                <a:gd name="T7" fmla="*/ 0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3" y="0"/>
                  </a:moveTo>
                  <a:lnTo>
                    <a:pt x="0" y="7"/>
                  </a:lnTo>
                  <a:lnTo>
                    <a:pt x="99" y="44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0" name="Freeform 322">
              <a:extLst>
                <a:ext uri="{FF2B5EF4-FFF2-40B4-BE49-F238E27FC236}">
                  <a16:creationId xmlns:a16="http://schemas.microsoft.com/office/drawing/2014/main" id="{A895E898-FFC9-410D-8804-FDE9125BF0B0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1"/>
                <a:gd name="T1" fmla="*/ 0 h 37"/>
                <a:gd name="T2" fmla="*/ 0 w 101"/>
                <a:gd name="T3" fmla="*/ 7 h 37"/>
                <a:gd name="T4" fmla="*/ 101 w 101"/>
                <a:gd name="T5" fmla="*/ 37 h 37"/>
                <a:gd name="T6" fmla="*/ 2 w 101"/>
                <a:gd name="T7" fmla="*/ 0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2" y="0"/>
                  </a:moveTo>
                  <a:lnTo>
                    <a:pt x="0" y="7"/>
                  </a:lnTo>
                  <a:lnTo>
                    <a:pt x="101" y="37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1" name="Freeform 323">
              <a:extLst>
                <a:ext uri="{FF2B5EF4-FFF2-40B4-BE49-F238E27FC236}">
                  <a16:creationId xmlns:a16="http://schemas.microsoft.com/office/drawing/2014/main" id="{7C6A6079-2457-47F5-92DD-BC6BDE808442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3"/>
                <a:gd name="T1" fmla="*/ 0 h 30"/>
                <a:gd name="T2" fmla="*/ 0 w 103"/>
                <a:gd name="T3" fmla="*/ 7 h 30"/>
                <a:gd name="T4" fmla="*/ 103 w 103"/>
                <a:gd name="T5" fmla="*/ 30 h 30"/>
                <a:gd name="T6" fmla="*/ 2 w 103"/>
                <a:gd name="T7" fmla="*/ 0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2" y="0"/>
                  </a:moveTo>
                  <a:lnTo>
                    <a:pt x="0" y="7"/>
                  </a:lnTo>
                  <a:lnTo>
                    <a:pt x="103" y="3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2" name="Freeform 324">
              <a:extLst>
                <a:ext uri="{FF2B5EF4-FFF2-40B4-BE49-F238E27FC236}">
                  <a16:creationId xmlns:a16="http://schemas.microsoft.com/office/drawing/2014/main" id="{A0737246-5326-4B4C-977D-EBD2AED0B437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1 w 104"/>
                <a:gd name="T1" fmla="*/ 0 h 23"/>
                <a:gd name="T2" fmla="*/ 0 w 104"/>
                <a:gd name="T3" fmla="*/ 8 h 23"/>
                <a:gd name="T4" fmla="*/ 104 w 104"/>
                <a:gd name="T5" fmla="*/ 23 h 23"/>
                <a:gd name="T6" fmla="*/ 1 w 104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" y="0"/>
                  </a:moveTo>
                  <a:lnTo>
                    <a:pt x="0" y="8"/>
                  </a:lnTo>
                  <a:lnTo>
                    <a:pt x="104" y="2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3" name="Freeform 325">
              <a:extLst>
                <a:ext uri="{FF2B5EF4-FFF2-40B4-BE49-F238E27FC236}">
                  <a16:creationId xmlns:a16="http://schemas.microsoft.com/office/drawing/2014/main" id="{6C11BEBF-8F87-4419-8045-9017D55FB958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7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7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4" name="Freeform 326">
              <a:extLst>
                <a:ext uri="{FF2B5EF4-FFF2-40B4-BE49-F238E27FC236}">
                  <a16:creationId xmlns:a16="http://schemas.microsoft.com/office/drawing/2014/main" id="{C956600A-30B4-45A1-91E1-FAA3BD9755E6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8"/>
                <a:gd name="T2" fmla="*/ 0 w 105"/>
                <a:gd name="T3" fmla="*/ 8 h 8"/>
                <a:gd name="T4" fmla="*/ 105 w 105"/>
                <a:gd name="T5" fmla="*/ 8 h 8"/>
                <a:gd name="T6" fmla="*/ 0 w 105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0" y="0"/>
                  </a:moveTo>
                  <a:lnTo>
                    <a:pt x="0" y="8"/>
                  </a:lnTo>
                  <a:lnTo>
                    <a:pt x="105" y="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5" name="Freeform 327">
              <a:extLst>
                <a:ext uri="{FF2B5EF4-FFF2-40B4-BE49-F238E27FC236}">
                  <a16:creationId xmlns:a16="http://schemas.microsoft.com/office/drawing/2014/main" id="{52A55318-AE06-4AEA-8E7D-572AC5FB0FAE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6" name="Freeform 328">
              <a:extLst>
                <a:ext uri="{FF2B5EF4-FFF2-40B4-BE49-F238E27FC236}">
                  <a16:creationId xmlns:a16="http://schemas.microsoft.com/office/drawing/2014/main" id="{D7BF5E33-4A00-4BE6-B8EC-849214EB148A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7 h 15"/>
                <a:gd name="T2" fmla="*/ 1 w 105"/>
                <a:gd name="T3" fmla="*/ 15 h 15"/>
                <a:gd name="T4" fmla="*/ 105 w 105"/>
                <a:gd name="T5" fmla="*/ 0 h 15"/>
                <a:gd name="T6" fmla="*/ 0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0" y="7"/>
                  </a:moveTo>
                  <a:lnTo>
                    <a:pt x="1" y="15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7" name="Freeform 329">
              <a:extLst>
                <a:ext uri="{FF2B5EF4-FFF2-40B4-BE49-F238E27FC236}">
                  <a16:creationId xmlns:a16="http://schemas.microsoft.com/office/drawing/2014/main" id="{9721DFE8-792A-4624-B723-8C7E492961C1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4"/>
                <a:gd name="T1" fmla="*/ 15 h 22"/>
                <a:gd name="T2" fmla="*/ 1 w 104"/>
                <a:gd name="T3" fmla="*/ 22 h 22"/>
                <a:gd name="T4" fmla="*/ 104 w 104"/>
                <a:gd name="T5" fmla="*/ 0 h 22"/>
                <a:gd name="T6" fmla="*/ 0 w 104"/>
                <a:gd name="T7" fmla="*/ 15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0" y="15"/>
                  </a:moveTo>
                  <a:lnTo>
                    <a:pt x="1" y="22"/>
                  </a:lnTo>
                  <a:lnTo>
                    <a:pt x="104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8" name="Freeform 330">
              <a:extLst>
                <a:ext uri="{FF2B5EF4-FFF2-40B4-BE49-F238E27FC236}">
                  <a16:creationId xmlns:a16="http://schemas.microsoft.com/office/drawing/2014/main" id="{737C0E59-95A2-4F32-90D9-D3874F908E79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3"/>
                <a:gd name="T1" fmla="*/ 22 h 29"/>
                <a:gd name="T2" fmla="*/ 2 w 103"/>
                <a:gd name="T3" fmla="*/ 29 h 29"/>
                <a:gd name="T4" fmla="*/ 103 w 103"/>
                <a:gd name="T5" fmla="*/ 0 h 29"/>
                <a:gd name="T6" fmla="*/ 0 w 103"/>
                <a:gd name="T7" fmla="*/ 22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0" y="22"/>
                  </a:moveTo>
                  <a:lnTo>
                    <a:pt x="2" y="29"/>
                  </a:lnTo>
                  <a:lnTo>
                    <a:pt x="103" y="0"/>
                  </a:lnTo>
                  <a:lnTo>
                    <a:pt x="0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9" name="Freeform 331">
              <a:extLst>
                <a:ext uri="{FF2B5EF4-FFF2-40B4-BE49-F238E27FC236}">
                  <a16:creationId xmlns:a16="http://schemas.microsoft.com/office/drawing/2014/main" id="{570F3EEB-FB94-4FCB-AAB4-A3E9BBCBAD43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1"/>
                <a:gd name="T1" fmla="*/ 29 h 36"/>
                <a:gd name="T2" fmla="*/ 2 w 101"/>
                <a:gd name="T3" fmla="*/ 36 h 36"/>
                <a:gd name="T4" fmla="*/ 101 w 101"/>
                <a:gd name="T5" fmla="*/ 0 h 36"/>
                <a:gd name="T6" fmla="*/ 0 w 101"/>
                <a:gd name="T7" fmla="*/ 29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0" y="29"/>
                  </a:moveTo>
                  <a:lnTo>
                    <a:pt x="2" y="36"/>
                  </a:lnTo>
                  <a:lnTo>
                    <a:pt x="101" y="0"/>
                  </a:lnTo>
                  <a:lnTo>
                    <a:pt x="0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0" name="Freeform 332">
              <a:extLst>
                <a:ext uri="{FF2B5EF4-FFF2-40B4-BE49-F238E27FC236}">
                  <a16:creationId xmlns:a16="http://schemas.microsoft.com/office/drawing/2014/main" id="{2FBF3D51-E2CD-4E52-BACB-4DAE77E3A2F9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9"/>
                <a:gd name="T1" fmla="*/ 36 h 43"/>
                <a:gd name="T2" fmla="*/ 3 w 99"/>
                <a:gd name="T3" fmla="*/ 43 h 43"/>
                <a:gd name="T4" fmla="*/ 99 w 99"/>
                <a:gd name="T5" fmla="*/ 0 h 43"/>
                <a:gd name="T6" fmla="*/ 0 w 99"/>
                <a:gd name="T7" fmla="*/ 36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0" y="36"/>
                  </a:moveTo>
                  <a:lnTo>
                    <a:pt x="3" y="43"/>
                  </a:lnTo>
                  <a:lnTo>
                    <a:pt x="99" y="0"/>
                  </a:lnTo>
                  <a:lnTo>
                    <a:pt x="0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1" name="Freeform 333">
              <a:extLst>
                <a:ext uri="{FF2B5EF4-FFF2-40B4-BE49-F238E27FC236}">
                  <a16:creationId xmlns:a16="http://schemas.microsoft.com/office/drawing/2014/main" id="{1BEC407B-1204-4B87-91E4-C97DEEC9A2FF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6"/>
                <a:gd name="T1" fmla="*/ 43 h 50"/>
                <a:gd name="T2" fmla="*/ 4 w 96"/>
                <a:gd name="T3" fmla="*/ 50 h 50"/>
                <a:gd name="T4" fmla="*/ 96 w 96"/>
                <a:gd name="T5" fmla="*/ 0 h 50"/>
                <a:gd name="T6" fmla="*/ 0 w 96"/>
                <a:gd name="T7" fmla="*/ 43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0" y="43"/>
                  </a:moveTo>
                  <a:lnTo>
                    <a:pt x="4" y="50"/>
                  </a:lnTo>
                  <a:lnTo>
                    <a:pt x="96" y="0"/>
                  </a:lnTo>
                  <a:lnTo>
                    <a:pt x="0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2" name="Freeform 334">
              <a:extLst>
                <a:ext uri="{FF2B5EF4-FFF2-40B4-BE49-F238E27FC236}">
                  <a16:creationId xmlns:a16="http://schemas.microsoft.com/office/drawing/2014/main" id="{4E540C16-8EA5-4D35-B02F-03A632D0212C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2"/>
                <a:gd name="T1" fmla="*/ 50 h 57"/>
                <a:gd name="T2" fmla="*/ 3 w 92"/>
                <a:gd name="T3" fmla="*/ 57 h 57"/>
                <a:gd name="T4" fmla="*/ 92 w 92"/>
                <a:gd name="T5" fmla="*/ 0 h 57"/>
                <a:gd name="T6" fmla="*/ 0 w 92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0" y="50"/>
                  </a:moveTo>
                  <a:lnTo>
                    <a:pt x="3" y="57"/>
                  </a:lnTo>
                  <a:lnTo>
                    <a:pt x="92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3" name="Freeform 335">
              <a:extLst>
                <a:ext uri="{FF2B5EF4-FFF2-40B4-BE49-F238E27FC236}">
                  <a16:creationId xmlns:a16="http://schemas.microsoft.com/office/drawing/2014/main" id="{6570B950-AC90-4C47-8806-56394E55B5E2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9"/>
                <a:gd name="T1" fmla="*/ 57 h 63"/>
                <a:gd name="T2" fmla="*/ 5 w 89"/>
                <a:gd name="T3" fmla="*/ 63 h 63"/>
                <a:gd name="T4" fmla="*/ 89 w 89"/>
                <a:gd name="T5" fmla="*/ 0 h 63"/>
                <a:gd name="T6" fmla="*/ 0 w 89"/>
                <a:gd name="T7" fmla="*/ 57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0" y="57"/>
                  </a:moveTo>
                  <a:lnTo>
                    <a:pt x="5" y="63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4" name="Freeform 336">
              <a:extLst>
                <a:ext uri="{FF2B5EF4-FFF2-40B4-BE49-F238E27FC236}">
                  <a16:creationId xmlns:a16="http://schemas.microsoft.com/office/drawing/2014/main" id="{B0646FA1-874D-43FB-8A3D-29FF9E70FD11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4"/>
                <a:gd name="T1" fmla="*/ 63 h 69"/>
                <a:gd name="T2" fmla="*/ 4 w 84"/>
                <a:gd name="T3" fmla="*/ 69 h 69"/>
                <a:gd name="T4" fmla="*/ 84 w 84"/>
                <a:gd name="T5" fmla="*/ 0 h 69"/>
                <a:gd name="T6" fmla="*/ 0 w 84"/>
                <a:gd name="T7" fmla="*/ 63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0" y="63"/>
                  </a:moveTo>
                  <a:lnTo>
                    <a:pt x="4" y="69"/>
                  </a:lnTo>
                  <a:lnTo>
                    <a:pt x="84" y="0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5" name="Freeform 337">
              <a:extLst>
                <a:ext uri="{FF2B5EF4-FFF2-40B4-BE49-F238E27FC236}">
                  <a16:creationId xmlns:a16="http://schemas.microsoft.com/office/drawing/2014/main" id="{33E61F43-C29E-45CC-8FCB-C8C1BEC4A641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0"/>
                <a:gd name="T1" fmla="*/ 69 h 74"/>
                <a:gd name="T2" fmla="*/ 6 w 80"/>
                <a:gd name="T3" fmla="*/ 74 h 74"/>
                <a:gd name="T4" fmla="*/ 80 w 80"/>
                <a:gd name="T5" fmla="*/ 0 h 74"/>
                <a:gd name="T6" fmla="*/ 0 w 80"/>
                <a:gd name="T7" fmla="*/ 69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4">
                  <a:moveTo>
                    <a:pt x="0" y="69"/>
                  </a:moveTo>
                  <a:lnTo>
                    <a:pt x="6" y="74"/>
                  </a:lnTo>
                  <a:lnTo>
                    <a:pt x="80" y="0"/>
                  </a:lnTo>
                  <a:lnTo>
                    <a:pt x="0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6" name="Freeform 338">
              <a:extLst>
                <a:ext uri="{FF2B5EF4-FFF2-40B4-BE49-F238E27FC236}">
                  <a16:creationId xmlns:a16="http://schemas.microsoft.com/office/drawing/2014/main" id="{350B10BA-D1DC-462A-900A-18DBFD9FFF34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74"/>
                <a:gd name="T1" fmla="*/ 74 h 79"/>
                <a:gd name="T2" fmla="*/ 5 w 74"/>
                <a:gd name="T3" fmla="*/ 79 h 79"/>
                <a:gd name="T4" fmla="*/ 74 w 74"/>
                <a:gd name="T5" fmla="*/ 0 h 79"/>
                <a:gd name="T6" fmla="*/ 0 w 74"/>
                <a:gd name="T7" fmla="*/ 74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0" y="74"/>
                  </a:moveTo>
                  <a:lnTo>
                    <a:pt x="5" y="79"/>
                  </a:lnTo>
                  <a:lnTo>
                    <a:pt x="74" y="0"/>
                  </a:lnTo>
                  <a:lnTo>
                    <a:pt x="0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7" name="Freeform 339">
              <a:extLst>
                <a:ext uri="{FF2B5EF4-FFF2-40B4-BE49-F238E27FC236}">
                  <a16:creationId xmlns:a16="http://schemas.microsoft.com/office/drawing/2014/main" id="{71EC3C32-4831-41CC-93D2-BD737A10642A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69"/>
                <a:gd name="T1" fmla="*/ 79 h 84"/>
                <a:gd name="T2" fmla="*/ 6 w 69"/>
                <a:gd name="T3" fmla="*/ 84 h 84"/>
                <a:gd name="T4" fmla="*/ 69 w 69"/>
                <a:gd name="T5" fmla="*/ 0 h 84"/>
                <a:gd name="T6" fmla="*/ 0 w 69"/>
                <a:gd name="T7" fmla="*/ 79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0" y="79"/>
                  </a:moveTo>
                  <a:lnTo>
                    <a:pt x="6" y="84"/>
                  </a:lnTo>
                  <a:lnTo>
                    <a:pt x="69" y="0"/>
                  </a:lnTo>
                  <a:lnTo>
                    <a:pt x="0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8" name="Freeform 340">
              <a:extLst>
                <a:ext uri="{FF2B5EF4-FFF2-40B4-BE49-F238E27FC236}">
                  <a16:creationId xmlns:a16="http://schemas.microsoft.com/office/drawing/2014/main" id="{1F5B410C-0579-4E0E-A290-CD16E47EEE51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63"/>
                <a:gd name="T1" fmla="*/ 84 h 88"/>
                <a:gd name="T2" fmla="*/ 6 w 63"/>
                <a:gd name="T3" fmla="*/ 88 h 88"/>
                <a:gd name="T4" fmla="*/ 63 w 63"/>
                <a:gd name="T5" fmla="*/ 0 h 88"/>
                <a:gd name="T6" fmla="*/ 0 w 63"/>
                <a:gd name="T7" fmla="*/ 84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0" y="84"/>
                  </a:moveTo>
                  <a:lnTo>
                    <a:pt x="6" y="88"/>
                  </a:lnTo>
                  <a:lnTo>
                    <a:pt x="63" y="0"/>
                  </a:lnTo>
                  <a:lnTo>
                    <a:pt x="0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9" name="Freeform 341">
              <a:extLst>
                <a:ext uri="{FF2B5EF4-FFF2-40B4-BE49-F238E27FC236}">
                  <a16:creationId xmlns:a16="http://schemas.microsoft.com/office/drawing/2014/main" id="{1009EC46-E72D-4DDB-8545-970767097EF6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7"/>
                <a:gd name="T1" fmla="*/ 88 h 92"/>
                <a:gd name="T2" fmla="*/ 7 w 57"/>
                <a:gd name="T3" fmla="*/ 92 h 92"/>
                <a:gd name="T4" fmla="*/ 57 w 57"/>
                <a:gd name="T5" fmla="*/ 0 h 92"/>
                <a:gd name="T6" fmla="*/ 0 w 57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0" y="88"/>
                  </a:moveTo>
                  <a:lnTo>
                    <a:pt x="7" y="92"/>
                  </a:lnTo>
                  <a:lnTo>
                    <a:pt x="57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0" name="Freeform 342">
              <a:extLst>
                <a:ext uri="{FF2B5EF4-FFF2-40B4-BE49-F238E27FC236}">
                  <a16:creationId xmlns:a16="http://schemas.microsoft.com/office/drawing/2014/main" id="{38FC99CE-B7FF-45DE-B955-CFF91002F987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0"/>
                <a:gd name="T1" fmla="*/ 92 h 95"/>
                <a:gd name="T2" fmla="*/ 6 w 50"/>
                <a:gd name="T3" fmla="*/ 95 h 95"/>
                <a:gd name="T4" fmla="*/ 50 w 50"/>
                <a:gd name="T5" fmla="*/ 0 h 95"/>
                <a:gd name="T6" fmla="*/ 0 w 50"/>
                <a:gd name="T7" fmla="*/ 92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0" y="92"/>
                  </a:moveTo>
                  <a:lnTo>
                    <a:pt x="6" y="95"/>
                  </a:lnTo>
                  <a:lnTo>
                    <a:pt x="50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1" name="Freeform 343">
              <a:extLst>
                <a:ext uri="{FF2B5EF4-FFF2-40B4-BE49-F238E27FC236}">
                  <a16:creationId xmlns:a16="http://schemas.microsoft.com/office/drawing/2014/main" id="{DA757BE0-8773-406C-A49D-D4610933B87F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44"/>
                <a:gd name="T1" fmla="*/ 95 h 98"/>
                <a:gd name="T2" fmla="*/ 7 w 44"/>
                <a:gd name="T3" fmla="*/ 98 h 98"/>
                <a:gd name="T4" fmla="*/ 44 w 44"/>
                <a:gd name="T5" fmla="*/ 0 h 98"/>
                <a:gd name="T6" fmla="*/ 0 w 44"/>
                <a:gd name="T7" fmla="*/ 95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0" y="95"/>
                  </a:moveTo>
                  <a:lnTo>
                    <a:pt x="7" y="98"/>
                  </a:lnTo>
                  <a:lnTo>
                    <a:pt x="44" y="0"/>
                  </a:lnTo>
                  <a:lnTo>
                    <a:pt x="0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2" name="Freeform 344">
              <a:extLst>
                <a:ext uri="{FF2B5EF4-FFF2-40B4-BE49-F238E27FC236}">
                  <a16:creationId xmlns:a16="http://schemas.microsoft.com/office/drawing/2014/main" id="{CED20BEB-9FFB-4DB8-A0A9-B21281B01568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7"/>
                <a:gd name="T1" fmla="*/ 98 h 101"/>
                <a:gd name="T2" fmla="*/ 7 w 37"/>
                <a:gd name="T3" fmla="*/ 101 h 101"/>
                <a:gd name="T4" fmla="*/ 37 w 37"/>
                <a:gd name="T5" fmla="*/ 0 h 101"/>
                <a:gd name="T6" fmla="*/ 0 w 37"/>
                <a:gd name="T7" fmla="*/ 98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0" y="98"/>
                  </a:moveTo>
                  <a:lnTo>
                    <a:pt x="7" y="101"/>
                  </a:lnTo>
                  <a:lnTo>
                    <a:pt x="37" y="0"/>
                  </a:lnTo>
                  <a:lnTo>
                    <a:pt x="0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3" name="Freeform 345">
              <a:extLst>
                <a:ext uri="{FF2B5EF4-FFF2-40B4-BE49-F238E27FC236}">
                  <a16:creationId xmlns:a16="http://schemas.microsoft.com/office/drawing/2014/main" id="{396D9A3D-43D6-4264-9A84-CCF6D18C4DE4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0"/>
                <a:gd name="T1" fmla="*/ 101 h 103"/>
                <a:gd name="T2" fmla="*/ 8 w 30"/>
                <a:gd name="T3" fmla="*/ 103 h 103"/>
                <a:gd name="T4" fmla="*/ 30 w 30"/>
                <a:gd name="T5" fmla="*/ 0 h 103"/>
                <a:gd name="T6" fmla="*/ 0 w 30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0" y="101"/>
                  </a:moveTo>
                  <a:lnTo>
                    <a:pt x="8" y="103"/>
                  </a:lnTo>
                  <a:lnTo>
                    <a:pt x="30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4" name="Freeform 346">
              <a:extLst>
                <a:ext uri="{FF2B5EF4-FFF2-40B4-BE49-F238E27FC236}">
                  <a16:creationId xmlns:a16="http://schemas.microsoft.com/office/drawing/2014/main" id="{7D3AB601-124E-4E16-8F31-E1E063A5F22B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22"/>
                <a:gd name="T1" fmla="*/ 103 h 104"/>
                <a:gd name="T2" fmla="*/ 7 w 22"/>
                <a:gd name="T3" fmla="*/ 104 h 104"/>
                <a:gd name="T4" fmla="*/ 22 w 22"/>
                <a:gd name="T5" fmla="*/ 0 h 104"/>
                <a:gd name="T6" fmla="*/ 0 w 22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0" y="103"/>
                  </a:moveTo>
                  <a:lnTo>
                    <a:pt x="7" y="104"/>
                  </a:lnTo>
                  <a:lnTo>
                    <a:pt x="22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5" name="Freeform 347">
              <a:extLst>
                <a:ext uri="{FF2B5EF4-FFF2-40B4-BE49-F238E27FC236}">
                  <a16:creationId xmlns:a16="http://schemas.microsoft.com/office/drawing/2014/main" id="{AD05FE29-6554-4461-8B69-AD30D23475EB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15"/>
                <a:gd name="T1" fmla="*/ 104 h 105"/>
                <a:gd name="T2" fmla="*/ 7 w 15"/>
                <a:gd name="T3" fmla="*/ 105 h 105"/>
                <a:gd name="T4" fmla="*/ 15 w 15"/>
                <a:gd name="T5" fmla="*/ 0 h 105"/>
                <a:gd name="T6" fmla="*/ 0 w 15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0" y="104"/>
                  </a:moveTo>
                  <a:lnTo>
                    <a:pt x="7" y="105"/>
                  </a:lnTo>
                  <a:lnTo>
                    <a:pt x="15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6" name="Freeform 348">
              <a:extLst>
                <a:ext uri="{FF2B5EF4-FFF2-40B4-BE49-F238E27FC236}">
                  <a16:creationId xmlns:a16="http://schemas.microsoft.com/office/drawing/2014/main" id="{C03B164E-AAA8-42E1-983F-2548202BDE5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8"/>
                <a:gd name="T1" fmla="*/ 105 h 105"/>
                <a:gd name="T2" fmla="*/ 8 w 8"/>
                <a:gd name="T3" fmla="*/ 105 h 105"/>
                <a:gd name="T4" fmla="*/ 8 w 8"/>
                <a:gd name="T5" fmla="*/ 0 h 105"/>
                <a:gd name="T6" fmla="*/ 0 w 8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5">
                  <a:moveTo>
                    <a:pt x="0" y="105"/>
                  </a:moveTo>
                  <a:lnTo>
                    <a:pt x="8" y="105"/>
                  </a:lnTo>
                  <a:lnTo>
                    <a:pt x="8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7" name="Freeform 349">
              <a:extLst>
                <a:ext uri="{FF2B5EF4-FFF2-40B4-BE49-F238E27FC236}">
                  <a16:creationId xmlns:a16="http://schemas.microsoft.com/office/drawing/2014/main" id="{E3844628-35D1-4538-BDDA-34F1CE2BB74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8" name="Freeform 350">
              <a:extLst>
                <a:ext uri="{FF2B5EF4-FFF2-40B4-BE49-F238E27FC236}">
                  <a16:creationId xmlns:a16="http://schemas.microsoft.com/office/drawing/2014/main" id="{DF221DF1-E720-4BDC-9FC6-A693C9E92F8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9" name="Freeform 351">
              <a:extLst>
                <a:ext uri="{FF2B5EF4-FFF2-40B4-BE49-F238E27FC236}">
                  <a16:creationId xmlns:a16="http://schemas.microsoft.com/office/drawing/2014/main" id="{780C2348-F842-402F-93F0-BBE1DE52C88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0" name="Freeform 352">
              <a:extLst>
                <a:ext uri="{FF2B5EF4-FFF2-40B4-BE49-F238E27FC236}">
                  <a16:creationId xmlns:a16="http://schemas.microsoft.com/office/drawing/2014/main" id="{AB9AFCC9-EBA7-4ED2-931A-86535EC52F6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22 w 30"/>
                <a:gd name="T1" fmla="*/ 103 h 103"/>
                <a:gd name="T2" fmla="*/ 30 w 30"/>
                <a:gd name="T3" fmla="*/ 101 h 103"/>
                <a:gd name="T4" fmla="*/ 0 w 30"/>
                <a:gd name="T5" fmla="*/ 0 h 103"/>
                <a:gd name="T6" fmla="*/ 22 w 30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22" y="103"/>
                  </a:moveTo>
                  <a:lnTo>
                    <a:pt x="30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1" name="Freeform 353">
              <a:extLst>
                <a:ext uri="{FF2B5EF4-FFF2-40B4-BE49-F238E27FC236}">
                  <a16:creationId xmlns:a16="http://schemas.microsoft.com/office/drawing/2014/main" id="{031E68DC-C9F4-42E8-B445-8013FBE6FFE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0 w 37"/>
                <a:gd name="T1" fmla="*/ 101 h 101"/>
                <a:gd name="T2" fmla="*/ 37 w 37"/>
                <a:gd name="T3" fmla="*/ 98 h 101"/>
                <a:gd name="T4" fmla="*/ 0 w 37"/>
                <a:gd name="T5" fmla="*/ 0 h 101"/>
                <a:gd name="T6" fmla="*/ 30 w 37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0" y="101"/>
                  </a:moveTo>
                  <a:lnTo>
                    <a:pt x="37" y="98"/>
                  </a:lnTo>
                  <a:lnTo>
                    <a:pt x="0" y="0"/>
                  </a:lnTo>
                  <a:lnTo>
                    <a:pt x="3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2" name="Freeform 354">
              <a:extLst>
                <a:ext uri="{FF2B5EF4-FFF2-40B4-BE49-F238E27FC236}">
                  <a16:creationId xmlns:a16="http://schemas.microsoft.com/office/drawing/2014/main" id="{720DC6C5-25AB-4F06-98C8-F4DE1F2F7CB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7 w 44"/>
                <a:gd name="T1" fmla="*/ 98 h 98"/>
                <a:gd name="T2" fmla="*/ 44 w 44"/>
                <a:gd name="T3" fmla="*/ 95 h 98"/>
                <a:gd name="T4" fmla="*/ 0 w 44"/>
                <a:gd name="T5" fmla="*/ 0 h 98"/>
                <a:gd name="T6" fmla="*/ 37 w 44"/>
                <a:gd name="T7" fmla="*/ 98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37" y="98"/>
                  </a:moveTo>
                  <a:lnTo>
                    <a:pt x="44" y="95"/>
                  </a:lnTo>
                  <a:lnTo>
                    <a:pt x="0" y="0"/>
                  </a:lnTo>
                  <a:lnTo>
                    <a:pt x="37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3" name="Freeform 355">
              <a:extLst>
                <a:ext uri="{FF2B5EF4-FFF2-40B4-BE49-F238E27FC236}">
                  <a16:creationId xmlns:a16="http://schemas.microsoft.com/office/drawing/2014/main" id="{51315065-9758-426B-BF77-EF5B2FD2D1F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1"/>
            </a:xfrm>
            <a:custGeom>
              <a:avLst/>
              <a:gdLst>
                <a:gd name="T0" fmla="*/ 44 w 50"/>
                <a:gd name="T1" fmla="*/ 95 h 95"/>
                <a:gd name="T2" fmla="*/ 50 w 50"/>
                <a:gd name="T3" fmla="*/ 92 h 95"/>
                <a:gd name="T4" fmla="*/ 0 w 50"/>
                <a:gd name="T5" fmla="*/ 0 h 95"/>
                <a:gd name="T6" fmla="*/ 44 w 50"/>
                <a:gd name="T7" fmla="*/ 95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44" y="95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4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4" name="Freeform 356">
              <a:extLst>
                <a:ext uri="{FF2B5EF4-FFF2-40B4-BE49-F238E27FC236}">
                  <a16:creationId xmlns:a16="http://schemas.microsoft.com/office/drawing/2014/main" id="{15E8BCB0-68FC-4424-A516-7264AE868389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0 w 57"/>
                <a:gd name="T1" fmla="*/ 92 h 92"/>
                <a:gd name="T2" fmla="*/ 57 w 57"/>
                <a:gd name="T3" fmla="*/ 88 h 92"/>
                <a:gd name="T4" fmla="*/ 0 w 57"/>
                <a:gd name="T5" fmla="*/ 0 h 92"/>
                <a:gd name="T6" fmla="*/ 50 w 57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50" y="92"/>
                  </a:moveTo>
                  <a:lnTo>
                    <a:pt x="57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5" name="Freeform 357">
              <a:extLst>
                <a:ext uri="{FF2B5EF4-FFF2-40B4-BE49-F238E27FC236}">
                  <a16:creationId xmlns:a16="http://schemas.microsoft.com/office/drawing/2014/main" id="{2299B9E0-FD1C-4A1E-84D6-0F418C2D7C9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7 w 63"/>
                <a:gd name="T1" fmla="*/ 88 h 88"/>
                <a:gd name="T2" fmla="*/ 63 w 63"/>
                <a:gd name="T3" fmla="*/ 84 h 88"/>
                <a:gd name="T4" fmla="*/ 0 w 63"/>
                <a:gd name="T5" fmla="*/ 0 h 88"/>
                <a:gd name="T6" fmla="*/ 57 w 63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57" y="88"/>
                  </a:moveTo>
                  <a:lnTo>
                    <a:pt x="63" y="84"/>
                  </a:lnTo>
                  <a:lnTo>
                    <a:pt x="0" y="0"/>
                  </a:lnTo>
                  <a:lnTo>
                    <a:pt x="57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6" name="Freeform 358">
              <a:extLst>
                <a:ext uri="{FF2B5EF4-FFF2-40B4-BE49-F238E27FC236}">
                  <a16:creationId xmlns:a16="http://schemas.microsoft.com/office/drawing/2014/main" id="{F909C9F5-96FE-48A9-B58B-BD6EBF6878B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3 w 69"/>
                <a:gd name="T1" fmla="*/ 84 h 84"/>
                <a:gd name="T2" fmla="*/ 69 w 69"/>
                <a:gd name="T3" fmla="*/ 79 h 84"/>
                <a:gd name="T4" fmla="*/ 0 w 69"/>
                <a:gd name="T5" fmla="*/ 0 h 84"/>
                <a:gd name="T6" fmla="*/ 63 w 69"/>
                <a:gd name="T7" fmla="*/ 84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63" y="84"/>
                  </a:moveTo>
                  <a:lnTo>
                    <a:pt x="69" y="79"/>
                  </a:lnTo>
                  <a:lnTo>
                    <a:pt x="0" y="0"/>
                  </a:lnTo>
                  <a:lnTo>
                    <a:pt x="63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7" name="Freeform 359">
              <a:extLst>
                <a:ext uri="{FF2B5EF4-FFF2-40B4-BE49-F238E27FC236}">
                  <a16:creationId xmlns:a16="http://schemas.microsoft.com/office/drawing/2014/main" id="{F3759D77-C825-4956-8192-2052F2AD993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9 w 74"/>
                <a:gd name="T1" fmla="*/ 79 h 79"/>
                <a:gd name="T2" fmla="*/ 74 w 74"/>
                <a:gd name="T3" fmla="*/ 74 h 79"/>
                <a:gd name="T4" fmla="*/ 0 w 74"/>
                <a:gd name="T5" fmla="*/ 0 h 79"/>
                <a:gd name="T6" fmla="*/ 69 w 74"/>
                <a:gd name="T7" fmla="*/ 79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69" y="79"/>
                  </a:moveTo>
                  <a:lnTo>
                    <a:pt x="74" y="74"/>
                  </a:lnTo>
                  <a:lnTo>
                    <a:pt x="0" y="0"/>
                  </a:lnTo>
                  <a:lnTo>
                    <a:pt x="69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8" name="Freeform 360">
              <a:extLst>
                <a:ext uri="{FF2B5EF4-FFF2-40B4-BE49-F238E27FC236}">
                  <a16:creationId xmlns:a16="http://schemas.microsoft.com/office/drawing/2014/main" id="{A32851C8-3F0B-4F75-99A3-7353152C12F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4 w 79"/>
                <a:gd name="T1" fmla="*/ 74 h 74"/>
                <a:gd name="T2" fmla="*/ 79 w 79"/>
                <a:gd name="T3" fmla="*/ 69 h 74"/>
                <a:gd name="T4" fmla="*/ 0 w 79"/>
                <a:gd name="T5" fmla="*/ 0 h 74"/>
                <a:gd name="T6" fmla="*/ 74 w 79"/>
                <a:gd name="T7" fmla="*/ 74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4">
                  <a:moveTo>
                    <a:pt x="74" y="74"/>
                  </a:moveTo>
                  <a:lnTo>
                    <a:pt x="79" y="69"/>
                  </a:lnTo>
                  <a:lnTo>
                    <a:pt x="0" y="0"/>
                  </a:lnTo>
                  <a:lnTo>
                    <a:pt x="74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9" name="Freeform 361">
              <a:extLst>
                <a:ext uri="{FF2B5EF4-FFF2-40B4-BE49-F238E27FC236}">
                  <a16:creationId xmlns:a16="http://schemas.microsoft.com/office/drawing/2014/main" id="{A7A33501-3958-4179-9E00-C4FE7FA9BBC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9 w 84"/>
                <a:gd name="T1" fmla="*/ 69 h 69"/>
                <a:gd name="T2" fmla="*/ 84 w 84"/>
                <a:gd name="T3" fmla="*/ 63 h 69"/>
                <a:gd name="T4" fmla="*/ 0 w 84"/>
                <a:gd name="T5" fmla="*/ 0 h 69"/>
                <a:gd name="T6" fmla="*/ 79 w 84"/>
                <a:gd name="T7" fmla="*/ 69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79" y="69"/>
                  </a:moveTo>
                  <a:lnTo>
                    <a:pt x="84" y="63"/>
                  </a:lnTo>
                  <a:lnTo>
                    <a:pt x="0" y="0"/>
                  </a:lnTo>
                  <a:lnTo>
                    <a:pt x="79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0" name="Freeform 362">
              <a:extLst>
                <a:ext uri="{FF2B5EF4-FFF2-40B4-BE49-F238E27FC236}">
                  <a16:creationId xmlns:a16="http://schemas.microsoft.com/office/drawing/2014/main" id="{1DC2482F-32BB-44CF-BB51-DA8089903D06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4 w 88"/>
                <a:gd name="T1" fmla="*/ 63 h 63"/>
                <a:gd name="T2" fmla="*/ 88 w 88"/>
                <a:gd name="T3" fmla="*/ 57 h 63"/>
                <a:gd name="T4" fmla="*/ 0 w 88"/>
                <a:gd name="T5" fmla="*/ 0 h 63"/>
                <a:gd name="T6" fmla="*/ 84 w 88"/>
                <a:gd name="T7" fmla="*/ 63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4" y="63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4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1" name="Freeform 363">
              <a:extLst>
                <a:ext uri="{FF2B5EF4-FFF2-40B4-BE49-F238E27FC236}">
                  <a16:creationId xmlns:a16="http://schemas.microsoft.com/office/drawing/2014/main" id="{F9E1ADC2-60A6-4A2D-B447-DB4912008FB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8 w 92"/>
                <a:gd name="T1" fmla="*/ 57 h 57"/>
                <a:gd name="T2" fmla="*/ 92 w 92"/>
                <a:gd name="T3" fmla="*/ 50 h 57"/>
                <a:gd name="T4" fmla="*/ 0 w 92"/>
                <a:gd name="T5" fmla="*/ 0 h 57"/>
                <a:gd name="T6" fmla="*/ 88 w 92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88" y="57"/>
                  </a:moveTo>
                  <a:lnTo>
                    <a:pt x="92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2" name="Freeform 364">
              <a:extLst>
                <a:ext uri="{FF2B5EF4-FFF2-40B4-BE49-F238E27FC236}">
                  <a16:creationId xmlns:a16="http://schemas.microsoft.com/office/drawing/2014/main" id="{92E44DDE-5C1C-484F-8FD9-263EF0E9FA7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2 w 96"/>
                <a:gd name="T1" fmla="*/ 50 h 50"/>
                <a:gd name="T2" fmla="*/ 96 w 96"/>
                <a:gd name="T3" fmla="*/ 43 h 50"/>
                <a:gd name="T4" fmla="*/ 0 w 96"/>
                <a:gd name="T5" fmla="*/ 0 h 50"/>
                <a:gd name="T6" fmla="*/ 92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2" y="50"/>
                  </a:moveTo>
                  <a:lnTo>
                    <a:pt x="96" y="43"/>
                  </a:lnTo>
                  <a:lnTo>
                    <a:pt x="0" y="0"/>
                  </a:lnTo>
                  <a:lnTo>
                    <a:pt x="92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3" name="Freeform 365">
              <a:extLst>
                <a:ext uri="{FF2B5EF4-FFF2-40B4-BE49-F238E27FC236}">
                  <a16:creationId xmlns:a16="http://schemas.microsoft.com/office/drawing/2014/main" id="{1B3C7CDD-486B-4484-878B-D54C77428749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6 w 99"/>
                <a:gd name="T1" fmla="*/ 43 h 43"/>
                <a:gd name="T2" fmla="*/ 99 w 99"/>
                <a:gd name="T3" fmla="*/ 36 h 43"/>
                <a:gd name="T4" fmla="*/ 0 w 99"/>
                <a:gd name="T5" fmla="*/ 0 h 43"/>
                <a:gd name="T6" fmla="*/ 96 w 99"/>
                <a:gd name="T7" fmla="*/ 43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6" y="43"/>
                  </a:moveTo>
                  <a:lnTo>
                    <a:pt x="99" y="36"/>
                  </a:lnTo>
                  <a:lnTo>
                    <a:pt x="0" y="0"/>
                  </a:lnTo>
                  <a:lnTo>
                    <a:pt x="96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4" name="Freeform 366">
              <a:extLst>
                <a:ext uri="{FF2B5EF4-FFF2-40B4-BE49-F238E27FC236}">
                  <a16:creationId xmlns:a16="http://schemas.microsoft.com/office/drawing/2014/main" id="{305C3D27-62E8-4DBA-A772-D3194498E8A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99 w 101"/>
                <a:gd name="T1" fmla="*/ 36 h 36"/>
                <a:gd name="T2" fmla="*/ 101 w 101"/>
                <a:gd name="T3" fmla="*/ 29 h 36"/>
                <a:gd name="T4" fmla="*/ 0 w 101"/>
                <a:gd name="T5" fmla="*/ 0 h 36"/>
                <a:gd name="T6" fmla="*/ 99 w 101"/>
                <a:gd name="T7" fmla="*/ 36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99" y="36"/>
                  </a:moveTo>
                  <a:lnTo>
                    <a:pt x="101" y="29"/>
                  </a:lnTo>
                  <a:lnTo>
                    <a:pt x="0" y="0"/>
                  </a:lnTo>
                  <a:lnTo>
                    <a:pt x="99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5" name="Freeform 367">
              <a:extLst>
                <a:ext uri="{FF2B5EF4-FFF2-40B4-BE49-F238E27FC236}">
                  <a16:creationId xmlns:a16="http://schemas.microsoft.com/office/drawing/2014/main" id="{11FA1967-BEC2-4AF7-9D38-140C199B3C4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1 w 103"/>
                <a:gd name="T1" fmla="*/ 29 h 29"/>
                <a:gd name="T2" fmla="*/ 103 w 103"/>
                <a:gd name="T3" fmla="*/ 22 h 29"/>
                <a:gd name="T4" fmla="*/ 0 w 103"/>
                <a:gd name="T5" fmla="*/ 0 h 29"/>
                <a:gd name="T6" fmla="*/ 101 w 103"/>
                <a:gd name="T7" fmla="*/ 29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1" y="29"/>
                  </a:moveTo>
                  <a:lnTo>
                    <a:pt x="103" y="22"/>
                  </a:lnTo>
                  <a:lnTo>
                    <a:pt x="0" y="0"/>
                  </a:lnTo>
                  <a:lnTo>
                    <a:pt x="101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6" name="Freeform 368">
              <a:extLst>
                <a:ext uri="{FF2B5EF4-FFF2-40B4-BE49-F238E27FC236}">
                  <a16:creationId xmlns:a16="http://schemas.microsoft.com/office/drawing/2014/main" id="{65BBD13F-C9C1-4483-89E1-874C4CF3E42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3 w 104"/>
                <a:gd name="T1" fmla="*/ 22 h 22"/>
                <a:gd name="T2" fmla="*/ 104 w 104"/>
                <a:gd name="T3" fmla="*/ 15 h 22"/>
                <a:gd name="T4" fmla="*/ 0 w 104"/>
                <a:gd name="T5" fmla="*/ 0 h 22"/>
                <a:gd name="T6" fmla="*/ 103 w 104"/>
                <a:gd name="T7" fmla="*/ 22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3" y="22"/>
                  </a:moveTo>
                  <a:lnTo>
                    <a:pt x="104" y="15"/>
                  </a:lnTo>
                  <a:lnTo>
                    <a:pt x="0" y="0"/>
                  </a:lnTo>
                  <a:lnTo>
                    <a:pt x="103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7" name="Freeform 369">
              <a:extLst>
                <a:ext uri="{FF2B5EF4-FFF2-40B4-BE49-F238E27FC236}">
                  <a16:creationId xmlns:a16="http://schemas.microsoft.com/office/drawing/2014/main" id="{12AC92F3-8CAF-4EFA-B401-F0B430249CB9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4 w 105"/>
                <a:gd name="T1" fmla="*/ 15 h 15"/>
                <a:gd name="T2" fmla="*/ 105 w 105"/>
                <a:gd name="T3" fmla="*/ 7 h 15"/>
                <a:gd name="T4" fmla="*/ 0 w 105"/>
                <a:gd name="T5" fmla="*/ 0 h 15"/>
                <a:gd name="T6" fmla="*/ 104 w 105"/>
                <a:gd name="T7" fmla="*/ 15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4" y="15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8" name="Freeform 370">
              <a:extLst>
                <a:ext uri="{FF2B5EF4-FFF2-40B4-BE49-F238E27FC236}">
                  <a16:creationId xmlns:a16="http://schemas.microsoft.com/office/drawing/2014/main" id="{95092CF1-71E4-4AC3-913D-27404FD0A0A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9" name="Freeform 371">
              <a:extLst>
                <a:ext uri="{FF2B5EF4-FFF2-40B4-BE49-F238E27FC236}">
                  <a16:creationId xmlns:a16="http://schemas.microsoft.com/office/drawing/2014/main" id="{866A119E-8EC5-4E07-A3C9-F86843D026A3}"/>
                </a:ext>
              </a:extLst>
            </xdr:cNvPr>
            <xdr:cNvSpPr>
              <a:spLocks/>
            </xdr:cNvSpPr>
          </xdr:nvSpPr>
          <xdr:spPr bwMode="auto">
            <a:xfrm>
              <a:off x="1095" y="188"/>
              <a:ext cx="6" cy="9"/>
            </a:xfrm>
            <a:custGeom>
              <a:avLst/>
              <a:gdLst>
                <a:gd name="T0" fmla="*/ 0 w 352"/>
                <a:gd name="T1" fmla="*/ 526 h 526"/>
                <a:gd name="T2" fmla="*/ 0 w 352"/>
                <a:gd name="T3" fmla="*/ 0 h 526"/>
                <a:gd name="T4" fmla="*/ 264 w 352"/>
                <a:gd name="T5" fmla="*/ 0 h 526"/>
                <a:gd name="T6" fmla="*/ 352 w 352"/>
                <a:gd name="T7" fmla="*/ 88 h 526"/>
                <a:gd name="T8" fmla="*/ 352 w 352"/>
                <a:gd name="T9" fmla="*/ 175 h 526"/>
                <a:gd name="T10" fmla="*/ 264 w 352"/>
                <a:gd name="T11" fmla="*/ 263 h 526"/>
                <a:gd name="T12" fmla="*/ 0 w 352"/>
                <a:gd name="T13" fmla="*/ 263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352" h="526">
                  <a:moveTo>
                    <a:pt x="0" y="526"/>
                  </a:moveTo>
                  <a:lnTo>
                    <a:pt x="0" y="0"/>
                  </a:lnTo>
                  <a:lnTo>
                    <a:pt x="264" y="0"/>
                  </a:lnTo>
                  <a:lnTo>
                    <a:pt x="352" y="88"/>
                  </a:lnTo>
                  <a:lnTo>
                    <a:pt x="352" y="175"/>
                  </a:lnTo>
                  <a:lnTo>
                    <a:pt x="264" y="263"/>
                  </a:lnTo>
                  <a:lnTo>
                    <a:pt x="0" y="263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0" name="Freeform 372">
              <a:extLst>
                <a:ext uri="{FF2B5EF4-FFF2-40B4-BE49-F238E27FC236}">
                  <a16:creationId xmlns:a16="http://schemas.microsoft.com/office/drawing/2014/main" id="{435795E9-D6B4-4B46-B141-DBDCAC689349}"/>
                </a:ext>
              </a:extLst>
            </xdr:cNvPr>
            <xdr:cNvSpPr>
              <a:spLocks/>
            </xdr:cNvSpPr>
          </xdr:nvSpPr>
          <xdr:spPr bwMode="auto">
            <a:xfrm>
              <a:off x="1104" y="191"/>
              <a:ext cx="6" cy="6"/>
            </a:xfrm>
            <a:custGeom>
              <a:avLst/>
              <a:gdLst>
                <a:gd name="T0" fmla="*/ 351 w 351"/>
                <a:gd name="T1" fmla="*/ 0 h 351"/>
                <a:gd name="T2" fmla="*/ 88 w 351"/>
                <a:gd name="T3" fmla="*/ 0 h 351"/>
                <a:gd name="T4" fmla="*/ 0 w 351"/>
                <a:gd name="T5" fmla="*/ 88 h 351"/>
                <a:gd name="T6" fmla="*/ 0 w 351"/>
                <a:gd name="T7" fmla="*/ 264 h 351"/>
                <a:gd name="T8" fmla="*/ 88 w 351"/>
                <a:gd name="T9" fmla="*/ 351 h 351"/>
                <a:gd name="T10" fmla="*/ 351 w 351"/>
                <a:gd name="T11" fmla="*/ 351 h 3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351">
                  <a:moveTo>
                    <a:pt x="351" y="0"/>
                  </a:moveTo>
                  <a:lnTo>
                    <a:pt x="88" y="0"/>
                  </a:lnTo>
                  <a:lnTo>
                    <a:pt x="0" y="88"/>
                  </a:lnTo>
                  <a:lnTo>
                    <a:pt x="0" y="264"/>
                  </a:lnTo>
                  <a:lnTo>
                    <a:pt x="88" y="351"/>
                  </a:lnTo>
                  <a:lnTo>
                    <a:pt x="351" y="351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1" name="Freeform 373">
              <a:extLst>
                <a:ext uri="{FF2B5EF4-FFF2-40B4-BE49-F238E27FC236}">
                  <a16:creationId xmlns:a16="http://schemas.microsoft.com/office/drawing/2014/main" id="{E926733F-D566-4BE5-948F-E59BAA02B48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9"/>
                <a:gd name="T2" fmla="*/ 105 w 105"/>
                <a:gd name="T3" fmla="*/ 0 h 9"/>
                <a:gd name="T4" fmla="*/ 0 w 105"/>
                <a:gd name="T5" fmla="*/ 9 h 9"/>
                <a:gd name="T6" fmla="*/ 105 w 105"/>
                <a:gd name="T7" fmla="*/ 9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9">
                  <a:moveTo>
                    <a:pt x="105" y="9"/>
                  </a:moveTo>
                  <a:lnTo>
                    <a:pt x="105" y="0"/>
                  </a:lnTo>
                  <a:lnTo>
                    <a:pt x="0" y="9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2" name="Freeform 374">
              <a:extLst>
                <a:ext uri="{FF2B5EF4-FFF2-40B4-BE49-F238E27FC236}">
                  <a16:creationId xmlns:a16="http://schemas.microsoft.com/office/drawing/2014/main" id="{608F9BB4-B9F2-4F57-AD94-D67CD894703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18"/>
                <a:gd name="T2" fmla="*/ 104 w 105"/>
                <a:gd name="T3" fmla="*/ 0 h 18"/>
                <a:gd name="T4" fmla="*/ 0 w 105"/>
                <a:gd name="T5" fmla="*/ 18 h 18"/>
                <a:gd name="T6" fmla="*/ 105 w 105"/>
                <a:gd name="T7" fmla="*/ 9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8">
                  <a:moveTo>
                    <a:pt x="105" y="9"/>
                  </a:moveTo>
                  <a:lnTo>
                    <a:pt x="104" y="0"/>
                  </a:lnTo>
                  <a:lnTo>
                    <a:pt x="0" y="18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3" name="Freeform 375">
              <a:extLst>
                <a:ext uri="{FF2B5EF4-FFF2-40B4-BE49-F238E27FC236}">
                  <a16:creationId xmlns:a16="http://schemas.microsoft.com/office/drawing/2014/main" id="{2BCF9ECE-5B7F-41EB-958E-084CEB789532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4 w 104"/>
                <a:gd name="T1" fmla="*/ 8 h 26"/>
                <a:gd name="T2" fmla="*/ 102 w 104"/>
                <a:gd name="T3" fmla="*/ 0 h 26"/>
                <a:gd name="T4" fmla="*/ 0 w 104"/>
                <a:gd name="T5" fmla="*/ 26 h 26"/>
                <a:gd name="T6" fmla="*/ 104 w 104"/>
                <a:gd name="T7" fmla="*/ 8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4" y="8"/>
                  </a:moveTo>
                  <a:lnTo>
                    <a:pt x="102" y="0"/>
                  </a:lnTo>
                  <a:lnTo>
                    <a:pt x="0" y="26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4" name="Freeform 376">
              <a:extLst>
                <a:ext uri="{FF2B5EF4-FFF2-40B4-BE49-F238E27FC236}">
                  <a16:creationId xmlns:a16="http://schemas.microsoft.com/office/drawing/2014/main" id="{CB0CD320-3AB4-4D19-A3D1-B97F9C43A08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2 w 102"/>
                <a:gd name="T1" fmla="*/ 9 h 35"/>
                <a:gd name="T2" fmla="*/ 99 w 102"/>
                <a:gd name="T3" fmla="*/ 0 h 35"/>
                <a:gd name="T4" fmla="*/ 0 w 102"/>
                <a:gd name="T5" fmla="*/ 35 h 35"/>
                <a:gd name="T6" fmla="*/ 102 w 102"/>
                <a:gd name="T7" fmla="*/ 9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102" y="9"/>
                  </a:moveTo>
                  <a:lnTo>
                    <a:pt x="99" y="0"/>
                  </a:lnTo>
                  <a:lnTo>
                    <a:pt x="0" y="35"/>
                  </a:lnTo>
                  <a:lnTo>
                    <a:pt x="102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5" name="Freeform 377">
              <a:extLst>
                <a:ext uri="{FF2B5EF4-FFF2-40B4-BE49-F238E27FC236}">
                  <a16:creationId xmlns:a16="http://schemas.microsoft.com/office/drawing/2014/main" id="{69B0DB64-7A55-4063-A308-B5EADD0A546F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9 w 99"/>
                <a:gd name="T1" fmla="*/ 8 h 43"/>
                <a:gd name="T2" fmla="*/ 96 w 99"/>
                <a:gd name="T3" fmla="*/ 0 h 43"/>
                <a:gd name="T4" fmla="*/ 0 w 99"/>
                <a:gd name="T5" fmla="*/ 43 h 43"/>
                <a:gd name="T6" fmla="*/ 99 w 99"/>
                <a:gd name="T7" fmla="*/ 8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9" y="8"/>
                  </a:moveTo>
                  <a:lnTo>
                    <a:pt x="96" y="0"/>
                  </a:lnTo>
                  <a:lnTo>
                    <a:pt x="0" y="43"/>
                  </a:lnTo>
                  <a:lnTo>
                    <a:pt x="99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6" name="Freeform 378">
              <a:extLst>
                <a:ext uri="{FF2B5EF4-FFF2-40B4-BE49-F238E27FC236}">
                  <a16:creationId xmlns:a16="http://schemas.microsoft.com/office/drawing/2014/main" id="{F3CC5A51-95A9-43D6-AF14-5D87D1F29609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6 w 96"/>
                <a:gd name="T1" fmla="*/ 7 h 50"/>
                <a:gd name="T2" fmla="*/ 93 w 96"/>
                <a:gd name="T3" fmla="*/ 0 h 50"/>
                <a:gd name="T4" fmla="*/ 0 w 96"/>
                <a:gd name="T5" fmla="*/ 50 h 50"/>
                <a:gd name="T6" fmla="*/ 96 w 96"/>
                <a:gd name="T7" fmla="*/ 7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6" y="7"/>
                  </a:moveTo>
                  <a:lnTo>
                    <a:pt x="93" y="0"/>
                  </a:lnTo>
                  <a:lnTo>
                    <a:pt x="0" y="50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7" name="Freeform 379">
              <a:extLst>
                <a:ext uri="{FF2B5EF4-FFF2-40B4-BE49-F238E27FC236}">
                  <a16:creationId xmlns:a16="http://schemas.microsoft.com/office/drawing/2014/main" id="{59ACBFA9-4B41-4E29-972F-3162780706CF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3 w 93"/>
                <a:gd name="T1" fmla="*/ 8 h 58"/>
                <a:gd name="T2" fmla="*/ 88 w 93"/>
                <a:gd name="T3" fmla="*/ 0 h 58"/>
                <a:gd name="T4" fmla="*/ 0 w 93"/>
                <a:gd name="T5" fmla="*/ 58 h 58"/>
                <a:gd name="T6" fmla="*/ 93 w 93"/>
                <a:gd name="T7" fmla="*/ 8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8">
                  <a:moveTo>
                    <a:pt x="93" y="8"/>
                  </a:moveTo>
                  <a:lnTo>
                    <a:pt x="88" y="0"/>
                  </a:lnTo>
                  <a:lnTo>
                    <a:pt x="0" y="58"/>
                  </a:lnTo>
                  <a:lnTo>
                    <a:pt x="93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8" name="Freeform 380">
              <a:extLst>
                <a:ext uri="{FF2B5EF4-FFF2-40B4-BE49-F238E27FC236}">
                  <a16:creationId xmlns:a16="http://schemas.microsoft.com/office/drawing/2014/main" id="{7C2C3C11-2454-41EE-BF51-1A4F4BA20F9B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8 w 88"/>
                <a:gd name="T1" fmla="*/ 7 h 65"/>
                <a:gd name="T2" fmla="*/ 83 w 88"/>
                <a:gd name="T3" fmla="*/ 0 h 65"/>
                <a:gd name="T4" fmla="*/ 0 w 88"/>
                <a:gd name="T5" fmla="*/ 65 h 65"/>
                <a:gd name="T6" fmla="*/ 88 w 88"/>
                <a:gd name="T7" fmla="*/ 7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5">
                  <a:moveTo>
                    <a:pt x="88" y="7"/>
                  </a:moveTo>
                  <a:lnTo>
                    <a:pt x="83" y="0"/>
                  </a:lnTo>
                  <a:lnTo>
                    <a:pt x="0" y="65"/>
                  </a:lnTo>
                  <a:lnTo>
                    <a:pt x="88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9" name="Freeform 381">
              <a:extLst>
                <a:ext uri="{FF2B5EF4-FFF2-40B4-BE49-F238E27FC236}">
                  <a16:creationId xmlns:a16="http://schemas.microsoft.com/office/drawing/2014/main" id="{AFFAD5CA-1076-42E9-AA36-F196609DC1BE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3 w 83"/>
                <a:gd name="T1" fmla="*/ 7 h 72"/>
                <a:gd name="T2" fmla="*/ 77 w 83"/>
                <a:gd name="T3" fmla="*/ 0 h 72"/>
                <a:gd name="T4" fmla="*/ 0 w 83"/>
                <a:gd name="T5" fmla="*/ 72 h 72"/>
                <a:gd name="T6" fmla="*/ 83 w 83"/>
                <a:gd name="T7" fmla="*/ 7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2">
                  <a:moveTo>
                    <a:pt x="83" y="7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0" name="Freeform 382">
              <a:extLst>
                <a:ext uri="{FF2B5EF4-FFF2-40B4-BE49-F238E27FC236}">
                  <a16:creationId xmlns:a16="http://schemas.microsoft.com/office/drawing/2014/main" id="{CE581305-EABE-48C5-AF2D-F2452509E55A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77 w 77"/>
                <a:gd name="T1" fmla="*/ 6 h 78"/>
                <a:gd name="T2" fmla="*/ 71 w 77"/>
                <a:gd name="T3" fmla="*/ 0 h 78"/>
                <a:gd name="T4" fmla="*/ 0 w 77"/>
                <a:gd name="T5" fmla="*/ 78 h 78"/>
                <a:gd name="T6" fmla="*/ 77 w 77"/>
                <a:gd name="T7" fmla="*/ 6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8">
                  <a:moveTo>
                    <a:pt x="77" y="6"/>
                  </a:moveTo>
                  <a:lnTo>
                    <a:pt x="71" y="0"/>
                  </a:lnTo>
                  <a:lnTo>
                    <a:pt x="0" y="78"/>
                  </a:lnTo>
                  <a:lnTo>
                    <a:pt x="77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1" name="Freeform 383">
              <a:extLst>
                <a:ext uri="{FF2B5EF4-FFF2-40B4-BE49-F238E27FC236}">
                  <a16:creationId xmlns:a16="http://schemas.microsoft.com/office/drawing/2014/main" id="{44D2F77C-0802-4C2C-81D7-E387A4C0334B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71 w 71"/>
                <a:gd name="T1" fmla="*/ 5 h 83"/>
                <a:gd name="T2" fmla="*/ 65 w 71"/>
                <a:gd name="T3" fmla="*/ 0 h 83"/>
                <a:gd name="T4" fmla="*/ 0 w 71"/>
                <a:gd name="T5" fmla="*/ 83 h 83"/>
                <a:gd name="T6" fmla="*/ 71 w 71"/>
                <a:gd name="T7" fmla="*/ 5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71" y="5"/>
                  </a:moveTo>
                  <a:lnTo>
                    <a:pt x="65" y="0"/>
                  </a:lnTo>
                  <a:lnTo>
                    <a:pt x="0" y="83"/>
                  </a:lnTo>
                  <a:lnTo>
                    <a:pt x="71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2" name="Freeform 384">
              <a:extLst>
                <a:ext uri="{FF2B5EF4-FFF2-40B4-BE49-F238E27FC236}">
                  <a16:creationId xmlns:a16="http://schemas.microsoft.com/office/drawing/2014/main" id="{DD13ED90-4FD1-46CD-A868-20FD10C6FAB1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65 w 65"/>
                <a:gd name="T1" fmla="*/ 5 h 88"/>
                <a:gd name="T2" fmla="*/ 58 w 65"/>
                <a:gd name="T3" fmla="*/ 0 h 88"/>
                <a:gd name="T4" fmla="*/ 0 w 65"/>
                <a:gd name="T5" fmla="*/ 88 h 88"/>
                <a:gd name="T6" fmla="*/ 65 w 65"/>
                <a:gd name="T7" fmla="*/ 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65" y="5"/>
                  </a:moveTo>
                  <a:lnTo>
                    <a:pt x="58" y="0"/>
                  </a:lnTo>
                  <a:lnTo>
                    <a:pt x="0" y="88"/>
                  </a:lnTo>
                  <a:lnTo>
                    <a:pt x="65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3" name="Freeform 385">
              <a:extLst>
                <a:ext uri="{FF2B5EF4-FFF2-40B4-BE49-F238E27FC236}">
                  <a16:creationId xmlns:a16="http://schemas.microsoft.com/office/drawing/2014/main" id="{F8D679F3-2196-4B4A-9B62-646E82998B82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8 w 58"/>
                <a:gd name="T1" fmla="*/ 5 h 93"/>
                <a:gd name="T2" fmla="*/ 50 w 58"/>
                <a:gd name="T3" fmla="*/ 0 h 93"/>
                <a:gd name="T4" fmla="*/ 0 w 58"/>
                <a:gd name="T5" fmla="*/ 93 h 93"/>
                <a:gd name="T6" fmla="*/ 58 w 58"/>
                <a:gd name="T7" fmla="*/ 5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3">
                  <a:moveTo>
                    <a:pt x="58" y="5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8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4" name="Freeform 386">
              <a:extLst>
                <a:ext uri="{FF2B5EF4-FFF2-40B4-BE49-F238E27FC236}">
                  <a16:creationId xmlns:a16="http://schemas.microsoft.com/office/drawing/2014/main" id="{74DD3E4E-47D5-4FF2-AE3C-F36811A5D713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0 w 50"/>
                <a:gd name="T1" fmla="*/ 4 h 97"/>
                <a:gd name="T2" fmla="*/ 42 w 50"/>
                <a:gd name="T3" fmla="*/ 0 h 97"/>
                <a:gd name="T4" fmla="*/ 0 w 50"/>
                <a:gd name="T5" fmla="*/ 97 h 97"/>
                <a:gd name="T6" fmla="*/ 50 w 50"/>
                <a:gd name="T7" fmla="*/ 4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7">
                  <a:moveTo>
                    <a:pt x="50" y="4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50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5" name="Freeform 387">
              <a:extLst>
                <a:ext uri="{FF2B5EF4-FFF2-40B4-BE49-F238E27FC236}">
                  <a16:creationId xmlns:a16="http://schemas.microsoft.com/office/drawing/2014/main" id="{97F8264B-972D-4243-AF5F-D2D050F18BA4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4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4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6" name="Freeform 388">
              <a:extLst>
                <a:ext uri="{FF2B5EF4-FFF2-40B4-BE49-F238E27FC236}">
                  <a16:creationId xmlns:a16="http://schemas.microsoft.com/office/drawing/2014/main" id="{EBFFA75E-8762-4177-8DFB-1A4CB39DFEDF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34 w 34"/>
                <a:gd name="T1" fmla="*/ 2 h 102"/>
                <a:gd name="T2" fmla="*/ 26 w 34"/>
                <a:gd name="T3" fmla="*/ 0 h 102"/>
                <a:gd name="T4" fmla="*/ 0 w 34"/>
                <a:gd name="T5" fmla="*/ 102 h 102"/>
                <a:gd name="T6" fmla="*/ 34 w 34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34" y="2"/>
                  </a:moveTo>
                  <a:lnTo>
                    <a:pt x="26" y="0"/>
                  </a:lnTo>
                  <a:lnTo>
                    <a:pt x="0" y="102"/>
                  </a:lnTo>
                  <a:lnTo>
                    <a:pt x="34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7" name="Freeform 389">
              <a:extLst>
                <a:ext uri="{FF2B5EF4-FFF2-40B4-BE49-F238E27FC236}">
                  <a16:creationId xmlns:a16="http://schemas.microsoft.com/office/drawing/2014/main" id="{4EFE4C8C-A0A2-47B6-895F-50FB1C7EFDAE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26 w 26"/>
                <a:gd name="T1" fmla="*/ 2 h 104"/>
                <a:gd name="T2" fmla="*/ 17 w 26"/>
                <a:gd name="T3" fmla="*/ 0 h 104"/>
                <a:gd name="T4" fmla="*/ 0 w 26"/>
                <a:gd name="T5" fmla="*/ 104 h 104"/>
                <a:gd name="T6" fmla="*/ 26 w 26"/>
                <a:gd name="T7" fmla="*/ 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26" y="2"/>
                  </a:moveTo>
                  <a:lnTo>
                    <a:pt x="17" y="0"/>
                  </a:lnTo>
                  <a:lnTo>
                    <a:pt x="0" y="104"/>
                  </a:lnTo>
                  <a:lnTo>
                    <a:pt x="26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8" name="Freeform 390">
              <a:extLst>
                <a:ext uri="{FF2B5EF4-FFF2-40B4-BE49-F238E27FC236}">
                  <a16:creationId xmlns:a16="http://schemas.microsoft.com/office/drawing/2014/main" id="{F8666438-DB11-4427-85AE-CF7083AB212B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17 w 17"/>
                <a:gd name="T1" fmla="*/ 1 h 105"/>
                <a:gd name="T2" fmla="*/ 9 w 17"/>
                <a:gd name="T3" fmla="*/ 0 h 105"/>
                <a:gd name="T4" fmla="*/ 0 w 17"/>
                <a:gd name="T5" fmla="*/ 105 h 105"/>
                <a:gd name="T6" fmla="*/ 17 w 17"/>
                <a:gd name="T7" fmla="*/ 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17" y="1"/>
                  </a:moveTo>
                  <a:lnTo>
                    <a:pt x="9" y="0"/>
                  </a:lnTo>
                  <a:lnTo>
                    <a:pt x="0" y="105"/>
                  </a:lnTo>
                  <a:lnTo>
                    <a:pt x="1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9" name="Freeform 391">
              <a:extLst>
                <a:ext uri="{FF2B5EF4-FFF2-40B4-BE49-F238E27FC236}">
                  <a16:creationId xmlns:a16="http://schemas.microsoft.com/office/drawing/2014/main" id="{28B525CE-6DD9-4F6B-8EB6-85626CDE9C66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1 h 106"/>
                <a:gd name="T2" fmla="*/ 0 w 9"/>
                <a:gd name="T3" fmla="*/ 0 h 106"/>
                <a:gd name="T4" fmla="*/ 0 w 9"/>
                <a:gd name="T5" fmla="*/ 106 h 106"/>
                <a:gd name="T6" fmla="*/ 9 w 9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0" name="Freeform 392">
              <a:extLst>
                <a:ext uri="{FF2B5EF4-FFF2-40B4-BE49-F238E27FC236}">
                  <a16:creationId xmlns:a16="http://schemas.microsoft.com/office/drawing/2014/main" id="{2A813BB1-4490-4A62-8D38-6186DFA1C2BC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0 h 106"/>
                <a:gd name="T2" fmla="*/ 0 w 9"/>
                <a:gd name="T3" fmla="*/ 1 h 106"/>
                <a:gd name="T4" fmla="*/ 9 w 9"/>
                <a:gd name="T5" fmla="*/ 106 h 106"/>
                <a:gd name="T6" fmla="*/ 9 w 9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0"/>
                  </a:moveTo>
                  <a:lnTo>
                    <a:pt x="0" y="1"/>
                  </a:lnTo>
                  <a:lnTo>
                    <a:pt x="9" y="106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1" name="Freeform 393">
              <a:extLst>
                <a:ext uri="{FF2B5EF4-FFF2-40B4-BE49-F238E27FC236}">
                  <a16:creationId xmlns:a16="http://schemas.microsoft.com/office/drawing/2014/main" id="{840C9316-50F8-4043-9BCA-95EA8398EFEC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18"/>
                <a:gd name="T1" fmla="*/ 0 h 105"/>
                <a:gd name="T2" fmla="*/ 0 w 18"/>
                <a:gd name="T3" fmla="*/ 1 h 105"/>
                <a:gd name="T4" fmla="*/ 18 w 18"/>
                <a:gd name="T5" fmla="*/ 105 h 105"/>
                <a:gd name="T6" fmla="*/ 9 w 18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9" y="0"/>
                  </a:moveTo>
                  <a:lnTo>
                    <a:pt x="0" y="1"/>
                  </a:lnTo>
                  <a:lnTo>
                    <a:pt x="18" y="105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2" name="Freeform 394">
              <a:extLst>
                <a:ext uri="{FF2B5EF4-FFF2-40B4-BE49-F238E27FC236}">
                  <a16:creationId xmlns:a16="http://schemas.microsoft.com/office/drawing/2014/main" id="{71B5A9F3-6333-49B0-89E5-F6327F48476B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27"/>
                <a:gd name="T1" fmla="*/ 0 h 104"/>
                <a:gd name="T2" fmla="*/ 0 w 27"/>
                <a:gd name="T3" fmla="*/ 2 h 104"/>
                <a:gd name="T4" fmla="*/ 27 w 27"/>
                <a:gd name="T5" fmla="*/ 104 h 104"/>
                <a:gd name="T6" fmla="*/ 9 w 27"/>
                <a:gd name="T7" fmla="*/ 0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9" y="0"/>
                  </a:moveTo>
                  <a:lnTo>
                    <a:pt x="0" y="2"/>
                  </a:lnTo>
                  <a:lnTo>
                    <a:pt x="27" y="104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3" name="Freeform 395">
              <a:extLst>
                <a:ext uri="{FF2B5EF4-FFF2-40B4-BE49-F238E27FC236}">
                  <a16:creationId xmlns:a16="http://schemas.microsoft.com/office/drawing/2014/main" id="{8C1DAA93-00D6-4CF2-ADFD-B72E79393D0B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8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8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8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4" name="Freeform 396">
              <a:extLst>
                <a:ext uri="{FF2B5EF4-FFF2-40B4-BE49-F238E27FC236}">
                  <a16:creationId xmlns:a16="http://schemas.microsoft.com/office/drawing/2014/main" id="{A653B3FB-4BFF-4736-AA0E-3B044DA78350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43"/>
                <a:gd name="T1" fmla="*/ 0 h 100"/>
                <a:gd name="T2" fmla="*/ 0 w 43"/>
                <a:gd name="T3" fmla="*/ 3 h 100"/>
                <a:gd name="T4" fmla="*/ 43 w 43"/>
                <a:gd name="T5" fmla="*/ 100 h 100"/>
                <a:gd name="T6" fmla="*/ 8 w 43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100">
                  <a:moveTo>
                    <a:pt x="8" y="0"/>
                  </a:moveTo>
                  <a:lnTo>
                    <a:pt x="0" y="3"/>
                  </a:lnTo>
                  <a:lnTo>
                    <a:pt x="43" y="100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5" name="Freeform 397">
              <a:extLst>
                <a:ext uri="{FF2B5EF4-FFF2-40B4-BE49-F238E27FC236}">
                  <a16:creationId xmlns:a16="http://schemas.microsoft.com/office/drawing/2014/main" id="{147D3460-49F7-4C6F-BE75-A450236F5D33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1"/>
                <a:gd name="T1" fmla="*/ 0 h 97"/>
                <a:gd name="T2" fmla="*/ 0 w 51"/>
                <a:gd name="T3" fmla="*/ 4 h 97"/>
                <a:gd name="T4" fmla="*/ 51 w 51"/>
                <a:gd name="T5" fmla="*/ 97 h 97"/>
                <a:gd name="T6" fmla="*/ 8 w 51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7">
                  <a:moveTo>
                    <a:pt x="8" y="0"/>
                  </a:moveTo>
                  <a:lnTo>
                    <a:pt x="0" y="4"/>
                  </a:lnTo>
                  <a:lnTo>
                    <a:pt x="51" y="97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6" name="Freeform 398">
              <a:extLst>
                <a:ext uri="{FF2B5EF4-FFF2-40B4-BE49-F238E27FC236}">
                  <a16:creationId xmlns:a16="http://schemas.microsoft.com/office/drawing/2014/main" id="{B3A9CD23-CF28-4EEC-A9D5-204F6760C0B3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9"/>
                <a:gd name="T1" fmla="*/ 0 h 93"/>
                <a:gd name="T2" fmla="*/ 0 w 59"/>
                <a:gd name="T3" fmla="*/ 5 h 93"/>
                <a:gd name="T4" fmla="*/ 59 w 59"/>
                <a:gd name="T5" fmla="*/ 93 h 93"/>
                <a:gd name="T6" fmla="*/ 8 w 59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3">
                  <a:moveTo>
                    <a:pt x="8" y="0"/>
                  </a:moveTo>
                  <a:lnTo>
                    <a:pt x="0" y="5"/>
                  </a:lnTo>
                  <a:lnTo>
                    <a:pt x="59" y="9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7" name="Freeform 399">
              <a:extLst>
                <a:ext uri="{FF2B5EF4-FFF2-40B4-BE49-F238E27FC236}">
                  <a16:creationId xmlns:a16="http://schemas.microsoft.com/office/drawing/2014/main" id="{83CFE759-0AA9-4648-9DC0-BDB7B77025FE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7 w 66"/>
                <a:gd name="T1" fmla="*/ 0 h 88"/>
                <a:gd name="T2" fmla="*/ 0 w 66"/>
                <a:gd name="T3" fmla="*/ 5 h 88"/>
                <a:gd name="T4" fmla="*/ 66 w 66"/>
                <a:gd name="T5" fmla="*/ 88 h 88"/>
                <a:gd name="T6" fmla="*/ 7 w 66"/>
                <a:gd name="T7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7" y="0"/>
                  </a:moveTo>
                  <a:lnTo>
                    <a:pt x="0" y="5"/>
                  </a:lnTo>
                  <a:lnTo>
                    <a:pt x="66" y="88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8" name="Freeform 400">
              <a:extLst>
                <a:ext uri="{FF2B5EF4-FFF2-40B4-BE49-F238E27FC236}">
                  <a16:creationId xmlns:a16="http://schemas.microsoft.com/office/drawing/2014/main" id="{A507A015-076C-4150-A33C-5A3DABAB13A2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6 w 72"/>
                <a:gd name="T1" fmla="*/ 0 h 83"/>
                <a:gd name="T2" fmla="*/ 0 w 72"/>
                <a:gd name="T3" fmla="*/ 5 h 83"/>
                <a:gd name="T4" fmla="*/ 72 w 72"/>
                <a:gd name="T5" fmla="*/ 83 h 83"/>
                <a:gd name="T6" fmla="*/ 6 w 72"/>
                <a:gd name="T7" fmla="*/ 0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6" y="0"/>
                  </a:moveTo>
                  <a:lnTo>
                    <a:pt x="0" y="5"/>
                  </a:lnTo>
                  <a:lnTo>
                    <a:pt x="72" y="83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9" name="Freeform 401">
              <a:extLst>
                <a:ext uri="{FF2B5EF4-FFF2-40B4-BE49-F238E27FC236}">
                  <a16:creationId xmlns:a16="http://schemas.microsoft.com/office/drawing/2014/main" id="{DCBB7FF3-83CA-4FC1-9949-7D2C65AC5153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78"/>
                <a:gd name="T1" fmla="*/ 0 h 78"/>
                <a:gd name="T2" fmla="*/ 0 w 78"/>
                <a:gd name="T3" fmla="*/ 6 h 78"/>
                <a:gd name="T4" fmla="*/ 78 w 78"/>
                <a:gd name="T5" fmla="*/ 78 h 78"/>
                <a:gd name="T6" fmla="*/ 6 w 78"/>
                <a:gd name="T7" fmla="*/ 0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8">
                  <a:moveTo>
                    <a:pt x="6" y="0"/>
                  </a:moveTo>
                  <a:lnTo>
                    <a:pt x="0" y="6"/>
                  </a:lnTo>
                  <a:lnTo>
                    <a:pt x="78" y="78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0" name="Freeform 402">
              <a:extLst>
                <a:ext uri="{FF2B5EF4-FFF2-40B4-BE49-F238E27FC236}">
                  <a16:creationId xmlns:a16="http://schemas.microsoft.com/office/drawing/2014/main" id="{C2EE4327-FB32-4DC1-B8D1-14D791A6F23C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84"/>
                <a:gd name="T1" fmla="*/ 0 h 72"/>
                <a:gd name="T2" fmla="*/ 0 w 84"/>
                <a:gd name="T3" fmla="*/ 7 h 72"/>
                <a:gd name="T4" fmla="*/ 84 w 84"/>
                <a:gd name="T5" fmla="*/ 72 h 72"/>
                <a:gd name="T6" fmla="*/ 6 w 84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2">
                  <a:moveTo>
                    <a:pt x="6" y="0"/>
                  </a:moveTo>
                  <a:lnTo>
                    <a:pt x="0" y="7"/>
                  </a:lnTo>
                  <a:lnTo>
                    <a:pt x="84" y="7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1" name="Freeform 403">
              <a:extLst>
                <a:ext uri="{FF2B5EF4-FFF2-40B4-BE49-F238E27FC236}">
                  <a16:creationId xmlns:a16="http://schemas.microsoft.com/office/drawing/2014/main" id="{E4AA6453-7BEA-4765-A49D-2AC902213CFA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89"/>
                <a:gd name="T1" fmla="*/ 0 h 65"/>
                <a:gd name="T2" fmla="*/ 0 w 89"/>
                <a:gd name="T3" fmla="*/ 7 h 65"/>
                <a:gd name="T4" fmla="*/ 89 w 89"/>
                <a:gd name="T5" fmla="*/ 65 h 65"/>
                <a:gd name="T6" fmla="*/ 5 w 89"/>
                <a:gd name="T7" fmla="*/ 0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5">
                  <a:moveTo>
                    <a:pt x="5" y="0"/>
                  </a:moveTo>
                  <a:lnTo>
                    <a:pt x="0" y="7"/>
                  </a:lnTo>
                  <a:lnTo>
                    <a:pt x="89" y="65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2" name="Freeform 404">
              <a:extLst>
                <a:ext uri="{FF2B5EF4-FFF2-40B4-BE49-F238E27FC236}">
                  <a16:creationId xmlns:a16="http://schemas.microsoft.com/office/drawing/2014/main" id="{3BD95F1E-5367-46EF-86EB-CEB17FC1A1C0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94"/>
                <a:gd name="T1" fmla="*/ 0 h 58"/>
                <a:gd name="T2" fmla="*/ 0 w 94"/>
                <a:gd name="T3" fmla="*/ 8 h 58"/>
                <a:gd name="T4" fmla="*/ 94 w 94"/>
                <a:gd name="T5" fmla="*/ 58 h 58"/>
                <a:gd name="T6" fmla="*/ 5 w 94"/>
                <a:gd name="T7" fmla="*/ 0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8">
                  <a:moveTo>
                    <a:pt x="5" y="0"/>
                  </a:moveTo>
                  <a:lnTo>
                    <a:pt x="0" y="8"/>
                  </a:lnTo>
                  <a:lnTo>
                    <a:pt x="94" y="58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3" name="Freeform 405">
              <a:extLst>
                <a:ext uri="{FF2B5EF4-FFF2-40B4-BE49-F238E27FC236}">
                  <a16:creationId xmlns:a16="http://schemas.microsoft.com/office/drawing/2014/main" id="{F6076722-401D-4F87-94A3-E1D154EA2B91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3 w 97"/>
                <a:gd name="T1" fmla="*/ 0 h 50"/>
                <a:gd name="T2" fmla="*/ 0 w 97"/>
                <a:gd name="T3" fmla="*/ 7 h 50"/>
                <a:gd name="T4" fmla="*/ 97 w 97"/>
                <a:gd name="T5" fmla="*/ 50 h 50"/>
                <a:gd name="T6" fmla="*/ 3 w 97"/>
                <a:gd name="T7" fmla="*/ 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3" y="0"/>
                  </a:moveTo>
                  <a:lnTo>
                    <a:pt x="0" y="7"/>
                  </a:lnTo>
                  <a:lnTo>
                    <a:pt x="97" y="5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4" name="Freeform 406">
              <a:extLst>
                <a:ext uri="{FF2B5EF4-FFF2-40B4-BE49-F238E27FC236}">
                  <a16:creationId xmlns:a16="http://schemas.microsoft.com/office/drawing/2014/main" id="{49BA50A3-72C1-4D7F-B656-04DC67A2EE71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4 w 101"/>
                <a:gd name="T1" fmla="*/ 0 h 43"/>
                <a:gd name="T2" fmla="*/ 0 w 101"/>
                <a:gd name="T3" fmla="*/ 8 h 43"/>
                <a:gd name="T4" fmla="*/ 101 w 101"/>
                <a:gd name="T5" fmla="*/ 43 h 43"/>
                <a:gd name="T6" fmla="*/ 4 w 101"/>
                <a:gd name="T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3">
                  <a:moveTo>
                    <a:pt x="4" y="0"/>
                  </a:moveTo>
                  <a:lnTo>
                    <a:pt x="0" y="8"/>
                  </a:lnTo>
                  <a:lnTo>
                    <a:pt x="101" y="43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5" name="Freeform 407">
              <a:extLst>
                <a:ext uri="{FF2B5EF4-FFF2-40B4-BE49-F238E27FC236}">
                  <a16:creationId xmlns:a16="http://schemas.microsoft.com/office/drawing/2014/main" id="{AEC3DADB-1332-4BD6-9A54-C7FD165DC1D5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3"/>
                <a:gd name="T1" fmla="*/ 0 h 35"/>
                <a:gd name="T2" fmla="*/ 0 w 103"/>
                <a:gd name="T3" fmla="*/ 9 h 35"/>
                <a:gd name="T4" fmla="*/ 103 w 103"/>
                <a:gd name="T5" fmla="*/ 35 h 35"/>
                <a:gd name="T6" fmla="*/ 2 w 103"/>
                <a:gd name="T7" fmla="*/ 0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5">
                  <a:moveTo>
                    <a:pt x="2" y="0"/>
                  </a:moveTo>
                  <a:lnTo>
                    <a:pt x="0" y="9"/>
                  </a:lnTo>
                  <a:lnTo>
                    <a:pt x="103" y="35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6" name="Freeform 408">
              <a:extLst>
                <a:ext uri="{FF2B5EF4-FFF2-40B4-BE49-F238E27FC236}">
                  <a16:creationId xmlns:a16="http://schemas.microsoft.com/office/drawing/2014/main" id="{FEA28A53-B4D7-42B8-8D88-E5F69366AA1C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5"/>
                <a:gd name="T1" fmla="*/ 0 h 26"/>
                <a:gd name="T2" fmla="*/ 0 w 105"/>
                <a:gd name="T3" fmla="*/ 8 h 26"/>
                <a:gd name="T4" fmla="*/ 105 w 105"/>
                <a:gd name="T5" fmla="*/ 26 h 26"/>
                <a:gd name="T6" fmla="*/ 2 w 105"/>
                <a:gd name="T7" fmla="*/ 0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2" y="0"/>
                  </a:moveTo>
                  <a:lnTo>
                    <a:pt x="0" y="8"/>
                  </a:lnTo>
                  <a:lnTo>
                    <a:pt x="105" y="2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7" name="Freeform 409">
              <a:extLst>
                <a:ext uri="{FF2B5EF4-FFF2-40B4-BE49-F238E27FC236}">
                  <a16:creationId xmlns:a16="http://schemas.microsoft.com/office/drawing/2014/main" id="{7E3E53A9-9061-4C8B-9B28-0C1791238A28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1 w 106"/>
                <a:gd name="T1" fmla="*/ 0 h 18"/>
                <a:gd name="T2" fmla="*/ 0 w 106"/>
                <a:gd name="T3" fmla="*/ 9 h 18"/>
                <a:gd name="T4" fmla="*/ 106 w 106"/>
                <a:gd name="T5" fmla="*/ 18 h 18"/>
                <a:gd name="T6" fmla="*/ 1 w 106"/>
                <a:gd name="T7" fmla="*/ 0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8">
                  <a:moveTo>
                    <a:pt x="1" y="0"/>
                  </a:moveTo>
                  <a:lnTo>
                    <a:pt x="0" y="9"/>
                  </a:lnTo>
                  <a:lnTo>
                    <a:pt x="106" y="18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8" name="Freeform 410">
              <a:extLst>
                <a:ext uri="{FF2B5EF4-FFF2-40B4-BE49-F238E27FC236}">
                  <a16:creationId xmlns:a16="http://schemas.microsoft.com/office/drawing/2014/main" id="{E3269F9B-0174-4629-832E-F3C0C0008FF7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9"/>
                <a:gd name="T2" fmla="*/ 0 w 106"/>
                <a:gd name="T3" fmla="*/ 9 h 9"/>
                <a:gd name="T4" fmla="*/ 106 w 106"/>
                <a:gd name="T5" fmla="*/ 9 h 9"/>
                <a:gd name="T6" fmla="*/ 0 w 106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9">
                  <a:moveTo>
                    <a:pt x="0" y="0"/>
                  </a:moveTo>
                  <a:lnTo>
                    <a:pt x="0" y="9"/>
                  </a:lnTo>
                  <a:lnTo>
                    <a:pt x="106" y="9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9" name="Freeform 411">
              <a:extLst>
                <a:ext uri="{FF2B5EF4-FFF2-40B4-BE49-F238E27FC236}">
                  <a16:creationId xmlns:a16="http://schemas.microsoft.com/office/drawing/2014/main" id="{AA1DA365-2FD5-4C47-A2DD-C008953D2A1F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8"/>
                <a:gd name="T2" fmla="*/ 0 w 106"/>
                <a:gd name="T3" fmla="*/ 8 h 8"/>
                <a:gd name="T4" fmla="*/ 106 w 106"/>
                <a:gd name="T5" fmla="*/ 0 h 8"/>
                <a:gd name="T6" fmla="*/ 0 w 106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8">
                  <a:moveTo>
                    <a:pt x="0" y="0"/>
                  </a:moveTo>
                  <a:lnTo>
                    <a:pt x="0" y="8"/>
                  </a:lnTo>
                  <a:lnTo>
                    <a:pt x="10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0" name="Freeform 412">
              <a:extLst>
                <a:ext uri="{FF2B5EF4-FFF2-40B4-BE49-F238E27FC236}">
                  <a16:creationId xmlns:a16="http://schemas.microsoft.com/office/drawing/2014/main" id="{B8954141-5B1B-433A-B8C1-2BC12F0ACC3C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8 h 17"/>
                <a:gd name="T2" fmla="*/ 1 w 106"/>
                <a:gd name="T3" fmla="*/ 17 h 17"/>
                <a:gd name="T4" fmla="*/ 106 w 106"/>
                <a:gd name="T5" fmla="*/ 0 h 17"/>
                <a:gd name="T6" fmla="*/ 0 w 106"/>
                <a:gd name="T7" fmla="*/ 8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7">
                  <a:moveTo>
                    <a:pt x="0" y="8"/>
                  </a:moveTo>
                  <a:lnTo>
                    <a:pt x="1" y="17"/>
                  </a:lnTo>
                  <a:lnTo>
                    <a:pt x="106" y="0"/>
                  </a:lnTo>
                  <a:lnTo>
                    <a:pt x="0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1" name="Freeform 413">
              <a:extLst>
                <a:ext uri="{FF2B5EF4-FFF2-40B4-BE49-F238E27FC236}">
                  <a16:creationId xmlns:a16="http://schemas.microsoft.com/office/drawing/2014/main" id="{89448ACB-E154-4411-8281-B7339799DB5D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5"/>
                <a:gd name="T1" fmla="*/ 17 h 26"/>
                <a:gd name="T2" fmla="*/ 2 w 105"/>
                <a:gd name="T3" fmla="*/ 26 h 26"/>
                <a:gd name="T4" fmla="*/ 105 w 105"/>
                <a:gd name="T5" fmla="*/ 0 h 26"/>
                <a:gd name="T6" fmla="*/ 0 w 105"/>
                <a:gd name="T7" fmla="*/ 17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0" y="17"/>
                  </a:moveTo>
                  <a:lnTo>
                    <a:pt x="2" y="26"/>
                  </a:lnTo>
                  <a:lnTo>
                    <a:pt x="105" y="0"/>
                  </a:lnTo>
                  <a:lnTo>
                    <a:pt x="0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2" name="Freeform 414">
              <a:extLst>
                <a:ext uri="{FF2B5EF4-FFF2-40B4-BE49-F238E27FC236}">
                  <a16:creationId xmlns:a16="http://schemas.microsoft.com/office/drawing/2014/main" id="{977AB00B-A704-48A0-8A59-2E22CA404BBB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3"/>
                <a:gd name="T1" fmla="*/ 26 h 34"/>
                <a:gd name="T2" fmla="*/ 2 w 103"/>
                <a:gd name="T3" fmla="*/ 34 h 34"/>
                <a:gd name="T4" fmla="*/ 103 w 103"/>
                <a:gd name="T5" fmla="*/ 0 h 34"/>
                <a:gd name="T6" fmla="*/ 0 w 103"/>
                <a:gd name="T7" fmla="*/ 26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4">
                  <a:moveTo>
                    <a:pt x="0" y="26"/>
                  </a:moveTo>
                  <a:lnTo>
                    <a:pt x="2" y="34"/>
                  </a:lnTo>
                  <a:lnTo>
                    <a:pt x="103" y="0"/>
                  </a:lnTo>
                  <a:lnTo>
                    <a:pt x="0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3" name="Freeform 415">
              <a:extLst>
                <a:ext uri="{FF2B5EF4-FFF2-40B4-BE49-F238E27FC236}">
                  <a16:creationId xmlns:a16="http://schemas.microsoft.com/office/drawing/2014/main" id="{B8F9A454-3961-4CB8-9A88-E378539026D0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1"/>
            </a:xfrm>
            <a:custGeom>
              <a:avLst/>
              <a:gdLst>
                <a:gd name="T0" fmla="*/ 0 w 101"/>
                <a:gd name="T1" fmla="*/ 34 h 42"/>
                <a:gd name="T2" fmla="*/ 4 w 101"/>
                <a:gd name="T3" fmla="*/ 42 h 42"/>
                <a:gd name="T4" fmla="*/ 101 w 101"/>
                <a:gd name="T5" fmla="*/ 0 h 42"/>
                <a:gd name="T6" fmla="*/ 0 w 101"/>
                <a:gd name="T7" fmla="*/ 34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2">
                  <a:moveTo>
                    <a:pt x="0" y="34"/>
                  </a:moveTo>
                  <a:lnTo>
                    <a:pt x="4" y="42"/>
                  </a:lnTo>
                  <a:lnTo>
                    <a:pt x="101" y="0"/>
                  </a:lnTo>
                  <a:lnTo>
                    <a:pt x="0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4" name="Freeform 416">
              <a:extLst>
                <a:ext uri="{FF2B5EF4-FFF2-40B4-BE49-F238E27FC236}">
                  <a16:creationId xmlns:a16="http://schemas.microsoft.com/office/drawing/2014/main" id="{0C0FC926-A9E0-42F2-938F-6E14DCF53F66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7"/>
                <a:gd name="T1" fmla="*/ 42 h 50"/>
                <a:gd name="T2" fmla="*/ 3 w 97"/>
                <a:gd name="T3" fmla="*/ 50 h 50"/>
                <a:gd name="T4" fmla="*/ 97 w 97"/>
                <a:gd name="T5" fmla="*/ 0 h 50"/>
                <a:gd name="T6" fmla="*/ 0 w 97"/>
                <a:gd name="T7" fmla="*/ 42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0" y="42"/>
                  </a:moveTo>
                  <a:lnTo>
                    <a:pt x="3" y="50"/>
                  </a:lnTo>
                  <a:lnTo>
                    <a:pt x="97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5" name="Freeform 417">
              <a:extLst>
                <a:ext uri="{FF2B5EF4-FFF2-40B4-BE49-F238E27FC236}">
                  <a16:creationId xmlns:a16="http://schemas.microsoft.com/office/drawing/2014/main" id="{72A4948C-8195-46E9-8E76-F9A82F8CD6B8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4"/>
                <a:gd name="T1" fmla="*/ 50 h 57"/>
                <a:gd name="T2" fmla="*/ 5 w 94"/>
                <a:gd name="T3" fmla="*/ 57 h 57"/>
                <a:gd name="T4" fmla="*/ 94 w 94"/>
                <a:gd name="T5" fmla="*/ 0 h 57"/>
                <a:gd name="T6" fmla="*/ 0 w 94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7">
                  <a:moveTo>
                    <a:pt x="0" y="50"/>
                  </a:moveTo>
                  <a:lnTo>
                    <a:pt x="5" y="57"/>
                  </a:lnTo>
                  <a:lnTo>
                    <a:pt x="94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6" name="Freeform 418">
              <a:extLst>
                <a:ext uri="{FF2B5EF4-FFF2-40B4-BE49-F238E27FC236}">
                  <a16:creationId xmlns:a16="http://schemas.microsoft.com/office/drawing/2014/main" id="{96BF049F-A2BC-4113-83CB-AB2FB58326FE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9"/>
                <a:gd name="T1" fmla="*/ 57 h 64"/>
                <a:gd name="T2" fmla="*/ 5 w 89"/>
                <a:gd name="T3" fmla="*/ 64 h 64"/>
                <a:gd name="T4" fmla="*/ 89 w 89"/>
                <a:gd name="T5" fmla="*/ 0 h 64"/>
                <a:gd name="T6" fmla="*/ 0 w 89"/>
                <a:gd name="T7" fmla="*/ 57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4">
                  <a:moveTo>
                    <a:pt x="0" y="57"/>
                  </a:moveTo>
                  <a:lnTo>
                    <a:pt x="5" y="64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7" name="Freeform 419">
              <a:extLst>
                <a:ext uri="{FF2B5EF4-FFF2-40B4-BE49-F238E27FC236}">
                  <a16:creationId xmlns:a16="http://schemas.microsoft.com/office/drawing/2014/main" id="{E4C88725-34DD-4373-A81F-E7EB6CFA5782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4"/>
                <a:gd name="T1" fmla="*/ 64 h 71"/>
                <a:gd name="T2" fmla="*/ 6 w 84"/>
                <a:gd name="T3" fmla="*/ 71 h 71"/>
                <a:gd name="T4" fmla="*/ 84 w 84"/>
                <a:gd name="T5" fmla="*/ 0 h 71"/>
                <a:gd name="T6" fmla="*/ 0 w 84"/>
                <a:gd name="T7" fmla="*/ 64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1">
                  <a:moveTo>
                    <a:pt x="0" y="64"/>
                  </a:moveTo>
                  <a:lnTo>
                    <a:pt x="6" y="71"/>
                  </a:lnTo>
                  <a:lnTo>
                    <a:pt x="84" y="0"/>
                  </a:lnTo>
                  <a:lnTo>
                    <a:pt x="0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8" name="Freeform 420">
              <a:extLst>
                <a:ext uri="{FF2B5EF4-FFF2-40B4-BE49-F238E27FC236}">
                  <a16:creationId xmlns:a16="http://schemas.microsoft.com/office/drawing/2014/main" id="{D4AB4A81-D7D0-4CE9-A370-5C39E590B155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8"/>
                <a:gd name="T1" fmla="*/ 71 h 77"/>
                <a:gd name="T2" fmla="*/ 6 w 78"/>
                <a:gd name="T3" fmla="*/ 77 h 77"/>
                <a:gd name="T4" fmla="*/ 78 w 78"/>
                <a:gd name="T5" fmla="*/ 0 h 77"/>
                <a:gd name="T6" fmla="*/ 0 w 78"/>
                <a:gd name="T7" fmla="*/ 71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7">
                  <a:moveTo>
                    <a:pt x="0" y="71"/>
                  </a:moveTo>
                  <a:lnTo>
                    <a:pt x="6" y="77"/>
                  </a:lnTo>
                  <a:lnTo>
                    <a:pt x="78" y="0"/>
                  </a:lnTo>
                  <a:lnTo>
                    <a:pt x="0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9" name="Freeform 421">
              <a:extLst>
                <a:ext uri="{FF2B5EF4-FFF2-40B4-BE49-F238E27FC236}">
                  <a16:creationId xmlns:a16="http://schemas.microsoft.com/office/drawing/2014/main" id="{F5CD507D-B4FB-411A-929E-425BE45ED98A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2"/>
                <a:gd name="T1" fmla="*/ 77 h 83"/>
                <a:gd name="T2" fmla="*/ 6 w 72"/>
                <a:gd name="T3" fmla="*/ 83 h 83"/>
                <a:gd name="T4" fmla="*/ 72 w 72"/>
                <a:gd name="T5" fmla="*/ 0 h 83"/>
                <a:gd name="T6" fmla="*/ 0 w 72"/>
                <a:gd name="T7" fmla="*/ 77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0" y="77"/>
                  </a:moveTo>
                  <a:lnTo>
                    <a:pt x="6" y="83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0" name="Freeform 422">
              <a:extLst>
                <a:ext uri="{FF2B5EF4-FFF2-40B4-BE49-F238E27FC236}">
                  <a16:creationId xmlns:a16="http://schemas.microsoft.com/office/drawing/2014/main" id="{97D4B806-92AA-42A4-8E87-67EAC501CCDA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66"/>
                <a:gd name="T1" fmla="*/ 83 h 88"/>
                <a:gd name="T2" fmla="*/ 7 w 66"/>
                <a:gd name="T3" fmla="*/ 88 h 88"/>
                <a:gd name="T4" fmla="*/ 66 w 66"/>
                <a:gd name="T5" fmla="*/ 0 h 88"/>
                <a:gd name="T6" fmla="*/ 0 w 66"/>
                <a:gd name="T7" fmla="*/ 83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0" y="83"/>
                  </a:moveTo>
                  <a:lnTo>
                    <a:pt x="7" y="88"/>
                  </a:lnTo>
                  <a:lnTo>
                    <a:pt x="66" y="0"/>
                  </a:lnTo>
                  <a:lnTo>
                    <a:pt x="0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1" name="Freeform 423">
              <a:extLst>
                <a:ext uri="{FF2B5EF4-FFF2-40B4-BE49-F238E27FC236}">
                  <a16:creationId xmlns:a16="http://schemas.microsoft.com/office/drawing/2014/main" id="{A98AA313-40D4-4006-A0AE-244E1EE22F1A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9"/>
                <a:gd name="T1" fmla="*/ 88 h 92"/>
                <a:gd name="T2" fmla="*/ 8 w 59"/>
                <a:gd name="T3" fmla="*/ 92 h 92"/>
                <a:gd name="T4" fmla="*/ 59 w 59"/>
                <a:gd name="T5" fmla="*/ 0 h 92"/>
                <a:gd name="T6" fmla="*/ 0 w 59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2">
                  <a:moveTo>
                    <a:pt x="0" y="88"/>
                  </a:moveTo>
                  <a:lnTo>
                    <a:pt x="8" y="92"/>
                  </a:lnTo>
                  <a:lnTo>
                    <a:pt x="59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2" name="Freeform 424">
              <a:extLst>
                <a:ext uri="{FF2B5EF4-FFF2-40B4-BE49-F238E27FC236}">
                  <a16:creationId xmlns:a16="http://schemas.microsoft.com/office/drawing/2014/main" id="{6319551B-F9DF-420D-BF5E-609F46F9F563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1"/>
                <a:gd name="T1" fmla="*/ 92 h 96"/>
                <a:gd name="T2" fmla="*/ 8 w 51"/>
                <a:gd name="T3" fmla="*/ 96 h 96"/>
                <a:gd name="T4" fmla="*/ 51 w 51"/>
                <a:gd name="T5" fmla="*/ 0 h 96"/>
                <a:gd name="T6" fmla="*/ 0 w 51"/>
                <a:gd name="T7" fmla="*/ 92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6">
                  <a:moveTo>
                    <a:pt x="0" y="92"/>
                  </a:moveTo>
                  <a:lnTo>
                    <a:pt x="8" y="96"/>
                  </a:lnTo>
                  <a:lnTo>
                    <a:pt x="51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3" name="Freeform 425">
              <a:extLst>
                <a:ext uri="{FF2B5EF4-FFF2-40B4-BE49-F238E27FC236}">
                  <a16:creationId xmlns:a16="http://schemas.microsoft.com/office/drawing/2014/main" id="{700DF7D4-361F-4270-8BE3-D473C6029CB0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2"/>
            </a:xfrm>
            <a:custGeom>
              <a:avLst/>
              <a:gdLst>
                <a:gd name="T0" fmla="*/ 0 w 43"/>
                <a:gd name="T1" fmla="*/ 96 h 99"/>
                <a:gd name="T2" fmla="*/ 8 w 43"/>
                <a:gd name="T3" fmla="*/ 99 h 99"/>
                <a:gd name="T4" fmla="*/ 43 w 43"/>
                <a:gd name="T5" fmla="*/ 0 h 99"/>
                <a:gd name="T6" fmla="*/ 0 w 43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99">
                  <a:moveTo>
                    <a:pt x="0" y="96"/>
                  </a:moveTo>
                  <a:lnTo>
                    <a:pt x="8" y="99"/>
                  </a:lnTo>
                  <a:lnTo>
                    <a:pt x="43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4" name="Freeform 426">
              <a:extLst>
                <a:ext uri="{FF2B5EF4-FFF2-40B4-BE49-F238E27FC236}">
                  <a16:creationId xmlns:a16="http://schemas.microsoft.com/office/drawing/2014/main" id="{7D000CF2-E47C-4828-A96D-56786B14B0A5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35"/>
                <a:gd name="T1" fmla="*/ 99 h 102"/>
                <a:gd name="T2" fmla="*/ 8 w 35"/>
                <a:gd name="T3" fmla="*/ 102 h 102"/>
                <a:gd name="T4" fmla="*/ 35 w 35"/>
                <a:gd name="T5" fmla="*/ 0 h 102"/>
                <a:gd name="T6" fmla="*/ 0 w 35"/>
                <a:gd name="T7" fmla="*/ 99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0" y="99"/>
                  </a:moveTo>
                  <a:lnTo>
                    <a:pt x="8" y="102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5" name="Freeform 427">
              <a:extLst>
                <a:ext uri="{FF2B5EF4-FFF2-40B4-BE49-F238E27FC236}">
                  <a16:creationId xmlns:a16="http://schemas.microsoft.com/office/drawing/2014/main" id="{F3AC1130-D5C9-4B37-BDFB-8458437B1583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27"/>
                <a:gd name="T1" fmla="*/ 102 h 104"/>
                <a:gd name="T2" fmla="*/ 9 w 27"/>
                <a:gd name="T3" fmla="*/ 104 h 104"/>
                <a:gd name="T4" fmla="*/ 27 w 27"/>
                <a:gd name="T5" fmla="*/ 0 h 104"/>
                <a:gd name="T6" fmla="*/ 0 w 27"/>
                <a:gd name="T7" fmla="*/ 10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0" y="102"/>
                  </a:moveTo>
                  <a:lnTo>
                    <a:pt x="9" y="104"/>
                  </a:lnTo>
                  <a:lnTo>
                    <a:pt x="27" y="0"/>
                  </a:lnTo>
                  <a:lnTo>
                    <a:pt x="0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6" name="Freeform 428">
              <a:extLst>
                <a:ext uri="{FF2B5EF4-FFF2-40B4-BE49-F238E27FC236}">
                  <a16:creationId xmlns:a16="http://schemas.microsoft.com/office/drawing/2014/main" id="{E64C0465-C7DE-4CF9-9300-EF65EF2C4E6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18"/>
                <a:gd name="T1" fmla="*/ 104 h 105"/>
                <a:gd name="T2" fmla="*/ 9 w 18"/>
                <a:gd name="T3" fmla="*/ 105 h 105"/>
                <a:gd name="T4" fmla="*/ 18 w 18"/>
                <a:gd name="T5" fmla="*/ 0 h 105"/>
                <a:gd name="T6" fmla="*/ 0 w 18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0" y="104"/>
                  </a:moveTo>
                  <a:lnTo>
                    <a:pt x="9" y="105"/>
                  </a:lnTo>
                  <a:lnTo>
                    <a:pt x="18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7" name="Freeform 429">
              <a:extLst>
                <a:ext uri="{FF2B5EF4-FFF2-40B4-BE49-F238E27FC236}">
                  <a16:creationId xmlns:a16="http://schemas.microsoft.com/office/drawing/2014/main" id="{00CA2090-F5FC-4EAB-87A9-F65C11CBDF6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9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9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8" name="Freeform 430">
              <a:extLst>
                <a:ext uri="{FF2B5EF4-FFF2-40B4-BE49-F238E27FC236}">
                  <a16:creationId xmlns:a16="http://schemas.microsoft.com/office/drawing/2014/main" id="{24EA3FFC-B6C2-4E51-A2C3-1EF4F71BCF5A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0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9" name="Freeform 431">
              <a:extLst>
                <a:ext uri="{FF2B5EF4-FFF2-40B4-BE49-F238E27FC236}">
                  <a16:creationId xmlns:a16="http://schemas.microsoft.com/office/drawing/2014/main" id="{A9D26DFB-63C8-441B-B33C-A4869A6922C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9 w 17"/>
                <a:gd name="T1" fmla="*/ 105 h 105"/>
                <a:gd name="T2" fmla="*/ 17 w 17"/>
                <a:gd name="T3" fmla="*/ 104 h 105"/>
                <a:gd name="T4" fmla="*/ 0 w 17"/>
                <a:gd name="T5" fmla="*/ 0 h 105"/>
                <a:gd name="T6" fmla="*/ 9 w 1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9" y="105"/>
                  </a:moveTo>
                  <a:lnTo>
                    <a:pt x="17" y="104"/>
                  </a:lnTo>
                  <a:lnTo>
                    <a:pt x="0" y="0"/>
                  </a:lnTo>
                  <a:lnTo>
                    <a:pt x="9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0" name="Freeform 432">
              <a:extLst>
                <a:ext uri="{FF2B5EF4-FFF2-40B4-BE49-F238E27FC236}">
                  <a16:creationId xmlns:a16="http://schemas.microsoft.com/office/drawing/2014/main" id="{301E55EE-6EC3-4D37-8B73-99F9EEFF739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17 w 26"/>
                <a:gd name="T1" fmla="*/ 104 h 104"/>
                <a:gd name="T2" fmla="*/ 26 w 26"/>
                <a:gd name="T3" fmla="*/ 102 h 104"/>
                <a:gd name="T4" fmla="*/ 0 w 26"/>
                <a:gd name="T5" fmla="*/ 0 h 104"/>
                <a:gd name="T6" fmla="*/ 17 w 26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17" y="104"/>
                  </a:moveTo>
                  <a:lnTo>
                    <a:pt x="26" y="102"/>
                  </a:lnTo>
                  <a:lnTo>
                    <a:pt x="0" y="0"/>
                  </a:lnTo>
                  <a:lnTo>
                    <a:pt x="17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1" name="Freeform 433">
              <a:extLst>
                <a:ext uri="{FF2B5EF4-FFF2-40B4-BE49-F238E27FC236}">
                  <a16:creationId xmlns:a16="http://schemas.microsoft.com/office/drawing/2014/main" id="{618BCB50-6A76-4B8E-950E-F5364A94A0CC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26 w 34"/>
                <a:gd name="T1" fmla="*/ 102 h 102"/>
                <a:gd name="T2" fmla="*/ 34 w 34"/>
                <a:gd name="T3" fmla="*/ 99 h 102"/>
                <a:gd name="T4" fmla="*/ 0 w 34"/>
                <a:gd name="T5" fmla="*/ 0 h 102"/>
                <a:gd name="T6" fmla="*/ 26 w 34"/>
                <a:gd name="T7" fmla="*/ 10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26" y="102"/>
                  </a:moveTo>
                  <a:lnTo>
                    <a:pt x="34" y="99"/>
                  </a:lnTo>
                  <a:lnTo>
                    <a:pt x="0" y="0"/>
                  </a:lnTo>
                  <a:lnTo>
                    <a:pt x="26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2" name="Freeform 434">
              <a:extLst>
                <a:ext uri="{FF2B5EF4-FFF2-40B4-BE49-F238E27FC236}">
                  <a16:creationId xmlns:a16="http://schemas.microsoft.com/office/drawing/2014/main" id="{7E0327B4-F725-48C7-86FF-793E880A64E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34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4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4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4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3" name="Freeform 435">
              <a:extLst>
                <a:ext uri="{FF2B5EF4-FFF2-40B4-BE49-F238E27FC236}">
                  <a16:creationId xmlns:a16="http://schemas.microsoft.com/office/drawing/2014/main" id="{62751081-922C-4C37-B48E-B0460D6D8F8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42 w 50"/>
                <a:gd name="T1" fmla="*/ 96 h 96"/>
                <a:gd name="T2" fmla="*/ 50 w 50"/>
                <a:gd name="T3" fmla="*/ 92 h 96"/>
                <a:gd name="T4" fmla="*/ 0 w 50"/>
                <a:gd name="T5" fmla="*/ 0 h 96"/>
                <a:gd name="T6" fmla="*/ 42 w 50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42" y="96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4" name="Freeform 436">
              <a:extLst>
                <a:ext uri="{FF2B5EF4-FFF2-40B4-BE49-F238E27FC236}">
                  <a16:creationId xmlns:a16="http://schemas.microsoft.com/office/drawing/2014/main" id="{F0F4AB94-BAB4-46BC-89EB-989CE29EC03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0 w 58"/>
                <a:gd name="T1" fmla="*/ 92 h 92"/>
                <a:gd name="T2" fmla="*/ 58 w 58"/>
                <a:gd name="T3" fmla="*/ 88 h 92"/>
                <a:gd name="T4" fmla="*/ 0 w 58"/>
                <a:gd name="T5" fmla="*/ 0 h 92"/>
                <a:gd name="T6" fmla="*/ 50 w 58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2">
                  <a:moveTo>
                    <a:pt x="50" y="92"/>
                  </a:moveTo>
                  <a:lnTo>
                    <a:pt x="58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5" name="Freeform 437">
              <a:extLst>
                <a:ext uri="{FF2B5EF4-FFF2-40B4-BE49-F238E27FC236}">
                  <a16:creationId xmlns:a16="http://schemas.microsoft.com/office/drawing/2014/main" id="{F680A026-5EE4-44E8-8B6D-3FDFD32BFCA4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8 w 65"/>
                <a:gd name="T1" fmla="*/ 88 h 88"/>
                <a:gd name="T2" fmla="*/ 65 w 65"/>
                <a:gd name="T3" fmla="*/ 83 h 88"/>
                <a:gd name="T4" fmla="*/ 0 w 65"/>
                <a:gd name="T5" fmla="*/ 0 h 88"/>
                <a:gd name="T6" fmla="*/ 58 w 65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58" y="88"/>
                  </a:moveTo>
                  <a:lnTo>
                    <a:pt x="65" y="83"/>
                  </a:lnTo>
                  <a:lnTo>
                    <a:pt x="0" y="0"/>
                  </a:lnTo>
                  <a:lnTo>
                    <a:pt x="58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6" name="Freeform 438">
              <a:extLst>
                <a:ext uri="{FF2B5EF4-FFF2-40B4-BE49-F238E27FC236}">
                  <a16:creationId xmlns:a16="http://schemas.microsoft.com/office/drawing/2014/main" id="{2ABBCFEA-778A-4622-8C0B-A8B5D629A44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65 w 71"/>
                <a:gd name="T1" fmla="*/ 83 h 83"/>
                <a:gd name="T2" fmla="*/ 71 w 71"/>
                <a:gd name="T3" fmla="*/ 77 h 83"/>
                <a:gd name="T4" fmla="*/ 0 w 71"/>
                <a:gd name="T5" fmla="*/ 0 h 83"/>
                <a:gd name="T6" fmla="*/ 65 w 71"/>
                <a:gd name="T7" fmla="*/ 83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65" y="83"/>
                  </a:moveTo>
                  <a:lnTo>
                    <a:pt x="71" y="77"/>
                  </a:lnTo>
                  <a:lnTo>
                    <a:pt x="0" y="0"/>
                  </a:lnTo>
                  <a:lnTo>
                    <a:pt x="65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7" name="Freeform 439">
              <a:extLst>
                <a:ext uri="{FF2B5EF4-FFF2-40B4-BE49-F238E27FC236}">
                  <a16:creationId xmlns:a16="http://schemas.microsoft.com/office/drawing/2014/main" id="{E237F63E-8AEE-4E21-8FC1-E2CB8723C8F4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1 w 77"/>
                <a:gd name="T1" fmla="*/ 77 h 77"/>
                <a:gd name="T2" fmla="*/ 77 w 77"/>
                <a:gd name="T3" fmla="*/ 71 h 77"/>
                <a:gd name="T4" fmla="*/ 0 w 77"/>
                <a:gd name="T5" fmla="*/ 0 h 77"/>
                <a:gd name="T6" fmla="*/ 71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1" y="77"/>
                  </a:moveTo>
                  <a:lnTo>
                    <a:pt x="77" y="71"/>
                  </a:lnTo>
                  <a:lnTo>
                    <a:pt x="0" y="0"/>
                  </a:lnTo>
                  <a:lnTo>
                    <a:pt x="71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8" name="Freeform 440">
              <a:extLst>
                <a:ext uri="{FF2B5EF4-FFF2-40B4-BE49-F238E27FC236}">
                  <a16:creationId xmlns:a16="http://schemas.microsoft.com/office/drawing/2014/main" id="{D387AD30-F827-46F3-9A0A-829FB4A89BB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7 w 83"/>
                <a:gd name="T1" fmla="*/ 71 h 71"/>
                <a:gd name="T2" fmla="*/ 83 w 83"/>
                <a:gd name="T3" fmla="*/ 64 h 71"/>
                <a:gd name="T4" fmla="*/ 0 w 83"/>
                <a:gd name="T5" fmla="*/ 0 h 71"/>
                <a:gd name="T6" fmla="*/ 77 w 83"/>
                <a:gd name="T7" fmla="*/ 71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1">
                  <a:moveTo>
                    <a:pt x="77" y="71"/>
                  </a:moveTo>
                  <a:lnTo>
                    <a:pt x="83" y="64"/>
                  </a:lnTo>
                  <a:lnTo>
                    <a:pt x="0" y="0"/>
                  </a:lnTo>
                  <a:lnTo>
                    <a:pt x="77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9" name="Freeform 441">
              <a:extLst>
                <a:ext uri="{FF2B5EF4-FFF2-40B4-BE49-F238E27FC236}">
                  <a16:creationId xmlns:a16="http://schemas.microsoft.com/office/drawing/2014/main" id="{2E4429B6-50DE-4958-9E59-9926121B45A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3 w 88"/>
                <a:gd name="T1" fmla="*/ 64 h 64"/>
                <a:gd name="T2" fmla="*/ 88 w 88"/>
                <a:gd name="T3" fmla="*/ 57 h 64"/>
                <a:gd name="T4" fmla="*/ 0 w 88"/>
                <a:gd name="T5" fmla="*/ 0 h 64"/>
                <a:gd name="T6" fmla="*/ 83 w 88"/>
                <a:gd name="T7" fmla="*/ 64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4">
                  <a:moveTo>
                    <a:pt x="83" y="64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3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0" name="Freeform 442">
              <a:extLst>
                <a:ext uri="{FF2B5EF4-FFF2-40B4-BE49-F238E27FC236}">
                  <a16:creationId xmlns:a16="http://schemas.microsoft.com/office/drawing/2014/main" id="{3A907412-C886-4D7B-BA47-2F74CE259A0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8 w 93"/>
                <a:gd name="T1" fmla="*/ 57 h 57"/>
                <a:gd name="T2" fmla="*/ 93 w 93"/>
                <a:gd name="T3" fmla="*/ 50 h 57"/>
                <a:gd name="T4" fmla="*/ 0 w 93"/>
                <a:gd name="T5" fmla="*/ 0 h 57"/>
                <a:gd name="T6" fmla="*/ 88 w 93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7">
                  <a:moveTo>
                    <a:pt x="88" y="57"/>
                  </a:moveTo>
                  <a:lnTo>
                    <a:pt x="93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1" name="Freeform 443">
              <a:extLst>
                <a:ext uri="{FF2B5EF4-FFF2-40B4-BE49-F238E27FC236}">
                  <a16:creationId xmlns:a16="http://schemas.microsoft.com/office/drawing/2014/main" id="{0438EF89-4420-4F9E-975E-C518B23DF5E5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3 w 96"/>
                <a:gd name="T1" fmla="*/ 50 h 50"/>
                <a:gd name="T2" fmla="*/ 96 w 96"/>
                <a:gd name="T3" fmla="*/ 42 h 50"/>
                <a:gd name="T4" fmla="*/ 0 w 96"/>
                <a:gd name="T5" fmla="*/ 0 h 50"/>
                <a:gd name="T6" fmla="*/ 93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3" y="50"/>
                  </a:moveTo>
                  <a:lnTo>
                    <a:pt x="96" y="42"/>
                  </a:lnTo>
                  <a:lnTo>
                    <a:pt x="0" y="0"/>
                  </a:lnTo>
                  <a:lnTo>
                    <a:pt x="93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2" name="Freeform 444">
              <a:extLst>
                <a:ext uri="{FF2B5EF4-FFF2-40B4-BE49-F238E27FC236}">
                  <a16:creationId xmlns:a16="http://schemas.microsoft.com/office/drawing/2014/main" id="{819970BA-13A5-4B84-98EC-F99081AA04E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6 w 99"/>
                <a:gd name="T1" fmla="*/ 42 h 42"/>
                <a:gd name="T2" fmla="*/ 99 w 99"/>
                <a:gd name="T3" fmla="*/ 34 h 42"/>
                <a:gd name="T4" fmla="*/ 0 w 99"/>
                <a:gd name="T5" fmla="*/ 0 h 42"/>
                <a:gd name="T6" fmla="*/ 96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6" y="42"/>
                  </a:moveTo>
                  <a:lnTo>
                    <a:pt x="99" y="34"/>
                  </a:lnTo>
                  <a:lnTo>
                    <a:pt x="0" y="0"/>
                  </a:lnTo>
                  <a:lnTo>
                    <a:pt x="96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3" name="Freeform 445">
              <a:extLst>
                <a:ext uri="{FF2B5EF4-FFF2-40B4-BE49-F238E27FC236}">
                  <a16:creationId xmlns:a16="http://schemas.microsoft.com/office/drawing/2014/main" id="{29AC89EB-3C63-4702-9D57-1A1906A350C4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99 w 102"/>
                <a:gd name="T1" fmla="*/ 34 h 34"/>
                <a:gd name="T2" fmla="*/ 102 w 102"/>
                <a:gd name="T3" fmla="*/ 26 h 34"/>
                <a:gd name="T4" fmla="*/ 0 w 102"/>
                <a:gd name="T5" fmla="*/ 0 h 34"/>
                <a:gd name="T6" fmla="*/ 99 w 102"/>
                <a:gd name="T7" fmla="*/ 34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4">
                  <a:moveTo>
                    <a:pt x="99" y="34"/>
                  </a:moveTo>
                  <a:lnTo>
                    <a:pt x="102" y="26"/>
                  </a:lnTo>
                  <a:lnTo>
                    <a:pt x="0" y="0"/>
                  </a:lnTo>
                  <a:lnTo>
                    <a:pt x="99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4" name="Freeform 446">
              <a:extLst>
                <a:ext uri="{FF2B5EF4-FFF2-40B4-BE49-F238E27FC236}">
                  <a16:creationId xmlns:a16="http://schemas.microsoft.com/office/drawing/2014/main" id="{E396320F-9EF2-4335-84A6-210AA7790C9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2 w 104"/>
                <a:gd name="T1" fmla="*/ 26 h 26"/>
                <a:gd name="T2" fmla="*/ 104 w 104"/>
                <a:gd name="T3" fmla="*/ 17 h 26"/>
                <a:gd name="T4" fmla="*/ 0 w 104"/>
                <a:gd name="T5" fmla="*/ 0 h 26"/>
                <a:gd name="T6" fmla="*/ 102 w 104"/>
                <a:gd name="T7" fmla="*/ 26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2" y="26"/>
                  </a:moveTo>
                  <a:lnTo>
                    <a:pt x="104" y="17"/>
                  </a:lnTo>
                  <a:lnTo>
                    <a:pt x="0" y="0"/>
                  </a:lnTo>
                  <a:lnTo>
                    <a:pt x="102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5" name="Freeform 447">
              <a:extLst>
                <a:ext uri="{FF2B5EF4-FFF2-40B4-BE49-F238E27FC236}">
                  <a16:creationId xmlns:a16="http://schemas.microsoft.com/office/drawing/2014/main" id="{965DE729-4C79-4F4F-B6E5-C9B3637DB23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4 w 105"/>
                <a:gd name="T1" fmla="*/ 17 h 17"/>
                <a:gd name="T2" fmla="*/ 105 w 105"/>
                <a:gd name="T3" fmla="*/ 8 h 17"/>
                <a:gd name="T4" fmla="*/ 0 w 105"/>
                <a:gd name="T5" fmla="*/ 0 h 17"/>
                <a:gd name="T6" fmla="*/ 104 w 105"/>
                <a:gd name="T7" fmla="*/ 17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7">
                  <a:moveTo>
                    <a:pt x="104" y="17"/>
                  </a:moveTo>
                  <a:lnTo>
                    <a:pt x="105" y="8"/>
                  </a:lnTo>
                  <a:lnTo>
                    <a:pt x="0" y="0"/>
                  </a:lnTo>
                  <a:lnTo>
                    <a:pt x="104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6" name="Freeform 448">
              <a:extLst>
                <a:ext uri="{FF2B5EF4-FFF2-40B4-BE49-F238E27FC236}">
                  <a16:creationId xmlns:a16="http://schemas.microsoft.com/office/drawing/2014/main" id="{8739112E-4D02-4B6D-A1F1-F27BE6A7951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0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7" name="Freeform 449">
              <a:extLst>
                <a:ext uri="{FF2B5EF4-FFF2-40B4-BE49-F238E27FC236}">
                  <a16:creationId xmlns:a16="http://schemas.microsoft.com/office/drawing/2014/main" id="{679E1500-B0EB-4D9F-84AE-B20D214AEAB1}"/>
                </a:ext>
              </a:extLst>
            </xdr:cNvPr>
            <xdr:cNvSpPr>
              <a:spLocks/>
            </xdr:cNvSpPr>
          </xdr:nvSpPr>
          <xdr:spPr bwMode="auto">
            <a:xfrm>
              <a:off x="1178" y="188"/>
              <a:ext cx="6" cy="9"/>
            </a:xfrm>
            <a:custGeom>
              <a:avLst/>
              <a:gdLst>
                <a:gd name="T0" fmla="*/ 0 w 350"/>
                <a:gd name="T1" fmla="*/ 526 h 526"/>
                <a:gd name="T2" fmla="*/ 263 w 350"/>
                <a:gd name="T3" fmla="*/ 526 h 526"/>
                <a:gd name="T4" fmla="*/ 350 w 350"/>
                <a:gd name="T5" fmla="*/ 439 h 526"/>
                <a:gd name="T6" fmla="*/ 350 w 350"/>
                <a:gd name="T7" fmla="*/ 88 h 526"/>
                <a:gd name="T8" fmla="*/ 263 w 350"/>
                <a:gd name="T9" fmla="*/ 0 h 526"/>
                <a:gd name="T10" fmla="*/ 0 w 350"/>
                <a:gd name="T11" fmla="*/ 0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0" h="526">
                  <a:moveTo>
                    <a:pt x="0" y="526"/>
                  </a:moveTo>
                  <a:lnTo>
                    <a:pt x="263" y="526"/>
                  </a:lnTo>
                  <a:lnTo>
                    <a:pt x="350" y="439"/>
                  </a:lnTo>
                  <a:lnTo>
                    <a:pt x="350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38" name="Line 450">
              <a:extLst>
                <a:ext uri="{FF2B5EF4-FFF2-40B4-BE49-F238E27FC236}">
                  <a16:creationId xmlns:a16="http://schemas.microsoft.com/office/drawing/2014/main" id="{FFCA0B64-ABF6-4CAA-8AA4-18788B07077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0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9" name="Freeform 451">
              <a:extLst>
                <a:ext uri="{FF2B5EF4-FFF2-40B4-BE49-F238E27FC236}">
                  <a16:creationId xmlns:a16="http://schemas.microsoft.com/office/drawing/2014/main" id="{82CB0773-002E-4549-811A-8C1887304912}"/>
                </a:ext>
              </a:extLst>
            </xdr:cNvPr>
            <xdr:cNvSpPr>
              <a:spLocks/>
            </xdr:cNvSpPr>
          </xdr:nvSpPr>
          <xdr:spPr bwMode="auto">
            <a:xfrm>
              <a:off x="1190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40" name="Freeform 452">
              <a:extLst>
                <a:ext uri="{FF2B5EF4-FFF2-40B4-BE49-F238E27FC236}">
                  <a16:creationId xmlns:a16="http://schemas.microsoft.com/office/drawing/2014/main" id="{93AE4331-E97E-4643-8B35-3CA77E41140A}"/>
                </a:ext>
              </a:extLst>
            </xdr:cNvPr>
            <xdr:cNvSpPr>
              <a:spLocks/>
            </xdr:cNvSpPr>
          </xdr:nvSpPr>
          <xdr:spPr bwMode="auto">
            <a:xfrm>
              <a:off x="1190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6" name="Freeform 454">
            <a:extLst>
              <a:ext uri="{FF2B5EF4-FFF2-40B4-BE49-F238E27FC236}">
                <a16:creationId xmlns:a16="http://schemas.microsoft.com/office/drawing/2014/main" id="{D8F085AD-B0E6-4065-93BB-61833690C7D8}"/>
              </a:ext>
            </a:extLst>
          </xdr:cNvPr>
          <xdr:cNvSpPr>
            <a:spLocks/>
          </xdr:cNvSpPr>
        </xdr:nvSpPr>
        <xdr:spPr bwMode="auto">
          <a:xfrm>
            <a:off x="1190" y="200"/>
            <a:ext cx="1" cy="2"/>
          </a:xfrm>
          <a:custGeom>
            <a:avLst/>
            <a:gdLst>
              <a:gd name="T0" fmla="*/ 53 w 53"/>
              <a:gd name="T1" fmla="*/ 14 h 106"/>
              <a:gd name="T2" fmla="*/ 0 w 53"/>
              <a:gd name="T3" fmla="*/ 0 h 106"/>
              <a:gd name="T4" fmla="*/ 0 w 53"/>
              <a:gd name="T5" fmla="*/ 106 h 106"/>
              <a:gd name="T6" fmla="*/ 53 w 53"/>
              <a:gd name="T7" fmla="*/ 14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14"/>
                </a:moveTo>
                <a:lnTo>
                  <a:pt x="0" y="0"/>
                </a:lnTo>
                <a:lnTo>
                  <a:pt x="0" y="106"/>
                </a:lnTo>
                <a:lnTo>
                  <a:pt x="53" y="14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Freeform 455">
            <a:extLst>
              <a:ext uri="{FF2B5EF4-FFF2-40B4-BE49-F238E27FC236}">
                <a16:creationId xmlns:a16="http://schemas.microsoft.com/office/drawing/2014/main" id="{1866C4B1-9CD3-41BA-979F-AEF173A89176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53 w 53"/>
              <a:gd name="T1" fmla="*/ 0 h 106"/>
              <a:gd name="T2" fmla="*/ 0 w 53"/>
              <a:gd name="T3" fmla="*/ 14 h 106"/>
              <a:gd name="T4" fmla="*/ 53 w 53"/>
              <a:gd name="T5" fmla="*/ 106 h 106"/>
              <a:gd name="T6" fmla="*/ 53 w 53"/>
              <a:gd name="T7" fmla="*/ 0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0"/>
                </a:moveTo>
                <a:lnTo>
                  <a:pt x="0" y="14"/>
                </a:lnTo>
                <a:lnTo>
                  <a:pt x="53" y="106"/>
                </a:lnTo>
                <a:lnTo>
                  <a:pt x="53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" name="Freeform 456">
            <a:extLst>
              <a:ext uri="{FF2B5EF4-FFF2-40B4-BE49-F238E27FC236}">
                <a16:creationId xmlns:a16="http://schemas.microsoft.com/office/drawing/2014/main" id="{F9F6FE26-C88B-40EC-A87E-DE683917F0C7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38 w 91"/>
              <a:gd name="T1" fmla="*/ 0 h 92"/>
              <a:gd name="T2" fmla="*/ 0 w 91"/>
              <a:gd name="T3" fmla="*/ 39 h 92"/>
              <a:gd name="T4" fmla="*/ 91 w 91"/>
              <a:gd name="T5" fmla="*/ 92 h 92"/>
              <a:gd name="T6" fmla="*/ 38 w 91"/>
              <a:gd name="T7" fmla="*/ 0 h 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2">
                <a:moveTo>
                  <a:pt x="38" y="0"/>
                </a:moveTo>
                <a:lnTo>
                  <a:pt x="0" y="39"/>
                </a:lnTo>
                <a:lnTo>
                  <a:pt x="91" y="92"/>
                </a:lnTo>
                <a:lnTo>
                  <a:pt x="38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Freeform 457">
            <a:extLst>
              <a:ext uri="{FF2B5EF4-FFF2-40B4-BE49-F238E27FC236}">
                <a16:creationId xmlns:a16="http://schemas.microsoft.com/office/drawing/2014/main" id="{FD8E95EE-0B7F-42E8-9062-05E5A451E86E}"/>
              </a:ext>
            </a:extLst>
          </xdr:cNvPr>
          <xdr:cNvSpPr>
            <a:spLocks/>
          </xdr:cNvSpPr>
        </xdr:nvSpPr>
        <xdr:spPr bwMode="auto">
          <a:xfrm>
            <a:off x="1188" y="201"/>
            <a:ext cx="2" cy="1"/>
          </a:xfrm>
          <a:custGeom>
            <a:avLst/>
            <a:gdLst>
              <a:gd name="T0" fmla="*/ 15 w 106"/>
              <a:gd name="T1" fmla="*/ 0 h 53"/>
              <a:gd name="T2" fmla="*/ 0 w 106"/>
              <a:gd name="T3" fmla="*/ 53 h 53"/>
              <a:gd name="T4" fmla="*/ 106 w 106"/>
              <a:gd name="T5" fmla="*/ 53 h 53"/>
              <a:gd name="T6" fmla="*/ 15 w 106"/>
              <a:gd name="T7" fmla="*/ 0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3">
                <a:moveTo>
                  <a:pt x="15" y="0"/>
                </a:moveTo>
                <a:lnTo>
                  <a:pt x="0" y="53"/>
                </a:lnTo>
                <a:lnTo>
                  <a:pt x="106" y="53"/>
                </a:lnTo>
                <a:lnTo>
                  <a:pt x="15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" name="Freeform 458">
            <a:extLst>
              <a:ext uri="{FF2B5EF4-FFF2-40B4-BE49-F238E27FC236}">
                <a16:creationId xmlns:a16="http://schemas.microsoft.com/office/drawing/2014/main" id="{A8F82F17-339F-4F36-9761-327E4C8F0EB4}"/>
              </a:ext>
            </a:extLst>
          </xdr:cNvPr>
          <xdr:cNvSpPr>
            <a:spLocks/>
          </xdr:cNvSpPr>
        </xdr:nvSpPr>
        <xdr:spPr bwMode="auto">
          <a:xfrm>
            <a:off x="1188" y="202"/>
            <a:ext cx="2" cy="1"/>
          </a:xfrm>
          <a:custGeom>
            <a:avLst/>
            <a:gdLst>
              <a:gd name="T0" fmla="*/ 0 w 106"/>
              <a:gd name="T1" fmla="*/ 0 h 52"/>
              <a:gd name="T2" fmla="*/ 15 w 106"/>
              <a:gd name="T3" fmla="*/ 52 h 52"/>
              <a:gd name="T4" fmla="*/ 106 w 106"/>
              <a:gd name="T5" fmla="*/ 0 h 52"/>
              <a:gd name="T6" fmla="*/ 0 w 106"/>
              <a:gd name="T7" fmla="*/ 0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2">
                <a:moveTo>
                  <a:pt x="0" y="0"/>
                </a:moveTo>
                <a:lnTo>
                  <a:pt x="15" y="52"/>
                </a:lnTo>
                <a:lnTo>
                  <a:pt x="106" y="0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" name="Freeform 459">
            <a:extLst>
              <a:ext uri="{FF2B5EF4-FFF2-40B4-BE49-F238E27FC236}">
                <a16:creationId xmlns:a16="http://schemas.microsoft.com/office/drawing/2014/main" id="{ECB3BA0A-CCA6-4777-824C-B95DF4863C8F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1"/>
          </a:xfrm>
          <a:custGeom>
            <a:avLst/>
            <a:gdLst>
              <a:gd name="T0" fmla="*/ 0 w 91"/>
              <a:gd name="T1" fmla="*/ 52 h 91"/>
              <a:gd name="T2" fmla="*/ 38 w 91"/>
              <a:gd name="T3" fmla="*/ 91 h 91"/>
              <a:gd name="T4" fmla="*/ 91 w 91"/>
              <a:gd name="T5" fmla="*/ 0 h 91"/>
              <a:gd name="T6" fmla="*/ 0 w 91"/>
              <a:gd name="T7" fmla="*/ 52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0" y="52"/>
                </a:moveTo>
                <a:lnTo>
                  <a:pt x="38" y="91"/>
                </a:lnTo>
                <a:lnTo>
                  <a:pt x="91" y="0"/>
                </a:lnTo>
                <a:lnTo>
                  <a:pt x="0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" name="Freeform 460">
            <a:extLst>
              <a:ext uri="{FF2B5EF4-FFF2-40B4-BE49-F238E27FC236}">
                <a16:creationId xmlns:a16="http://schemas.microsoft.com/office/drawing/2014/main" id="{12495788-39B6-4377-ACD5-75BE07325C2F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2"/>
          </a:xfrm>
          <a:custGeom>
            <a:avLst/>
            <a:gdLst>
              <a:gd name="T0" fmla="*/ 0 w 53"/>
              <a:gd name="T1" fmla="*/ 91 h 105"/>
              <a:gd name="T2" fmla="*/ 53 w 53"/>
              <a:gd name="T3" fmla="*/ 105 h 105"/>
              <a:gd name="T4" fmla="*/ 53 w 53"/>
              <a:gd name="T5" fmla="*/ 0 h 105"/>
              <a:gd name="T6" fmla="*/ 0 w 53"/>
              <a:gd name="T7" fmla="*/ 9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91"/>
                </a:moveTo>
                <a:lnTo>
                  <a:pt x="53" y="105"/>
                </a:lnTo>
                <a:lnTo>
                  <a:pt x="53" y="0"/>
                </a:lnTo>
                <a:lnTo>
                  <a:pt x="0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" name="Freeform 461">
            <a:extLst>
              <a:ext uri="{FF2B5EF4-FFF2-40B4-BE49-F238E27FC236}">
                <a16:creationId xmlns:a16="http://schemas.microsoft.com/office/drawing/2014/main" id="{1EB77831-456F-406E-9F37-C0C607F3C7AD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1" cy="2"/>
          </a:xfrm>
          <a:custGeom>
            <a:avLst/>
            <a:gdLst>
              <a:gd name="T0" fmla="*/ 0 w 53"/>
              <a:gd name="T1" fmla="*/ 105 h 105"/>
              <a:gd name="T2" fmla="*/ 53 w 53"/>
              <a:gd name="T3" fmla="*/ 91 h 105"/>
              <a:gd name="T4" fmla="*/ 0 w 53"/>
              <a:gd name="T5" fmla="*/ 0 h 105"/>
              <a:gd name="T6" fmla="*/ 0 w 53"/>
              <a:gd name="T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105"/>
                </a:moveTo>
                <a:lnTo>
                  <a:pt x="53" y="91"/>
                </a:lnTo>
                <a:lnTo>
                  <a:pt x="0" y="0"/>
                </a:lnTo>
                <a:lnTo>
                  <a:pt x="0" y="105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4" name="Freeform 462">
            <a:extLst>
              <a:ext uri="{FF2B5EF4-FFF2-40B4-BE49-F238E27FC236}">
                <a16:creationId xmlns:a16="http://schemas.microsoft.com/office/drawing/2014/main" id="{25CF2853-8768-4032-ABE3-C66274E42D6E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53 w 91"/>
              <a:gd name="T1" fmla="*/ 91 h 91"/>
              <a:gd name="T2" fmla="*/ 91 w 91"/>
              <a:gd name="T3" fmla="*/ 52 h 91"/>
              <a:gd name="T4" fmla="*/ 0 w 91"/>
              <a:gd name="T5" fmla="*/ 0 h 91"/>
              <a:gd name="T6" fmla="*/ 53 w 91"/>
              <a:gd name="T7" fmla="*/ 91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53" y="91"/>
                </a:moveTo>
                <a:lnTo>
                  <a:pt x="91" y="52"/>
                </a:lnTo>
                <a:lnTo>
                  <a:pt x="0" y="0"/>
                </a:lnTo>
                <a:lnTo>
                  <a:pt x="53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" name="Freeform 463">
            <a:extLst>
              <a:ext uri="{FF2B5EF4-FFF2-40B4-BE49-F238E27FC236}">
                <a16:creationId xmlns:a16="http://schemas.microsoft.com/office/drawing/2014/main" id="{0610E881-DF29-4D7B-91D4-C2B9F0F800E1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91 w 105"/>
              <a:gd name="T1" fmla="*/ 52 h 52"/>
              <a:gd name="T2" fmla="*/ 105 w 105"/>
              <a:gd name="T3" fmla="*/ 0 h 52"/>
              <a:gd name="T4" fmla="*/ 0 w 105"/>
              <a:gd name="T5" fmla="*/ 0 h 52"/>
              <a:gd name="T6" fmla="*/ 91 w 105"/>
              <a:gd name="T7" fmla="*/ 52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5" h="52">
                <a:moveTo>
                  <a:pt x="91" y="52"/>
                </a:moveTo>
                <a:lnTo>
                  <a:pt x="105" y="0"/>
                </a:lnTo>
                <a:lnTo>
                  <a:pt x="0" y="0"/>
                </a:lnTo>
                <a:lnTo>
                  <a:pt x="91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" name="Line 464">
            <a:extLst>
              <a:ext uri="{FF2B5EF4-FFF2-40B4-BE49-F238E27FC236}">
                <a16:creationId xmlns:a16="http://schemas.microsoft.com/office/drawing/2014/main" id="{99E5E4D7-4D1E-4419-9E61-8C0BCE06C134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465">
            <a:extLst>
              <a:ext uri="{FF2B5EF4-FFF2-40B4-BE49-F238E27FC236}">
                <a16:creationId xmlns:a16="http://schemas.microsoft.com/office/drawing/2014/main" id="{8A94C3BF-6D79-4817-B037-25044A439860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466">
            <a:extLst>
              <a:ext uri="{FF2B5EF4-FFF2-40B4-BE49-F238E27FC236}">
                <a16:creationId xmlns:a16="http://schemas.microsoft.com/office/drawing/2014/main" id="{6D371796-8C8D-43CE-849F-C960BC1FC185}"/>
              </a:ext>
            </a:extLst>
          </xdr:cNvPr>
          <xdr:cNvSpPr>
            <a:spLocks noChangeShapeType="1"/>
          </xdr:cNvSpPr>
        </xdr:nvSpPr>
        <xdr:spPr bwMode="auto">
          <a:xfrm>
            <a:off x="842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Freeform 467">
            <a:extLst>
              <a:ext uri="{FF2B5EF4-FFF2-40B4-BE49-F238E27FC236}">
                <a16:creationId xmlns:a16="http://schemas.microsoft.com/office/drawing/2014/main" id="{F9913D4A-7465-41ED-842E-E9DA9A07E8E9}"/>
              </a:ext>
            </a:extLst>
          </xdr:cNvPr>
          <xdr:cNvSpPr>
            <a:spLocks/>
          </xdr:cNvSpPr>
        </xdr:nvSpPr>
        <xdr:spPr bwMode="auto">
          <a:xfrm>
            <a:off x="833" y="268"/>
            <a:ext cx="9" cy="2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" name="Freeform 468">
            <a:extLst>
              <a:ext uri="{FF2B5EF4-FFF2-40B4-BE49-F238E27FC236}">
                <a16:creationId xmlns:a16="http://schemas.microsoft.com/office/drawing/2014/main" id="{2021A070-4BEC-4A7D-BF3A-1A6C6BD41F31}"/>
              </a:ext>
            </a:extLst>
          </xdr:cNvPr>
          <xdr:cNvSpPr>
            <a:spLocks/>
          </xdr:cNvSpPr>
        </xdr:nvSpPr>
        <xdr:spPr bwMode="auto">
          <a:xfrm>
            <a:off x="922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1" name="Line 474">
            <a:extLst>
              <a:ext uri="{FF2B5EF4-FFF2-40B4-BE49-F238E27FC236}">
                <a16:creationId xmlns:a16="http://schemas.microsoft.com/office/drawing/2014/main" id="{4153FE5C-2E8F-4D50-B300-300ED2061F8D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75">
            <a:extLst>
              <a:ext uri="{FF2B5EF4-FFF2-40B4-BE49-F238E27FC236}">
                <a16:creationId xmlns:a16="http://schemas.microsoft.com/office/drawing/2014/main" id="{4E10D13C-49F3-46D6-B171-4B2FE9147AD3}"/>
              </a:ext>
            </a:extLst>
          </xdr:cNvPr>
          <xdr:cNvSpPr>
            <a:spLocks noChangeShapeType="1"/>
          </xdr:cNvSpPr>
        </xdr:nvSpPr>
        <xdr:spPr bwMode="auto">
          <a:xfrm>
            <a:off x="1029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76">
            <a:extLst>
              <a:ext uri="{FF2B5EF4-FFF2-40B4-BE49-F238E27FC236}">
                <a16:creationId xmlns:a16="http://schemas.microsoft.com/office/drawing/2014/main" id="{D55D0616-5F83-4C52-B239-48B7D35E8608}"/>
              </a:ext>
            </a:extLst>
          </xdr:cNvPr>
          <xdr:cNvSpPr>
            <a:spLocks noChangeShapeType="1"/>
          </xdr:cNvSpPr>
        </xdr:nvSpPr>
        <xdr:spPr bwMode="auto">
          <a:xfrm>
            <a:off x="940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Freeform 477">
            <a:extLst>
              <a:ext uri="{FF2B5EF4-FFF2-40B4-BE49-F238E27FC236}">
                <a16:creationId xmlns:a16="http://schemas.microsoft.com/office/drawing/2014/main" id="{D79636F6-E14E-46AF-9A56-C92FCDC30FF4}"/>
              </a:ext>
            </a:extLst>
          </xdr:cNvPr>
          <xdr:cNvSpPr>
            <a:spLocks/>
          </xdr:cNvSpPr>
        </xdr:nvSpPr>
        <xdr:spPr bwMode="auto">
          <a:xfrm>
            <a:off x="931" y="268"/>
            <a:ext cx="9" cy="2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8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8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5" name="Freeform 478">
            <a:extLst>
              <a:ext uri="{FF2B5EF4-FFF2-40B4-BE49-F238E27FC236}">
                <a16:creationId xmlns:a16="http://schemas.microsoft.com/office/drawing/2014/main" id="{0C4701B1-9586-41E2-8CED-FD96C8B730AB}"/>
              </a:ext>
            </a:extLst>
          </xdr:cNvPr>
          <xdr:cNvSpPr>
            <a:spLocks/>
          </xdr:cNvSpPr>
        </xdr:nvSpPr>
        <xdr:spPr bwMode="auto">
          <a:xfrm>
            <a:off x="1020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6" name="Line 484">
            <a:extLst>
              <a:ext uri="{FF2B5EF4-FFF2-40B4-BE49-F238E27FC236}">
                <a16:creationId xmlns:a16="http://schemas.microsoft.com/office/drawing/2014/main" id="{D924F0A2-1938-4EB5-BF70-6771B07AEE6E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89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485">
            <a:extLst>
              <a:ext uri="{FF2B5EF4-FFF2-40B4-BE49-F238E27FC236}">
                <a16:creationId xmlns:a16="http://schemas.microsoft.com/office/drawing/2014/main" id="{D73A73F8-DACE-4AC6-A6CD-426DBBB31152}"/>
              </a:ext>
            </a:extLst>
          </xdr:cNvPr>
          <xdr:cNvSpPr>
            <a:spLocks noChangeShapeType="1"/>
          </xdr:cNvSpPr>
        </xdr:nvSpPr>
        <xdr:spPr bwMode="auto">
          <a:xfrm>
            <a:off x="1190" y="299"/>
            <a:ext cx="0" cy="3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86">
            <a:extLst>
              <a:ext uri="{FF2B5EF4-FFF2-40B4-BE49-F238E27FC236}">
                <a16:creationId xmlns:a16="http://schemas.microsoft.com/office/drawing/2014/main" id="{6C02DACA-15E7-4E32-BC70-28499F198BED}"/>
              </a:ext>
            </a:extLst>
          </xdr:cNvPr>
          <xdr:cNvSpPr>
            <a:spLocks noChangeShapeType="1"/>
          </xdr:cNvSpPr>
        </xdr:nvSpPr>
        <xdr:spPr bwMode="auto">
          <a:xfrm>
            <a:off x="842" y="325"/>
            <a:ext cx="339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Freeform 487">
            <a:extLst>
              <a:ext uri="{FF2B5EF4-FFF2-40B4-BE49-F238E27FC236}">
                <a16:creationId xmlns:a16="http://schemas.microsoft.com/office/drawing/2014/main" id="{FDF8D5DD-75F9-4460-A7C3-CD02418C59A9}"/>
              </a:ext>
            </a:extLst>
          </xdr:cNvPr>
          <xdr:cNvSpPr>
            <a:spLocks/>
          </xdr:cNvSpPr>
        </xdr:nvSpPr>
        <xdr:spPr bwMode="auto">
          <a:xfrm>
            <a:off x="833" y="323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" name="Freeform 488">
            <a:extLst>
              <a:ext uri="{FF2B5EF4-FFF2-40B4-BE49-F238E27FC236}">
                <a16:creationId xmlns:a16="http://schemas.microsoft.com/office/drawing/2014/main" id="{DB3FEF50-4364-4F02-859F-33162DFB42E1}"/>
              </a:ext>
            </a:extLst>
          </xdr:cNvPr>
          <xdr:cNvSpPr>
            <a:spLocks/>
          </xdr:cNvSpPr>
        </xdr:nvSpPr>
        <xdr:spPr bwMode="auto">
          <a:xfrm>
            <a:off x="1181" y="323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" name="Line 494">
            <a:extLst>
              <a:ext uri="{FF2B5EF4-FFF2-40B4-BE49-F238E27FC236}">
                <a16:creationId xmlns:a16="http://schemas.microsoft.com/office/drawing/2014/main" id="{5B826C21-8881-4E4C-8865-0E9204C317B1}"/>
              </a:ext>
            </a:extLst>
          </xdr:cNvPr>
          <xdr:cNvSpPr>
            <a:spLocks noChangeShapeType="1"/>
          </xdr:cNvSpPr>
        </xdr:nvSpPr>
        <xdr:spPr bwMode="auto">
          <a:xfrm flipV="1">
            <a:off x="1029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495">
            <a:extLst>
              <a:ext uri="{FF2B5EF4-FFF2-40B4-BE49-F238E27FC236}">
                <a16:creationId xmlns:a16="http://schemas.microsoft.com/office/drawing/2014/main" id="{1B0A3578-9240-4B27-87C6-EBA1942CD6D8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496">
            <a:extLst>
              <a:ext uri="{FF2B5EF4-FFF2-40B4-BE49-F238E27FC236}">
                <a16:creationId xmlns:a16="http://schemas.microsoft.com/office/drawing/2014/main" id="{AF68E405-E5A0-4872-862C-87E2335429AC}"/>
              </a:ext>
            </a:extLst>
          </xdr:cNvPr>
          <xdr:cNvSpPr>
            <a:spLocks noChangeShapeType="1"/>
          </xdr:cNvSpPr>
        </xdr:nvSpPr>
        <xdr:spPr bwMode="auto">
          <a:xfrm>
            <a:off x="1038" y="86"/>
            <a:ext cx="6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Freeform 497">
            <a:extLst>
              <a:ext uri="{FF2B5EF4-FFF2-40B4-BE49-F238E27FC236}">
                <a16:creationId xmlns:a16="http://schemas.microsoft.com/office/drawing/2014/main" id="{9598305B-6714-4D0C-B18C-A5C7D7B19ED4}"/>
              </a:ext>
            </a:extLst>
          </xdr:cNvPr>
          <xdr:cNvSpPr>
            <a:spLocks/>
          </xdr:cNvSpPr>
        </xdr:nvSpPr>
        <xdr:spPr bwMode="auto">
          <a:xfrm>
            <a:off x="1029" y="84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7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7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" name="Freeform 498">
            <a:extLst>
              <a:ext uri="{FF2B5EF4-FFF2-40B4-BE49-F238E27FC236}">
                <a16:creationId xmlns:a16="http://schemas.microsoft.com/office/drawing/2014/main" id="{14D99E93-09B6-402B-ABF3-645FAD998DB0}"/>
              </a:ext>
            </a:extLst>
          </xdr:cNvPr>
          <xdr:cNvSpPr>
            <a:spLocks/>
          </xdr:cNvSpPr>
        </xdr:nvSpPr>
        <xdr:spPr bwMode="auto">
          <a:xfrm>
            <a:off x="1103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" name="Line 504">
            <a:extLst>
              <a:ext uri="{FF2B5EF4-FFF2-40B4-BE49-F238E27FC236}">
                <a16:creationId xmlns:a16="http://schemas.microsoft.com/office/drawing/2014/main" id="{87AC11E3-E766-48AC-B12D-2D50E6C26AE7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505">
            <a:extLst>
              <a:ext uri="{FF2B5EF4-FFF2-40B4-BE49-F238E27FC236}">
                <a16:creationId xmlns:a16="http://schemas.microsoft.com/office/drawing/2014/main" id="{C4704C83-7906-4019-8CCC-31D9DCEF42A4}"/>
              </a:ext>
            </a:extLst>
          </xdr:cNvPr>
          <xdr:cNvSpPr>
            <a:spLocks noChangeShapeType="1"/>
          </xdr:cNvSpPr>
        </xdr:nvSpPr>
        <xdr:spPr bwMode="auto">
          <a:xfrm flipV="1">
            <a:off x="1190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506">
            <a:extLst>
              <a:ext uri="{FF2B5EF4-FFF2-40B4-BE49-F238E27FC236}">
                <a16:creationId xmlns:a16="http://schemas.microsoft.com/office/drawing/2014/main" id="{10682B6A-6F22-4622-BDE8-B6886C6C6F0C}"/>
              </a:ext>
            </a:extLst>
          </xdr:cNvPr>
          <xdr:cNvSpPr>
            <a:spLocks noChangeShapeType="1"/>
          </xdr:cNvSpPr>
        </xdr:nvSpPr>
        <xdr:spPr bwMode="auto">
          <a:xfrm>
            <a:off x="1121" y="86"/>
            <a:ext cx="6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Freeform 507">
            <a:extLst>
              <a:ext uri="{FF2B5EF4-FFF2-40B4-BE49-F238E27FC236}">
                <a16:creationId xmlns:a16="http://schemas.microsoft.com/office/drawing/2014/main" id="{68B84141-5382-4521-8738-656E41B69B94}"/>
              </a:ext>
            </a:extLst>
          </xdr:cNvPr>
          <xdr:cNvSpPr>
            <a:spLocks/>
          </xdr:cNvSpPr>
        </xdr:nvSpPr>
        <xdr:spPr bwMode="auto">
          <a:xfrm>
            <a:off x="1112" y="84"/>
            <a:ext cx="9" cy="3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7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7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" name="Freeform 508">
            <a:extLst>
              <a:ext uri="{FF2B5EF4-FFF2-40B4-BE49-F238E27FC236}">
                <a16:creationId xmlns:a16="http://schemas.microsoft.com/office/drawing/2014/main" id="{82C557A9-853E-40B8-B254-699A6281A628}"/>
              </a:ext>
            </a:extLst>
          </xdr:cNvPr>
          <xdr:cNvSpPr>
            <a:spLocks/>
          </xdr:cNvSpPr>
        </xdr:nvSpPr>
        <xdr:spPr bwMode="auto">
          <a:xfrm>
            <a:off x="1181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" name="Line 514">
            <a:extLst>
              <a:ext uri="{FF2B5EF4-FFF2-40B4-BE49-F238E27FC236}">
                <a16:creationId xmlns:a16="http://schemas.microsoft.com/office/drawing/2014/main" id="{B5C4B340-EF51-4616-97FF-9EA1F2E72E45}"/>
              </a:ext>
            </a:extLst>
          </xdr:cNvPr>
          <xdr:cNvSpPr>
            <a:spLocks noChangeShapeType="1"/>
          </xdr:cNvSpPr>
        </xdr:nvSpPr>
        <xdr:spPr bwMode="auto">
          <a:xfrm>
            <a:off x="1226" y="107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15">
            <a:extLst>
              <a:ext uri="{FF2B5EF4-FFF2-40B4-BE49-F238E27FC236}">
                <a16:creationId xmlns:a16="http://schemas.microsoft.com/office/drawing/2014/main" id="{EEF82AA2-E732-4257-8536-77DFE09EDB4E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516">
            <a:extLst>
              <a:ext uri="{FF2B5EF4-FFF2-40B4-BE49-F238E27FC236}">
                <a16:creationId xmlns:a16="http://schemas.microsoft.com/office/drawing/2014/main" id="{2547BE15-0E62-42C8-BF21-002BA4C5ED34}"/>
              </a:ext>
            </a:extLst>
          </xdr:cNvPr>
          <xdr:cNvSpPr>
            <a:spLocks noChangeShapeType="1"/>
          </xdr:cNvSpPr>
        </xdr:nvSpPr>
        <xdr:spPr bwMode="auto">
          <a:xfrm>
            <a:off x="1240" y="116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517">
            <a:extLst>
              <a:ext uri="{FF2B5EF4-FFF2-40B4-BE49-F238E27FC236}">
                <a16:creationId xmlns:a16="http://schemas.microsoft.com/office/drawing/2014/main" id="{8C9E64A8-A3F7-44D1-B923-D5C49F492A2F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16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518">
            <a:extLst>
              <a:ext uri="{FF2B5EF4-FFF2-40B4-BE49-F238E27FC236}">
                <a16:creationId xmlns:a16="http://schemas.microsoft.com/office/drawing/2014/main" id="{D6D4552A-C3A3-4A29-AFD4-F0C0AD5158A5}"/>
              </a:ext>
            </a:extLst>
          </xdr:cNvPr>
          <xdr:cNvSpPr>
            <a:spLocks/>
          </xdr:cNvSpPr>
        </xdr:nvSpPr>
        <xdr:spPr bwMode="auto">
          <a:xfrm>
            <a:off x="1238" y="107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" name="Freeform 519">
            <a:extLst>
              <a:ext uri="{FF2B5EF4-FFF2-40B4-BE49-F238E27FC236}">
                <a16:creationId xmlns:a16="http://schemas.microsoft.com/office/drawing/2014/main" id="{3837497D-0FBE-4277-839A-F7410464605F}"/>
              </a:ext>
            </a:extLst>
          </xdr:cNvPr>
          <xdr:cNvSpPr>
            <a:spLocks/>
          </xdr:cNvSpPr>
        </xdr:nvSpPr>
        <xdr:spPr bwMode="auto">
          <a:xfrm>
            <a:off x="1238" y="193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7" name="Freeform 520">
            <a:extLst>
              <a:ext uri="{FF2B5EF4-FFF2-40B4-BE49-F238E27FC236}">
                <a16:creationId xmlns:a16="http://schemas.microsoft.com/office/drawing/2014/main" id="{BA88F005-F4BE-4C0F-B2DF-2AF131279BE9}"/>
              </a:ext>
            </a:extLst>
          </xdr:cNvPr>
          <xdr:cNvSpPr>
            <a:spLocks/>
          </xdr:cNvSpPr>
        </xdr:nvSpPr>
        <xdr:spPr bwMode="auto">
          <a:xfrm>
            <a:off x="1208" y="153"/>
            <a:ext cx="3" cy="5"/>
          </a:xfrm>
          <a:custGeom>
            <a:avLst/>
            <a:gdLst>
              <a:gd name="T0" fmla="*/ 140 w 210"/>
              <a:gd name="T1" fmla="*/ 280 h 280"/>
              <a:gd name="T2" fmla="*/ 70 w 210"/>
              <a:gd name="T3" fmla="*/ 280 h 280"/>
              <a:gd name="T4" fmla="*/ 0 w 210"/>
              <a:gd name="T5" fmla="*/ 210 h 280"/>
              <a:gd name="T6" fmla="*/ 0 w 210"/>
              <a:gd name="T7" fmla="*/ 70 h 280"/>
              <a:gd name="T8" fmla="*/ 70 w 210"/>
              <a:gd name="T9" fmla="*/ 0 h 280"/>
              <a:gd name="T10" fmla="*/ 140 w 210"/>
              <a:gd name="T11" fmla="*/ 0 h 280"/>
              <a:gd name="T12" fmla="*/ 210 w 210"/>
              <a:gd name="T13" fmla="*/ 70 h 280"/>
              <a:gd name="T14" fmla="*/ 210 w 210"/>
              <a:gd name="T15" fmla="*/ 210 h 280"/>
              <a:gd name="T16" fmla="*/ 140 w 21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0">
                <a:moveTo>
                  <a:pt x="14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10" y="70"/>
                </a:lnTo>
                <a:lnTo>
                  <a:pt x="210" y="210"/>
                </a:lnTo>
                <a:lnTo>
                  <a:pt x="140" y="28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Line 521">
            <a:extLst>
              <a:ext uri="{FF2B5EF4-FFF2-40B4-BE49-F238E27FC236}">
                <a16:creationId xmlns:a16="http://schemas.microsoft.com/office/drawing/2014/main" id="{9BF36BC2-5E77-41EF-BB38-A574B0A67FF4}"/>
              </a:ext>
            </a:extLst>
          </xdr:cNvPr>
          <xdr:cNvSpPr>
            <a:spLocks noChangeShapeType="1"/>
          </xdr:cNvSpPr>
        </xdr:nvSpPr>
        <xdr:spPr bwMode="auto">
          <a:xfrm>
            <a:off x="1211" y="157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522">
            <a:extLst>
              <a:ext uri="{FF2B5EF4-FFF2-40B4-BE49-F238E27FC236}">
                <a16:creationId xmlns:a16="http://schemas.microsoft.com/office/drawing/2014/main" id="{B115FB70-0068-4C30-B6A9-486DE1862F1D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157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Freeform 523">
            <a:extLst>
              <a:ext uri="{FF2B5EF4-FFF2-40B4-BE49-F238E27FC236}">
                <a16:creationId xmlns:a16="http://schemas.microsoft.com/office/drawing/2014/main" id="{319A0713-2514-41EB-BFDD-97353B484DDB}"/>
              </a:ext>
            </a:extLst>
          </xdr:cNvPr>
          <xdr:cNvSpPr>
            <a:spLocks/>
          </xdr:cNvSpPr>
        </xdr:nvSpPr>
        <xdr:spPr bwMode="auto">
          <a:xfrm>
            <a:off x="1217" y="151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1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1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Line 524">
            <a:extLst>
              <a:ext uri="{FF2B5EF4-FFF2-40B4-BE49-F238E27FC236}">
                <a16:creationId xmlns:a16="http://schemas.microsoft.com/office/drawing/2014/main" id="{82FA5DD7-2C94-4F7B-8400-6CC5B6EB69C9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151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Freeform 525">
            <a:extLst>
              <a:ext uri="{FF2B5EF4-FFF2-40B4-BE49-F238E27FC236}">
                <a16:creationId xmlns:a16="http://schemas.microsoft.com/office/drawing/2014/main" id="{7C830D7F-9060-4A95-A55E-BD36C35E419A}"/>
              </a:ext>
            </a:extLst>
          </xdr:cNvPr>
          <xdr:cNvSpPr>
            <a:spLocks/>
          </xdr:cNvSpPr>
        </xdr:nvSpPr>
        <xdr:spPr bwMode="auto">
          <a:xfrm>
            <a:off x="1231" y="151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1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1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Line 526">
            <a:extLst>
              <a:ext uri="{FF2B5EF4-FFF2-40B4-BE49-F238E27FC236}">
                <a16:creationId xmlns:a16="http://schemas.microsoft.com/office/drawing/2014/main" id="{DDFF7B7B-964D-4717-97A6-3199F76BFDE3}"/>
              </a:ext>
            </a:extLst>
          </xdr:cNvPr>
          <xdr:cNvSpPr>
            <a:spLocks noChangeShapeType="1"/>
          </xdr:cNvSpPr>
        </xdr:nvSpPr>
        <xdr:spPr bwMode="auto">
          <a:xfrm>
            <a:off x="1239" y="153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527">
            <a:extLst>
              <a:ext uri="{FF2B5EF4-FFF2-40B4-BE49-F238E27FC236}">
                <a16:creationId xmlns:a16="http://schemas.microsoft.com/office/drawing/2014/main" id="{CFED6E1A-A961-466C-92B9-09E74F2F6813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156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534">
            <a:extLst>
              <a:ext uri="{FF2B5EF4-FFF2-40B4-BE49-F238E27FC236}">
                <a16:creationId xmlns:a16="http://schemas.microsoft.com/office/drawing/2014/main" id="{FC62845B-5529-4A8B-AA89-A981BC3CE3F9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535">
            <a:extLst>
              <a:ext uri="{FF2B5EF4-FFF2-40B4-BE49-F238E27FC236}">
                <a16:creationId xmlns:a16="http://schemas.microsoft.com/office/drawing/2014/main" id="{CFBEBE26-B39F-40B8-839C-06A66A5C8036}"/>
              </a:ext>
            </a:extLst>
          </xdr:cNvPr>
          <xdr:cNvSpPr>
            <a:spLocks noChangeShapeType="1"/>
          </xdr:cNvSpPr>
        </xdr:nvSpPr>
        <xdr:spPr bwMode="auto">
          <a:xfrm>
            <a:off x="1226" y="296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536">
            <a:extLst>
              <a:ext uri="{FF2B5EF4-FFF2-40B4-BE49-F238E27FC236}">
                <a16:creationId xmlns:a16="http://schemas.microsoft.com/office/drawing/2014/main" id="{737BE9A1-D8A2-4028-9D6F-62C87035FA44}"/>
              </a:ext>
            </a:extLst>
          </xdr:cNvPr>
          <xdr:cNvSpPr>
            <a:spLocks noChangeShapeType="1"/>
          </xdr:cNvSpPr>
        </xdr:nvSpPr>
        <xdr:spPr bwMode="auto">
          <a:xfrm>
            <a:off x="1240" y="211"/>
            <a:ext cx="0" cy="3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537">
            <a:extLst>
              <a:ext uri="{FF2B5EF4-FFF2-40B4-BE49-F238E27FC236}">
                <a16:creationId xmlns:a16="http://schemas.microsoft.com/office/drawing/2014/main" id="{F1374840-90BA-4F89-8F41-04BC92A57EB4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255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Freeform 538">
            <a:extLst>
              <a:ext uri="{FF2B5EF4-FFF2-40B4-BE49-F238E27FC236}">
                <a16:creationId xmlns:a16="http://schemas.microsoft.com/office/drawing/2014/main" id="{324E6255-9C97-47EE-AC8F-47964C4FE72C}"/>
              </a:ext>
            </a:extLst>
          </xdr:cNvPr>
          <xdr:cNvSpPr>
            <a:spLocks/>
          </xdr:cNvSpPr>
        </xdr:nvSpPr>
        <xdr:spPr bwMode="auto">
          <a:xfrm>
            <a:off x="123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0" name="Freeform 539">
            <a:extLst>
              <a:ext uri="{FF2B5EF4-FFF2-40B4-BE49-F238E27FC236}">
                <a16:creationId xmlns:a16="http://schemas.microsoft.com/office/drawing/2014/main" id="{E5B67F26-BEE3-401C-B926-DCC95A382ED4}"/>
              </a:ext>
            </a:extLst>
          </xdr:cNvPr>
          <xdr:cNvSpPr>
            <a:spLocks/>
          </xdr:cNvSpPr>
        </xdr:nvSpPr>
        <xdr:spPr bwMode="auto">
          <a:xfrm>
            <a:off x="1238" y="288"/>
            <a:ext cx="3" cy="8"/>
          </a:xfrm>
          <a:custGeom>
            <a:avLst/>
            <a:gdLst>
              <a:gd name="T0" fmla="*/ 0 w 175"/>
              <a:gd name="T1" fmla="*/ 0 h 526"/>
              <a:gd name="T2" fmla="*/ 175 w 175"/>
              <a:gd name="T3" fmla="*/ 0 h 526"/>
              <a:gd name="T4" fmla="*/ 88 w 175"/>
              <a:gd name="T5" fmla="*/ 526 h 526"/>
              <a:gd name="T6" fmla="*/ 0 w 175"/>
              <a:gd name="T7" fmla="*/ 0 h 5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6">
                <a:moveTo>
                  <a:pt x="0" y="0"/>
                </a:moveTo>
                <a:lnTo>
                  <a:pt x="175" y="0"/>
                </a:lnTo>
                <a:lnTo>
                  <a:pt x="88" y="526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" name="Freeform 540">
            <a:extLst>
              <a:ext uri="{FF2B5EF4-FFF2-40B4-BE49-F238E27FC236}">
                <a16:creationId xmlns:a16="http://schemas.microsoft.com/office/drawing/2014/main" id="{B92C1A17-6BB1-4B35-8FCE-2DA22EB0CAFC}"/>
              </a:ext>
            </a:extLst>
          </xdr:cNvPr>
          <xdr:cNvSpPr>
            <a:spLocks/>
          </xdr:cNvSpPr>
        </xdr:nvSpPr>
        <xdr:spPr bwMode="auto">
          <a:xfrm>
            <a:off x="1208" y="248"/>
            <a:ext cx="3" cy="5"/>
          </a:xfrm>
          <a:custGeom>
            <a:avLst/>
            <a:gdLst>
              <a:gd name="T0" fmla="*/ 140 w 210"/>
              <a:gd name="T1" fmla="*/ 281 h 281"/>
              <a:gd name="T2" fmla="*/ 70 w 210"/>
              <a:gd name="T3" fmla="*/ 281 h 281"/>
              <a:gd name="T4" fmla="*/ 0 w 210"/>
              <a:gd name="T5" fmla="*/ 211 h 281"/>
              <a:gd name="T6" fmla="*/ 0 w 210"/>
              <a:gd name="T7" fmla="*/ 71 h 281"/>
              <a:gd name="T8" fmla="*/ 70 w 210"/>
              <a:gd name="T9" fmla="*/ 0 h 281"/>
              <a:gd name="T10" fmla="*/ 140 w 210"/>
              <a:gd name="T11" fmla="*/ 0 h 281"/>
              <a:gd name="T12" fmla="*/ 210 w 210"/>
              <a:gd name="T13" fmla="*/ 71 h 281"/>
              <a:gd name="T14" fmla="*/ 210 w 210"/>
              <a:gd name="T15" fmla="*/ 211 h 281"/>
              <a:gd name="T16" fmla="*/ 140 w 210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1">
                <a:moveTo>
                  <a:pt x="140" y="281"/>
                </a:moveTo>
                <a:lnTo>
                  <a:pt x="70" y="281"/>
                </a:lnTo>
                <a:lnTo>
                  <a:pt x="0" y="211"/>
                </a:lnTo>
                <a:lnTo>
                  <a:pt x="0" y="71"/>
                </a:lnTo>
                <a:lnTo>
                  <a:pt x="70" y="0"/>
                </a:lnTo>
                <a:lnTo>
                  <a:pt x="140" y="0"/>
                </a:lnTo>
                <a:lnTo>
                  <a:pt x="210" y="71"/>
                </a:lnTo>
                <a:lnTo>
                  <a:pt x="210" y="211"/>
                </a:lnTo>
                <a:lnTo>
                  <a:pt x="140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Line 541">
            <a:extLst>
              <a:ext uri="{FF2B5EF4-FFF2-40B4-BE49-F238E27FC236}">
                <a16:creationId xmlns:a16="http://schemas.microsoft.com/office/drawing/2014/main" id="{D9185FFD-A945-462E-A16A-E858A8DCE540}"/>
              </a:ext>
            </a:extLst>
          </xdr:cNvPr>
          <xdr:cNvSpPr>
            <a:spLocks noChangeShapeType="1"/>
          </xdr:cNvSpPr>
        </xdr:nvSpPr>
        <xdr:spPr bwMode="auto">
          <a:xfrm>
            <a:off x="1211" y="252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542">
            <a:extLst>
              <a:ext uri="{FF2B5EF4-FFF2-40B4-BE49-F238E27FC236}">
                <a16:creationId xmlns:a16="http://schemas.microsoft.com/office/drawing/2014/main" id="{1A463B2F-44B1-4FCA-BEBF-0929DAF7006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252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Freeform 543">
            <a:extLst>
              <a:ext uri="{FF2B5EF4-FFF2-40B4-BE49-F238E27FC236}">
                <a16:creationId xmlns:a16="http://schemas.microsoft.com/office/drawing/2014/main" id="{DAB25B8A-BD65-4EBE-AE94-9BBD8520E363}"/>
              </a:ext>
            </a:extLst>
          </xdr:cNvPr>
          <xdr:cNvSpPr>
            <a:spLocks/>
          </xdr:cNvSpPr>
        </xdr:nvSpPr>
        <xdr:spPr bwMode="auto">
          <a:xfrm>
            <a:off x="1217" y="246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0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0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544">
            <a:extLst>
              <a:ext uri="{FF2B5EF4-FFF2-40B4-BE49-F238E27FC236}">
                <a16:creationId xmlns:a16="http://schemas.microsoft.com/office/drawing/2014/main" id="{DE5F99B6-01BF-43B4-8258-62B813C60B8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246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Freeform 545">
            <a:extLst>
              <a:ext uri="{FF2B5EF4-FFF2-40B4-BE49-F238E27FC236}">
                <a16:creationId xmlns:a16="http://schemas.microsoft.com/office/drawing/2014/main" id="{47F8D8A3-3F96-4EB9-A6B1-E270C493783D}"/>
              </a:ext>
            </a:extLst>
          </xdr:cNvPr>
          <xdr:cNvSpPr>
            <a:spLocks/>
          </xdr:cNvSpPr>
        </xdr:nvSpPr>
        <xdr:spPr bwMode="auto">
          <a:xfrm>
            <a:off x="1231" y="246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0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0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7" name="Line 546">
            <a:extLst>
              <a:ext uri="{FF2B5EF4-FFF2-40B4-BE49-F238E27FC236}">
                <a16:creationId xmlns:a16="http://schemas.microsoft.com/office/drawing/2014/main" id="{8DD851B6-20BD-4A1E-A551-A0A0FBDCA10C}"/>
              </a:ext>
            </a:extLst>
          </xdr:cNvPr>
          <xdr:cNvSpPr>
            <a:spLocks noChangeShapeType="1"/>
          </xdr:cNvSpPr>
        </xdr:nvSpPr>
        <xdr:spPr bwMode="auto">
          <a:xfrm>
            <a:off x="1239" y="248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547">
            <a:extLst>
              <a:ext uri="{FF2B5EF4-FFF2-40B4-BE49-F238E27FC236}">
                <a16:creationId xmlns:a16="http://schemas.microsoft.com/office/drawing/2014/main" id="{003F0241-7FD1-4C7C-9FB8-C679F020FE42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250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554">
            <a:extLst>
              <a:ext uri="{FF2B5EF4-FFF2-40B4-BE49-F238E27FC236}">
                <a16:creationId xmlns:a16="http://schemas.microsoft.com/office/drawing/2014/main" id="{95CB8FAE-F082-417A-B6A3-068519D22877}"/>
              </a:ext>
            </a:extLst>
          </xdr:cNvPr>
          <xdr:cNvSpPr>
            <a:spLocks noChangeShapeType="1"/>
          </xdr:cNvSpPr>
        </xdr:nvSpPr>
        <xdr:spPr bwMode="auto">
          <a:xfrm>
            <a:off x="1192" y="238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555">
            <a:extLst>
              <a:ext uri="{FF2B5EF4-FFF2-40B4-BE49-F238E27FC236}">
                <a16:creationId xmlns:a16="http://schemas.microsoft.com/office/drawing/2014/main" id="{E173FEAB-59AD-4262-8F58-4BE564318C1F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56">
            <a:extLst>
              <a:ext uri="{FF2B5EF4-FFF2-40B4-BE49-F238E27FC236}">
                <a16:creationId xmlns:a16="http://schemas.microsoft.com/office/drawing/2014/main" id="{5B9AE334-0DC2-4998-A61C-F8FE3A71CA1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9" y="226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57">
            <a:extLst>
              <a:ext uri="{FF2B5EF4-FFF2-40B4-BE49-F238E27FC236}">
                <a16:creationId xmlns:a16="http://schemas.microsoft.com/office/drawing/2014/main" id="{5E0B529A-E61B-4824-9B20-AA72E9275B85}"/>
              </a:ext>
            </a:extLst>
          </xdr:cNvPr>
          <xdr:cNvSpPr>
            <a:spLocks noChangeShapeType="1"/>
          </xdr:cNvSpPr>
        </xdr:nvSpPr>
        <xdr:spPr bwMode="auto">
          <a:xfrm>
            <a:off x="1209" y="211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558">
            <a:extLst>
              <a:ext uri="{FF2B5EF4-FFF2-40B4-BE49-F238E27FC236}">
                <a16:creationId xmlns:a16="http://schemas.microsoft.com/office/drawing/2014/main" id="{4169FD1C-8794-43C6-8832-0B2F2553F644}"/>
              </a:ext>
            </a:extLst>
          </xdr:cNvPr>
          <xdr:cNvSpPr>
            <a:spLocks/>
          </xdr:cNvSpPr>
        </xdr:nvSpPr>
        <xdr:spPr bwMode="auto">
          <a:xfrm>
            <a:off x="1208" y="229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4" name="Freeform 559">
            <a:extLst>
              <a:ext uri="{FF2B5EF4-FFF2-40B4-BE49-F238E27FC236}">
                <a16:creationId xmlns:a16="http://schemas.microsoft.com/office/drawing/2014/main" id="{F5B22413-8AC6-4E14-AC79-2C04C37A1346}"/>
              </a:ext>
            </a:extLst>
          </xdr:cNvPr>
          <xdr:cNvSpPr>
            <a:spLocks/>
          </xdr:cNvSpPr>
        </xdr:nvSpPr>
        <xdr:spPr bwMode="auto">
          <a:xfrm>
            <a:off x="120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" name="Line 564">
            <a:extLst>
              <a:ext uri="{FF2B5EF4-FFF2-40B4-BE49-F238E27FC236}">
                <a16:creationId xmlns:a16="http://schemas.microsoft.com/office/drawing/2014/main" id="{CD14152C-3BFE-4C42-B4E3-C84581F17E9F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38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65">
            <a:extLst>
              <a:ext uri="{FF2B5EF4-FFF2-40B4-BE49-F238E27FC236}">
                <a16:creationId xmlns:a16="http://schemas.microsoft.com/office/drawing/2014/main" id="{B4934FBD-788D-4C05-8A12-A46346F7ABAE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02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66">
            <a:extLst>
              <a:ext uri="{FF2B5EF4-FFF2-40B4-BE49-F238E27FC236}">
                <a16:creationId xmlns:a16="http://schemas.microsoft.com/office/drawing/2014/main" id="{BCF3A2C2-6EDF-46AF-856E-2A15DC4A699C}"/>
              </a:ext>
            </a:extLst>
          </xdr:cNvPr>
          <xdr:cNvSpPr>
            <a:spLocks noChangeShapeType="1"/>
          </xdr:cNvSpPr>
        </xdr:nvSpPr>
        <xdr:spPr bwMode="auto">
          <a:xfrm flipV="1">
            <a:off x="793" y="228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567">
            <a:extLst>
              <a:ext uri="{FF2B5EF4-FFF2-40B4-BE49-F238E27FC236}">
                <a16:creationId xmlns:a16="http://schemas.microsoft.com/office/drawing/2014/main" id="{5FCE6CB9-851E-4422-BA9B-C491DA92130D}"/>
              </a:ext>
            </a:extLst>
          </xdr:cNvPr>
          <xdr:cNvSpPr>
            <a:spLocks noChangeShapeType="1"/>
          </xdr:cNvSpPr>
        </xdr:nvSpPr>
        <xdr:spPr bwMode="auto">
          <a:xfrm>
            <a:off x="793" y="211"/>
            <a:ext cx="0" cy="5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Freeform 568">
            <a:extLst>
              <a:ext uri="{FF2B5EF4-FFF2-40B4-BE49-F238E27FC236}">
                <a16:creationId xmlns:a16="http://schemas.microsoft.com/office/drawing/2014/main" id="{F4634F0A-EAD9-4402-9DBD-F3D678D01D14}"/>
              </a:ext>
            </a:extLst>
          </xdr:cNvPr>
          <xdr:cNvSpPr>
            <a:spLocks/>
          </xdr:cNvSpPr>
        </xdr:nvSpPr>
        <xdr:spPr bwMode="auto">
          <a:xfrm>
            <a:off x="791" y="229"/>
            <a:ext cx="3" cy="9"/>
          </a:xfrm>
          <a:custGeom>
            <a:avLst/>
            <a:gdLst>
              <a:gd name="T0" fmla="*/ 0 w 176"/>
              <a:gd name="T1" fmla="*/ 0 h 527"/>
              <a:gd name="T2" fmla="*/ 176 w 176"/>
              <a:gd name="T3" fmla="*/ 0 h 527"/>
              <a:gd name="T4" fmla="*/ 89 w 176"/>
              <a:gd name="T5" fmla="*/ 527 h 527"/>
              <a:gd name="T6" fmla="*/ 0 w 176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0"/>
                </a:moveTo>
                <a:lnTo>
                  <a:pt x="176" y="0"/>
                </a:lnTo>
                <a:lnTo>
                  <a:pt x="89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0" name="Freeform 569">
            <a:extLst>
              <a:ext uri="{FF2B5EF4-FFF2-40B4-BE49-F238E27FC236}">
                <a16:creationId xmlns:a16="http://schemas.microsoft.com/office/drawing/2014/main" id="{0FF7441A-D63B-41B5-840C-11066F23C136}"/>
              </a:ext>
            </a:extLst>
          </xdr:cNvPr>
          <xdr:cNvSpPr>
            <a:spLocks/>
          </xdr:cNvSpPr>
        </xdr:nvSpPr>
        <xdr:spPr bwMode="auto">
          <a:xfrm>
            <a:off x="791" y="202"/>
            <a:ext cx="3" cy="9"/>
          </a:xfrm>
          <a:custGeom>
            <a:avLst/>
            <a:gdLst>
              <a:gd name="T0" fmla="*/ 0 w 176"/>
              <a:gd name="T1" fmla="*/ 527 h 527"/>
              <a:gd name="T2" fmla="*/ 176 w 176"/>
              <a:gd name="T3" fmla="*/ 527 h 527"/>
              <a:gd name="T4" fmla="*/ 89 w 176"/>
              <a:gd name="T5" fmla="*/ 0 h 527"/>
              <a:gd name="T6" fmla="*/ 0 w 176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527"/>
                </a:moveTo>
                <a:lnTo>
                  <a:pt x="176" y="527"/>
                </a:lnTo>
                <a:lnTo>
                  <a:pt x="89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1" name="Freeform 570">
            <a:extLst>
              <a:ext uri="{FF2B5EF4-FFF2-40B4-BE49-F238E27FC236}">
                <a16:creationId xmlns:a16="http://schemas.microsoft.com/office/drawing/2014/main" id="{F6E45275-FB23-4B97-9881-2829FCF79FED}"/>
              </a:ext>
            </a:extLst>
          </xdr:cNvPr>
          <xdr:cNvSpPr>
            <a:spLocks/>
          </xdr:cNvSpPr>
        </xdr:nvSpPr>
        <xdr:spPr bwMode="auto">
          <a:xfrm>
            <a:off x="760" y="221"/>
            <a:ext cx="4" cy="5"/>
          </a:xfrm>
          <a:custGeom>
            <a:avLst/>
            <a:gdLst>
              <a:gd name="T0" fmla="*/ 141 w 211"/>
              <a:gd name="T1" fmla="*/ 281 h 281"/>
              <a:gd name="T2" fmla="*/ 71 w 211"/>
              <a:gd name="T3" fmla="*/ 281 h 281"/>
              <a:gd name="T4" fmla="*/ 0 w 211"/>
              <a:gd name="T5" fmla="*/ 210 h 281"/>
              <a:gd name="T6" fmla="*/ 0 w 211"/>
              <a:gd name="T7" fmla="*/ 70 h 281"/>
              <a:gd name="T8" fmla="*/ 71 w 211"/>
              <a:gd name="T9" fmla="*/ 0 h 281"/>
              <a:gd name="T10" fmla="*/ 141 w 211"/>
              <a:gd name="T11" fmla="*/ 0 h 281"/>
              <a:gd name="T12" fmla="*/ 211 w 211"/>
              <a:gd name="T13" fmla="*/ 70 h 281"/>
              <a:gd name="T14" fmla="*/ 211 w 211"/>
              <a:gd name="T15" fmla="*/ 210 h 281"/>
              <a:gd name="T16" fmla="*/ 141 w 21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1" h="281">
                <a:moveTo>
                  <a:pt x="141" y="281"/>
                </a:moveTo>
                <a:lnTo>
                  <a:pt x="71" y="281"/>
                </a:lnTo>
                <a:lnTo>
                  <a:pt x="0" y="210"/>
                </a:lnTo>
                <a:lnTo>
                  <a:pt x="0" y="70"/>
                </a:lnTo>
                <a:lnTo>
                  <a:pt x="71" y="0"/>
                </a:lnTo>
                <a:lnTo>
                  <a:pt x="141" y="0"/>
                </a:lnTo>
                <a:lnTo>
                  <a:pt x="211" y="70"/>
                </a:lnTo>
                <a:lnTo>
                  <a:pt x="211" y="210"/>
                </a:lnTo>
                <a:lnTo>
                  <a:pt x="141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2" name="Line 571">
            <a:extLst>
              <a:ext uri="{FF2B5EF4-FFF2-40B4-BE49-F238E27FC236}">
                <a16:creationId xmlns:a16="http://schemas.microsoft.com/office/drawing/2014/main" id="{AEDE91DD-41DB-406D-8DC2-8F27339652F8}"/>
              </a:ext>
            </a:extLst>
          </xdr:cNvPr>
          <xdr:cNvSpPr>
            <a:spLocks noChangeShapeType="1"/>
          </xdr:cNvSpPr>
        </xdr:nvSpPr>
        <xdr:spPr bwMode="auto">
          <a:xfrm>
            <a:off x="764" y="224"/>
            <a:ext cx="1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572">
            <a:extLst>
              <a:ext uri="{FF2B5EF4-FFF2-40B4-BE49-F238E27FC236}">
                <a16:creationId xmlns:a16="http://schemas.microsoft.com/office/drawing/2014/main" id="{699173CC-A861-495E-899E-24F0C0A602A1}"/>
              </a:ext>
            </a:extLst>
          </xdr:cNvPr>
          <xdr:cNvSpPr>
            <a:spLocks noChangeShapeType="1"/>
          </xdr:cNvSpPr>
        </xdr:nvSpPr>
        <xdr:spPr bwMode="auto">
          <a:xfrm flipV="1">
            <a:off x="768" y="224"/>
            <a:ext cx="0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573">
            <a:extLst>
              <a:ext uri="{FF2B5EF4-FFF2-40B4-BE49-F238E27FC236}">
                <a16:creationId xmlns:a16="http://schemas.microsoft.com/office/drawing/2014/main" id="{9A7D0E2E-3DB1-4CDD-A921-8C547AA26158}"/>
              </a:ext>
            </a:extLst>
          </xdr:cNvPr>
          <xdr:cNvSpPr>
            <a:spLocks noChangeShapeType="1"/>
          </xdr:cNvSpPr>
        </xdr:nvSpPr>
        <xdr:spPr bwMode="auto">
          <a:xfrm flipV="1">
            <a:off x="770" y="219"/>
            <a:ext cx="0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Freeform 574">
            <a:extLst>
              <a:ext uri="{FF2B5EF4-FFF2-40B4-BE49-F238E27FC236}">
                <a16:creationId xmlns:a16="http://schemas.microsoft.com/office/drawing/2014/main" id="{505BE111-8BFE-43BE-9780-4701E4D876B2}"/>
              </a:ext>
            </a:extLst>
          </xdr:cNvPr>
          <xdr:cNvSpPr>
            <a:spLocks/>
          </xdr:cNvSpPr>
        </xdr:nvSpPr>
        <xdr:spPr bwMode="auto">
          <a:xfrm>
            <a:off x="770" y="221"/>
            <a:ext cx="5" cy="5"/>
          </a:xfrm>
          <a:custGeom>
            <a:avLst/>
            <a:gdLst>
              <a:gd name="T0" fmla="*/ 0 w 281"/>
              <a:gd name="T1" fmla="*/ 140 h 281"/>
              <a:gd name="T2" fmla="*/ 140 w 281"/>
              <a:gd name="T3" fmla="*/ 0 h 281"/>
              <a:gd name="T4" fmla="*/ 210 w 281"/>
              <a:gd name="T5" fmla="*/ 0 h 281"/>
              <a:gd name="T6" fmla="*/ 281 w 281"/>
              <a:gd name="T7" fmla="*/ 70 h 281"/>
              <a:gd name="T8" fmla="*/ 281 w 281"/>
              <a:gd name="T9" fmla="*/ 210 h 281"/>
              <a:gd name="T10" fmla="*/ 210 w 281"/>
              <a:gd name="T11" fmla="*/ 281 h 281"/>
              <a:gd name="T12" fmla="*/ 140 w 281"/>
              <a:gd name="T13" fmla="*/ 281 h 281"/>
              <a:gd name="T14" fmla="*/ 0 w 281"/>
              <a:gd name="T15" fmla="*/ 140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1"/>
                </a:lnTo>
                <a:lnTo>
                  <a:pt x="140" y="281"/>
                </a:lnTo>
                <a:lnTo>
                  <a:pt x="0" y="14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Line 575">
            <a:extLst>
              <a:ext uri="{FF2B5EF4-FFF2-40B4-BE49-F238E27FC236}">
                <a16:creationId xmlns:a16="http://schemas.microsoft.com/office/drawing/2014/main" id="{D09058BC-6EB2-4485-9599-000C9B5591D0}"/>
              </a:ext>
            </a:extLst>
          </xdr:cNvPr>
          <xdr:cNvSpPr>
            <a:spLocks noChangeShapeType="1"/>
          </xdr:cNvSpPr>
        </xdr:nvSpPr>
        <xdr:spPr bwMode="auto">
          <a:xfrm flipV="1">
            <a:off x="777" y="219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Freeform 576">
            <a:extLst>
              <a:ext uri="{FF2B5EF4-FFF2-40B4-BE49-F238E27FC236}">
                <a16:creationId xmlns:a16="http://schemas.microsoft.com/office/drawing/2014/main" id="{519C49ED-586D-40A9-BB4F-28D23F608ED2}"/>
              </a:ext>
            </a:extLst>
          </xdr:cNvPr>
          <xdr:cNvSpPr>
            <a:spLocks/>
          </xdr:cNvSpPr>
        </xdr:nvSpPr>
        <xdr:spPr bwMode="auto">
          <a:xfrm>
            <a:off x="784" y="219"/>
            <a:ext cx="5" cy="7"/>
          </a:xfrm>
          <a:custGeom>
            <a:avLst/>
            <a:gdLst>
              <a:gd name="T0" fmla="*/ 0 w 280"/>
              <a:gd name="T1" fmla="*/ 71 h 422"/>
              <a:gd name="T2" fmla="*/ 70 w 280"/>
              <a:gd name="T3" fmla="*/ 0 h 422"/>
              <a:gd name="T4" fmla="*/ 210 w 280"/>
              <a:gd name="T5" fmla="*/ 0 h 422"/>
              <a:gd name="T6" fmla="*/ 280 w 280"/>
              <a:gd name="T7" fmla="*/ 71 h 422"/>
              <a:gd name="T8" fmla="*/ 280 w 280"/>
              <a:gd name="T9" fmla="*/ 141 h 422"/>
              <a:gd name="T10" fmla="*/ 210 w 280"/>
              <a:gd name="T11" fmla="*/ 211 h 422"/>
              <a:gd name="T12" fmla="*/ 70 w 280"/>
              <a:gd name="T13" fmla="*/ 211 h 422"/>
              <a:gd name="T14" fmla="*/ 0 w 280"/>
              <a:gd name="T15" fmla="*/ 281 h 422"/>
              <a:gd name="T16" fmla="*/ 0 w 280"/>
              <a:gd name="T17" fmla="*/ 422 h 422"/>
              <a:gd name="T18" fmla="*/ 280 w 280"/>
              <a:gd name="T19" fmla="*/ 42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0" h="422">
                <a:moveTo>
                  <a:pt x="0" y="71"/>
                </a:move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141"/>
                </a:lnTo>
                <a:lnTo>
                  <a:pt x="210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2"/>
                </a:lnTo>
                <a:lnTo>
                  <a:pt x="280" y="422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Line 577">
            <a:extLst>
              <a:ext uri="{FF2B5EF4-FFF2-40B4-BE49-F238E27FC236}">
                <a16:creationId xmlns:a16="http://schemas.microsoft.com/office/drawing/2014/main" id="{FEF2CA09-A734-4132-8427-1A8F270C59E3}"/>
              </a:ext>
            </a:extLst>
          </xdr:cNvPr>
          <xdr:cNvSpPr>
            <a:spLocks noChangeShapeType="1"/>
          </xdr:cNvSpPr>
        </xdr:nvSpPr>
        <xdr:spPr bwMode="auto">
          <a:xfrm>
            <a:off x="791" y="221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578">
            <a:extLst>
              <a:ext uri="{FF2B5EF4-FFF2-40B4-BE49-F238E27FC236}">
                <a16:creationId xmlns:a16="http://schemas.microsoft.com/office/drawing/2014/main" id="{1567D33A-4346-476F-B191-0A6A0095D6D9}"/>
              </a:ext>
            </a:extLst>
          </xdr:cNvPr>
          <xdr:cNvSpPr>
            <a:spLocks noChangeShapeType="1"/>
          </xdr:cNvSpPr>
        </xdr:nvSpPr>
        <xdr:spPr bwMode="auto">
          <a:xfrm flipH="1">
            <a:off x="791" y="223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Freeform 586">
            <a:extLst>
              <a:ext uri="{FF2B5EF4-FFF2-40B4-BE49-F238E27FC236}">
                <a16:creationId xmlns:a16="http://schemas.microsoft.com/office/drawing/2014/main" id="{08025F5C-2DF4-4F54-A875-2F3C8A39827A}"/>
              </a:ext>
            </a:extLst>
          </xdr:cNvPr>
          <xdr:cNvSpPr>
            <a:spLocks/>
          </xdr:cNvSpPr>
        </xdr:nvSpPr>
        <xdr:spPr bwMode="auto">
          <a:xfrm>
            <a:off x="1201" y="96"/>
            <a:ext cx="4" cy="4"/>
          </a:xfrm>
          <a:custGeom>
            <a:avLst/>
            <a:gdLst>
              <a:gd name="T0" fmla="*/ 0 w 282"/>
              <a:gd name="T1" fmla="*/ 210 h 210"/>
              <a:gd name="T2" fmla="*/ 212 w 282"/>
              <a:gd name="T3" fmla="*/ 210 h 210"/>
              <a:gd name="T4" fmla="*/ 282 w 282"/>
              <a:gd name="T5" fmla="*/ 140 h 210"/>
              <a:gd name="T6" fmla="*/ 282 w 282"/>
              <a:gd name="T7" fmla="*/ 70 h 210"/>
              <a:gd name="T8" fmla="*/ 212 w 282"/>
              <a:gd name="T9" fmla="*/ 0 h 210"/>
              <a:gd name="T10" fmla="*/ 70 w 282"/>
              <a:gd name="T11" fmla="*/ 0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2" h="210">
                <a:moveTo>
                  <a:pt x="0" y="210"/>
                </a:moveTo>
                <a:lnTo>
                  <a:pt x="212" y="210"/>
                </a:lnTo>
                <a:lnTo>
                  <a:pt x="282" y="140"/>
                </a:lnTo>
                <a:lnTo>
                  <a:pt x="282" y="70"/>
                </a:lnTo>
                <a:lnTo>
                  <a:pt x="212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Freeform 587">
            <a:extLst>
              <a:ext uri="{FF2B5EF4-FFF2-40B4-BE49-F238E27FC236}">
                <a16:creationId xmlns:a16="http://schemas.microsoft.com/office/drawing/2014/main" id="{C2809F35-C338-4133-A3B8-DAC24CA2E90B}"/>
              </a:ext>
            </a:extLst>
          </xdr:cNvPr>
          <xdr:cNvSpPr>
            <a:spLocks/>
          </xdr:cNvSpPr>
        </xdr:nvSpPr>
        <xdr:spPr bwMode="auto">
          <a:xfrm>
            <a:off x="1201" y="93"/>
            <a:ext cx="4" cy="3"/>
          </a:xfrm>
          <a:custGeom>
            <a:avLst/>
            <a:gdLst>
              <a:gd name="T0" fmla="*/ 212 w 282"/>
              <a:gd name="T1" fmla="*/ 211 h 211"/>
              <a:gd name="T2" fmla="*/ 282 w 282"/>
              <a:gd name="T3" fmla="*/ 141 h 211"/>
              <a:gd name="T4" fmla="*/ 282 w 282"/>
              <a:gd name="T5" fmla="*/ 70 h 211"/>
              <a:gd name="T6" fmla="*/ 212 w 282"/>
              <a:gd name="T7" fmla="*/ 0 h 211"/>
              <a:gd name="T8" fmla="*/ 0 w 282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2" h="211">
                <a:moveTo>
                  <a:pt x="212" y="211"/>
                </a:moveTo>
                <a:lnTo>
                  <a:pt x="282" y="141"/>
                </a:lnTo>
                <a:lnTo>
                  <a:pt x="282" y="70"/>
                </a:lnTo>
                <a:lnTo>
                  <a:pt x="212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Line 588">
            <a:extLst>
              <a:ext uri="{FF2B5EF4-FFF2-40B4-BE49-F238E27FC236}">
                <a16:creationId xmlns:a16="http://schemas.microsoft.com/office/drawing/2014/main" id="{49CD5F19-FD7F-4EE0-8034-D69219270E1E}"/>
              </a:ext>
            </a:extLst>
          </xdr:cNvPr>
          <xdr:cNvSpPr>
            <a:spLocks noChangeShapeType="1"/>
          </xdr:cNvSpPr>
        </xdr:nvSpPr>
        <xdr:spPr bwMode="auto">
          <a:xfrm>
            <a:off x="1202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Freeform 589">
            <a:extLst>
              <a:ext uri="{FF2B5EF4-FFF2-40B4-BE49-F238E27FC236}">
                <a16:creationId xmlns:a16="http://schemas.microsoft.com/office/drawing/2014/main" id="{F48B83C3-5C77-44DC-852B-C210BAF21271}"/>
              </a:ext>
            </a:extLst>
          </xdr:cNvPr>
          <xdr:cNvSpPr>
            <a:spLocks/>
          </xdr:cNvSpPr>
        </xdr:nvSpPr>
        <xdr:spPr bwMode="auto">
          <a:xfrm>
            <a:off x="1208" y="95"/>
            <a:ext cx="5" cy="5"/>
          </a:xfrm>
          <a:custGeom>
            <a:avLst/>
            <a:gdLst>
              <a:gd name="T0" fmla="*/ 210 w 281"/>
              <a:gd name="T1" fmla="*/ 280 h 280"/>
              <a:gd name="T2" fmla="*/ 70 w 281"/>
              <a:gd name="T3" fmla="*/ 280 h 280"/>
              <a:gd name="T4" fmla="*/ 0 w 281"/>
              <a:gd name="T5" fmla="*/ 210 h 280"/>
              <a:gd name="T6" fmla="*/ 0 w 281"/>
              <a:gd name="T7" fmla="*/ 70 h 280"/>
              <a:gd name="T8" fmla="*/ 70 w 281"/>
              <a:gd name="T9" fmla="*/ 0 h 280"/>
              <a:gd name="T10" fmla="*/ 210 w 281"/>
              <a:gd name="T11" fmla="*/ 0 h 280"/>
              <a:gd name="T12" fmla="*/ 281 w 281"/>
              <a:gd name="T13" fmla="*/ 70 h 280"/>
              <a:gd name="T14" fmla="*/ 281 w 281"/>
              <a:gd name="T15" fmla="*/ 210 h 280"/>
              <a:gd name="T16" fmla="*/ 210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Line 590">
            <a:extLst>
              <a:ext uri="{FF2B5EF4-FFF2-40B4-BE49-F238E27FC236}">
                <a16:creationId xmlns:a16="http://schemas.microsoft.com/office/drawing/2014/main" id="{5DFC62E5-86BC-42B7-A2E9-99CE15C1D0D8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Freeform 591">
            <a:extLst>
              <a:ext uri="{FF2B5EF4-FFF2-40B4-BE49-F238E27FC236}">
                <a16:creationId xmlns:a16="http://schemas.microsoft.com/office/drawing/2014/main" id="{18FB7EBE-5F4E-4549-9109-79B0E4F2C5AD}"/>
              </a:ext>
            </a:extLst>
          </xdr:cNvPr>
          <xdr:cNvSpPr>
            <a:spLocks/>
          </xdr:cNvSpPr>
        </xdr:nvSpPr>
        <xdr:spPr bwMode="auto">
          <a:xfrm>
            <a:off x="1215" y="95"/>
            <a:ext cx="5" cy="3"/>
          </a:xfrm>
          <a:custGeom>
            <a:avLst/>
            <a:gdLst>
              <a:gd name="T0" fmla="*/ 0 w 281"/>
              <a:gd name="T1" fmla="*/ 140 h 140"/>
              <a:gd name="T2" fmla="*/ 140 w 281"/>
              <a:gd name="T3" fmla="*/ 0 h 140"/>
              <a:gd name="T4" fmla="*/ 210 w 281"/>
              <a:gd name="T5" fmla="*/ 0 h 140"/>
              <a:gd name="T6" fmla="*/ 281 w 281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1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6" name="Freeform 592">
            <a:extLst>
              <a:ext uri="{FF2B5EF4-FFF2-40B4-BE49-F238E27FC236}">
                <a16:creationId xmlns:a16="http://schemas.microsoft.com/office/drawing/2014/main" id="{3CF868B9-4A72-4DC3-A20F-848D44472EE6}"/>
              </a:ext>
            </a:extLst>
          </xdr:cNvPr>
          <xdr:cNvSpPr>
            <a:spLocks/>
          </xdr:cNvSpPr>
        </xdr:nvSpPr>
        <xdr:spPr bwMode="auto">
          <a:xfrm>
            <a:off x="1222" y="95"/>
            <a:ext cx="5" cy="5"/>
          </a:xfrm>
          <a:custGeom>
            <a:avLst/>
            <a:gdLst>
              <a:gd name="T0" fmla="*/ 280 w 280"/>
              <a:gd name="T1" fmla="*/ 140 h 280"/>
              <a:gd name="T2" fmla="*/ 140 w 280"/>
              <a:gd name="T3" fmla="*/ 280 h 280"/>
              <a:gd name="T4" fmla="*/ 70 w 280"/>
              <a:gd name="T5" fmla="*/ 280 h 280"/>
              <a:gd name="T6" fmla="*/ 0 w 280"/>
              <a:gd name="T7" fmla="*/ 210 h 280"/>
              <a:gd name="T8" fmla="*/ 0 w 280"/>
              <a:gd name="T9" fmla="*/ 70 h 280"/>
              <a:gd name="T10" fmla="*/ 70 w 280"/>
              <a:gd name="T11" fmla="*/ 0 h 280"/>
              <a:gd name="T12" fmla="*/ 140 w 280"/>
              <a:gd name="T13" fmla="*/ 0 h 280"/>
              <a:gd name="T14" fmla="*/ 280 w 280"/>
              <a:gd name="T15" fmla="*/ 14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0" h="280">
                <a:moveTo>
                  <a:pt x="280" y="140"/>
                </a:moveTo>
                <a:lnTo>
                  <a:pt x="140" y="280"/>
                </a:ln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80" y="14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593">
            <a:extLst>
              <a:ext uri="{FF2B5EF4-FFF2-40B4-BE49-F238E27FC236}">
                <a16:creationId xmlns:a16="http://schemas.microsoft.com/office/drawing/2014/main" id="{A51AA71E-EA99-41FD-83A2-7E0C938AE5AB}"/>
              </a:ext>
            </a:extLst>
          </xdr:cNvPr>
          <xdr:cNvSpPr>
            <a:spLocks noChangeShapeType="1"/>
          </xdr:cNvSpPr>
        </xdr:nvSpPr>
        <xdr:spPr bwMode="auto">
          <a:xfrm>
            <a:off x="1227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Freeform 594">
            <a:extLst>
              <a:ext uri="{FF2B5EF4-FFF2-40B4-BE49-F238E27FC236}">
                <a16:creationId xmlns:a16="http://schemas.microsoft.com/office/drawing/2014/main" id="{5921F892-DE5A-4AF5-849D-8A50DD6C1575}"/>
              </a:ext>
            </a:extLst>
          </xdr:cNvPr>
          <xdr:cNvSpPr>
            <a:spLocks/>
          </xdr:cNvSpPr>
        </xdr:nvSpPr>
        <xdr:spPr bwMode="auto">
          <a:xfrm>
            <a:off x="1229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" name="Freeform 595">
            <a:extLst>
              <a:ext uri="{FF2B5EF4-FFF2-40B4-BE49-F238E27FC236}">
                <a16:creationId xmlns:a16="http://schemas.microsoft.com/office/drawing/2014/main" id="{4D63BF75-B761-41B3-A6F4-7C7EFD80E57A}"/>
              </a:ext>
            </a:extLst>
          </xdr:cNvPr>
          <xdr:cNvSpPr>
            <a:spLocks/>
          </xdr:cNvSpPr>
        </xdr:nvSpPr>
        <xdr:spPr bwMode="auto">
          <a:xfrm>
            <a:off x="1244" y="95"/>
            <a:ext cx="4" cy="5"/>
          </a:xfrm>
          <a:custGeom>
            <a:avLst/>
            <a:gdLst>
              <a:gd name="T0" fmla="*/ 0 w 281"/>
              <a:gd name="T1" fmla="*/ 140 h 280"/>
              <a:gd name="T2" fmla="*/ 211 w 281"/>
              <a:gd name="T3" fmla="*/ 140 h 280"/>
              <a:gd name="T4" fmla="*/ 281 w 281"/>
              <a:gd name="T5" fmla="*/ 70 h 280"/>
              <a:gd name="T6" fmla="*/ 211 w 281"/>
              <a:gd name="T7" fmla="*/ 0 h 280"/>
              <a:gd name="T8" fmla="*/ 70 w 281"/>
              <a:gd name="T9" fmla="*/ 0 h 280"/>
              <a:gd name="T10" fmla="*/ 0 w 281"/>
              <a:gd name="T11" fmla="*/ 70 h 280"/>
              <a:gd name="T12" fmla="*/ 0 w 281"/>
              <a:gd name="T13" fmla="*/ 210 h 280"/>
              <a:gd name="T14" fmla="*/ 70 w 281"/>
              <a:gd name="T15" fmla="*/ 280 h 280"/>
              <a:gd name="T16" fmla="*/ 211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0" y="140"/>
                </a:moveTo>
                <a:lnTo>
                  <a:pt x="211" y="140"/>
                </a:lnTo>
                <a:lnTo>
                  <a:pt x="281" y="70"/>
                </a:lnTo>
                <a:lnTo>
                  <a:pt x="211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1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0" name="Line 596">
            <a:extLst>
              <a:ext uri="{FF2B5EF4-FFF2-40B4-BE49-F238E27FC236}">
                <a16:creationId xmlns:a16="http://schemas.microsoft.com/office/drawing/2014/main" id="{CE83DC9D-EF10-482E-9FB4-28C31F68660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597">
            <a:extLst>
              <a:ext uri="{FF2B5EF4-FFF2-40B4-BE49-F238E27FC236}">
                <a16:creationId xmlns:a16="http://schemas.microsoft.com/office/drawing/2014/main" id="{8BD3D735-6FD0-49C8-8780-0826E5A6F97C}"/>
              </a:ext>
            </a:extLst>
          </xdr:cNvPr>
          <xdr:cNvSpPr>
            <a:spLocks noChangeShapeType="1"/>
          </xdr:cNvSpPr>
        </xdr:nvSpPr>
        <xdr:spPr bwMode="auto">
          <a:xfrm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598">
            <a:extLst>
              <a:ext uri="{FF2B5EF4-FFF2-40B4-BE49-F238E27FC236}">
                <a16:creationId xmlns:a16="http://schemas.microsoft.com/office/drawing/2014/main" id="{1100407F-D8CF-4809-B3A2-B645D528DA84}"/>
              </a:ext>
            </a:extLst>
          </xdr:cNvPr>
          <xdr:cNvSpPr>
            <a:spLocks noChangeShapeType="1"/>
          </xdr:cNvSpPr>
        </xdr:nvSpPr>
        <xdr:spPr bwMode="auto">
          <a:xfrm>
            <a:off x="1258" y="95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Freeform 599">
            <a:extLst>
              <a:ext uri="{FF2B5EF4-FFF2-40B4-BE49-F238E27FC236}">
                <a16:creationId xmlns:a16="http://schemas.microsoft.com/office/drawing/2014/main" id="{8A9C2EA3-D0F0-49E7-BD94-652DE2E65703}"/>
              </a:ext>
            </a:extLst>
          </xdr:cNvPr>
          <xdr:cNvSpPr>
            <a:spLocks/>
          </xdr:cNvSpPr>
        </xdr:nvSpPr>
        <xdr:spPr bwMode="auto">
          <a:xfrm>
            <a:off x="1260" y="93"/>
            <a:ext cx="3" cy="7"/>
          </a:xfrm>
          <a:custGeom>
            <a:avLst/>
            <a:gdLst>
              <a:gd name="T0" fmla="*/ 0 w 141"/>
              <a:gd name="T1" fmla="*/ 0 h 421"/>
              <a:gd name="T2" fmla="*/ 0 w 141"/>
              <a:gd name="T3" fmla="*/ 351 h 421"/>
              <a:gd name="T4" fmla="*/ 70 w 141"/>
              <a:gd name="T5" fmla="*/ 421 h 421"/>
              <a:gd name="T6" fmla="*/ 141 w 141"/>
              <a:gd name="T7" fmla="*/ 35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1">
                <a:moveTo>
                  <a:pt x="0" y="0"/>
                </a:moveTo>
                <a:lnTo>
                  <a:pt x="0" y="351"/>
                </a:lnTo>
                <a:lnTo>
                  <a:pt x="70" y="421"/>
                </a:lnTo>
                <a:lnTo>
                  <a:pt x="141" y="35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4" name="Freeform 600">
            <a:extLst>
              <a:ext uri="{FF2B5EF4-FFF2-40B4-BE49-F238E27FC236}">
                <a16:creationId xmlns:a16="http://schemas.microsoft.com/office/drawing/2014/main" id="{6121E603-3887-4465-AB99-1B5144D9A8CB}"/>
              </a:ext>
            </a:extLst>
          </xdr:cNvPr>
          <xdr:cNvSpPr>
            <a:spLocks/>
          </xdr:cNvSpPr>
        </xdr:nvSpPr>
        <xdr:spPr bwMode="auto">
          <a:xfrm>
            <a:off x="1265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" name="Line 601">
            <a:extLst>
              <a:ext uri="{FF2B5EF4-FFF2-40B4-BE49-F238E27FC236}">
                <a16:creationId xmlns:a16="http://schemas.microsoft.com/office/drawing/2014/main" id="{AD2BB1AE-0C23-41AC-94BB-6DAE7CE560DF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2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Freeform 602">
            <a:extLst>
              <a:ext uri="{FF2B5EF4-FFF2-40B4-BE49-F238E27FC236}">
                <a16:creationId xmlns:a16="http://schemas.microsoft.com/office/drawing/2014/main" id="{12F25F6E-F564-4823-9223-15104E1D6E20}"/>
              </a:ext>
            </a:extLst>
          </xdr:cNvPr>
          <xdr:cNvSpPr>
            <a:spLocks/>
          </xdr:cNvSpPr>
        </xdr:nvSpPr>
        <xdr:spPr bwMode="auto">
          <a:xfrm>
            <a:off x="1272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" name="Line 603">
            <a:extLst>
              <a:ext uri="{FF2B5EF4-FFF2-40B4-BE49-F238E27FC236}">
                <a16:creationId xmlns:a16="http://schemas.microsoft.com/office/drawing/2014/main" id="{BCFF2752-7D2B-4E90-9F78-DFCD1B74435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604">
            <a:extLst>
              <a:ext uri="{FF2B5EF4-FFF2-40B4-BE49-F238E27FC236}">
                <a16:creationId xmlns:a16="http://schemas.microsoft.com/office/drawing/2014/main" id="{4F966396-8942-4388-91CF-21AC25DAD25D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Freeform 605">
            <a:extLst>
              <a:ext uri="{FF2B5EF4-FFF2-40B4-BE49-F238E27FC236}">
                <a16:creationId xmlns:a16="http://schemas.microsoft.com/office/drawing/2014/main" id="{2687550C-03DB-4D1E-8B99-08154E987EA2}"/>
              </a:ext>
            </a:extLst>
          </xdr:cNvPr>
          <xdr:cNvSpPr>
            <a:spLocks/>
          </xdr:cNvSpPr>
        </xdr:nvSpPr>
        <xdr:spPr bwMode="auto">
          <a:xfrm>
            <a:off x="1282" y="95"/>
            <a:ext cx="4" cy="5"/>
          </a:xfrm>
          <a:custGeom>
            <a:avLst/>
            <a:gdLst>
              <a:gd name="T0" fmla="*/ 210 w 280"/>
              <a:gd name="T1" fmla="*/ 280 h 280"/>
              <a:gd name="T2" fmla="*/ 70 w 280"/>
              <a:gd name="T3" fmla="*/ 280 h 280"/>
              <a:gd name="T4" fmla="*/ 0 w 280"/>
              <a:gd name="T5" fmla="*/ 210 h 280"/>
              <a:gd name="T6" fmla="*/ 0 w 280"/>
              <a:gd name="T7" fmla="*/ 70 h 280"/>
              <a:gd name="T8" fmla="*/ 70 w 280"/>
              <a:gd name="T9" fmla="*/ 0 h 280"/>
              <a:gd name="T10" fmla="*/ 210 w 280"/>
              <a:gd name="T11" fmla="*/ 0 h 280"/>
              <a:gd name="T12" fmla="*/ 280 w 280"/>
              <a:gd name="T13" fmla="*/ 70 h 280"/>
              <a:gd name="T14" fmla="*/ 280 w 280"/>
              <a:gd name="T15" fmla="*/ 21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0" y="70"/>
                </a:lnTo>
                <a:lnTo>
                  <a:pt x="280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" name="Line 606">
            <a:extLst>
              <a:ext uri="{FF2B5EF4-FFF2-40B4-BE49-F238E27FC236}">
                <a16:creationId xmlns:a16="http://schemas.microsoft.com/office/drawing/2014/main" id="{6E1ABAAF-B032-4EB5-95EF-4D6C9937294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Freeform 607">
            <a:extLst>
              <a:ext uri="{FF2B5EF4-FFF2-40B4-BE49-F238E27FC236}">
                <a16:creationId xmlns:a16="http://schemas.microsoft.com/office/drawing/2014/main" id="{750F43F6-8F09-4251-BA96-7051CECCE2DE}"/>
              </a:ext>
            </a:extLst>
          </xdr:cNvPr>
          <xdr:cNvSpPr>
            <a:spLocks/>
          </xdr:cNvSpPr>
        </xdr:nvSpPr>
        <xdr:spPr bwMode="auto">
          <a:xfrm>
            <a:off x="1289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" name="Freeform 608">
            <a:extLst>
              <a:ext uri="{FF2B5EF4-FFF2-40B4-BE49-F238E27FC236}">
                <a16:creationId xmlns:a16="http://schemas.microsoft.com/office/drawing/2014/main" id="{4CC338E1-F3F2-46F8-930A-908C848673DF}"/>
              </a:ext>
            </a:extLst>
          </xdr:cNvPr>
          <xdr:cNvSpPr>
            <a:spLocks/>
          </xdr:cNvSpPr>
        </xdr:nvSpPr>
        <xdr:spPr bwMode="auto">
          <a:xfrm>
            <a:off x="1206" y="307"/>
            <a:ext cx="5" cy="3"/>
          </a:xfrm>
          <a:custGeom>
            <a:avLst/>
            <a:gdLst>
              <a:gd name="T0" fmla="*/ 0 w 280"/>
              <a:gd name="T1" fmla="*/ 211 h 211"/>
              <a:gd name="T2" fmla="*/ 210 w 280"/>
              <a:gd name="T3" fmla="*/ 211 h 211"/>
              <a:gd name="T4" fmla="*/ 280 w 280"/>
              <a:gd name="T5" fmla="*/ 141 h 211"/>
              <a:gd name="T6" fmla="*/ 280 w 280"/>
              <a:gd name="T7" fmla="*/ 70 h 211"/>
              <a:gd name="T8" fmla="*/ 210 w 280"/>
              <a:gd name="T9" fmla="*/ 0 h 211"/>
              <a:gd name="T10" fmla="*/ 70 w 280"/>
              <a:gd name="T11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0" h="211">
                <a:moveTo>
                  <a:pt x="0" y="211"/>
                </a:moveTo>
                <a:lnTo>
                  <a:pt x="210" y="211"/>
                </a:lnTo>
                <a:lnTo>
                  <a:pt x="280" y="141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" name="Freeform 609">
            <a:extLst>
              <a:ext uri="{FF2B5EF4-FFF2-40B4-BE49-F238E27FC236}">
                <a16:creationId xmlns:a16="http://schemas.microsoft.com/office/drawing/2014/main" id="{6DB4E5E5-7E3D-4ED4-A234-F332A2B6CF25}"/>
              </a:ext>
            </a:extLst>
          </xdr:cNvPr>
          <xdr:cNvSpPr>
            <a:spLocks/>
          </xdr:cNvSpPr>
        </xdr:nvSpPr>
        <xdr:spPr bwMode="auto">
          <a:xfrm>
            <a:off x="1206" y="303"/>
            <a:ext cx="5" cy="4"/>
          </a:xfrm>
          <a:custGeom>
            <a:avLst/>
            <a:gdLst>
              <a:gd name="T0" fmla="*/ 210 w 280"/>
              <a:gd name="T1" fmla="*/ 211 h 211"/>
              <a:gd name="T2" fmla="*/ 280 w 280"/>
              <a:gd name="T3" fmla="*/ 140 h 211"/>
              <a:gd name="T4" fmla="*/ 280 w 280"/>
              <a:gd name="T5" fmla="*/ 70 h 211"/>
              <a:gd name="T6" fmla="*/ 210 w 280"/>
              <a:gd name="T7" fmla="*/ 0 h 211"/>
              <a:gd name="T8" fmla="*/ 0 w 280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0" h="211">
                <a:moveTo>
                  <a:pt x="210" y="211"/>
                </a:moveTo>
                <a:lnTo>
                  <a:pt x="280" y="140"/>
                </a:lnTo>
                <a:lnTo>
                  <a:pt x="280" y="70"/>
                </a:lnTo>
                <a:lnTo>
                  <a:pt x="210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" name="Line 610">
            <a:extLst>
              <a:ext uri="{FF2B5EF4-FFF2-40B4-BE49-F238E27FC236}">
                <a16:creationId xmlns:a16="http://schemas.microsoft.com/office/drawing/2014/main" id="{3FF7D4F2-9EB2-4C4B-B64B-29232039367E}"/>
              </a:ext>
            </a:extLst>
          </xdr:cNvPr>
          <xdr:cNvSpPr>
            <a:spLocks noChangeShapeType="1"/>
          </xdr:cNvSpPr>
        </xdr:nvSpPr>
        <xdr:spPr bwMode="auto">
          <a:xfrm>
            <a:off x="1208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Freeform 611">
            <a:extLst>
              <a:ext uri="{FF2B5EF4-FFF2-40B4-BE49-F238E27FC236}">
                <a16:creationId xmlns:a16="http://schemas.microsoft.com/office/drawing/2014/main" id="{2045BFB7-29F4-4F41-A6CD-F1581EDD0CAD}"/>
              </a:ext>
            </a:extLst>
          </xdr:cNvPr>
          <xdr:cNvSpPr>
            <a:spLocks/>
          </xdr:cNvSpPr>
        </xdr:nvSpPr>
        <xdr:spPr bwMode="auto">
          <a:xfrm>
            <a:off x="1213" y="305"/>
            <a:ext cx="5" cy="5"/>
          </a:xfrm>
          <a:custGeom>
            <a:avLst/>
            <a:gdLst>
              <a:gd name="T0" fmla="*/ 210 w 280"/>
              <a:gd name="T1" fmla="*/ 282 h 282"/>
              <a:gd name="T2" fmla="*/ 70 w 280"/>
              <a:gd name="T3" fmla="*/ 282 h 282"/>
              <a:gd name="T4" fmla="*/ 0 w 280"/>
              <a:gd name="T5" fmla="*/ 212 h 282"/>
              <a:gd name="T6" fmla="*/ 0 w 280"/>
              <a:gd name="T7" fmla="*/ 71 h 282"/>
              <a:gd name="T8" fmla="*/ 70 w 280"/>
              <a:gd name="T9" fmla="*/ 0 h 282"/>
              <a:gd name="T10" fmla="*/ 210 w 280"/>
              <a:gd name="T11" fmla="*/ 0 h 282"/>
              <a:gd name="T12" fmla="*/ 280 w 280"/>
              <a:gd name="T13" fmla="*/ 71 h 282"/>
              <a:gd name="T14" fmla="*/ 280 w 280"/>
              <a:gd name="T15" fmla="*/ 212 h 282"/>
              <a:gd name="T16" fmla="*/ 210 w 280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" name="Line 612">
            <a:extLst>
              <a:ext uri="{FF2B5EF4-FFF2-40B4-BE49-F238E27FC236}">
                <a16:creationId xmlns:a16="http://schemas.microsoft.com/office/drawing/2014/main" id="{909BCEF0-425B-40CF-82A2-9F56DB3EF67F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1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Freeform 613">
            <a:extLst>
              <a:ext uri="{FF2B5EF4-FFF2-40B4-BE49-F238E27FC236}">
                <a16:creationId xmlns:a16="http://schemas.microsoft.com/office/drawing/2014/main" id="{5FE3A1D4-BCF4-47B5-B312-E00B7A334ABF}"/>
              </a:ext>
            </a:extLst>
          </xdr:cNvPr>
          <xdr:cNvSpPr>
            <a:spLocks/>
          </xdr:cNvSpPr>
        </xdr:nvSpPr>
        <xdr:spPr bwMode="auto">
          <a:xfrm>
            <a:off x="1221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" name="Freeform 614">
            <a:extLst>
              <a:ext uri="{FF2B5EF4-FFF2-40B4-BE49-F238E27FC236}">
                <a16:creationId xmlns:a16="http://schemas.microsoft.com/office/drawing/2014/main" id="{87B82DE3-525B-4EF5-8D37-279F84C75151}"/>
              </a:ext>
            </a:extLst>
          </xdr:cNvPr>
          <xdr:cNvSpPr>
            <a:spLocks/>
          </xdr:cNvSpPr>
        </xdr:nvSpPr>
        <xdr:spPr bwMode="auto">
          <a:xfrm>
            <a:off x="1228" y="305"/>
            <a:ext cx="5" cy="5"/>
          </a:xfrm>
          <a:custGeom>
            <a:avLst/>
            <a:gdLst>
              <a:gd name="T0" fmla="*/ 281 w 281"/>
              <a:gd name="T1" fmla="*/ 141 h 282"/>
              <a:gd name="T2" fmla="*/ 141 w 281"/>
              <a:gd name="T3" fmla="*/ 282 h 282"/>
              <a:gd name="T4" fmla="*/ 71 w 281"/>
              <a:gd name="T5" fmla="*/ 282 h 282"/>
              <a:gd name="T6" fmla="*/ 0 w 281"/>
              <a:gd name="T7" fmla="*/ 212 h 282"/>
              <a:gd name="T8" fmla="*/ 0 w 281"/>
              <a:gd name="T9" fmla="*/ 71 h 282"/>
              <a:gd name="T10" fmla="*/ 71 w 281"/>
              <a:gd name="T11" fmla="*/ 0 h 282"/>
              <a:gd name="T12" fmla="*/ 141 w 281"/>
              <a:gd name="T13" fmla="*/ 0 h 282"/>
              <a:gd name="T14" fmla="*/ 281 w 281"/>
              <a:gd name="T15" fmla="*/ 141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2">
                <a:moveTo>
                  <a:pt x="281" y="141"/>
                </a:moveTo>
                <a:lnTo>
                  <a:pt x="141" y="282"/>
                </a:lnTo>
                <a:lnTo>
                  <a:pt x="71" y="282"/>
                </a:lnTo>
                <a:lnTo>
                  <a:pt x="0" y="212"/>
                </a:lnTo>
                <a:lnTo>
                  <a:pt x="0" y="71"/>
                </a:lnTo>
                <a:lnTo>
                  <a:pt x="71" y="0"/>
                </a:lnTo>
                <a:lnTo>
                  <a:pt x="141" y="0"/>
                </a:lnTo>
                <a:lnTo>
                  <a:pt x="281" y="141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" name="Line 615">
            <a:extLst>
              <a:ext uri="{FF2B5EF4-FFF2-40B4-BE49-F238E27FC236}">
                <a16:creationId xmlns:a16="http://schemas.microsoft.com/office/drawing/2014/main" id="{B867A846-F20C-4B85-B27E-016CA98621CC}"/>
              </a:ext>
            </a:extLst>
          </xdr:cNvPr>
          <xdr:cNvSpPr>
            <a:spLocks noChangeShapeType="1"/>
          </xdr:cNvSpPr>
        </xdr:nvSpPr>
        <xdr:spPr bwMode="auto">
          <a:xfrm>
            <a:off x="1233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Freeform 616">
            <a:extLst>
              <a:ext uri="{FF2B5EF4-FFF2-40B4-BE49-F238E27FC236}">
                <a16:creationId xmlns:a16="http://schemas.microsoft.com/office/drawing/2014/main" id="{EC191B28-698C-4A05-A5BF-79B6AB408E81}"/>
              </a:ext>
            </a:extLst>
          </xdr:cNvPr>
          <xdr:cNvSpPr>
            <a:spLocks/>
          </xdr:cNvSpPr>
        </xdr:nvSpPr>
        <xdr:spPr bwMode="auto">
          <a:xfrm>
            <a:off x="1235" y="305"/>
            <a:ext cx="5" cy="5"/>
          </a:xfrm>
          <a:custGeom>
            <a:avLst/>
            <a:gdLst>
              <a:gd name="T0" fmla="*/ 0 w 281"/>
              <a:gd name="T1" fmla="*/ 141 h 282"/>
              <a:gd name="T2" fmla="*/ 211 w 281"/>
              <a:gd name="T3" fmla="*/ 141 h 282"/>
              <a:gd name="T4" fmla="*/ 281 w 281"/>
              <a:gd name="T5" fmla="*/ 71 h 282"/>
              <a:gd name="T6" fmla="*/ 211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1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1" y="141"/>
                </a:lnTo>
                <a:lnTo>
                  <a:pt x="281" y="71"/>
                </a:lnTo>
                <a:lnTo>
                  <a:pt x="211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1" name="Line 617">
            <a:extLst>
              <a:ext uri="{FF2B5EF4-FFF2-40B4-BE49-F238E27FC236}">
                <a16:creationId xmlns:a16="http://schemas.microsoft.com/office/drawing/2014/main" id="{94311D17-FBA4-4DB6-868B-0AE5277AA15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Line 618">
            <a:extLst>
              <a:ext uri="{FF2B5EF4-FFF2-40B4-BE49-F238E27FC236}">
                <a16:creationId xmlns:a16="http://schemas.microsoft.com/office/drawing/2014/main" id="{A68DF0A2-3F6C-4BD4-A295-0C4C5BDAE90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619">
            <a:extLst>
              <a:ext uri="{FF2B5EF4-FFF2-40B4-BE49-F238E27FC236}">
                <a16:creationId xmlns:a16="http://schemas.microsoft.com/office/drawing/2014/main" id="{95A76E21-EC38-48BC-993F-F41B6B1D1949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2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Freeform 620">
            <a:extLst>
              <a:ext uri="{FF2B5EF4-FFF2-40B4-BE49-F238E27FC236}">
                <a16:creationId xmlns:a16="http://schemas.microsoft.com/office/drawing/2014/main" id="{4CFF784B-9E6E-4054-8AF9-76C4301207E2}"/>
              </a:ext>
            </a:extLst>
          </xdr:cNvPr>
          <xdr:cNvSpPr>
            <a:spLocks/>
          </xdr:cNvSpPr>
        </xdr:nvSpPr>
        <xdr:spPr bwMode="auto">
          <a:xfrm>
            <a:off x="1252" y="305"/>
            <a:ext cx="4" cy="5"/>
          </a:xfrm>
          <a:custGeom>
            <a:avLst/>
            <a:gdLst>
              <a:gd name="T0" fmla="*/ 0 w 281"/>
              <a:gd name="T1" fmla="*/ 141 h 282"/>
              <a:gd name="T2" fmla="*/ 141 w 281"/>
              <a:gd name="T3" fmla="*/ 0 h 282"/>
              <a:gd name="T4" fmla="*/ 211 w 281"/>
              <a:gd name="T5" fmla="*/ 0 h 282"/>
              <a:gd name="T6" fmla="*/ 281 w 281"/>
              <a:gd name="T7" fmla="*/ 71 h 282"/>
              <a:gd name="T8" fmla="*/ 281 w 281"/>
              <a:gd name="T9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141" y="0"/>
                </a:lnTo>
                <a:lnTo>
                  <a:pt x="211" y="0"/>
                </a:lnTo>
                <a:lnTo>
                  <a:pt x="281" y="71"/>
                </a:lnTo>
                <a:lnTo>
                  <a:pt x="28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" name="Line 621">
            <a:extLst>
              <a:ext uri="{FF2B5EF4-FFF2-40B4-BE49-F238E27FC236}">
                <a16:creationId xmlns:a16="http://schemas.microsoft.com/office/drawing/2014/main" id="{901973CA-3A8B-4717-A8AE-E3C0B6A7310A}"/>
              </a:ext>
            </a:extLst>
          </xdr:cNvPr>
          <xdr:cNvSpPr>
            <a:spLocks noChangeShapeType="1"/>
          </xdr:cNvSpPr>
        </xdr:nvSpPr>
        <xdr:spPr bwMode="auto">
          <a:xfrm>
            <a:off x="1259" y="305"/>
            <a:ext cx="4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Freeform 622">
            <a:extLst>
              <a:ext uri="{FF2B5EF4-FFF2-40B4-BE49-F238E27FC236}">
                <a16:creationId xmlns:a16="http://schemas.microsoft.com/office/drawing/2014/main" id="{8F3900D3-6211-4D3F-9F3F-48BEE1BE3BB7}"/>
              </a:ext>
            </a:extLst>
          </xdr:cNvPr>
          <xdr:cNvSpPr>
            <a:spLocks/>
          </xdr:cNvSpPr>
        </xdr:nvSpPr>
        <xdr:spPr bwMode="auto">
          <a:xfrm>
            <a:off x="1261" y="303"/>
            <a:ext cx="2" cy="7"/>
          </a:xfrm>
          <a:custGeom>
            <a:avLst/>
            <a:gdLst>
              <a:gd name="T0" fmla="*/ 0 w 141"/>
              <a:gd name="T1" fmla="*/ 0 h 422"/>
              <a:gd name="T2" fmla="*/ 0 w 141"/>
              <a:gd name="T3" fmla="*/ 352 h 422"/>
              <a:gd name="T4" fmla="*/ 71 w 141"/>
              <a:gd name="T5" fmla="*/ 422 h 422"/>
              <a:gd name="T6" fmla="*/ 141 w 141"/>
              <a:gd name="T7" fmla="*/ 35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2">
                <a:moveTo>
                  <a:pt x="0" y="0"/>
                </a:moveTo>
                <a:lnTo>
                  <a:pt x="0" y="352"/>
                </a:lnTo>
                <a:lnTo>
                  <a:pt x="71" y="422"/>
                </a:lnTo>
                <a:lnTo>
                  <a:pt x="141" y="35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7" name="Freeform 623">
            <a:extLst>
              <a:ext uri="{FF2B5EF4-FFF2-40B4-BE49-F238E27FC236}">
                <a16:creationId xmlns:a16="http://schemas.microsoft.com/office/drawing/2014/main" id="{F7555ED6-854A-427B-835B-1B5EBEB0B4D9}"/>
              </a:ext>
            </a:extLst>
          </xdr:cNvPr>
          <xdr:cNvSpPr>
            <a:spLocks/>
          </xdr:cNvSpPr>
        </xdr:nvSpPr>
        <xdr:spPr bwMode="auto">
          <a:xfrm>
            <a:off x="1266" y="305"/>
            <a:ext cx="5" cy="5"/>
          </a:xfrm>
          <a:custGeom>
            <a:avLst/>
            <a:gdLst>
              <a:gd name="T0" fmla="*/ 0 w 281"/>
              <a:gd name="T1" fmla="*/ 141 h 282"/>
              <a:gd name="T2" fmla="*/ 210 w 281"/>
              <a:gd name="T3" fmla="*/ 141 h 282"/>
              <a:gd name="T4" fmla="*/ 281 w 281"/>
              <a:gd name="T5" fmla="*/ 71 h 282"/>
              <a:gd name="T6" fmla="*/ 210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0" y="141"/>
                </a:lnTo>
                <a:lnTo>
                  <a:pt x="281" y="71"/>
                </a:lnTo>
                <a:lnTo>
                  <a:pt x="210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0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" name="Line 624">
            <a:extLst>
              <a:ext uri="{FF2B5EF4-FFF2-40B4-BE49-F238E27FC236}">
                <a16:creationId xmlns:a16="http://schemas.microsoft.com/office/drawing/2014/main" id="{C270FC51-3D52-468C-94D1-AD60B516C2FC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3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Freeform 625">
            <a:extLst>
              <a:ext uri="{FF2B5EF4-FFF2-40B4-BE49-F238E27FC236}">
                <a16:creationId xmlns:a16="http://schemas.microsoft.com/office/drawing/2014/main" id="{8487B8CA-DA45-4D35-BEF5-652A00C4FA0D}"/>
              </a:ext>
            </a:extLst>
          </xdr:cNvPr>
          <xdr:cNvSpPr>
            <a:spLocks/>
          </xdr:cNvSpPr>
        </xdr:nvSpPr>
        <xdr:spPr bwMode="auto">
          <a:xfrm>
            <a:off x="1273" y="305"/>
            <a:ext cx="5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0" name="Line 626">
            <a:extLst>
              <a:ext uri="{FF2B5EF4-FFF2-40B4-BE49-F238E27FC236}">
                <a16:creationId xmlns:a16="http://schemas.microsoft.com/office/drawing/2014/main" id="{6A898A53-02C2-4AD4-8CE3-81234ED2DE4B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627">
            <a:extLst>
              <a:ext uri="{FF2B5EF4-FFF2-40B4-BE49-F238E27FC236}">
                <a16:creationId xmlns:a16="http://schemas.microsoft.com/office/drawing/2014/main" id="{0081D6C5-07D3-498E-A86F-681597DC005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Freeform 628">
            <a:extLst>
              <a:ext uri="{FF2B5EF4-FFF2-40B4-BE49-F238E27FC236}">
                <a16:creationId xmlns:a16="http://schemas.microsoft.com/office/drawing/2014/main" id="{C3025DD9-A0AC-427E-8BFC-A89CE8E5A837}"/>
              </a:ext>
            </a:extLst>
          </xdr:cNvPr>
          <xdr:cNvSpPr>
            <a:spLocks/>
          </xdr:cNvSpPr>
        </xdr:nvSpPr>
        <xdr:spPr bwMode="auto">
          <a:xfrm>
            <a:off x="1283" y="305"/>
            <a:ext cx="4" cy="5"/>
          </a:xfrm>
          <a:custGeom>
            <a:avLst/>
            <a:gdLst>
              <a:gd name="T0" fmla="*/ 210 w 281"/>
              <a:gd name="T1" fmla="*/ 282 h 282"/>
              <a:gd name="T2" fmla="*/ 70 w 281"/>
              <a:gd name="T3" fmla="*/ 282 h 282"/>
              <a:gd name="T4" fmla="*/ 0 w 281"/>
              <a:gd name="T5" fmla="*/ 212 h 282"/>
              <a:gd name="T6" fmla="*/ 0 w 281"/>
              <a:gd name="T7" fmla="*/ 71 h 282"/>
              <a:gd name="T8" fmla="*/ 70 w 281"/>
              <a:gd name="T9" fmla="*/ 0 h 282"/>
              <a:gd name="T10" fmla="*/ 210 w 281"/>
              <a:gd name="T11" fmla="*/ 0 h 282"/>
              <a:gd name="T12" fmla="*/ 281 w 281"/>
              <a:gd name="T13" fmla="*/ 71 h 282"/>
              <a:gd name="T14" fmla="*/ 281 w 281"/>
              <a:gd name="T15" fmla="*/ 21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1" y="71"/>
                </a:lnTo>
                <a:lnTo>
                  <a:pt x="281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" name="Line 629">
            <a:extLst>
              <a:ext uri="{FF2B5EF4-FFF2-40B4-BE49-F238E27FC236}">
                <a16:creationId xmlns:a16="http://schemas.microsoft.com/office/drawing/2014/main" id="{5BD216B3-BAFD-46ED-B650-7BCE33FA29CC}"/>
              </a:ext>
            </a:extLst>
          </xdr:cNvPr>
          <xdr:cNvSpPr>
            <a:spLocks noChangeShapeType="1"/>
          </xdr:cNvSpPr>
        </xdr:nvSpPr>
        <xdr:spPr bwMode="auto">
          <a:xfrm flipV="1">
            <a:off x="129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Freeform 630">
            <a:extLst>
              <a:ext uri="{FF2B5EF4-FFF2-40B4-BE49-F238E27FC236}">
                <a16:creationId xmlns:a16="http://schemas.microsoft.com/office/drawing/2014/main" id="{6EAD753E-DADE-4B3D-A2D7-39E09DD64D52}"/>
              </a:ext>
            </a:extLst>
          </xdr:cNvPr>
          <xdr:cNvSpPr>
            <a:spLocks/>
          </xdr:cNvSpPr>
        </xdr:nvSpPr>
        <xdr:spPr bwMode="auto">
          <a:xfrm>
            <a:off x="1290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5" name="Freeform 631">
            <a:extLst>
              <a:ext uri="{FF2B5EF4-FFF2-40B4-BE49-F238E27FC236}">
                <a16:creationId xmlns:a16="http://schemas.microsoft.com/office/drawing/2014/main" id="{B8A409B6-50D6-472A-9C12-6BFDAB616F89}"/>
              </a:ext>
            </a:extLst>
          </xdr:cNvPr>
          <xdr:cNvSpPr>
            <a:spLocks/>
          </xdr:cNvSpPr>
        </xdr:nvSpPr>
        <xdr:spPr bwMode="auto">
          <a:xfrm>
            <a:off x="864" y="189"/>
            <a:ext cx="5" cy="7"/>
          </a:xfrm>
          <a:custGeom>
            <a:avLst/>
            <a:gdLst>
              <a:gd name="T0" fmla="*/ 0 w 282"/>
              <a:gd name="T1" fmla="*/ 422 h 422"/>
              <a:gd name="T2" fmla="*/ 0 w 282"/>
              <a:gd name="T3" fmla="*/ 0 h 422"/>
              <a:gd name="T4" fmla="*/ 282 w 282"/>
              <a:gd name="T5" fmla="*/ 0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82" h="422">
                <a:moveTo>
                  <a:pt x="0" y="422"/>
                </a:moveTo>
                <a:lnTo>
                  <a:pt x="0" y="0"/>
                </a:lnTo>
                <a:lnTo>
                  <a:pt x="282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6" name="Line 632">
            <a:extLst>
              <a:ext uri="{FF2B5EF4-FFF2-40B4-BE49-F238E27FC236}">
                <a16:creationId xmlns:a16="http://schemas.microsoft.com/office/drawing/2014/main" id="{2D458348-B7B3-4BE6-B491-5CC12026B9BA}"/>
              </a:ext>
            </a:extLst>
          </xdr:cNvPr>
          <xdr:cNvSpPr>
            <a:spLocks noChangeShapeType="1"/>
          </xdr:cNvSpPr>
        </xdr:nvSpPr>
        <xdr:spPr bwMode="auto">
          <a:xfrm>
            <a:off x="864" y="193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633">
            <a:extLst>
              <a:ext uri="{FF2B5EF4-FFF2-40B4-BE49-F238E27FC236}">
                <a16:creationId xmlns:a16="http://schemas.microsoft.com/office/drawing/2014/main" id="{983FEBBE-0C91-45DB-BB78-02D41B5D707D}"/>
              </a:ext>
            </a:extLst>
          </xdr:cNvPr>
          <xdr:cNvSpPr>
            <a:spLocks noChangeShapeType="1"/>
          </xdr:cNvSpPr>
        </xdr:nvSpPr>
        <xdr:spPr bwMode="auto">
          <a:xfrm>
            <a:off x="864" y="196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Freeform 634">
            <a:extLst>
              <a:ext uri="{FF2B5EF4-FFF2-40B4-BE49-F238E27FC236}">
                <a16:creationId xmlns:a16="http://schemas.microsoft.com/office/drawing/2014/main" id="{2C1CFD8B-6D5E-4BC2-9844-845B69A99CC4}"/>
              </a:ext>
            </a:extLst>
          </xdr:cNvPr>
          <xdr:cNvSpPr>
            <a:spLocks/>
          </xdr:cNvSpPr>
        </xdr:nvSpPr>
        <xdr:spPr bwMode="auto">
          <a:xfrm>
            <a:off x="871" y="192"/>
            <a:ext cx="4" cy="7"/>
          </a:xfrm>
          <a:custGeom>
            <a:avLst/>
            <a:gdLst>
              <a:gd name="T0" fmla="*/ 0 w 211"/>
              <a:gd name="T1" fmla="*/ 351 h 421"/>
              <a:gd name="T2" fmla="*/ 70 w 211"/>
              <a:gd name="T3" fmla="*/ 421 h 421"/>
              <a:gd name="T4" fmla="*/ 141 w 211"/>
              <a:gd name="T5" fmla="*/ 421 h 421"/>
              <a:gd name="T6" fmla="*/ 211 w 211"/>
              <a:gd name="T7" fmla="*/ 351 h 421"/>
              <a:gd name="T8" fmla="*/ 211 w 211"/>
              <a:gd name="T9" fmla="*/ 0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11" h="421">
                <a:moveTo>
                  <a:pt x="0" y="351"/>
                </a:moveTo>
                <a:lnTo>
                  <a:pt x="70" y="421"/>
                </a:lnTo>
                <a:lnTo>
                  <a:pt x="141" y="421"/>
                </a:lnTo>
                <a:lnTo>
                  <a:pt x="211" y="351"/>
                </a:lnTo>
                <a:lnTo>
                  <a:pt x="211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9" name="Line 635">
            <a:extLst>
              <a:ext uri="{FF2B5EF4-FFF2-40B4-BE49-F238E27FC236}">
                <a16:creationId xmlns:a16="http://schemas.microsoft.com/office/drawing/2014/main" id="{59334DAE-FC97-4573-9B2F-F4C07F42A054}"/>
              </a:ext>
            </a:extLst>
          </xdr:cNvPr>
          <xdr:cNvSpPr>
            <a:spLocks noChangeShapeType="1"/>
          </xdr:cNvSpPr>
        </xdr:nvSpPr>
        <xdr:spPr bwMode="auto">
          <a:xfrm flipV="1">
            <a:off x="875" y="189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Freeform 636">
            <a:extLst>
              <a:ext uri="{FF2B5EF4-FFF2-40B4-BE49-F238E27FC236}">
                <a16:creationId xmlns:a16="http://schemas.microsoft.com/office/drawing/2014/main" id="{C7CF3B76-2CE3-4B04-B357-412A45520471}"/>
              </a:ext>
            </a:extLst>
          </xdr:cNvPr>
          <xdr:cNvSpPr>
            <a:spLocks/>
          </xdr:cNvSpPr>
        </xdr:nvSpPr>
        <xdr:spPr bwMode="auto">
          <a:xfrm>
            <a:off x="877" y="192"/>
            <a:ext cx="5" cy="4"/>
          </a:xfrm>
          <a:custGeom>
            <a:avLst/>
            <a:gdLst>
              <a:gd name="T0" fmla="*/ 0 w 281"/>
              <a:gd name="T1" fmla="*/ 140 h 281"/>
              <a:gd name="T2" fmla="*/ 210 w 281"/>
              <a:gd name="T3" fmla="*/ 140 h 281"/>
              <a:gd name="T4" fmla="*/ 281 w 281"/>
              <a:gd name="T5" fmla="*/ 70 h 281"/>
              <a:gd name="T6" fmla="*/ 210 w 281"/>
              <a:gd name="T7" fmla="*/ 0 h 281"/>
              <a:gd name="T8" fmla="*/ 70 w 281"/>
              <a:gd name="T9" fmla="*/ 0 h 281"/>
              <a:gd name="T10" fmla="*/ 0 w 281"/>
              <a:gd name="T11" fmla="*/ 70 h 281"/>
              <a:gd name="T12" fmla="*/ 0 w 281"/>
              <a:gd name="T13" fmla="*/ 210 h 281"/>
              <a:gd name="T14" fmla="*/ 70 w 281"/>
              <a:gd name="T15" fmla="*/ 281 h 281"/>
              <a:gd name="T16" fmla="*/ 210 w 28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210" y="140"/>
                </a:lnTo>
                <a:lnTo>
                  <a:pt x="281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1"/>
                </a:lnTo>
                <a:lnTo>
                  <a:pt x="210" y="28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</xdr:col>
      <xdr:colOff>236604</xdr:colOff>
      <xdr:row>11</xdr:row>
      <xdr:rowOff>109497</xdr:rowOff>
    </xdr:from>
    <xdr:to>
      <xdr:col>2</xdr:col>
      <xdr:colOff>236606</xdr:colOff>
      <xdr:row>14</xdr:row>
      <xdr:rowOff>144876</xdr:rowOff>
    </xdr:to>
    <xdr:cxnSp macro="">
      <xdr:nvCxnSpPr>
        <xdr:cNvPr id="541" name="Conector recto de flecha 540">
          <a:extLst>
            <a:ext uri="{FF2B5EF4-FFF2-40B4-BE49-F238E27FC236}">
              <a16:creationId xmlns:a16="http://schemas.microsoft.com/office/drawing/2014/main" id="{78916938-99D7-404D-AB33-92F28804C8BF}"/>
            </a:ext>
          </a:extLst>
        </xdr:cNvPr>
        <xdr:cNvCxnSpPr/>
      </xdr:nvCxnSpPr>
      <xdr:spPr>
        <a:xfrm>
          <a:off x="2446404" y="2224047"/>
          <a:ext cx="2" cy="7307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</xdr:colOff>
      <xdr:row>11</xdr:row>
      <xdr:rowOff>108857</xdr:rowOff>
    </xdr:from>
    <xdr:to>
      <xdr:col>2</xdr:col>
      <xdr:colOff>228600</xdr:colOff>
      <xdr:row>11</xdr:row>
      <xdr:rowOff>108857</xdr:rowOff>
    </xdr:to>
    <xdr:cxnSp macro="">
      <xdr:nvCxnSpPr>
        <xdr:cNvPr id="542" name="Conector recto de flecha 541">
          <a:extLst>
            <a:ext uri="{FF2B5EF4-FFF2-40B4-BE49-F238E27FC236}">
              <a16:creationId xmlns:a16="http://schemas.microsoft.com/office/drawing/2014/main" id="{20F37CEA-C57D-4BDE-8DCB-E221489A617C}"/>
            </a:ext>
          </a:extLst>
        </xdr:cNvPr>
        <xdr:cNvCxnSpPr/>
      </xdr:nvCxnSpPr>
      <xdr:spPr>
        <a:xfrm flipH="1">
          <a:off x="2231571" y="2223407"/>
          <a:ext cx="2068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621907</xdr:colOff>
      <xdr:row>39</xdr:row>
      <xdr:rowOff>11350</xdr:rowOff>
    </xdr:from>
    <xdr:to>
      <xdr:col>7</xdr:col>
      <xdr:colOff>565367</xdr:colOff>
      <xdr:row>57</xdr:row>
      <xdr:rowOff>180078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id="{6CC8690E-B0CD-454F-A4CB-C714E349A0FB}"/>
            </a:ext>
          </a:extLst>
        </xdr:cNvPr>
        <xdr:cNvGrpSpPr>
          <a:grpSpLocks noChangeAspect="1"/>
        </xdr:cNvGrpSpPr>
      </xdr:nvGrpSpPr>
      <xdr:grpSpPr bwMode="auto">
        <a:xfrm>
          <a:off x="621907" y="7483615"/>
          <a:ext cx="6910317" cy="3527749"/>
          <a:chOff x="753" y="57"/>
          <a:chExt cx="550" cy="299"/>
        </a:xfrm>
      </xdr:grpSpPr>
      <xdr:sp macro="" textlink="">
        <xdr:nvSpPr>
          <xdr:cNvPr id="3" name="AutoShape 50">
            <a:extLst>
              <a:ext uri="{FF2B5EF4-FFF2-40B4-BE49-F238E27FC236}">
                <a16:creationId xmlns:a16="http://schemas.microsoft.com/office/drawing/2014/main" id="{029AE081-6BE0-4F0E-9C42-70E8E98E95DC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753" y="57"/>
            <a:ext cx="550" cy="2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grpSp>
        <xdr:nvGrpSpPr>
          <xdr:cNvPr id="4" name="Group 252">
            <a:extLst>
              <a:ext uri="{FF2B5EF4-FFF2-40B4-BE49-F238E27FC236}">
                <a16:creationId xmlns:a16="http://schemas.microsoft.com/office/drawing/2014/main" id="{85C0B31A-D237-450E-B92D-093041A69BCC}"/>
              </a:ext>
            </a:extLst>
          </xdr:cNvPr>
          <xdr:cNvGrpSpPr>
            <a:grpSpLocks/>
          </xdr:cNvGrpSpPr>
        </xdr:nvGrpSpPr>
        <xdr:grpSpPr bwMode="auto">
          <a:xfrm>
            <a:off x="821" y="106"/>
            <a:ext cx="402" cy="191"/>
            <a:chOff x="821" y="106"/>
            <a:chExt cx="402" cy="191"/>
          </a:xfrm>
        </xdr:grpSpPr>
        <xdr:sp macro="" textlink="">
          <xdr:nvSpPr>
            <xdr:cNvPr id="341" name="Line 52">
              <a:extLst>
                <a:ext uri="{FF2B5EF4-FFF2-40B4-BE49-F238E27FC236}">
                  <a16:creationId xmlns:a16="http://schemas.microsoft.com/office/drawing/2014/main" id="{D7E639AD-8D57-48CA-9244-A89923D56DB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23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2" name="Line 53">
              <a:extLst>
                <a:ext uri="{FF2B5EF4-FFF2-40B4-BE49-F238E27FC236}">
                  <a16:creationId xmlns:a16="http://schemas.microsoft.com/office/drawing/2014/main" id="{4C658E88-89FC-4493-A248-FD37768B046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32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3" name="Line 54">
              <a:extLst>
                <a:ext uri="{FF2B5EF4-FFF2-40B4-BE49-F238E27FC236}">
                  <a16:creationId xmlns:a16="http://schemas.microsoft.com/office/drawing/2014/main" id="{AA1FB5DD-E9F4-4F64-9D74-77278C209FA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0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4" name="Line 55">
              <a:extLst>
                <a:ext uri="{FF2B5EF4-FFF2-40B4-BE49-F238E27FC236}">
                  <a16:creationId xmlns:a16="http://schemas.microsoft.com/office/drawing/2014/main" id="{8CFE1520-8AF7-49B3-BE50-B3CBA4623C1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9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5" name="Line 56">
              <a:extLst>
                <a:ext uri="{FF2B5EF4-FFF2-40B4-BE49-F238E27FC236}">
                  <a16:creationId xmlns:a16="http://schemas.microsoft.com/office/drawing/2014/main" id="{799D58D9-CE2D-42BF-8B38-369BB90F3AD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57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6" name="Line 57">
              <a:extLst>
                <a:ext uri="{FF2B5EF4-FFF2-40B4-BE49-F238E27FC236}">
                  <a16:creationId xmlns:a16="http://schemas.microsoft.com/office/drawing/2014/main" id="{A3761EDE-CCDC-46EA-A071-A1F7B2F6EA9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66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7" name="Line 58">
              <a:extLst>
                <a:ext uri="{FF2B5EF4-FFF2-40B4-BE49-F238E27FC236}">
                  <a16:creationId xmlns:a16="http://schemas.microsoft.com/office/drawing/2014/main" id="{B20AD299-0C99-472D-8D63-6FF35105B52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74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8" name="Line 59">
              <a:extLst>
                <a:ext uri="{FF2B5EF4-FFF2-40B4-BE49-F238E27FC236}">
                  <a16:creationId xmlns:a16="http://schemas.microsoft.com/office/drawing/2014/main" id="{36013F45-CECC-4D71-B56A-80DD8A60917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83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9" name="Line 60">
              <a:extLst>
                <a:ext uri="{FF2B5EF4-FFF2-40B4-BE49-F238E27FC236}">
                  <a16:creationId xmlns:a16="http://schemas.microsoft.com/office/drawing/2014/main" id="{69E35FD7-CDC1-404F-992E-F86BF8B9457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91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0" name="Line 61">
              <a:extLst>
                <a:ext uri="{FF2B5EF4-FFF2-40B4-BE49-F238E27FC236}">
                  <a16:creationId xmlns:a16="http://schemas.microsoft.com/office/drawing/2014/main" id="{D196771B-68E2-42C7-8A10-5FBF5C289BD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0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1" name="Line 62">
              <a:extLst>
                <a:ext uri="{FF2B5EF4-FFF2-40B4-BE49-F238E27FC236}">
                  <a16:creationId xmlns:a16="http://schemas.microsoft.com/office/drawing/2014/main" id="{F48FFC0B-224F-4E88-B3D2-C01BA2DA258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8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2" name="Line 63">
              <a:extLst>
                <a:ext uri="{FF2B5EF4-FFF2-40B4-BE49-F238E27FC236}">
                  <a16:creationId xmlns:a16="http://schemas.microsoft.com/office/drawing/2014/main" id="{38C3A85A-E94F-41B1-972A-4228F0D55E9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17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3" name="Line 64">
              <a:extLst>
                <a:ext uri="{FF2B5EF4-FFF2-40B4-BE49-F238E27FC236}">
                  <a16:creationId xmlns:a16="http://schemas.microsoft.com/office/drawing/2014/main" id="{1B4E64B8-E227-43EE-A786-4FB7A86A62B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25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4" name="Line 65">
              <a:extLst>
                <a:ext uri="{FF2B5EF4-FFF2-40B4-BE49-F238E27FC236}">
                  <a16:creationId xmlns:a16="http://schemas.microsoft.com/office/drawing/2014/main" id="{4AF96C07-0615-4750-AEBA-0646C7D1099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34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5" name="Line 66">
              <a:extLst>
                <a:ext uri="{FF2B5EF4-FFF2-40B4-BE49-F238E27FC236}">
                  <a16:creationId xmlns:a16="http://schemas.microsoft.com/office/drawing/2014/main" id="{61E1F172-D83C-4C12-82B8-AD15201D820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42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6" name="Line 67">
              <a:extLst>
                <a:ext uri="{FF2B5EF4-FFF2-40B4-BE49-F238E27FC236}">
                  <a16:creationId xmlns:a16="http://schemas.microsoft.com/office/drawing/2014/main" id="{52D6A1DB-2D6D-4C86-960C-6FC5EC82EB1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1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7" name="Line 68">
              <a:extLst>
                <a:ext uri="{FF2B5EF4-FFF2-40B4-BE49-F238E27FC236}">
                  <a16:creationId xmlns:a16="http://schemas.microsoft.com/office/drawing/2014/main" id="{1F03E654-5BC3-45B1-8A8F-4650BA87F81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9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8" name="Line 69">
              <a:extLst>
                <a:ext uri="{FF2B5EF4-FFF2-40B4-BE49-F238E27FC236}">
                  <a16:creationId xmlns:a16="http://schemas.microsoft.com/office/drawing/2014/main" id="{1D0D1916-CDFF-429B-8A9D-8883574F95F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68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9" name="Line 70">
              <a:extLst>
                <a:ext uri="{FF2B5EF4-FFF2-40B4-BE49-F238E27FC236}">
                  <a16:creationId xmlns:a16="http://schemas.microsoft.com/office/drawing/2014/main" id="{14BFF702-017D-4EA5-94C7-370885D2DCB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76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0" name="Line 71">
              <a:extLst>
                <a:ext uri="{FF2B5EF4-FFF2-40B4-BE49-F238E27FC236}">
                  <a16:creationId xmlns:a16="http://schemas.microsoft.com/office/drawing/2014/main" id="{7076BCDD-EEE0-4E78-ABEA-B55E5B85538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5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1" name="Line 72">
              <a:extLst>
                <a:ext uri="{FF2B5EF4-FFF2-40B4-BE49-F238E27FC236}">
                  <a16:creationId xmlns:a16="http://schemas.microsoft.com/office/drawing/2014/main" id="{8A1FE729-63AD-4010-B3AB-CE846A2C44E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8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2" name="Line 73">
              <a:extLst>
                <a:ext uri="{FF2B5EF4-FFF2-40B4-BE49-F238E27FC236}">
                  <a16:creationId xmlns:a16="http://schemas.microsoft.com/office/drawing/2014/main" id="{E3963FC9-E10C-4C8D-BC36-F7964DECDDF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3" name="Line 74">
              <a:extLst>
                <a:ext uri="{FF2B5EF4-FFF2-40B4-BE49-F238E27FC236}">
                  <a16:creationId xmlns:a16="http://schemas.microsoft.com/office/drawing/2014/main" id="{90A41136-2B9A-446B-8579-60C43C95E64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8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4" name="Line 75">
              <a:extLst>
                <a:ext uri="{FF2B5EF4-FFF2-40B4-BE49-F238E27FC236}">
                  <a16:creationId xmlns:a16="http://schemas.microsoft.com/office/drawing/2014/main" id="{49160CAA-B7A1-4CAB-A4AD-59BB449701F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7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5" name="Line 76">
              <a:extLst>
                <a:ext uri="{FF2B5EF4-FFF2-40B4-BE49-F238E27FC236}">
                  <a16:creationId xmlns:a16="http://schemas.microsoft.com/office/drawing/2014/main" id="{745DDEAE-5C74-437B-ACC1-CA1850F054F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6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6" name="Line 77">
              <a:extLst>
                <a:ext uri="{FF2B5EF4-FFF2-40B4-BE49-F238E27FC236}">
                  <a16:creationId xmlns:a16="http://schemas.microsoft.com/office/drawing/2014/main" id="{A5A620DE-DD0C-4652-B6EB-9C2D168FB7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5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7" name="Line 78">
              <a:extLst>
                <a:ext uri="{FF2B5EF4-FFF2-40B4-BE49-F238E27FC236}">
                  <a16:creationId xmlns:a16="http://schemas.microsoft.com/office/drawing/2014/main" id="{C361FD93-5220-42E5-A124-55E41F93780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47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8" name="Line 79">
              <a:extLst>
                <a:ext uri="{FF2B5EF4-FFF2-40B4-BE49-F238E27FC236}">
                  <a16:creationId xmlns:a16="http://schemas.microsoft.com/office/drawing/2014/main" id="{B4F43F72-FF68-453A-80F0-7892073B5FB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9" name="Line 80">
              <a:extLst>
                <a:ext uri="{FF2B5EF4-FFF2-40B4-BE49-F238E27FC236}">
                  <a16:creationId xmlns:a16="http://schemas.microsoft.com/office/drawing/2014/main" id="{77C02A07-667B-4426-90CB-F241B2523C6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0" name="Line 81">
              <a:extLst>
                <a:ext uri="{FF2B5EF4-FFF2-40B4-BE49-F238E27FC236}">
                  <a16:creationId xmlns:a16="http://schemas.microsoft.com/office/drawing/2014/main" id="{7D76EAEC-E761-43F2-8036-2A70814F50E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2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1" name="Line 82">
              <a:extLst>
                <a:ext uri="{FF2B5EF4-FFF2-40B4-BE49-F238E27FC236}">
                  <a16:creationId xmlns:a16="http://schemas.microsoft.com/office/drawing/2014/main" id="{8FB49366-1046-463C-AAF6-AFE2D762E85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1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2" name="Line 83">
              <a:extLst>
                <a:ext uri="{FF2B5EF4-FFF2-40B4-BE49-F238E27FC236}">
                  <a16:creationId xmlns:a16="http://schemas.microsoft.com/office/drawing/2014/main" id="{85DC0A09-3871-4A67-AA9A-D44890BC538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3" name="Freeform 84">
              <a:extLst>
                <a:ext uri="{FF2B5EF4-FFF2-40B4-BE49-F238E27FC236}">
                  <a16:creationId xmlns:a16="http://schemas.microsoft.com/office/drawing/2014/main" id="{3B18A617-7A6F-41CE-B2EA-E6143DDA1806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105 h 105"/>
                <a:gd name="T2" fmla="*/ 1979 w 1979"/>
                <a:gd name="T3" fmla="*/ 0 h 105"/>
                <a:gd name="T4" fmla="*/ 0 w 1979"/>
                <a:gd name="T5" fmla="*/ 105 h 105"/>
                <a:gd name="T6" fmla="*/ 1979 w 197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105"/>
                  </a:moveTo>
                  <a:lnTo>
                    <a:pt x="1979" y="0"/>
                  </a:lnTo>
                  <a:lnTo>
                    <a:pt x="0" y="105"/>
                  </a:lnTo>
                  <a:lnTo>
                    <a:pt x="1979" y="10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4" name="Freeform 85">
              <a:extLst>
                <a:ext uri="{FF2B5EF4-FFF2-40B4-BE49-F238E27FC236}">
                  <a16:creationId xmlns:a16="http://schemas.microsoft.com/office/drawing/2014/main" id="{20C10C78-A623-4931-8591-FBB3A7E5198B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0 h 105"/>
                <a:gd name="T2" fmla="*/ 0 w 1979"/>
                <a:gd name="T3" fmla="*/ 105 h 105"/>
                <a:gd name="T4" fmla="*/ 18 w 1979"/>
                <a:gd name="T5" fmla="*/ 0 h 105"/>
                <a:gd name="T6" fmla="*/ 1979 w 1979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0"/>
                  </a:moveTo>
                  <a:lnTo>
                    <a:pt x="0" y="105"/>
                  </a:lnTo>
                  <a:lnTo>
                    <a:pt x="18" y="0"/>
                  </a:lnTo>
                  <a:lnTo>
                    <a:pt x="197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5" name="Freeform 86">
              <a:extLst>
                <a:ext uri="{FF2B5EF4-FFF2-40B4-BE49-F238E27FC236}">
                  <a16:creationId xmlns:a16="http://schemas.microsoft.com/office/drawing/2014/main" id="{A5C69DFB-7A72-47B4-A6DC-4ECDB6FAAF6A}"/>
                </a:ext>
              </a:extLst>
            </xdr:cNvPr>
            <xdr:cNvSpPr>
              <a:spLocks/>
            </xdr:cNvSpPr>
          </xdr:nvSpPr>
          <xdr:spPr bwMode="auto">
            <a:xfrm>
              <a:off x="1028" y="238"/>
              <a:ext cx="162" cy="59"/>
            </a:xfrm>
            <a:custGeom>
              <a:avLst/>
              <a:gdLst>
                <a:gd name="T0" fmla="*/ 9523 w 9541"/>
                <a:gd name="T1" fmla="*/ 3477 h 3477"/>
                <a:gd name="T2" fmla="*/ 9541 w 9541"/>
                <a:gd name="T3" fmla="*/ 3372 h 3477"/>
                <a:gd name="T4" fmla="*/ 0 w 9541"/>
                <a:gd name="T5" fmla="*/ 0 h 3477"/>
                <a:gd name="T6" fmla="*/ 9523 w 9541"/>
                <a:gd name="T7" fmla="*/ 3477 h 34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7">
                  <a:moveTo>
                    <a:pt x="9523" y="3477"/>
                  </a:moveTo>
                  <a:lnTo>
                    <a:pt x="9541" y="3372"/>
                  </a:lnTo>
                  <a:lnTo>
                    <a:pt x="0" y="0"/>
                  </a:lnTo>
                  <a:lnTo>
                    <a:pt x="9523" y="347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6" name="Freeform 87">
              <a:extLst>
                <a:ext uri="{FF2B5EF4-FFF2-40B4-BE49-F238E27FC236}">
                  <a16:creationId xmlns:a16="http://schemas.microsoft.com/office/drawing/2014/main" id="{57725807-9C8B-4B66-99D1-4E915E0E2500}"/>
                </a:ext>
              </a:extLst>
            </xdr:cNvPr>
            <xdr:cNvSpPr>
              <a:spLocks/>
            </xdr:cNvSpPr>
          </xdr:nvSpPr>
          <xdr:spPr bwMode="auto">
            <a:xfrm>
              <a:off x="1028" y="237"/>
              <a:ext cx="162" cy="59"/>
            </a:xfrm>
            <a:custGeom>
              <a:avLst/>
              <a:gdLst>
                <a:gd name="T0" fmla="*/ 9541 w 9541"/>
                <a:gd name="T1" fmla="*/ 3478 h 3478"/>
                <a:gd name="T2" fmla="*/ 0 w 9541"/>
                <a:gd name="T3" fmla="*/ 106 h 3478"/>
                <a:gd name="T4" fmla="*/ 18 w 9541"/>
                <a:gd name="T5" fmla="*/ 0 h 3478"/>
                <a:gd name="T6" fmla="*/ 9541 w 9541"/>
                <a:gd name="T7" fmla="*/ 3478 h 34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8">
                  <a:moveTo>
                    <a:pt x="9541" y="3478"/>
                  </a:moveTo>
                  <a:lnTo>
                    <a:pt x="0" y="106"/>
                  </a:lnTo>
                  <a:lnTo>
                    <a:pt x="18" y="0"/>
                  </a:lnTo>
                  <a:lnTo>
                    <a:pt x="9541" y="3478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7" name="Freeform 88">
              <a:extLst>
                <a:ext uri="{FF2B5EF4-FFF2-40B4-BE49-F238E27FC236}">
                  <a16:creationId xmlns:a16="http://schemas.microsoft.com/office/drawing/2014/main" id="{3D06077A-FA08-4E1B-B0FC-CD78D1001787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35 w 11553"/>
                <a:gd name="T1" fmla="*/ 106 h 106"/>
                <a:gd name="T2" fmla="*/ 11553 w 11553"/>
                <a:gd name="T3" fmla="*/ 0 h 106"/>
                <a:gd name="T4" fmla="*/ 0 w 11553"/>
                <a:gd name="T5" fmla="*/ 106 h 106"/>
                <a:gd name="T6" fmla="*/ 11535 w 11553"/>
                <a:gd name="T7" fmla="*/ 106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35" y="106"/>
                  </a:moveTo>
                  <a:lnTo>
                    <a:pt x="11553" y="0"/>
                  </a:lnTo>
                  <a:lnTo>
                    <a:pt x="0" y="106"/>
                  </a:lnTo>
                  <a:lnTo>
                    <a:pt x="11535" y="10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8" name="Freeform 89">
              <a:extLst>
                <a:ext uri="{FF2B5EF4-FFF2-40B4-BE49-F238E27FC236}">
                  <a16:creationId xmlns:a16="http://schemas.microsoft.com/office/drawing/2014/main" id="{1DF38022-CEE1-42A5-96C8-EF9A0DB0D0D7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53 w 11553"/>
                <a:gd name="T1" fmla="*/ 0 h 106"/>
                <a:gd name="T2" fmla="*/ 0 w 11553"/>
                <a:gd name="T3" fmla="*/ 106 h 106"/>
                <a:gd name="T4" fmla="*/ 0 w 11553"/>
                <a:gd name="T5" fmla="*/ 0 h 106"/>
                <a:gd name="T6" fmla="*/ 11553 w 115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53" y="0"/>
                  </a:moveTo>
                  <a:lnTo>
                    <a:pt x="0" y="106"/>
                  </a:lnTo>
                  <a:lnTo>
                    <a:pt x="0" y="0"/>
                  </a:lnTo>
                  <a:lnTo>
                    <a:pt x="1155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9" name="Freeform 90">
              <a:extLst>
                <a:ext uri="{FF2B5EF4-FFF2-40B4-BE49-F238E27FC236}">
                  <a16:creationId xmlns:a16="http://schemas.microsoft.com/office/drawing/2014/main" id="{3DE9F345-83CB-434C-B698-D78A2A74BEC2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76"/>
                <a:gd name="T1" fmla="*/ 7696 h 7794"/>
                <a:gd name="T2" fmla="*/ 36 w 21076"/>
                <a:gd name="T3" fmla="*/ 7794 h 7794"/>
                <a:gd name="T4" fmla="*/ 21076 w 21076"/>
                <a:gd name="T5" fmla="*/ 0 h 7794"/>
                <a:gd name="T6" fmla="*/ 0 w 21076"/>
                <a:gd name="T7" fmla="*/ 7696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76" h="7794">
                  <a:moveTo>
                    <a:pt x="0" y="7696"/>
                  </a:moveTo>
                  <a:lnTo>
                    <a:pt x="36" y="7794"/>
                  </a:lnTo>
                  <a:lnTo>
                    <a:pt x="21076" y="0"/>
                  </a:lnTo>
                  <a:lnTo>
                    <a:pt x="0" y="769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0" name="Freeform 91">
              <a:extLst>
                <a:ext uri="{FF2B5EF4-FFF2-40B4-BE49-F238E27FC236}">
                  <a16:creationId xmlns:a16="http://schemas.microsoft.com/office/drawing/2014/main" id="{22078FB6-83BB-403A-9B8A-A1AC7F328049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58"/>
                <a:gd name="T1" fmla="*/ 7794 h 7794"/>
                <a:gd name="T2" fmla="*/ 21040 w 21058"/>
                <a:gd name="T3" fmla="*/ 0 h 7794"/>
                <a:gd name="T4" fmla="*/ 21058 w 21058"/>
                <a:gd name="T5" fmla="*/ 107 h 7794"/>
                <a:gd name="T6" fmla="*/ 0 w 21058"/>
                <a:gd name="T7" fmla="*/ 7794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58" h="7794">
                  <a:moveTo>
                    <a:pt x="0" y="7794"/>
                  </a:moveTo>
                  <a:lnTo>
                    <a:pt x="21040" y="0"/>
                  </a:lnTo>
                  <a:lnTo>
                    <a:pt x="21058" y="107"/>
                  </a:lnTo>
                  <a:lnTo>
                    <a:pt x="0" y="779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1" name="Freeform 92">
              <a:extLst>
                <a:ext uri="{FF2B5EF4-FFF2-40B4-BE49-F238E27FC236}">
                  <a16:creationId xmlns:a16="http://schemas.microsoft.com/office/drawing/2014/main" id="{EDBB0035-064F-48F9-92E7-5441F6EFBC4C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79"/>
                <a:gd name="T1" fmla="*/ 0 h 107"/>
                <a:gd name="T2" fmla="*/ 18 w 1979"/>
                <a:gd name="T3" fmla="*/ 107 h 107"/>
                <a:gd name="T4" fmla="*/ 1979 w 1979"/>
                <a:gd name="T5" fmla="*/ 0 h 107"/>
                <a:gd name="T6" fmla="*/ 0 w 1979"/>
                <a:gd name="T7" fmla="*/ 0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7">
                  <a:moveTo>
                    <a:pt x="0" y="0"/>
                  </a:moveTo>
                  <a:lnTo>
                    <a:pt x="18" y="107"/>
                  </a:lnTo>
                  <a:lnTo>
                    <a:pt x="1979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2" name="Freeform 93">
              <a:extLst>
                <a:ext uri="{FF2B5EF4-FFF2-40B4-BE49-F238E27FC236}">
                  <a16:creationId xmlns:a16="http://schemas.microsoft.com/office/drawing/2014/main" id="{A7610010-186E-4910-A683-6CE66DA2889A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61"/>
                <a:gd name="T1" fmla="*/ 107 h 107"/>
                <a:gd name="T2" fmla="*/ 1961 w 1961"/>
                <a:gd name="T3" fmla="*/ 0 h 107"/>
                <a:gd name="T4" fmla="*/ 1961 w 1961"/>
                <a:gd name="T5" fmla="*/ 107 h 107"/>
                <a:gd name="T6" fmla="*/ 0 w 1961"/>
                <a:gd name="T7" fmla="*/ 107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61" h="107">
                  <a:moveTo>
                    <a:pt x="0" y="107"/>
                  </a:moveTo>
                  <a:lnTo>
                    <a:pt x="1961" y="0"/>
                  </a:lnTo>
                  <a:lnTo>
                    <a:pt x="1961" y="107"/>
                  </a:lnTo>
                  <a:lnTo>
                    <a:pt x="0" y="10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3" name="Line 94">
              <a:extLst>
                <a:ext uri="{FF2B5EF4-FFF2-40B4-BE49-F238E27FC236}">
                  <a16:creationId xmlns:a16="http://schemas.microsoft.com/office/drawing/2014/main" id="{193AA53B-8247-4D3D-832E-7FDD6FDB288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928" y="202"/>
              <a:ext cx="262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4" name="Line 95">
              <a:extLst>
                <a:ext uri="{FF2B5EF4-FFF2-40B4-BE49-F238E27FC236}">
                  <a16:creationId xmlns:a16="http://schemas.microsoft.com/office/drawing/2014/main" id="{9A16ACC4-7543-4C32-927A-19DCB953BB9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93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5" name="Line 96">
              <a:extLst>
                <a:ext uri="{FF2B5EF4-FFF2-40B4-BE49-F238E27FC236}">
                  <a16:creationId xmlns:a16="http://schemas.microsoft.com/office/drawing/2014/main" id="{DECFC70B-E783-4EC8-9EC7-BF04CF0CA08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8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6" name="Line 97">
              <a:extLst>
                <a:ext uri="{FF2B5EF4-FFF2-40B4-BE49-F238E27FC236}">
                  <a16:creationId xmlns:a16="http://schemas.microsoft.com/office/drawing/2014/main" id="{69C19A85-0BFB-4A2E-A440-2431857BB68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7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7" name="Line 98">
              <a:extLst>
                <a:ext uri="{FF2B5EF4-FFF2-40B4-BE49-F238E27FC236}">
                  <a16:creationId xmlns:a16="http://schemas.microsoft.com/office/drawing/2014/main" id="{A4D14B81-EB69-4449-9AEC-F9ED7A51BE4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6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8" name="Line 99">
              <a:extLst>
                <a:ext uri="{FF2B5EF4-FFF2-40B4-BE49-F238E27FC236}">
                  <a16:creationId xmlns:a16="http://schemas.microsoft.com/office/drawing/2014/main" id="{6FD40ABA-8403-4B53-AF08-7F79E683808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9" name="Line 100">
              <a:extLst>
                <a:ext uri="{FF2B5EF4-FFF2-40B4-BE49-F238E27FC236}">
                  <a16:creationId xmlns:a16="http://schemas.microsoft.com/office/drawing/2014/main" id="{3B1AFF31-6257-43D2-AF0C-CAAA1B502C4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0" name="Line 101">
              <a:extLst>
                <a:ext uri="{FF2B5EF4-FFF2-40B4-BE49-F238E27FC236}">
                  <a16:creationId xmlns:a16="http://schemas.microsoft.com/office/drawing/2014/main" id="{32A70A9F-EB30-433A-A0C1-596AB30ECE9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4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1" name="Line 102">
              <a:extLst>
                <a:ext uri="{FF2B5EF4-FFF2-40B4-BE49-F238E27FC236}">
                  <a16:creationId xmlns:a16="http://schemas.microsoft.com/office/drawing/2014/main" id="{1E76BA63-A5C9-4993-BE81-CFAF8843EA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3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2" name="Line 103">
              <a:extLst>
                <a:ext uri="{FF2B5EF4-FFF2-40B4-BE49-F238E27FC236}">
                  <a16:creationId xmlns:a16="http://schemas.microsoft.com/office/drawing/2014/main" id="{89739A43-736D-4A5D-8869-B6353DDA992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2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3" name="Line 104">
              <a:extLst>
                <a:ext uri="{FF2B5EF4-FFF2-40B4-BE49-F238E27FC236}">
                  <a16:creationId xmlns:a16="http://schemas.microsoft.com/office/drawing/2014/main" id="{DD11C33E-AA2B-4BA0-8CAF-B4F8B34C6FD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1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4" name="Line 105">
              <a:extLst>
                <a:ext uri="{FF2B5EF4-FFF2-40B4-BE49-F238E27FC236}">
                  <a16:creationId xmlns:a16="http://schemas.microsoft.com/office/drawing/2014/main" id="{18D9E646-FAD2-4AA2-B3CB-A35BBCE4E09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5" name="Line 106">
              <a:extLst>
                <a:ext uri="{FF2B5EF4-FFF2-40B4-BE49-F238E27FC236}">
                  <a16:creationId xmlns:a16="http://schemas.microsoft.com/office/drawing/2014/main" id="{F2F2926A-88E8-4427-88A3-2615595B100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2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6" name="Line 107">
              <a:extLst>
                <a:ext uri="{FF2B5EF4-FFF2-40B4-BE49-F238E27FC236}">
                  <a16:creationId xmlns:a16="http://schemas.microsoft.com/office/drawing/2014/main" id="{45D07AA8-EB50-4A43-A99A-6429840E6C5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7" name="Line 108">
              <a:extLst>
                <a:ext uri="{FF2B5EF4-FFF2-40B4-BE49-F238E27FC236}">
                  <a16:creationId xmlns:a16="http://schemas.microsoft.com/office/drawing/2014/main" id="{DDCA2357-5B31-4414-BCE0-41040D0F901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8" name="Line 109">
              <a:extLst>
                <a:ext uri="{FF2B5EF4-FFF2-40B4-BE49-F238E27FC236}">
                  <a16:creationId xmlns:a16="http://schemas.microsoft.com/office/drawing/2014/main" id="{7F30D79D-47A4-4347-A40F-772F4AE8E29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9" name="Line 110">
              <a:extLst>
                <a:ext uri="{FF2B5EF4-FFF2-40B4-BE49-F238E27FC236}">
                  <a16:creationId xmlns:a16="http://schemas.microsoft.com/office/drawing/2014/main" id="{2CFAA13A-ABB9-4EE0-A2F6-98191BE9FE5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0" name="Line 111">
              <a:extLst>
                <a:ext uri="{FF2B5EF4-FFF2-40B4-BE49-F238E27FC236}">
                  <a16:creationId xmlns:a16="http://schemas.microsoft.com/office/drawing/2014/main" id="{866F892A-3F46-4DD5-BB37-0D447ADDFD1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1" name="Line 112">
              <a:extLst>
                <a:ext uri="{FF2B5EF4-FFF2-40B4-BE49-F238E27FC236}">
                  <a16:creationId xmlns:a16="http://schemas.microsoft.com/office/drawing/2014/main" id="{2ABF47C5-C521-4A53-879A-9EE621960AA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2" name="Line 113">
              <a:extLst>
                <a:ext uri="{FF2B5EF4-FFF2-40B4-BE49-F238E27FC236}">
                  <a16:creationId xmlns:a16="http://schemas.microsoft.com/office/drawing/2014/main" id="{AF5B1757-EAE7-45BC-8B69-795818A0189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3" name="Line 114">
              <a:extLst>
                <a:ext uri="{FF2B5EF4-FFF2-40B4-BE49-F238E27FC236}">
                  <a16:creationId xmlns:a16="http://schemas.microsoft.com/office/drawing/2014/main" id="{95690196-73A1-4C57-AB47-683A6968B79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4" name="Line 115">
              <a:extLst>
                <a:ext uri="{FF2B5EF4-FFF2-40B4-BE49-F238E27FC236}">
                  <a16:creationId xmlns:a16="http://schemas.microsoft.com/office/drawing/2014/main" id="{EAA0BAE9-D283-44A0-BDC6-F6F7CD33A51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5" name="Line 116">
              <a:extLst>
                <a:ext uri="{FF2B5EF4-FFF2-40B4-BE49-F238E27FC236}">
                  <a16:creationId xmlns:a16="http://schemas.microsoft.com/office/drawing/2014/main" id="{60533631-13C2-4844-9591-B1194815AD9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6" name="Line 117">
              <a:extLst>
                <a:ext uri="{FF2B5EF4-FFF2-40B4-BE49-F238E27FC236}">
                  <a16:creationId xmlns:a16="http://schemas.microsoft.com/office/drawing/2014/main" id="{6E00F3B7-787E-498F-8D32-553B0B9A126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7" name="Line 118">
              <a:extLst>
                <a:ext uri="{FF2B5EF4-FFF2-40B4-BE49-F238E27FC236}">
                  <a16:creationId xmlns:a16="http://schemas.microsoft.com/office/drawing/2014/main" id="{E8BE39EE-3113-4A25-A56F-E5F234C60DF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8" name="Line 119">
              <a:extLst>
                <a:ext uri="{FF2B5EF4-FFF2-40B4-BE49-F238E27FC236}">
                  <a16:creationId xmlns:a16="http://schemas.microsoft.com/office/drawing/2014/main" id="{91EE5192-F0FE-4C5E-9527-01C1D084E1A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9" name="Line 120">
              <a:extLst>
                <a:ext uri="{FF2B5EF4-FFF2-40B4-BE49-F238E27FC236}">
                  <a16:creationId xmlns:a16="http://schemas.microsoft.com/office/drawing/2014/main" id="{DD214BDA-5FCD-4421-B6F5-3F2779B4274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0" name="Line 121">
              <a:extLst>
                <a:ext uri="{FF2B5EF4-FFF2-40B4-BE49-F238E27FC236}">
                  <a16:creationId xmlns:a16="http://schemas.microsoft.com/office/drawing/2014/main" id="{2E318E15-4042-4A64-BDCF-E54E04BB36E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1" name="Line 122">
              <a:extLst>
                <a:ext uri="{FF2B5EF4-FFF2-40B4-BE49-F238E27FC236}">
                  <a16:creationId xmlns:a16="http://schemas.microsoft.com/office/drawing/2014/main" id="{5331C6E8-AC85-483E-9A6E-FC546D33C0F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2" name="Line 123">
              <a:extLst>
                <a:ext uri="{FF2B5EF4-FFF2-40B4-BE49-F238E27FC236}">
                  <a16:creationId xmlns:a16="http://schemas.microsoft.com/office/drawing/2014/main" id="{2177C468-D6CF-4A92-9487-EB038F591FA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3" name="Line 124">
              <a:extLst>
                <a:ext uri="{FF2B5EF4-FFF2-40B4-BE49-F238E27FC236}">
                  <a16:creationId xmlns:a16="http://schemas.microsoft.com/office/drawing/2014/main" id="{24BC2C9C-7CEE-4384-89D7-CF542062F7E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4" name="Line 125">
              <a:extLst>
                <a:ext uri="{FF2B5EF4-FFF2-40B4-BE49-F238E27FC236}">
                  <a16:creationId xmlns:a16="http://schemas.microsoft.com/office/drawing/2014/main" id="{4538CFF0-BCDC-4272-BC54-0CB18B7073D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5" name="Line 126">
              <a:extLst>
                <a:ext uri="{FF2B5EF4-FFF2-40B4-BE49-F238E27FC236}">
                  <a16:creationId xmlns:a16="http://schemas.microsoft.com/office/drawing/2014/main" id="{11A74938-6496-48BB-B07E-AE16CB0C40B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6" name="Line 127">
              <a:extLst>
                <a:ext uri="{FF2B5EF4-FFF2-40B4-BE49-F238E27FC236}">
                  <a16:creationId xmlns:a16="http://schemas.microsoft.com/office/drawing/2014/main" id="{C24830B0-DD8F-40BB-807C-73405BC6BB8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7" name="Line 128">
              <a:extLst>
                <a:ext uri="{FF2B5EF4-FFF2-40B4-BE49-F238E27FC236}">
                  <a16:creationId xmlns:a16="http://schemas.microsoft.com/office/drawing/2014/main" id="{263B1EDA-DC73-438A-AC16-2AF8BE399F8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8" name="Line 129">
              <a:extLst>
                <a:ext uri="{FF2B5EF4-FFF2-40B4-BE49-F238E27FC236}">
                  <a16:creationId xmlns:a16="http://schemas.microsoft.com/office/drawing/2014/main" id="{CF587ABE-A284-434C-AB23-08FD239B45F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9" name="Line 130">
              <a:extLst>
                <a:ext uri="{FF2B5EF4-FFF2-40B4-BE49-F238E27FC236}">
                  <a16:creationId xmlns:a16="http://schemas.microsoft.com/office/drawing/2014/main" id="{36A245F7-E6C9-44D2-8A5A-00FBF3460E2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0" name="Line 131">
              <a:extLst>
                <a:ext uri="{FF2B5EF4-FFF2-40B4-BE49-F238E27FC236}">
                  <a16:creationId xmlns:a16="http://schemas.microsoft.com/office/drawing/2014/main" id="{90764951-EEEE-419F-8518-F66940CE824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1" name="Line 132">
              <a:extLst>
                <a:ext uri="{FF2B5EF4-FFF2-40B4-BE49-F238E27FC236}">
                  <a16:creationId xmlns:a16="http://schemas.microsoft.com/office/drawing/2014/main" id="{2005324F-5F9A-4535-BA43-E3D05F4A50E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2" name="Line 133">
              <a:extLst>
                <a:ext uri="{FF2B5EF4-FFF2-40B4-BE49-F238E27FC236}">
                  <a16:creationId xmlns:a16="http://schemas.microsoft.com/office/drawing/2014/main" id="{5324F17F-07CC-49EE-A961-E7688B2F3DE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3" name="Line 134">
              <a:extLst>
                <a:ext uri="{FF2B5EF4-FFF2-40B4-BE49-F238E27FC236}">
                  <a16:creationId xmlns:a16="http://schemas.microsoft.com/office/drawing/2014/main" id="{B5C6ED4D-6447-494A-95CE-FA1886C2DCD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4" name="Line 135">
              <a:extLst>
                <a:ext uri="{FF2B5EF4-FFF2-40B4-BE49-F238E27FC236}">
                  <a16:creationId xmlns:a16="http://schemas.microsoft.com/office/drawing/2014/main" id="{64F48D0D-24AC-4649-AEA0-A77F1144043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5" name="Line 136">
              <a:extLst>
                <a:ext uri="{FF2B5EF4-FFF2-40B4-BE49-F238E27FC236}">
                  <a16:creationId xmlns:a16="http://schemas.microsoft.com/office/drawing/2014/main" id="{5E94C8AB-7A7C-4BEE-8BDC-7A0CF9318FE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6" name="Line 137">
              <a:extLst>
                <a:ext uri="{FF2B5EF4-FFF2-40B4-BE49-F238E27FC236}">
                  <a16:creationId xmlns:a16="http://schemas.microsoft.com/office/drawing/2014/main" id="{B12BE495-064B-4447-8B43-E1EEE820AA3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7" name="Line 138">
              <a:extLst>
                <a:ext uri="{FF2B5EF4-FFF2-40B4-BE49-F238E27FC236}">
                  <a16:creationId xmlns:a16="http://schemas.microsoft.com/office/drawing/2014/main" id="{D0CF4676-D70A-44A1-AD89-6E936522E59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8" name="Line 139">
              <a:extLst>
                <a:ext uri="{FF2B5EF4-FFF2-40B4-BE49-F238E27FC236}">
                  <a16:creationId xmlns:a16="http://schemas.microsoft.com/office/drawing/2014/main" id="{13F65F8D-7941-4E04-BFB4-7DDC0066E1A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9" name="Line 140">
              <a:extLst>
                <a:ext uri="{FF2B5EF4-FFF2-40B4-BE49-F238E27FC236}">
                  <a16:creationId xmlns:a16="http://schemas.microsoft.com/office/drawing/2014/main" id="{818C90A8-1305-4FC0-91D6-2D9E82417CD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0" name="Line 141">
              <a:extLst>
                <a:ext uri="{FF2B5EF4-FFF2-40B4-BE49-F238E27FC236}">
                  <a16:creationId xmlns:a16="http://schemas.microsoft.com/office/drawing/2014/main" id="{FBB1EEAB-EF8F-42B2-9AC6-C07C20E2A70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1" name="Line 142">
              <a:extLst>
                <a:ext uri="{FF2B5EF4-FFF2-40B4-BE49-F238E27FC236}">
                  <a16:creationId xmlns:a16="http://schemas.microsoft.com/office/drawing/2014/main" id="{272F7897-0B92-4849-9C9F-D561A66CAD4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2" name="Line 143">
              <a:extLst>
                <a:ext uri="{FF2B5EF4-FFF2-40B4-BE49-F238E27FC236}">
                  <a16:creationId xmlns:a16="http://schemas.microsoft.com/office/drawing/2014/main" id="{1ACADDA9-8171-4D0C-B499-BB97CE84A49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3" name="Line 144">
              <a:extLst>
                <a:ext uri="{FF2B5EF4-FFF2-40B4-BE49-F238E27FC236}">
                  <a16:creationId xmlns:a16="http://schemas.microsoft.com/office/drawing/2014/main" id="{7EF12E9D-191D-4803-AE9C-30F3F1CF6F1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4" name="Line 145">
              <a:extLst>
                <a:ext uri="{FF2B5EF4-FFF2-40B4-BE49-F238E27FC236}">
                  <a16:creationId xmlns:a16="http://schemas.microsoft.com/office/drawing/2014/main" id="{0D0C4FF1-2530-4539-B2EE-87CBF0A9ACA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5" name="Line 146">
              <a:extLst>
                <a:ext uri="{FF2B5EF4-FFF2-40B4-BE49-F238E27FC236}">
                  <a16:creationId xmlns:a16="http://schemas.microsoft.com/office/drawing/2014/main" id="{3513A9E7-013B-4FD1-B8D5-FFC6895B547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6" name="Line 147">
              <a:extLst>
                <a:ext uri="{FF2B5EF4-FFF2-40B4-BE49-F238E27FC236}">
                  <a16:creationId xmlns:a16="http://schemas.microsoft.com/office/drawing/2014/main" id="{619B3219-6512-4014-A388-69CD425783D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7" name="Line 148">
              <a:extLst>
                <a:ext uri="{FF2B5EF4-FFF2-40B4-BE49-F238E27FC236}">
                  <a16:creationId xmlns:a16="http://schemas.microsoft.com/office/drawing/2014/main" id="{205609C8-0B53-4559-AC14-E929E49D327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8" name="Line 149">
              <a:extLst>
                <a:ext uri="{FF2B5EF4-FFF2-40B4-BE49-F238E27FC236}">
                  <a16:creationId xmlns:a16="http://schemas.microsoft.com/office/drawing/2014/main" id="{634C5714-8FEA-428A-A4FB-043E15F9491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9" name="Line 150">
              <a:extLst>
                <a:ext uri="{FF2B5EF4-FFF2-40B4-BE49-F238E27FC236}">
                  <a16:creationId xmlns:a16="http://schemas.microsoft.com/office/drawing/2014/main" id="{0E63A8D9-03D5-42DB-A952-9AB331E5964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0" name="Line 151">
              <a:extLst>
                <a:ext uri="{FF2B5EF4-FFF2-40B4-BE49-F238E27FC236}">
                  <a16:creationId xmlns:a16="http://schemas.microsoft.com/office/drawing/2014/main" id="{2D5A1221-9C82-40B3-8843-E58B1CAEEC8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1" name="Line 152">
              <a:extLst>
                <a:ext uri="{FF2B5EF4-FFF2-40B4-BE49-F238E27FC236}">
                  <a16:creationId xmlns:a16="http://schemas.microsoft.com/office/drawing/2014/main" id="{716F61DE-884B-49FA-9677-C849663CE41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2" name="Line 153">
              <a:extLst>
                <a:ext uri="{FF2B5EF4-FFF2-40B4-BE49-F238E27FC236}">
                  <a16:creationId xmlns:a16="http://schemas.microsoft.com/office/drawing/2014/main" id="{22F7179C-E0E4-4992-8103-562778CCA38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3" name="Line 154">
              <a:extLst>
                <a:ext uri="{FF2B5EF4-FFF2-40B4-BE49-F238E27FC236}">
                  <a16:creationId xmlns:a16="http://schemas.microsoft.com/office/drawing/2014/main" id="{F6F1F08F-553A-43C6-B054-C150738D391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4" name="Line 155">
              <a:extLst>
                <a:ext uri="{FF2B5EF4-FFF2-40B4-BE49-F238E27FC236}">
                  <a16:creationId xmlns:a16="http://schemas.microsoft.com/office/drawing/2014/main" id="{6CCC8DC3-32D7-4596-AD85-2566EF7CF1A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5" name="Line 156">
              <a:extLst>
                <a:ext uri="{FF2B5EF4-FFF2-40B4-BE49-F238E27FC236}">
                  <a16:creationId xmlns:a16="http://schemas.microsoft.com/office/drawing/2014/main" id="{1BB1E1F1-038B-41C6-BB62-F5141C16793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6" name="Line 157">
              <a:extLst>
                <a:ext uri="{FF2B5EF4-FFF2-40B4-BE49-F238E27FC236}">
                  <a16:creationId xmlns:a16="http://schemas.microsoft.com/office/drawing/2014/main" id="{0E80FED4-BC8E-46DB-8D7D-670D44801C0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7" name="Line 158">
              <a:extLst>
                <a:ext uri="{FF2B5EF4-FFF2-40B4-BE49-F238E27FC236}">
                  <a16:creationId xmlns:a16="http://schemas.microsoft.com/office/drawing/2014/main" id="{282A820C-BC14-4762-B6AD-EBAF317F3BF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8" name="Line 159">
              <a:extLst>
                <a:ext uri="{FF2B5EF4-FFF2-40B4-BE49-F238E27FC236}">
                  <a16:creationId xmlns:a16="http://schemas.microsoft.com/office/drawing/2014/main" id="{98B66C28-FC96-4057-8045-59242FAC25C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9" name="Line 160">
              <a:extLst>
                <a:ext uri="{FF2B5EF4-FFF2-40B4-BE49-F238E27FC236}">
                  <a16:creationId xmlns:a16="http://schemas.microsoft.com/office/drawing/2014/main" id="{01A232AC-5A67-4293-A464-23F85A03EBD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0" name="Line 161">
              <a:extLst>
                <a:ext uri="{FF2B5EF4-FFF2-40B4-BE49-F238E27FC236}">
                  <a16:creationId xmlns:a16="http://schemas.microsoft.com/office/drawing/2014/main" id="{5CE690E5-BC5B-4864-933D-83752FB4E4A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1" name="Line 162">
              <a:extLst>
                <a:ext uri="{FF2B5EF4-FFF2-40B4-BE49-F238E27FC236}">
                  <a16:creationId xmlns:a16="http://schemas.microsoft.com/office/drawing/2014/main" id="{060EEE5E-0F84-4F51-A2AE-B0802A3D7A6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2" name="Line 163">
              <a:extLst>
                <a:ext uri="{FF2B5EF4-FFF2-40B4-BE49-F238E27FC236}">
                  <a16:creationId xmlns:a16="http://schemas.microsoft.com/office/drawing/2014/main" id="{D3E273AE-B61C-4BF4-8620-BB762168512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3" name="Line 164">
              <a:extLst>
                <a:ext uri="{FF2B5EF4-FFF2-40B4-BE49-F238E27FC236}">
                  <a16:creationId xmlns:a16="http://schemas.microsoft.com/office/drawing/2014/main" id="{3D7A45D3-CAB0-4A66-B597-B552B6EE357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4" name="Line 165">
              <a:extLst>
                <a:ext uri="{FF2B5EF4-FFF2-40B4-BE49-F238E27FC236}">
                  <a16:creationId xmlns:a16="http://schemas.microsoft.com/office/drawing/2014/main" id="{FA5C4A38-9819-435D-916A-FDE008DE628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5" name="Line 166">
              <a:extLst>
                <a:ext uri="{FF2B5EF4-FFF2-40B4-BE49-F238E27FC236}">
                  <a16:creationId xmlns:a16="http://schemas.microsoft.com/office/drawing/2014/main" id="{8E69FD6C-DD64-43F5-81D0-7414A5A6692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6" name="Line 167">
              <a:extLst>
                <a:ext uri="{FF2B5EF4-FFF2-40B4-BE49-F238E27FC236}">
                  <a16:creationId xmlns:a16="http://schemas.microsoft.com/office/drawing/2014/main" id="{C50E6D1C-9746-41EC-A7EB-910047250D9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7" name="Line 168">
              <a:extLst>
                <a:ext uri="{FF2B5EF4-FFF2-40B4-BE49-F238E27FC236}">
                  <a16:creationId xmlns:a16="http://schemas.microsoft.com/office/drawing/2014/main" id="{7EBC5689-0C9B-4CB4-9FC2-B1887544735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8" name="Line 169">
              <a:extLst>
                <a:ext uri="{FF2B5EF4-FFF2-40B4-BE49-F238E27FC236}">
                  <a16:creationId xmlns:a16="http://schemas.microsoft.com/office/drawing/2014/main" id="{84448557-F827-4125-87E4-EC05B77296E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9" name="Line 170">
              <a:extLst>
                <a:ext uri="{FF2B5EF4-FFF2-40B4-BE49-F238E27FC236}">
                  <a16:creationId xmlns:a16="http://schemas.microsoft.com/office/drawing/2014/main" id="{656D4373-CE50-4E48-898E-FA3967AE0D3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0" name="Line 171">
              <a:extLst>
                <a:ext uri="{FF2B5EF4-FFF2-40B4-BE49-F238E27FC236}">
                  <a16:creationId xmlns:a16="http://schemas.microsoft.com/office/drawing/2014/main" id="{1A37B253-75E5-43D7-BA86-B61061E676E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33" y="202"/>
              <a:ext cx="95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1" name="Freeform 172">
              <a:extLst>
                <a:ext uri="{FF2B5EF4-FFF2-40B4-BE49-F238E27FC236}">
                  <a16:creationId xmlns:a16="http://schemas.microsoft.com/office/drawing/2014/main" id="{BCDDDBF7-9215-437F-BC5D-80F48BDD8377}"/>
                </a:ext>
              </a:extLst>
            </xdr:cNvPr>
            <xdr:cNvSpPr>
              <a:spLocks/>
            </xdr:cNvSpPr>
          </xdr:nvSpPr>
          <xdr:spPr bwMode="auto">
            <a:xfrm>
              <a:off x="821" y="188"/>
              <a:ext cx="6" cy="9"/>
            </a:xfrm>
            <a:custGeom>
              <a:avLst/>
              <a:gdLst>
                <a:gd name="T0" fmla="*/ 0 w 351"/>
                <a:gd name="T1" fmla="*/ 526 h 526"/>
                <a:gd name="T2" fmla="*/ 0 w 351"/>
                <a:gd name="T3" fmla="*/ 351 h 526"/>
                <a:gd name="T4" fmla="*/ 176 w 351"/>
                <a:gd name="T5" fmla="*/ 0 h 526"/>
                <a:gd name="T6" fmla="*/ 351 w 351"/>
                <a:gd name="T7" fmla="*/ 351 h 526"/>
                <a:gd name="T8" fmla="*/ 351 w 351"/>
                <a:gd name="T9" fmla="*/ 526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526">
                  <a:moveTo>
                    <a:pt x="0" y="526"/>
                  </a:moveTo>
                  <a:lnTo>
                    <a:pt x="0" y="351"/>
                  </a:lnTo>
                  <a:lnTo>
                    <a:pt x="176" y="0"/>
                  </a:lnTo>
                  <a:lnTo>
                    <a:pt x="351" y="351"/>
                  </a:lnTo>
                  <a:lnTo>
                    <a:pt x="351" y="526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62" name="Line 173">
              <a:extLst>
                <a:ext uri="{FF2B5EF4-FFF2-40B4-BE49-F238E27FC236}">
                  <a16:creationId xmlns:a16="http://schemas.microsoft.com/office/drawing/2014/main" id="{931724A6-8ECE-41FA-9DF1-D040F87FEA3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1" y="194"/>
              <a:ext cx="6" cy="0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3" name="Freeform 174">
              <a:extLst>
                <a:ext uri="{FF2B5EF4-FFF2-40B4-BE49-F238E27FC236}">
                  <a16:creationId xmlns:a16="http://schemas.microsoft.com/office/drawing/2014/main" id="{303309D2-0247-49CA-9FAB-F75052ACA8BF}"/>
                </a:ext>
              </a:extLst>
            </xdr:cNvPr>
            <xdr:cNvSpPr>
              <a:spLocks/>
            </xdr:cNvSpPr>
          </xdr:nvSpPr>
          <xdr:spPr bwMode="auto">
            <a:xfrm>
              <a:off x="833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4" name="Freeform 175">
              <a:extLst>
                <a:ext uri="{FF2B5EF4-FFF2-40B4-BE49-F238E27FC236}">
                  <a16:creationId xmlns:a16="http://schemas.microsoft.com/office/drawing/2014/main" id="{22988F18-5F4A-4107-BCAF-E32716CF39FA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5" name="Freeform 176">
              <a:extLst>
                <a:ext uri="{FF2B5EF4-FFF2-40B4-BE49-F238E27FC236}">
                  <a16:creationId xmlns:a16="http://schemas.microsoft.com/office/drawing/2014/main" id="{7611406E-3ACA-4538-BDAE-E4DF66A04569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1" cy="2"/>
            </a:xfrm>
            <a:custGeom>
              <a:avLst/>
              <a:gdLst>
                <a:gd name="T0" fmla="*/ 53 w 53"/>
                <a:gd name="T1" fmla="*/ 14 h 106"/>
                <a:gd name="T2" fmla="*/ 0 w 53"/>
                <a:gd name="T3" fmla="*/ 0 h 106"/>
                <a:gd name="T4" fmla="*/ 0 w 53"/>
                <a:gd name="T5" fmla="*/ 106 h 106"/>
                <a:gd name="T6" fmla="*/ 53 w 53"/>
                <a:gd name="T7" fmla="*/ 14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14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53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6" name="Freeform 177">
              <a:extLst>
                <a:ext uri="{FF2B5EF4-FFF2-40B4-BE49-F238E27FC236}">
                  <a16:creationId xmlns:a16="http://schemas.microsoft.com/office/drawing/2014/main" id="{7F1CA22F-810B-4A1C-96D9-A3E4BDFB75C2}"/>
                </a:ext>
              </a:extLst>
            </xdr:cNvPr>
            <xdr:cNvSpPr>
              <a:spLocks/>
            </xdr:cNvSpPr>
          </xdr:nvSpPr>
          <xdr:spPr bwMode="auto">
            <a:xfrm>
              <a:off x="832" y="200"/>
              <a:ext cx="1" cy="2"/>
            </a:xfrm>
            <a:custGeom>
              <a:avLst/>
              <a:gdLst>
                <a:gd name="T0" fmla="*/ 53 w 53"/>
                <a:gd name="T1" fmla="*/ 0 h 106"/>
                <a:gd name="T2" fmla="*/ 0 w 53"/>
                <a:gd name="T3" fmla="*/ 14 h 106"/>
                <a:gd name="T4" fmla="*/ 53 w 53"/>
                <a:gd name="T5" fmla="*/ 106 h 106"/>
                <a:gd name="T6" fmla="*/ 53 w 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0"/>
                  </a:moveTo>
                  <a:lnTo>
                    <a:pt x="0" y="14"/>
                  </a:lnTo>
                  <a:lnTo>
                    <a:pt x="53" y="106"/>
                  </a:lnTo>
                  <a:lnTo>
                    <a:pt x="5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7" name="Freeform 178">
              <a:extLst>
                <a:ext uri="{FF2B5EF4-FFF2-40B4-BE49-F238E27FC236}">
                  <a16:creationId xmlns:a16="http://schemas.microsoft.com/office/drawing/2014/main" id="{842096E2-8F75-4528-856A-349E13CF197C}"/>
                </a:ext>
              </a:extLst>
            </xdr:cNvPr>
            <xdr:cNvSpPr>
              <a:spLocks/>
            </xdr:cNvSpPr>
          </xdr:nvSpPr>
          <xdr:spPr bwMode="auto">
            <a:xfrm>
              <a:off x="831" y="200"/>
              <a:ext cx="2" cy="2"/>
            </a:xfrm>
            <a:custGeom>
              <a:avLst/>
              <a:gdLst>
                <a:gd name="T0" fmla="*/ 38 w 91"/>
                <a:gd name="T1" fmla="*/ 0 h 92"/>
                <a:gd name="T2" fmla="*/ 0 w 91"/>
                <a:gd name="T3" fmla="*/ 39 h 92"/>
                <a:gd name="T4" fmla="*/ 91 w 91"/>
                <a:gd name="T5" fmla="*/ 92 h 92"/>
                <a:gd name="T6" fmla="*/ 38 w 91"/>
                <a:gd name="T7" fmla="*/ 0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38" y="0"/>
                  </a:moveTo>
                  <a:lnTo>
                    <a:pt x="0" y="39"/>
                  </a:lnTo>
                  <a:lnTo>
                    <a:pt x="91" y="92"/>
                  </a:lnTo>
                  <a:lnTo>
                    <a:pt x="3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8" name="Freeform 179">
              <a:extLst>
                <a:ext uri="{FF2B5EF4-FFF2-40B4-BE49-F238E27FC236}">
                  <a16:creationId xmlns:a16="http://schemas.microsoft.com/office/drawing/2014/main" id="{B3FF0EB9-9882-4103-9F35-A0914B2347EF}"/>
                </a:ext>
              </a:extLst>
            </xdr:cNvPr>
            <xdr:cNvSpPr>
              <a:spLocks/>
            </xdr:cNvSpPr>
          </xdr:nvSpPr>
          <xdr:spPr bwMode="auto">
            <a:xfrm>
              <a:off x="831" y="201"/>
              <a:ext cx="2" cy="1"/>
            </a:xfrm>
            <a:custGeom>
              <a:avLst/>
              <a:gdLst>
                <a:gd name="T0" fmla="*/ 14 w 105"/>
                <a:gd name="T1" fmla="*/ 0 h 53"/>
                <a:gd name="T2" fmla="*/ 0 w 105"/>
                <a:gd name="T3" fmla="*/ 53 h 53"/>
                <a:gd name="T4" fmla="*/ 105 w 105"/>
                <a:gd name="T5" fmla="*/ 53 h 53"/>
                <a:gd name="T6" fmla="*/ 14 w 105"/>
                <a:gd name="T7" fmla="*/ 0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4" y="0"/>
                  </a:moveTo>
                  <a:lnTo>
                    <a:pt x="0" y="53"/>
                  </a:lnTo>
                  <a:lnTo>
                    <a:pt x="105" y="53"/>
                  </a:lnTo>
                  <a:lnTo>
                    <a:pt x="1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9" name="Freeform 180">
              <a:extLst>
                <a:ext uri="{FF2B5EF4-FFF2-40B4-BE49-F238E27FC236}">
                  <a16:creationId xmlns:a16="http://schemas.microsoft.com/office/drawing/2014/main" id="{D50C0031-E8F6-4433-9D9D-6B67F6E14E43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105"/>
                <a:gd name="T1" fmla="*/ 0 h 52"/>
                <a:gd name="T2" fmla="*/ 14 w 105"/>
                <a:gd name="T3" fmla="*/ 52 h 52"/>
                <a:gd name="T4" fmla="*/ 105 w 105"/>
                <a:gd name="T5" fmla="*/ 0 h 52"/>
                <a:gd name="T6" fmla="*/ 0 w 105"/>
                <a:gd name="T7" fmla="*/ 0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0" y="0"/>
                  </a:moveTo>
                  <a:lnTo>
                    <a:pt x="14" y="52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0" name="Freeform 181">
              <a:extLst>
                <a:ext uri="{FF2B5EF4-FFF2-40B4-BE49-F238E27FC236}">
                  <a16:creationId xmlns:a16="http://schemas.microsoft.com/office/drawing/2014/main" id="{5DCAB1DC-C2CF-4A3D-8535-2DF4ED0D19C7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91"/>
                <a:gd name="T1" fmla="*/ 52 h 91"/>
                <a:gd name="T2" fmla="*/ 38 w 91"/>
                <a:gd name="T3" fmla="*/ 91 h 91"/>
                <a:gd name="T4" fmla="*/ 91 w 91"/>
                <a:gd name="T5" fmla="*/ 0 h 91"/>
                <a:gd name="T6" fmla="*/ 0 w 91"/>
                <a:gd name="T7" fmla="*/ 52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0" y="52"/>
                  </a:moveTo>
                  <a:lnTo>
                    <a:pt x="38" y="91"/>
                  </a:lnTo>
                  <a:lnTo>
                    <a:pt x="91" y="0"/>
                  </a:lnTo>
                  <a:lnTo>
                    <a:pt x="0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1" name="Freeform 182">
              <a:extLst>
                <a:ext uri="{FF2B5EF4-FFF2-40B4-BE49-F238E27FC236}">
                  <a16:creationId xmlns:a16="http://schemas.microsoft.com/office/drawing/2014/main" id="{A8068057-26AE-480E-AC41-4A81E221EA28}"/>
                </a:ext>
              </a:extLst>
            </xdr:cNvPr>
            <xdr:cNvSpPr>
              <a:spLocks/>
            </xdr:cNvSpPr>
          </xdr:nvSpPr>
          <xdr:spPr bwMode="auto">
            <a:xfrm>
              <a:off x="832" y="202"/>
              <a:ext cx="1" cy="2"/>
            </a:xfrm>
            <a:custGeom>
              <a:avLst/>
              <a:gdLst>
                <a:gd name="T0" fmla="*/ 0 w 53"/>
                <a:gd name="T1" fmla="*/ 91 h 105"/>
                <a:gd name="T2" fmla="*/ 53 w 53"/>
                <a:gd name="T3" fmla="*/ 105 h 105"/>
                <a:gd name="T4" fmla="*/ 53 w 53"/>
                <a:gd name="T5" fmla="*/ 0 h 105"/>
                <a:gd name="T6" fmla="*/ 0 w 53"/>
                <a:gd name="T7" fmla="*/ 9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91"/>
                  </a:moveTo>
                  <a:lnTo>
                    <a:pt x="53" y="105"/>
                  </a:lnTo>
                  <a:lnTo>
                    <a:pt x="53" y="0"/>
                  </a:lnTo>
                  <a:lnTo>
                    <a:pt x="0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2" name="Freeform 183">
              <a:extLst>
                <a:ext uri="{FF2B5EF4-FFF2-40B4-BE49-F238E27FC236}">
                  <a16:creationId xmlns:a16="http://schemas.microsoft.com/office/drawing/2014/main" id="{8369E299-35A5-43F4-84D9-65839980287D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1" cy="2"/>
            </a:xfrm>
            <a:custGeom>
              <a:avLst/>
              <a:gdLst>
                <a:gd name="T0" fmla="*/ 0 w 53"/>
                <a:gd name="T1" fmla="*/ 105 h 105"/>
                <a:gd name="T2" fmla="*/ 53 w 53"/>
                <a:gd name="T3" fmla="*/ 91 h 105"/>
                <a:gd name="T4" fmla="*/ 0 w 53"/>
                <a:gd name="T5" fmla="*/ 0 h 105"/>
                <a:gd name="T6" fmla="*/ 0 w 53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105"/>
                  </a:moveTo>
                  <a:lnTo>
                    <a:pt x="53" y="91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3" name="Freeform 184">
              <a:extLst>
                <a:ext uri="{FF2B5EF4-FFF2-40B4-BE49-F238E27FC236}">
                  <a16:creationId xmlns:a16="http://schemas.microsoft.com/office/drawing/2014/main" id="{BB2D4F9B-13D0-4166-8405-B6D25829920A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53 w 91"/>
                <a:gd name="T1" fmla="*/ 91 h 91"/>
                <a:gd name="T2" fmla="*/ 91 w 91"/>
                <a:gd name="T3" fmla="*/ 52 h 91"/>
                <a:gd name="T4" fmla="*/ 0 w 91"/>
                <a:gd name="T5" fmla="*/ 0 h 91"/>
                <a:gd name="T6" fmla="*/ 53 w 91"/>
                <a:gd name="T7" fmla="*/ 91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53" y="91"/>
                  </a:moveTo>
                  <a:lnTo>
                    <a:pt x="91" y="52"/>
                  </a:lnTo>
                  <a:lnTo>
                    <a:pt x="0" y="0"/>
                  </a:lnTo>
                  <a:lnTo>
                    <a:pt x="53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4" name="Freeform 185">
              <a:extLst>
                <a:ext uri="{FF2B5EF4-FFF2-40B4-BE49-F238E27FC236}">
                  <a16:creationId xmlns:a16="http://schemas.microsoft.com/office/drawing/2014/main" id="{27252E52-DEBB-4E8C-AD5A-D7367EE56F5A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91 w 105"/>
                <a:gd name="T1" fmla="*/ 52 h 52"/>
                <a:gd name="T2" fmla="*/ 105 w 105"/>
                <a:gd name="T3" fmla="*/ 0 h 52"/>
                <a:gd name="T4" fmla="*/ 0 w 105"/>
                <a:gd name="T5" fmla="*/ 0 h 52"/>
                <a:gd name="T6" fmla="*/ 91 w 105"/>
                <a:gd name="T7" fmla="*/ 52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91" y="52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91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5" name="Freeform 186">
              <a:extLst>
                <a:ext uri="{FF2B5EF4-FFF2-40B4-BE49-F238E27FC236}">
                  <a16:creationId xmlns:a16="http://schemas.microsoft.com/office/drawing/2014/main" id="{093DF140-E2E0-44C3-B464-173BB9D5D87C}"/>
                </a:ext>
              </a:extLst>
            </xdr:cNvPr>
            <xdr:cNvSpPr>
              <a:spLocks/>
            </xdr:cNvSpPr>
          </xdr:nvSpPr>
          <xdr:spPr bwMode="auto">
            <a:xfrm>
              <a:off x="916" y="192"/>
              <a:ext cx="6" cy="5"/>
            </a:xfrm>
            <a:custGeom>
              <a:avLst/>
              <a:gdLst>
                <a:gd name="T0" fmla="*/ 0 w 351"/>
                <a:gd name="T1" fmla="*/ 263 h 263"/>
                <a:gd name="T2" fmla="*/ 263 w 351"/>
                <a:gd name="T3" fmla="*/ 263 h 263"/>
                <a:gd name="T4" fmla="*/ 351 w 351"/>
                <a:gd name="T5" fmla="*/ 176 h 263"/>
                <a:gd name="T6" fmla="*/ 351 w 351"/>
                <a:gd name="T7" fmla="*/ 88 h 263"/>
                <a:gd name="T8" fmla="*/ 263 w 351"/>
                <a:gd name="T9" fmla="*/ 0 h 263"/>
                <a:gd name="T10" fmla="*/ 88 w 351"/>
                <a:gd name="T11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263">
                  <a:moveTo>
                    <a:pt x="0" y="263"/>
                  </a:moveTo>
                  <a:lnTo>
                    <a:pt x="263" y="263"/>
                  </a:lnTo>
                  <a:lnTo>
                    <a:pt x="351" y="176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88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6" name="Freeform 187">
              <a:extLst>
                <a:ext uri="{FF2B5EF4-FFF2-40B4-BE49-F238E27FC236}">
                  <a16:creationId xmlns:a16="http://schemas.microsoft.com/office/drawing/2014/main" id="{58726A5C-1B56-466A-8B30-4A23B476BEA0}"/>
                </a:ext>
              </a:extLst>
            </xdr:cNvPr>
            <xdr:cNvSpPr>
              <a:spLocks/>
            </xdr:cNvSpPr>
          </xdr:nvSpPr>
          <xdr:spPr bwMode="auto">
            <a:xfrm>
              <a:off x="916" y="188"/>
              <a:ext cx="6" cy="4"/>
            </a:xfrm>
            <a:custGeom>
              <a:avLst/>
              <a:gdLst>
                <a:gd name="T0" fmla="*/ 263 w 351"/>
                <a:gd name="T1" fmla="*/ 263 h 263"/>
                <a:gd name="T2" fmla="*/ 351 w 351"/>
                <a:gd name="T3" fmla="*/ 175 h 263"/>
                <a:gd name="T4" fmla="*/ 351 w 351"/>
                <a:gd name="T5" fmla="*/ 88 h 263"/>
                <a:gd name="T6" fmla="*/ 263 w 351"/>
                <a:gd name="T7" fmla="*/ 0 h 263"/>
                <a:gd name="T8" fmla="*/ 0 w 351"/>
                <a:gd name="T9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263">
                  <a:moveTo>
                    <a:pt x="263" y="263"/>
                  </a:moveTo>
                  <a:lnTo>
                    <a:pt x="351" y="175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7" name="Line 188">
              <a:extLst>
                <a:ext uri="{FF2B5EF4-FFF2-40B4-BE49-F238E27FC236}">
                  <a16:creationId xmlns:a16="http://schemas.microsoft.com/office/drawing/2014/main" id="{38219A5A-2D59-4D12-BADD-D9A2BA8A8C9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18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8" name="Freeform 189">
              <a:extLst>
                <a:ext uri="{FF2B5EF4-FFF2-40B4-BE49-F238E27FC236}">
                  <a16:creationId xmlns:a16="http://schemas.microsoft.com/office/drawing/2014/main" id="{F03E76F3-7E73-406D-BAC5-A63C975E27E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7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7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9" name="Freeform 190">
              <a:extLst>
                <a:ext uri="{FF2B5EF4-FFF2-40B4-BE49-F238E27FC236}">
                  <a16:creationId xmlns:a16="http://schemas.microsoft.com/office/drawing/2014/main" id="{D91249B8-5C1A-4839-8A66-6481CCFB02E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8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8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8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0" name="Freeform 191">
              <a:extLst>
                <a:ext uri="{FF2B5EF4-FFF2-40B4-BE49-F238E27FC236}">
                  <a16:creationId xmlns:a16="http://schemas.microsoft.com/office/drawing/2014/main" id="{57A92E53-3280-4D62-B8C0-3AA9C04AFB94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4 w 104"/>
                <a:gd name="T1" fmla="*/ 7 h 22"/>
                <a:gd name="T2" fmla="*/ 103 w 104"/>
                <a:gd name="T3" fmla="*/ 0 h 22"/>
                <a:gd name="T4" fmla="*/ 0 w 104"/>
                <a:gd name="T5" fmla="*/ 22 h 22"/>
                <a:gd name="T6" fmla="*/ 104 w 104"/>
                <a:gd name="T7" fmla="*/ 7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4" y="7"/>
                  </a:moveTo>
                  <a:lnTo>
                    <a:pt x="103" y="0"/>
                  </a:lnTo>
                  <a:lnTo>
                    <a:pt x="0" y="22"/>
                  </a:lnTo>
                  <a:lnTo>
                    <a:pt x="104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1" name="Freeform 192">
              <a:extLst>
                <a:ext uri="{FF2B5EF4-FFF2-40B4-BE49-F238E27FC236}">
                  <a16:creationId xmlns:a16="http://schemas.microsoft.com/office/drawing/2014/main" id="{433C5C45-C2C0-4D26-BB47-4F58BACBBF27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3 w 103"/>
                <a:gd name="T1" fmla="*/ 7 h 29"/>
                <a:gd name="T2" fmla="*/ 102 w 103"/>
                <a:gd name="T3" fmla="*/ 0 h 29"/>
                <a:gd name="T4" fmla="*/ 0 w 103"/>
                <a:gd name="T5" fmla="*/ 29 h 29"/>
                <a:gd name="T6" fmla="*/ 103 w 103"/>
                <a:gd name="T7" fmla="*/ 7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3" y="7"/>
                  </a:moveTo>
                  <a:lnTo>
                    <a:pt x="102" y="0"/>
                  </a:lnTo>
                  <a:lnTo>
                    <a:pt x="0" y="29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2" name="Freeform 193">
              <a:extLst>
                <a:ext uri="{FF2B5EF4-FFF2-40B4-BE49-F238E27FC236}">
                  <a16:creationId xmlns:a16="http://schemas.microsoft.com/office/drawing/2014/main" id="{0D51E8FE-1E7F-4EF7-B2ED-C58FC678D02C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2 w 102"/>
                <a:gd name="T1" fmla="*/ 7 h 36"/>
                <a:gd name="T2" fmla="*/ 99 w 102"/>
                <a:gd name="T3" fmla="*/ 0 h 36"/>
                <a:gd name="T4" fmla="*/ 0 w 102"/>
                <a:gd name="T5" fmla="*/ 36 h 36"/>
                <a:gd name="T6" fmla="*/ 102 w 102"/>
                <a:gd name="T7" fmla="*/ 7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6">
                  <a:moveTo>
                    <a:pt x="102" y="7"/>
                  </a:moveTo>
                  <a:lnTo>
                    <a:pt x="99" y="0"/>
                  </a:lnTo>
                  <a:lnTo>
                    <a:pt x="0" y="36"/>
                  </a:lnTo>
                  <a:lnTo>
                    <a:pt x="102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3" name="Freeform 194">
              <a:extLst>
                <a:ext uri="{FF2B5EF4-FFF2-40B4-BE49-F238E27FC236}">
                  <a16:creationId xmlns:a16="http://schemas.microsoft.com/office/drawing/2014/main" id="{B5BA2B59-9B32-4EE6-86DC-2E8369F217A1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9 w 99"/>
                <a:gd name="T1" fmla="*/ 6 h 42"/>
                <a:gd name="T2" fmla="*/ 97 w 99"/>
                <a:gd name="T3" fmla="*/ 0 h 42"/>
                <a:gd name="T4" fmla="*/ 0 w 99"/>
                <a:gd name="T5" fmla="*/ 42 h 42"/>
                <a:gd name="T6" fmla="*/ 99 w 99"/>
                <a:gd name="T7" fmla="*/ 6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9" y="6"/>
                  </a:moveTo>
                  <a:lnTo>
                    <a:pt x="97" y="0"/>
                  </a:lnTo>
                  <a:lnTo>
                    <a:pt x="0" y="42"/>
                  </a:lnTo>
                  <a:lnTo>
                    <a:pt x="9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4" name="Freeform 195">
              <a:extLst>
                <a:ext uri="{FF2B5EF4-FFF2-40B4-BE49-F238E27FC236}">
                  <a16:creationId xmlns:a16="http://schemas.microsoft.com/office/drawing/2014/main" id="{1751FE6F-5644-4AC3-A653-506AC5BE2D20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7 w 97"/>
                <a:gd name="T1" fmla="*/ 7 h 49"/>
                <a:gd name="T2" fmla="*/ 94 w 97"/>
                <a:gd name="T3" fmla="*/ 0 h 49"/>
                <a:gd name="T4" fmla="*/ 0 w 97"/>
                <a:gd name="T5" fmla="*/ 49 h 49"/>
                <a:gd name="T6" fmla="*/ 97 w 97"/>
                <a:gd name="T7" fmla="*/ 7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9">
                  <a:moveTo>
                    <a:pt x="97" y="7"/>
                  </a:moveTo>
                  <a:lnTo>
                    <a:pt x="94" y="0"/>
                  </a:lnTo>
                  <a:lnTo>
                    <a:pt x="0" y="49"/>
                  </a:lnTo>
                  <a:lnTo>
                    <a:pt x="97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5" name="Freeform 196">
              <a:extLst>
                <a:ext uri="{FF2B5EF4-FFF2-40B4-BE49-F238E27FC236}">
                  <a16:creationId xmlns:a16="http://schemas.microsoft.com/office/drawing/2014/main" id="{F07E9A68-0760-40D4-9FE8-B4A40CDE5C4A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4 w 94"/>
                <a:gd name="T1" fmla="*/ 6 h 55"/>
                <a:gd name="T2" fmla="*/ 90 w 94"/>
                <a:gd name="T3" fmla="*/ 0 h 55"/>
                <a:gd name="T4" fmla="*/ 0 w 94"/>
                <a:gd name="T5" fmla="*/ 55 h 55"/>
                <a:gd name="T6" fmla="*/ 94 w 94"/>
                <a:gd name="T7" fmla="*/ 6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5">
                  <a:moveTo>
                    <a:pt x="94" y="6"/>
                  </a:moveTo>
                  <a:lnTo>
                    <a:pt x="90" y="0"/>
                  </a:lnTo>
                  <a:lnTo>
                    <a:pt x="0" y="55"/>
                  </a:lnTo>
                  <a:lnTo>
                    <a:pt x="9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6" name="Freeform 197">
              <a:extLst>
                <a:ext uri="{FF2B5EF4-FFF2-40B4-BE49-F238E27FC236}">
                  <a16:creationId xmlns:a16="http://schemas.microsoft.com/office/drawing/2014/main" id="{B69F97B0-0B3D-4A65-86F0-3EB4CC34D84D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0 w 90"/>
                <a:gd name="T1" fmla="*/ 6 h 61"/>
                <a:gd name="T2" fmla="*/ 86 w 90"/>
                <a:gd name="T3" fmla="*/ 0 h 61"/>
                <a:gd name="T4" fmla="*/ 0 w 90"/>
                <a:gd name="T5" fmla="*/ 61 h 61"/>
                <a:gd name="T6" fmla="*/ 90 w 90"/>
                <a:gd name="T7" fmla="*/ 6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90" y="6"/>
                  </a:moveTo>
                  <a:lnTo>
                    <a:pt x="86" y="0"/>
                  </a:lnTo>
                  <a:lnTo>
                    <a:pt x="0" y="61"/>
                  </a:lnTo>
                  <a:lnTo>
                    <a:pt x="90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7" name="Freeform 198">
              <a:extLst>
                <a:ext uri="{FF2B5EF4-FFF2-40B4-BE49-F238E27FC236}">
                  <a16:creationId xmlns:a16="http://schemas.microsoft.com/office/drawing/2014/main" id="{6D740075-E7B3-47A4-A216-2D9E63FA71C5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6 w 86"/>
                <a:gd name="T1" fmla="*/ 6 h 67"/>
                <a:gd name="T2" fmla="*/ 82 w 86"/>
                <a:gd name="T3" fmla="*/ 0 h 67"/>
                <a:gd name="T4" fmla="*/ 0 w 86"/>
                <a:gd name="T5" fmla="*/ 67 h 67"/>
                <a:gd name="T6" fmla="*/ 86 w 86"/>
                <a:gd name="T7" fmla="*/ 6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86" y="6"/>
                  </a:moveTo>
                  <a:lnTo>
                    <a:pt x="82" y="0"/>
                  </a:lnTo>
                  <a:lnTo>
                    <a:pt x="0" y="67"/>
                  </a:lnTo>
                  <a:lnTo>
                    <a:pt x="86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8" name="Freeform 199">
              <a:extLst>
                <a:ext uri="{FF2B5EF4-FFF2-40B4-BE49-F238E27FC236}">
                  <a16:creationId xmlns:a16="http://schemas.microsoft.com/office/drawing/2014/main" id="{951A0765-3760-4E33-B35C-B54D8DFDEC8D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2 w 82"/>
                <a:gd name="T1" fmla="*/ 5 h 72"/>
                <a:gd name="T2" fmla="*/ 77 w 82"/>
                <a:gd name="T3" fmla="*/ 0 h 72"/>
                <a:gd name="T4" fmla="*/ 0 w 82"/>
                <a:gd name="T5" fmla="*/ 72 h 72"/>
                <a:gd name="T6" fmla="*/ 82 w 82"/>
                <a:gd name="T7" fmla="*/ 5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82" y="5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9" name="Freeform 200">
              <a:extLst>
                <a:ext uri="{FF2B5EF4-FFF2-40B4-BE49-F238E27FC236}">
                  <a16:creationId xmlns:a16="http://schemas.microsoft.com/office/drawing/2014/main" id="{B8503D42-F893-4C5D-8C81-F5B3BEE222FC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77 w 77"/>
                <a:gd name="T1" fmla="*/ 5 h 77"/>
                <a:gd name="T2" fmla="*/ 72 w 77"/>
                <a:gd name="T3" fmla="*/ 0 h 77"/>
                <a:gd name="T4" fmla="*/ 0 w 77"/>
                <a:gd name="T5" fmla="*/ 77 h 77"/>
                <a:gd name="T6" fmla="*/ 77 w 77"/>
                <a:gd name="T7" fmla="*/ 5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7" y="5"/>
                  </a:moveTo>
                  <a:lnTo>
                    <a:pt x="72" y="0"/>
                  </a:lnTo>
                  <a:lnTo>
                    <a:pt x="0" y="77"/>
                  </a:lnTo>
                  <a:lnTo>
                    <a:pt x="77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0" name="Freeform 201">
              <a:extLst>
                <a:ext uri="{FF2B5EF4-FFF2-40B4-BE49-F238E27FC236}">
                  <a16:creationId xmlns:a16="http://schemas.microsoft.com/office/drawing/2014/main" id="{EF4144E3-496D-40C7-8B0B-5C62FF32B8F1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72 w 72"/>
                <a:gd name="T1" fmla="*/ 5 h 82"/>
                <a:gd name="T2" fmla="*/ 67 w 72"/>
                <a:gd name="T3" fmla="*/ 0 h 82"/>
                <a:gd name="T4" fmla="*/ 0 w 72"/>
                <a:gd name="T5" fmla="*/ 82 h 82"/>
                <a:gd name="T6" fmla="*/ 72 w 72"/>
                <a:gd name="T7" fmla="*/ 5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72" y="5"/>
                  </a:moveTo>
                  <a:lnTo>
                    <a:pt x="67" y="0"/>
                  </a:lnTo>
                  <a:lnTo>
                    <a:pt x="0" y="82"/>
                  </a:lnTo>
                  <a:lnTo>
                    <a:pt x="7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1" name="Freeform 202">
              <a:extLst>
                <a:ext uri="{FF2B5EF4-FFF2-40B4-BE49-F238E27FC236}">
                  <a16:creationId xmlns:a16="http://schemas.microsoft.com/office/drawing/2014/main" id="{A0AA2AE8-AE33-4D22-A041-3F8A80CF9ADB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7 w 67"/>
                <a:gd name="T1" fmla="*/ 4 h 86"/>
                <a:gd name="T2" fmla="*/ 61 w 67"/>
                <a:gd name="T3" fmla="*/ 0 h 86"/>
                <a:gd name="T4" fmla="*/ 0 w 67"/>
                <a:gd name="T5" fmla="*/ 86 h 86"/>
                <a:gd name="T6" fmla="*/ 67 w 67"/>
                <a:gd name="T7" fmla="*/ 4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7" y="4"/>
                  </a:moveTo>
                  <a:lnTo>
                    <a:pt x="61" y="0"/>
                  </a:lnTo>
                  <a:lnTo>
                    <a:pt x="0" y="86"/>
                  </a:lnTo>
                  <a:lnTo>
                    <a:pt x="6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2" name="Freeform 203">
              <a:extLst>
                <a:ext uri="{FF2B5EF4-FFF2-40B4-BE49-F238E27FC236}">
                  <a16:creationId xmlns:a16="http://schemas.microsoft.com/office/drawing/2014/main" id="{EDA8CD60-C183-4F46-847F-532ECAAC369C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1 w 61"/>
                <a:gd name="T1" fmla="*/ 4 h 90"/>
                <a:gd name="T2" fmla="*/ 55 w 61"/>
                <a:gd name="T3" fmla="*/ 0 h 90"/>
                <a:gd name="T4" fmla="*/ 0 w 61"/>
                <a:gd name="T5" fmla="*/ 90 h 90"/>
                <a:gd name="T6" fmla="*/ 61 w 61"/>
                <a:gd name="T7" fmla="*/ 4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61" y="4"/>
                  </a:moveTo>
                  <a:lnTo>
                    <a:pt x="55" y="0"/>
                  </a:lnTo>
                  <a:lnTo>
                    <a:pt x="0" y="90"/>
                  </a:lnTo>
                  <a:lnTo>
                    <a:pt x="61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3" name="Freeform 204">
              <a:extLst>
                <a:ext uri="{FF2B5EF4-FFF2-40B4-BE49-F238E27FC236}">
                  <a16:creationId xmlns:a16="http://schemas.microsoft.com/office/drawing/2014/main" id="{BE62A357-A994-482B-85CB-B5717B0D228D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55 w 55"/>
                <a:gd name="T1" fmla="*/ 4 h 94"/>
                <a:gd name="T2" fmla="*/ 49 w 55"/>
                <a:gd name="T3" fmla="*/ 0 h 94"/>
                <a:gd name="T4" fmla="*/ 0 w 55"/>
                <a:gd name="T5" fmla="*/ 94 h 94"/>
                <a:gd name="T6" fmla="*/ 55 w 55"/>
                <a:gd name="T7" fmla="*/ 4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4">
                  <a:moveTo>
                    <a:pt x="55" y="4"/>
                  </a:moveTo>
                  <a:lnTo>
                    <a:pt x="49" y="0"/>
                  </a:lnTo>
                  <a:lnTo>
                    <a:pt x="0" y="94"/>
                  </a:lnTo>
                  <a:lnTo>
                    <a:pt x="55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4" name="Freeform 205">
              <a:extLst>
                <a:ext uri="{FF2B5EF4-FFF2-40B4-BE49-F238E27FC236}">
                  <a16:creationId xmlns:a16="http://schemas.microsoft.com/office/drawing/2014/main" id="{C16B1F16-BFFE-487B-9F96-FC4926320B5C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9 w 49"/>
                <a:gd name="T1" fmla="*/ 3 h 97"/>
                <a:gd name="T2" fmla="*/ 42 w 49"/>
                <a:gd name="T3" fmla="*/ 0 h 97"/>
                <a:gd name="T4" fmla="*/ 0 w 49"/>
                <a:gd name="T5" fmla="*/ 97 h 97"/>
                <a:gd name="T6" fmla="*/ 49 w 49"/>
                <a:gd name="T7" fmla="*/ 3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7">
                  <a:moveTo>
                    <a:pt x="49" y="3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49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5" name="Freeform 206">
              <a:extLst>
                <a:ext uri="{FF2B5EF4-FFF2-40B4-BE49-F238E27FC236}">
                  <a16:creationId xmlns:a16="http://schemas.microsoft.com/office/drawing/2014/main" id="{603F8AC9-F6A5-4CF9-8089-080DAF97A57E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5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5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6" name="Freeform 207">
              <a:extLst>
                <a:ext uri="{FF2B5EF4-FFF2-40B4-BE49-F238E27FC236}">
                  <a16:creationId xmlns:a16="http://schemas.microsoft.com/office/drawing/2014/main" id="{374AD2E1-1CAC-4EE7-8E5A-BB190F6A86E4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35 w 35"/>
                <a:gd name="T1" fmla="*/ 2 h 102"/>
                <a:gd name="T2" fmla="*/ 29 w 35"/>
                <a:gd name="T3" fmla="*/ 0 h 102"/>
                <a:gd name="T4" fmla="*/ 0 w 35"/>
                <a:gd name="T5" fmla="*/ 102 h 102"/>
                <a:gd name="T6" fmla="*/ 35 w 35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35" y="2"/>
                  </a:moveTo>
                  <a:lnTo>
                    <a:pt x="29" y="0"/>
                  </a:lnTo>
                  <a:lnTo>
                    <a:pt x="0" y="102"/>
                  </a:lnTo>
                  <a:lnTo>
                    <a:pt x="35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7" name="Freeform 208">
              <a:extLst>
                <a:ext uri="{FF2B5EF4-FFF2-40B4-BE49-F238E27FC236}">
                  <a16:creationId xmlns:a16="http://schemas.microsoft.com/office/drawing/2014/main" id="{A8137C0A-58B2-4666-928F-9CB6C6A68034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9 w 29"/>
                <a:gd name="T1" fmla="*/ 1 h 103"/>
                <a:gd name="T2" fmla="*/ 22 w 29"/>
                <a:gd name="T3" fmla="*/ 0 h 103"/>
                <a:gd name="T4" fmla="*/ 0 w 29"/>
                <a:gd name="T5" fmla="*/ 103 h 103"/>
                <a:gd name="T6" fmla="*/ 29 w 29"/>
                <a:gd name="T7" fmla="*/ 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9" y="1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2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8" name="Freeform 209">
              <a:extLst>
                <a:ext uri="{FF2B5EF4-FFF2-40B4-BE49-F238E27FC236}">
                  <a16:creationId xmlns:a16="http://schemas.microsoft.com/office/drawing/2014/main" id="{6FA534AA-E82F-4D0D-A00A-4DE1F98F2F69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9" name="Freeform 210">
              <a:extLst>
                <a:ext uri="{FF2B5EF4-FFF2-40B4-BE49-F238E27FC236}">
                  <a16:creationId xmlns:a16="http://schemas.microsoft.com/office/drawing/2014/main" id="{A1F1EC3D-6387-4E21-A85D-F99DF806D9D7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0" name="Freeform 211">
              <a:extLst>
                <a:ext uri="{FF2B5EF4-FFF2-40B4-BE49-F238E27FC236}">
                  <a16:creationId xmlns:a16="http://schemas.microsoft.com/office/drawing/2014/main" id="{A21170CC-6A5D-4C71-B59B-83277E0FA146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1" name="Freeform 212">
              <a:extLst>
                <a:ext uri="{FF2B5EF4-FFF2-40B4-BE49-F238E27FC236}">
                  <a16:creationId xmlns:a16="http://schemas.microsoft.com/office/drawing/2014/main" id="{23007998-A9A9-4882-A22F-40BD100EDBA1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0 h 106"/>
                <a:gd name="T2" fmla="*/ 0 w 7"/>
                <a:gd name="T3" fmla="*/ 1 h 106"/>
                <a:gd name="T4" fmla="*/ 7 w 7"/>
                <a:gd name="T5" fmla="*/ 106 h 106"/>
                <a:gd name="T6" fmla="*/ 7 w 7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0"/>
                  </a:moveTo>
                  <a:lnTo>
                    <a:pt x="0" y="1"/>
                  </a:lnTo>
                  <a:lnTo>
                    <a:pt x="7" y="106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2" name="Freeform 213">
              <a:extLst>
                <a:ext uri="{FF2B5EF4-FFF2-40B4-BE49-F238E27FC236}">
                  <a16:creationId xmlns:a16="http://schemas.microsoft.com/office/drawing/2014/main" id="{4FB4A49F-32B3-4476-A1A4-ED5F7FB4258A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14"/>
                <a:gd name="T1" fmla="*/ 0 h 105"/>
                <a:gd name="T2" fmla="*/ 0 w 14"/>
                <a:gd name="T3" fmla="*/ 0 h 105"/>
                <a:gd name="T4" fmla="*/ 14 w 14"/>
                <a:gd name="T5" fmla="*/ 105 h 105"/>
                <a:gd name="T6" fmla="*/ 7 w 14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7" y="0"/>
                  </a:moveTo>
                  <a:lnTo>
                    <a:pt x="0" y="0"/>
                  </a:lnTo>
                  <a:lnTo>
                    <a:pt x="14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3" name="Freeform 214">
              <a:extLst>
                <a:ext uri="{FF2B5EF4-FFF2-40B4-BE49-F238E27FC236}">
                  <a16:creationId xmlns:a16="http://schemas.microsoft.com/office/drawing/2014/main" id="{14F165A1-FDEF-4F48-BF70-DA7D562AD894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1"/>
                <a:gd name="T1" fmla="*/ 0 h 105"/>
                <a:gd name="T2" fmla="*/ 0 w 21"/>
                <a:gd name="T3" fmla="*/ 2 h 105"/>
                <a:gd name="T4" fmla="*/ 21 w 21"/>
                <a:gd name="T5" fmla="*/ 105 h 105"/>
                <a:gd name="T6" fmla="*/ 7 w 21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5">
                  <a:moveTo>
                    <a:pt x="7" y="0"/>
                  </a:moveTo>
                  <a:lnTo>
                    <a:pt x="0" y="2"/>
                  </a:lnTo>
                  <a:lnTo>
                    <a:pt x="21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4" name="Freeform 215">
              <a:extLst>
                <a:ext uri="{FF2B5EF4-FFF2-40B4-BE49-F238E27FC236}">
                  <a16:creationId xmlns:a16="http://schemas.microsoft.com/office/drawing/2014/main" id="{6135E4CB-238A-48A5-8581-28E1F6A760D3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8"/>
                <a:gd name="T1" fmla="*/ 0 h 103"/>
                <a:gd name="T2" fmla="*/ 0 w 28"/>
                <a:gd name="T3" fmla="*/ 1 h 103"/>
                <a:gd name="T4" fmla="*/ 28 w 28"/>
                <a:gd name="T5" fmla="*/ 103 h 103"/>
                <a:gd name="T6" fmla="*/ 7 w 28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7" y="0"/>
                  </a:moveTo>
                  <a:lnTo>
                    <a:pt x="0" y="1"/>
                  </a:lnTo>
                  <a:lnTo>
                    <a:pt x="28" y="10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5" name="Freeform 216">
              <a:extLst>
                <a:ext uri="{FF2B5EF4-FFF2-40B4-BE49-F238E27FC236}">
                  <a16:creationId xmlns:a16="http://schemas.microsoft.com/office/drawing/2014/main" id="{C8ECD608-42FF-43D4-9483-21B9B105A844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7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7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6" name="Freeform 217">
              <a:extLst>
                <a:ext uri="{FF2B5EF4-FFF2-40B4-BE49-F238E27FC236}">
                  <a16:creationId xmlns:a16="http://schemas.microsoft.com/office/drawing/2014/main" id="{6C99EB9B-0EC9-4217-9CBD-9BB2F9D0E422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42"/>
                <a:gd name="T1" fmla="*/ 0 h 100"/>
                <a:gd name="T2" fmla="*/ 0 w 42"/>
                <a:gd name="T3" fmla="*/ 3 h 100"/>
                <a:gd name="T4" fmla="*/ 42 w 42"/>
                <a:gd name="T5" fmla="*/ 100 h 100"/>
                <a:gd name="T6" fmla="*/ 7 w 42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7" y="0"/>
                  </a:moveTo>
                  <a:lnTo>
                    <a:pt x="0" y="3"/>
                  </a:lnTo>
                  <a:lnTo>
                    <a:pt x="42" y="10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7" name="Freeform 218">
              <a:extLst>
                <a:ext uri="{FF2B5EF4-FFF2-40B4-BE49-F238E27FC236}">
                  <a16:creationId xmlns:a16="http://schemas.microsoft.com/office/drawing/2014/main" id="{96ADDB72-0364-47DE-9763-0CF8C891D4F6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48"/>
                <a:gd name="T1" fmla="*/ 0 h 97"/>
                <a:gd name="T2" fmla="*/ 0 w 48"/>
                <a:gd name="T3" fmla="*/ 3 h 97"/>
                <a:gd name="T4" fmla="*/ 48 w 48"/>
                <a:gd name="T5" fmla="*/ 97 h 97"/>
                <a:gd name="T6" fmla="*/ 6 w 48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7">
                  <a:moveTo>
                    <a:pt x="6" y="0"/>
                  </a:moveTo>
                  <a:lnTo>
                    <a:pt x="0" y="3"/>
                  </a:lnTo>
                  <a:lnTo>
                    <a:pt x="48" y="97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8" name="Freeform 219">
              <a:extLst>
                <a:ext uri="{FF2B5EF4-FFF2-40B4-BE49-F238E27FC236}">
                  <a16:creationId xmlns:a16="http://schemas.microsoft.com/office/drawing/2014/main" id="{3591C935-6BB3-4737-8062-E07CEE6F875E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54"/>
                <a:gd name="T1" fmla="*/ 0 h 94"/>
                <a:gd name="T2" fmla="*/ 0 w 54"/>
                <a:gd name="T3" fmla="*/ 4 h 94"/>
                <a:gd name="T4" fmla="*/ 54 w 54"/>
                <a:gd name="T5" fmla="*/ 94 h 94"/>
                <a:gd name="T6" fmla="*/ 6 w 54"/>
                <a:gd name="T7" fmla="*/ 0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4">
                  <a:moveTo>
                    <a:pt x="6" y="0"/>
                  </a:moveTo>
                  <a:lnTo>
                    <a:pt x="0" y="4"/>
                  </a:lnTo>
                  <a:lnTo>
                    <a:pt x="54" y="94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9" name="Freeform 220">
              <a:extLst>
                <a:ext uri="{FF2B5EF4-FFF2-40B4-BE49-F238E27FC236}">
                  <a16:creationId xmlns:a16="http://schemas.microsoft.com/office/drawing/2014/main" id="{163A7D10-A90F-46C1-91E2-654A23ABF482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0"/>
                <a:gd name="T1" fmla="*/ 0 h 90"/>
                <a:gd name="T2" fmla="*/ 0 w 60"/>
                <a:gd name="T3" fmla="*/ 4 h 90"/>
                <a:gd name="T4" fmla="*/ 60 w 60"/>
                <a:gd name="T5" fmla="*/ 90 h 90"/>
                <a:gd name="T6" fmla="*/ 6 w 60"/>
                <a:gd name="T7" fmla="*/ 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6" y="0"/>
                  </a:moveTo>
                  <a:lnTo>
                    <a:pt x="0" y="4"/>
                  </a:lnTo>
                  <a:lnTo>
                    <a:pt x="60" y="9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0" name="Freeform 221">
              <a:extLst>
                <a:ext uri="{FF2B5EF4-FFF2-40B4-BE49-F238E27FC236}">
                  <a16:creationId xmlns:a16="http://schemas.microsoft.com/office/drawing/2014/main" id="{251BD2D0-BD3D-4313-83E2-0467111ABF99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6"/>
                <a:gd name="T1" fmla="*/ 0 h 86"/>
                <a:gd name="T2" fmla="*/ 0 w 66"/>
                <a:gd name="T3" fmla="*/ 4 h 86"/>
                <a:gd name="T4" fmla="*/ 66 w 66"/>
                <a:gd name="T5" fmla="*/ 86 h 86"/>
                <a:gd name="T6" fmla="*/ 6 w 66"/>
                <a:gd name="T7" fmla="*/ 0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6" y="0"/>
                  </a:moveTo>
                  <a:lnTo>
                    <a:pt x="0" y="4"/>
                  </a:lnTo>
                  <a:lnTo>
                    <a:pt x="66" y="8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1" name="Freeform 222">
              <a:extLst>
                <a:ext uri="{FF2B5EF4-FFF2-40B4-BE49-F238E27FC236}">
                  <a16:creationId xmlns:a16="http://schemas.microsoft.com/office/drawing/2014/main" id="{51CC8BA5-FF82-491B-AE3C-20C5E3D2682E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72"/>
                <a:gd name="T1" fmla="*/ 0 h 82"/>
                <a:gd name="T2" fmla="*/ 0 w 72"/>
                <a:gd name="T3" fmla="*/ 5 h 82"/>
                <a:gd name="T4" fmla="*/ 72 w 72"/>
                <a:gd name="T5" fmla="*/ 82 h 82"/>
                <a:gd name="T6" fmla="*/ 6 w 72"/>
                <a:gd name="T7" fmla="*/ 0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6" y="0"/>
                  </a:moveTo>
                  <a:lnTo>
                    <a:pt x="0" y="5"/>
                  </a:lnTo>
                  <a:lnTo>
                    <a:pt x="72" y="8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2" name="Freeform 223">
              <a:extLst>
                <a:ext uri="{FF2B5EF4-FFF2-40B4-BE49-F238E27FC236}">
                  <a16:creationId xmlns:a16="http://schemas.microsoft.com/office/drawing/2014/main" id="{CF380395-54EB-498F-8F73-4A02360FBD28}"/>
                </a:ext>
              </a:extLst>
            </xdr:cNvPr>
            <xdr:cNvSpPr>
              <a:spLocks/>
            </xdr:cNvSpPr>
          </xdr:nvSpPr>
          <xdr:spPr bwMode="auto">
            <a:xfrm>
              <a:off x="930" y="201"/>
              <a:ext cx="1" cy="1"/>
            </a:xfrm>
            <a:custGeom>
              <a:avLst/>
              <a:gdLst>
                <a:gd name="T0" fmla="*/ 5 w 77"/>
                <a:gd name="T1" fmla="*/ 0 h 77"/>
                <a:gd name="T2" fmla="*/ 0 w 77"/>
                <a:gd name="T3" fmla="*/ 5 h 77"/>
                <a:gd name="T4" fmla="*/ 77 w 77"/>
                <a:gd name="T5" fmla="*/ 77 h 77"/>
                <a:gd name="T6" fmla="*/ 5 w 77"/>
                <a:gd name="T7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5" y="0"/>
                  </a:moveTo>
                  <a:lnTo>
                    <a:pt x="0" y="5"/>
                  </a:lnTo>
                  <a:lnTo>
                    <a:pt x="77" y="7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3" name="Freeform 224">
              <a:extLst>
                <a:ext uri="{FF2B5EF4-FFF2-40B4-BE49-F238E27FC236}">
                  <a16:creationId xmlns:a16="http://schemas.microsoft.com/office/drawing/2014/main" id="{70330754-6B35-4D0B-A512-E51CB1B6B3D2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81"/>
                <a:gd name="T1" fmla="*/ 0 h 72"/>
                <a:gd name="T2" fmla="*/ 0 w 81"/>
                <a:gd name="T3" fmla="*/ 5 h 72"/>
                <a:gd name="T4" fmla="*/ 81 w 81"/>
                <a:gd name="T5" fmla="*/ 72 h 72"/>
                <a:gd name="T6" fmla="*/ 4 w 81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4" y="0"/>
                  </a:moveTo>
                  <a:lnTo>
                    <a:pt x="0" y="5"/>
                  </a:lnTo>
                  <a:lnTo>
                    <a:pt x="81" y="7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4" name="Freeform 225">
              <a:extLst>
                <a:ext uri="{FF2B5EF4-FFF2-40B4-BE49-F238E27FC236}">
                  <a16:creationId xmlns:a16="http://schemas.microsoft.com/office/drawing/2014/main" id="{3DF78964-B493-4755-9E73-E3EF935E6A8A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5 w 86"/>
                <a:gd name="T1" fmla="*/ 0 h 67"/>
                <a:gd name="T2" fmla="*/ 0 w 86"/>
                <a:gd name="T3" fmla="*/ 6 h 67"/>
                <a:gd name="T4" fmla="*/ 86 w 86"/>
                <a:gd name="T5" fmla="*/ 67 h 67"/>
                <a:gd name="T6" fmla="*/ 5 w 86"/>
                <a:gd name="T7" fmla="*/ 0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5" y="0"/>
                  </a:moveTo>
                  <a:lnTo>
                    <a:pt x="0" y="6"/>
                  </a:lnTo>
                  <a:lnTo>
                    <a:pt x="86" y="6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5" name="Freeform 226">
              <a:extLst>
                <a:ext uri="{FF2B5EF4-FFF2-40B4-BE49-F238E27FC236}">
                  <a16:creationId xmlns:a16="http://schemas.microsoft.com/office/drawing/2014/main" id="{A05C1138-DBFF-400B-9CB3-265C0087F1FB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90"/>
                <a:gd name="T1" fmla="*/ 0 h 61"/>
                <a:gd name="T2" fmla="*/ 0 w 90"/>
                <a:gd name="T3" fmla="*/ 6 h 61"/>
                <a:gd name="T4" fmla="*/ 90 w 90"/>
                <a:gd name="T5" fmla="*/ 61 h 61"/>
                <a:gd name="T6" fmla="*/ 4 w 90"/>
                <a:gd name="T7" fmla="*/ 0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4" y="0"/>
                  </a:moveTo>
                  <a:lnTo>
                    <a:pt x="0" y="6"/>
                  </a:lnTo>
                  <a:lnTo>
                    <a:pt x="90" y="6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6" name="Freeform 227">
              <a:extLst>
                <a:ext uri="{FF2B5EF4-FFF2-40B4-BE49-F238E27FC236}">
                  <a16:creationId xmlns:a16="http://schemas.microsoft.com/office/drawing/2014/main" id="{955F6EB9-258D-4E02-9CF1-F3DF9BF5B30A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3"/>
                <a:gd name="T1" fmla="*/ 0 h 55"/>
                <a:gd name="T2" fmla="*/ 0 w 93"/>
                <a:gd name="T3" fmla="*/ 6 h 55"/>
                <a:gd name="T4" fmla="*/ 93 w 93"/>
                <a:gd name="T5" fmla="*/ 55 h 55"/>
                <a:gd name="T6" fmla="*/ 3 w 93"/>
                <a:gd name="T7" fmla="*/ 0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5">
                  <a:moveTo>
                    <a:pt x="3" y="0"/>
                  </a:moveTo>
                  <a:lnTo>
                    <a:pt x="0" y="6"/>
                  </a:lnTo>
                  <a:lnTo>
                    <a:pt x="93" y="55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7" name="Freeform 228">
              <a:extLst>
                <a:ext uri="{FF2B5EF4-FFF2-40B4-BE49-F238E27FC236}">
                  <a16:creationId xmlns:a16="http://schemas.microsoft.com/office/drawing/2014/main" id="{BB9F2476-8C30-4D50-B21C-619070A09A60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6"/>
                <a:gd name="T1" fmla="*/ 0 h 49"/>
                <a:gd name="T2" fmla="*/ 0 w 96"/>
                <a:gd name="T3" fmla="*/ 7 h 49"/>
                <a:gd name="T4" fmla="*/ 96 w 96"/>
                <a:gd name="T5" fmla="*/ 49 h 49"/>
                <a:gd name="T6" fmla="*/ 3 w 96"/>
                <a:gd name="T7" fmla="*/ 0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9">
                  <a:moveTo>
                    <a:pt x="3" y="0"/>
                  </a:moveTo>
                  <a:lnTo>
                    <a:pt x="0" y="7"/>
                  </a:lnTo>
                  <a:lnTo>
                    <a:pt x="96" y="49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8" name="Freeform 229">
              <a:extLst>
                <a:ext uri="{FF2B5EF4-FFF2-40B4-BE49-F238E27FC236}">
                  <a16:creationId xmlns:a16="http://schemas.microsoft.com/office/drawing/2014/main" id="{EA2BB4EF-3CB1-4838-9202-87D2DB6D7592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9"/>
                <a:gd name="T1" fmla="*/ 0 h 42"/>
                <a:gd name="T2" fmla="*/ 0 w 99"/>
                <a:gd name="T3" fmla="*/ 6 h 42"/>
                <a:gd name="T4" fmla="*/ 99 w 99"/>
                <a:gd name="T5" fmla="*/ 42 h 42"/>
                <a:gd name="T6" fmla="*/ 3 w 99"/>
                <a:gd name="T7" fmla="*/ 0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3" y="0"/>
                  </a:moveTo>
                  <a:lnTo>
                    <a:pt x="0" y="6"/>
                  </a:lnTo>
                  <a:lnTo>
                    <a:pt x="99" y="4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9" name="Freeform 230">
              <a:extLst>
                <a:ext uri="{FF2B5EF4-FFF2-40B4-BE49-F238E27FC236}">
                  <a16:creationId xmlns:a16="http://schemas.microsoft.com/office/drawing/2014/main" id="{92707E26-2865-412C-97F7-8777AB63D1C1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1"/>
                <a:gd name="T1" fmla="*/ 0 h 36"/>
                <a:gd name="T2" fmla="*/ 0 w 101"/>
                <a:gd name="T3" fmla="*/ 7 h 36"/>
                <a:gd name="T4" fmla="*/ 101 w 101"/>
                <a:gd name="T5" fmla="*/ 36 h 36"/>
                <a:gd name="T6" fmla="*/ 2 w 101"/>
                <a:gd name="T7" fmla="*/ 0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2" y="0"/>
                  </a:moveTo>
                  <a:lnTo>
                    <a:pt x="0" y="7"/>
                  </a:lnTo>
                  <a:lnTo>
                    <a:pt x="101" y="3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0" name="Freeform 231">
              <a:extLst>
                <a:ext uri="{FF2B5EF4-FFF2-40B4-BE49-F238E27FC236}">
                  <a16:creationId xmlns:a16="http://schemas.microsoft.com/office/drawing/2014/main" id="{C8DB83B2-E2D3-4473-97E6-C2E705C45463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3"/>
                <a:gd name="T1" fmla="*/ 0 h 29"/>
                <a:gd name="T2" fmla="*/ 0 w 103"/>
                <a:gd name="T3" fmla="*/ 7 h 29"/>
                <a:gd name="T4" fmla="*/ 103 w 103"/>
                <a:gd name="T5" fmla="*/ 29 h 29"/>
                <a:gd name="T6" fmla="*/ 2 w 103"/>
                <a:gd name="T7" fmla="*/ 0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2" y="0"/>
                  </a:moveTo>
                  <a:lnTo>
                    <a:pt x="0" y="7"/>
                  </a:lnTo>
                  <a:lnTo>
                    <a:pt x="103" y="29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1" name="Freeform 232">
              <a:extLst>
                <a:ext uri="{FF2B5EF4-FFF2-40B4-BE49-F238E27FC236}">
                  <a16:creationId xmlns:a16="http://schemas.microsoft.com/office/drawing/2014/main" id="{46CCD19A-CF37-4EFD-A55B-2D23CED16240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1 w 104"/>
                <a:gd name="T1" fmla="*/ 0 h 22"/>
                <a:gd name="T2" fmla="*/ 0 w 104"/>
                <a:gd name="T3" fmla="*/ 7 h 22"/>
                <a:gd name="T4" fmla="*/ 104 w 104"/>
                <a:gd name="T5" fmla="*/ 22 h 22"/>
                <a:gd name="T6" fmla="*/ 1 w 104"/>
                <a:gd name="T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" y="0"/>
                  </a:moveTo>
                  <a:lnTo>
                    <a:pt x="0" y="7"/>
                  </a:lnTo>
                  <a:lnTo>
                    <a:pt x="104" y="2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2" name="Freeform 233">
              <a:extLst>
                <a:ext uri="{FF2B5EF4-FFF2-40B4-BE49-F238E27FC236}">
                  <a16:creationId xmlns:a16="http://schemas.microsoft.com/office/drawing/2014/main" id="{D8DE2619-CAC7-49D5-AEB5-0E619EEA99AA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8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8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3" name="Freeform 234">
              <a:extLst>
                <a:ext uri="{FF2B5EF4-FFF2-40B4-BE49-F238E27FC236}">
                  <a16:creationId xmlns:a16="http://schemas.microsoft.com/office/drawing/2014/main" id="{81A534CF-41AB-46A2-8C0D-7675EA9AD4D1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7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4" name="Freeform 235">
              <a:extLst>
                <a:ext uri="{FF2B5EF4-FFF2-40B4-BE49-F238E27FC236}">
                  <a16:creationId xmlns:a16="http://schemas.microsoft.com/office/drawing/2014/main" id="{8F28CAE1-6119-45BF-966B-1C656105A51D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5" name="Freeform 236">
              <a:extLst>
                <a:ext uri="{FF2B5EF4-FFF2-40B4-BE49-F238E27FC236}">
                  <a16:creationId xmlns:a16="http://schemas.microsoft.com/office/drawing/2014/main" id="{A386FD33-44FE-426A-AC4C-7E3705F72BBA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7 h 14"/>
                <a:gd name="T2" fmla="*/ 1 w 105"/>
                <a:gd name="T3" fmla="*/ 14 h 14"/>
                <a:gd name="T4" fmla="*/ 105 w 105"/>
                <a:gd name="T5" fmla="*/ 0 h 14"/>
                <a:gd name="T6" fmla="*/ 0 w 105"/>
                <a:gd name="T7" fmla="*/ 7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0" y="7"/>
                  </a:moveTo>
                  <a:lnTo>
                    <a:pt x="1" y="14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6" name="Freeform 237">
              <a:extLst>
                <a:ext uri="{FF2B5EF4-FFF2-40B4-BE49-F238E27FC236}">
                  <a16:creationId xmlns:a16="http://schemas.microsoft.com/office/drawing/2014/main" id="{5DA6F97D-A3EC-47DC-9026-8E70B6F3F8D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4"/>
                <a:gd name="T1" fmla="*/ 14 h 21"/>
                <a:gd name="T2" fmla="*/ 1 w 104"/>
                <a:gd name="T3" fmla="*/ 21 h 21"/>
                <a:gd name="T4" fmla="*/ 104 w 104"/>
                <a:gd name="T5" fmla="*/ 0 h 21"/>
                <a:gd name="T6" fmla="*/ 0 w 104"/>
                <a:gd name="T7" fmla="*/ 14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0" y="14"/>
                  </a:moveTo>
                  <a:lnTo>
                    <a:pt x="1" y="21"/>
                  </a:lnTo>
                  <a:lnTo>
                    <a:pt x="104" y="0"/>
                  </a:lnTo>
                  <a:lnTo>
                    <a:pt x="0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7" name="Freeform 238">
              <a:extLst>
                <a:ext uri="{FF2B5EF4-FFF2-40B4-BE49-F238E27FC236}">
                  <a16:creationId xmlns:a16="http://schemas.microsoft.com/office/drawing/2014/main" id="{4361351E-986D-43A1-B893-5B91F5B507BE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3"/>
                <a:gd name="T1" fmla="*/ 21 h 28"/>
                <a:gd name="T2" fmla="*/ 2 w 103"/>
                <a:gd name="T3" fmla="*/ 28 h 28"/>
                <a:gd name="T4" fmla="*/ 103 w 103"/>
                <a:gd name="T5" fmla="*/ 0 h 28"/>
                <a:gd name="T6" fmla="*/ 0 w 103"/>
                <a:gd name="T7" fmla="*/ 21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0" y="21"/>
                  </a:moveTo>
                  <a:lnTo>
                    <a:pt x="2" y="28"/>
                  </a:lnTo>
                  <a:lnTo>
                    <a:pt x="103" y="0"/>
                  </a:lnTo>
                  <a:lnTo>
                    <a:pt x="0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8" name="Freeform 239">
              <a:extLst>
                <a:ext uri="{FF2B5EF4-FFF2-40B4-BE49-F238E27FC236}">
                  <a16:creationId xmlns:a16="http://schemas.microsoft.com/office/drawing/2014/main" id="{6DB8C5E7-74A6-45AD-8344-E0799E7862EC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1"/>
                <a:gd name="T1" fmla="*/ 28 h 35"/>
                <a:gd name="T2" fmla="*/ 2 w 101"/>
                <a:gd name="T3" fmla="*/ 35 h 35"/>
                <a:gd name="T4" fmla="*/ 101 w 101"/>
                <a:gd name="T5" fmla="*/ 0 h 35"/>
                <a:gd name="T6" fmla="*/ 0 w 101"/>
                <a:gd name="T7" fmla="*/ 28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5">
                  <a:moveTo>
                    <a:pt x="0" y="28"/>
                  </a:moveTo>
                  <a:lnTo>
                    <a:pt x="2" y="35"/>
                  </a:lnTo>
                  <a:lnTo>
                    <a:pt x="101" y="0"/>
                  </a:lnTo>
                  <a:lnTo>
                    <a:pt x="0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9" name="Freeform 240">
              <a:extLst>
                <a:ext uri="{FF2B5EF4-FFF2-40B4-BE49-F238E27FC236}">
                  <a16:creationId xmlns:a16="http://schemas.microsoft.com/office/drawing/2014/main" id="{553F3B77-FE69-417B-8205-9143CC1B639A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9"/>
                <a:gd name="T1" fmla="*/ 35 h 42"/>
                <a:gd name="T2" fmla="*/ 3 w 99"/>
                <a:gd name="T3" fmla="*/ 42 h 42"/>
                <a:gd name="T4" fmla="*/ 99 w 99"/>
                <a:gd name="T5" fmla="*/ 0 h 42"/>
                <a:gd name="T6" fmla="*/ 0 w 99"/>
                <a:gd name="T7" fmla="*/ 35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0" y="35"/>
                  </a:moveTo>
                  <a:lnTo>
                    <a:pt x="3" y="42"/>
                  </a:lnTo>
                  <a:lnTo>
                    <a:pt x="99" y="0"/>
                  </a:lnTo>
                  <a:lnTo>
                    <a:pt x="0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0" name="Freeform 241">
              <a:extLst>
                <a:ext uri="{FF2B5EF4-FFF2-40B4-BE49-F238E27FC236}">
                  <a16:creationId xmlns:a16="http://schemas.microsoft.com/office/drawing/2014/main" id="{5F9D340B-18D3-4777-A422-1E3B4E532632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6"/>
                <a:gd name="T1" fmla="*/ 42 h 48"/>
                <a:gd name="T2" fmla="*/ 3 w 96"/>
                <a:gd name="T3" fmla="*/ 48 h 48"/>
                <a:gd name="T4" fmla="*/ 96 w 96"/>
                <a:gd name="T5" fmla="*/ 0 h 48"/>
                <a:gd name="T6" fmla="*/ 0 w 96"/>
                <a:gd name="T7" fmla="*/ 42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8">
                  <a:moveTo>
                    <a:pt x="0" y="42"/>
                  </a:moveTo>
                  <a:lnTo>
                    <a:pt x="3" y="48"/>
                  </a:lnTo>
                  <a:lnTo>
                    <a:pt x="96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1" name="Freeform 242">
              <a:extLst>
                <a:ext uri="{FF2B5EF4-FFF2-40B4-BE49-F238E27FC236}">
                  <a16:creationId xmlns:a16="http://schemas.microsoft.com/office/drawing/2014/main" id="{9F0E9CDD-2007-455E-B431-CC289D6C2977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3"/>
                <a:gd name="T1" fmla="*/ 48 h 54"/>
                <a:gd name="T2" fmla="*/ 3 w 93"/>
                <a:gd name="T3" fmla="*/ 54 h 54"/>
                <a:gd name="T4" fmla="*/ 93 w 93"/>
                <a:gd name="T5" fmla="*/ 0 h 54"/>
                <a:gd name="T6" fmla="*/ 0 w 93"/>
                <a:gd name="T7" fmla="*/ 48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4">
                  <a:moveTo>
                    <a:pt x="0" y="48"/>
                  </a:moveTo>
                  <a:lnTo>
                    <a:pt x="3" y="54"/>
                  </a:lnTo>
                  <a:lnTo>
                    <a:pt x="93" y="0"/>
                  </a:lnTo>
                  <a:lnTo>
                    <a:pt x="0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2" name="Freeform 243">
              <a:extLst>
                <a:ext uri="{FF2B5EF4-FFF2-40B4-BE49-F238E27FC236}">
                  <a16:creationId xmlns:a16="http://schemas.microsoft.com/office/drawing/2014/main" id="{59B08C80-E60E-40FF-87C0-C1B4A54DB2A2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0"/>
                <a:gd name="T1" fmla="*/ 54 h 60"/>
                <a:gd name="T2" fmla="*/ 4 w 90"/>
                <a:gd name="T3" fmla="*/ 60 h 60"/>
                <a:gd name="T4" fmla="*/ 90 w 90"/>
                <a:gd name="T5" fmla="*/ 0 h 60"/>
                <a:gd name="T6" fmla="*/ 0 w 90"/>
                <a:gd name="T7" fmla="*/ 54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0" y="54"/>
                  </a:moveTo>
                  <a:lnTo>
                    <a:pt x="4" y="60"/>
                  </a:lnTo>
                  <a:lnTo>
                    <a:pt x="90" y="0"/>
                  </a:lnTo>
                  <a:lnTo>
                    <a:pt x="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3" name="Freeform 244">
              <a:extLst>
                <a:ext uri="{FF2B5EF4-FFF2-40B4-BE49-F238E27FC236}">
                  <a16:creationId xmlns:a16="http://schemas.microsoft.com/office/drawing/2014/main" id="{9ED7D817-37FC-497C-B69C-96E814271602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6"/>
                <a:gd name="T1" fmla="*/ 60 h 66"/>
                <a:gd name="T2" fmla="*/ 5 w 86"/>
                <a:gd name="T3" fmla="*/ 66 h 66"/>
                <a:gd name="T4" fmla="*/ 86 w 86"/>
                <a:gd name="T5" fmla="*/ 0 h 66"/>
                <a:gd name="T6" fmla="*/ 0 w 86"/>
                <a:gd name="T7" fmla="*/ 60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0" y="60"/>
                  </a:moveTo>
                  <a:lnTo>
                    <a:pt x="5" y="66"/>
                  </a:lnTo>
                  <a:lnTo>
                    <a:pt x="86" y="0"/>
                  </a:lnTo>
                  <a:lnTo>
                    <a:pt x="0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4" name="Freeform 245">
              <a:extLst>
                <a:ext uri="{FF2B5EF4-FFF2-40B4-BE49-F238E27FC236}">
                  <a16:creationId xmlns:a16="http://schemas.microsoft.com/office/drawing/2014/main" id="{6F3CD807-C4E2-4A6A-9A7A-C563EE89865C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1"/>
                <a:gd name="T1" fmla="*/ 66 h 72"/>
                <a:gd name="T2" fmla="*/ 4 w 81"/>
                <a:gd name="T3" fmla="*/ 72 h 72"/>
                <a:gd name="T4" fmla="*/ 81 w 81"/>
                <a:gd name="T5" fmla="*/ 0 h 72"/>
                <a:gd name="T6" fmla="*/ 0 w 81"/>
                <a:gd name="T7" fmla="*/ 66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0" y="66"/>
                  </a:moveTo>
                  <a:lnTo>
                    <a:pt x="4" y="72"/>
                  </a:lnTo>
                  <a:lnTo>
                    <a:pt x="81" y="0"/>
                  </a:lnTo>
                  <a:lnTo>
                    <a:pt x="0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5" name="Freeform 246">
              <a:extLst>
                <a:ext uri="{FF2B5EF4-FFF2-40B4-BE49-F238E27FC236}">
                  <a16:creationId xmlns:a16="http://schemas.microsoft.com/office/drawing/2014/main" id="{A58C5262-0F18-42FA-BDB3-ADE5E4947BF9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7"/>
                <a:gd name="T1" fmla="*/ 72 h 77"/>
                <a:gd name="T2" fmla="*/ 5 w 77"/>
                <a:gd name="T3" fmla="*/ 77 h 77"/>
                <a:gd name="T4" fmla="*/ 77 w 77"/>
                <a:gd name="T5" fmla="*/ 0 h 77"/>
                <a:gd name="T6" fmla="*/ 0 w 77"/>
                <a:gd name="T7" fmla="*/ 72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0" y="72"/>
                  </a:moveTo>
                  <a:lnTo>
                    <a:pt x="5" y="77"/>
                  </a:lnTo>
                  <a:lnTo>
                    <a:pt x="77" y="0"/>
                  </a:lnTo>
                  <a:lnTo>
                    <a:pt x="0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6" name="Freeform 247">
              <a:extLst>
                <a:ext uri="{FF2B5EF4-FFF2-40B4-BE49-F238E27FC236}">
                  <a16:creationId xmlns:a16="http://schemas.microsoft.com/office/drawing/2014/main" id="{3A39BE74-7EBD-47C4-A7FE-903DA049CA91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2"/>
                <a:gd name="T1" fmla="*/ 77 h 81"/>
                <a:gd name="T2" fmla="*/ 6 w 72"/>
                <a:gd name="T3" fmla="*/ 81 h 81"/>
                <a:gd name="T4" fmla="*/ 72 w 72"/>
                <a:gd name="T5" fmla="*/ 0 h 81"/>
                <a:gd name="T6" fmla="*/ 0 w 72"/>
                <a:gd name="T7" fmla="*/ 77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0" y="77"/>
                  </a:moveTo>
                  <a:lnTo>
                    <a:pt x="6" y="81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7" name="Freeform 248">
              <a:extLst>
                <a:ext uri="{FF2B5EF4-FFF2-40B4-BE49-F238E27FC236}">
                  <a16:creationId xmlns:a16="http://schemas.microsoft.com/office/drawing/2014/main" id="{429F5E54-4B7B-45CA-B504-F72E185817A0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6"/>
                <a:gd name="T1" fmla="*/ 81 h 86"/>
                <a:gd name="T2" fmla="*/ 6 w 66"/>
                <a:gd name="T3" fmla="*/ 86 h 86"/>
                <a:gd name="T4" fmla="*/ 66 w 66"/>
                <a:gd name="T5" fmla="*/ 0 h 86"/>
                <a:gd name="T6" fmla="*/ 0 w 66"/>
                <a:gd name="T7" fmla="*/ 81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0" y="81"/>
                  </a:moveTo>
                  <a:lnTo>
                    <a:pt x="6" y="86"/>
                  </a:lnTo>
                  <a:lnTo>
                    <a:pt x="66" y="0"/>
                  </a:lnTo>
                  <a:lnTo>
                    <a:pt x="0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8" name="Freeform 249">
              <a:extLst>
                <a:ext uri="{FF2B5EF4-FFF2-40B4-BE49-F238E27FC236}">
                  <a16:creationId xmlns:a16="http://schemas.microsoft.com/office/drawing/2014/main" id="{5AE60A0B-B08E-49C2-B892-F6001DA530BF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0"/>
                <a:gd name="T1" fmla="*/ 86 h 90"/>
                <a:gd name="T2" fmla="*/ 6 w 60"/>
                <a:gd name="T3" fmla="*/ 90 h 90"/>
                <a:gd name="T4" fmla="*/ 60 w 60"/>
                <a:gd name="T5" fmla="*/ 0 h 90"/>
                <a:gd name="T6" fmla="*/ 0 w 60"/>
                <a:gd name="T7" fmla="*/ 86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0" y="86"/>
                  </a:moveTo>
                  <a:lnTo>
                    <a:pt x="6" y="90"/>
                  </a:lnTo>
                  <a:lnTo>
                    <a:pt x="60" y="0"/>
                  </a:lnTo>
                  <a:lnTo>
                    <a:pt x="0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9" name="Freeform 250">
              <a:extLst>
                <a:ext uri="{FF2B5EF4-FFF2-40B4-BE49-F238E27FC236}">
                  <a16:creationId xmlns:a16="http://schemas.microsoft.com/office/drawing/2014/main" id="{D72ECF2C-C0B0-46F5-BDB8-988214BCA9C7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54"/>
                <a:gd name="T1" fmla="*/ 90 h 93"/>
                <a:gd name="T2" fmla="*/ 6 w 54"/>
                <a:gd name="T3" fmla="*/ 93 h 93"/>
                <a:gd name="T4" fmla="*/ 54 w 54"/>
                <a:gd name="T5" fmla="*/ 0 h 93"/>
                <a:gd name="T6" fmla="*/ 0 w 54"/>
                <a:gd name="T7" fmla="*/ 9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3">
                  <a:moveTo>
                    <a:pt x="0" y="90"/>
                  </a:moveTo>
                  <a:lnTo>
                    <a:pt x="6" y="93"/>
                  </a:lnTo>
                  <a:lnTo>
                    <a:pt x="54" y="0"/>
                  </a:lnTo>
                  <a:lnTo>
                    <a:pt x="0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" name="Freeform 251">
              <a:extLst>
                <a:ext uri="{FF2B5EF4-FFF2-40B4-BE49-F238E27FC236}">
                  <a16:creationId xmlns:a16="http://schemas.microsoft.com/office/drawing/2014/main" id="{F058029A-4C1C-48B5-B59A-77E2DDF00B45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48"/>
                <a:gd name="T1" fmla="*/ 93 h 96"/>
                <a:gd name="T2" fmla="*/ 6 w 48"/>
                <a:gd name="T3" fmla="*/ 96 h 96"/>
                <a:gd name="T4" fmla="*/ 48 w 48"/>
                <a:gd name="T5" fmla="*/ 0 h 96"/>
                <a:gd name="T6" fmla="*/ 0 w 48"/>
                <a:gd name="T7" fmla="*/ 9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6">
                  <a:moveTo>
                    <a:pt x="0" y="93"/>
                  </a:moveTo>
                  <a:lnTo>
                    <a:pt x="6" y="96"/>
                  </a:lnTo>
                  <a:lnTo>
                    <a:pt x="48" y="0"/>
                  </a:lnTo>
                  <a:lnTo>
                    <a:pt x="0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5" name="Group 453">
            <a:extLst>
              <a:ext uri="{FF2B5EF4-FFF2-40B4-BE49-F238E27FC236}">
                <a16:creationId xmlns:a16="http://schemas.microsoft.com/office/drawing/2014/main" id="{64724D66-6C18-4025-A99D-20F8A94F38EF}"/>
              </a:ext>
            </a:extLst>
          </xdr:cNvPr>
          <xdr:cNvGrpSpPr>
            <a:grpSpLocks/>
          </xdr:cNvGrpSpPr>
        </xdr:nvGrpSpPr>
        <xdr:grpSpPr bwMode="auto">
          <a:xfrm>
            <a:off x="930" y="188"/>
            <a:ext cx="262" cy="16"/>
            <a:chOff x="930" y="188"/>
            <a:chExt cx="262" cy="16"/>
          </a:xfrm>
        </xdr:grpSpPr>
        <xdr:sp macro="" textlink="">
          <xdr:nvSpPr>
            <xdr:cNvPr id="141" name="Freeform 253">
              <a:extLst>
                <a:ext uri="{FF2B5EF4-FFF2-40B4-BE49-F238E27FC236}">
                  <a16:creationId xmlns:a16="http://schemas.microsoft.com/office/drawing/2014/main" id="{EDD63CFA-AF64-430B-8531-6B588D0792E8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42"/>
                <a:gd name="T1" fmla="*/ 96 h 99"/>
                <a:gd name="T2" fmla="*/ 7 w 42"/>
                <a:gd name="T3" fmla="*/ 99 h 99"/>
                <a:gd name="T4" fmla="*/ 42 w 42"/>
                <a:gd name="T5" fmla="*/ 0 h 99"/>
                <a:gd name="T6" fmla="*/ 0 w 42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0" y="96"/>
                  </a:moveTo>
                  <a:lnTo>
                    <a:pt x="7" y="99"/>
                  </a:lnTo>
                  <a:lnTo>
                    <a:pt x="42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2" name="Freeform 254">
              <a:extLst>
                <a:ext uri="{FF2B5EF4-FFF2-40B4-BE49-F238E27FC236}">
                  <a16:creationId xmlns:a16="http://schemas.microsoft.com/office/drawing/2014/main" id="{E113C2BD-D568-4DD5-A7B2-41E0285EDA84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35"/>
                <a:gd name="T1" fmla="*/ 99 h 101"/>
                <a:gd name="T2" fmla="*/ 7 w 35"/>
                <a:gd name="T3" fmla="*/ 101 h 101"/>
                <a:gd name="T4" fmla="*/ 35 w 35"/>
                <a:gd name="T5" fmla="*/ 0 h 101"/>
                <a:gd name="T6" fmla="*/ 0 w 35"/>
                <a:gd name="T7" fmla="*/ 99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0" y="99"/>
                  </a:moveTo>
                  <a:lnTo>
                    <a:pt x="7" y="101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3" name="Freeform 255">
              <a:extLst>
                <a:ext uri="{FF2B5EF4-FFF2-40B4-BE49-F238E27FC236}">
                  <a16:creationId xmlns:a16="http://schemas.microsoft.com/office/drawing/2014/main" id="{E5D059B1-9C3D-4545-BE4C-E1CE0552C216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8"/>
                <a:gd name="T1" fmla="*/ 101 h 103"/>
                <a:gd name="T2" fmla="*/ 7 w 28"/>
                <a:gd name="T3" fmla="*/ 103 h 103"/>
                <a:gd name="T4" fmla="*/ 28 w 28"/>
                <a:gd name="T5" fmla="*/ 0 h 103"/>
                <a:gd name="T6" fmla="*/ 0 w 28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0" y="101"/>
                  </a:moveTo>
                  <a:lnTo>
                    <a:pt x="7" y="103"/>
                  </a:lnTo>
                  <a:lnTo>
                    <a:pt x="28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4" name="Freeform 256">
              <a:extLst>
                <a:ext uri="{FF2B5EF4-FFF2-40B4-BE49-F238E27FC236}">
                  <a16:creationId xmlns:a16="http://schemas.microsoft.com/office/drawing/2014/main" id="{7515A553-9B74-49A2-BD3D-80E2142413A7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1"/>
                <a:gd name="T1" fmla="*/ 103 h 104"/>
                <a:gd name="T2" fmla="*/ 7 w 21"/>
                <a:gd name="T3" fmla="*/ 104 h 104"/>
                <a:gd name="T4" fmla="*/ 21 w 21"/>
                <a:gd name="T5" fmla="*/ 0 h 104"/>
                <a:gd name="T6" fmla="*/ 0 w 21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4">
                  <a:moveTo>
                    <a:pt x="0" y="103"/>
                  </a:moveTo>
                  <a:lnTo>
                    <a:pt x="7" y="104"/>
                  </a:lnTo>
                  <a:lnTo>
                    <a:pt x="21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5" name="Freeform 257">
              <a:extLst>
                <a:ext uri="{FF2B5EF4-FFF2-40B4-BE49-F238E27FC236}">
                  <a16:creationId xmlns:a16="http://schemas.microsoft.com/office/drawing/2014/main" id="{853C0153-922D-4A45-BC64-4FB3F6511E9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14"/>
                <a:gd name="T1" fmla="*/ 104 h 105"/>
                <a:gd name="T2" fmla="*/ 7 w 14"/>
                <a:gd name="T3" fmla="*/ 105 h 105"/>
                <a:gd name="T4" fmla="*/ 14 w 14"/>
                <a:gd name="T5" fmla="*/ 0 h 105"/>
                <a:gd name="T6" fmla="*/ 0 w 14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0" y="104"/>
                  </a:moveTo>
                  <a:lnTo>
                    <a:pt x="7" y="105"/>
                  </a:lnTo>
                  <a:lnTo>
                    <a:pt x="14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6" name="Freeform 258">
              <a:extLst>
                <a:ext uri="{FF2B5EF4-FFF2-40B4-BE49-F238E27FC236}">
                  <a16:creationId xmlns:a16="http://schemas.microsoft.com/office/drawing/2014/main" id="{551FBA61-252B-4EAB-B899-592D3A95A6BB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7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7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7" name="Freeform 259">
              <a:extLst>
                <a:ext uri="{FF2B5EF4-FFF2-40B4-BE49-F238E27FC236}">
                  <a16:creationId xmlns:a16="http://schemas.microsoft.com/office/drawing/2014/main" id="{C60A42EB-07AD-43DA-AF80-0F954DA4DB49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8" name="Freeform 260">
              <a:extLst>
                <a:ext uri="{FF2B5EF4-FFF2-40B4-BE49-F238E27FC236}">
                  <a16:creationId xmlns:a16="http://schemas.microsoft.com/office/drawing/2014/main" id="{25130380-2A0E-4865-BCC6-0BDB552FDEC1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9" name="Freeform 261">
              <a:extLst>
                <a:ext uri="{FF2B5EF4-FFF2-40B4-BE49-F238E27FC236}">
                  <a16:creationId xmlns:a16="http://schemas.microsoft.com/office/drawing/2014/main" id="{6CEE7F6E-907E-4E28-9910-7D122C7902E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0" name="Freeform 262">
              <a:extLst>
                <a:ext uri="{FF2B5EF4-FFF2-40B4-BE49-F238E27FC236}">
                  <a16:creationId xmlns:a16="http://schemas.microsoft.com/office/drawing/2014/main" id="{53F53AFC-4BCD-4A6E-A71D-B0514D93AD43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2 w 29"/>
                <a:gd name="T1" fmla="*/ 103 h 103"/>
                <a:gd name="T2" fmla="*/ 29 w 29"/>
                <a:gd name="T3" fmla="*/ 101 h 103"/>
                <a:gd name="T4" fmla="*/ 0 w 29"/>
                <a:gd name="T5" fmla="*/ 0 h 103"/>
                <a:gd name="T6" fmla="*/ 22 w 29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2" y="103"/>
                  </a:moveTo>
                  <a:lnTo>
                    <a:pt x="29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1" name="Freeform 263">
              <a:extLst>
                <a:ext uri="{FF2B5EF4-FFF2-40B4-BE49-F238E27FC236}">
                  <a16:creationId xmlns:a16="http://schemas.microsoft.com/office/drawing/2014/main" id="{E1FF67C1-47FE-4B28-80DD-4188C54F6E7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9 w 35"/>
                <a:gd name="T1" fmla="*/ 101 h 101"/>
                <a:gd name="T2" fmla="*/ 35 w 35"/>
                <a:gd name="T3" fmla="*/ 99 h 101"/>
                <a:gd name="T4" fmla="*/ 0 w 35"/>
                <a:gd name="T5" fmla="*/ 0 h 101"/>
                <a:gd name="T6" fmla="*/ 29 w 35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29" y="101"/>
                  </a:moveTo>
                  <a:lnTo>
                    <a:pt x="35" y="99"/>
                  </a:lnTo>
                  <a:lnTo>
                    <a:pt x="0" y="0"/>
                  </a:lnTo>
                  <a:lnTo>
                    <a:pt x="29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2" name="Freeform 264">
              <a:extLst>
                <a:ext uri="{FF2B5EF4-FFF2-40B4-BE49-F238E27FC236}">
                  <a16:creationId xmlns:a16="http://schemas.microsoft.com/office/drawing/2014/main" id="{E4E38FF7-13C1-455A-B127-7397C74493E3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2"/>
            </a:xfrm>
            <a:custGeom>
              <a:avLst/>
              <a:gdLst>
                <a:gd name="T0" fmla="*/ 35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5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5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5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3" name="Freeform 265">
              <a:extLst>
                <a:ext uri="{FF2B5EF4-FFF2-40B4-BE49-F238E27FC236}">
                  <a16:creationId xmlns:a16="http://schemas.microsoft.com/office/drawing/2014/main" id="{BD9C3622-8148-4F24-8775-2CC82EEE800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2 w 49"/>
                <a:gd name="T1" fmla="*/ 96 h 96"/>
                <a:gd name="T2" fmla="*/ 49 w 49"/>
                <a:gd name="T3" fmla="*/ 93 h 96"/>
                <a:gd name="T4" fmla="*/ 0 w 49"/>
                <a:gd name="T5" fmla="*/ 0 h 96"/>
                <a:gd name="T6" fmla="*/ 42 w 49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6">
                  <a:moveTo>
                    <a:pt x="42" y="96"/>
                  </a:moveTo>
                  <a:lnTo>
                    <a:pt x="49" y="93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4" name="Freeform 266">
              <a:extLst>
                <a:ext uri="{FF2B5EF4-FFF2-40B4-BE49-F238E27FC236}">
                  <a16:creationId xmlns:a16="http://schemas.microsoft.com/office/drawing/2014/main" id="{B2CF6465-8458-4765-AD67-573232BEDF05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9 w 55"/>
                <a:gd name="T1" fmla="*/ 93 h 93"/>
                <a:gd name="T2" fmla="*/ 55 w 55"/>
                <a:gd name="T3" fmla="*/ 90 h 93"/>
                <a:gd name="T4" fmla="*/ 0 w 55"/>
                <a:gd name="T5" fmla="*/ 0 h 93"/>
                <a:gd name="T6" fmla="*/ 49 w 55"/>
                <a:gd name="T7" fmla="*/ 93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3">
                  <a:moveTo>
                    <a:pt x="49" y="93"/>
                  </a:moveTo>
                  <a:lnTo>
                    <a:pt x="55" y="90"/>
                  </a:lnTo>
                  <a:lnTo>
                    <a:pt x="0" y="0"/>
                  </a:lnTo>
                  <a:lnTo>
                    <a:pt x="49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5" name="Freeform 267">
              <a:extLst>
                <a:ext uri="{FF2B5EF4-FFF2-40B4-BE49-F238E27FC236}">
                  <a16:creationId xmlns:a16="http://schemas.microsoft.com/office/drawing/2014/main" id="{4EAB925D-9656-484E-A084-FC911373D32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55 w 61"/>
                <a:gd name="T1" fmla="*/ 90 h 90"/>
                <a:gd name="T2" fmla="*/ 61 w 61"/>
                <a:gd name="T3" fmla="*/ 86 h 90"/>
                <a:gd name="T4" fmla="*/ 0 w 61"/>
                <a:gd name="T5" fmla="*/ 0 h 90"/>
                <a:gd name="T6" fmla="*/ 55 w 61"/>
                <a:gd name="T7" fmla="*/ 9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55" y="90"/>
                  </a:moveTo>
                  <a:lnTo>
                    <a:pt x="61" y="86"/>
                  </a:lnTo>
                  <a:lnTo>
                    <a:pt x="0" y="0"/>
                  </a:lnTo>
                  <a:lnTo>
                    <a:pt x="55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6" name="Freeform 268">
              <a:extLst>
                <a:ext uri="{FF2B5EF4-FFF2-40B4-BE49-F238E27FC236}">
                  <a16:creationId xmlns:a16="http://schemas.microsoft.com/office/drawing/2014/main" id="{ED7A796D-F15D-40FE-932D-267D4C2CB07B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1 w 67"/>
                <a:gd name="T1" fmla="*/ 86 h 86"/>
                <a:gd name="T2" fmla="*/ 67 w 67"/>
                <a:gd name="T3" fmla="*/ 81 h 86"/>
                <a:gd name="T4" fmla="*/ 0 w 67"/>
                <a:gd name="T5" fmla="*/ 0 h 86"/>
                <a:gd name="T6" fmla="*/ 61 w 67"/>
                <a:gd name="T7" fmla="*/ 86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1" y="86"/>
                  </a:moveTo>
                  <a:lnTo>
                    <a:pt x="67" y="81"/>
                  </a:lnTo>
                  <a:lnTo>
                    <a:pt x="0" y="0"/>
                  </a:lnTo>
                  <a:lnTo>
                    <a:pt x="61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7" name="Freeform 269">
              <a:extLst>
                <a:ext uri="{FF2B5EF4-FFF2-40B4-BE49-F238E27FC236}">
                  <a16:creationId xmlns:a16="http://schemas.microsoft.com/office/drawing/2014/main" id="{804C9680-7A9D-4C50-BB3E-A69179AF3C95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7 w 72"/>
                <a:gd name="T1" fmla="*/ 81 h 81"/>
                <a:gd name="T2" fmla="*/ 72 w 72"/>
                <a:gd name="T3" fmla="*/ 77 h 81"/>
                <a:gd name="T4" fmla="*/ 0 w 72"/>
                <a:gd name="T5" fmla="*/ 0 h 81"/>
                <a:gd name="T6" fmla="*/ 67 w 72"/>
                <a:gd name="T7" fmla="*/ 81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67" y="81"/>
                  </a:moveTo>
                  <a:lnTo>
                    <a:pt x="72" y="77"/>
                  </a:lnTo>
                  <a:lnTo>
                    <a:pt x="0" y="0"/>
                  </a:lnTo>
                  <a:lnTo>
                    <a:pt x="67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8" name="Freeform 270">
              <a:extLst>
                <a:ext uri="{FF2B5EF4-FFF2-40B4-BE49-F238E27FC236}">
                  <a16:creationId xmlns:a16="http://schemas.microsoft.com/office/drawing/2014/main" id="{9B9AB52C-3778-45C0-8948-25AC8E18563D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2 w 77"/>
                <a:gd name="T1" fmla="*/ 77 h 77"/>
                <a:gd name="T2" fmla="*/ 77 w 77"/>
                <a:gd name="T3" fmla="*/ 72 h 77"/>
                <a:gd name="T4" fmla="*/ 0 w 77"/>
                <a:gd name="T5" fmla="*/ 0 h 77"/>
                <a:gd name="T6" fmla="*/ 72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2" y="77"/>
                  </a:moveTo>
                  <a:lnTo>
                    <a:pt x="77" y="72"/>
                  </a:lnTo>
                  <a:lnTo>
                    <a:pt x="0" y="0"/>
                  </a:lnTo>
                  <a:lnTo>
                    <a:pt x="72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9" name="Freeform 271">
              <a:extLst>
                <a:ext uri="{FF2B5EF4-FFF2-40B4-BE49-F238E27FC236}">
                  <a16:creationId xmlns:a16="http://schemas.microsoft.com/office/drawing/2014/main" id="{D66028BE-280D-42FB-B26A-13C3EB2D85C6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7 w 82"/>
                <a:gd name="T1" fmla="*/ 72 h 72"/>
                <a:gd name="T2" fmla="*/ 82 w 82"/>
                <a:gd name="T3" fmla="*/ 66 h 72"/>
                <a:gd name="T4" fmla="*/ 0 w 82"/>
                <a:gd name="T5" fmla="*/ 0 h 72"/>
                <a:gd name="T6" fmla="*/ 77 w 82"/>
                <a:gd name="T7" fmla="*/ 72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77" y="72"/>
                  </a:moveTo>
                  <a:lnTo>
                    <a:pt x="82" y="66"/>
                  </a:lnTo>
                  <a:lnTo>
                    <a:pt x="0" y="0"/>
                  </a:lnTo>
                  <a:lnTo>
                    <a:pt x="77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0" name="Freeform 272">
              <a:extLst>
                <a:ext uri="{FF2B5EF4-FFF2-40B4-BE49-F238E27FC236}">
                  <a16:creationId xmlns:a16="http://schemas.microsoft.com/office/drawing/2014/main" id="{56EC09F9-0C0D-4B3A-BE49-76B38FE9E49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2 w 86"/>
                <a:gd name="T1" fmla="*/ 66 h 66"/>
                <a:gd name="T2" fmla="*/ 86 w 86"/>
                <a:gd name="T3" fmla="*/ 60 h 66"/>
                <a:gd name="T4" fmla="*/ 0 w 86"/>
                <a:gd name="T5" fmla="*/ 0 h 66"/>
                <a:gd name="T6" fmla="*/ 82 w 86"/>
                <a:gd name="T7" fmla="*/ 66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82" y="66"/>
                  </a:moveTo>
                  <a:lnTo>
                    <a:pt x="86" y="60"/>
                  </a:lnTo>
                  <a:lnTo>
                    <a:pt x="0" y="0"/>
                  </a:lnTo>
                  <a:lnTo>
                    <a:pt x="82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1" name="Freeform 273">
              <a:extLst>
                <a:ext uri="{FF2B5EF4-FFF2-40B4-BE49-F238E27FC236}">
                  <a16:creationId xmlns:a16="http://schemas.microsoft.com/office/drawing/2014/main" id="{758461C9-864C-4904-A059-89DA715E5D5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6 w 90"/>
                <a:gd name="T1" fmla="*/ 60 h 60"/>
                <a:gd name="T2" fmla="*/ 90 w 90"/>
                <a:gd name="T3" fmla="*/ 54 h 60"/>
                <a:gd name="T4" fmla="*/ 0 w 90"/>
                <a:gd name="T5" fmla="*/ 0 h 60"/>
                <a:gd name="T6" fmla="*/ 86 w 90"/>
                <a:gd name="T7" fmla="*/ 60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86" y="60"/>
                  </a:moveTo>
                  <a:lnTo>
                    <a:pt x="90" y="54"/>
                  </a:lnTo>
                  <a:lnTo>
                    <a:pt x="0" y="0"/>
                  </a:lnTo>
                  <a:lnTo>
                    <a:pt x="86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2" name="Freeform 274">
              <a:extLst>
                <a:ext uri="{FF2B5EF4-FFF2-40B4-BE49-F238E27FC236}">
                  <a16:creationId xmlns:a16="http://schemas.microsoft.com/office/drawing/2014/main" id="{C6358316-8343-495E-85EA-F4387EF455DD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0 w 94"/>
                <a:gd name="T1" fmla="*/ 54 h 54"/>
                <a:gd name="T2" fmla="*/ 94 w 94"/>
                <a:gd name="T3" fmla="*/ 48 h 54"/>
                <a:gd name="T4" fmla="*/ 0 w 94"/>
                <a:gd name="T5" fmla="*/ 0 h 54"/>
                <a:gd name="T6" fmla="*/ 90 w 94"/>
                <a:gd name="T7" fmla="*/ 54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4">
                  <a:moveTo>
                    <a:pt x="90" y="54"/>
                  </a:moveTo>
                  <a:lnTo>
                    <a:pt x="94" y="48"/>
                  </a:lnTo>
                  <a:lnTo>
                    <a:pt x="0" y="0"/>
                  </a:lnTo>
                  <a:lnTo>
                    <a:pt x="9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3" name="Freeform 275">
              <a:extLst>
                <a:ext uri="{FF2B5EF4-FFF2-40B4-BE49-F238E27FC236}">
                  <a16:creationId xmlns:a16="http://schemas.microsoft.com/office/drawing/2014/main" id="{2361D9EC-C24C-4668-BAA9-C177D06E0CD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4 w 97"/>
                <a:gd name="T1" fmla="*/ 48 h 48"/>
                <a:gd name="T2" fmla="*/ 97 w 97"/>
                <a:gd name="T3" fmla="*/ 42 h 48"/>
                <a:gd name="T4" fmla="*/ 0 w 97"/>
                <a:gd name="T5" fmla="*/ 0 h 48"/>
                <a:gd name="T6" fmla="*/ 94 w 97"/>
                <a:gd name="T7" fmla="*/ 48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8">
                  <a:moveTo>
                    <a:pt x="94" y="48"/>
                  </a:moveTo>
                  <a:lnTo>
                    <a:pt x="97" y="42"/>
                  </a:lnTo>
                  <a:lnTo>
                    <a:pt x="0" y="0"/>
                  </a:lnTo>
                  <a:lnTo>
                    <a:pt x="94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4" name="Freeform 276">
              <a:extLst>
                <a:ext uri="{FF2B5EF4-FFF2-40B4-BE49-F238E27FC236}">
                  <a16:creationId xmlns:a16="http://schemas.microsoft.com/office/drawing/2014/main" id="{27F425FF-B2B9-4C89-9B48-EBBC1785C15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7 w 99"/>
                <a:gd name="T1" fmla="*/ 42 h 42"/>
                <a:gd name="T2" fmla="*/ 99 w 99"/>
                <a:gd name="T3" fmla="*/ 35 h 42"/>
                <a:gd name="T4" fmla="*/ 0 w 99"/>
                <a:gd name="T5" fmla="*/ 0 h 42"/>
                <a:gd name="T6" fmla="*/ 97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7" y="42"/>
                  </a:moveTo>
                  <a:lnTo>
                    <a:pt x="99" y="35"/>
                  </a:lnTo>
                  <a:lnTo>
                    <a:pt x="0" y="0"/>
                  </a:lnTo>
                  <a:lnTo>
                    <a:pt x="97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5" name="Freeform 277">
              <a:extLst>
                <a:ext uri="{FF2B5EF4-FFF2-40B4-BE49-F238E27FC236}">
                  <a16:creationId xmlns:a16="http://schemas.microsoft.com/office/drawing/2014/main" id="{21328C4A-5FAE-49AE-893B-43C19897C76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99 w 102"/>
                <a:gd name="T1" fmla="*/ 35 h 35"/>
                <a:gd name="T2" fmla="*/ 102 w 102"/>
                <a:gd name="T3" fmla="*/ 28 h 35"/>
                <a:gd name="T4" fmla="*/ 0 w 102"/>
                <a:gd name="T5" fmla="*/ 0 h 35"/>
                <a:gd name="T6" fmla="*/ 99 w 102"/>
                <a:gd name="T7" fmla="*/ 35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99" y="35"/>
                  </a:moveTo>
                  <a:lnTo>
                    <a:pt x="102" y="28"/>
                  </a:lnTo>
                  <a:lnTo>
                    <a:pt x="0" y="0"/>
                  </a:lnTo>
                  <a:lnTo>
                    <a:pt x="99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6" name="Freeform 278">
              <a:extLst>
                <a:ext uri="{FF2B5EF4-FFF2-40B4-BE49-F238E27FC236}">
                  <a16:creationId xmlns:a16="http://schemas.microsoft.com/office/drawing/2014/main" id="{3B8F68E0-4B89-4AB9-9084-53E7C37E504D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2 w 103"/>
                <a:gd name="T1" fmla="*/ 28 h 28"/>
                <a:gd name="T2" fmla="*/ 103 w 103"/>
                <a:gd name="T3" fmla="*/ 21 h 28"/>
                <a:gd name="T4" fmla="*/ 0 w 103"/>
                <a:gd name="T5" fmla="*/ 0 h 28"/>
                <a:gd name="T6" fmla="*/ 102 w 103"/>
                <a:gd name="T7" fmla="*/ 28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102" y="28"/>
                  </a:moveTo>
                  <a:lnTo>
                    <a:pt x="103" y="21"/>
                  </a:lnTo>
                  <a:lnTo>
                    <a:pt x="0" y="0"/>
                  </a:lnTo>
                  <a:lnTo>
                    <a:pt x="102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7" name="Freeform 279">
              <a:extLst>
                <a:ext uri="{FF2B5EF4-FFF2-40B4-BE49-F238E27FC236}">
                  <a16:creationId xmlns:a16="http://schemas.microsoft.com/office/drawing/2014/main" id="{845EEDD6-16EF-44EC-92E5-AF54D4AE1E8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3 w 104"/>
                <a:gd name="T1" fmla="*/ 21 h 21"/>
                <a:gd name="T2" fmla="*/ 104 w 104"/>
                <a:gd name="T3" fmla="*/ 14 h 21"/>
                <a:gd name="T4" fmla="*/ 0 w 104"/>
                <a:gd name="T5" fmla="*/ 0 h 21"/>
                <a:gd name="T6" fmla="*/ 103 w 104"/>
                <a:gd name="T7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103" y="21"/>
                  </a:moveTo>
                  <a:lnTo>
                    <a:pt x="104" y="14"/>
                  </a:lnTo>
                  <a:lnTo>
                    <a:pt x="0" y="0"/>
                  </a:lnTo>
                  <a:lnTo>
                    <a:pt x="103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8" name="Freeform 280">
              <a:extLst>
                <a:ext uri="{FF2B5EF4-FFF2-40B4-BE49-F238E27FC236}">
                  <a16:creationId xmlns:a16="http://schemas.microsoft.com/office/drawing/2014/main" id="{A4210602-D293-4F18-992F-9794841655C1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4 w 105"/>
                <a:gd name="T1" fmla="*/ 14 h 14"/>
                <a:gd name="T2" fmla="*/ 105 w 105"/>
                <a:gd name="T3" fmla="*/ 7 h 14"/>
                <a:gd name="T4" fmla="*/ 0 w 105"/>
                <a:gd name="T5" fmla="*/ 0 h 14"/>
                <a:gd name="T6" fmla="*/ 104 w 105"/>
                <a:gd name="T7" fmla="*/ 14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104" y="14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9" name="Freeform 281">
              <a:extLst>
                <a:ext uri="{FF2B5EF4-FFF2-40B4-BE49-F238E27FC236}">
                  <a16:creationId xmlns:a16="http://schemas.microsoft.com/office/drawing/2014/main" id="{A1F2C85B-14E4-4C39-AC15-8D0372941E13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0" name="Freeform 282">
              <a:extLst>
                <a:ext uri="{FF2B5EF4-FFF2-40B4-BE49-F238E27FC236}">
                  <a16:creationId xmlns:a16="http://schemas.microsoft.com/office/drawing/2014/main" id="{69511032-19A6-47BE-85BE-C0815071751C}"/>
                </a:ext>
              </a:extLst>
            </xdr:cNvPr>
            <xdr:cNvSpPr>
              <a:spLocks/>
            </xdr:cNvSpPr>
          </xdr:nvSpPr>
          <xdr:spPr bwMode="auto">
            <a:xfrm>
              <a:off x="1017" y="188"/>
              <a:ext cx="6" cy="9"/>
            </a:xfrm>
            <a:custGeom>
              <a:avLst/>
              <a:gdLst>
                <a:gd name="T0" fmla="*/ 351 w 351"/>
                <a:gd name="T1" fmla="*/ 439 h 526"/>
                <a:gd name="T2" fmla="*/ 264 w 351"/>
                <a:gd name="T3" fmla="*/ 526 h 526"/>
                <a:gd name="T4" fmla="*/ 87 w 351"/>
                <a:gd name="T5" fmla="*/ 526 h 526"/>
                <a:gd name="T6" fmla="*/ 0 w 351"/>
                <a:gd name="T7" fmla="*/ 439 h 526"/>
                <a:gd name="T8" fmla="*/ 0 w 351"/>
                <a:gd name="T9" fmla="*/ 88 h 526"/>
                <a:gd name="T10" fmla="*/ 87 w 351"/>
                <a:gd name="T11" fmla="*/ 0 h 526"/>
                <a:gd name="T12" fmla="*/ 264 w 351"/>
                <a:gd name="T13" fmla="*/ 0 h 526"/>
                <a:gd name="T14" fmla="*/ 351 w 351"/>
                <a:gd name="T15" fmla="*/ 88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351" h="526">
                  <a:moveTo>
                    <a:pt x="351" y="439"/>
                  </a:moveTo>
                  <a:lnTo>
                    <a:pt x="264" y="526"/>
                  </a:lnTo>
                  <a:lnTo>
                    <a:pt x="87" y="526"/>
                  </a:lnTo>
                  <a:lnTo>
                    <a:pt x="0" y="439"/>
                  </a:lnTo>
                  <a:lnTo>
                    <a:pt x="0" y="88"/>
                  </a:lnTo>
                  <a:lnTo>
                    <a:pt x="87" y="0"/>
                  </a:lnTo>
                  <a:lnTo>
                    <a:pt x="264" y="0"/>
                  </a:lnTo>
                  <a:lnTo>
                    <a:pt x="351" y="88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71" name="Freeform 283">
              <a:extLst>
                <a:ext uri="{FF2B5EF4-FFF2-40B4-BE49-F238E27FC236}">
                  <a16:creationId xmlns:a16="http://schemas.microsoft.com/office/drawing/2014/main" id="{E2F775FD-BD43-48BD-87A0-1DF846F3F5A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8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8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2" name="Freeform 284">
              <a:extLst>
                <a:ext uri="{FF2B5EF4-FFF2-40B4-BE49-F238E27FC236}">
                  <a16:creationId xmlns:a16="http://schemas.microsoft.com/office/drawing/2014/main" id="{7523C870-87E1-4691-93DB-C0F6785F6DB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7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3" name="Freeform 285">
              <a:extLst>
                <a:ext uri="{FF2B5EF4-FFF2-40B4-BE49-F238E27FC236}">
                  <a16:creationId xmlns:a16="http://schemas.microsoft.com/office/drawing/2014/main" id="{14405FB4-C2DB-4417-BF1F-50E3D3C9A1EA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4 w 104"/>
                <a:gd name="T1" fmla="*/ 8 h 23"/>
                <a:gd name="T2" fmla="*/ 103 w 104"/>
                <a:gd name="T3" fmla="*/ 0 h 23"/>
                <a:gd name="T4" fmla="*/ 0 w 104"/>
                <a:gd name="T5" fmla="*/ 23 h 23"/>
                <a:gd name="T6" fmla="*/ 104 w 104"/>
                <a:gd name="T7" fmla="*/ 8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04" y="8"/>
                  </a:moveTo>
                  <a:lnTo>
                    <a:pt x="103" y="0"/>
                  </a:lnTo>
                  <a:lnTo>
                    <a:pt x="0" y="23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4" name="Freeform 286">
              <a:extLst>
                <a:ext uri="{FF2B5EF4-FFF2-40B4-BE49-F238E27FC236}">
                  <a16:creationId xmlns:a16="http://schemas.microsoft.com/office/drawing/2014/main" id="{E675ECD3-83BF-4F4B-8FD4-1308CC619DB8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3 w 103"/>
                <a:gd name="T1" fmla="*/ 7 h 30"/>
                <a:gd name="T2" fmla="*/ 101 w 103"/>
                <a:gd name="T3" fmla="*/ 0 h 30"/>
                <a:gd name="T4" fmla="*/ 0 w 103"/>
                <a:gd name="T5" fmla="*/ 30 h 30"/>
                <a:gd name="T6" fmla="*/ 103 w 103"/>
                <a:gd name="T7" fmla="*/ 7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103" y="7"/>
                  </a:moveTo>
                  <a:lnTo>
                    <a:pt x="101" y="0"/>
                  </a:lnTo>
                  <a:lnTo>
                    <a:pt x="0" y="30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5" name="Freeform 287">
              <a:extLst>
                <a:ext uri="{FF2B5EF4-FFF2-40B4-BE49-F238E27FC236}">
                  <a16:creationId xmlns:a16="http://schemas.microsoft.com/office/drawing/2014/main" id="{983F8A7D-2FB5-4002-BA6C-23984DAB35E3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1 w 101"/>
                <a:gd name="T1" fmla="*/ 7 h 37"/>
                <a:gd name="T2" fmla="*/ 99 w 101"/>
                <a:gd name="T3" fmla="*/ 0 h 37"/>
                <a:gd name="T4" fmla="*/ 0 w 101"/>
                <a:gd name="T5" fmla="*/ 37 h 37"/>
                <a:gd name="T6" fmla="*/ 101 w 101"/>
                <a:gd name="T7" fmla="*/ 7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101" y="7"/>
                  </a:moveTo>
                  <a:lnTo>
                    <a:pt x="99" y="0"/>
                  </a:lnTo>
                  <a:lnTo>
                    <a:pt x="0" y="37"/>
                  </a:lnTo>
                  <a:lnTo>
                    <a:pt x="101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6" name="Freeform 288">
              <a:extLst>
                <a:ext uri="{FF2B5EF4-FFF2-40B4-BE49-F238E27FC236}">
                  <a16:creationId xmlns:a16="http://schemas.microsoft.com/office/drawing/2014/main" id="{7BEFE7E1-D4EA-4616-B650-C6058CEBF35E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9 w 99"/>
                <a:gd name="T1" fmla="*/ 7 h 44"/>
                <a:gd name="T2" fmla="*/ 96 w 99"/>
                <a:gd name="T3" fmla="*/ 0 h 44"/>
                <a:gd name="T4" fmla="*/ 0 w 99"/>
                <a:gd name="T5" fmla="*/ 44 h 44"/>
                <a:gd name="T6" fmla="*/ 99 w 99"/>
                <a:gd name="T7" fmla="*/ 7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99" y="7"/>
                  </a:moveTo>
                  <a:lnTo>
                    <a:pt x="96" y="0"/>
                  </a:lnTo>
                  <a:lnTo>
                    <a:pt x="0" y="44"/>
                  </a:lnTo>
                  <a:lnTo>
                    <a:pt x="99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7" name="Freeform 289">
              <a:extLst>
                <a:ext uri="{FF2B5EF4-FFF2-40B4-BE49-F238E27FC236}">
                  <a16:creationId xmlns:a16="http://schemas.microsoft.com/office/drawing/2014/main" id="{9C36D2DE-5C64-48FA-8922-419106CCF83C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6 w 96"/>
                <a:gd name="T1" fmla="*/ 7 h 51"/>
                <a:gd name="T2" fmla="*/ 92 w 96"/>
                <a:gd name="T3" fmla="*/ 0 h 51"/>
                <a:gd name="T4" fmla="*/ 0 w 96"/>
                <a:gd name="T5" fmla="*/ 51 h 51"/>
                <a:gd name="T6" fmla="*/ 96 w 96"/>
                <a:gd name="T7" fmla="*/ 7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96" y="7"/>
                  </a:moveTo>
                  <a:lnTo>
                    <a:pt x="92" y="0"/>
                  </a:lnTo>
                  <a:lnTo>
                    <a:pt x="0" y="51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8" name="Freeform 290">
              <a:extLst>
                <a:ext uri="{FF2B5EF4-FFF2-40B4-BE49-F238E27FC236}">
                  <a16:creationId xmlns:a16="http://schemas.microsoft.com/office/drawing/2014/main" id="{25C53B61-E6A6-494F-8264-32011A4C4D6B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2 w 92"/>
                <a:gd name="T1" fmla="*/ 6 h 57"/>
                <a:gd name="T2" fmla="*/ 88 w 92"/>
                <a:gd name="T3" fmla="*/ 0 h 57"/>
                <a:gd name="T4" fmla="*/ 0 w 92"/>
                <a:gd name="T5" fmla="*/ 57 h 57"/>
                <a:gd name="T6" fmla="*/ 92 w 92"/>
                <a:gd name="T7" fmla="*/ 6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92" y="6"/>
                  </a:moveTo>
                  <a:lnTo>
                    <a:pt x="88" y="0"/>
                  </a:lnTo>
                  <a:lnTo>
                    <a:pt x="0" y="57"/>
                  </a:lnTo>
                  <a:lnTo>
                    <a:pt x="92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9" name="Freeform 291">
              <a:extLst>
                <a:ext uri="{FF2B5EF4-FFF2-40B4-BE49-F238E27FC236}">
                  <a16:creationId xmlns:a16="http://schemas.microsoft.com/office/drawing/2014/main" id="{6BF16AE3-0CDC-47D2-9126-2582A7EE4D45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8 w 88"/>
                <a:gd name="T1" fmla="*/ 6 h 63"/>
                <a:gd name="T2" fmla="*/ 84 w 88"/>
                <a:gd name="T3" fmla="*/ 0 h 63"/>
                <a:gd name="T4" fmla="*/ 0 w 88"/>
                <a:gd name="T5" fmla="*/ 63 h 63"/>
                <a:gd name="T6" fmla="*/ 88 w 88"/>
                <a:gd name="T7" fmla="*/ 6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8" y="6"/>
                  </a:moveTo>
                  <a:lnTo>
                    <a:pt x="84" y="0"/>
                  </a:lnTo>
                  <a:lnTo>
                    <a:pt x="0" y="63"/>
                  </a:lnTo>
                  <a:lnTo>
                    <a:pt x="88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0" name="Freeform 292">
              <a:extLst>
                <a:ext uri="{FF2B5EF4-FFF2-40B4-BE49-F238E27FC236}">
                  <a16:creationId xmlns:a16="http://schemas.microsoft.com/office/drawing/2014/main" id="{91A0137E-299E-4CA5-BDCB-D655D1C8F62C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4 w 84"/>
                <a:gd name="T1" fmla="*/ 6 h 69"/>
                <a:gd name="T2" fmla="*/ 79 w 84"/>
                <a:gd name="T3" fmla="*/ 0 h 69"/>
                <a:gd name="T4" fmla="*/ 0 w 84"/>
                <a:gd name="T5" fmla="*/ 69 h 69"/>
                <a:gd name="T6" fmla="*/ 84 w 84"/>
                <a:gd name="T7" fmla="*/ 6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84" y="6"/>
                  </a:moveTo>
                  <a:lnTo>
                    <a:pt x="79" y="0"/>
                  </a:lnTo>
                  <a:lnTo>
                    <a:pt x="0" y="69"/>
                  </a:lnTo>
                  <a:lnTo>
                    <a:pt x="8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1" name="Freeform 293">
              <a:extLst>
                <a:ext uri="{FF2B5EF4-FFF2-40B4-BE49-F238E27FC236}">
                  <a16:creationId xmlns:a16="http://schemas.microsoft.com/office/drawing/2014/main" id="{5C10AE2B-0549-4465-A8B6-303F5D3DBE40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79 w 79"/>
                <a:gd name="T1" fmla="*/ 6 h 75"/>
                <a:gd name="T2" fmla="*/ 74 w 79"/>
                <a:gd name="T3" fmla="*/ 0 h 75"/>
                <a:gd name="T4" fmla="*/ 0 w 79"/>
                <a:gd name="T5" fmla="*/ 75 h 75"/>
                <a:gd name="T6" fmla="*/ 79 w 79"/>
                <a:gd name="T7" fmla="*/ 6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5">
                  <a:moveTo>
                    <a:pt x="79" y="6"/>
                  </a:moveTo>
                  <a:lnTo>
                    <a:pt x="74" y="0"/>
                  </a:lnTo>
                  <a:lnTo>
                    <a:pt x="0" y="75"/>
                  </a:lnTo>
                  <a:lnTo>
                    <a:pt x="7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2" name="Freeform 294">
              <a:extLst>
                <a:ext uri="{FF2B5EF4-FFF2-40B4-BE49-F238E27FC236}">
                  <a16:creationId xmlns:a16="http://schemas.microsoft.com/office/drawing/2014/main" id="{B9159BEE-D14B-4C9F-B5A1-C687E22FFD1E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74 w 74"/>
                <a:gd name="T1" fmla="*/ 5 h 80"/>
                <a:gd name="T2" fmla="*/ 69 w 74"/>
                <a:gd name="T3" fmla="*/ 0 h 80"/>
                <a:gd name="T4" fmla="*/ 0 w 74"/>
                <a:gd name="T5" fmla="*/ 80 h 80"/>
                <a:gd name="T6" fmla="*/ 74 w 74"/>
                <a:gd name="T7" fmla="*/ 5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74" y="5"/>
                  </a:moveTo>
                  <a:lnTo>
                    <a:pt x="69" y="0"/>
                  </a:lnTo>
                  <a:lnTo>
                    <a:pt x="0" y="80"/>
                  </a:lnTo>
                  <a:lnTo>
                    <a:pt x="74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3" name="Freeform 295">
              <a:extLst>
                <a:ext uri="{FF2B5EF4-FFF2-40B4-BE49-F238E27FC236}">
                  <a16:creationId xmlns:a16="http://schemas.microsoft.com/office/drawing/2014/main" id="{5E3CEB4B-F35E-4D89-8413-828DCE276A2E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9 w 69"/>
                <a:gd name="T1" fmla="*/ 5 h 85"/>
                <a:gd name="T2" fmla="*/ 63 w 69"/>
                <a:gd name="T3" fmla="*/ 0 h 85"/>
                <a:gd name="T4" fmla="*/ 0 w 69"/>
                <a:gd name="T5" fmla="*/ 85 h 85"/>
                <a:gd name="T6" fmla="*/ 69 w 69"/>
                <a:gd name="T7" fmla="*/ 5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9" y="5"/>
                  </a:moveTo>
                  <a:lnTo>
                    <a:pt x="63" y="0"/>
                  </a:lnTo>
                  <a:lnTo>
                    <a:pt x="0" y="85"/>
                  </a:lnTo>
                  <a:lnTo>
                    <a:pt x="69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4" name="Freeform 296">
              <a:extLst>
                <a:ext uri="{FF2B5EF4-FFF2-40B4-BE49-F238E27FC236}">
                  <a16:creationId xmlns:a16="http://schemas.microsoft.com/office/drawing/2014/main" id="{167B8D64-A973-4FFD-87BA-EDCD5389FB06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3 w 63"/>
                <a:gd name="T1" fmla="*/ 4 h 89"/>
                <a:gd name="T2" fmla="*/ 57 w 63"/>
                <a:gd name="T3" fmla="*/ 0 h 89"/>
                <a:gd name="T4" fmla="*/ 0 w 63"/>
                <a:gd name="T5" fmla="*/ 89 h 89"/>
                <a:gd name="T6" fmla="*/ 63 w 63"/>
                <a:gd name="T7" fmla="*/ 4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3" y="4"/>
                  </a:moveTo>
                  <a:lnTo>
                    <a:pt x="57" y="0"/>
                  </a:lnTo>
                  <a:lnTo>
                    <a:pt x="0" y="89"/>
                  </a:lnTo>
                  <a:lnTo>
                    <a:pt x="63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5" name="Freeform 297">
              <a:extLst>
                <a:ext uri="{FF2B5EF4-FFF2-40B4-BE49-F238E27FC236}">
                  <a16:creationId xmlns:a16="http://schemas.microsoft.com/office/drawing/2014/main" id="{7CEF3EEC-5799-4BC0-B913-D83189B1420E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57 w 57"/>
                <a:gd name="T1" fmla="*/ 4 h 93"/>
                <a:gd name="T2" fmla="*/ 50 w 57"/>
                <a:gd name="T3" fmla="*/ 0 h 93"/>
                <a:gd name="T4" fmla="*/ 0 w 57"/>
                <a:gd name="T5" fmla="*/ 93 h 93"/>
                <a:gd name="T6" fmla="*/ 57 w 57"/>
                <a:gd name="T7" fmla="*/ 4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57" y="4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6" name="Freeform 298">
              <a:extLst>
                <a:ext uri="{FF2B5EF4-FFF2-40B4-BE49-F238E27FC236}">
                  <a16:creationId xmlns:a16="http://schemas.microsoft.com/office/drawing/2014/main" id="{C00A58EB-55A1-4C15-BD21-AD64D50E22EF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50 w 50"/>
                <a:gd name="T1" fmla="*/ 3 h 96"/>
                <a:gd name="T2" fmla="*/ 44 w 50"/>
                <a:gd name="T3" fmla="*/ 0 h 96"/>
                <a:gd name="T4" fmla="*/ 0 w 50"/>
                <a:gd name="T5" fmla="*/ 96 h 96"/>
                <a:gd name="T6" fmla="*/ 50 w 50"/>
                <a:gd name="T7" fmla="*/ 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50" y="3"/>
                  </a:moveTo>
                  <a:lnTo>
                    <a:pt x="44" y="0"/>
                  </a:lnTo>
                  <a:lnTo>
                    <a:pt x="0" y="96"/>
                  </a:lnTo>
                  <a:lnTo>
                    <a:pt x="50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7" name="Freeform 299">
              <a:extLst>
                <a:ext uri="{FF2B5EF4-FFF2-40B4-BE49-F238E27FC236}">
                  <a16:creationId xmlns:a16="http://schemas.microsoft.com/office/drawing/2014/main" id="{0020E48F-5E9C-48FB-8609-D10A895F3417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44 w 44"/>
                <a:gd name="T1" fmla="*/ 3 h 99"/>
                <a:gd name="T2" fmla="*/ 37 w 44"/>
                <a:gd name="T3" fmla="*/ 0 h 99"/>
                <a:gd name="T4" fmla="*/ 0 w 44"/>
                <a:gd name="T5" fmla="*/ 99 h 99"/>
                <a:gd name="T6" fmla="*/ 44 w 44"/>
                <a:gd name="T7" fmla="*/ 3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44" y="3"/>
                  </a:moveTo>
                  <a:lnTo>
                    <a:pt x="37" y="0"/>
                  </a:lnTo>
                  <a:lnTo>
                    <a:pt x="0" y="99"/>
                  </a:lnTo>
                  <a:lnTo>
                    <a:pt x="44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8" name="Freeform 300">
              <a:extLst>
                <a:ext uri="{FF2B5EF4-FFF2-40B4-BE49-F238E27FC236}">
                  <a16:creationId xmlns:a16="http://schemas.microsoft.com/office/drawing/2014/main" id="{A86BF971-4553-4DE1-9F6B-716E8BA34E2C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7 w 37"/>
                <a:gd name="T1" fmla="*/ 2 h 101"/>
                <a:gd name="T2" fmla="*/ 30 w 37"/>
                <a:gd name="T3" fmla="*/ 0 h 101"/>
                <a:gd name="T4" fmla="*/ 0 w 37"/>
                <a:gd name="T5" fmla="*/ 101 h 101"/>
                <a:gd name="T6" fmla="*/ 37 w 37"/>
                <a:gd name="T7" fmla="*/ 2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7" y="2"/>
                  </a:moveTo>
                  <a:lnTo>
                    <a:pt x="30" y="0"/>
                  </a:lnTo>
                  <a:lnTo>
                    <a:pt x="0" y="101"/>
                  </a:lnTo>
                  <a:lnTo>
                    <a:pt x="37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9" name="Freeform 301">
              <a:extLst>
                <a:ext uri="{FF2B5EF4-FFF2-40B4-BE49-F238E27FC236}">
                  <a16:creationId xmlns:a16="http://schemas.microsoft.com/office/drawing/2014/main" id="{2853AC9C-EF0E-4BA6-92BD-65293B257BA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0 w 30"/>
                <a:gd name="T1" fmla="*/ 2 h 103"/>
                <a:gd name="T2" fmla="*/ 22 w 30"/>
                <a:gd name="T3" fmla="*/ 0 h 103"/>
                <a:gd name="T4" fmla="*/ 0 w 30"/>
                <a:gd name="T5" fmla="*/ 103 h 103"/>
                <a:gd name="T6" fmla="*/ 30 w 30"/>
                <a:gd name="T7" fmla="*/ 2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30" y="2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30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0" name="Freeform 302">
              <a:extLst>
                <a:ext uri="{FF2B5EF4-FFF2-40B4-BE49-F238E27FC236}">
                  <a16:creationId xmlns:a16="http://schemas.microsoft.com/office/drawing/2014/main" id="{034D78C4-171D-4094-B8E1-8BF03EBA4AA4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1" name="Freeform 303">
              <a:extLst>
                <a:ext uri="{FF2B5EF4-FFF2-40B4-BE49-F238E27FC236}">
                  <a16:creationId xmlns:a16="http://schemas.microsoft.com/office/drawing/2014/main" id="{1624A4A4-E4FC-42EB-83B7-2CD66210EB9D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2" name="Freeform 304">
              <a:extLst>
                <a:ext uri="{FF2B5EF4-FFF2-40B4-BE49-F238E27FC236}">
                  <a16:creationId xmlns:a16="http://schemas.microsoft.com/office/drawing/2014/main" id="{76F25551-C94B-4102-BEC7-CC2BFA4BC09D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3" name="Freeform 305">
              <a:extLst>
                <a:ext uri="{FF2B5EF4-FFF2-40B4-BE49-F238E27FC236}">
                  <a16:creationId xmlns:a16="http://schemas.microsoft.com/office/drawing/2014/main" id="{DD499DF8-E026-4C2A-8DF1-13D571496244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8 w 8"/>
                <a:gd name="T1" fmla="*/ 0 h 106"/>
                <a:gd name="T2" fmla="*/ 0 w 8"/>
                <a:gd name="T3" fmla="*/ 1 h 106"/>
                <a:gd name="T4" fmla="*/ 8 w 8"/>
                <a:gd name="T5" fmla="*/ 106 h 106"/>
                <a:gd name="T6" fmla="*/ 8 w 8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6">
                  <a:moveTo>
                    <a:pt x="8" y="0"/>
                  </a:moveTo>
                  <a:lnTo>
                    <a:pt x="0" y="1"/>
                  </a:lnTo>
                  <a:lnTo>
                    <a:pt x="8" y="106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4" name="Freeform 306">
              <a:extLst>
                <a:ext uri="{FF2B5EF4-FFF2-40B4-BE49-F238E27FC236}">
                  <a16:creationId xmlns:a16="http://schemas.microsoft.com/office/drawing/2014/main" id="{6C6C04EF-CC34-4720-A5F6-CE5E37E7F764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15"/>
                <a:gd name="T1" fmla="*/ 0 h 105"/>
                <a:gd name="T2" fmla="*/ 0 w 15"/>
                <a:gd name="T3" fmla="*/ 0 h 105"/>
                <a:gd name="T4" fmla="*/ 15 w 15"/>
                <a:gd name="T5" fmla="*/ 105 h 105"/>
                <a:gd name="T6" fmla="*/ 7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0"/>
                  </a:moveTo>
                  <a:lnTo>
                    <a:pt x="0" y="0"/>
                  </a:lnTo>
                  <a:lnTo>
                    <a:pt x="15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5" name="Freeform 307">
              <a:extLst>
                <a:ext uri="{FF2B5EF4-FFF2-40B4-BE49-F238E27FC236}">
                  <a16:creationId xmlns:a16="http://schemas.microsoft.com/office/drawing/2014/main" id="{E54B7035-F985-4452-9FAA-3880371869B1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22"/>
                <a:gd name="T1" fmla="*/ 0 h 105"/>
                <a:gd name="T2" fmla="*/ 0 w 22"/>
                <a:gd name="T3" fmla="*/ 2 h 105"/>
                <a:gd name="T4" fmla="*/ 22 w 22"/>
                <a:gd name="T5" fmla="*/ 105 h 105"/>
                <a:gd name="T6" fmla="*/ 7 w 22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7" y="0"/>
                  </a:moveTo>
                  <a:lnTo>
                    <a:pt x="0" y="2"/>
                  </a:lnTo>
                  <a:lnTo>
                    <a:pt x="22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6" name="Freeform 308">
              <a:extLst>
                <a:ext uri="{FF2B5EF4-FFF2-40B4-BE49-F238E27FC236}">
                  <a16:creationId xmlns:a16="http://schemas.microsoft.com/office/drawing/2014/main" id="{895A210A-7CCB-4FC0-A485-78E81D6DB3E0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8 w 30"/>
                <a:gd name="T1" fmla="*/ 0 h 103"/>
                <a:gd name="T2" fmla="*/ 0 w 30"/>
                <a:gd name="T3" fmla="*/ 2 h 103"/>
                <a:gd name="T4" fmla="*/ 30 w 30"/>
                <a:gd name="T5" fmla="*/ 103 h 103"/>
                <a:gd name="T6" fmla="*/ 8 w 30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8" y="0"/>
                  </a:moveTo>
                  <a:lnTo>
                    <a:pt x="0" y="2"/>
                  </a:lnTo>
                  <a:lnTo>
                    <a:pt x="30" y="10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7" name="Freeform 309">
              <a:extLst>
                <a:ext uri="{FF2B5EF4-FFF2-40B4-BE49-F238E27FC236}">
                  <a16:creationId xmlns:a16="http://schemas.microsoft.com/office/drawing/2014/main" id="{D9FBD820-C2CC-48A9-A9C7-3A9E096AF4A1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37"/>
                <a:gd name="T1" fmla="*/ 0 h 101"/>
                <a:gd name="T2" fmla="*/ 0 w 37"/>
                <a:gd name="T3" fmla="*/ 2 h 101"/>
                <a:gd name="T4" fmla="*/ 37 w 37"/>
                <a:gd name="T5" fmla="*/ 101 h 101"/>
                <a:gd name="T6" fmla="*/ 7 w 37"/>
                <a:gd name="T7" fmla="*/ 0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7" y="0"/>
                  </a:moveTo>
                  <a:lnTo>
                    <a:pt x="0" y="2"/>
                  </a:lnTo>
                  <a:lnTo>
                    <a:pt x="37" y="10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8" name="Freeform 310">
              <a:extLst>
                <a:ext uri="{FF2B5EF4-FFF2-40B4-BE49-F238E27FC236}">
                  <a16:creationId xmlns:a16="http://schemas.microsoft.com/office/drawing/2014/main" id="{D75648EE-2BA7-4A9B-917F-DAC202B35A07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44"/>
                <a:gd name="T1" fmla="*/ 0 h 99"/>
                <a:gd name="T2" fmla="*/ 0 w 44"/>
                <a:gd name="T3" fmla="*/ 3 h 99"/>
                <a:gd name="T4" fmla="*/ 44 w 44"/>
                <a:gd name="T5" fmla="*/ 99 h 99"/>
                <a:gd name="T6" fmla="*/ 7 w 44"/>
                <a:gd name="T7" fmla="*/ 0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7" y="0"/>
                  </a:moveTo>
                  <a:lnTo>
                    <a:pt x="0" y="3"/>
                  </a:lnTo>
                  <a:lnTo>
                    <a:pt x="44" y="99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9" name="Freeform 311">
              <a:extLst>
                <a:ext uri="{FF2B5EF4-FFF2-40B4-BE49-F238E27FC236}">
                  <a16:creationId xmlns:a16="http://schemas.microsoft.com/office/drawing/2014/main" id="{4B5C5DB5-6E3E-4D63-8B2A-C1CDDE09CEC4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50"/>
                <a:gd name="T1" fmla="*/ 0 h 96"/>
                <a:gd name="T2" fmla="*/ 0 w 50"/>
                <a:gd name="T3" fmla="*/ 3 h 96"/>
                <a:gd name="T4" fmla="*/ 50 w 50"/>
                <a:gd name="T5" fmla="*/ 96 h 96"/>
                <a:gd name="T6" fmla="*/ 6 w 50"/>
                <a:gd name="T7" fmla="*/ 0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6" y="0"/>
                  </a:moveTo>
                  <a:lnTo>
                    <a:pt x="0" y="3"/>
                  </a:lnTo>
                  <a:lnTo>
                    <a:pt x="50" y="9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0" name="Freeform 312">
              <a:extLst>
                <a:ext uri="{FF2B5EF4-FFF2-40B4-BE49-F238E27FC236}">
                  <a16:creationId xmlns:a16="http://schemas.microsoft.com/office/drawing/2014/main" id="{AE53133B-7355-4451-BE40-B9307C9EB87C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57"/>
                <a:gd name="T1" fmla="*/ 0 h 93"/>
                <a:gd name="T2" fmla="*/ 0 w 57"/>
                <a:gd name="T3" fmla="*/ 4 h 93"/>
                <a:gd name="T4" fmla="*/ 57 w 57"/>
                <a:gd name="T5" fmla="*/ 93 h 93"/>
                <a:gd name="T6" fmla="*/ 7 w 57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7" y="0"/>
                  </a:moveTo>
                  <a:lnTo>
                    <a:pt x="0" y="4"/>
                  </a:lnTo>
                  <a:lnTo>
                    <a:pt x="57" y="9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1" name="Freeform 313">
              <a:extLst>
                <a:ext uri="{FF2B5EF4-FFF2-40B4-BE49-F238E27FC236}">
                  <a16:creationId xmlns:a16="http://schemas.microsoft.com/office/drawing/2014/main" id="{F24BD7F0-8597-4D65-A338-5469E0EE294C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63"/>
                <a:gd name="T1" fmla="*/ 0 h 89"/>
                <a:gd name="T2" fmla="*/ 0 w 63"/>
                <a:gd name="T3" fmla="*/ 4 h 89"/>
                <a:gd name="T4" fmla="*/ 63 w 63"/>
                <a:gd name="T5" fmla="*/ 89 h 89"/>
                <a:gd name="T6" fmla="*/ 6 w 63"/>
                <a:gd name="T7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" y="0"/>
                  </a:moveTo>
                  <a:lnTo>
                    <a:pt x="0" y="4"/>
                  </a:lnTo>
                  <a:lnTo>
                    <a:pt x="63" y="89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2" name="Freeform 314">
              <a:extLst>
                <a:ext uri="{FF2B5EF4-FFF2-40B4-BE49-F238E27FC236}">
                  <a16:creationId xmlns:a16="http://schemas.microsoft.com/office/drawing/2014/main" id="{7530BAC4-DC56-4FA9-974E-FFEC86E2E262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6 w 69"/>
                <a:gd name="T1" fmla="*/ 0 h 85"/>
                <a:gd name="T2" fmla="*/ 0 w 69"/>
                <a:gd name="T3" fmla="*/ 5 h 85"/>
                <a:gd name="T4" fmla="*/ 69 w 69"/>
                <a:gd name="T5" fmla="*/ 85 h 85"/>
                <a:gd name="T6" fmla="*/ 6 w 69"/>
                <a:gd name="T7" fmla="*/ 0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" y="0"/>
                  </a:moveTo>
                  <a:lnTo>
                    <a:pt x="0" y="5"/>
                  </a:lnTo>
                  <a:lnTo>
                    <a:pt x="69" y="8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3" name="Freeform 315">
              <a:extLst>
                <a:ext uri="{FF2B5EF4-FFF2-40B4-BE49-F238E27FC236}">
                  <a16:creationId xmlns:a16="http://schemas.microsoft.com/office/drawing/2014/main" id="{3560292E-10BF-450E-B858-DF486FCF1F4E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5 w 74"/>
                <a:gd name="T1" fmla="*/ 0 h 80"/>
                <a:gd name="T2" fmla="*/ 0 w 74"/>
                <a:gd name="T3" fmla="*/ 5 h 80"/>
                <a:gd name="T4" fmla="*/ 74 w 74"/>
                <a:gd name="T5" fmla="*/ 80 h 80"/>
                <a:gd name="T6" fmla="*/ 5 w 74"/>
                <a:gd name="T7" fmla="*/ 0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5" y="0"/>
                  </a:moveTo>
                  <a:lnTo>
                    <a:pt x="0" y="5"/>
                  </a:lnTo>
                  <a:lnTo>
                    <a:pt x="74" y="8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4" name="Freeform 316">
              <a:extLst>
                <a:ext uri="{FF2B5EF4-FFF2-40B4-BE49-F238E27FC236}">
                  <a16:creationId xmlns:a16="http://schemas.microsoft.com/office/drawing/2014/main" id="{9F9C4000-C67E-4F82-86D8-023E4EE91ACA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6 w 80"/>
                <a:gd name="T1" fmla="*/ 0 h 75"/>
                <a:gd name="T2" fmla="*/ 0 w 80"/>
                <a:gd name="T3" fmla="*/ 6 h 75"/>
                <a:gd name="T4" fmla="*/ 80 w 80"/>
                <a:gd name="T5" fmla="*/ 75 h 75"/>
                <a:gd name="T6" fmla="*/ 6 w 80"/>
                <a:gd name="T7" fmla="*/ 0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5">
                  <a:moveTo>
                    <a:pt x="6" y="0"/>
                  </a:moveTo>
                  <a:lnTo>
                    <a:pt x="0" y="6"/>
                  </a:lnTo>
                  <a:lnTo>
                    <a:pt x="80" y="7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5" name="Freeform 317">
              <a:extLst>
                <a:ext uri="{FF2B5EF4-FFF2-40B4-BE49-F238E27FC236}">
                  <a16:creationId xmlns:a16="http://schemas.microsoft.com/office/drawing/2014/main" id="{82F070DF-5B61-4958-97DA-302EBCEE1330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84"/>
                <a:gd name="T1" fmla="*/ 0 h 69"/>
                <a:gd name="T2" fmla="*/ 0 w 84"/>
                <a:gd name="T3" fmla="*/ 6 h 69"/>
                <a:gd name="T4" fmla="*/ 84 w 84"/>
                <a:gd name="T5" fmla="*/ 69 h 69"/>
                <a:gd name="T6" fmla="*/ 4 w 84"/>
                <a:gd name="T7" fmla="*/ 0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4" y="0"/>
                  </a:moveTo>
                  <a:lnTo>
                    <a:pt x="0" y="6"/>
                  </a:lnTo>
                  <a:lnTo>
                    <a:pt x="84" y="69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6" name="Freeform 318">
              <a:extLst>
                <a:ext uri="{FF2B5EF4-FFF2-40B4-BE49-F238E27FC236}">
                  <a16:creationId xmlns:a16="http://schemas.microsoft.com/office/drawing/2014/main" id="{A06E003A-1C3F-4115-AAD4-EF6702A227C7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5 w 89"/>
                <a:gd name="T1" fmla="*/ 0 h 63"/>
                <a:gd name="T2" fmla="*/ 0 w 89"/>
                <a:gd name="T3" fmla="*/ 6 h 63"/>
                <a:gd name="T4" fmla="*/ 89 w 89"/>
                <a:gd name="T5" fmla="*/ 63 h 63"/>
                <a:gd name="T6" fmla="*/ 5 w 89"/>
                <a:gd name="T7" fmla="*/ 0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5" y="0"/>
                  </a:moveTo>
                  <a:lnTo>
                    <a:pt x="0" y="6"/>
                  </a:lnTo>
                  <a:lnTo>
                    <a:pt x="89" y="63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7" name="Freeform 319">
              <a:extLst>
                <a:ext uri="{FF2B5EF4-FFF2-40B4-BE49-F238E27FC236}">
                  <a16:creationId xmlns:a16="http://schemas.microsoft.com/office/drawing/2014/main" id="{86EA4FA7-AEE0-4F21-87F8-CE878867ACB2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2"/>
                <a:gd name="T1" fmla="*/ 0 h 57"/>
                <a:gd name="T2" fmla="*/ 0 w 92"/>
                <a:gd name="T3" fmla="*/ 6 h 57"/>
                <a:gd name="T4" fmla="*/ 92 w 92"/>
                <a:gd name="T5" fmla="*/ 57 h 57"/>
                <a:gd name="T6" fmla="*/ 3 w 92"/>
                <a:gd name="T7" fmla="*/ 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3" y="0"/>
                  </a:moveTo>
                  <a:lnTo>
                    <a:pt x="0" y="6"/>
                  </a:lnTo>
                  <a:lnTo>
                    <a:pt x="92" y="57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8" name="Freeform 320">
              <a:extLst>
                <a:ext uri="{FF2B5EF4-FFF2-40B4-BE49-F238E27FC236}">
                  <a16:creationId xmlns:a16="http://schemas.microsoft.com/office/drawing/2014/main" id="{018C1CD9-E3E3-400E-B15F-28CFA22B1E82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96"/>
                <a:gd name="T1" fmla="*/ 0 h 51"/>
                <a:gd name="T2" fmla="*/ 0 w 96"/>
                <a:gd name="T3" fmla="*/ 7 h 51"/>
                <a:gd name="T4" fmla="*/ 96 w 96"/>
                <a:gd name="T5" fmla="*/ 51 h 51"/>
                <a:gd name="T6" fmla="*/ 4 w 96"/>
                <a:gd name="T7" fmla="*/ 0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4" y="0"/>
                  </a:moveTo>
                  <a:lnTo>
                    <a:pt x="0" y="7"/>
                  </a:lnTo>
                  <a:lnTo>
                    <a:pt x="96" y="5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9" name="Freeform 321">
              <a:extLst>
                <a:ext uri="{FF2B5EF4-FFF2-40B4-BE49-F238E27FC236}">
                  <a16:creationId xmlns:a16="http://schemas.microsoft.com/office/drawing/2014/main" id="{332E0059-7DED-4D6C-8D8B-949BDA131D9C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9"/>
                <a:gd name="T1" fmla="*/ 0 h 44"/>
                <a:gd name="T2" fmla="*/ 0 w 99"/>
                <a:gd name="T3" fmla="*/ 7 h 44"/>
                <a:gd name="T4" fmla="*/ 99 w 99"/>
                <a:gd name="T5" fmla="*/ 44 h 44"/>
                <a:gd name="T6" fmla="*/ 3 w 99"/>
                <a:gd name="T7" fmla="*/ 0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3" y="0"/>
                  </a:moveTo>
                  <a:lnTo>
                    <a:pt x="0" y="7"/>
                  </a:lnTo>
                  <a:lnTo>
                    <a:pt x="99" y="44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0" name="Freeform 322">
              <a:extLst>
                <a:ext uri="{FF2B5EF4-FFF2-40B4-BE49-F238E27FC236}">
                  <a16:creationId xmlns:a16="http://schemas.microsoft.com/office/drawing/2014/main" id="{3C426091-65A3-42EF-AAA7-374E2352BD80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1"/>
                <a:gd name="T1" fmla="*/ 0 h 37"/>
                <a:gd name="T2" fmla="*/ 0 w 101"/>
                <a:gd name="T3" fmla="*/ 7 h 37"/>
                <a:gd name="T4" fmla="*/ 101 w 101"/>
                <a:gd name="T5" fmla="*/ 37 h 37"/>
                <a:gd name="T6" fmla="*/ 2 w 101"/>
                <a:gd name="T7" fmla="*/ 0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2" y="0"/>
                  </a:moveTo>
                  <a:lnTo>
                    <a:pt x="0" y="7"/>
                  </a:lnTo>
                  <a:lnTo>
                    <a:pt x="101" y="37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1" name="Freeform 323">
              <a:extLst>
                <a:ext uri="{FF2B5EF4-FFF2-40B4-BE49-F238E27FC236}">
                  <a16:creationId xmlns:a16="http://schemas.microsoft.com/office/drawing/2014/main" id="{D5199271-6E14-4EC8-8598-33F98D9C46DC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3"/>
                <a:gd name="T1" fmla="*/ 0 h 30"/>
                <a:gd name="T2" fmla="*/ 0 w 103"/>
                <a:gd name="T3" fmla="*/ 7 h 30"/>
                <a:gd name="T4" fmla="*/ 103 w 103"/>
                <a:gd name="T5" fmla="*/ 30 h 30"/>
                <a:gd name="T6" fmla="*/ 2 w 103"/>
                <a:gd name="T7" fmla="*/ 0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2" y="0"/>
                  </a:moveTo>
                  <a:lnTo>
                    <a:pt x="0" y="7"/>
                  </a:lnTo>
                  <a:lnTo>
                    <a:pt x="103" y="3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2" name="Freeform 324">
              <a:extLst>
                <a:ext uri="{FF2B5EF4-FFF2-40B4-BE49-F238E27FC236}">
                  <a16:creationId xmlns:a16="http://schemas.microsoft.com/office/drawing/2014/main" id="{FDED92AB-942A-4A6D-B4A1-547561C40EE9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1 w 104"/>
                <a:gd name="T1" fmla="*/ 0 h 23"/>
                <a:gd name="T2" fmla="*/ 0 w 104"/>
                <a:gd name="T3" fmla="*/ 8 h 23"/>
                <a:gd name="T4" fmla="*/ 104 w 104"/>
                <a:gd name="T5" fmla="*/ 23 h 23"/>
                <a:gd name="T6" fmla="*/ 1 w 104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" y="0"/>
                  </a:moveTo>
                  <a:lnTo>
                    <a:pt x="0" y="8"/>
                  </a:lnTo>
                  <a:lnTo>
                    <a:pt x="104" y="2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3" name="Freeform 325">
              <a:extLst>
                <a:ext uri="{FF2B5EF4-FFF2-40B4-BE49-F238E27FC236}">
                  <a16:creationId xmlns:a16="http://schemas.microsoft.com/office/drawing/2014/main" id="{983E8F5C-592E-48C4-A576-322FF9CDFA68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7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7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4" name="Freeform 326">
              <a:extLst>
                <a:ext uri="{FF2B5EF4-FFF2-40B4-BE49-F238E27FC236}">
                  <a16:creationId xmlns:a16="http://schemas.microsoft.com/office/drawing/2014/main" id="{C7BE742E-04B1-48DB-99D4-042CF0BB78A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8"/>
                <a:gd name="T2" fmla="*/ 0 w 105"/>
                <a:gd name="T3" fmla="*/ 8 h 8"/>
                <a:gd name="T4" fmla="*/ 105 w 105"/>
                <a:gd name="T5" fmla="*/ 8 h 8"/>
                <a:gd name="T6" fmla="*/ 0 w 105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0" y="0"/>
                  </a:moveTo>
                  <a:lnTo>
                    <a:pt x="0" y="8"/>
                  </a:lnTo>
                  <a:lnTo>
                    <a:pt x="105" y="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5" name="Freeform 327">
              <a:extLst>
                <a:ext uri="{FF2B5EF4-FFF2-40B4-BE49-F238E27FC236}">
                  <a16:creationId xmlns:a16="http://schemas.microsoft.com/office/drawing/2014/main" id="{EADC7E3A-D7C1-4439-8D1C-1C6471E73648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6" name="Freeform 328">
              <a:extLst>
                <a:ext uri="{FF2B5EF4-FFF2-40B4-BE49-F238E27FC236}">
                  <a16:creationId xmlns:a16="http://schemas.microsoft.com/office/drawing/2014/main" id="{36C80853-0B30-4690-8C2C-C76E4C8F19D3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7 h 15"/>
                <a:gd name="T2" fmla="*/ 1 w 105"/>
                <a:gd name="T3" fmla="*/ 15 h 15"/>
                <a:gd name="T4" fmla="*/ 105 w 105"/>
                <a:gd name="T5" fmla="*/ 0 h 15"/>
                <a:gd name="T6" fmla="*/ 0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0" y="7"/>
                  </a:moveTo>
                  <a:lnTo>
                    <a:pt x="1" y="15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7" name="Freeform 329">
              <a:extLst>
                <a:ext uri="{FF2B5EF4-FFF2-40B4-BE49-F238E27FC236}">
                  <a16:creationId xmlns:a16="http://schemas.microsoft.com/office/drawing/2014/main" id="{D153DA11-44AA-425B-824B-98CDC80122FB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4"/>
                <a:gd name="T1" fmla="*/ 15 h 22"/>
                <a:gd name="T2" fmla="*/ 1 w 104"/>
                <a:gd name="T3" fmla="*/ 22 h 22"/>
                <a:gd name="T4" fmla="*/ 104 w 104"/>
                <a:gd name="T5" fmla="*/ 0 h 22"/>
                <a:gd name="T6" fmla="*/ 0 w 104"/>
                <a:gd name="T7" fmla="*/ 15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0" y="15"/>
                  </a:moveTo>
                  <a:lnTo>
                    <a:pt x="1" y="22"/>
                  </a:lnTo>
                  <a:lnTo>
                    <a:pt x="104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8" name="Freeform 330">
              <a:extLst>
                <a:ext uri="{FF2B5EF4-FFF2-40B4-BE49-F238E27FC236}">
                  <a16:creationId xmlns:a16="http://schemas.microsoft.com/office/drawing/2014/main" id="{972AF10F-1BA2-4A1C-8E60-55C60533747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3"/>
                <a:gd name="T1" fmla="*/ 22 h 29"/>
                <a:gd name="T2" fmla="*/ 2 w 103"/>
                <a:gd name="T3" fmla="*/ 29 h 29"/>
                <a:gd name="T4" fmla="*/ 103 w 103"/>
                <a:gd name="T5" fmla="*/ 0 h 29"/>
                <a:gd name="T6" fmla="*/ 0 w 103"/>
                <a:gd name="T7" fmla="*/ 22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0" y="22"/>
                  </a:moveTo>
                  <a:lnTo>
                    <a:pt x="2" y="29"/>
                  </a:lnTo>
                  <a:lnTo>
                    <a:pt x="103" y="0"/>
                  </a:lnTo>
                  <a:lnTo>
                    <a:pt x="0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9" name="Freeform 331">
              <a:extLst>
                <a:ext uri="{FF2B5EF4-FFF2-40B4-BE49-F238E27FC236}">
                  <a16:creationId xmlns:a16="http://schemas.microsoft.com/office/drawing/2014/main" id="{9128EB97-A929-4ED9-8E16-FC443494118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1"/>
                <a:gd name="T1" fmla="*/ 29 h 36"/>
                <a:gd name="T2" fmla="*/ 2 w 101"/>
                <a:gd name="T3" fmla="*/ 36 h 36"/>
                <a:gd name="T4" fmla="*/ 101 w 101"/>
                <a:gd name="T5" fmla="*/ 0 h 36"/>
                <a:gd name="T6" fmla="*/ 0 w 101"/>
                <a:gd name="T7" fmla="*/ 29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0" y="29"/>
                  </a:moveTo>
                  <a:lnTo>
                    <a:pt x="2" y="36"/>
                  </a:lnTo>
                  <a:lnTo>
                    <a:pt x="101" y="0"/>
                  </a:lnTo>
                  <a:lnTo>
                    <a:pt x="0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0" name="Freeform 332">
              <a:extLst>
                <a:ext uri="{FF2B5EF4-FFF2-40B4-BE49-F238E27FC236}">
                  <a16:creationId xmlns:a16="http://schemas.microsoft.com/office/drawing/2014/main" id="{A27859BB-6906-412F-AC69-77535243E3FA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9"/>
                <a:gd name="T1" fmla="*/ 36 h 43"/>
                <a:gd name="T2" fmla="*/ 3 w 99"/>
                <a:gd name="T3" fmla="*/ 43 h 43"/>
                <a:gd name="T4" fmla="*/ 99 w 99"/>
                <a:gd name="T5" fmla="*/ 0 h 43"/>
                <a:gd name="T6" fmla="*/ 0 w 99"/>
                <a:gd name="T7" fmla="*/ 36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0" y="36"/>
                  </a:moveTo>
                  <a:lnTo>
                    <a:pt x="3" y="43"/>
                  </a:lnTo>
                  <a:lnTo>
                    <a:pt x="99" y="0"/>
                  </a:lnTo>
                  <a:lnTo>
                    <a:pt x="0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1" name="Freeform 333">
              <a:extLst>
                <a:ext uri="{FF2B5EF4-FFF2-40B4-BE49-F238E27FC236}">
                  <a16:creationId xmlns:a16="http://schemas.microsoft.com/office/drawing/2014/main" id="{1C42C2A4-F81E-406A-BEE6-F6DB449236CD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6"/>
                <a:gd name="T1" fmla="*/ 43 h 50"/>
                <a:gd name="T2" fmla="*/ 4 w 96"/>
                <a:gd name="T3" fmla="*/ 50 h 50"/>
                <a:gd name="T4" fmla="*/ 96 w 96"/>
                <a:gd name="T5" fmla="*/ 0 h 50"/>
                <a:gd name="T6" fmla="*/ 0 w 96"/>
                <a:gd name="T7" fmla="*/ 43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0" y="43"/>
                  </a:moveTo>
                  <a:lnTo>
                    <a:pt x="4" y="50"/>
                  </a:lnTo>
                  <a:lnTo>
                    <a:pt x="96" y="0"/>
                  </a:lnTo>
                  <a:lnTo>
                    <a:pt x="0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2" name="Freeform 334">
              <a:extLst>
                <a:ext uri="{FF2B5EF4-FFF2-40B4-BE49-F238E27FC236}">
                  <a16:creationId xmlns:a16="http://schemas.microsoft.com/office/drawing/2014/main" id="{F43B901B-5C3E-4168-AE14-D6645C606605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2"/>
                <a:gd name="T1" fmla="*/ 50 h 57"/>
                <a:gd name="T2" fmla="*/ 3 w 92"/>
                <a:gd name="T3" fmla="*/ 57 h 57"/>
                <a:gd name="T4" fmla="*/ 92 w 92"/>
                <a:gd name="T5" fmla="*/ 0 h 57"/>
                <a:gd name="T6" fmla="*/ 0 w 92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0" y="50"/>
                  </a:moveTo>
                  <a:lnTo>
                    <a:pt x="3" y="57"/>
                  </a:lnTo>
                  <a:lnTo>
                    <a:pt x="92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3" name="Freeform 335">
              <a:extLst>
                <a:ext uri="{FF2B5EF4-FFF2-40B4-BE49-F238E27FC236}">
                  <a16:creationId xmlns:a16="http://schemas.microsoft.com/office/drawing/2014/main" id="{9166F366-11A3-4D8C-A201-3AF90C35E952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9"/>
                <a:gd name="T1" fmla="*/ 57 h 63"/>
                <a:gd name="T2" fmla="*/ 5 w 89"/>
                <a:gd name="T3" fmla="*/ 63 h 63"/>
                <a:gd name="T4" fmla="*/ 89 w 89"/>
                <a:gd name="T5" fmla="*/ 0 h 63"/>
                <a:gd name="T6" fmla="*/ 0 w 89"/>
                <a:gd name="T7" fmla="*/ 57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0" y="57"/>
                  </a:moveTo>
                  <a:lnTo>
                    <a:pt x="5" y="63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4" name="Freeform 336">
              <a:extLst>
                <a:ext uri="{FF2B5EF4-FFF2-40B4-BE49-F238E27FC236}">
                  <a16:creationId xmlns:a16="http://schemas.microsoft.com/office/drawing/2014/main" id="{29FBA477-EB0E-44E7-9D49-6728FA10BD64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4"/>
                <a:gd name="T1" fmla="*/ 63 h 69"/>
                <a:gd name="T2" fmla="*/ 4 w 84"/>
                <a:gd name="T3" fmla="*/ 69 h 69"/>
                <a:gd name="T4" fmla="*/ 84 w 84"/>
                <a:gd name="T5" fmla="*/ 0 h 69"/>
                <a:gd name="T6" fmla="*/ 0 w 84"/>
                <a:gd name="T7" fmla="*/ 63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0" y="63"/>
                  </a:moveTo>
                  <a:lnTo>
                    <a:pt x="4" y="69"/>
                  </a:lnTo>
                  <a:lnTo>
                    <a:pt x="84" y="0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5" name="Freeform 337">
              <a:extLst>
                <a:ext uri="{FF2B5EF4-FFF2-40B4-BE49-F238E27FC236}">
                  <a16:creationId xmlns:a16="http://schemas.microsoft.com/office/drawing/2014/main" id="{E1B0F4BD-AD06-4687-A1D1-3312612E1F8C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0"/>
                <a:gd name="T1" fmla="*/ 69 h 74"/>
                <a:gd name="T2" fmla="*/ 6 w 80"/>
                <a:gd name="T3" fmla="*/ 74 h 74"/>
                <a:gd name="T4" fmla="*/ 80 w 80"/>
                <a:gd name="T5" fmla="*/ 0 h 74"/>
                <a:gd name="T6" fmla="*/ 0 w 80"/>
                <a:gd name="T7" fmla="*/ 69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4">
                  <a:moveTo>
                    <a:pt x="0" y="69"/>
                  </a:moveTo>
                  <a:lnTo>
                    <a:pt x="6" y="74"/>
                  </a:lnTo>
                  <a:lnTo>
                    <a:pt x="80" y="0"/>
                  </a:lnTo>
                  <a:lnTo>
                    <a:pt x="0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6" name="Freeform 338">
              <a:extLst>
                <a:ext uri="{FF2B5EF4-FFF2-40B4-BE49-F238E27FC236}">
                  <a16:creationId xmlns:a16="http://schemas.microsoft.com/office/drawing/2014/main" id="{32D99312-EE20-46A5-B152-F98FB611F6B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74"/>
                <a:gd name="T1" fmla="*/ 74 h 79"/>
                <a:gd name="T2" fmla="*/ 5 w 74"/>
                <a:gd name="T3" fmla="*/ 79 h 79"/>
                <a:gd name="T4" fmla="*/ 74 w 74"/>
                <a:gd name="T5" fmla="*/ 0 h 79"/>
                <a:gd name="T6" fmla="*/ 0 w 74"/>
                <a:gd name="T7" fmla="*/ 74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0" y="74"/>
                  </a:moveTo>
                  <a:lnTo>
                    <a:pt x="5" y="79"/>
                  </a:lnTo>
                  <a:lnTo>
                    <a:pt x="74" y="0"/>
                  </a:lnTo>
                  <a:lnTo>
                    <a:pt x="0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7" name="Freeform 339">
              <a:extLst>
                <a:ext uri="{FF2B5EF4-FFF2-40B4-BE49-F238E27FC236}">
                  <a16:creationId xmlns:a16="http://schemas.microsoft.com/office/drawing/2014/main" id="{391E71D1-9790-47D8-845B-0140DF0C95C3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69"/>
                <a:gd name="T1" fmla="*/ 79 h 84"/>
                <a:gd name="T2" fmla="*/ 6 w 69"/>
                <a:gd name="T3" fmla="*/ 84 h 84"/>
                <a:gd name="T4" fmla="*/ 69 w 69"/>
                <a:gd name="T5" fmla="*/ 0 h 84"/>
                <a:gd name="T6" fmla="*/ 0 w 69"/>
                <a:gd name="T7" fmla="*/ 79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0" y="79"/>
                  </a:moveTo>
                  <a:lnTo>
                    <a:pt x="6" y="84"/>
                  </a:lnTo>
                  <a:lnTo>
                    <a:pt x="69" y="0"/>
                  </a:lnTo>
                  <a:lnTo>
                    <a:pt x="0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8" name="Freeform 340">
              <a:extLst>
                <a:ext uri="{FF2B5EF4-FFF2-40B4-BE49-F238E27FC236}">
                  <a16:creationId xmlns:a16="http://schemas.microsoft.com/office/drawing/2014/main" id="{EF32028F-907B-4F38-B9F0-4699782C300A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63"/>
                <a:gd name="T1" fmla="*/ 84 h 88"/>
                <a:gd name="T2" fmla="*/ 6 w 63"/>
                <a:gd name="T3" fmla="*/ 88 h 88"/>
                <a:gd name="T4" fmla="*/ 63 w 63"/>
                <a:gd name="T5" fmla="*/ 0 h 88"/>
                <a:gd name="T6" fmla="*/ 0 w 63"/>
                <a:gd name="T7" fmla="*/ 84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0" y="84"/>
                  </a:moveTo>
                  <a:lnTo>
                    <a:pt x="6" y="88"/>
                  </a:lnTo>
                  <a:lnTo>
                    <a:pt x="63" y="0"/>
                  </a:lnTo>
                  <a:lnTo>
                    <a:pt x="0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9" name="Freeform 341">
              <a:extLst>
                <a:ext uri="{FF2B5EF4-FFF2-40B4-BE49-F238E27FC236}">
                  <a16:creationId xmlns:a16="http://schemas.microsoft.com/office/drawing/2014/main" id="{F33B3689-DA56-4BE6-AA1D-81163A1A7E78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7"/>
                <a:gd name="T1" fmla="*/ 88 h 92"/>
                <a:gd name="T2" fmla="*/ 7 w 57"/>
                <a:gd name="T3" fmla="*/ 92 h 92"/>
                <a:gd name="T4" fmla="*/ 57 w 57"/>
                <a:gd name="T5" fmla="*/ 0 h 92"/>
                <a:gd name="T6" fmla="*/ 0 w 57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0" y="88"/>
                  </a:moveTo>
                  <a:lnTo>
                    <a:pt x="7" y="92"/>
                  </a:lnTo>
                  <a:lnTo>
                    <a:pt x="57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0" name="Freeform 342">
              <a:extLst>
                <a:ext uri="{FF2B5EF4-FFF2-40B4-BE49-F238E27FC236}">
                  <a16:creationId xmlns:a16="http://schemas.microsoft.com/office/drawing/2014/main" id="{4A109EFA-64F4-43A8-913A-58A36743E5BF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0"/>
                <a:gd name="T1" fmla="*/ 92 h 95"/>
                <a:gd name="T2" fmla="*/ 6 w 50"/>
                <a:gd name="T3" fmla="*/ 95 h 95"/>
                <a:gd name="T4" fmla="*/ 50 w 50"/>
                <a:gd name="T5" fmla="*/ 0 h 95"/>
                <a:gd name="T6" fmla="*/ 0 w 50"/>
                <a:gd name="T7" fmla="*/ 92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0" y="92"/>
                  </a:moveTo>
                  <a:lnTo>
                    <a:pt x="6" y="95"/>
                  </a:lnTo>
                  <a:lnTo>
                    <a:pt x="50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1" name="Freeform 343">
              <a:extLst>
                <a:ext uri="{FF2B5EF4-FFF2-40B4-BE49-F238E27FC236}">
                  <a16:creationId xmlns:a16="http://schemas.microsoft.com/office/drawing/2014/main" id="{603F5D5D-867E-46DE-8673-755BFDBFB5AF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44"/>
                <a:gd name="T1" fmla="*/ 95 h 98"/>
                <a:gd name="T2" fmla="*/ 7 w 44"/>
                <a:gd name="T3" fmla="*/ 98 h 98"/>
                <a:gd name="T4" fmla="*/ 44 w 44"/>
                <a:gd name="T5" fmla="*/ 0 h 98"/>
                <a:gd name="T6" fmla="*/ 0 w 44"/>
                <a:gd name="T7" fmla="*/ 95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0" y="95"/>
                  </a:moveTo>
                  <a:lnTo>
                    <a:pt x="7" y="98"/>
                  </a:lnTo>
                  <a:lnTo>
                    <a:pt x="44" y="0"/>
                  </a:lnTo>
                  <a:lnTo>
                    <a:pt x="0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2" name="Freeform 344">
              <a:extLst>
                <a:ext uri="{FF2B5EF4-FFF2-40B4-BE49-F238E27FC236}">
                  <a16:creationId xmlns:a16="http://schemas.microsoft.com/office/drawing/2014/main" id="{E025D519-A12C-4DC3-B61C-4F2844639DE5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7"/>
                <a:gd name="T1" fmla="*/ 98 h 101"/>
                <a:gd name="T2" fmla="*/ 7 w 37"/>
                <a:gd name="T3" fmla="*/ 101 h 101"/>
                <a:gd name="T4" fmla="*/ 37 w 37"/>
                <a:gd name="T5" fmla="*/ 0 h 101"/>
                <a:gd name="T6" fmla="*/ 0 w 37"/>
                <a:gd name="T7" fmla="*/ 98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0" y="98"/>
                  </a:moveTo>
                  <a:lnTo>
                    <a:pt x="7" y="101"/>
                  </a:lnTo>
                  <a:lnTo>
                    <a:pt x="37" y="0"/>
                  </a:lnTo>
                  <a:lnTo>
                    <a:pt x="0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3" name="Freeform 345">
              <a:extLst>
                <a:ext uri="{FF2B5EF4-FFF2-40B4-BE49-F238E27FC236}">
                  <a16:creationId xmlns:a16="http://schemas.microsoft.com/office/drawing/2014/main" id="{965FE344-8349-4943-846F-08B6611A538E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0"/>
                <a:gd name="T1" fmla="*/ 101 h 103"/>
                <a:gd name="T2" fmla="*/ 8 w 30"/>
                <a:gd name="T3" fmla="*/ 103 h 103"/>
                <a:gd name="T4" fmla="*/ 30 w 30"/>
                <a:gd name="T5" fmla="*/ 0 h 103"/>
                <a:gd name="T6" fmla="*/ 0 w 30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0" y="101"/>
                  </a:moveTo>
                  <a:lnTo>
                    <a:pt x="8" y="103"/>
                  </a:lnTo>
                  <a:lnTo>
                    <a:pt x="30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4" name="Freeform 346">
              <a:extLst>
                <a:ext uri="{FF2B5EF4-FFF2-40B4-BE49-F238E27FC236}">
                  <a16:creationId xmlns:a16="http://schemas.microsoft.com/office/drawing/2014/main" id="{06876D9D-6433-4207-9165-21DC8F7E1D45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22"/>
                <a:gd name="T1" fmla="*/ 103 h 104"/>
                <a:gd name="T2" fmla="*/ 7 w 22"/>
                <a:gd name="T3" fmla="*/ 104 h 104"/>
                <a:gd name="T4" fmla="*/ 22 w 22"/>
                <a:gd name="T5" fmla="*/ 0 h 104"/>
                <a:gd name="T6" fmla="*/ 0 w 22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0" y="103"/>
                  </a:moveTo>
                  <a:lnTo>
                    <a:pt x="7" y="104"/>
                  </a:lnTo>
                  <a:lnTo>
                    <a:pt x="22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5" name="Freeform 347">
              <a:extLst>
                <a:ext uri="{FF2B5EF4-FFF2-40B4-BE49-F238E27FC236}">
                  <a16:creationId xmlns:a16="http://schemas.microsoft.com/office/drawing/2014/main" id="{E7B2B311-B522-4867-9CE0-5F57310D7C04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15"/>
                <a:gd name="T1" fmla="*/ 104 h 105"/>
                <a:gd name="T2" fmla="*/ 7 w 15"/>
                <a:gd name="T3" fmla="*/ 105 h 105"/>
                <a:gd name="T4" fmla="*/ 15 w 15"/>
                <a:gd name="T5" fmla="*/ 0 h 105"/>
                <a:gd name="T6" fmla="*/ 0 w 15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0" y="104"/>
                  </a:moveTo>
                  <a:lnTo>
                    <a:pt x="7" y="105"/>
                  </a:lnTo>
                  <a:lnTo>
                    <a:pt x="15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6" name="Freeform 348">
              <a:extLst>
                <a:ext uri="{FF2B5EF4-FFF2-40B4-BE49-F238E27FC236}">
                  <a16:creationId xmlns:a16="http://schemas.microsoft.com/office/drawing/2014/main" id="{F75107BF-B50A-431E-B435-1A7C4245636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8"/>
                <a:gd name="T1" fmla="*/ 105 h 105"/>
                <a:gd name="T2" fmla="*/ 8 w 8"/>
                <a:gd name="T3" fmla="*/ 105 h 105"/>
                <a:gd name="T4" fmla="*/ 8 w 8"/>
                <a:gd name="T5" fmla="*/ 0 h 105"/>
                <a:gd name="T6" fmla="*/ 0 w 8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5">
                  <a:moveTo>
                    <a:pt x="0" y="105"/>
                  </a:moveTo>
                  <a:lnTo>
                    <a:pt x="8" y="105"/>
                  </a:lnTo>
                  <a:lnTo>
                    <a:pt x="8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7" name="Freeform 349">
              <a:extLst>
                <a:ext uri="{FF2B5EF4-FFF2-40B4-BE49-F238E27FC236}">
                  <a16:creationId xmlns:a16="http://schemas.microsoft.com/office/drawing/2014/main" id="{BF6FCA0A-09E2-4736-A930-52C2CD70A17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8" name="Freeform 350">
              <a:extLst>
                <a:ext uri="{FF2B5EF4-FFF2-40B4-BE49-F238E27FC236}">
                  <a16:creationId xmlns:a16="http://schemas.microsoft.com/office/drawing/2014/main" id="{14CAD5E1-3957-4CAE-AD2B-B53B25D14AB3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9" name="Freeform 351">
              <a:extLst>
                <a:ext uri="{FF2B5EF4-FFF2-40B4-BE49-F238E27FC236}">
                  <a16:creationId xmlns:a16="http://schemas.microsoft.com/office/drawing/2014/main" id="{DCBD31E3-F195-4586-A7DB-0D3C7F91A386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0" name="Freeform 352">
              <a:extLst>
                <a:ext uri="{FF2B5EF4-FFF2-40B4-BE49-F238E27FC236}">
                  <a16:creationId xmlns:a16="http://schemas.microsoft.com/office/drawing/2014/main" id="{19A0E18B-D5EB-4C2C-A73F-8CA515F8F1F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22 w 30"/>
                <a:gd name="T1" fmla="*/ 103 h 103"/>
                <a:gd name="T2" fmla="*/ 30 w 30"/>
                <a:gd name="T3" fmla="*/ 101 h 103"/>
                <a:gd name="T4" fmla="*/ 0 w 30"/>
                <a:gd name="T5" fmla="*/ 0 h 103"/>
                <a:gd name="T6" fmla="*/ 22 w 30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22" y="103"/>
                  </a:moveTo>
                  <a:lnTo>
                    <a:pt x="30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1" name="Freeform 353">
              <a:extLst>
                <a:ext uri="{FF2B5EF4-FFF2-40B4-BE49-F238E27FC236}">
                  <a16:creationId xmlns:a16="http://schemas.microsoft.com/office/drawing/2014/main" id="{49723B45-BBB5-4525-AAAA-CDB2A106CC2A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0 w 37"/>
                <a:gd name="T1" fmla="*/ 101 h 101"/>
                <a:gd name="T2" fmla="*/ 37 w 37"/>
                <a:gd name="T3" fmla="*/ 98 h 101"/>
                <a:gd name="T4" fmla="*/ 0 w 37"/>
                <a:gd name="T5" fmla="*/ 0 h 101"/>
                <a:gd name="T6" fmla="*/ 30 w 37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0" y="101"/>
                  </a:moveTo>
                  <a:lnTo>
                    <a:pt x="37" y="98"/>
                  </a:lnTo>
                  <a:lnTo>
                    <a:pt x="0" y="0"/>
                  </a:lnTo>
                  <a:lnTo>
                    <a:pt x="3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2" name="Freeform 354">
              <a:extLst>
                <a:ext uri="{FF2B5EF4-FFF2-40B4-BE49-F238E27FC236}">
                  <a16:creationId xmlns:a16="http://schemas.microsoft.com/office/drawing/2014/main" id="{1A4BADDA-332F-419D-B42C-E50833B7013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7 w 44"/>
                <a:gd name="T1" fmla="*/ 98 h 98"/>
                <a:gd name="T2" fmla="*/ 44 w 44"/>
                <a:gd name="T3" fmla="*/ 95 h 98"/>
                <a:gd name="T4" fmla="*/ 0 w 44"/>
                <a:gd name="T5" fmla="*/ 0 h 98"/>
                <a:gd name="T6" fmla="*/ 37 w 44"/>
                <a:gd name="T7" fmla="*/ 98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37" y="98"/>
                  </a:moveTo>
                  <a:lnTo>
                    <a:pt x="44" y="95"/>
                  </a:lnTo>
                  <a:lnTo>
                    <a:pt x="0" y="0"/>
                  </a:lnTo>
                  <a:lnTo>
                    <a:pt x="37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3" name="Freeform 355">
              <a:extLst>
                <a:ext uri="{FF2B5EF4-FFF2-40B4-BE49-F238E27FC236}">
                  <a16:creationId xmlns:a16="http://schemas.microsoft.com/office/drawing/2014/main" id="{D76CB2A8-2716-44C1-AB4F-0989E5C3A60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1"/>
            </a:xfrm>
            <a:custGeom>
              <a:avLst/>
              <a:gdLst>
                <a:gd name="T0" fmla="*/ 44 w 50"/>
                <a:gd name="T1" fmla="*/ 95 h 95"/>
                <a:gd name="T2" fmla="*/ 50 w 50"/>
                <a:gd name="T3" fmla="*/ 92 h 95"/>
                <a:gd name="T4" fmla="*/ 0 w 50"/>
                <a:gd name="T5" fmla="*/ 0 h 95"/>
                <a:gd name="T6" fmla="*/ 44 w 50"/>
                <a:gd name="T7" fmla="*/ 95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44" y="95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4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4" name="Freeform 356">
              <a:extLst>
                <a:ext uri="{FF2B5EF4-FFF2-40B4-BE49-F238E27FC236}">
                  <a16:creationId xmlns:a16="http://schemas.microsoft.com/office/drawing/2014/main" id="{5E893D22-ED98-4C4D-A854-7C642FB6208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0 w 57"/>
                <a:gd name="T1" fmla="*/ 92 h 92"/>
                <a:gd name="T2" fmla="*/ 57 w 57"/>
                <a:gd name="T3" fmla="*/ 88 h 92"/>
                <a:gd name="T4" fmla="*/ 0 w 57"/>
                <a:gd name="T5" fmla="*/ 0 h 92"/>
                <a:gd name="T6" fmla="*/ 50 w 57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50" y="92"/>
                  </a:moveTo>
                  <a:lnTo>
                    <a:pt x="57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5" name="Freeform 357">
              <a:extLst>
                <a:ext uri="{FF2B5EF4-FFF2-40B4-BE49-F238E27FC236}">
                  <a16:creationId xmlns:a16="http://schemas.microsoft.com/office/drawing/2014/main" id="{5CE11C68-3A10-492C-A90C-AF618EC5169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7 w 63"/>
                <a:gd name="T1" fmla="*/ 88 h 88"/>
                <a:gd name="T2" fmla="*/ 63 w 63"/>
                <a:gd name="T3" fmla="*/ 84 h 88"/>
                <a:gd name="T4" fmla="*/ 0 w 63"/>
                <a:gd name="T5" fmla="*/ 0 h 88"/>
                <a:gd name="T6" fmla="*/ 57 w 63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57" y="88"/>
                  </a:moveTo>
                  <a:lnTo>
                    <a:pt x="63" y="84"/>
                  </a:lnTo>
                  <a:lnTo>
                    <a:pt x="0" y="0"/>
                  </a:lnTo>
                  <a:lnTo>
                    <a:pt x="57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6" name="Freeform 358">
              <a:extLst>
                <a:ext uri="{FF2B5EF4-FFF2-40B4-BE49-F238E27FC236}">
                  <a16:creationId xmlns:a16="http://schemas.microsoft.com/office/drawing/2014/main" id="{F6767838-4600-4695-ACCD-D1056F4ADB68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3 w 69"/>
                <a:gd name="T1" fmla="*/ 84 h 84"/>
                <a:gd name="T2" fmla="*/ 69 w 69"/>
                <a:gd name="T3" fmla="*/ 79 h 84"/>
                <a:gd name="T4" fmla="*/ 0 w 69"/>
                <a:gd name="T5" fmla="*/ 0 h 84"/>
                <a:gd name="T6" fmla="*/ 63 w 69"/>
                <a:gd name="T7" fmla="*/ 84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63" y="84"/>
                  </a:moveTo>
                  <a:lnTo>
                    <a:pt x="69" y="79"/>
                  </a:lnTo>
                  <a:lnTo>
                    <a:pt x="0" y="0"/>
                  </a:lnTo>
                  <a:lnTo>
                    <a:pt x="63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7" name="Freeform 359">
              <a:extLst>
                <a:ext uri="{FF2B5EF4-FFF2-40B4-BE49-F238E27FC236}">
                  <a16:creationId xmlns:a16="http://schemas.microsoft.com/office/drawing/2014/main" id="{D195FBD1-7111-40E3-B287-0DFD4B2CA95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9 w 74"/>
                <a:gd name="T1" fmla="*/ 79 h 79"/>
                <a:gd name="T2" fmla="*/ 74 w 74"/>
                <a:gd name="T3" fmla="*/ 74 h 79"/>
                <a:gd name="T4" fmla="*/ 0 w 74"/>
                <a:gd name="T5" fmla="*/ 0 h 79"/>
                <a:gd name="T6" fmla="*/ 69 w 74"/>
                <a:gd name="T7" fmla="*/ 79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69" y="79"/>
                  </a:moveTo>
                  <a:lnTo>
                    <a:pt x="74" y="74"/>
                  </a:lnTo>
                  <a:lnTo>
                    <a:pt x="0" y="0"/>
                  </a:lnTo>
                  <a:lnTo>
                    <a:pt x="69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8" name="Freeform 360">
              <a:extLst>
                <a:ext uri="{FF2B5EF4-FFF2-40B4-BE49-F238E27FC236}">
                  <a16:creationId xmlns:a16="http://schemas.microsoft.com/office/drawing/2014/main" id="{BFC30F34-1765-4AF8-ACB3-3587E618C35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4 w 79"/>
                <a:gd name="T1" fmla="*/ 74 h 74"/>
                <a:gd name="T2" fmla="*/ 79 w 79"/>
                <a:gd name="T3" fmla="*/ 69 h 74"/>
                <a:gd name="T4" fmla="*/ 0 w 79"/>
                <a:gd name="T5" fmla="*/ 0 h 74"/>
                <a:gd name="T6" fmla="*/ 74 w 79"/>
                <a:gd name="T7" fmla="*/ 74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4">
                  <a:moveTo>
                    <a:pt x="74" y="74"/>
                  </a:moveTo>
                  <a:lnTo>
                    <a:pt x="79" y="69"/>
                  </a:lnTo>
                  <a:lnTo>
                    <a:pt x="0" y="0"/>
                  </a:lnTo>
                  <a:lnTo>
                    <a:pt x="74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9" name="Freeform 361">
              <a:extLst>
                <a:ext uri="{FF2B5EF4-FFF2-40B4-BE49-F238E27FC236}">
                  <a16:creationId xmlns:a16="http://schemas.microsoft.com/office/drawing/2014/main" id="{93D7699A-835B-43DE-9A16-5FEC0BDC7C95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9 w 84"/>
                <a:gd name="T1" fmla="*/ 69 h 69"/>
                <a:gd name="T2" fmla="*/ 84 w 84"/>
                <a:gd name="T3" fmla="*/ 63 h 69"/>
                <a:gd name="T4" fmla="*/ 0 w 84"/>
                <a:gd name="T5" fmla="*/ 0 h 69"/>
                <a:gd name="T6" fmla="*/ 79 w 84"/>
                <a:gd name="T7" fmla="*/ 69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79" y="69"/>
                  </a:moveTo>
                  <a:lnTo>
                    <a:pt x="84" y="63"/>
                  </a:lnTo>
                  <a:lnTo>
                    <a:pt x="0" y="0"/>
                  </a:lnTo>
                  <a:lnTo>
                    <a:pt x="79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0" name="Freeform 362">
              <a:extLst>
                <a:ext uri="{FF2B5EF4-FFF2-40B4-BE49-F238E27FC236}">
                  <a16:creationId xmlns:a16="http://schemas.microsoft.com/office/drawing/2014/main" id="{C34E64F2-AF7E-442B-BCC0-F516E0D58D13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4 w 88"/>
                <a:gd name="T1" fmla="*/ 63 h 63"/>
                <a:gd name="T2" fmla="*/ 88 w 88"/>
                <a:gd name="T3" fmla="*/ 57 h 63"/>
                <a:gd name="T4" fmla="*/ 0 w 88"/>
                <a:gd name="T5" fmla="*/ 0 h 63"/>
                <a:gd name="T6" fmla="*/ 84 w 88"/>
                <a:gd name="T7" fmla="*/ 63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4" y="63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4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1" name="Freeform 363">
              <a:extLst>
                <a:ext uri="{FF2B5EF4-FFF2-40B4-BE49-F238E27FC236}">
                  <a16:creationId xmlns:a16="http://schemas.microsoft.com/office/drawing/2014/main" id="{70BA1B9F-072B-45B8-90DF-B004494ACAF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8 w 92"/>
                <a:gd name="T1" fmla="*/ 57 h 57"/>
                <a:gd name="T2" fmla="*/ 92 w 92"/>
                <a:gd name="T3" fmla="*/ 50 h 57"/>
                <a:gd name="T4" fmla="*/ 0 w 92"/>
                <a:gd name="T5" fmla="*/ 0 h 57"/>
                <a:gd name="T6" fmla="*/ 88 w 92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88" y="57"/>
                  </a:moveTo>
                  <a:lnTo>
                    <a:pt x="92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2" name="Freeform 364">
              <a:extLst>
                <a:ext uri="{FF2B5EF4-FFF2-40B4-BE49-F238E27FC236}">
                  <a16:creationId xmlns:a16="http://schemas.microsoft.com/office/drawing/2014/main" id="{71D60CAD-6507-4E49-958A-3CAB5D4ABE98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2 w 96"/>
                <a:gd name="T1" fmla="*/ 50 h 50"/>
                <a:gd name="T2" fmla="*/ 96 w 96"/>
                <a:gd name="T3" fmla="*/ 43 h 50"/>
                <a:gd name="T4" fmla="*/ 0 w 96"/>
                <a:gd name="T5" fmla="*/ 0 h 50"/>
                <a:gd name="T6" fmla="*/ 92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2" y="50"/>
                  </a:moveTo>
                  <a:lnTo>
                    <a:pt x="96" y="43"/>
                  </a:lnTo>
                  <a:lnTo>
                    <a:pt x="0" y="0"/>
                  </a:lnTo>
                  <a:lnTo>
                    <a:pt x="92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3" name="Freeform 365">
              <a:extLst>
                <a:ext uri="{FF2B5EF4-FFF2-40B4-BE49-F238E27FC236}">
                  <a16:creationId xmlns:a16="http://schemas.microsoft.com/office/drawing/2014/main" id="{069C4D72-B799-4C9A-A2C9-CC8AF9A786CA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6 w 99"/>
                <a:gd name="T1" fmla="*/ 43 h 43"/>
                <a:gd name="T2" fmla="*/ 99 w 99"/>
                <a:gd name="T3" fmla="*/ 36 h 43"/>
                <a:gd name="T4" fmla="*/ 0 w 99"/>
                <a:gd name="T5" fmla="*/ 0 h 43"/>
                <a:gd name="T6" fmla="*/ 96 w 99"/>
                <a:gd name="T7" fmla="*/ 43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6" y="43"/>
                  </a:moveTo>
                  <a:lnTo>
                    <a:pt x="99" y="36"/>
                  </a:lnTo>
                  <a:lnTo>
                    <a:pt x="0" y="0"/>
                  </a:lnTo>
                  <a:lnTo>
                    <a:pt x="96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4" name="Freeform 366">
              <a:extLst>
                <a:ext uri="{FF2B5EF4-FFF2-40B4-BE49-F238E27FC236}">
                  <a16:creationId xmlns:a16="http://schemas.microsoft.com/office/drawing/2014/main" id="{9722861A-DE47-4308-AE41-6CE6DA0F78C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99 w 101"/>
                <a:gd name="T1" fmla="*/ 36 h 36"/>
                <a:gd name="T2" fmla="*/ 101 w 101"/>
                <a:gd name="T3" fmla="*/ 29 h 36"/>
                <a:gd name="T4" fmla="*/ 0 w 101"/>
                <a:gd name="T5" fmla="*/ 0 h 36"/>
                <a:gd name="T6" fmla="*/ 99 w 101"/>
                <a:gd name="T7" fmla="*/ 36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99" y="36"/>
                  </a:moveTo>
                  <a:lnTo>
                    <a:pt x="101" y="29"/>
                  </a:lnTo>
                  <a:lnTo>
                    <a:pt x="0" y="0"/>
                  </a:lnTo>
                  <a:lnTo>
                    <a:pt x="99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5" name="Freeform 367">
              <a:extLst>
                <a:ext uri="{FF2B5EF4-FFF2-40B4-BE49-F238E27FC236}">
                  <a16:creationId xmlns:a16="http://schemas.microsoft.com/office/drawing/2014/main" id="{E9A100FD-867C-4D09-BE2B-9FD876C2074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1 w 103"/>
                <a:gd name="T1" fmla="*/ 29 h 29"/>
                <a:gd name="T2" fmla="*/ 103 w 103"/>
                <a:gd name="T3" fmla="*/ 22 h 29"/>
                <a:gd name="T4" fmla="*/ 0 w 103"/>
                <a:gd name="T5" fmla="*/ 0 h 29"/>
                <a:gd name="T6" fmla="*/ 101 w 103"/>
                <a:gd name="T7" fmla="*/ 29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1" y="29"/>
                  </a:moveTo>
                  <a:lnTo>
                    <a:pt x="103" y="22"/>
                  </a:lnTo>
                  <a:lnTo>
                    <a:pt x="0" y="0"/>
                  </a:lnTo>
                  <a:lnTo>
                    <a:pt x="101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6" name="Freeform 368">
              <a:extLst>
                <a:ext uri="{FF2B5EF4-FFF2-40B4-BE49-F238E27FC236}">
                  <a16:creationId xmlns:a16="http://schemas.microsoft.com/office/drawing/2014/main" id="{4B9313E0-1AF1-465A-B119-38186643437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3 w 104"/>
                <a:gd name="T1" fmla="*/ 22 h 22"/>
                <a:gd name="T2" fmla="*/ 104 w 104"/>
                <a:gd name="T3" fmla="*/ 15 h 22"/>
                <a:gd name="T4" fmla="*/ 0 w 104"/>
                <a:gd name="T5" fmla="*/ 0 h 22"/>
                <a:gd name="T6" fmla="*/ 103 w 104"/>
                <a:gd name="T7" fmla="*/ 22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3" y="22"/>
                  </a:moveTo>
                  <a:lnTo>
                    <a:pt x="104" y="15"/>
                  </a:lnTo>
                  <a:lnTo>
                    <a:pt x="0" y="0"/>
                  </a:lnTo>
                  <a:lnTo>
                    <a:pt x="103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7" name="Freeform 369">
              <a:extLst>
                <a:ext uri="{FF2B5EF4-FFF2-40B4-BE49-F238E27FC236}">
                  <a16:creationId xmlns:a16="http://schemas.microsoft.com/office/drawing/2014/main" id="{4FAE9C24-F09A-4575-AD91-3AB5E36A421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4 w 105"/>
                <a:gd name="T1" fmla="*/ 15 h 15"/>
                <a:gd name="T2" fmla="*/ 105 w 105"/>
                <a:gd name="T3" fmla="*/ 7 h 15"/>
                <a:gd name="T4" fmla="*/ 0 w 105"/>
                <a:gd name="T5" fmla="*/ 0 h 15"/>
                <a:gd name="T6" fmla="*/ 104 w 105"/>
                <a:gd name="T7" fmla="*/ 15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4" y="15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8" name="Freeform 370">
              <a:extLst>
                <a:ext uri="{FF2B5EF4-FFF2-40B4-BE49-F238E27FC236}">
                  <a16:creationId xmlns:a16="http://schemas.microsoft.com/office/drawing/2014/main" id="{DE5E0470-C0A1-44C8-89A4-D0ACC63D685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9" name="Freeform 371">
              <a:extLst>
                <a:ext uri="{FF2B5EF4-FFF2-40B4-BE49-F238E27FC236}">
                  <a16:creationId xmlns:a16="http://schemas.microsoft.com/office/drawing/2014/main" id="{5436E312-3404-40E5-99AC-1672549FBB17}"/>
                </a:ext>
              </a:extLst>
            </xdr:cNvPr>
            <xdr:cNvSpPr>
              <a:spLocks/>
            </xdr:cNvSpPr>
          </xdr:nvSpPr>
          <xdr:spPr bwMode="auto">
            <a:xfrm>
              <a:off x="1095" y="188"/>
              <a:ext cx="6" cy="9"/>
            </a:xfrm>
            <a:custGeom>
              <a:avLst/>
              <a:gdLst>
                <a:gd name="T0" fmla="*/ 0 w 352"/>
                <a:gd name="T1" fmla="*/ 526 h 526"/>
                <a:gd name="T2" fmla="*/ 0 w 352"/>
                <a:gd name="T3" fmla="*/ 0 h 526"/>
                <a:gd name="T4" fmla="*/ 264 w 352"/>
                <a:gd name="T5" fmla="*/ 0 h 526"/>
                <a:gd name="T6" fmla="*/ 352 w 352"/>
                <a:gd name="T7" fmla="*/ 88 h 526"/>
                <a:gd name="T8" fmla="*/ 352 w 352"/>
                <a:gd name="T9" fmla="*/ 175 h 526"/>
                <a:gd name="T10" fmla="*/ 264 w 352"/>
                <a:gd name="T11" fmla="*/ 263 h 526"/>
                <a:gd name="T12" fmla="*/ 0 w 352"/>
                <a:gd name="T13" fmla="*/ 263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352" h="526">
                  <a:moveTo>
                    <a:pt x="0" y="526"/>
                  </a:moveTo>
                  <a:lnTo>
                    <a:pt x="0" y="0"/>
                  </a:lnTo>
                  <a:lnTo>
                    <a:pt x="264" y="0"/>
                  </a:lnTo>
                  <a:lnTo>
                    <a:pt x="352" y="88"/>
                  </a:lnTo>
                  <a:lnTo>
                    <a:pt x="352" y="175"/>
                  </a:lnTo>
                  <a:lnTo>
                    <a:pt x="264" y="263"/>
                  </a:lnTo>
                  <a:lnTo>
                    <a:pt x="0" y="263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0" name="Freeform 372">
              <a:extLst>
                <a:ext uri="{FF2B5EF4-FFF2-40B4-BE49-F238E27FC236}">
                  <a16:creationId xmlns:a16="http://schemas.microsoft.com/office/drawing/2014/main" id="{C15B252D-28C0-4F0B-92CD-7BD5F78A26D9}"/>
                </a:ext>
              </a:extLst>
            </xdr:cNvPr>
            <xdr:cNvSpPr>
              <a:spLocks/>
            </xdr:cNvSpPr>
          </xdr:nvSpPr>
          <xdr:spPr bwMode="auto">
            <a:xfrm>
              <a:off x="1104" y="191"/>
              <a:ext cx="6" cy="6"/>
            </a:xfrm>
            <a:custGeom>
              <a:avLst/>
              <a:gdLst>
                <a:gd name="T0" fmla="*/ 351 w 351"/>
                <a:gd name="T1" fmla="*/ 0 h 351"/>
                <a:gd name="T2" fmla="*/ 88 w 351"/>
                <a:gd name="T3" fmla="*/ 0 h 351"/>
                <a:gd name="T4" fmla="*/ 0 w 351"/>
                <a:gd name="T5" fmla="*/ 88 h 351"/>
                <a:gd name="T6" fmla="*/ 0 w 351"/>
                <a:gd name="T7" fmla="*/ 264 h 351"/>
                <a:gd name="T8" fmla="*/ 88 w 351"/>
                <a:gd name="T9" fmla="*/ 351 h 351"/>
                <a:gd name="T10" fmla="*/ 351 w 351"/>
                <a:gd name="T11" fmla="*/ 351 h 3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351">
                  <a:moveTo>
                    <a:pt x="351" y="0"/>
                  </a:moveTo>
                  <a:lnTo>
                    <a:pt x="88" y="0"/>
                  </a:lnTo>
                  <a:lnTo>
                    <a:pt x="0" y="88"/>
                  </a:lnTo>
                  <a:lnTo>
                    <a:pt x="0" y="264"/>
                  </a:lnTo>
                  <a:lnTo>
                    <a:pt x="88" y="351"/>
                  </a:lnTo>
                  <a:lnTo>
                    <a:pt x="351" y="351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1" name="Freeform 373">
              <a:extLst>
                <a:ext uri="{FF2B5EF4-FFF2-40B4-BE49-F238E27FC236}">
                  <a16:creationId xmlns:a16="http://schemas.microsoft.com/office/drawing/2014/main" id="{64A17B19-BF34-44DE-8FE7-D9C0C61EC2E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9"/>
                <a:gd name="T2" fmla="*/ 105 w 105"/>
                <a:gd name="T3" fmla="*/ 0 h 9"/>
                <a:gd name="T4" fmla="*/ 0 w 105"/>
                <a:gd name="T5" fmla="*/ 9 h 9"/>
                <a:gd name="T6" fmla="*/ 105 w 105"/>
                <a:gd name="T7" fmla="*/ 9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9">
                  <a:moveTo>
                    <a:pt x="105" y="9"/>
                  </a:moveTo>
                  <a:lnTo>
                    <a:pt x="105" y="0"/>
                  </a:lnTo>
                  <a:lnTo>
                    <a:pt x="0" y="9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2" name="Freeform 374">
              <a:extLst>
                <a:ext uri="{FF2B5EF4-FFF2-40B4-BE49-F238E27FC236}">
                  <a16:creationId xmlns:a16="http://schemas.microsoft.com/office/drawing/2014/main" id="{D777E0A6-F26F-4EF1-AF01-B9359497E10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18"/>
                <a:gd name="T2" fmla="*/ 104 w 105"/>
                <a:gd name="T3" fmla="*/ 0 h 18"/>
                <a:gd name="T4" fmla="*/ 0 w 105"/>
                <a:gd name="T5" fmla="*/ 18 h 18"/>
                <a:gd name="T6" fmla="*/ 105 w 105"/>
                <a:gd name="T7" fmla="*/ 9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8">
                  <a:moveTo>
                    <a:pt x="105" y="9"/>
                  </a:moveTo>
                  <a:lnTo>
                    <a:pt x="104" y="0"/>
                  </a:lnTo>
                  <a:lnTo>
                    <a:pt x="0" y="18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3" name="Freeform 375">
              <a:extLst>
                <a:ext uri="{FF2B5EF4-FFF2-40B4-BE49-F238E27FC236}">
                  <a16:creationId xmlns:a16="http://schemas.microsoft.com/office/drawing/2014/main" id="{8B6F872A-602A-419A-B009-38FFAB8FBA4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4 w 104"/>
                <a:gd name="T1" fmla="*/ 8 h 26"/>
                <a:gd name="T2" fmla="*/ 102 w 104"/>
                <a:gd name="T3" fmla="*/ 0 h 26"/>
                <a:gd name="T4" fmla="*/ 0 w 104"/>
                <a:gd name="T5" fmla="*/ 26 h 26"/>
                <a:gd name="T6" fmla="*/ 104 w 104"/>
                <a:gd name="T7" fmla="*/ 8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4" y="8"/>
                  </a:moveTo>
                  <a:lnTo>
                    <a:pt x="102" y="0"/>
                  </a:lnTo>
                  <a:lnTo>
                    <a:pt x="0" y="26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4" name="Freeform 376">
              <a:extLst>
                <a:ext uri="{FF2B5EF4-FFF2-40B4-BE49-F238E27FC236}">
                  <a16:creationId xmlns:a16="http://schemas.microsoft.com/office/drawing/2014/main" id="{E4DA25AF-3E80-4A9D-9777-151CF07B804A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2 w 102"/>
                <a:gd name="T1" fmla="*/ 9 h 35"/>
                <a:gd name="T2" fmla="*/ 99 w 102"/>
                <a:gd name="T3" fmla="*/ 0 h 35"/>
                <a:gd name="T4" fmla="*/ 0 w 102"/>
                <a:gd name="T5" fmla="*/ 35 h 35"/>
                <a:gd name="T6" fmla="*/ 102 w 102"/>
                <a:gd name="T7" fmla="*/ 9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102" y="9"/>
                  </a:moveTo>
                  <a:lnTo>
                    <a:pt x="99" y="0"/>
                  </a:lnTo>
                  <a:lnTo>
                    <a:pt x="0" y="35"/>
                  </a:lnTo>
                  <a:lnTo>
                    <a:pt x="102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5" name="Freeform 377">
              <a:extLst>
                <a:ext uri="{FF2B5EF4-FFF2-40B4-BE49-F238E27FC236}">
                  <a16:creationId xmlns:a16="http://schemas.microsoft.com/office/drawing/2014/main" id="{FFB43657-94F8-433F-B7CD-B2F34190B588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9 w 99"/>
                <a:gd name="T1" fmla="*/ 8 h 43"/>
                <a:gd name="T2" fmla="*/ 96 w 99"/>
                <a:gd name="T3" fmla="*/ 0 h 43"/>
                <a:gd name="T4" fmla="*/ 0 w 99"/>
                <a:gd name="T5" fmla="*/ 43 h 43"/>
                <a:gd name="T6" fmla="*/ 99 w 99"/>
                <a:gd name="T7" fmla="*/ 8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9" y="8"/>
                  </a:moveTo>
                  <a:lnTo>
                    <a:pt x="96" y="0"/>
                  </a:lnTo>
                  <a:lnTo>
                    <a:pt x="0" y="43"/>
                  </a:lnTo>
                  <a:lnTo>
                    <a:pt x="99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6" name="Freeform 378">
              <a:extLst>
                <a:ext uri="{FF2B5EF4-FFF2-40B4-BE49-F238E27FC236}">
                  <a16:creationId xmlns:a16="http://schemas.microsoft.com/office/drawing/2014/main" id="{AE97D686-2BD5-4670-A2B4-78FD96F00925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6 w 96"/>
                <a:gd name="T1" fmla="*/ 7 h 50"/>
                <a:gd name="T2" fmla="*/ 93 w 96"/>
                <a:gd name="T3" fmla="*/ 0 h 50"/>
                <a:gd name="T4" fmla="*/ 0 w 96"/>
                <a:gd name="T5" fmla="*/ 50 h 50"/>
                <a:gd name="T6" fmla="*/ 96 w 96"/>
                <a:gd name="T7" fmla="*/ 7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6" y="7"/>
                  </a:moveTo>
                  <a:lnTo>
                    <a:pt x="93" y="0"/>
                  </a:lnTo>
                  <a:lnTo>
                    <a:pt x="0" y="50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7" name="Freeform 379">
              <a:extLst>
                <a:ext uri="{FF2B5EF4-FFF2-40B4-BE49-F238E27FC236}">
                  <a16:creationId xmlns:a16="http://schemas.microsoft.com/office/drawing/2014/main" id="{EF0B5541-E2FA-4577-8C5C-09311E145005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3 w 93"/>
                <a:gd name="T1" fmla="*/ 8 h 58"/>
                <a:gd name="T2" fmla="*/ 88 w 93"/>
                <a:gd name="T3" fmla="*/ 0 h 58"/>
                <a:gd name="T4" fmla="*/ 0 w 93"/>
                <a:gd name="T5" fmla="*/ 58 h 58"/>
                <a:gd name="T6" fmla="*/ 93 w 93"/>
                <a:gd name="T7" fmla="*/ 8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8">
                  <a:moveTo>
                    <a:pt x="93" y="8"/>
                  </a:moveTo>
                  <a:lnTo>
                    <a:pt x="88" y="0"/>
                  </a:lnTo>
                  <a:lnTo>
                    <a:pt x="0" y="58"/>
                  </a:lnTo>
                  <a:lnTo>
                    <a:pt x="93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8" name="Freeform 380">
              <a:extLst>
                <a:ext uri="{FF2B5EF4-FFF2-40B4-BE49-F238E27FC236}">
                  <a16:creationId xmlns:a16="http://schemas.microsoft.com/office/drawing/2014/main" id="{7CCFCAE0-BB46-4140-A5A8-688C8427E9BD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8 w 88"/>
                <a:gd name="T1" fmla="*/ 7 h 65"/>
                <a:gd name="T2" fmla="*/ 83 w 88"/>
                <a:gd name="T3" fmla="*/ 0 h 65"/>
                <a:gd name="T4" fmla="*/ 0 w 88"/>
                <a:gd name="T5" fmla="*/ 65 h 65"/>
                <a:gd name="T6" fmla="*/ 88 w 88"/>
                <a:gd name="T7" fmla="*/ 7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5">
                  <a:moveTo>
                    <a:pt x="88" y="7"/>
                  </a:moveTo>
                  <a:lnTo>
                    <a:pt x="83" y="0"/>
                  </a:lnTo>
                  <a:lnTo>
                    <a:pt x="0" y="65"/>
                  </a:lnTo>
                  <a:lnTo>
                    <a:pt x="88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9" name="Freeform 381">
              <a:extLst>
                <a:ext uri="{FF2B5EF4-FFF2-40B4-BE49-F238E27FC236}">
                  <a16:creationId xmlns:a16="http://schemas.microsoft.com/office/drawing/2014/main" id="{007D6B76-1C9F-4C5C-9285-8D3E3C4E7F6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3 w 83"/>
                <a:gd name="T1" fmla="*/ 7 h 72"/>
                <a:gd name="T2" fmla="*/ 77 w 83"/>
                <a:gd name="T3" fmla="*/ 0 h 72"/>
                <a:gd name="T4" fmla="*/ 0 w 83"/>
                <a:gd name="T5" fmla="*/ 72 h 72"/>
                <a:gd name="T6" fmla="*/ 83 w 83"/>
                <a:gd name="T7" fmla="*/ 7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2">
                  <a:moveTo>
                    <a:pt x="83" y="7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0" name="Freeform 382">
              <a:extLst>
                <a:ext uri="{FF2B5EF4-FFF2-40B4-BE49-F238E27FC236}">
                  <a16:creationId xmlns:a16="http://schemas.microsoft.com/office/drawing/2014/main" id="{69DED4AA-6B05-4D59-9B8A-BB0376A99B7A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77 w 77"/>
                <a:gd name="T1" fmla="*/ 6 h 78"/>
                <a:gd name="T2" fmla="*/ 71 w 77"/>
                <a:gd name="T3" fmla="*/ 0 h 78"/>
                <a:gd name="T4" fmla="*/ 0 w 77"/>
                <a:gd name="T5" fmla="*/ 78 h 78"/>
                <a:gd name="T6" fmla="*/ 77 w 77"/>
                <a:gd name="T7" fmla="*/ 6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8">
                  <a:moveTo>
                    <a:pt x="77" y="6"/>
                  </a:moveTo>
                  <a:lnTo>
                    <a:pt x="71" y="0"/>
                  </a:lnTo>
                  <a:lnTo>
                    <a:pt x="0" y="78"/>
                  </a:lnTo>
                  <a:lnTo>
                    <a:pt x="77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1" name="Freeform 383">
              <a:extLst>
                <a:ext uri="{FF2B5EF4-FFF2-40B4-BE49-F238E27FC236}">
                  <a16:creationId xmlns:a16="http://schemas.microsoft.com/office/drawing/2014/main" id="{F603E64A-B689-487B-92C3-95281E0D966F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71 w 71"/>
                <a:gd name="T1" fmla="*/ 5 h 83"/>
                <a:gd name="T2" fmla="*/ 65 w 71"/>
                <a:gd name="T3" fmla="*/ 0 h 83"/>
                <a:gd name="T4" fmla="*/ 0 w 71"/>
                <a:gd name="T5" fmla="*/ 83 h 83"/>
                <a:gd name="T6" fmla="*/ 71 w 71"/>
                <a:gd name="T7" fmla="*/ 5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71" y="5"/>
                  </a:moveTo>
                  <a:lnTo>
                    <a:pt x="65" y="0"/>
                  </a:lnTo>
                  <a:lnTo>
                    <a:pt x="0" y="83"/>
                  </a:lnTo>
                  <a:lnTo>
                    <a:pt x="71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2" name="Freeform 384">
              <a:extLst>
                <a:ext uri="{FF2B5EF4-FFF2-40B4-BE49-F238E27FC236}">
                  <a16:creationId xmlns:a16="http://schemas.microsoft.com/office/drawing/2014/main" id="{41A171B6-D63E-4823-9B6E-86224A09A29F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65 w 65"/>
                <a:gd name="T1" fmla="*/ 5 h 88"/>
                <a:gd name="T2" fmla="*/ 58 w 65"/>
                <a:gd name="T3" fmla="*/ 0 h 88"/>
                <a:gd name="T4" fmla="*/ 0 w 65"/>
                <a:gd name="T5" fmla="*/ 88 h 88"/>
                <a:gd name="T6" fmla="*/ 65 w 65"/>
                <a:gd name="T7" fmla="*/ 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65" y="5"/>
                  </a:moveTo>
                  <a:lnTo>
                    <a:pt x="58" y="0"/>
                  </a:lnTo>
                  <a:lnTo>
                    <a:pt x="0" y="88"/>
                  </a:lnTo>
                  <a:lnTo>
                    <a:pt x="65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3" name="Freeform 385">
              <a:extLst>
                <a:ext uri="{FF2B5EF4-FFF2-40B4-BE49-F238E27FC236}">
                  <a16:creationId xmlns:a16="http://schemas.microsoft.com/office/drawing/2014/main" id="{822E1190-41E8-4F49-B24F-E70F4BA7704D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8 w 58"/>
                <a:gd name="T1" fmla="*/ 5 h 93"/>
                <a:gd name="T2" fmla="*/ 50 w 58"/>
                <a:gd name="T3" fmla="*/ 0 h 93"/>
                <a:gd name="T4" fmla="*/ 0 w 58"/>
                <a:gd name="T5" fmla="*/ 93 h 93"/>
                <a:gd name="T6" fmla="*/ 58 w 58"/>
                <a:gd name="T7" fmla="*/ 5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3">
                  <a:moveTo>
                    <a:pt x="58" y="5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8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4" name="Freeform 386">
              <a:extLst>
                <a:ext uri="{FF2B5EF4-FFF2-40B4-BE49-F238E27FC236}">
                  <a16:creationId xmlns:a16="http://schemas.microsoft.com/office/drawing/2014/main" id="{AF994AAE-72D5-48AF-8AF2-DA0B1DAAFAE1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0 w 50"/>
                <a:gd name="T1" fmla="*/ 4 h 97"/>
                <a:gd name="T2" fmla="*/ 42 w 50"/>
                <a:gd name="T3" fmla="*/ 0 h 97"/>
                <a:gd name="T4" fmla="*/ 0 w 50"/>
                <a:gd name="T5" fmla="*/ 97 h 97"/>
                <a:gd name="T6" fmla="*/ 50 w 50"/>
                <a:gd name="T7" fmla="*/ 4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7">
                  <a:moveTo>
                    <a:pt x="50" y="4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50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5" name="Freeform 387">
              <a:extLst>
                <a:ext uri="{FF2B5EF4-FFF2-40B4-BE49-F238E27FC236}">
                  <a16:creationId xmlns:a16="http://schemas.microsoft.com/office/drawing/2014/main" id="{F7DDFD8B-EAC5-460A-BFEF-ED17DE283AD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4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4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6" name="Freeform 388">
              <a:extLst>
                <a:ext uri="{FF2B5EF4-FFF2-40B4-BE49-F238E27FC236}">
                  <a16:creationId xmlns:a16="http://schemas.microsoft.com/office/drawing/2014/main" id="{504207DE-B476-4DA2-8626-E71AC91B9EB4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34 w 34"/>
                <a:gd name="T1" fmla="*/ 2 h 102"/>
                <a:gd name="T2" fmla="*/ 26 w 34"/>
                <a:gd name="T3" fmla="*/ 0 h 102"/>
                <a:gd name="T4" fmla="*/ 0 w 34"/>
                <a:gd name="T5" fmla="*/ 102 h 102"/>
                <a:gd name="T6" fmla="*/ 34 w 34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34" y="2"/>
                  </a:moveTo>
                  <a:lnTo>
                    <a:pt x="26" y="0"/>
                  </a:lnTo>
                  <a:lnTo>
                    <a:pt x="0" y="102"/>
                  </a:lnTo>
                  <a:lnTo>
                    <a:pt x="34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7" name="Freeform 389">
              <a:extLst>
                <a:ext uri="{FF2B5EF4-FFF2-40B4-BE49-F238E27FC236}">
                  <a16:creationId xmlns:a16="http://schemas.microsoft.com/office/drawing/2014/main" id="{2B2E08F4-100D-443A-81D4-96E20824E5A7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26 w 26"/>
                <a:gd name="T1" fmla="*/ 2 h 104"/>
                <a:gd name="T2" fmla="*/ 17 w 26"/>
                <a:gd name="T3" fmla="*/ 0 h 104"/>
                <a:gd name="T4" fmla="*/ 0 w 26"/>
                <a:gd name="T5" fmla="*/ 104 h 104"/>
                <a:gd name="T6" fmla="*/ 26 w 26"/>
                <a:gd name="T7" fmla="*/ 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26" y="2"/>
                  </a:moveTo>
                  <a:lnTo>
                    <a:pt x="17" y="0"/>
                  </a:lnTo>
                  <a:lnTo>
                    <a:pt x="0" y="104"/>
                  </a:lnTo>
                  <a:lnTo>
                    <a:pt x="26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8" name="Freeform 390">
              <a:extLst>
                <a:ext uri="{FF2B5EF4-FFF2-40B4-BE49-F238E27FC236}">
                  <a16:creationId xmlns:a16="http://schemas.microsoft.com/office/drawing/2014/main" id="{29B59C4F-7C7A-4663-8256-E25EA93C15AC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17 w 17"/>
                <a:gd name="T1" fmla="*/ 1 h 105"/>
                <a:gd name="T2" fmla="*/ 9 w 17"/>
                <a:gd name="T3" fmla="*/ 0 h 105"/>
                <a:gd name="T4" fmla="*/ 0 w 17"/>
                <a:gd name="T5" fmla="*/ 105 h 105"/>
                <a:gd name="T6" fmla="*/ 17 w 17"/>
                <a:gd name="T7" fmla="*/ 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17" y="1"/>
                  </a:moveTo>
                  <a:lnTo>
                    <a:pt x="9" y="0"/>
                  </a:lnTo>
                  <a:lnTo>
                    <a:pt x="0" y="105"/>
                  </a:lnTo>
                  <a:lnTo>
                    <a:pt x="1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9" name="Freeform 391">
              <a:extLst>
                <a:ext uri="{FF2B5EF4-FFF2-40B4-BE49-F238E27FC236}">
                  <a16:creationId xmlns:a16="http://schemas.microsoft.com/office/drawing/2014/main" id="{0B0AFC9A-D2EC-4029-8552-6DF2CEC508F9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1 h 106"/>
                <a:gd name="T2" fmla="*/ 0 w 9"/>
                <a:gd name="T3" fmla="*/ 0 h 106"/>
                <a:gd name="T4" fmla="*/ 0 w 9"/>
                <a:gd name="T5" fmla="*/ 106 h 106"/>
                <a:gd name="T6" fmla="*/ 9 w 9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0" name="Freeform 392">
              <a:extLst>
                <a:ext uri="{FF2B5EF4-FFF2-40B4-BE49-F238E27FC236}">
                  <a16:creationId xmlns:a16="http://schemas.microsoft.com/office/drawing/2014/main" id="{C83B617C-188A-428C-8902-9E75818B3A82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0 h 106"/>
                <a:gd name="T2" fmla="*/ 0 w 9"/>
                <a:gd name="T3" fmla="*/ 1 h 106"/>
                <a:gd name="T4" fmla="*/ 9 w 9"/>
                <a:gd name="T5" fmla="*/ 106 h 106"/>
                <a:gd name="T6" fmla="*/ 9 w 9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0"/>
                  </a:moveTo>
                  <a:lnTo>
                    <a:pt x="0" y="1"/>
                  </a:lnTo>
                  <a:lnTo>
                    <a:pt x="9" y="106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1" name="Freeform 393">
              <a:extLst>
                <a:ext uri="{FF2B5EF4-FFF2-40B4-BE49-F238E27FC236}">
                  <a16:creationId xmlns:a16="http://schemas.microsoft.com/office/drawing/2014/main" id="{14A247A8-7D83-4153-A25F-AFB1C949B68A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18"/>
                <a:gd name="T1" fmla="*/ 0 h 105"/>
                <a:gd name="T2" fmla="*/ 0 w 18"/>
                <a:gd name="T3" fmla="*/ 1 h 105"/>
                <a:gd name="T4" fmla="*/ 18 w 18"/>
                <a:gd name="T5" fmla="*/ 105 h 105"/>
                <a:gd name="T6" fmla="*/ 9 w 18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9" y="0"/>
                  </a:moveTo>
                  <a:lnTo>
                    <a:pt x="0" y="1"/>
                  </a:lnTo>
                  <a:lnTo>
                    <a:pt x="18" y="105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2" name="Freeform 394">
              <a:extLst>
                <a:ext uri="{FF2B5EF4-FFF2-40B4-BE49-F238E27FC236}">
                  <a16:creationId xmlns:a16="http://schemas.microsoft.com/office/drawing/2014/main" id="{EE0B1C64-87ED-4D6C-BB37-CDF5363FF6A9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27"/>
                <a:gd name="T1" fmla="*/ 0 h 104"/>
                <a:gd name="T2" fmla="*/ 0 w 27"/>
                <a:gd name="T3" fmla="*/ 2 h 104"/>
                <a:gd name="T4" fmla="*/ 27 w 27"/>
                <a:gd name="T5" fmla="*/ 104 h 104"/>
                <a:gd name="T6" fmla="*/ 9 w 27"/>
                <a:gd name="T7" fmla="*/ 0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9" y="0"/>
                  </a:moveTo>
                  <a:lnTo>
                    <a:pt x="0" y="2"/>
                  </a:lnTo>
                  <a:lnTo>
                    <a:pt x="27" y="104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3" name="Freeform 395">
              <a:extLst>
                <a:ext uri="{FF2B5EF4-FFF2-40B4-BE49-F238E27FC236}">
                  <a16:creationId xmlns:a16="http://schemas.microsoft.com/office/drawing/2014/main" id="{98468ED1-B41C-4F16-8DC2-C938424D1B2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8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8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8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4" name="Freeform 396">
              <a:extLst>
                <a:ext uri="{FF2B5EF4-FFF2-40B4-BE49-F238E27FC236}">
                  <a16:creationId xmlns:a16="http://schemas.microsoft.com/office/drawing/2014/main" id="{7FC99871-2440-4CEC-AD1E-EAC8CE089CCB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43"/>
                <a:gd name="T1" fmla="*/ 0 h 100"/>
                <a:gd name="T2" fmla="*/ 0 w 43"/>
                <a:gd name="T3" fmla="*/ 3 h 100"/>
                <a:gd name="T4" fmla="*/ 43 w 43"/>
                <a:gd name="T5" fmla="*/ 100 h 100"/>
                <a:gd name="T6" fmla="*/ 8 w 43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100">
                  <a:moveTo>
                    <a:pt x="8" y="0"/>
                  </a:moveTo>
                  <a:lnTo>
                    <a:pt x="0" y="3"/>
                  </a:lnTo>
                  <a:lnTo>
                    <a:pt x="43" y="100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5" name="Freeform 397">
              <a:extLst>
                <a:ext uri="{FF2B5EF4-FFF2-40B4-BE49-F238E27FC236}">
                  <a16:creationId xmlns:a16="http://schemas.microsoft.com/office/drawing/2014/main" id="{6DA8CEE1-169A-4E1F-A0EA-93B291E83490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1"/>
                <a:gd name="T1" fmla="*/ 0 h 97"/>
                <a:gd name="T2" fmla="*/ 0 w 51"/>
                <a:gd name="T3" fmla="*/ 4 h 97"/>
                <a:gd name="T4" fmla="*/ 51 w 51"/>
                <a:gd name="T5" fmla="*/ 97 h 97"/>
                <a:gd name="T6" fmla="*/ 8 w 51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7">
                  <a:moveTo>
                    <a:pt x="8" y="0"/>
                  </a:moveTo>
                  <a:lnTo>
                    <a:pt x="0" y="4"/>
                  </a:lnTo>
                  <a:lnTo>
                    <a:pt x="51" y="97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6" name="Freeform 398">
              <a:extLst>
                <a:ext uri="{FF2B5EF4-FFF2-40B4-BE49-F238E27FC236}">
                  <a16:creationId xmlns:a16="http://schemas.microsoft.com/office/drawing/2014/main" id="{1648665D-FE5E-4AF1-9350-01B5DBC0466B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9"/>
                <a:gd name="T1" fmla="*/ 0 h 93"/>
                <a:gd name="T2" fmla="*/ 0 w 59"/>
                <a:gd name="T3" fmla="*/ 5 h 93"/>
                <a:gd name="T4" fmla="*/ 59 w 59"/>
                <a:gd name="T5" fmla="*/ 93 h 93"/>
                <a:gd name="T6" fmla="*/ 8 w 59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3">
                  <a:moveTo>
                    <a:pt x="8" y="0"/>
                  </a:moveTo>
                  <a:lnTo>
                    <a:pt x="0" y="5"/>
                  </a:lnTo>
                  <a:lnTo>
                    <a:pt x="59" y="9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7" name="Freeform 399">
              <a:extLst>
                <a:ext uri="{FF2B5EF4-FFF2-40B4-BE49-F238E27FC236}">
                  <a16:creationId xmlns:a16="http://schemas.microsoft.com/office/drawing/2014/main" id="{5A5EC74C-245D-4939-B889-6FABE18DC952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7 w 66"/>
                <a:gd name="T1" fmla="*/ 0 h 88"/>
                <a:gd name="T2" fmla="*/ 0 w 66"/>
                <a:gd name="T3" fmla="*/ 5 h 88"/>
                <a:gd name="T4" fmla="*/ 66 w 66"/>
                <a:gd name="T5" fmla="*/ 88 h 88"/>
                <a:gd name="T6" fmla="*/ 7 w 66"/>
                <a:gd name="T7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7" y="0"/>
                  </a:moveTo>
                  <a:lnTo>
                    <a:pt x="0" y="5"/>
                  </a:lnTo>
                  <a:lnTo>
                    <a:pt x="66" y="88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8" name="Freeform 400">
              <a:extLst>
                <a:ext uri="{FF2B5EF4-FFF2-40B4-BE49-F238E27FC236}">
                  <a16:creationId xmlns:a16="http://schemas.microsoft.com/office/drawing/2014/main" id="{E6DA78D9-3510-438A-AF36-EEEB71984F7E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6 w 72"/>
                <a:gd name="T1" fmla="*/ 0 h 83"/>
                <a:gd name="T2" fmla="*/ 0 w 72"/>
                <a:gd name="T3" fmla="*/ 5 h 83"/>
                <a:gd name="T4" fmla="*/ 72 w 72"/>
                <a:gd name="T5" fmla="*/ 83 h 83"/>
                <a:gd name="T6" fmla="*/ 6 w 72"/>
                <a:gd name="T7" fmla="*/ 0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6" y="0"/>
                  </a:moveTo>
                  <a:lnTo>
                    <a:pt x="0" y="5"/>
                  </a:lnTo>
                  <a:lnTo>
                    <a:pt x="72" y="83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9" name="Freeform 401">
              <a:extLst>
                <a:ext uri="{FF2B5EF4-FFF2-40B4-BE49-F238E27FC236}">
                  <a16:creationId xmlns:a16="http://schemas.microsoft.com/office/drawing/2014/main" id="{E0611FCD-D95A-42D2-866D-3919B1996234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78"/>
                <a:gd name="T1" fmla="*/ 0 h 78"/>
                <a:gd name="T2" fmla="*/ 0 w 78"/>
                <a:gd name="T3" fmla="*/ 6 h 78"/>
                <a:gd name="T4" fmla="*/ 78 w 78"/>
                <a:gd name="T5" fmla="*/ 78 h 78"/>
                <a:gd name="T6" fmla="*/ 6 w 78"/>
                <a:gd name="T7" fmla="*/ 0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8">
                  <a:moveTo>
                    <a:pt x="6" y="0"/>
                  </a:moveTo>
                  <a:lnTo>
                    <a:pt x="0" y="6"/>
                  </a:lnTo>
                  <a:lnTo>
                    <a:pt x="78" y="78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0" name="Freeform 402">
              <a:extLst>
                <a:ext uri="{FF2B5EF4-FFF2-40B4-BE49-F238E27FC236}">
                  <a16:creationId xmlns:a16="http://schemas.microsoft.com/office/drawing/2014/main" id="{2985AAE1-2C29-437C-827B-5843A90FFEFF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84"/>
                <a:gd name="T1" fmla="*/ 0 h 72"/>
                <a:gd name="T2" fmla="*/ 0 w 84"/>
                <a:gd name="T3" fmla="*/ 7 h 72"/>
                <a:gd name="T4" fmla="*/ 84 w 84"/>
                <a:gd name="T5" fmla="*/ 72 h 72"/>
                <a:gd name="T6" fmla="*/ 6 w 84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2">
                  <a:moveTo>
                    <a:pt x="6" y="0"/>
                  </a:moveTo>
                  <a:lnTo>
                    <a:pt x="0" y="7"/>
                  </a:lnTo>
                  <a:lnTo>
                    <a:pt x="84" y="7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1" name="Freeform 403">
              <a:extLst>
                <a:ext uri="{FF2B5EF4-FFF2-40B4-BE49-F238E27FC236}">
                  <a16:creationId xmlns:a16="http://schemas.microsoft.com/office/drawing/2014/main" id="{24111543-0714-42B9-A191-CC2A8F0862AA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89"/>
                <a:gd name="T1" fmla="*/ 0 h 65"/>
                <a:gd name="T2" fmla="*/ 0 w 89"/>
                <a:gd name="T3" fmla="*/ 7 h 65"/>
                <a:gd name="T4" fmla="*/ 89 w 89"/>
                <a:gd name="T5" fmla="*/ 65 h 65"/>
                <a:gd name="T6" fmla="*/ 5 w 89"/>
                <a:gd name="T7" fmla="*/ 0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5">
                  <a:moveTo>
                    <a:pt x="5" y="0"/>
                  </a:moveTo>
                  <a:lnTo>
                    <a:pt x="0" y="7"/>
                  </a:lnTo>
                  <a:lnTo>
                    <a:pt x="89" y="65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2" name="Freeform 404">
              <a:extLst>
                <a:ext uri="{FF2B5EF4-FFF2-40B4-BE49-F238E27FC236}">
                  <a16:creationId xmlns:a16="http://schemas.microsoft.com/office/drawing/2014/main" id="{4FE6C967-831D-4373-B5EE-C037BEC7571F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94"/>
                <a:gd name="T1" fmla="*/ 0 h 58"/>
                <a:gd name="T2" fmla="*/ 0 w 94"/>
                <a:gd name="T3" fmla="*/ 8 h 58"/>
                <a:gd name="T4" fmla="*/ 94 w 94"/>
                <a:gd name="T5" fmla="*/ 58 h 58"/>
                <a:gd name="T6" fmla="*/ 5 w 94"/>
                <a:gd name="T7" fmla="*/ 0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8">
                  <a:moveTo>
                    <a:pt x="5" y="0"/>
                  </a:moveTo>
                  <a:lnTo>
                    <a:pt x="0" y="8"/>
                  </a:lnTo>
                  <a:lnTo>
                    <a:pt x="94" y="58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3" name="Freeform 405">
              <a:extLst>
                <a:ext uri="{FF2B5EF4-FFF2-40B4-BE49-F238E27FC236}">
                  <a16:creationId xmlns:a16="http://schemas.microsoft.com/office/drawing/2014/main" id="{2D268374-B571-4F9C-9322-083BA487BFD7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3 w 97"/>
                <a:gd name="T1" fmla="*/ 0 h 50"/>
                <a:gd name="T2" fmla="*/ 0 w 97"/>
                <a:gd name="T3" fmla="*/ 7 h 50"/>
                <a:gd name="T4" fmla="*/ 97 w 97"/>
                <a:gd name="T5" fmla="*/ 50 h 50"/>
                <a:gd name="T6" fmla="*/ 3 w 97"/>
                <a:gd name="T7" fmla="*/ 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3" y="0"/>
                  </a:moveTo>
                  <a:lnTo>
                    <a:pt x="0" y="7"/>
                  </a:lnTo>
                  <a:lnTo>
                    <a:pt x="97" y="5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4" name="Freeform 406">
              <a:extLst>
                <a:ext uri="{FF2B5EF4-FFF2-40B4-BE49-F238E27FC236}">
                  <a16:creationId xmlns:a16="http://schemas.microsoft.com/office/drawing/2014/main" id="{44DF46A3-AF80-49E8-97C0-A4E3F9C61C0E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4 w 101"/>
                <a:gd name="T1" fmla="*/ 0 h 43"/>
                <a:gd name="T2" fmla="*/ 0 w 101"/>
                <a:gd name="T3" fmla="*/ 8 h 43"/>
                <a:gd name="T4" fmla="*/ 101 w 101"/>
                <a:gd name="T5" fmla="*/ 43 h 43"/>
                <a:gd name="T6" fmla="*/ 4 w 101"/>
                <a:gd name="T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3">
                  <a:moveTo>
                    <a:pt x="4" y="0"/>
                  </a:moveTo>
                  <a:lnTo>
                    <a:pt x="0" y="8"/>
                  </a:lnTo>
                  <a:lnTo>
                    <a:pt x="101" y="43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5" name="Freeform 407">
              <a:extLst>
                <a:ext uri="{FF2B5EF4-FFF2-40B4-BE49-F238E27FC236}">
                  <a16:creationId xmlns:a16="http://schemas.microsoft.com/office/drawing/2014/main" id="{6E155181-9150-4333-AA94-33F4D5227268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3"/>
                <a:gd name="T1" fmla="*/ 0 h 35"/>
                <a:gd name="T2" fmla="*/ 0 w 103"/>
                <a:gd name="T3" fmla="*/ 9 h 35"/>
                <a:gd name="T4" fmla="*/ 103 w 103"/>
                <a:gd name="T5" fmla="*/ 35 h 35"/>
                <a:gd name="T6" fmla="*/ 2 w 103"/>
                <a:gd name="T7" fmla="*/ 0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5">
                  <a:moveTo>
                    <a:pt x="2" y="0"/>
                  </a:moveTo>
                  <a:lnTo>
                    <a:pt x="0" y="9"/>
                  </a:lnTo>
                  <a:lnTo>
                    <a:pt x="103" y="35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6" name="Freeform 408">
              <a:extLst>
                <a:ext uri="{FF2B5EF4-FFF2-40B4-BE49-F238E27FC236}">
                  <a16:creationId xmlns:a16="http://schemas.microsoft.com/office/drawing/2014/main" id="{AED0AC39-0FF2-4228-9BF8-CF34AF6D6BB3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5"/>
                <a:gd name="T1" fmla="*/ 0 h 26"/>
                <a:gd name="T2" fmla="*/ 0 w 105"/>
                <a:gd name="T3" fmla="*/ 8 h 26"/>
                <a:gd name="T4" fmla="*/ 105 w 105"/>
                <a:gd name="T5" fmla="*/ 26 h 26"/>
                <a:gd name="T6" fmla="*/ 2 w 105"/>
                <a:gd name="T7" fmla="*/ 0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2" y="0"/>
                  </a:moveTo>
                  <a:lnTo>
                    <a:pt x="0" y="8"/>
                  </a:lnTo>
                  <a:lnTo>
                    <a:pt x="105" y="2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7" name="Freeform 409">
              <a:extLst>
                <a:ext uri="{FF2B5EF4-FFF2-40B4-BE49-F238E27FC236}">
                  <a16:creationId xmlns:a16="http://schemas.microsoft.com/office/drawing/2014/main" id="{B5440444-0B9C-45E2-AEA6-92FFB8AFAD0A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1 w 106"/>
                <a:gd name="T1" fmla="*/ 0 h 18"/>
                <a:gd name="T2" fmla="*/ 0 w 106"/>
                <a:gd name="T3" fmla="*/ 9 h 18"/>
                <a:gd name="T4" fmla="*/ 106 w 106"/>
                <a:gd name="T5" fmla="*/ 18 h 18"/>
                <a:gd name="T6" fmla="*/ 1 w 106"/>
                <a:gd name="T7" fmla="*/ 0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8">
                  <a:moveTo>
                    <a:pt x="1" y="0"/>
                  </a:moveTo>
                  <a:lnTo>
                    <a:pt x="0" y="9"/>
                  </a:lnTo>
                  <a:lnTo>
                    <a:pt x="106" y="18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8" name="Freeform 410">
              <a:extLst>
                <a:ext uri="{FF2B5EF4-FFF2-40B4-BE49-F238E27FC236}">
                  <a16:creationId xmlns:a16="http://schemas.microsoft.com/office/drawing/2014/main" id="{BF687FC4-71EE-43F6-ACE1-EB5BE3921DF7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9"/>
                <a:gd name="T2" fmla="*/ 0 w 106"/>
                <a:gd name="T3" fmla="*/ 9 h 9"/>
                <a:gd name="T4" fmla="*/ 106 w 106"/>
                <a:gd name="T5" fmla="*/ 9 h 9"/>
                <a:gd name="T6" fmla="*/ 0 w 106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9">
                  <a:moveTo>
                    <a:pt x="0" y="0"/>
                  </a:moveTo>
                  <a:lnTo>
                    <a:pt x="0" y="9"/>
                  </a:lnTo>
                  <a:lnTo>
                    <a:pt x="106" y="9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9" name="Freeform 411">
              <a:extLst>
                <a:ext uri="{FF2B5EF4-FFF2-40B4-BE49-F238E27FC236}">
                  <a16:creationId xmlns:a16="http://schemas.microsoft.com/office/drawing/2014/main" id="{6CE7490E-5AAD-4254-AFC7-D8B149B055C7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8"/>
                <a:gd name="T2" fmla="*/ 0 w 106"/>
                <a:gd name="T3" fmla="*/ 8 h 8"/>
                <a:gd name="T4" fmla="*/ 106 w 106"/>
                <a:gd name="T5" fmla="*/ 0 h 8"/>
                <a:gd name="T6" fmla="*/ 0 w 106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8">
                  <a:moveTo>
                    <a:pt x="0" y="0"/>
                  </a:moveTo>
                  <a:lnTo>
                    <a:pt x="0" y="8"/>
                  </a:lnTo>
                  <a:lnTo>
                    <a:pt x="10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0" name="Freeform 412">
              <a:extLst>
                <a:ext uri="{FF2B5EF4-FFF2-40B4-BE49-F238E27FC236}">
                  <a16:creationId xmlns:a16="http://schemas.microsoft.com/office/drawing/2014/main" id="{7EA69365-26FE-4DF4-8AFF-D30C4DE6245B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8 h 17"/>
                <a:gd name="T2" fmla="*/ 1 w 106"/>
                <a:gd name="T3" fmla="*/ 17 h 17"/>
                <a:gd name="T4" fmla="*/ 106 w 106"/>
                <a:gd name="T5" fmla="*/ 0 h 17"/>
                <a:gd name="T6" fmla="*/ 0 w 106"/>
                <a:gd name="T7" fmla="*/ 8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7">
                  <a:moveTo>
                    <a:pt x="0" y="8"/>
                  </a:moveTo>
                  <a:lnTo>
                    <a:pt x="1" y="17"/>
                  </a:lnTo>
                  <a:lnTo>
                    <a:pt x="106" y="0"/>
                  </a:lnTo>
                  <a:lnTo>
                    <a:pt x="0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1" name="Freeform 413">
              <a:extLst>
                <a:ext uri="{FF2B5EF4-FFF2-40B4-BE49-F238E27FC236}">
                  <a16:creationId xmlns:a16="http://schemas.microsoft.com/office/drawing/2014/main" id="{B0883DAE-065A-4049-AD93-175A2C33B374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5"/>
                <a:gd name="T1" fmla="*/ 17 h 26"/>
                <a:gd name="T2" fmla="*/ 2 w 105"/>
                <a:gd name="T3" fmla="*/ 26 h 26"/>
                <a:gd name="T4" fmla="*/ 105 w 105"/>
                <a:gd name="T5" fmla="*/ 0 h 26"/>
                <a:gd name="T6" fmla="*/ 0 w 105"/>
                <a:gd name="T7" fmla="*/ 17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0" y="17"/>
                  </a:moveTo>
                  <a:lnTo>
                    <a:pt x="2" y="26"/>
                  </a:lnTo>
                  <a:lnTo>
                    <a:pt x="105" y="0"/>
                  </a:lnTo>
                  <a:lnTo>
                    <a:pt x="0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2" name="Freeform 414">
              <a:extLst>
                <a:ext uri="{FF2B5EF4-FFF2-40B4-BE49-F238E27FC236}">
                  <a16:creationId xmlns:a16="http://schemas.microsoft.com/office/drawing/2014/main" id="{79F52313-4A97-484D-B6D8-C54DD67568E9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3"/>
                <a:gd name="T1" fmla="*/ 26 h 34"/>
                <a:gd name="T2" fmla="*/ 2 w 103"/>
                <a:gd name="T3" fmla="*/ 34 h 34"/>
                <a:gd name="T4" fmla="*/ 103 w 103"/>
                <a:gd name="T5" fmla="*/ 0 h 34"/>
                <a:gd name="T6" fmla="*/ 0 w 103"/>
                <a:gd name="T7" fmla="*/ 26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4">
                  <a:moveTo>
                    <a:pt x="0" y="26"/>
                  </a:moveTo>
                  <a:lnTo>
                    <a:pt x="2" y="34"/>
                  </a:lnTo>
                  <a:lnTo>
                    <a:pt x="103" y="0"/>
                  </a:lnTo>
                  <a:lnTo>
                    <a:pt x="0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3" name="Freeform 415">
              <a:extLst>
                <a:ext uri="{FF2B5EF4-FFF2-40B4-BE49-F238E27FC236}">
                  <a16:creationId xmlns:a16="http://schemas.microsoft.com/office/drawing/2014/main" id="{23DEBF60-AEE0-4709-B92D-5E15413E05CC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1"/>
            </a:xfrm>
            <a:custGeom>
              <a:avLst/>
              <a:gdLst>
                <a:gd name="T0" fmla="*/ 0 w 101"/>
                <a:gd name="T1" fmla="*/ 34 h 42"/>
                <a:gd name="T2" fmla="*/ 4 w 101"/>
                <a:gd name="T3" fmla="*/ 42 h 42"/>
                <a:gd name="T4" fmla="*/ 101 w 101"/>
                <a:gd name="T5" fmla="*/ 0 h 42"/>
                <a:gd name="T6" fmla="*/ 0 w 101"/>
                <a:gd name="T7" fmla="*/ 34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2">
                  <a:moveTo>
                    <a:pt x="0" y="34"/>
                  </a:moveTo>
                  <a:lnTo>
                    <a:pt x="4" y="42"/>
                  </a:lnTo>
                  <a:lnTo>
                    <a:pt x="101" y="0"/>
                  </a:lnTo>
                  <a:lnTo>
                    <a:pt x="0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4" name="Freeform 416">
              <a:extLst>
                <a:ext uri="{FF2B5EF4-FFF2-40B4-BE49-F238E27FC236}">
                  <a16:creationId xmlns:a16="http://schemas.microsoft.com/office/drawing/2014/main" id="{244A3CF3-12A3-4CC0-9452-DC7DDA46125B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7"/>
                <a:gd name="T1" fmla="*/ 42 h 50"/>
                <a:gd name="T2" fmla="*/ 3 w 97"/>
                <a:gd name="T3" fmla="*/ 50 h 50"/>
                <a:gd name="T4" fmla="*/ 97 w 97"/>
                <a:gd name="T5" fmla="*/ 0 h 50"/>
                <a:gd name="T6" fmla="*/ 0 w 97"/>
                <a:gd name="T7" fmla="*/ 42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0" y="42"/>
                  </a:moveTo>
                  <a:lnTo>
                    <a:pt x="3" y="50"/>
                  </a:lnTo>
                  <a:lnTo>
                    <a:pt x="97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5" name="Freeform 417">
              <a:extLst>
                <a:ext uri="{FF2B5EF4-FFF2-40B4-BE49-F238E27FC236}">
                  <a16:creationId xmlns:a16="http://schemas.microsoft.com/office/drawing/2014/main" id="{3D103790-3E37-4468-B480-E21447AFE40E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4"/>
                <a:gd name="T1" fmla="*/ 50 h 57"/>
                <a:gd name="T2" fmla="*/ 5 w 94"/>
                <a:gd name="T3" fmla="*/ 57 h 57"/>
                <a:gd name="T4" fmla="*/ 94 w 94"/>
                <a:gd name="T5" fmla="*/ 0 h 57"/>
                <a:gd name="T6" fmla="*/ 0 w 94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7">
                  <a:moveTo>
                    <a:pt x="0" y="50"/>
                  </a:moveTo>
                  <a:lnTo>
                    <a:pt x="5" y="57"/>
                  </a:lnTo>
                  <a:lnTo>
                    <a:pt x="94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6" name="Freeform 418">
              <a:extLst>
                <a:ext uri="{FF2B5EF4-FFF2-40B4-BE49-F238E27FC236}">
                  <a16:creationId xmlns:a16="http://schemas.microsoft.com/office/drawing/2014/main" id="{39717220-B112-4363-9148-1711AAFACBD7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9"/>
                <a:gd name="T1" fmla="*/ 57 h 64"/>
                <a:gd name="T2" fmla="*/ 5 w 89"/>
                <a:gd name="T3" fmla="*/ 64 h 64"/>
                <a:gd name="T4" fmla="*/ 89 w 89"/>
                <a:gd name="T5" fmla="*/ 0 h 64"/>
                <a:gd name="T6" fmla="*/ 0 w 89"/>
                <a:gd name="T7" fmla="*/ 57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4">
                  <a:moveTo>
                    <a:pt x="0" y="57"/>
                  </a:moveTo>
                  <a:lnTo>
                    <a:pt x="5" y="64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7" name="Freeform 419">
              <a:extLst>
                <a:ext uri="{FF2B5EF4-FFF2-40B4-BE49-F238E27FC236}">
                  <a16:creationId xmlns:a16="http://schemas.microsoft.com/office/drawing/2014/main" id="{4AEFCE7B-5A58-4289-BDA0-8E446C043E6E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4"/>
                <a:gd name="T1" fmla="*/ 64 h 71"/>
                <a:gd name="T2" fmla="*/ 6 w 84"/>
                <a:gd name="T3" fmla="*/ 71 h 71"/>
                <a:gd name="T4" fmla="*/ 84 w 84"/>
                <a:gd name="T5" fmla="*/ 0 h 71"/>
                <a:gd name="T6" fmla="*/ 0 w 84"/>
                <a:gd name="T7" fmla="*/ 64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1">
                  <a:moveTo>
                    <a:pt x="0" y="64"/>
                  </a:moveTo>
                  <a:lnTo>
                    <a:pt x="6" y="71"/>
                  </a:lnTo>
                  <a:lnTo>
                    <a:pt x="84" y="0"/>
                  </a:lnTo>
                  <a:lnTo>
                    <a:pt x="0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8" name="Freeform 420">
              <a:extLst>
                <a:ext uri="{FF2B5EF4-FFF2-40B4-BE49-F238E27FC236}">
                  <a16:creationId xmlns:a16="http://schemas.microsoft.com/office/drawing/2014/main" id="{B5E30DA1-DDEC-4439-9975-E6151F07829C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8"/>
                <a:gd name="T1" fmla="*/ 71 h 77"/>
                <a:gd name="T2" fmla="*/ 6 w 78"/>
                <a:gd name="T3" fmla="*/ 77 h 77"/>
                <a:gd name="T4" fmla="*/ 78 w 78"/>
                <a:gd name="T5" fmla="*/ 0 h 77"/>
                <a:gd name="T6" fmla="*/ 0 w 78"/>
                <a:gd name="T7" fmla="*/ 71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7">
                  <a:moveTo>
                    <a:pt x="0" y="71"/>
                  </a:moveTo>
                  <a:lnTo>
                    <a:pt x="6" y="77"/>
                  </a:lnTo>
                  <a:lnTo>
                    <a:pt x="78" y="0"/>
                  </a:lnTo>
                  <a:lnTo>
                    <a:pt x="0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9" name="Freeform 421">
              <a:extLst>
                <a:ext uri="{FF2B5EF4-FFF2-40B4-BE49-F238E27FC236}">
                  <a16:creationId xmlns:a16="http://schemas.microsoft.com/office/drawing/2014/main" id="{5B73737A-D98A-4918-BC18-519F00738787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2"/>
                <a:gd name="T1" fmla="*/ 77 h 83"/>
                <a:gd name="T2" fmla="*/ 6 w 72"/>
                <a:gd name="T3" fmla="*/ 83 h 83"/>
                <a:gd name="T4" fmla="*/ 72 w 72"/>
                <a:gd name="T5" fmla="*/ 0 h 83"/>
                <a:gd name="T6" fmla="*/ 0 w 72"/>
                <a:gd name="T7" fmla="*/ 77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0" y="77"/>
                  </a:moveTo>
                  <a:lnTo>
                    <a:pt x="6" y="83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0" name="Freeform 422">
              <a:extLst>
                <a:ext uri="{FF2B5EF4-FFF2-40B4-BE49-F238E27FC236}">
                  <a16:creationId xmlns:a16="http://schemas.microsoft.com/office/drawing/2014/main" id="{663791E1-99AC-47A1-AE8B-E78926B5BEDA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66"/>
                <a:gd name="T1" fmla="*/ 83 h 88"/>
                <a:gd name="T2" fmla="*/ 7 w 66"/>
                <a:gd name="T3" fmla="*/ 88 h 88"/>
                <a:gd name="T4" fmla="*/ 66 w 66"/>
                <a:gd name="T5" fmla="*/ 0 h 88"/>
                <a:gd name="T6" fmla="*/ 0 w 66"/>
                <a:gd name="T7" fmla="*/ 83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0" y="83"/>
                  </a:moveTo>
                  <a:lnTo>
                    <a:pt x="7" y="88"/>
                  </a:lnTo>
                  <a:lnTo>
                    <a:pt x="66" y="0"/>
                  </a:lnTo>
                  <a:lnTo>
                    <a:pt x="0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1" name="Freeform 423">
              <a:extLst>
                <a:ext uri="{FF2B5EF4-FFF2-40B4-BE49-F238E27FC236}">
                  <a16:creationId xmlns:a16="http://schemas.microsoft.com/office/drawing/2014/main" id="{25289BC3-66D6-4885-AC04-8F3CED740573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9"/>
                <a:gd name="T1" fmla="*/ 88 h 92"/>
                <a:gd name="T2" fmla="*/ 8 w 59"/>
                <a:gd name="T3" fmla="*/ 92 h 92"/>
                <a:gd name="T4" fmla="*/ 59 w 59"/>
                <a:gd name="T5" fmla="*/ 0 h 92"/>
                <a:gd name="T6" fmla="*/ 0 w 59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2">
                  <a:moveTo>
                    <a:pt x="0" y="88"/>
                  </a:moveTo>
                  <a:lnTo>
                    <a:pt x="8" y="92"/>
                  </a:lnTo>
                  <a:lnTo>
                    <a:pt x="59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2" name="Freeform 424">
              <a:extLst>
                <a:ext uri="{FF2B5EF4-FFF2-40B4-BE49-F238E27FC236}">
                  <a16:creationId xmlns:a16="http://schemas.microsoft.com/office/drawing/2014/main" id="{625A5D5B-4EE1-4C87-97AE-BE49EDC54595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1"/>
                <a:gd name="T1" fmla="*/ 92 h 96"/>
                <a:gd name="T2" fmla="*/ 8 w 51"/>
                <a:gd name="T3" fmla="*/ 96 h 96"/>
                <a:gd name="T4" fmla="*/ 51 w 51"/>
                <a:gd name="T5" fmla="*/ 0 h 96"/>
                <a:gd name="T6" fmla="*/ 0 w 51"/>
                <a:gd name="T7" fmla="*/ 92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6">
                  <a:moveTo>
                    <a:pt x="0" y="92"/>
                  </a:moveTo>
                  <a:lnTo>
                    <a:pt x="8" y="96"/>
                  </a:lnTo>
                  <a:lnTo>
                    <a:pt x="51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3" name="Freeform 425">
              <a:extLst>
                <a:ext uri="{FF2B5EF4-FFF2-40B4-BE49-F238E27FC236}">
                  <a16:creationId xmlns:a16="http://schemas.microsoft.com/office/drawing/2014/main" id="{312884C4-D851-4821-98B9-FBC1E6342BCF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2"/>
            </a:xfrm>
            <a:custGeom>
              <a:avLst/>
              <a:gdLst>
                <a:gd name="T0" fmla="*/ 0 w 43"/>
                <a:gd name="T1" fmla="*/ 96 h 99"/>
                <a:gd name="T2" fmla="*/ 8 w 43"/>
                <a:gd name="T3" fmla="*/ 99 h 99"/>
                <a:gd name="T4" fmla="*/ 43 w 43"/>
                <a:gd name="T5" fmla="*/ 0 h 99"/>
                <a:gd name="T6" fmla="*/ 0 w 43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99">
                  <a:moveTo>
                    <a:pt x="0" y="96"/>
                  </a:moveTo>
                  <a:lnTo>
                    <a:pt x="8" y="99"/>
                  </a:lnTo>
                  <a:lnTo>
                    <a:pt x="43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4" name="Freeform 426">
              <a:extLst>
                <a:ext uri="{FF2B5EF4-FFF2-40B4-BE49-F238E27FC236}">
                  <a16:creationId xmlns:a16="http://schemas.microsoft.com/office/drawing/2014/main" id="{F896DEC6-C372-47FE-869E-8DDF2D57BA4D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35"/>
                <a:gd name="T1" fmla="*/ 99 h 102"/>
                <a:gd name="T2" fmla="*/ 8 w 35"/>
                <a:gd name="T3" fmla="*/ 102 h 102"/>
                <a:gd name="T4" fmla="*/ 35 w 35"/>
                <a:gd name="T5" fmla="*/ 0 h 102"/>
                <a:gd name="T6" fmla="*/ 0 w 35"/>
                <a:gd name="T7" fmla="*/ 99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0" y="99"/>
                  </a:moveTo>
                  <a:lnTo>
                    <a:pt x="8" y="102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5" name="Freeform 427">
              <a:extLst>
                <a:ext uri="{FF2B5EF4-FFF2-40B4-BE49-F238E27FC236}">
                  <a16:creationId xmlns:a16="http://schemas.microsoft.com/office/drawing/2014/main" id="{0BD97D68-9171-4C07-9A00-8964F477E04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27"/>
                <a:gd name="T1" fmla="*/ 102 h 104"/>
                <a:gd name="T2" fmla="*/ 9 w 27"/>
                <a:gd name="T3" fmla="*/ 104 h 104"/>
                <a:gd name="T4" fmla="*/ 27 w 27"/>
                <a:gd name="T5" fmla="*/ 0 h 104"/>
                <a:gd name="T6" fmla="*/ 0 w 27"/>
                <a:gd name="T7" fmla="*/ 10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0" y="102"/>
                  </a:moveTo>
                  <a:lnTo>
                    <a:pt x="9" y="104"/>
                  </a:lnTo>
                  <a:lnTo>
                    <a:pt x="27" y="0"/>
                  </a:lnTo>
                  <a:lnTo>
                    <a:pt x="0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6" name="Freeform 428">
              <a:extLst>
                <a:ext uri="{FF2B5EF4-FFF2-40B4-BE49-F238E27FC236}">
                  <a16:creationId xmlns:a16="http://schemas.microsoft.com/office/drawing/2014/main" id="{F3F7052B-2498-4198-BA47-A10AF0F2E9DA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18"/>
                <a:gd name="T1" fmla="*/ 104 h 105"/>
                <a:gd name="T2" fmla="*/ 9 w 18"/>
                <a:gd name="T3" fmla="*/ 105 h 105"/>
                <a:gd name="T4" fmla="*/ 18 w 18"/>
                <a:gd name="T5" fmla="*/ 0 h 105"/>
                <a:gd name="T6" fmla="*/ 0 w 18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0" y="104"/>
                  </a:moveTo>
                  <a:lnTo>
                    <a:pt x="9" y="105"/>
                  </a:lnTo>
                  <a:lnTo>
                    <a:pt x="18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7" name="Freeform 429">
              <a:extLst>
                <a:ext uri="{FF2B5EF4-FFF2-40B4-BE49-F238E27FC236}">
                  <a16:creationId xmlns:a16="http://schemas.microsoft.com/office/drawing/2014/main" id="{ABB6455D-AB7B-4CA6-868B-05F9A43B0F5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9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9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8" name="Freeform 430">
              <a:extLst>
                <a:ext uri="{FF2B5EF4-FFF2-40B4-BE49-F238E27FC236}">
                  <a16:creationId xmlns:a16="http://schemas.microsoft.com/office/drawing/2014/main" id="{D69684DA-7F2E-4351-BE12-D2DC6733AE3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0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9" name="Freeform 431">
              <a:extLst>
                <a:ext uri="{FF2B5EF4-FFF2-40B4-BE49-F238E27FC236}">
                  <a16:creationId xmlns:a16="http://schemas.microsoft.com/office/drawing/2014/main" id="{664DA504-12A6-46A4-B366-0EFB89595FFC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9 w 17"/>
                <a:gd name="T1" fmla="*/ 105 h 105"/>
                <a:gd name="T2" fmla="*/ 17 w 17"/>
                <a:gd name="T3" fmla="*/ 104 h 105"/>
                <a:gd name="T4" fmla="*/ 0 w 17"/>
                <a:gd name="T5" fmla="*/ 0 h 105"/>
                <a:gd name="T6" fmla="*/ 9 w 1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9" y="105"/>
                  </a:moveTo>
                  <a:lnTo>
                    <a:pt x="17" y="104"/>
                  </a:lnTo>
                  <a:lnTo>
                    <a:pt x="0" y="0"/>
                  </a:lnTo>
                  <a:lnTo>
                    <a:pt x="9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0" name="Freeform 432">
              <a:extLst>
                <a:ext uri="{FF2B5EF4-FFF2-40B4-BE49-F238E27FC236}">
                  <a16:creationId xmlns:a16="http://schemas.microsoft.com/office/drawing/2014/main" id="{DAD4F794-B3EA-4675-9338-7A115CE99C7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17 w 26"/>
                <a:gd name="T1" fmla="*/ 104 h 104"/>
                <a:gd name="T2" fmla="*/ 26 w 26"/>
                <a:gd name="T3" fmla="*/ 102 h 104"/>
                <a:gd name="T4" fmla="*/ 0 w 26"/>
                <a:gd name="T5" fmla="*/ 0 h 104"/>
                <a:gd name="T6" fmla="*/ 17 w 26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17" y="104"/>
                  </a:moveTo>
                  <a:lnTo>
                    <a:pt x="26" y="102"/>
                  </a:lnTo>
                  <a:lnTo>
                    <a:pt x="0" y="0"/>
                  </a:lnTo>
                  <a:lnTo>
                    <a:pt x="17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1" name="Freeform 433">
              <a:extLst>
                <a:ext uri="{FF2B5EF4-FFF2-40B4-BE49-F238E27FC236}">
                  <a16:creationId xmlns:a16="http://schemas.microsoft.com/office/drawing/2014/main" id="{DE5499B0-0261-404F-B184-98F1764CE7B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26 w 34"/>
                <a:gd name="T1" fmla="*/ 102 h 102"/>
                <a:gd name="T2" fmla="*/ 34 w 34"/>
                <a:gd name="T3" fmla="*/ 99 h 102"/>
                <a:gd name="T4" fmla="*/ 0 w 34"/>
                <a:gd name="T5" fmla="*/ 0 h 102"/>
                <a:gd name="T6" fmla="*/ 26 w 34"/>
                <a:gd name="T7" fmla="*/ 10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26" y="102"/>
                  </a:moveTo>
                  <a:lnTo>
                    <a:pt x="34" y="99"/>
                  </a:lnTo>
                  <a:lnTo>
                    <a:pt x="0" y="0"/>
                  </a:lnTo>
                  <a:lnTo>
                    <a:pt x="26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2" name="Freeform 434">
              <a:extLst>
                <a:ext uri="{FF2B5EF4-FFF2-40B4-BE49-F238E27FC236}">
                  <a16:creationId xmlns:a16="http://schemas.microsoft.com/office/drawing/2014/main" id="{33D48831-E733-41A0-B159-68908D11A4F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34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4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4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4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3" name="Freeform 435">
              <a:extLst>
                <a:ext uri="{FF2B5EF4-FFF2-40B4-BE49-F238E27FC236}">
                  <a16:creationId xmlns:a16="http://schemas.microsoft.com/office/drawing/2014/main" id="{C9394467-CBBF-49BC-ADAB-8D5911CA37D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42 w 50"/>
                <a:gd name="T1" fmla="*/ 96 h 96"/>
                <a:gd name="T2" fmla="*/ 50 w 50"/>
                <a:gd name="T3" fmla="*/ 92 h 96"/>
                <a:gd name="T4" fmla="*/ 0 w 50"/>
                <a:gd name="T5" fmla="*/ 0 h 96"/>
                <a:gd name="T6" fmla="*/ 42 w 50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42" y="96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4" name="Freeform 436">
              <a:extLst>
                <a:ext uri="{FF2B5EF4-FFF2-40B4-BE49-F238E27FC236}">
                  <a16:creationId xmlns:a16="http://schemas.microsoft.com/office/drawing/2014/main" id="{A2FFFD57-9BFD-4AC5-9079-75FA8974CCD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0 w 58"/>
                <a:gd name="T1" fmla="*/ 92 h 92"/>
                <a:gd name="T2" fmla="*/ 58 w 58"/>
                <a:gd name="T3" fmla="*/ 88 h 92"/>
                <a:gd name="T4" fmla="*/ 0 w 58"/>
                <a:gd name="T5" fmla="*/ 0 h 92"/>
                <a:gd name="T6" fmla="*/ 50 w 58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2">
                  <a:moveTo>
                    <a:pt x="50" y="92"/>
                  </a:moveTo>
                  <a:lnTo>
                    <a:pt x="58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5" name="Freeform 437">
              <a:extLst>
                <a:ext uri="{FF2B5EF4-FFF2-40B4-BE49-F238E27FC236}">
                  <a16:creationId xmlns:a16="http://schemas.microsoft.com/office/drawing/2014/main" id="{1C36F6BC-B203-42E1-8F42-5C2C133750E3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8 w 65"/>
                <a:gd name="T1" fmla="*/ 88 h 88"/>
                <a:gd name="T2" fmla="*/ 65 w 65"/>
                <a:gd name="T3" fmla="*/ 83 h 88"/>
                <a:gd name="T4" fmla="*/ 0 w 65"/>
                <a:gd name="T5" fmla="*/ 0 h 88"/>
                <a:gd name="T6" fmla="*/ 58 w 65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58" y="88"/>
                  </a:moveTo>
                  <a:lnTo>
                    <a:pt x="65" y="83"/>
                  </a:lnTo>
                  <a:lnTo>
                    <a:pt x="0" y="0"/>
                  </a:lnTo>
                  <a:lnTo>
                    <a:pt x="58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6" name="Freeform 438">
              <a:extLst>
                <a:ext uri="{FF2B5EF4-FFF2-40B4-BE49-F238E27FC236}">
                  <a16:creationId xmlns:a16="http://schemas.microsoft.com/office/drawing/2014/main" id="{88692D64-0B05-4211-8F3B-8A8C2ABC28B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65 w 71"/>
                <a:gd name="T1" fmla="*/ 83 h 83"/>
                <a:gd name="T2" fmla="*/ 71 w 71"/>
                <a:gd name="T3" fmla="*/ 77 h 83"/>
                <a:gd name="T4" fmla="*/ 0 w 71"/>
                <a:gd name="T5" fmla="*/ 0 h 83"/>
                <a:gd name="T6" fmla="*/ 65 w 71"/>
                <a:gd name="T7" fmla="*/ 83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65" y="83"/>
                  </a:moveTo>
                  <a:lnTo>
                    <a:pt x="71" y="77"/>
                  </a:lnTo>
                  <a:lnTo>
                    <a:pt x="0" y="0"/>
                  </a:lnTo>
                  <a:lnTo>
                    <a:pt x="65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7" name="Freeform 439">
              <a:extLst>
                <a:ext uri="{FF2B5EF4-FFF2-40B4-BE49-F238E27FC236}">
                  <a16:creationId xmlns:a16="http://schemas.microsoft.com/office/drawing/2014/main" id="{7F84D619-2778-488F-86D7-8CE45892CFF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1 w 77"/>
                <a:gd name="T1" fmla="*/ 77 h 77"/>
                <a:gd name="T2" fmla="*/ 77 w 77"/>
                <a:gd name="T3" fmla="*/ 71 h 77"/>
                <a:gd name="T4" fmla="*/ 0 w 77"/>
                <a:gd name="T5" fmla="*/ 0 h 77"/>
                <a:gd name="T6" fmla="*/ 71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1" y="77"/>
                  </a:moveTo>
                  <a:lnTo>
                    <a:pt x="77" y="71"/>
                  </a:lnTo>
                  <a:lnTo>
                    <a:pt x="0" y="0"/>
                  </a:lnTo>
                  <a:lnTo>
                    <a:pt x="71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8" name="Freeform 440">
              <a:extLst>
                <a:ext uri="{FF2B5EF4-FFF2-40B4-BE49-F238E27FC236}">
                  <a16:creationId xmlns:a16="http://schemas.microsoft.com/office/drawing/2014/main" id="{EC0DEBB2-4821-4BC3-9D08-865B18720F4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7 w 83"/>
                <a:gd name="T1" fmla="*/ 71 h 71"/>
                <a:gd name="T2" fmla="*/ 83 w 83"/>
                <a:gd name="T3" fmla="*/ 64 h 71"/>
                <a:gd name="T4" fmla="*/ 0 w 83"/>
                <a:gd name="T5" fmla="*/ 0 h 71"/>
                <a:gd name="T6" fmla="*/ 77 w 83"/>
                <a:gd name="T7" fmla="*/ 71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1">
                  <a:moveTo>
                    <a:pt x="77" y="71"/>
                  </a:moveTo>
                  <a:lnTo>
                    <a:pt x="83" y="64"/>
                  </a:lnTo>
                  <a:lnTo>
                    <a:pt x="0" y="0"/>
                  </a:lnTo>
                  <a:lnTo>
                    <a:pt x="77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9" name="Freeform 441">
              <a:extLst>
                <a:ext uri="{FF2B5EF4-FFF2-40B4-BE49-F238E27FC236}">
                  <a16:creationId xmlns:a16="http://schemas.microsoft.com/office/drawing/2014/main" id="{463690AA-FB91-4C1E-87BD-568535B8ADE5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3 w 88"/>
                <a:gd name="T1" fmla="*/ 64 h 64"/>
                <a:gd name="T2" fmla="*/ 88 w 88"/>
                <a:gd name="T3" fmla="*/ 57 h 64"/>
                <a:gd name="T4" fmla="*/ 0 w 88"/>
                <a:gd name="T5" fmla="*/ 0 h 64"/>
                <a:gd name="T6" fmla="*/ 83 w 88"/>
                <a:gd name="T7" fmla="*/ 64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4">
                  <a:moveTo>
                    <a:pt x="83" y="64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3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0" name="Freeform 442">
              <a:extLst>
                <a:ext uri="{FF2B5EF4-FFF2-40B4-BE49-F238E27FC236}">
                  <a16:creationId xmlns:a16="http://schemas.microsoft.com/office/drawing/2014/main" id="{921A2FB8-EB9D-4BE6-B083-E6D4145B433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8 w 93"/>
                <a:gd name="T1" fmla="*/ 57 h 57"/>
                <a:gd name="T2" fmla="*/ 93 w 93"/>
                <a:gd name="T3" fmla="*/ 50 h 57"/>
                <a:gd name="T4" fmla="*/ 0 w 93"/>
                <a:gd name="T5" fmla="*/ 0 h 57"/>
                <a:gd name="T6" fmla="*/ 88 w 93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7">
                  <a:moveTo>
                    <a:pt x="88" y="57"/>
                  </a:moveTo>
                  <a:lnTo>
                    <a:pt x="93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1" name="Freeform 443">
              <a:extLst>
                <a:ext uri="{FF2B5EF4-FFF2-40B4-BE49-F238E27FC236}">
                  <a16:creationId xmlns:a16="http://schemas.microsoft.com/office/drawing/2014/main" id="{B9A71C9F-137C-41C9-8E4A-7D9474BE35D4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3 w 96"/>
                <a:gd name="T1" fmla="*/ 50 h 50"/>
                <a:gd name="T2" fmla="*/ 96 w 96"/>
                <a:gd name="T3" fmla="*/ 42 h 50"/>
                <a:gd name="T4" fmla="*/ 0 w 96"/>
                <a:gd name="T5" fmla="*/ 0 h 50"/>
                <a:gd name="T6" fmla="*/ 93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3" y="50"/>
                  </a:moveTo>
                  <a:lnTo>
                    <a:pt x="96" y="42"/>
                  </a:lnTo>
                  <a:lnTo>
                    <a:pt x="0" y="0"/>
                  </a:lnTo>
                  <a:lnTo>
                    <a:pt x="93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2" name="Freeform 444">
              <a:extLst>
                <a:ext uri="{FF2B5EF4-FFF2-40B4-BE49-F238E27FC236}">
                  <a16:creationId xmlns:a16="http://schemas.microsoft.com/office/drawing/2014/main" id="{A4E1F553-A7E1-4D28-AFE5-7FEBFDBCBFA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6 w 99"/>
                <a:gd name="T1" fmla="*/ 42 h 42"/>
                <a:gd name="T2" fmla="*/ 99 w 99"/>
                <a:gd name="T3" fmla="*/ 34 h 42"/>
                <a:gd name="T4" fmla="*/ 0 w 99"/>
                <a:gd name="T5" fmla="*/ 0 h 42"/>
                <a:gd name="T6" fmla="*/ 96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6" y="42"/>
                  </a:moveTo>
                  <a:lnTo>
                    <a:pt x="99" y="34"/>
                  </a:lnTo>
                  <a:lnTo>
                    <a:pt x="0" y="0"/>
                  </a:lnTo>
                  <a:lnTo>
                    <a:pt x="96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3" name="Freeform 445">
              <a:extLst>
                <a:ext uri="{FF2B5EF4-FFF2-40B4-BE49-F238E27FC236}">
                  <a16:creationId xmlns:a16="http://schemas.microsoft.com/office/drawing/2014/main" id="{E6B57B32-A445-4615-B3B0-00956E666FA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99 w 102"/>
                <a:gd name="T1" fmla="*/ 34 h 34"/>
                <a:gd name="T2" fmla="*/ 102 w 102"/>
                <a:gd name="T3" fmla="*/ 26 h 34"/>
                <a:gd name="T4" fmla="*/ 0 w 102"/>
                <a:gd name="T5" fmla="*/ 0 h 34"/>
                <a:gd name="T6" fmla="*/ 99 w 102"/>
                <a:gd name="T7" fmla="*/ 34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4">
                  <a:moveTo>
                    <a:pt x="99" y="34"/>
                  </a:moveTo>
                  <a:lnTo>
                    <a:pt x="102" y="26"/>
                  </a:lnTo>
                  <a:lnTo>
                    <a:pt x="0" y="0"/>
                  </a:lnTo>
                  <a:lnTo>
                    <a:pt x="99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4" name="Freeform 446">
              <a:extLst>
                <a:ext uri="{FF2B5EF4-FFF2-40B4-BE49-F238E27FC236}">
                  <a16:creationId xmlns:a16="http://schemas.microsoft.com/office/drawing/2014/main" id="{FF41AA95-017F-4F13-AD47-FFF4DA2CD2D6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2 w 104"/>
                <a:gd name="T1" fmla="*/ 26 h 26"/>
                <a:gd name="T2" fmla="*/ 104 w 104"/>
                <a:gd name="T3" fmla="*/ 17 h 26"/>
                <a:gd name="T4" fmla="*/ 0 w 104"/>
                <a:gd name="T5" fmla="*/ 0 h 26"/>
                <a:gd name="T6" fmla="*/ 102 w 104"/>
                <a:gd name="T7" fmla="*/ 26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2" y="26"/>
                  </a:moveTo>
                  <a:lnTo>
                    <a:pt x="104" y="17"/>
                  </a:lnTo>
                  <a:lnTo>
                    <a:pt x="0" y="0"/>
                  </a:lnTo>
                  <a:lnTo>
                    <a:pt x="102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5" name="Freeform 447">
              <a:extLst>
                <a:ext uri="{FF2B5EF4-FFF2-40B4-BE49-F238E27FC236}">
                  <a16:creationId xmlns:a16="http://schemas.microsoft.com/office/drawing/2014/main" id="{2635C423-FD2D-4B71-8FEC-27B34F61C8AC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4 w 105"/>
                <a:gd name="T1" fmla="*/ 17 h 17"/>
                <a:gd name="T2" fmla="*/ 105 w 105"/>
                <a:gd name="T3" fmla="*/ 8 h 17"/>
                <a:gd name="T4" fmla="*/ 0 w 105"/>
                <a:gd name="T5" fmla="*/ 0 h 17"/>
                <a:gd name="T6" fmla="*/ 104 w 105"/>
                <a:gd name="T7" fmla="*/ 17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7">
                  <a:moveTo>
                    <a:pt x="104" y="17"/>
                  </a:moveTo>
                  <a:lnTo>
                    <a:pt x="105" y="8"/>
                  </a:lnTo>
                  <a:lnTo>
                    <a:pt x="0" y="0"/>
                  </a:lnTo>
                  <a:lnTo>
                    <a:pt x="104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6" name="Freeform 448">
              <a:extLst>
                <a:ext uri="{FF2B5EF4-FFF2-40B4-BE49-F238E27FC236}">
                  <a16:creationId xmlns:a16="http://schemas.microsoft.com/office/drawing/2014/main" id="{AEE877A8-8ABB-4192-9BB6-B34542D60B1C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0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7" name="Freeform 449">
              <a:extLst>
                <a:ext uri="{FF2B5EF4-FFF2-40B4-BE49-F238E27FC236}">
                  <a16:creationId xmlns:a16="http://schemas.microsoft.com/office/drawing/2014/main" id="{F900D6E2-A054-49B0-9D77-0A79750552BD}"/>
                </a:ext>
              </a:extLst>
            </xdr:cNvPr>
            <xdr:cNvSpPr>
              <a:spLocks/>
            </xdr:cNvSpPr>
          </xdr:nvSpPr>
          <xdr:spPr bwMode="auto">
            <a:xfrm>
              <a:off x="1178" y="188"/>
              <a:ext cx="6" cy="9"/>
            </a:xfrm>
            <a:custGeom>
              <a:avLst/>
              <a:gdLst>
                <a:gd name="T0" fmla="*/ 0 w 350"/>
                <a:gd name="T1" fmla="*/ 526 h 526"/>
                <a:gd name="T2" fmla="*/ 263 w 350"/>
                <a:gd name="T3" fmla="*/ 526 h 526"/>
                <a:gd name="T4" fmla="*/ 350 w 350"/>
                <a:gd name="T5" fmla="*/ 439 h 526"/>
                <a:gd name="T6" fmla="*/ 350 w 350"/>
                <a:gd name="T7" fmla="*/ 88 h 526"/>
                <a:gd name="T8" fmla="*/ 263 w 350"/>
                <a:gd name="T9" fmla="*/ 0 h 526"/>
                <a:gd name="T10" fmla="*/ 0 w 350"/>
                <a:gd name="T11" fmla="*/ 0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0" h="526">
                  <a:moveTo>
                    <a:pt x="0" y="526"/>
                  </a:moveTo>
                  <a:lnTo>
                    <a:pt x="263" y="526"/>
                  </a:lnTo>
                  <a:lnTo>
                    <a:pt x="350" y="439"/>
                  </a:lnTo>
                  <a:lnTo>
                    <a:pt x="350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38" name="Line 450">
              <a:extLst>
                <a:ext uri="{FF2B5EF4-FFF2-40B4-BE49-F238E27FC236}">
                  <a16:creationId xmlns:a16="http://schemas.microsoft.com/office/drawing/2014/main" id="{9CF203A2-CF97-4ED7-9E14-8CC4685CA7F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0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9" name="Freeform 451">
              <a:extLst>
                <a:ext uri="{FF2B5EF4-FFF2-40B4-BE49-F238E27FC236}">
                  <a16:creationId xmlns:a16="http://schemas.microsoft.com/office/drawing/2014/main" id="{91E51D17-4E29-4BF6-B567-247D60EAABB4}"/>
                </a:ext>
              </a:extLst>
            </xdr:cNvPr>
            <xdr:cNvSpPr>
              <a:spLocks/>
            </xdr:cNvSpPr>
          </xdr:nvSpPr>
          <xdr:spPr bwMode="auto">
            <a:xfrm>
              <a:off x="1190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40" name="Freeform 452">
              <a:extLst>
                <a:ext uri="{FF2B5EF4-FFF2-40B4-BE49-F238E27FC236}">
                  <a16:creationId xmlns:a16="http://schemas.microsoft.com/office/drawing/2014/main" id="{7B57281C-03C2-4799-87C1-8D98BF839A2D}"/>
                </a:ext>
              </a:extLst>
            </xdr:cNvPr>
            <xdr:cNvSpPr>
              <a:spLocks/>
            </xdr:cNvSpPr>
          </xdr:nvSpPr>
          <xdr:spPr bwMode="auto">
            <a:xfrm>
              <a:off x="1190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6" name="Freeform 454">
            <a:extLst>
              <a:ext uri="{FF2B5EF4-FFF2-40B4-BE49-F238E27FC236}">
                <a16:creationId xmlns:a16="http://schemas.microsoft.com/office/drawing/2014/main" id="{B6657573-573C-482F-8624-696476D66E78}"/>
              </a:ext>
            </a:extLst>
          </xdr:cNvPr>
          <xdr:cNvSpPr>
            <a:spLocks/>
          </xdr:cNvSpPr>
        </xdr:nvSpPr>
        <xdr:spPr bwMode="auto">
          <a:xfrm>
            <a:off x="1190" y="200"/>
            <a:ext cx="1" cy="2"/>
          </a:xfrm>
          <a:custGeom>
            <a:avLst/>
            <a:gdLst>
              <a:gd name="T0" fmla="*/ 53 w 53"/>
              <a:gd name="T1" fmla="*/ 14 h 106"/>
              <a:gd name="T2" fmla="*/ 0 w 53"/>
              <a:gd name="T3" fmla="*/ 0 h 106"/>
              <a:gd name="T4" fmla="*/ 0 w 53"/>
              <a:gd name="T5" fmla="*/ 106 h 106"/>
              <a:gd name="T6" fmla="*/ 53 w 53"/>
              <a:gd name="T7" fmla="*/ 14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14"/>
                </a:moveTo>
                <a:lnTo>
                  <a:pt x="0" y="0"/>
                </a:lnTo>
                <a:lnTo>
                  <a:pt x="0" y="106"/>
                </a:lnTo>
                <a:lnTo>
                  <a:pt x="53" y="14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Freeform 455">
            <a:extLst>
              <a:ext uri="{FF2B5EF4-FFF2-40B4-BE49-F238E27FC236}">
                <a16:creationId xmlns:a16="http://schemas.microsoft.com/office/drawing/2014/main" id="{4654E5C8-64D8-4B4A-839A-5386ACE5EC51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53 w 53"/>
              <a:gd name="T1" fmla="*/ 0 h 106"/>
              <a:gd name="T2" fmla="*/ 0 w 53"/>
              <a:gd name="T3" fmla="*/ 14 h 106"/>
              <a:gd name="T4" fmla="*/ 53 w 53"/>
              <a:gd name="T5" fmla="*/ 106 h 106"/>
              <a:gd name="T6" fmla="*/ 53 w 53"/>
              <a:gd name="T7" fmla="*/ 0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0"/>
                </a:moveTo>
                <a:lnTo>
                  <a:pt x="0" y="14"/>
                </a:lnTo>
                <a:lnTo>
                  <a:pt x="53" y="106"/>
                </a:lnTo>
                <a:lnTo>
                  <a:pt x="53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" name="Freeform 456">
            <a:extLst>
              <a:ext uri="{FF2B5EF4-FFF2-40B4-BE49-F238E27FC236}">
                <a16:creationId xmlns:a16="http://schemas.microsoft.com/office/drawing/2014/main" id="{5D0CB2D3-0421-4F1B-93DC-010752C723EA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38 w 91"/>
              <a:gd name="T1" fmla="*/ 0 h 92"/>
              <a:gd name="T2" fmla="*/ 0 w 91"/>
              <a:gd name="T3" fmla="*/ 39 h 92"/>
              <a:gd name="T4" fmla="*/ 91 w 91"/>
              <a:gd name="T5" fmla="*/ 92 h 92"/>
              <a:gd name="T6" fmla="*/ 38 w 91"/>
              <a:gd name="T7" fmla="*/ 0 h 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2">
                <a:moveTo>
                  <a:pt x="38" y="0"/>
                </a:moveTo>
                <a:lnTo>
                  <a:pt x="0" y="39"/>
                </a:lnTo>
                <a:lnTo>
                  <a:pt x="91" y="92"/>
                </a:lnTo>
                <a:lnTo>
                  <a:pt x="38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Freeform 457">
            <a:extLst>
              <a:ext uri="{FF2B5EF4-FFF2-40B4-BE49-F238E27FC236}">
                <a16:creationId xmlns:a16="http://schemas.microsoft.com/office/drawing/2014/main" id="{BF0C9EC9-10AD-4714-B6D5-6D8DD8820CC1}"/>
              </a:ext>
            </a:extLst>
          </xdr:cNvPr>
          <xdr:cNvSpPr>
            <a:spLocks/>
          </xdr:cNvSpPr>
        </xdr:nvSpPr>
        <xdr:spPr bwMode="auto">
          <a:xfrm>
            <a:off x="1188" y="201"/>
            <a:ext cx="2" cy="1"/>
          </a:xfrm>
          <a:custGeom>
            <a:avLst/>
            <a:gdLst>
              <a:gd name="T0" fmla="*/ 15 w 106"/>
              <a:gd name="T1" fmla="*/ 0 h 53"/>
              <a:gd name="T2" fmla="*/ 0 w 106"/>
              <a:gd name="T3" fmla="*/ 53 h 53"/>
              <a:gd name="T4" fmla="*/ 106 w 106"/>
              <a:gd name="T5" fmla="*/ 53 h 53"/>
              <a:gd name="T6" fmla="*/ 15 w 106"/>
              <a:gd name="T7" fmla="*/ 0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3">
                <a:moveTo>
                  <a:pt x="15" y="0"/>
                </a:moveTo>
                <a:lnTo>
                  <a:pt x="0" y="53"/>
                </a:lnTo>
                <a:lnTo>
                  <a:pt x="106" y="53"/>
                </a:lnTo>
                <a:lnTo>
                  <a:pt x="15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" name="Freeform 458">
            <a:extLst>
              <a:ext uri="{FF2B5EF4-FFF2-40B4-BE49-F238E27FC236}">
                <a16:creationId xmlns:a16="http://schemas.microsoft.com/office/drawing/2014/main" id="{643A4DB6-5A42-4596-82EC-09E520510601}"/>
              </a:ext>
            </a:extLst>
          </xdr:cNvPr>
          <xdr:cNvSpPr>
            <a:spLocks/>
          </xdr:cNvSpPr>
        </xdr:nvSpPr>
        <xdr:spPr bwMode="auto">
          <a:xfrm>
            <a:off x="1188" y="202"/>
            <a:ext cx="2" cy="1"/>
          </a:xfrm>
          <a:custGeom>
            <a:avLst/>
            <a:gdLst>
              <a:gd name="T0" fmla="*/ 0 w 106"/>
              <a:gd name="T1" fmla="*/ 0 h 52"/>
              <a:gd name="T2" fmla="*/ 15 w 106"/>
              <a:gd name="T3" fmla="*/ 52 h 52"/>
              <a:gd name="T4" fmla="*/ 106 w 106"/>
              <a:gd name="T5" fmla="*/ 0 h 52"/>
              <a:gd name="T6" fmla="*/ 0 w 106"/>
              <a:gd name="T7" fmla="*/ 0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2">
                <a:moveTo>
                  <a:pt x="0" y="0"/>
                </a:moveTo>
                <a:lnTo>
                  <a:pt x="15" y="52"/>
                </a:lnTo>
                <a:lnTo>
                  <a:pt x="106" y="0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" name="Freeform 459">
            <a:extLst>
              <a:ext uri="{FF2B5EF4-FFF2-40B4-BE49-F238E27FC236}">
                <a16:creationId xmlns:a16="http://schemas.microsoft.com/office/drawing/2014/main" id="{66C87D92-D176-4D6B-854D-0C212EFCAAC7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1"/>
          </a:xfrm>
          <a:custGeom>
            <a:avLst/>
            <a:gdLst>
              <a:gd name="T0" fmla="*/ 0 w 91"/>
              <a:gd name="T1" fmla="*/ 52 h 91"/>
              <a:gd name="T2" fmla="*/ 38 w 91"/>
              <a:gd name="T3" fmla="*/ 91 h 91"/>
              <a:gd name="T4" fmla="*/ 91 w 91"/>
              <a:gd name="T5" fmla="*/ 0 h 91"/>
              <a:gd name="T6" fmla="*/ 0 w 91"/>
              <a:gd name="T7" fmla="*/ 52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0" y="52"/>
                </a:moveTo>
                <a:lnTo>
                  <a:pt x="38" y="91"/>
                </a:lnTo>
                <a:lnTo>
                  <a:pt x="91" y="0"/>
                </a:lnTo>
                <a:lnTo>
                  <a:pt x="0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" name="Freeform 460">
            <a:extLst>
              <a:ext uri="{FF2B5EF4-FFF2-40B4-BE49-F238E27FC236}">
                <a16:creationId xmlns:a16="http://schemas.microsoft.com/office/drawing/2014/main" id="{B44B453B-3D7C-44CF-BB96-DC1C95106166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2"/>
          </a:xfrm>
          <a:custGeom>
            <a:avLst/>
            <a:gdLst>
              <a:gd name="T0" fmla="*/ 0 w 53"/>
              <a:gd name="T1" fmla="*/ 91 h 105"/>
              <a:gd name="T2" fmla="*/ 53 w 53"/>
              <a:gd name="T3" fmla="*/ 105 h 105"/>
              <a:gd name="T4" fmla="*/ 53 w 53"/>
              <a:gd name="T5" fmla="*/ 0 h 105"/>
              <a:gd name="T6" fmla="*/ 0 w 53"/>
              <a:gd name="T7" fmla="*/ 9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91"/>
                </a:moveTo>
                <a:lnTo>
                  <a:pt x="53" y="105"/>
                </a:lnTo>
                <a:lnTo>
                  <a:pt x="53" y="0"/>
                </a:lnTo>
                <a:lnTo>
                  <a:pt x="0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" name="Freeform 461">
            <a:extLst>
              <a:ext uri="{FF2B5EF4-FFF2-40B4-BE49-F238E27FC236}">
                <a16:creationId xmlns:a16="http://schemas.microsoft.com/office/drawing/2014/main" id="{D8907328-2690-4248-82EB-DE4547556693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1" cy="2"/>
          </a:xfrm>
          <a:custGeom>
            <a:avLst/>
            <a:gdLst>
              <a:gd name="T0" fmla="*/ 0 w 53"/>
              <a:gd name="T1" fmla="*/ 105 h 105"/>
              <a:gd name="T2" fmla="*/ 53 w 53"/>
              <a:gd name="T3" fmla="*/ 91 h 105"/>
              <a:gd name="T4" fmla="*/ 0 w 53"/>
              <a:gd name="T5" fmla="*/ 0 h 105"/>
              <a:gd name="T6" fmla="*/ 0 w 53"/>
              <a:gd name="T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105"/>
                </a:moveTo>
                <a:lnTo>
                  <a:pt x="53" y="91"/>
                </a:lnTo>
                <a:lnTo>
                  <a:pt x="0" y="0"/>
                </a:lnTo>
                <a:lnTo>
                  <a:pt x="0" y="105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4" name="Freeform 462">
            <a:extLst>
              <a:ext uri="{FF2B5EF4-FFF2-40B4-BE49-F238E27FC236}">
                <a16:creationId xmlns:a16="http://schemas.microsoft.com/office/drawing/2014/main" id="{4F47CCA4-0657-4E7B-ABAE-A34D69A8A443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53 w 91"/>
              <a:gd name="T1" fmla="*/ 91 h 91"/>
              <a:gd name="T2" fmla="*/ 91 w 91"/>
              <a:gd name="T3" fmla="*/ 52 h 91"/>
              <a:gd name="T4" fmla="*/ 0 w 91"/>
              <a:gd name="T5" fmla="*/ 0 h 91"/>
              <a:gd name="T6" fmla="*/ 53 w 91"/>
              <a:gd name="T7" fmla="*/ 91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53" y="91"/>
                </a:moveTo>
                <a:lnTo>
                  <a:pt x="91" y="52"/>
                </a:lnTo>
                <a:lnTo>
                  <a:pt x="0" y="0"/>
                </a:lnTo>
                <a:lnTo>
                  <a:pt x="53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" name="Freeform 463">
            <a:extLst>
              <a:ext uri="{FF2B5EF4-FFF2-40B4-BE49-F238E27FC236}">
                <a16:creationId xmlns:a16="http://schemas.microsoft.com/office/drawing/2014/main" id="{67DF4966-2116-4D44-8306-A2599B3C6A4E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91 w 105"/>
              <a:gd name="T1" fmla="*/ 52 h 52"/>
              <a:gd name="T2" fmla="*/ 105 w 105"/>
              <a:gd name="T3" fmla="*/ 0 h 52"/>
              <a:gd name="T4" fmla="*/ 0 w 105"/>
              <a:gd name="T5" fmla="*/ 0 h 52"/>
              <a:gd name="T6" fmla="*/ 91 w 105"/>
              <a:gd name="T7" fmla="*/ 52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5" h="52">
                <a:moveTo>
                  <a:pt x="91" y="52"/>
                </a:moveTo>
                <a:lnTo>
                  <a:pt x="105" y="0"/>
                </a:lnTo>
                <a:lnTo>
                  <a:pt x="0" y="0"/>
                </a:lnTo>
                <a:lnTo>
                  <a:pt x="91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" name="Line 464">
            <a:extLst>
              <a:ext uri="{FF2B5EF4-FFF2-40B4-BE49-F238E27FC236}">
                <a16:creationId xmlns:a16="http://schemas.microsoft.com/office/drawing/2014/main" id="{06FE869C-5E0E-4108-BE54-3799B6F76D17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465">
            <a:extLst>
              <a:ext uri="{FF2B5EF4-FFF2-40B4-BE49-F238E27FC236}">
                <a16:creationId xmlns:a16="http://schemas.microsoft.com/office/drawing/2014/main" id="{D4E7F907-FF7B-4F66-AE52-FE4BDD92568D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466">
            <a:extLst>
              <a:ext uri="{FF2B5EF4-FFF2-40B4-BE49-F238E27FC236}">
                <a16:creationId xmlns:a16="http://schemas.microsoft.com/office/drawing/2014/main" id="{D765197F-BBEE-4345-81E5-37A6F7DC70F1}"/>
              </a:ext>
            </a:extLst>
          </xdr:cNvPr>
          <xdr:cNvSpPr>
            <a:spLocks noChangeShapeType="1"/>
          </xdr:cNvSpPr>
        </xdr:nvSpPr>
        <xdr:spPr bwMode="auto">
          <a:xfrm>
            <a:off x="842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Freeform 467">
            <a:extLst>
              <a:ext uri="{FF2B5EF4-FFF2-40B4-BE49-F238E27FC236}">
                <a16:creationId xmlns:a16="http://schemas.microsoft.com/office/drawing/2014/main" id="{743704CE-64B8-47BF-9D95-BFD53A94AB36}"/>
              </a:ext>
            </a:extLst>
          </xdr:cNvPr>
          <xdr:cNvSpPr>
            <a:spLocks/>
          </xdr:cNvSpPr>
        </xdr:nvSpPr>
        <xdr:spPr bwMode="auto">
          <a:xfrm>
            <a:off x="833" y="268"/>
            <a:ext cx="9" cy="2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" name="Freeform 468">
            <a:extLst>
              <a:ext uri="{FF2B5EF4-FFF2-40B4-BE49-F238E27FC236}">
                <a16:creationId xmlns:a16="http://schemas.microsoft.com/office/drawing/2014/main" id="{053D0768-3D6D-4B33-A7CA-66D05348A319}"/>
              </a:ext>
            </a:extLst>
          </xdr:cNvPr>
          <xdr:cNvSpPr>
            <a:spLocks/>
          </xdr:cNvSpPr>
        </xdr:nvSpPr>
        <xdr:spPr bwMode="auto">
          <a:xfrm>
            <a:off x="922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1" name="Line 474">
            <a:extLst>
              <a:ext uri="{FF2B5EF4-FFF2-40B4-BE49-F238E27FC236}">
                <a16:creationId xmlns:a16="http://schemas.microsoft.com/office/drawing/2014/main" id="{5BCCBC14-9334-44F3-B61E-1E486366232E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75">
            <a:extLst>
              <a:ext uri="{FF2B5EF4-FFF2-40B4-BE49-F238E27FC236}">
                <a16:creationId xmlns:a16="http://schemas.microsoft.com/office/drawing/2014/main" id="{5E30F9C7-3835-45E3-816B-101388206AC1}"/>
              </a:ext>
            </a:extLst>
          </xdr:cNvPr>
          <xdr:cNvSpPr>
            <a:spLocks noChangeShapeType="1"/>
          </xdr:cNvSpPr>
        </xdr:nvSpPr>
        <xdr:spPr bwMode="auto">
          <a:xfrm>
            <a:off x="1029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76">
            <a:extLst>
              <a:ext uri="{FF2B5EF4-FFF2-40B4-BE49-F238E27FC236}">
                <a16:creationId xmlns:a16="http://schemas.microsoft.com/office/drawing/2014/main" id="{2ED2DC47-765B-43DE-9BBF-2202C57A9B80}"/>
              </a:ext>
            </a:extLst>
          </xdr:cNvPr>
          <xdr:cNvSpPr>
            <a:spLocks noChangeShapeType="1"/>
          </xdr:cNvSpPr>
        </xdr:nvSpPr>
        <xdr:spPr bwMode="auto">
          <a:xfrm>
            <a:off x="940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Freeform 477">
            <a:extLst>
              <a:ext uri="{FF2B5EF4-FFF2-40B4-BE49-F238E27FC236}">
                <a16:creationId xmlns:a16="http://schemas.microsoft.com/office/drawing/2014/main" id="{ED8BD1E6-DFF0-4644-9957-C023540EED4C}"/>
              </a:ext>
            </a:extLst>
          </xdr:cNvPr>
          <xdr:cNvSpPr>
            <a:spLocks/>
          </xdr:cNvSpPr>
        </xdr:nvSpPr>
        <xdr:spPr bwMode="auto">
          <a:xfrm>
            <a:off x="931" y="268"/>
            <a:ext cx="9" cy="2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8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8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5" name="Freeform 478">
            <a:extLst>
              <a:ext uri="{FF2B5EF4-FFF2-40B4-BE49-F238E27FC236}">
                <a16:creationId xmlns:a16="http://schemas.microsoft.com/office/drawing/2014/main" id="{C6A22315-A384-4702-8103-E8AB0A76A8E4}"/>
              </a:ext>
            </a:extLst>
          </xdr:cNvPr>
          <xdr:cNvSpPr>
            <a:spLocks/>
          </xdr:cNvSpPr>
        </xdr:nvSpPr>
        <xdr:spPr bwMode="auto">
          <a:xfrm>
            <a:off x="1020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6" name="Line 484">
            <a:extLst>
              <a:ext uri="{FF2B5EF4-FFF2-40B4-BE49-F238E27FC236}">
                <a16:creationId xmlns:a16="http://schemas.microsoft.com/office/drawing/2014/main" id="{2FFCA255-A72F-4FB9-B336-24A63A01C526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89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485">
            <a:extLst>
              <a:ext uri="{FF2B5EF4-FFF2-40B4-BE49-F238E27FC236}">
                <a16:creationId xmlns:a16="http://schemas.microsoft.com/office/drawing/2014/main" id="{65DE033F-5C85-4F0B-A0EB-3E36BFB6AC53}"/>
              </a:ext>
            </a:extLst>
          </xdr:cNvPr>
          <xdr:cNvSpPr>
            <a:spLocks noChangeShapeType="1"/>
          </xdr:cNvSpPr>
        </xdr:nvSpPr>
        <xdr:spPr bwMode="auto">
          <a:xfrm>
            <a:off x="1190" y="299"/>
            <a:ext cx="0" cy="3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86">
            <a:extLst>
              <a:ext uri="{FF2B5EF4-FFF2-40B4-BE49-F238E27FC236}">
                <a16:creationId xmlns:a16="http://schemas.microsoft.com/office/drawing/2014/main" id="{494E1B99-F67E-4773-9F02-231FC1498BD2}"/>
              </a:ext>
            </a:extLst>
          </xdr:cNvPr>
          <xdr:cNvSpPr>
            <a:spLocks noChangeShapeType="1"/>
          </xdr:cNvSpPr>
        </xdr:nvSpPr>
        <xdr:spPr bwMode="auto">
          <a:xfrm>
            <a:off x="842" y="325"/>
            <a:ext cx="339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Freeform 487">
            <a:extLst>
              <a:ext uri="{FF2B5EF4-FFF2-40B4-BE49-F238E27FC236}">
                <a16:creationId xmlns:a16="http://schemas.microsoft.com/office/drawing/2014/main" id="{F41EAEA1-DD63-44D7-82D6-B1FBB3599549}"/>
              </a:ext>
            </a:extLst>
          </xdr:cNvPr>
          <xdr:cNvSpPr>
            <a:spLocks/>
          </xdr:cNvSpPr>
        </xdr:nvSpPr>
        <xdr:spPr bwMode="auto">
          <a:xfrm>
            <a:off x="833" y="323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" name="Freeform 488">
            <a:extLst>
              <a:ext uri="{FF2B5EF4-FFF2-40B4-BE49-F238E27FC236}">
                <a16:creationId xmlns:a16="http://schemas.microsoft.com/office/drawing/2014/main" id="{AF7C8F48-FC3B-4A3C-AE94-C91A75A8BD5A}"/>
              </a:ext>
            </a:extLst>
          </xdr:cNvPr>
          <xdr:cNvSpPr>
            <a:spLocks/>
          </xdr:cNvSpPr>
        </xdr:nvSpPr>
        <xdr:spPr bwMode="auto">
          <a:xfrm>
            <a:off x="1181" y="323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" name="Line 494">
            <a:extLst>
              <a:ext uri="{FF2B5EF4-FFF2-40B4-BE49-F238E27FC236}">
                <a16:creationId xmlns:a16="http://schemas.microsoft.com/office/drawing/2014/main" id="{A8E650A6-EAD6-4BF7-A957-E5A3FC72DE22}"/>
              </a:ext>
            </a:extLst>
          </xdr:cNvPr>
          <xdr:cNvSpPr>
            <a:spLocks noChangeShapeType="1"/>
          </xdr:cNvSpPr>
        </xdr:nvSpPr>
        <xdr:spPr bwMode="auto">
          <a:xfrm flipV="1">
            <a:off x="1029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495">
            <a:extLst>
              <a:ext uri="{FF2B5EF4-FFF2-40B4-BE49-F238E27FC236}">
                <a16:creationId xmlns:a16="http://schemas.microsoft.com/office/drawing/2014/main" id="{E0AFCBA7-C473-4F80-BB21-E4DC1DC48DF3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496">
            <a:extLst>
              <a:ext uri="{FF2B5EF4-FFF2-40B4-BE49-F238E27FC236}">
                <a16:creationId xmlns:a16="http://schemas.microsoft.com/office/drawing/2014/main" id="{8DB8098D-5A8E-4B74-9BC3-EFBA6C742A63}"/>
              </a:ext>
            </a:extLst>
          </xdr:cNvPr>
          <xdr:cNvSpPr>
            <a:spLocks noChangeShapeType="1"/>
          </xdr:cNvSpPr>
        </xdr:nvSpPr>
        <xdr:spPr bwMode="auto">
          <a:xfrm>
            <a:off x="1038" y="86"/>
            <a:ext cx="6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Freeform 497">
            <a:extLst>
              <a:ext uri="{FF2B5EF4-FFF2-40B4-BE49-F238E27FC236}">
                <a16:creationId xmlns:a16="http://schemas.microsoft.com/office/drawing/2014/main" id="{CAAD03A6-A0BF-4ECF-84B6-81A211B7A213}"/>
              </a:ext>
            </a:extLst>
          </xdr:cNvPr>
          <xdr:cNvSpPr>
            <a:spLocks/>
          </xdr:cNvSpPr>
        </xdr:nvSpPr>
        <xdr:spPr bwMode="auto">
          <a:xfrm>
            <a:off x="1029" y="84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7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7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" name="Freeform 498">
            <a:extLst>
              <a:ext uri="{FF2B5EF4-FFF2-40B4-BE49-F238E27FC236}">
                <a16:creationId xmlns:a16="http://schemas.microsoft.com/office/drawing/2014/main" id="{01C302B0-0792-4193-A8BD-764D65C818CE}"/>
              </a:ext>
            </a:extLst>
          </xdr:cNvPr>
          <xdr:cNvSpPr>
            <a:spLocks/>
          </xdr:cNvSpPr>
        </xdr:nvSpPr>
        <xdr:spPr bwMode="auto">
          <a:xfrm>
            <a:off x="1103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" name="Line 504">
            <a:extLst>
              <a:ext uri="{FF2B5EF4-FFF2-40B4-BE49-F238E27FC236}">
                <a16:creationId xmlns:a16="http://schemas.microsoft.com/office/drawing/2014/main" id="{16C0D139-EAFF-475F-9ED3-77A23E8D757A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505">
            <a:extLst>
              <a:ext uri="{FF2B5EF4-FFF2-40B4-BE49-F238E27FC236}">
                <a16:creationId xmlns:a16="http://schemas.microsoft.com/office/drawing/2014/main" id="{6A6DD634-0073-4688-AA5E-8E16ED4F7670}"/>
              </a:ext>
            </a:extLst>
          </xdr:cNvPr>
          <xdr:cNvSpPr>
            <a:spLocks noChangeShapeType="1"/>
          </xdr:cNvSpPr>
        </xdr:nvSpPr>
        <xdr:spPr bwMode="auto">
          <a:xfrm flipV="1">
            <a:off x="1190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506">
            <a:extLst>
              <a:ext uri="{FF2B5EF4-FFF2-40B4-BE49-F238E27FC236}">
                <a16:creationId xmlns:a16="http://schemas.microsoft.com/office/drawing/2014/main" id="{4757753A-8D39-44F5-8BA8-AF301A2F3896}"/>
              </a:ext>
            </a:extLst>
          </xdr:cNvPr>
          <xdr:cNvSpPr>
            <a:spLocks noChangeShapeType="1"/>
          </xdr:cNvSpPr>
        </xdr:nvSpPr>
        <xdr:spPr bwMode="auto">
          <a:xfrm>
            <a:off x="1121" y="86"/>
            <a:ext cx="6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Freeform 507">
            <a:extLst>
              <a:ext uri="{FF2B5EF4-FFF2-40B4-BE49-F238E27FC236}">
                <a16:creationId xmlns:a16="http://schemas.microsoft.com/office/drawing/2014/main" id="{30AFF09C-C3AD-4BEE-B717-15EBAEE4F6E7}"/>
              </a:ext>
            </a:extLst>
          </xdr:cNvPr>
          <xdr:cNvSpPr>
            <a:spLocks/>
          </xdr:cNvSpPr>
        </xdr:nvSpPr>
        <xdr:spPr bwMode="auto">
          <a:xfrm>
            <a:off x="1112" y="84"/>
            <a:ext cx="9" cy="3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7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7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" name="Freeform 508">
            <a:extLst>
              <a:ext uri="{FF2B5EF4-FFF2-40B4-BE49-F238E27FC236}">
                <a16:creationId xmlns:a16="http://schemas.microsoft.com/office/drawing/2014/main" id="{C56ADEB9-0BE1-4606-9B96-F992F8E9AA92}"/>
              </a:ext>
            </a:extLst>
          </xdr:cNvPr>
          <xdr:cNvSpPr>
            <a:spLocks/>
          </xdr:cNvSpPr>
        </xdr:nvSpPr>
        <xdr:spPr bwMode="auto">
          <a:xfrm>
            <a:off x="1181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" name="Line 514">
            <a:extLst>
              <a:ext uri="{FF2B5EF4-FFF2-40B4-BE49-F238E27FC236}">
                <a16:creationId xmlns:a16="http://schemas.microsoft.com/office/drawing/2014/main" id="{224364BB-DA3C-4319-871A-BB67D803A211}"/>
              </a:ext>
            </a:extLst>
          </xdr:cNvPr>
          <xdr:cNvSpPr>
            <a:spLocks noChangeShapeType="1"/>
          </xdr:cNvSpPr>
        </xdr:nvSpPr>
        <xdr:spPr bwMode="auto">
          <a:xfrm>
            <a:off x="1226" y="107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15">
            <a:extLst>
              <a:ext uri="{FF2B5EF4-FFF2-40B4-BE49-F238E27FC236}">
                <a16:creationId xmlns:a16="http://schemas.microsoft.com/office/drawing/2014/main" id="{480293F1-DD56-4322-AD77-DF54734FCA1D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516">
            <a:extLst>
              <a:ext uri="{FF2B5EF4-FFF2-40B4-BE49-F238E27FC236}">
                <a16:creationId xmlns:a16="http://schemas.microsoft.com/office/drawing/2014/main" id="{71EEFE93-1B94-4B21-B3C5-2A261A0A6785}"/>
              </a:ext>
            </a:extLst>
          </xdr:cNvPr>
          <xdr:cNvSpPr>
            <a:spLocks noChangeShapeType="1"/>
          </xdr:cNvSpPr>
        </xdr:nvSpPr>
        <xdr:spPr bwMode="auto">
          <a:xfrm>
            <a:off x="1240" y="116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517">
            <a:extLst>
              <a:ext uri="{FF2B5EF4-FFF2-40B4-BE49-F238E27FC236}">
                <a16:creationId xmlns:a16="http://schemas.microsoft.com/office/drawing/2014/main" id="{9B6A4261-4EE9-48D7-A9DD-D57C96FDDBF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16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518">
            <a:extLst>
              <a:ext uri="{FF2B5EF4-FFF2-40B4-BE49-F238E27FC236}">
                <a16:creationId xmlns:a16="http://schemas.microsoft.com/office/drawing/2014/main" id="{9D79C5D2-1190-43EC-B60A-A2CD91A95CA4}"/>
              </a:ext>
            </a:extLst>
          </xdr:cNvPr>
          <xdr:cNvSpPr>
            <a:spLocks/>
          </xdr:cNvSpPr>
        </xdr:nvSpPr>
        <xdr:spPr bwMode="auto">
          <a:xfrm>
            <a:off x="1238" y="107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" name="Freeform 519">
            <a:extLst>
              <a:ext uri="{FF2B5EF4-FFF2-40B4-BE49-F238E27FC236}">
                <a16:creationId xmlns:a16="http://schemas.microsoft.com/office/drawing/2014/main" id="{6F9967FA-F65A-4F19-8833-F839356B22E5}"/>
              </a:ext>
            </a:extLst>
          </xdr:cNvPr>
          <xdr:cNvSpPr>
            <a:spLocks/>
          </xdr:cNvSpPr>
        </xdr:nvSpPr>
        <xdr:spPr bwMode="auto">
          <a:xfrm>
            <a:off x="1238" y="193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7" name="Freeform 520">
            <a:extLst>
              <a:ext uri="{FF2B5EF4-FFF2-40B4-BE49-F238E27FC236}">
                <a16:creationId xmlns:a16="http://schemas.microsoft.com/office/drawing/2014/main" id="{6B0DEBE1-7501-4AA5-80DE-0B8D76AC5449}"/>
              </a:ext>
            </a:extLst>
          </xdr:cNvPr>
          <xdr:cNvSpPr>
            <a:spLocks/>
          </xdr:cNvSpPr>
        </xdr:nvSpPr>
        <xdr:spPr bwMode="auto">
          <a:xfrm>
            <a:off x="1208" y="153"/>
            <a:ext cx="3" cy="5"/>
          </a:xfrm>
          <a:custGeom>
            <a:avLst/>
            <a:gdLst>
              <a:gd name="T0" fmla="*/ 140 w 210"/>
              <a:gd name="T1" fmla="*/ 280 h 280"/>
              <a:gd name="T2" fmla="*/ 70 w 210"/>
              <a:gd name="T3" fmla="*/ 280 h 280"/>
              <a:gd name="T4" fmla="*/ 0 w 210"/>
              <a:gd name="T5" fmla="*/ 210 h 280"/>
              <a:gd name="T6" fmla="*/ 0 w 210"/>
              <a:gd name="T7" fmla="*/ 70 h 280"/>
              <a:gd name="T8" fmla="*/ 70 w 210"/>
              <a:gd name="T9" fmla="*/ 0 h 280"/>
              <a:gd name="T10" fmla="*/ 140 w 210"/>
              <a:gd name="T11" fmla="*/ 0 h 280"/>
              <a:gd name="T12" fmla="*/ 210 w 210"/>
              <a:gd name="T13" fmla="*/ 70 h 280"/>
              <a:gd name="T14" fmla="*/ 210 w 210"/>
              <a:gd name="T15" fmla="*/ 210 h 280"/>
              <a:gd name="T16" fmla="*/ 140 w 21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0">
                <a:moveTo>
                  <a:pt x="14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10" y="70"/>
                </a:lnTo>
                <a:lnTo>
                  <a:pt x="210" y="210"/>
                </a:lnTo>
                <a:lnTo>
                  <a:pt x="140" y="28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Line 521">
            <a:extLst>
              <a:ext uri="{FF2B5EF4-FFF2-40B4-BE49-F238E27FC236}">
                <a16:creationId xmlns:a16="http://schemas.microsoft.com/office/drawing/2014/main" id="{6AF0689C-DBD3-4DD2-9992-49FEBC6FB9BB}"/>
              </a:ext>
            </a:extLst>
          </xdr:cNvPr>
          <xdr:cNvSpPr>
            <a:spLocks noChangeShapeType="1"/>
          </xdr:cNvSpPr>
        </xdr:nvSpPr>
        <xdr:spPr bwMode="auto">
          <a:xfrm>
            <a:off x="1211" y="157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522">
            <a:extLst>
              <a:ext uri="{FF2B5EF4-FFF2-40B4-BE49-F238E27FC236}">
                <a16:creationId xmlns:a16="http://schemas.microsoft.com/office/drawing/2014/main" id="{788D28A3-EF38-420A-8B9D-17F0896B07C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157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Freeform 523">
            <a:extLst>
              <a:ext uri="{FF2B5EF4-FFF2-40B4-BE49-F238E27FC236}">
                <a16:creationId xmlns:a16="http://schemas.microsoft.com/office/drawing/2014/main" id="{FCF92826-F35D-433E-B2CE-55636CA26547}"/>
              </a:ext>
            </a:extLst>
          </xdr:cNvPr>
          <xdr:cNvSpPr>
            <a:spLocks/>
          </xdr:cNvSpPr>
        </xdr:nvSpPr>
        <xdr:spPr bwMode="auto">
          <a:xfrm>
            <a:off x="1217" y="151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1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1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Line 524">
            <a:extLst>
              <a:ext uri="{FF2B5EF4-FFF2-40B4-BE49-F238E27FC236}">
                <a16:creationId xmlns:a16="http://schemas.microsoft.com/office/drawing/2014/main" id="{7144CEAC-26BA-42AF-A9B5-1819B9600BF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151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Freeform 525">
            <a:extLst>
              <a:ext uri="{FF2B5EF4-FFF2-40B4-BE49-F238E27FC236}">
                <a16:creationId xmlns:a16="http://schemas.microsoft.com/office/drawing/2014/main" id="{DEECBF6F-C8B2-4432-8C2A-DBA973D85121}"/>
              </a:ext>
            </a:extLst>
          </xdr:cNvPr>
          <xdr:cNvSpPr>
            <a:spLocks/>
          </xdr:cNvSpPr>
        </xdr:nvSpPr>
        <xdr:spPr bwMode="auto">
          <a:xfrm>
            <a:off x="1231" y="151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1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1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Line 526">
            <a:extLst>
              <a:ext uri="{FF2B5EF4-FFF2-40B4-BE49-F238E27FC236}">
                <a16:creationId xmlns:a16="http://schemas.microsoft.com/office/drawing/2014/main" id="{E054EF9C-EEFF-4A04-834C-C09CF9AE1E54}"/>
              </a:ext>
            </a:extLst>
          </xdr:cNvPr>
          <xdr:cNvSpPr>
            <a:spLocks noChangeShapeType="1"/>
          </xdr:cNvSpPr>
        </xdr:nvSpPr>
        <xdr:spPr bwMode="auto">
          <a:xfrm>
            <a:off x="1239" y="153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527">
            <a:extLst>
              <a:ext uri="{FF2B5EF4-FFF2-40B4-BE49-F238E27FC236}">
                <a16:creationId xmlns:a16="http://schemas.microsoft.com/office/drawing/2014/main" id="{37B07638-1C71-4AA3-98A6-1A73E30900E4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156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534">
            <a:extLst>
              <a:ext uri="{FF2B5EF4-FFF2-40B4-BE49-F238E27FC236}">
                <a16:creationId xmlns:a16="http://schemas.microsoft.com/office/drawing/2014/main" id="{69990C26-EAB7-43A7-86AC-0281842229C9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535">
            <a:extLst>
              <a:ext uri="{FF2B5EF4-FFF2-40B4-BE49-F238E27FC236}">
                <a16:creationId xmlns:a16="http://schemas.microsoft.com/office/drawing/2014/main" id="{F4E137D5-02C4-43FE-B10A-27716153424F}"/>
              </a:ext>
            </a:extLst>
          </xdr:cNvPr>
          <xdr:cNvSpPr>
            <a:spLocks noChangeShapeType="1"/>
          </xdr:cNvSpPr>
        </xdr:nvSpPr>
        <xdr:spPr bwMode="auto">
          <a:xfrm>
            <a:off x="1226" y="296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536">
            <a:extLst>
              <a:ext uri="{FF2B5EF4-FFF2-40B4-BE49-F238E27FC236}">
                <a16:creationId xmlns:a16="http://schemas.microsoft.com/office/drawing/2014/main" id="{3F7B1B33-FBFB-4908-8429-28E8D1CB0F7C}"/>
              </a:ext>
            </a:extLst>
          </xdr:cNvPr>
          <xdr:cNvSpPr>
            <a:spLocks noChangeShapeType="1"/>
          </xdr:cNvSpPr>
        </xdr:nvSpPr>
        <xdr:spPr bwMode="auto">
          <a:xfrm>
            <a:off x="1240" y="211"/>
            <a:ext cx="0" cy="3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537">
            <a:extLst>
              <a:ext uri="{FF2B5EF4-FFF2-40B4-BE49-F238E27FC236}">
                <a16:creationId xmlns:a16="http://schemas.microsoft.com/office/drawing/2014/main" id="{4F5A8DD4-9F11-403B-BAD6-68985CDE646D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255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Freeform 538">
            <a:extLst>
              <a:ext uri="{FF2B5EF4-FFF2-40B4-BE49-F238E27FC236}">
                <a16:creationId xmlns:a16="http://schemas.microsoft.com/office/drawing/2014/main" id="{9374188D-0128-4BE2-B362-CC6BC74E2F2C}"/>
              </a:ext>
            </a:extLst>
          </xdr:cNvPr>
          <xdr:cNvSpPr>
            <a:spLocks/>
          </xdr:cNvSpPr>
        </xdr:nvSpPr>
        <xdr:spPr bwMode="auto">
          <a:xfrm>
            <a:off x="123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0" name="Freeform 539">
            <a:extLst>
              <a:ext uri="{FF2B5EF4-FFF2-40B4-BE49-F238E27FC236}">
                <a16:creationId xmlns:a16="http://schemas.microsoft.com/office/drawing/2014/main" id="{BAA6874A-87EE-4ED2-944A-049E45C19028}"/>
              </a:ext>
            </a:extLst>
          </xdr:cNvPr>
          <xdr:cNvSpPr>
            <a:spLocks/>
          </xdr:cNvSpPr>
        </xdr:nvSpPr>
        <xdr:spPr bwMode="auto">
          <a:xfrm>
            <a:off x="1238" y="288"/>
            <a:ext cx="3" cy="8"/>
          </a:xfrm>
          <a:custGeom>
            <a:avLst/>
            <a:gdLst>
              <a:gd name="T0" fmla="*/ 0 w 175"/>
              <a:gd name="T1" fmla="*/ 0 h 526"/>
              <a:gd name="T2" fmla="*/ 175 w 175"/>
              <a:gd name="T3" fmla="*/ 0 h 526"/>
              <a:gd name="T4" fmla="*/ 88 w 175"/>
              <a:gd name="T5" fmla="*/ 526 h 526"/>
              <a:gd name="T6" fmla="*/ 0 w 175"/>
              <a:gd name="T7" fmla="*/ 0 h 5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6">
                <a:moveTo>
                  <a:pt x="0" y="0"/>
                </a:moveTo>
                <a:lnTo>
                  <a:pt x="175" y="0"/>
                </a:lnTo>
                <a:lnTo>
                  <a:pt x="88" y="526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" name="Freeform 540">
            <a:extLst>
              <a:ext uri="{FF2B5EF4-FFF2-40B4-BE49-F238E27FC236}">
                <a16:creationId xmlns:a16="http://schemas.microsoft.com/office/drawing/2014/main" id="{208F4157-1E2A-4A29-A2EF-BBDC97DF5AD7}"/>
              </a:ext>
            </a:extLst>
          </xdr:cNvPr>
          <xdr:cNvSpPr>
            <a:spLocks/>
          </xdr:cNvSpPr>
        </xdr:nvSpPr>
        <xdr:spPr bwMode="auto">
          <a:xfrm>
            <a:off x="1208" y="248"/>
            <a:ext cx="3" cy="5"/>
          </a:xfrm>
          <a:custGeom>
            <a:avLst/>
            <a:gdLst>
              <a:gd name="T0" fmla="*/ 140 w 210"/>
              <a:gd name="T1" fmla="*/ 281 h 281"/>
              <a:gd name="T2" fmla="*/ 70 w 210"/>
              <a:gd name="T3" fmla="*/ 281 h 281"/>
              <a:gd name="T4" fmla="*/ 0 w 210"/>
              <a:gd name="T5" fmla="*/ 211 h 281"/>
              <a:gd name="T6" fmla="*/ 0 w 210"/>
              <a:gd name="T7" fmla="*/ 71 h 281"/>
              <a:gd name="T8" fmla="*/ 70 w 210"/>
              <a:gd name="T9" fmla="*/ 0 h 281"/>
              <a:gd name="T10" fmla="*/ 140 w 210"/>
              <a:gd name="T11" fmla="*/ 0 h 281"/>
              <a:gd name="T12" fmla="*/ 210 w 210"/>
              <a:gd name="T13" fmla="*/ 71 h 281"/>
              <a:gd name="T14" fmla="*/ 210 w 210"/>
              <a:gd name="T15" fmla="*/ 211 h 281"/>
              <a:gd name="T16" fmla="*/ 140 w 210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1">
                <a:moveTo>
                  <a:pt x="140" y="281"/>
                </a:moveTo>
                <a:lnTo>
                  <a:pt x="70" y="281"/>
                </a:lnTo>
                <a:lnTo>
                  <a:pt x="0" y="211"/>
                </a:lnTo>
                <a:lnTo>
                  <a:pt x="0" y="71"/>
                </a:lnTo>
                <a:lnTo>
                  <a:pt x="70" y="0"/>
                </a:lnTo>
                <a:lnTo>
                  <a:pt x="140" y="0"/>
                </a:lnTo>
                <a:lnTo>
                  <a:pt x="210" y="71"/>
                </a:lnTo>
                <a:lnTo>
                  <a:pt x="210" y="211"/>
                </a:lnTo>
                <a:lnTo>
                  <a:pt x="140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Line 541">
            <a:extLst>
              <a:ext uri="{FF2B5EF4-FFF2-40B4-BE49-F238E27FC236}">
                <a16:creationId xmlns:a16="http://schemas.microsoft.com/office/drawing/2014/main" id="{A66C9328-892F-4A66-8ACF-19D7CC8E5022}"/>
              </a:ext>
            </a:extLst>
          </xdr:cNvPr>
          <xdr:cNvSpPr>
            <a:spLocks noChangeShapeType="1"/>
          </xdr:cNvSpPr>
        </xdr:nvSpPr>
        <xdr:spPr bwMode="auto">
          <a:xfrm>
            <a:off x="1211" y="252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542">
            <a:extLst>
              <a:ext uri="{FF2B5EF4-FFF2-40B4-BE49-F238E27FC236}">
                <a16:creationId xmlns:a16="http://schemas.microsoft.com/office/drawing/2014/main" id="{C041DBFB-1988-4E17-9406-CD92687CDC6A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252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Freeform 543">
            <a:extLst>
              <a:ext uri="{FF2B5EF4-FFF2-40B4-BE49-F238E27FC236}">
                <a16:creationId xmlns:a16="http://schemas.microsoft.com/office/drawing/2014/main" id="{B7A411E4-E514-406A-888D-6E56FA5F8943}"/>
              </a:ext>
            </a:extLst>
          </xdr:cNvPr>
          <xdr:cNvSpPr>
            <a:spLocks/>
          </xdr:cNvSpPr>
        </xdr:nvSpPr>
        <xdr:spPr bwMode="auto">
          <a:xfrm>
            <a:off x="1217" y="246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0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0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544">
            <a:extLst>
              <a:ext uri="{FF2B5EF4-FFF2-40B4-BE49-F238E27FC236}">
                <a16:creationId xmlns:a16="http://schemas.microsoft.com/office/drawing/2014/main" id="{45C36823-7B0E-405F-937F-BB39308E59C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246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Freeform 545">
            <a:extLst>
              <a:ext uri="{FF2B5EF4-FFF2-40B4-BE49-F238E27FC236}">
                <a16:creationId xmlns:a16="http://schemas.microsoft.com/office/drawing/2014/main" id="{CF3F1F96-ED0D-4ABE-9F28-B2768DE66F51}"/>
              </a:ext>
            </a:extLst>
          </xdr:cNvPr>
          <xdr:cNvSpPr>
            <a:spLocks/>
          </xdr:cNvSpPr>
        </xdr:nvSpPr>
        <xdr:spPr bwMode="auto">
          <a:xfrm>
            <a:off x="1231" y="246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0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0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7" name="Line 546">
            <a:extLst>
              <a:ext uri="{FF2B5EF4-FFF2-40B4-BE49-F238E27FC236}">
                <a16:creationId xmlns:a16="http://schemas.microsoft.com/office/drawing/2014/main" id="{0B87A1B0-1671-4D89-9D0F-07F2237EFFC0}"/>
              </a:ext>
            </a:extLst>
          </xdr:cNvPr>
          <xdr:cNvSpPr>
            <a:spLocks noChangeShapeType="1"/>
          </xdr:cNvSpPr>
        </xdr:nvSpPr>
        <xdr:spPr bwMode="auto">
          <a:xfrm>
            <a:off x="1239" y="248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547">
            <a:extLst>
              <a:ext uri="{FF2B5EF4-FFF2-40B4-BE49-F238E27FC236}">
                <a16:creationId xmlns:a16="http://schemas.microsoft.com/office/drawing/2014/main" id="{98E0B9AF-53ED-4BD8-8398-58C25380273E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250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554">
            <a:extLst>
              <a:ext uri="{FF2B5EF4-FFF2-40B4-BE49-F238E27FC236}">
                <a16:creationId xmlns:a16="http://schemas.microsoft.com/office/drawing/2014/main" id="{659B6251-E766-4263-B3FD-16AC42416424}"/>
              </a:ext>
            </a:extLst>
          </xdr:cNvPr>
          <xdr:cNvSpPr>
            <a:spLocks noChangeShapeType="1"/>
          </xdr:cNvSpPr>
        </xdr:nvSpPr>
        <xdr:spPr bwMode="auto">
          <a:xfrm>
            <a:off x="1192" y="238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555">
            <a:extLst>
              <a:ext uri="{FF2B5EF4-FFF2-40B4-BE49-F238E27FC236}">
                <a16:creationId xmlns:a16="http://schemas.microsoft.com/office/drawing/2014/main" id="{8EDF5E54-CB22-45E3-A6E9-9D699E4A1606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56">
            <a:extLst>
              <a:ext uri="{FF2B5EF4-FFF2-40B4-BE49-F238E27FC236}">
                <a16:creationId xmlns:a16="http://schemas.microsoft.com/office/drawing/2014/main" id="{918CC4BF-E222-47A4-85DD-8C281B3C3CB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9" y="226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57">
            <a:extLst>
              <a:ext uri="{FF2B5EF4-FFF2-40B4-BE49-F238E27FC236}">
                <a16:creationId xmlns:a16="http://schemas.microsoft.com/office/drawing/2014/main" id="{342D5639-76AF-4E9B-BD3D-7B11F97C47E3}"/>
              </a:ext>
            </a:extLst>
          </xdr:cNvPr>
          <xdr:cNvSpPr>
            <a:spLocks noChangeShapeType="1"/>
          </xdr:cNvSpPr>
        </xdr:nvSpPr>
        <xdr:spPr bwMode="auto">
          <a:xfrm>
            <a:off x="1209" y="211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558">
            <a:extLst>
              <a:ext uri="{FF2B5EF4-FFF2-40B4-BE49-F238E27FC236}">
                <a16:creationId xmlns:a16="http://schemas.microsoft.com/office/drawing/2014/main" id="{643F038A-69F5-4FE2-ACFE-87D0095CCE27}"/>
              </a:ext>
            </a:extLst>
          </xdr:cNvPr>
          <xdr:cNvSpPr>
            <a:spLocks/>
          </xdr:cNvSpPr>
        </xdr:nvSpPr>
        <xdr:spPr bwMode="auto">
          <a:xfrm>
            <a:off x="1208" y="229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4" name="Freeform 559">
            <a:extLst>
              <a:ext uri="{FF2B5EF4-FFF2-40B4-BE49-F238E27FC236}">
                <a16:creationId xmlns:a16="http://schemas.microsoft.com/office/drawing/2014/main" id="{206A3316-F57E-4651-BDE5-1A52D356BBA1}"/>
              </a:ext>
            </a:extLst>
          </xdr:cNvPr>
          <xdr:cNvSpPr>
            <a:spLocks/>
          </xdr:cNvSpPr>
        </xdr:nvSpPr>
        <xdr:spPr bwMode="auto">
          <a:xfrm>
            <a:off x="120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" name="Line 564">
            <a:extLst>
              <a:ext uri="{FF2B5EF4-FFF2-40B4-BE49-F238E27FC236}">
                <a16:creationId xmlns:a16="http://schemas.microsoft.com/office/drawing/2014/main" id="{48309912-B699-4748-973A-350EA9B0BB7D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38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65">
            <a:extLst>
              <a:ext uri="{FF2B5EF4-FFF2-40B4-BE49-F238E27FC236}">
                <a16:creationId xmlns:a16="http://schemas.microsoft.com/office/drawing/2014/main" id="{5C38EFDB-E963-4247-98BA-598FA8DFC38F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02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66">
            <a:extLst>
              <a:ext uri="{FF2B5EF4-FFF2-40B4-BE49-F238E27FC236}">
                <a16:creationId xmlns:a16="http://schemas.microsoft.com/office/drawing/2014/main" id="{45D457AA-B82B-44A0-BC18-BF00D3D7A52C}"/>
              </a:ext>
            </a:extLst>
          </xdr:cNvPr>
          <xdr:cNvSpPr>
            <a:spLocks noChangeShapeType="1"/>
          </xdr:cNvSpPr>
        </xdr:nvSpPr>
        <xdr:spPr bwMode="auto">
          <a:xfrm flipV="1">
            <a:off x="793" y="228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567">
            <a:extLst>
              <a:ext uri="{FF2B5EF4-FFF2-40B4-BE49-F238E27FC236}">
                <a16:creationId xmlns:a16="http://schemas.microsoft.com/office/drawing/2014/main" id="{A4BD9945-D382-49B6-9A68-A139B3B2EC3F}"/>
              </a:ext>
            </a:extLst>
          </xdr:cNvPr>
          <xdr:cNvSpPr>
            <a:spLocks noChangeShapeType="1"/>
          </xdr:cNvSpPr>
        </xdr:nvSpPr>
        <xdr:spPr bwMode="auto">
          <a:xfrm>
            <a:off x="793" y="211"/>
            <a:ext cx="0" cy="5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Freeform 568">
            <a:extLst>
              <a:ext uri="{FF2B5EF4-FFF2-40B4-BE49-F238E27FC236}">
                <a16:creationId xmlns:a16="http://schemas.microsoft.com/office/drawing/2014/main" id="{02F80DF5-A791-4ABC-82C4-6411361E042A}"/>
              </a:ext>
            </a:extLst>
          </xdr:cNvPr>
          <xdr:cNvSpPr>
            <a:spLocks/>
          </xdr:cNvSpPr>
        </xdr:nvSpPr>
        <xdr:spPr bwMode="auto">
          <a:xfrm>
            <a:off x="791" y="229"/>
            <a:ext cx="3" cy="9"/>
          </a:xfrm>
          <a:custGeom>
            <a:avLst/>
            <a:gdLst>
              <a:gd name="T0" fmla="*/ 0 w 176"/>
              <a:gd name="T1" fmla="*/ 0 h 527"/>
              <a:gd name="T2" fmla="*/ 176 w 176"/>
              <a:gd name="T3" fmla="*/ 0 h 527"/>
              <a:gd name="T4" fmla="*/ 89 w 176"/>
              <a:gd name="T5" fmla="*/ 527 h 527"/>
              <a:gd name="T6" fmla="*/ 0 w 176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0"/>
                </a:moveTo>
                <a:lnTo>
                  <a:pt x="176" y="0"/>
                </a:lnTo>
                <a:lnTo>
                  <a:pt x="89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0" name="Freeform 569">
            <a:extLst>
              <a:ext uri="{FF2B5EF4-FFF2-40B4-BE49-F238E27FC236}">
                <a16:creationId xmlns:a16="http://schemas.microsoft.com/office/drawing/2014/main" id="{E9B92B9D-B6B0-4A11-8E98-C86A2C46BD5C}"/>
              </a:ext>
            </a:extLst>
          </xdr:cNvPr>
          <xdr:cNvSpPr>
            <a:spLocks/>
          </xdr:cNvSpPr>
        </xdr:nvSpPr>
        <xdr:spPr bwMode="auto">
          <a:xfrm>
            <a:off x="791" y="202"/>
            <a:ext cx="3" cy="9"/>
          </a:xfrm>
          <a:custGeom>
            <a:avLst/>
            <a:gdLst>
              <a:gd name="T0" fmla="*/ 0 w 176"/>
              <a:gd name="T1" fmla="*/ 527 h 527"/>
              <a:gd name="T2" fmla="*/ 176 w 176"/>
              <a:gd name="T3" fmla="*/ 527 h 527"/>
              <a:gd name="T4" fmla="*/ 89 w 176"/>
              <a:gd name="T5" fmla="*/ 0 h 527"/>
              <a:gd name="T6" fmla="*/ 0 w 176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527"/>
                </a:moveTo>
                <a:lnTo>
                  <a:pt x="176" y="527"/>
                </a:lnTo>
                <a:lnTo>
                  <a:pt x="89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1" name="Freeform 570">
            <a:extLst>
              <a:ext uri="{FF2B5EF4-FFF2-40B4-BE49-F238E27FC236}">
                <a16:creationId xmlns:a16="http://schemas.microsoft.com/office/drawing/2014/main" id="{C7955C62-B548-4D3B-95F3-F9A8CDD273E4}"/>
              </a:ext>
            </a:extLst>
          </xdr:cNvPr>
          <xdr:cNvSpPr>
            <a:spLocks/>
          </xdr:cNvSpPr>
        </xdr:nvSpPr>
        <xdr:spPr bwMode="auto">
          <a:xfrm>
            <a:off x="760" y="221"/>
            <a:ext cx="4" cy="5"/>
          </a:xfrm>
          <a:custGeom>
            <a:avLst/>
            <a:gdLst>
              <a:gd name="T0" fmla="*/ 141 w 211"/>
              <a:gd name="T1" fmla="*/ 281 h 281"/>
              <a:gd name="T2" fmla="*/ 71 w 211"/>
              <a:gd name="T3" fmla="*/ 281 h 281"/>
              <a:gd name="T4" fmla="*/ 0 w 211"/>
              <a:gd name="T5" fmla="*/ 210 h 281"/>
              <a:gd name="T6" fmla="*/ 0 w 211"/>
              <a:gd name="T7" fmla="*/ 70 h 281"/>
              <a:gd name="T8" fmla="*/ 71 w 211"/>
              <a:gd name="T9" fmla="*/ 0 h 281"/>
              <a:gd name="T10" fmla="*/ 141 w 211"/>
              <a:gd name="T11" fmla="*/ 0 h 281"/>
              <a:gd name="T12" fmla="*/ 211 w 211"/>
              <a:gd name="T13" fmla="*/ 70 h 281"/>
              <a:gd name="T14" fmla="*/ 211 w 211"/>
              <a:gd name="T15" fmla="*/ 210 h 281"/>
              <a:gd name="T16" fmla="*/ 141 w 21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1" h="281">
                <a:moveTo>
                  <a:pt x="141" y="281"/>
                </a:moveTo>
                <a:lnTo>
                  <a:pt x="71" y="281"/>
                </a:lnTo>
                <a:lnTo>
                  <a:pt x="0" y="210"/>
                </a:lnTo>
                <a:lnTo>
                  <a:pt x="0" y="70"/>
                </a:lnTo>
                <a:lnTo>
                  <a:pt x="71" y="0"/>
                </a:lnTo>
                <a:lnTo>
                  <a:pt x="141" y="0"/>
                </a:lnTo>
                <a:lnTo>
                  <a:pt x="211" y="70"/>
                </a:lnTo>
                <a:lnTo>
                  <a:pt x="211" y="210"/>
                </a:lnTo>
                <a:lnTo>
                  <a:pt x="141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2" name="Line 571">
            <a:extLst>
              <a:ext uri="{FF2B5EF4-FFF2-40B4-BE49-F238E27FC236}">
                <a16:creationId xmlns:a16="http://schemas.microsoft.com/office/drawing/2014/main" id="{593E791A-4984-4494-A0BE-E67522B07F90}"/>
              </a:ext>
            </a:extLst>
          </xdr:cNvPr>
          <xdr:cNvSpPr>
            <a:spLocks noChangeShapeType="1"/>
          </xdr:cNvSpPr>
        </xdr:nvSpPr>
        <xdr:spPr bwMode="auto">
          <a:xfrm>
            <a:off x="764" y="224"/>
            <a:ext cx="1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572">
            <a:extLst>
              <a:ext uri="{FF2B5EF4-FFF2-40B4-BE49-F238E27FC236}">
                <a16:creationId xmlns:a16="http://schemas.microsoft.com/office/drawing/2014/main" id="{C60A780D-1885-492D-AFF8-749C8006CA83}"/>
              </a:ext>
            </a:extLst>
          </xdr:cNvPr>
          <xdr:cNvSpPr>
            <a:spLocks noChangeShapeType="1"/>
          </xdr:cNvSpPr>
        </xdr:nvSpPr>
        <xdr:spPr bwMode="auto">
          <a:xfrm flipV="1">
            <a:off x="768" y="224"/>
            <a:ext cx="0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573">
            <a:extLst>
              <a:ext uri="{FF2B5EF4-FFF2-40B4-BE49-F238E27FC236}">
                <a16:creationId xmlns:a16="http://schemas.microsoft.com/office/drawing/2014/main" id="{7D2940F7-CED7-41F4-9A71-4AB96BD9AEA1}"/>
              </a:ext>
            </a:extLst>
          </xdr:cNvPr>
          <xdr:cNvSpPr>
            <a:spLocks noChangeShapeType="1"/>
          </xdr:cNvSpPr>
        </xdr:nvSpPr>
        <xdr:spPr bwMode="auto">
          <a:xfrm flipV="1">
            <a:off x="770" y="219"/>
            <a:ext cx="0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Freeform 574">
            <a:extLst>
              <a:ext uri="{FF2B5EF4-FFF2-40B4-BE49-F238E27FC236}">
                <a16:creationId xmlns:a16="http://schemas.microsoft.com/office/drawing/2014/main" id="{ED72153C-66C2-422D-A69D-D67AC9C8F83E}"/>
              </a:ext>
            </a:extLst>
          </xdr:cNvPr>
          <xdr:cNvSpPr>
            <a:spLocks/>
          </xdr:cNvSpPr>
        </xdr:nvSpPr>
        <xdr:spPr bwMode="auto">
          <a:xfrm>
            <a:off x="770" y="221"/>
            <a:ext cx="5" cy="5"/>
          </a:xfrm>
          <a:custGeom>
            <a:avLst/>
            <a:gdLst>
              <a:gd name="T0" fmla="*/ 0 w 281"/>
              <a:gd name="T1" fmla="*/ 140 h 281"/>
              <a:gd name="T2" fmla="*/ 140 w 281"/>
              <a:gd name="T3" fmla="*/ 0 h 281"/>
              <a:gd name="T4" fmla="*/ 210 w 281"/>
              <a:gd name="T5" fmla="*/ 0 h 281"/>
              <a:gd name="T6" fmla="*/ 281 w 281"/>
              <a:gd name="T7" fmla="*/ 70 h 281"/>
              <a:gd name="T8" fmla="*/ 281 w 281"/>
              <a:gd name="T9" fmla="*/ 210 h 281"/>
              <a:gd name="T10" fmla="*/ 210 w 281"/>
              <a:gd name="T11" fmla="*/ 281 h 281"/>
              <a:gd name="T12" fmla="*/ 140 w 281"/>
              <a:gd name="T13" fmla="*/ 281 h 281"/>
              <a:gd name="T14" fmla="*/ 0 w 281"/>
              <a:gd name="T15" fmla="*/ 140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1"/>
                </a:lnTo>
                <a:lnTo>
                  <a:pt x="140" y="281"/>
                </a:lnTo>
                <a:lnTo>
                  <a:pt x="0" y="14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Line 575">
            <a:extLst>
              <a:ext uri="{FF2B5EF4-FFF2-40B4-BE49-F238E27FC236}">
                <a16:creationId xmlns:a16="http://schemas.microsoft.com/office/drawing/2014/main" id="{C9BACBBE-DFA5-4590-BD51-F06E29D871B0}"/>
              </a:ext>
            </a:extLst>
          </xdr:cNvPr>
          <xdr:cNvSpPr>
            <a:spLocks noChangeShapeType="1"/>
          </xdr:cNvSpPr>
        </xdr:nvSpPr>
        <xdr:spPr bwMode="auto">
          <a:xfrm flipV="1">
            <a:off x="777" y="219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Freeform 576">
            <a:extLst>
              <a:ext uri="{FF2B5EF4-FFF2-40B4-BE49-F238E27FC236}">
                <a16:creationId xmlns:a16="http://schemas.microsoft.com/office/drawing/2014/main" id="{32AA357A-B1D1-4E5F-9B17-C94F95DFAD5E}"/>
              </a:ext>
            </a:extLst>
          </xdr:cNvPr>
          <xdr:cNvSpPr>
            <a:spLocks/>
          </xdr:cNvSpPr>
        </xdr:nvSpPr>
        <xdr:spPr bwMode="auto">
          <a:xfrm>
            <a:off x="784" y="219"/>
            <a:ext cx="5" cy="7"/>
          </a:xfrm>
          <a:custGeom>
            <a:avLst/>
            <a:gdLst>
              <a:gd name="T0" fmla="*/ 0 w 280"/>
              <a:gd name="T1" fmla="*/ 71 h 422"/>
              <a:gd name="T2" fmla="*/ 70 w 280"/>
              <a:gd name="T3" fmla="*/ 0 h 422"/>
              <a:gd name="T4" fmla="*/ 210 w 280"/>
              <a:gd name="T5" fmla="*/ 0 h 422"/>
              <a:gd name="T6" fmla="*/ 280 w 280"/>
              <a:gd name="T7" fmla="*/ 71 h 422"/>
              <a:gd name="T8" fmla="*/ 280 w 280"/>
              <a:gd name="T9" fmla="*/ 141 h 422"/>
              <a:gd name="T10" fmla="*/ 210 w 280"/>
              <a:gd name="T11" fmla="*/ 211 h 422"/>
              <a:gd name="T12" fmla="*/ 70 w 280"/>
              <a:gd name="T13" fmla="*/ 211 h 422"/>
              <a:gd name="T14" fmla="*/ 0 w 280"/>
              <a:gd name="T15" fmla="*/ 281 h 422"/>
              <a:gd name="T16" fmla="*/ 0 w 280"/>
              <a:gd name="T17" fmla="*/ 422 h 422"/>
              <a:gd name="T18" fmla="*/ 280 w 280"/>
              <a:gd name="T19" fmla="*/ 42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0" h="422">
                <a:moveTo>
                  <a:pt x="0" y="71"/>
                </a:move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141"/>
                </a:lnTo>
                <a:lnTo>
                  <a:pt x="210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2"/>
                </a:lnTo>
                <a:lnTo>
                  <a:pt x="280" y="422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Line 577">
            <a:extLst>
              <a:ext uri="{FF2B5EF4-FFF2-40B4-BE49-F238E27FC236}">
                <a16:creationId xmlns:a16="http://schemas.microsoft.com/office/drawing/2014/main" id="{97C426C8-F489-45CE-A765-E95614D5EB99}"/>
              </a:ext>
            </a:extLst>
          </xdr:cNvPr>
          <xdr:cNvSpPr>
            <a:spLocks noChangeShapeType="1"/>
          </xdr:cNvSpPr>
        </xdr:nvSpPr>
        <xdr:spPr bwMode="auto">
          <a:xfrm>
            <a:off x="791" y="221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578">
            <a:extLst>
              <a:ext uri="{FF2B5EF4-FFF2-40B4-BE49-F238E27FC236}">
                <a16:creationId xmlns:a16="http://schemas.microsoft.com/office/drawing/2014/main" id="{FDB8E584-17B1-4EC2-8F63-267B6CA9E13E}"/>
              </a:ext>
            </a:extLst>
          </xdr:cNvPr>
          <xdr:cNvSpPr>
            <a:spLocks noChangeShapeType="1"/>
          </xdr:cNvSpPr>
        </xdr:nvSpPr>
        <xdr:spPr bwMode="auto">
          <a:xfrm flipH="1">
            <a:off x="791" y="223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Freeform 586">
            <a:extLst>
              <a:ext uri="{FF2B5EF4-FFF2-40B4-BE49-F238E27FC236}">
                <a16:creationId xmlns:a16="http://schemas.microsoft.com/office/drawing/2014/main" id="{F0F2B11F-9283-48B1-A495-F9322120E3B3}"/>
              </a:ext>
            </a:extLst>
          </xdr:cNvPr>
          <xdr:cNvSpPr>
            <a:spLocks/>
          </xdr:cNvSpPr>
        </xdr:nvSpPr>
        <xdr:spPr bwMode="auto">
          <a:xfrm>
            <a:off x="1201" y="96"/>
            <a:ext cx="4" cy="4"/>
          </a:xfrm>
          <a:custGeom>
            <a:avLst/>
            <a:gdLst>
              <a:gd name="T0" fmla="*/ 0 w 282"/>
              <a:gd name="T1" fmla="*/ 210 h 210"/>
              <a:gd name="T2" fmla="*/ 212 w 282"/>
              <a:gd name="T3" fmla="*/ 210 h 210"/>
              <a:gd name="T4" fmla="*/ 282 w 282"/>
              <a:gd name="T5" fmla="*/ 140 h 210"/>
              <a:gd name="T6" fmla="*/ 282 w 282"/>
              <a:gd name="T7" fmla="*/ 70 h 210"/>
              <a:gd name="T8" fmla="*/ 212 w 282"/>
              <a:gd name="T9" fmla="*/ 0 h 210"/>
              <a:gd name="T10" fmla="*/ 70 w 282"/>
              <a:gd name="T11" fmla="*/ 0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2" h="210">
                <a:moveTo>
                  <a:pt x="0" y="210"/>
                </a:moveTo>
                <a:lnTo>
                  <a:pt x="212" y="210"/>
                </a:lnTo>
                <a:lnTo>
                  <a:pt x="282" y="140"/>
                </a:lnTo>
                <a:lnTo>
                  <a:pt x="282" y="70"/>
                </a:lnTo>
                <a:lnTo>
                  <a:pt x="212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Freeform 587">
            <a:extLst>
              <a:ext uri="{FF2B5EF4-FFF2-40B4-BE49-F238E27FC236}">
                <a16:creationId xmlns:a16="http://schemas.microsoft.com/office/drawing/2014/main" id="{BEBB195E-6748-4014-8B00-83039CCCA5BE}"/>
              </a:ext>
            </a:extLst>
          </xdr:cNvPr>
          <xdr:cNvSpPr>
            <a:spLocks/>
          </xdr:cNvSpPr>
        </xdr:nvSpPr>
        <xdr:spPr bwMode="auto">
          <a:xfrm>
            <a:off x="1201" y="93"/>
            <a:ext cx="4" cy="3"/>
          </a:xfrm>
          <a:custGeom>
            <a:avLst/>
            <a:gdLst>
              <a:gd name="T0" fmla="*/ 212 w 282"/>
              <a:gd name="T1" fmla="*/ 211 h 211"/>
              <a:gd name="T2" fmla="*/ 282 w 282"/>
              <a:gd name="T3" fmla="*/ 141 h 211"/>
              <a:gd name="T4" fmla="*/ 282 w 282"/>
              <a:gd name="T5" fmla="*/ 70 h 211"/>
              <a:gd name="T6" fmla="*/ 212 w 282"/>
              <a:gd name="T7" fmla="*/ 0 h 211"/>
              <a:gd name="T8" fmla="*/ 0 w 282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2" h="211">
                <a:moveTo>
                  <a:pt x="212" y="211"/>
                </a:moveTo>
                <a:lnTo>
                  <a:pt x="282" y="141"/>
                </a:lnTo>
                <a:lnTo>
                  <a:pt x="282" y="70"/>
                </a:lnTo>
                <a:lnTo>
                  <a:pt x="212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Line 588">
            <a:extLst>
              <a:ext uri="{FF2B5EF4-FFF2-40B4-BE49-F238E27FC236}">
                <a16:creationId xmlns:a16="http://schemas.microsoft.com/office/drawing/2014/main" id="{E9899257-8C9C-4B21-9F58-C557BED2DF5A}"/>
              </a:ext>
            </a:extLst>
          </xdr:cNvPr>
          <xdr:cNvSpPr>
            <a:spLocks noChangeShapeType="1"/>
          </xdr:cNvSpPr>
        </xdr:nvSpPr>
        <xdr:spPr bwMode="auto">
          <a:xfrm>
            <a:off x="1202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Freeform 589">
            <a:extLst>
              <a:ext uri="{FF2B5EF4-FFF2-40B4-BE49-F238E27FC236}">
                <a16:creationId xmlns:a16="http://schemas.microsoft.com/office/drawing/2014/main" id="{D6A9D48D-A646-4EE1-9EC4-513D6ED45746}"/>
              </a:ext>
            </a:extLst>
          </xdr:cNvPr>
          <xdr:cNvSpPr>
            <a:spLocks/>
          </xdr:cNvSpPr>
        </xdr:nvSpPr>
        <xdr:spPr bwMode="auto">
          <a:xfrm>
            <a:off x="1208" y="95"/>
            <a:ext cx="5" cy="5"/>
          </a:xfrm>
          <a:custGeom>
            <a:avLst/>
            <a:gdLst>
              <a:gd name="T0" fmla="*/ 210 w 281"/>
              <a:gd name="T1" fmla="*/ 280 h 280"/>
              <a:gd name="T2" fmla="*/ 70 w 281"/>
              <a:gd name="T3" fmla="*/ 280 h 280"/>
              <a:gd name="T4" fmla="*/ 0 w 281"/>
              <a:gd name="T5" fmla="*/ 210 h 280"/>
              <a:gd name="T6" fmla="*/ 0 w 281"/>
              <a:gd name="T7" fmla="*/ 70 h 280"/>
              <a:gd name="T8" fmla="*/ 70 w 281"/>
              <a:gd name="T9" fmla="*/ 0 h 280"/>
              <a:gd name="T10" fmla="*/ 210 w 281"/>
              <a:gd name="T11" fmla="*/ 0 h 280"/>
              <a:gd name="T12" fmla="*/ 281 w 281"/>
              <a:gd name="T13" fmla="*/ 70 h 280"/>
              <a:gd name="T14" fmla="*/ 281 w 281"/>
              <a:gd name="T15" fmla="*/ 210 h 280"/>
              <a:gd name="T16" fmla="*/ 210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Line 590">
            <a:extLst>
              <a:ext uri="{FF2B5EF4-FFF2-40B4-BE49-F238E27FC236}">
                <a16:creationId xmlns:a16="http://schemas.microsoft.com/office/drawing/2014/main" id="{3DBAB822-2F88-44BA-BBD0-DED569EFF1F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Freeform 591">
            <a:extLst>
              <a:ext uri="{FF2B5EF4-FFF2-40B4-BE49-F238E27FC236}">
                <a16:creationId xmlns:a16="http://schemas.microsoft.com/office/drawing/2014/main" id="{06FE0382-2811-4A11-965F-229DE8F11581}"/>
              </a:ext>
            </a:extLst>
          </xdr:cNvPr>
          <xdr:cNvSpPr>
            <a:spLocks/>
          </xdr:cNvSpPr>
        </xdr:nvSpPr>
        <xdr:spPr bwMode="auto">
          <a:xfrm>
            <a:off x="1215" y="95"/>
            <a:ext cx="5" cy="3"/>
          </a:xfrm>
          <a:custGeom>
            <a:avLst/>
            <a:gdLst>
              <a:gd name="T0" fmla="*/ 0 w 281"/>
              <a:gd name="T1" fmla="*/ 140 h 140"/>
              <a:gd name="T2" fmla="*/ 140 w 281"/>
              <a:gd name="T3" fmla="*/ 0 h 140"/>
              <a:gd name="T4" fmla="*/ 210 w 281"/>
              <a:gd name="T5" fmla="*/ 0 h 140"/>
              <a:gd name="T6" fmla="*/ 281 w 281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1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6" name="Freeform 592">
            <a:extLst>
              <a:ext uri="{FF2B5EF4-FFF2-40B4-BE49-F238E27FC236}">
                <a16:creationId xmlns:a16="http://schemas.microsoft.com/office/drawing/2014/main" id="{DDFD0747-39EF-4BF5-A118-1CA04F7B5414}"/>
              </a:ext>
            </a:extLst>
          </xdr:cNvPr>
          <xdr:cNvSpPr>
            <a:spLocks/>
          </xdr:cNvSpPr>
        </xdr:nvSpPr>
        <xdr:spPr bwMode="auto">
          <a:xfrm>
            <a:off x="1222" y="95"/>
            <a:ext cx="5" cy="5"/>
          </a:xfrm>
          <a:custGeom>
            <a:avLst/>
            <a:gdLst>
              <a:gd name="T0" fmla="*/ 280 w 280"/>
              <a:gd name="T1" fmla="*/ 140 h 280"/>
              <a:gd name="T2" fmla="*/ 140 w 280"/>
              <a:gd name="T3" fmla="*/ 280 h 280"/>
              <a:gd name="T4" fmla="*/ 70 w 280"/>
              <a:gd name="T5" fmla="*/ 280 h 280"/>
              <a:gd name="T6" fmla="*/ 0 w 280"/>
              <a:gd name="T7" fmla="*/ 210 h 280"/>
              <a:gd name="T8" fmla="*/ 0 w 280"/>
              <a:gd name="T9" fmla="*/ 70 h 280"/>
              <a:gd name="T10" fmla="*/ 70 w 280"/>
              <a:gd name="T11" fmla="*/ 0 h 280"/>
              <a:gd name="T12" fmla="*/ 140 w 280"/>
              <a:gd name="T13" fmla="*/ 0 h 280"/>
              <a:gd name="T14" fmla="*/ 280 w 280"/>
              <a:gd name="T15" fmla="*/ 14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0" h="280">
                <a:moveTo>
                  <a:pt x="280" y="140"/>
                </a:moveTo>
                <a:lnTo>
                  <a:pt x="140" y="280"/>
                </a:ln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80" y="14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593">
            <a:extLst>
              <a:ext uri="{FF2B5EF4-FFF2-40B4-BE49-F238E27FC236}">
                <a16:creationId xmlns:a16="http://schemas.microsoft.com/office/drawing/2014/main" id="{7A893819-4C51-4635-A293-681AB18FA874}"/>
              </a:ext>
            </a:extLst>
          </xdr:cNvPr>
          <xdr:cNvSpPr>
            <a:spLocks noChangeShapeType="1"/>
          </xdr:cNvSpPr>
        </xdr:nvSpPr>
        <xdr:spPr bwMode="auto">
          <a:xfrm>
            <a:off x="1227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Freeform 594">
            <a:extLst>
              <a:ext uri="{FF2B5EF4-FFF2-40B4-BE49-F238E27FC236}">
                <a16:creationId xmlns:a16="http://schemas.microsoft.com/office/drawing/2014/main" id="{071BAD26-E3B2-4BA8-9D91-8851AAE42B71}"/>
              </a:ext>
            </a:extLst>
          </xdr:cNvPr>
          <xdr:cNvSpPr>
            <a:spLocks/>
          </xdr:cNvSpPr>
        </xdr:nvSpPr>
        <xdr:spPr bwMode="auto">
          <a:xfrm>
            <a:off x="1229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" name="Freeform 595">
            <a:extLst>
              <a:ext uri="{FF2B5EF4-FFF2-40B4-BE49-F238E27FC236}">
                <a16:creationId xmlns:a16="http://schemas.microsoft.com/office/drawing/2014/main" id="{B273F88E-5245-4EA9-B0DC-CB99E6CAC4C1}"/>
              </a:ext>
            </a:extLst>
          </xdr:cNvPr>
          <xdr:cNvSpPr>
            <a:spLocks/>
          </xdr:cNvSpPr>
        </xdr:nvSpPr>
        <xdr:spPr bwMode="auto">
          <a:xfrm>
            <a:off x="1244" y="95"/>
            <a:ext cx="4" cy="5"/>
          </a:xfrm>
          <a:custGeom>
            <a:avLst/>
            <a:gdLst>
              <a:gd name="T0" fmla="*/ 0 w 281"/>
              <a:gd name="T1" fmla="*/ 140 h 280"/>
              <a:gd name="T2" fmla="*/ 211 w 281"/>
              <a:gd name="T3" fmla="*/ 140 h 280"/>
              <a:gd name="T4" fmla="*/ 281 w 281"/>
              <a:gd name="T5" fmla="*/ 70 h 280"/>
              <a:gd name="T6" fmla="*/ 211 w 281"/>
              <a:gd name="T7" fmla="*/ 0 h 280"/>
              <a:gd name="T8" fmla="*/ 70 w 281"/>
              <a:gd name="T9" fmla="*/ 0 h 280"/>
              <a:gd name="T10" fmla="*/ 0 w 281"/>
              <a:gd name="T11" fmla="*/ 70 h 280"/>
              <a:gd name="T12" fmla="*/ 0 w 281"/>
              <a:gd name="T13" fmla="*/ 210 h 280"/>
              <a:gd name="T14" fmla="*/ 70 w 281"/>
              <a:gd name="T15" fmla="*/ 280 h 280"/>
              <a:gd name="T16" fmla="*/ 211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0" y="140"/>
                </a:moveTo>
                <a:lnTo>
                  <a:pt x="211" y="140"/>
                </a:lnTo>
                <a:lnTo>
                  <a:pt x="281" y="70"/>
                </a:lnTo>
                <a:lnTo>
                  <a:pt x="211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1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0" name="Line 596">
            <a:extLst>
              <a:ext uri="{FF2B5EF4-FFF2-40B4-BE49-F238E27FC236}">
                <a16:creationId xmlns:a16="http://schemas.microsoft.com/office/drawing/2014/main" id="{F93BBAB4-F4E6-45B1-BA4C-12AD9458539B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597">
            <a:extLst>
              <a:ext uri="{FF2B5EF4-FFF2-40B4-BE49-F238E27FC236}">
                <a16:creationId xmlns:a16="http://schemas.microsoft.com/office/drawing/2014/main" id="{581A77F7-A4DF-4C8D-AAC7-F45690331F98}"/>
              </a:ext>
            </a:extLst>
          </xdr:cNvPr>
          <xdr:cNvSpPr>
            <a:spLocks noChangeShapeType="1"/>
          </xdr:cNvSpPr>
        </xdr:nvSpPr>
        <xdr:spPr bwMode="auto">
          <a:xfrm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598">
            <a:extLst>
              <a:ext uri="{FF2B5EF4-FFF2-40B4-BE49-F238E27FC236}">
                <a16:creationId xmlns:a16="http://schemas.microsoft.com/office/drawing/2014/main" id="{ED236902-CCEE-4C0A-86A7-0E8DD54A53D7}"/>
              </a:ext>
            </a:extLst>
          </xdr:cNvPr>
          <xdr:cNvSpPr>
            <a:spLocks noChangeShapeType="1"/>
          </xdr:cNvSpPr>
        </xdr:nvSpPr>
        <xdr:spPr bwMode="auto">
          <a:xfrm>
            <a:off x="1258" y="95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Freeform 599">
            <a:extLst>
              <a:ext uri="{FF2B5EF4-FFF2-40B4-BE49-F238E27FC236}">
                <a16:creationId xmlns:a16="http://schemas.microsoft.com/office/drawing/2014/main" id="{5A397FFC-8A2B-4DC5-8A29-D64F204BABEA}"/>
              </a:ext>
            </a:extLst>
          </xdr:cNvPr>
          <xdr:cNvSpPr>
            <a:spLocks/>
          </xdr:cNvSpPr>
        </xdr:nvSpPr>
        <xdr:spPr bwMode="auto">
          <a:xfrm>
            <a:off x="1260" y="93"/>
            <a:ext cx="3" cy="7"/>
          </a:xfrm>
          <a:custGeom>
            <a:avLst/>
            <a:gdLst>
              <a:gd name="T0" fmla="*/ 0 w 141"/>
              <a:gd name="T1" fmla="*/ 0 h 421"/>
              <a:gd name="T2" fmla="*/ 0 w 141"/>
              <a:gd name="T3" fmla="*/ 351 h 421"/>
              <a:gd name="T4" fmla="*/ 70 w 141"/>
              <a:gd name="T5" fmla="*/ 421 h 421"/>
              <a:gd name="T6" fmla="*/ 141 w 141"/>
              <a:gd name="T7" fmla="*/ 35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1">
                <a:moveTo>
                  <a:pt x="0" y="0"/>
                </a:moveTo>
                <a:lnTo>
                  <a:pt x="0" y="351"/>
                </a:lnTo>
                <a:lnTo>
                  <a:pt x="70" y="421"/>
                </a:lnTo>
                <a:lnTo>
                  <a:pt x="141" y="35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4" name="Freeform 600">
            <a:extLst>
              <a:ext uri="{FF2B5EF4-FFF2-40B4-BE49-F238E27FC236}">
                <a16:creationId xmlns:a16="http://schemas.microsoft.com/office/drawing/2014/main" id="{012AD263-64F5-427B-BB43-DC589DB8B277}"/>
              </a:ext>
            </a:extLst>
          </xdr:cNvPr>
          <xdr:cNvSpPr>
            <a:spLocks/>
          </xdr:cNvSpPr>
        </xdr:nvSpPr>
        <xdr:spPr bwMode="auto">
          <a:xfrm>
            <a:off x="1265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" name="Line 601">
            <a:extLst>
              <a:ext uri="{FF2B5EF4-FFF2-40B4-BE49-F238E27FC236}">
                <a16:creationId xmlns:a16="http://schemas.microsoft.com/office/drawing/2014/main" id="{F1C8F5EA-307D-4A6C-B560-BE9F508233C4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2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Freeform 602">
            <a:extLst>
              <a:ext uri="{FF2B5EF4-FFF2-40B4-BE49-F238E27FC236}">
                <a16:creationId xmlns:a16="http://schemas.microsoft.com/office/drawing/2014/main" id="{14EE4366-1B94-4525-B329-CE313090882E}"/>
              </a:ext>
            </a:extLst>
          </xdr:cNvPr>
          <xdr:cNvSpPr>
            <a:spLocks/>
          </xdr:cNvSpPr>
        </xdr:nvSpPr>
        <xdr:spPr bwMode="auto">
          <a:xfrm>
            <a:off x="1272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" name="Line 603">
            <a:extLst>
              <a:ext uri="{FF2B5EF4-FFF2-40B4-BE49-F238E27FC236}">
                <a16:creationId xmlns:a16="http://schemas.microsoft.com/office/drawing/2014/main" id="{2D78D562-3608-46F4-9A0C-C8D47B05B53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604">
            <a:extLst>
              <a:ext uri="{FF2B5EF4-FFF2-40B4-BE49-F238E27FC236}">
                <a16:creationId xmlns:a16="http://schemas.microsoft.com/office/drawing/2014/main" id="{6AAA47AD-D81C-4DB9-8F5F-7E5FC3CBEA6C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Freeform 605">
            <a:extLst>
              <a:ext uri="{FF2B5EF4-FFF2-40B4-BE49-F238E27FC236}">
                <a16:creationId xmlns:a16="http://schemas.microsoft.com/office/drawing/2014/main" id="{2A802972-00B2-4769-BC75-6E7790130B41}"/>
              </a:ext>
            </a:extLst>
          </xdr:cNvPr>
          <xdr:cNvSpPr>
            <a:spLocks/>
          </xdr:cNvSpPr>
        </xdr:nvSpPr>
        <xdr:spPr bwMode="auto">
          <a:xfrm>
            <a:off x="1282" y="95"/>
            <a:ext cx="4" cy="5"/>
          </a:xfrm>
          <a:custGeom>
            <a:avLst/>
            <a:gdLst>
              <a:gd name="T0" fmla="*/ 210 w 280"/>
              <a:gd name="T1" fmla="*/ 280 h 280"/>
              <a:gd name="T2" fmla="*/ 70 w 280"/>
              <a:gd name="T3" fmla="*/ 280 h 280"/>
              <a:gd name="T4" fmla="*/ 0 w 280"/>
              <a:gd name="T5" fmla="*/ 210 h 280"/>
              <a:gd name="T6" fmla="*/ 0 w 280"/>
              <a:gd name="T7" fmla="*/ 70 h 280"/>
              <a:gd name="T8" fmla="*/ 70 w 280"/>
              <a:gd name="T9" fmla="*/ 0 h 280"/>
              <a:gd name="T10" fmla="*/ 210 w 280"/>
              <a:gd name="T11" fmla="*/ 0 h 280"/>
              <a:gd name="T12" fmla="*/ 280 w 280"/>
              <a:gd name="T13" fmla="*/ 70 h 280"/>
              <a:gd name="T14" fmla="*/ 280 w 280"/>
              <a:gd name="T15" fmla="*/ 21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0" y="70"/>
                </a:lnTo>
                <a:lnTo>
                  <a:pt x="280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" name="Line 606">
            <a:extLst>
              <a:ext uri="{FF2B5EF4-FFF2-40B4-BE49-F238E27FC236}">
                <a16:creationId xmlns:a16="http://schemas.microsoft.com/office/drawing/2014/main" id="{C2248F48-FE62-4E47-9154-4ECF16867BA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Freeform 607">
            <a:extLst>
              <a:ext uri="{FF2B5EF4-FFF2-40B4-BE49-F238E27FC236}">
                <a16:creationId xmlns:a16="http://schemas.microsoft.com/office/drawing/2014/main" id="{58F56EC5-8064-4862-9712-29C93BA4355F}"/>
              </a:ext>
            </a:extLst>
          </xdr:cNvPr>
          <xdr:cNvSpPr>
            <a:spLocks/>
          </xdr:cNvSpPr>
        </xdr:nvSpPr>
        <xdr:spPr bwMode="auto">
          <a:xfrm>
            <a:off x="1289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" name="Freeform 608">
            <a:extLst>
              <a:ext uri="{FF2B5EF4-FFF2-40B4-BE49-F238E27FC236}">
                <a16:creationId xmlns:a16="http://schemas.microsoft.com/office/drawing/2014/main" id="{1C3D515B-29E9-43D2-875A-9D8C5DA52050}"/>
              </a:ext>
            </a:extLst>
          </xdr:cNvPr>
          <xdr:cNvSpPr>
            <a:spLocks/>
          </xdr:cNvSpPr>
        </xdr:nvSpPr>
        <xdr:spPr bwMode="auto">
          <a:xfrm>
            <a:off x="1206" y="307"/>
            <a:ext cx="5" cy="3"/>
          </a:xfrm>
          <a:custGeom>
            <a:avLst/>
            <a:gdLst>
              <a:gd name="T0" fmla="*/ 0 w 280"/>
              <a:gd name="T1" fmla="*/ 211 h 211"/>
              <a:gd name="T2" fmla="*/ 210 w 280"/>
              <a:gd name="T3" fmla="*/ 211 h 211"/>
              <a:gd name="T4" fmla="*/ 280 w 280"/>
              <a:gd name="T5" fmla="*/ 141 h 211"/>
              <a:gd name="T6" fmla="*/ 280 w 280"/>
              <a:gd name="T7" fmla="*/ 70 h 211"/>
              <a:gd name="T8" fmla="*/ 210 w 280"/>
              <a:gd name="T9" fmla="*/ 0 h 211"/>
              <a:gd name="T10" fmla="*/ 70 w 280"/>
              <a:gd name="T11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0" h="211">
                <a:moveTo>
                  <a:pt x="0" y="211"/>
                </a:moveTo>
                <a:lnTo>
                  <a:pt x="210" y="211"/>
                </a:lnTo>
                <a:lnTo>
                  <a:pt x="280" y="141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" name="Freeform 609">
            <a:extLst>
              <a:ext uri="{FF2B5EF4-FFF2-40B4-BE49-F238E27FC236}">
                <a16:creationId xmlns:a16="http://schemas.microsoft.com/office/drawing/2014/main" id="{E84769AA-A84C-4F44-9854-A4F7A57E3655}"/>
              </a:ext>
            </a:extLst>
          </xdr:cNvPr>
          <xdr:cNvSpPr>
            <a:spLocks/>
          </xdr:cNvSpPr>
        </xdr:nvSpPr>
        <xdr:spPr bwMode="auto">
          <a:xfrm>
            <a:off x="1206" y="303"/>
            <a:ext cx="5" cy="4"/>
          </a:xfrm>
          <a:custGeom>
            <a:avLst/>
            <a:gdLst>
              <a:gd name="T0" fmla="*/ 210 w 280"/>
              <a:gd name="T1" fmla="*/ 211 h 211"/>
              <a:gd name="T2" fmla="*/ 280 w 280"/>
              <a:gd name="T3" fmla="*/ 140 h 211"/>
              <a:gd name="T4" fmla="*/ 280 w 280"/>
              <a:gd name="T5" fmla="*/ 70 h 211"/>
              <a:gd name="T6" fmla="*/ 210 w 280"/>
              <a:gd name="T7" fmla="*/ 0 h 211"/>
              <a:gd name="T8" fmla="*/ 0 w 280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0" h="211">
                <a:moveTo>
                  <a:pt x="210" y="211"/>
                </a:moveTo>
                <a:lnTo>
                  <a:pt x="280" y="140"/>
                </a:lnTo>
                <a:lnTo>
                  <a:pt x="280" y="70"/>
                </a:lnTo>
                <a:lnTo>
                  <a:pt x="210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" name="Line 610">
            <a:extLst>
              <a:ext uri="{FF2B5EF4-FFF2-40B4-BE49-F238E27FC236}">
                <a16:creationId xmlns:a16="http://schemas.microsoft.com/office/drawing/2014/main" id="{A52B4F49-2E69-4DB8-8380-8D398E984E80}"/>
              </a:ext>
            </a:extLst>
          </xdr:cNvPr>
          <xdr:cNvSpPr>
            <a:spLocks noChangeShapeType="1"/>
          </xdr:cNvSpPr>
        </xdr:nvSpPr>
        <xdr:spPr bwMode="auto">
          <a:xfrm>
            <a:off x="1208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Freeform 611">
            <a:extLst>
              <a:ext uri="{FF2B5EF4-FFF2-40B4-BE49-F238E27FC236}">
                <a16:creationId xmlns:a16="http://schemas.microsoft.com/office/drawing/2014/main" id="{4199207D-51B3-4887-815A-47D8341BFDBE}"/>
              </a:ext>
            </a:extLst>
          </xdr:cNvPr>
          <xdr:cNvSpPr>
            <a:spLocks/>
          </xdr:cNvSpPr>
        </xdr:nvSpPr>
        <xdr:spPr bwMode="auto">
          <a:xfrm>
            <a:off x="1213" y="305"/>
            <a:ext cx="5" cy="5"/>
          </a:xfrm>
          <a:custGeom>
            <a:avLst/>
            <a:gdLst>
              <a:gd name="T0" fmla="*/ 210 w 280"/>
              <a:gd name="T1" fmla="*/ 282 h 282"/>
              <a:gd name="T2" fmla="*/ 70 w 280"/>
              <a:gd name="T3" fmla="*/ 282 h 282"/>
              <a:gd name="T4" fmla="*/ 0 w 280"/>
              <a:gd name="T5" fmla="*/ 212 h 282"/>
              <a:gd name="T6" fmla="*/ 0 w 280"/>
              <a:gd name="T7" fmla="*/ 71 h 282"/>
              <a:gd name="T8" fmla="*/ 70 w 280"/>
              <a:gd name="T9" fmla="*/ 0 h 282"/>
              <a:gd name="T10" fmla="*/ 210 w 280"/>
              <a:gd name="T11" fmla="*/ 0 h 282"/>
              <a:gd name="T12" fmla="*/ 280 w 280"/>
              <a:gd name="T13" fmla="*/ 71 h 282"/>
              <a:gd name="T14" fmla="*/ 280 w 280"/>
              <a:gd name="T15" fmla="*/ 212 h 282"/>
              <a:gd name="T16" fmla="*/ 210 w 280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" name="Line 612">
            <a:extLst>
              <a:ext uri="{FF2B5EF4-FFF2-40B4-BE49-F238E27FC236}">
                <a16:creationId xmlns:a16="http://schemas.microsoft.com/office/drawing/2014/main" id="{2CAED351-22AE-448F-9936-F06CC03A687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1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Freeform 613">
            <a:extLst>
              <a:ext uri="{FF2B5EF4-FFF2-40B4-BE49-F238E27FC236}">
                <a16:creationId xmlns:a16="http://schemas.microsoft.com/office/drawing/2014/main" id="{F02E1787-9954-4317-82F4-F97BA5583D57}"/>
              </a:ext>
            </a:extLst>
          </xdr:cNvPr>
          <xdr:cNvSpPr>
            <a:spLocks/>
          </xdr:cNvSpPr>
        </xdr:nvSpPr>
        <xdr:spPr bwMode="auto">
          <a:xfrm>
            <a:off x="1221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" name="Freeform 614">
            <a:extLst>
              <a:ext uri="{FF2B5EF4-FFF2-40B4-BE49-F238E27FC236}">
                <a16:creationId xmlns:a16="http://schemas.microsoft.com/office/drawing/2014/main" id="{92600FC6-82D7-49BF-AB87-0CE9BB2D2667}"/>
              </a:ext>
            </a:extLst>
          </xdr:cNvPr>
          <xdr:cNvSpPr>
            <a:spLocks/>
          </xdr:cNvSpPr>
        </xdr:nvSpPr>
        <xdr:spPr bwMode="auto">
          <a:xfrm>
            <a:off x="1228" y="305"/>
            <a:ext cx="5" cy="5"/>
          </a:xfrm>
          <a:custGeom>
            <a:avLst/>
            <a:gdLst>
              <a:gd name="T0" fmla="*/ 281 w 281"/>
              <a:gd name="T1" fmla="*/ 141 h 282"/>
              <a:gd name="T2" fmla="*/ 141 w 281"/>
              <a:gd name="T3" fmla="*/ 282 h 282"/>
              <a:gd name="T4" fmla="*/ 71 w 281"/>
              <a:gd name="T5" fmla="*/ 282 h 282"/>
              <a:gd name="T6" fmla="*/ 0 w 281"/>
              <a:gd name="T7" fmla="*/ 212 h 282"/>
              <a:gd name="T8" fmla="*/ 0 w 281"/>
              <a:gd name="T9" fmla="*/ 71 h 282"/>
              <a:gd name="T10" fmla="*/ 71 w 281"/>
              <a:gd name="T11" fmla="*/ 0 h 282"/>
              <a:gd name="T12" fmla="*/ 141 w 281"/>
              <a:gd name="T13" fmla="*/ 0 h 282"/>
              <a:gd name="T14" fmla="*/ 281 w 281"/>
              <a:gd name="T15" fmla="*/ 141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2">
                <a:moveTo>
                  <a:pt x="281" y="141"/>
                </a:moveTo>
                <a:lnTo>
                  <a:pt x="141" y="282"/>
                </a:lnTo>
                <a:lnTo>
                  <a:pt x="71" y="282"/>
                </a:lnTo>
                <a:lnTo>
                  <a:pt x="0" y="212"/>
                </a:lnTo>
                <a:lnTo>
                  <a:pt x="0" y="71"/>
                </a:lnTo>
                <a:lnTo>
                  <a:pt x="71" y="0"/>
                </a:lnTo>
                <a:lnTo>
                  <a:pt x="141" y="0"/>
                </a:lnTo>
                <a:lnTo>
                  <a:pt x="281" y="141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" name="Line 615">
            <a:extLst>
              <a:ext uri="{FF2B5EF4-FFF2-40B4-BE49-F238E27FC236}">
                <a16:creationId xmlns:a16="http://schemas.microsoft.com/office/drawing/2014/main" id="{CAAD758B-A0D4-496D-BA93-B6832523CCAD}"/>
              </a:ext>
            </a:extLst>
          </xdr:cNvPr>
          <xdr:cNvSpPr>
            <a:spLocks noChangeShapeType="1"/>
          </xdr:cNvSpPr>
        </xdr:nvSpPr>
        <xdr:spPr bwMode="auto">
          <a:xfrm>
            <a:off x="1233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Freeform 616">
            <a:extLst>
              <a:ext uri="{FF2B5EF4-FFF2-40B4-BE49-F238E27FC236}">
                <a16:creationId xmlns:a16="http://schemas.microsoft.com/office/drawing/2014/main" id="{CD9B9E38-89B2-4861-9FDE-50157E15A3EA}"/>
              </a:ext>
            </a:extLst>
          </xdr:cNvPr>
          <xdr:cNvSpPr>
            <a:spLocks/>
          </xdr:cNvSpPr>
        </xdr:nvSpPr>
        <xdr:spPr bwMode="auto">
          <a:xfrm>
            <a:off x="1235" y="305"/>
            <a:ext cx="5" cy="5"/>
          </a:xfrm>
          <a:custGeom>
            <a:avLst/>
            <a:gdLst>
              <a:gd name="T0" fmla="*/ 0 w 281"/>
              <a:gd name="T1" fmla="*/ 141 h 282"/>
              <a:gd name="T2" fmla="*/ 211 w 281"/>
              <a:gd name="T3" fmla="*/ 141 h 282"/>
              <a:gd name="T4" fmla="*/ 281 w 281"/>
              <a:gd name="T5" fmla="*/ 71 h 282"/>
              <a:gd name="T6" fmla="*/ 211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1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1" y="141"/>
                </a:lnTo>
                <a:lnTo>
                  <a:pt x="281" y="71"/>
                </a:lnTo>
                <a:lnTo>
                  <a:pt x="211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1" name="Line 617">
            <a:extLst>
              <a:ext uri="{FF2B5EF4-FFF2-40B4-BE49-F238E27FC236}">
                <a16:creationId xmlns:a16="http://schemas.microsoft.com/office/drawing/2014/main" id="{59A81385-10CD-428A-8A93-ED9F100892E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Line 618">
            <a:extLst>
              <a:ext uri="{FF2B5EF4-FFF2-40B4-BE49-F238E27FC236}">
                <a16:creationId xmlns:a16="http://schemas.microsoft.com/office/drawing/2014/main" id="{E52775C0-6CFD-43C1-B084-FAEF2F2BF49E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619">
            <a:extLst>
              <a:ext uri="{FF2B5EF4-FFF2-40B4-BE49-F238E27FC236}">
                <a16:creationId xmlns:a16="http://schemas.microsoft.com/office/drawing/2014/main" id="{DEC21723-5DCB-41A1-B4CC-AF9D9961E298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2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Freeform 620">
            <a:extLst>
              <a:ext uri="{FF2B5EF4-FFF2-40B4-BE49-F238E27FC236}">
                <a16:creationId xmlns:a16="http://schemas.microsoft.com/office/drawing/2014/main" id="{E06ADBB5-4B5B-4C44-982B-704A69A44F68}"/>
              </a:ext>
            </a:extLst>
          </xdr:cNvPr>
          <xdr:cNvSpPr>
            <a:spLocks/>
          </xdr:cNvSpPr>
        </xdr:nvSpPr>
        <xdr:spPr bwMode="auto">
          <a:xfrm>
            <a:off x="1252" y="305"/>
            <a:ext cx="4" cy="5"/>
          </a:xfrm>
          <a:custGeom>
            <a:avLst/>
            <a:gdLst>
              <a:gd name="T0" fmla="*/ 0 w 281"/>
              <a:gd name="T1" fmla="*/ 141 h 282"/>
              <a:gd name="T2" fmla="*/ 141 w 281"/>
              <a:gd name="T3" fmla="*/ 0 h 282"/>
              <a:gd name="T4" fmla="*/ 211 w 281"/>
              <a:gd name="T5" fmla="*/ 0 h 282"/>
              <a:gd name="T6" fmla="*/ 281 w 281"/>
              <a:gd name="T7" fmla="*/ 71 h 282"/>
              <a:gd name="T8" fmla="*/ 281 w 281"/>
              <a:gd name="T9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141" y="0"/>
                </a:lnTo>
                <a:lnTo>
                  <a:pt x="211" y="0"/>
                </a:lnTo>
                <a:lnTo>
                  <a:pt x="281" y="71"/>
                </a:lnTo>
                <a:lnTo>
                  <a:pt x="28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" name="Line 621">
            <a:extLst>
              <a:ext uri="{FF2B5EF4-FFF2-40B4-BE49-F238E27FC236}">
                <a16:creationId xmlns:a16="http://schemas.microsoft.com/office/drawing/2014/main" id="{75340E7E-E7E8-4255-9163-37F5D45A8586}"/>
              </a:ext>
            </a:extLst>
          </xdr:cNvPr>
          <xdr:cNvSpPr>
            <a:spLocks noChangeShapeType="1"/>
          </xdr:cNvSpPr>
        </xdr:nvSpPr>
        <xdr:spPr bwMode="auto">
          <a:xfrm>
            <a:off x="1259" y="305"/>
            <a:ext cx="4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Freeform 622">
            <a:extLst>
              <a:ext uri="{FF2B5EF4-FFF2-40B4-BE49-F238E27FC236}">
                <a16:creationId xmlns:a16="http://schemas.microsoft.com/office/drawing/2014/main" id="{4AF61066-3E69-4733-B628-797C21E76EA9}"/>
              </a:ext>
            </a:extLst>
          </xdr:cNvPr>
          <xdr:cNvSpPr>
            <a:spLocks/>
          </xdr:cNvSpPr>
        </xdr:nvSpPr>
        <xdr:spPr bwMode="auto">
          <a:xfrm>
            <a:off x="1261" y="303"/>
            <a:ext cx="2" cy="7"/>
          </a:xfrm>
          <a:custGeom>
            <a:avLst/>
            <a:gdLst>
              <a:gd name="T0" fmla="*/ 0 w 141"/>
              <a:gd name="T1" fmla="*/ 0 h 422"/>
              <a:gd name="T2" fmla="*/ 0 w 141"/>
              <a:gd name="T3" fmla="*/ 352 h 422"/>
              <a:gd name="T4" fmla="*/ 71 w 141"/>
              <a:gd name="T5" fmla="*/ 422 h 422"/>
              <a:gd name="T6" fmla="*/ 141 w 141"/>
              <a:gd name="T7" fmla="*/ 35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2">
                <a:moveTo>
                  <a:pt x="0" y="0"/>
                </a:moveTo>
                <a:lnTo>
                  <a:pt x="0" y="352"/>
                </a:lnTo>
                <a:lnTo>
                  <a:pt x="71" y="422"/>
                </a:lnTo>
                <a:lnTo>
                  <a:pt x="141" y="35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7" name="Freeform 623">
            <a:extLst>
              <a:ext uri="{FF2B5EF4-FFF2-40B4-BE49-F238E27FC236}">
                <a16:creationId xmlns:a16="http://schemas.microsoft.com/office/drawing/2014/main" id="{996D794B-6644-4928-9AFA-A65615012C87}"/>
              </a:ext>
            </a:extLst>
          </xdr:cNvPr>
          <xdr:cNvSpPr>
            <a:spLocks/>
          </xdr:cNvSpPr>
        </xdr:nvSpPr>
        <xdr:spPr bwMode="auto">
          <a:xfrm>
            <a:off x="1266" y="305"/>
            <a:ext cx="5" cy="5"/>
          </a:xfrm>
          <a:custGeom>
            <a:avLst/>
            <a:gdLst>
              <a:gd name="T0" fmla="*/ 0 w 281"/>
              <a:gd name="T1" fmla="*/ 141 h 282"/>
              <a:gd name="T2" fmla="*/ 210 w 281"/>
              <a:gd name="T3" fmla="*/ 141 h 282"/>
              <a:gd name="T4" fmla="*/ 281 w 281"/>
              <a:gd name="T5" fmla="*/ 71 h 282"/>
              <a:gd name="T6" fmla="*/ 210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0" y="141"/>
                </a:lnTo>
                <a:lnTo>
                  <a:pt x="281" y="71"/>
                </a:lnTo>
                <a:lnTo>
                  <a:pt x="210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0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" name="Line 624">
            <a:extLst>
              <a:ext uri="{FF2B5EF4-FFF2-40B4-BE49-F238E27FC236}">
                <a16:creationId xmlns:a16="http://schemas.microsoft.com/office/drawing/2014/main" id="{40A32B64-760B-4995-803C-66C10B0A6879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3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Freeform 625">
            <a:extLst>
              <a:ext uri="{FF2B5EF4-FFF2-40B4-BE49-F238E27FC236}">
                <a16:creationId xmlns:a16="http://schemas.microsoft.com/office/drawing/2014/main" id="{5660ED8A-695E-4C94-A136-D357A14855D2}"/>
              </a:ext>
            </a:extLst>
          </xdr:cNvPr>
          <xdr:cNvSpPr>
            <a:spLocks/>
          </xdr:cNvSpPr>
        </xdr:nvSpPr>
        <xdr:spPr bwMode="auto">
          <a:xfrm>
            <a:off x="1273" y="305"/>
            <a:ext cx="5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0" name="Line 626">
            <a:extLst>
              <a:ext uri="{FF2B5EF4-FFF2-40B4-BE49-F238E27FC236}">
                <a16:creationId xmlns:a16="http://schemas.microsoft.com/office/drawing/2014/main" id="{33F5E024-859B-40F6-8D96-DE5053F9C72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627">
            <a:extLst>
              <a:ext uri="{FF2B5EF4-FFF2-40B4-BE49-F238E27FC236}">
                <a16:creationId xmlns:a16="http://schemas.microsoft.com/office/drawing/2014/main" id="{0C8061BE-F1D3-4068-8696-A1B43505E9C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Freeform 628">
            <a:extLst>
              <a:ext uri="{FF2B5EF4-FFF2-40B4-BE49-F238E27FC236}">
                <a16:creationId xmlns:a16="http://schemas.microsoft.com/office/drawing/2014/main" id="{90FF3BE3-0809-4B5F-AD5D-6A850BA7C907}"/>
              </a:ext>
            </a:extLst>
          </xdr:cNvPr>
          <xdr:cNvSpPr>
            <a:spLocks/>
          </xdr:cNvSpPr>
        </xdr:nvSpPr>
        <xdr:spPr bwMode="auto">
          <a:xfrm>
            <a:off x="1283" y="305"/>
            <a:ext cx="4" cy="5"/>
          </a:xfrm>
          <a:custGeom>
            <a:avLst/>
            <a:gdLst>
              <a:gd name="T0" fmla="*/ 210 w 281"/>
              <a:gd name="T1" fmla="*/ 282 h 282"/>
              <a:gd name="T2" fmla="*/ 70 w 281"/>
              <a:gd name="T3" fmla="*/ 282 h 282"/>
              <a:gd name="T4" fmla="*/ 0 w 281"/>
              <a:gd name="T5" fmla="*/ 212 h 282"/>
              <a:gd name="T6" fmla="*/ 0 w 281"/>
              <a:gd name="T7" fmla="*/ 71 h 282"/>
              <a:gd name="T8" fmla="*/ 70 w 281"/>
              <a:gd name="T9" fmla="*/ 0 h 282"/>
              <a:gd name="T10" fmla="*/ 210 w 281"/>
              <a:gd name="T11" fmla="*/ 0 h 282"/>
              <a:gd name="T12" fmla="*/ 281 w 281"/>
              <a:gd name="T13" fmla="*/ 71 h 282"/>
              <a:gd name="T14" fmla="*/ 281 w 281"/>
              <a:gd name="T15" fmla="*/ 21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1" y="71"/>
                </a:lnTo>
                <a:lnTo>
                  <a:pt x="281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" name="Line 629">
            <a:extLst>
              <a:ext uri="{FF2B5EF4-FFF2-40B4-BE49-F238E27FC236}">
                <a16:creationId xmlns:a16="http://schemas.microsoft.com/office/drawing/2014/main" id="{89EDA0BE-22BA-49A2-B1D1-EBD6D3021D5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9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Freeform 630">
            <a:extLst>
              <a:ext uri="{FF2B5EF4-FFF2-40B4-BE49-F238E27FC236}">
                <a16:creationId xmlns:a16="http://schemas.microsoft.com/office/drawing/2014/main" id="{92E55B9D-0869-4815-975D-833ED2C1EB7A}"/>
              </a:ext>
            </a:extLst>
          </xdr:cNvPr>
          <xdr:cNvSpPr>
            <a:spLocks/>
          </xdr:cNvSpPr>
        </xdr:nvSpPr>
        <xdr:spPr bwMode="auto">
          <a:xfrm>
            <a:off x="1290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5" name="Freeform 631">
            <a:extLst>
              <a:ext uri="{FF2B5EF4-FFF2-40B4-BE49-F238E27FC236}">
                <a16:creationId xmlns:a16="http://schemas.microsoft.com/office/drawing/2014/main" id="{8D0226B2-E504-46E3-ADA4-247E07CE09FA}"/>
              </a:ext>
            </a:extLst>
          </xdr:cNvPr>
          <xdr:cNvSpPr>
            <a:spLocks/>
          </xdr:cNvSpPr>
        </xdr:nvSpPr>
        <xdr:spPr bwMode="auto">
          <a:xfrm>
            <a:off x="864" y="189"/>
            <a:ext cx="5" cy="7"/>
          </a:xfrm>
          <a:custGeom>
            <a:avLst/>
            <a:gdLst>
              <a:gd name="T0" fmla="*/ 0 w 282"/>
              <a:gd name="T1" fmla="*/ 422 h 422"/>
              <a:gd name="T2" fmla="*/ 0 w 282"/>
              <a:gd name="T3" fmla="*/ 0 h 422"/>
              <a:gd name="T4" fmla="*/ 282 w 282"/>
              <a:gd name="T5" fmla="*/ 0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82" h="422">
                <a:moveTo>
                  <a:pt x="0" y="422"/>
                </a:moveTo>
                <a:lnTo>
                  <a:pt x="0" y="0"/>
                </a:lnTo>
                <a:lnTo>
                  <a:pt x="282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6" name="Line 632">
            <a:extLst>
              <a:ext uri="{FF2B5EF4-FFF2-40B4-BE49-F238E27FC236}">
                <a16:creationId xmlns:a16="http://schemas.microsoft.com/office/drawing/2014/main" id="{4DFD054D-9A6B-460E-B297-AD792C4D683D}"/>
              </a:ext>
            </a:extLst>
          </xdr:cNvPr>
          <xdr:cNvSpPr>
            <a:spLocks noChangeShapeType="1"/>
          </xdr:cNvSpPr>
        </xdr:nvSpPr>
        <xdr:spPr bwMode="auto">
          <a:xfrm>
            <a:off x="864" y="193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633">
            <a:extLst>
              <a:ext uri="{FF2B5EF4-FFF2-40B4-BE49-F238E27FC236}">
                <a16:creationId xmlns:a16="http://schemas.microsoft.com/office/drawing/2014/main" id="{C80893C8-5077-4DD8-9A93-81BE8BC1A4DE}"/>
              </a:ext>
            </a:extLst>
          </xdr:cNvPr>
          <xdr:cNvSpPr>
            <a:spLocks noChangeShapeType="1"/>
          </xdr:cNvSpPr>
        </xdr:nvSpPr>
        <xdr:spPr bwMode="auto">
          <a:xfrm>
            <a:off x="864" y="196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Freeform 634">
            <a:extLst>
              <a:ext uri="{FF2B5EF4-FFF2-40B4-BE49-F238E27FC236}">
                <a16:creationId xmlns:a16="http://schemas.microsoft.com/office/drawing/2014/main" id="{5F6728EA-90E8-45A5-BB62-F4AD4AFDACFC}"/>
              </a:ext>
            </a:extLst>
          </xdr:cNvPr>
          <xdr:cNvSpPr>
            <a:spLocks/>
          </xdr:cNvSpPr>
        </xdr:nvSpPr>
        <xdr:spPr bwMode="auto">
          <a:xfrm>
            <a:off x="871" y="192"/>
            <a:ext cx="4" cy="7"/>
          </a:xfrm>
          <a:custGeom>
            <a:avLst/>
            <a:gdLst>
              <a:gd name="T0" fmla="*/ 0 w 211"/>
              <a:gd name="T1" fmla="*/ 351 h 421"/>
              <a:gd name="T2" fmla="*/ 70 w 211"/>
              <a:gd name="T3" fmla="*/ 421 h 421"/>
              <a:gd name="T4" fmla="*/ 141 w 211"/>
              <a:gd name="T5" fmla="*/ 421 h 421"/>
              <a:gd name="T6" fmla="*/ 211 w 211"/>
              <a:gd name="T7" fmla="*/ 351 h 421"/>
              <a:gd name="T8" fmla="*/ 211 w 211"/>
              <a:gd name="T9" fmla="*/ 0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11" h="421">
                <a:moveTo>
                  <a:pt x="0" y="351"/>
                </a:moveTo>
                <a:lnTo>
                  <a:pt x="70" y="421"/>
                </a:lnTo>
                <a:lnTo>
                  <a:pt x="141" y="421"/>
                </a:lnTo>
                <a:lnTo>
                  <a:pt x="211" y="351"/>
                </a:lnTo>
                <a:lnTo>
                  <a:pt x="211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9" name="Line 635">
            <a:extLst>
              <a:ext uri="{FF2B5EF4-FFF2-40B4-BE49-F238E27FC236}">
                <a16:creationId xmlns:a16="http://schemas.microsoft.com/office/drawing/2014/main" id="{E99C01C0-B80A-4E16-A8C7-3C4990DEDF4B}"/>
              </a:ext>
            </a:extLst>
          </xdr:cNvPr>
          <xdr:cNvSpPr>
            <a:spLocks noChangeShapeType="1"/>
          </xdr:cNvSpPr>
        </xdr:nvSpPr>
        <xdr:spPr bwMode="auto">
          <a:xfrm flipV="1">
            <a:off x="875" y="189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Freeform 636">
            <a:extLst>
              <a:ext uri="{FF2B5EF4-FFF2-40B4-BE49-F238E27FC236}">
                <a16:creationId xmlns:a16="http://schemas.microsoft.com/office/drawing/2014/main" id="{7FD49868-A99F-4A0C-A883-8F6F8DB9FCF9}"/>
              </a:ext>
            </a:extLst>
          </xdr:cNvPr>
          <xdr:cNvSpPr>
            <a:spLocks/>
          </xdr:cNvSpPr>
        </xdr:nvSpPr>
        <xdr:spPr bwMode="auto">
          <a:xfrm>
            <a:off x="877" y="192"/>
            <a:ext cx="5" cy="4"/>
          </a:xfrm>
          <a:custGeom>
            <a:avLst/>
            <a:gdLst>
              <a:gd name="T0" fmla="*/ 0 w 281"/>
              <a:gd name="T1" fmla="*/ 140 h 281"/>
              <a:gd name="T2" fmla="*/ 210 w 281"/>
              <a:gd name="T3" fmla="*/ 140 h 281"/>
              <a:gd name="T4" fmla="*/ 281 w 281"/>
              <a:gd name="T5" fmla="*/ 70 h 281"/>
              <a:gd name="T6" fmla="*/ 210 w 281"/>
              <a:gd name="T7" fmla="*/ 0 h 281"/>
              <a:gd name="T8" fmla="*/ 70 w 281"/>
              <a:gd name="T9" fmla="*/ 0 h 281"/>
              <a:gd name="T10" fmla="*/ 0 w 281"/>
              <a:gd name="T11" fmla="*/ 70 h 281"/>
              <a:gd name="T12" fmla="*/ 0 w 281"/>
              <a:gd name="T13" fmla="*/ 210 h 281"/>
              <a:gd name="T14" fmla="*/ 70 w 281"/>
              <a:gd name="T15" fmla="*/ 281 h 281"/>
              <a:gd name="T16" fmla="*/ 210 w 28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210" y="140"/>
                </a:lnTo>
                <a:lnTo>
                  <a:pt x="281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1"/>
                </a:lnTo>
                <a:lnTo>
                  <a:pt x="210" y="28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</xdr:col>
      <xdr:colOff>236604</xdr:colOff>
      <xdr:row>11</xdr:row>
      <xdr:rowOff>109497</xdr:rowOff>
    </xdr:from>
    <xdr:to>
      <xdr:col>2</xdr:col>
      <xdr:colOff>236606</xdr:colOff>
      <xdr:row>14</xdr:row>
      <xdr:rowOff>144876</xdr:rowOff>
    </xdr:to>
    <xdr:cxnSp macro="">
      <xdr:nvCxnSpPr>
        <xdr:cNvPr id="541" name="Conector recto de flecha 540">
          <a:extLst>
            <a:ext uri="{FF2B5EF4-FFF2-40B4-BE49-F238E27FC236}">
              <a16:creationId xmlns:a16="http://schemas.microsoft.com/office/drawing/2014/main" id="{01AFF749-89B9-4395-8294-B4A51EF4E3E6}"/>
            </a:ext>
          </a:extLst>
        </xdr:cNvPr>
        <xdr:cNvCxnSpPr/>
      </xdr:nvCxnSpPr>
      <xdr:spPr>
        <a:xfrm>
          <a:off x="2446404" y="2224047"/>
          <a:ext cx="2" cy="7307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</xdr:colOff>
      <xdr:row>11</xdr:row>
      <xdr:rowOff>108857</xdr:rowOff>
    </xdr:from>
    <xdr:to>
      <xdr:col>2</xdr:col>
      <xdr:colOff>228600</xdr:colOff>
      <xdr:row>11</xdr:row>
      <xdr:rowOff>108857</xdr:rowOff>
    </xdr:to>
    <xdr:cxnSp macro="">
      <xdr:nvCxnSpPr>
        <xdr:cNvPr id="542" name="Conector recto de flecha 541">
          <a:extLst>
            <a:ext uri="{FF2B5EF4-FFF2-40B4-BE49-F238E27FC236}">
              <a16:creationId xmlns:a16="http://schemas.microsoft.com/office/drawing/2014/main" id="{F39012BF-CC8F-428E-8C28-87967FC5394F}"/>
            </a:ext>
          </a:extLst>
        </xdr:cNvPr>
        <xdr:cNvCxnSpPr/>
      </xdr:nvCxnSpPr>
      <xdr:spPr>
        <a:xfrm flipH="1">
          <a:off x="2231571" y="2223407"/>
          <a:ext cx="2068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621907</xdr:colOff>
      <xdr:row>39</xdr:row>
      <xdr:rowOff>11350</xdr:rowOff>
    </xdr:from>
    <xdr:to>
      <xdr:col>7</xdr:col>
      <xdr:colOff>565367</xdr:colOff>
      <xdr:row>57</xdr:row>
      <xdr:rowOff>180078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id="{D46F3F68-54F5-4CE1-90AF-CC9669B412C3}"/>
            </a:ext>
          </a:extLst>
        </xdr:cNvPr>
        <xdr:cNvGrpSpPr>
          <a:grpSpLocks noChangeAspect="1"/>
        </xdr:cNvGrpSpPr>
      </xdr:nvGrpSpPr>
      <xdr:grpSpPr bwMode="auto">
        <a:xfrm>
          <a:off x="621907" y="7767421"/>
          <a:ext cx="6698434" cy="3667708"/>
          <a:chOff x="753" y="57"/>
          <a:chExt cx="550" cy="299"/>
        </a:xfrm>
      </xdr:grpSpPr>
      <xdr:sp macro="" textlink="">
        <xdr:nvSpPr>
          <xdr:cNvPr id="3" name="AutoShape 50">
            <a:extLst>
              <a:ext uri="{FF2B5EF4-FFF2-40B4-BE49-F238E27FC236}">
                <a16:creationId xmlns:a16="http://schemas.microsoft.com/office/drawing/2014/main" id="{818A48FB-3D61-4F7E-BB39-41105268C7B4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753" y="57"/>
            <a:ext cx="550" cy="2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grpSp>
        <xdr:nvGrpSpPr>
          <xdr:cNvPr id="4" name="Group 252">
            <a:extLst>
              <a:ext uri="{FF2B5EF4-FFF2-40B4-BE49-F238E27FC236}">
                <a16:creationId xmlns:a16="http://schemas.microsoft.com/office/drawing/2014/main" id="{C4A6E51A-7EAD-4DF2-BB51-7232D59BE43B}"/>
              </a:ext>
            </a:extLst>
          </xdr:cNvPr>
          <xdr:cNvGrpSpPr>
            <a:grpSpLocks/>
          </xdr:cNvGrpSpPr>
        </xdr:nvGrpSpPr>
        <xdr:grpSpPr bwMode="auto">
          <a:xfrm>
            <a:off x="821" y="106"/>
            <a:ext cx="402" cy="191"/>
            <a:chOff x="821" y="106"/>
            <a:chExt cx="402" cy="191"/>
          </a:xfrm>
        </xdr:grpSpPr>
        <xdr:sp macro="" textlink="">
          <xdr:nvSpPr>
            <xdr:cNvPr id="341" name="Line 52">
              <a:extLst>
                <a:ext uri="{FF2B5EF4-FFF2-40B4-BE49-F238E27FC236}">
                  <a16:creationId xmlns:a16="http://schemas.microsoft.com/office/drawing/2014/main" id="{EFBD8213-7728-4A35-B64B-4A3424960EC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23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2" name="Line 53">
              <a:extLst>
                <a:ext uri="{FF2B5EF4-FFF2-40B4-BE49-F238E27FC236}">
                  <a16:creationId xmlns:a16="http://schemas.microsoft.com/office/drawing/2014/main" id="{F8C7B617-B6C9-44B0-AC05-38320733058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32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3" name="Line 54">
              <a:extLst>
                <a:ext uri="{FF2B5EF4-FFF2-40B4-BE49-F238E27FC236}">
                  <a16:creationId xmlns:a16="http://schemas.microsoft.com/office/drawing/2014/main" id="{859FF490-27CF-41D9-B32C-FF30E405154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0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4" name="Line 55">
              <a:extLst>
                <a:ext uri="{FF2B5EF4-FFF2-40B4-BE49-F238E27FC236}">
                  <a16:creationId xmlns:a16="http://schemas.microsoft.com/office/drawing/2014/main" id="{586015E2-C951-4EA3-A047-7B30FB1A1FA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9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5" name="Line 56">
              <a:extLst>
                <a:ext uri="{FF2B5EF4-FFF2-40B4-BE49-F238E27FC236}">
                  <a16:creationId xmlns:a16="http://schemas.microsoft.com/office/drawing/2014/main" id="{A39C2F50-9383-4498-B93C-6DE2A8A24AB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57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6" name="Line 57">
              <a:extLst>
                <a:ext uri="{FF2B5EF4-FFF2-40B4-BE49-F238E27FC236}">
                  <a16:creationId xmlns:a16="http://schemas.microsoft.com/office/drawing/2014/main" id="{DB383163-4FD7-4C0C-85C1-963E511290E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66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7" name="Line 58">
              <a:extLst>
                <a:ext uri="{FF2B5EF4-FFF2-40B4-BE49-F238E27FC236}">
                  <a16:creationId xmlns:a16="http://schemas.microsoft.com/office/drawing/2014/main" id="{73FADADB-CE65-4DDE-B7A0-B7D38F5CC81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74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8" name="Line 59">
              <a:extLst>
                <a:ext uri="{FF2B5EF4-FFF2-40B4-BE49-F238E27FC236}">
                  <a16:creationId xmlns:a16="http://schemas.microsoft.com/office/drawing/2014/main" id="{67A0CB2D-5388-4708-AB0A-1EA74872550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83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9" name="Line 60">
              <a:extLst>
                <a:ext uri="{FF2B5EF4-FFF2-40B4-BE49-F238E27FC236}">
                  <a16:creationId xmlns:a16="http://schemas.microsoft.com/office/drawing/2014/main" id="{05283623-5DD7-4A3E-ABF8-88500AAE03E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91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0" name="Line 61">
              <a:extLst>
                <a:ext uri="{FF2B5EF4-FFF2-40B4-BE49-F238E27FC236}">
                  <a16:creationId xmlns:a16="http://schemas.microsoft.com/office/drawing/2014/main" id="{3A53CA99-99FA-43F1-BD58-2EC254CDDD1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0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1" name="Line 62">
              <a:extLst>
                <a:ext uri="{FF2B5EF4-FFF2-40B4-BE49-F238E27FC236}">
                  <a16:creationId xmlns:a16="http://schemas.microsoft.com/office/drawing/2014/main" id="{23D12BE5-550F-4F10-A1E8-D731AB66C05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8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2" name="Line 63">
              <a:extLst>
                <a:ext uri="{FF2B5EF4-FFF2-40B4-BE49-F238E27FC236}">
                  <a16:creationId xmlns:a16="http://schemas.microsoft.com/office/drawing/2014/main" id="{CBC38FB4-1F1A-421A-AF23-00297ACC449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17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3" name="Line 64">
              <a:extLst>
                <a:ext uri="{FF2B5EF4-FFF2-40B4-BE49-F238E27FC236}">
                  <a16:creationId xmlns:a16="http://schemas.microsoft.com/office/drawing/2014/main" id="{09BED543-3646-4A5E-B3D4-53751BFEFDA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25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4" name="Line 65">
              <a:extLst>
                <a:ext uri="{FF2B5EF4-FFF2-40B4-BE49-F238E27FC236}">
                  <a16:creationId xmlns:a16="http://schemas.microsoft.com/office/drawing/2014/main" id="{B197A5AC-3BC3-40C0-8519-23B5E7F3588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34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5" name="Line 66">
              <a:extLst>
                <a:ext uri="{FF2B5EF4-FFF2-40B4-BE49-F238E27FC236}">
                  <a16:creationId xmlns:a16="http://schemas.microsoft.com/office/drawing/2014/main" id="{F2FF8EAE-C8D1-46E7-ACB0-76B5F8001D3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42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6" name="Line 67">
              <a:extLst>
                <a:ext uri="{FF2B5EF4-FFF2-40B4-BE49-F238E27FC236}">
                  <a16:creationId xmlns:a16="http://schemas.microsoft.com/office/drawing/2014/main" id="{27678C16-CE89-4C94-956E-FABC11464CA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1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7" name="Line 68">
              <a:extLst>
                <a:ext uri="{FF2B5EF4-FFF2-40B4-BE49-F238E27FC236}">
                  <a16:creationId xmlns:a16="http://schemas.microsoft.com/office/drawing/2014/main" id="{2195AD10-BF2F-4791-925D-22A8A5E6B01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9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8" name="Line 69">
              <a:extLst>
                <a:ext uri="{FF2B5EF4-FFF2-40B4-BE49-F238E27FC236}">
                  <a16:creationId xmlns:a16="http://schemas.microsoft.com/office/drawing/2014/main" id="{4B90189F-898C-48D5-ACCB-7EC9A769175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68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9" name="Line 70">
              <a:extLst>
                <a:ext uri="{FF2B5EF4-FFF2-40B4-BE49-F238E27FC236}">
                  <a16:creationId xmlns:a16="http://schemas.microsoft.com/office/drawing/2014/main" id="{E1575D55-E892-43A5-BA60-6A0F76C7AF0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76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0" name="Line 71">
              <a:extLst>
                <a:ext uri="{FF2B5EF4-FFF2-40B4-BE49-F238E27FC236}">
                  <a16:creationId xmlns:a16="http://schemas.microsoft.com/office/drawing/2014/main" id="{F2CF4A06-3FA8-40BF-8704-BE9DFAB4B4E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5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1" name="Line 72">
              <a:extLst>
                <a:ext uri="{FF2B5EF4-FFF2-40B4-BE49-F238E27FC236}">
                  <a16:creationId xmlns:a16="http://schemas.microsoft.com/office/drawing/2014/main" id="{A4F0F63C-5B89-471B-85EA-131FB531DB5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8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2" name="Line 73">
              <a:extLst>
                <a:ext uri="{FF2B5EF4-FFF2-40B4-BE49-F238E27FC236}">
                  <a16:creationId xmlns:a16="http://schemas.microsoft.com/office/drawing/2014/main" id="{46180A6C-E82F-45DD-9362-DE66B9AB4A6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3" name="Line 74">
              <a:extLst>
                <a:ext uri="{FF2B5EF4-FFF2-40B4-BE49-F238E27FC236}">
                  <a16:creationId xmlns:a16="http://schemas.microsoft.com/office/drawing/2014/main" id="{E5687F6C-2248-43F3-8BF7-B478D587E35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8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4" name="Line 75">
              <a:extLst>
                <a:ext uri="{FF2B5EF4-FFF2-40B4-BE49-F238E27FC236}">
                  <a16:creationId xmlns:a16="http://schemas.microsoft.com/office/drawing/2014/main" id="{FCFD96B4-B656-4C7D-A8BF-1B317FF7D4D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7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5" name="Line 76">
              <a:extLst>
                <a:ext uri="{FF2B5EF4-FFF2-40B4-BE49-F238E27FC236}">
                  <a16:creationId xmlns:a16="http://schemas.microsoft.com/office/drawing/2014/main" id="{3DB781AB-4C19-4570-B803-D15029A030B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6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6" name="Line 77">
              <a:extLst>
                <a:ext uri="{FF2B5EF4-FFF2-40B4-BE49-F238E27FC236}">
                  <a16:creationId xmlns:a16="http://schemas.microsoft.com/office/drawing/2014/main" id="{517F3FE0-E16C-472F-BDB3-FCD72F1C112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5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7" name="Line 78">
              <a:extLst>
                <a:ext uri="{FF2B5EF4-FFF2-40B4-BE49-F238E27FC236}">
                  <a16:creationId xmlns:a16="http://schemas.microsoft.com/office/drawing/2014/main" id="{1193277F-C600-4781-90B1-C5DCF81CBE5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47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8" name="Line 79">
              <a:extLst>
                <a:ext uri="{FF2B5EF4-FFF2-40B4-BE49-F238E27FC236}">
                  <a16:creationId xmlns:a16="http://schemas.microsoft.com/office/drawing/2014/main" id="{5DB6EBDA-D8A7-46CA-9728-7E6CAAFB8D9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9" name="Line 80">
              <a:extLst>
                <a:ext uri="{FF2B5EF4-FFF2-40B4-BE49-F238E27FC236}">
                  <a16:creationId xmlns:a16="http://schemas.microsoft.com/office/drawing/2014/main" id="{532867C2-B383-4E5C-9B26-B3B46F5F735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0" name="Line 81">
              <a:extLst>
                <a:ext uri="{FF2B5EF4-FFF2-40B4-BE49-F238E27FC236}">
                  <a16:creationId xmlns:a16="http://schemas.microsoft.com/office/drawing/2014/main" id="{636A374F-08DF-4A1F-B8D4-0F773166D75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2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1" name="Line 82">
              <a:extLst>
                <a:ext uri="{FF2B5EF4-FFF2-40B4-BE49-F238E27FC236}">
                  <a16:creationId xmlns:a16="http://schemas.microsoft.com/office/drawing/2014/main" id="{1E06EAED-D1FD-425E-8BA1-677650F18B6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1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2" name="Line 83">
              <a:extLst>
                <a:ext uri="{FF2B5EF4-FFF2-40B4-BE49-F238E27FC236}">
                  <a16:creationId xmlns:a16="http://schemas.microsoft.com/office/drawing/2014/main" id="{410A94F6-12C3-4CC3-8CF7-7E00F79DDCC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3" name="Freeform 84">
              <a:extLst>
                <a:ext uri="{FF2B5EF4-FFF2-40B4-BE49-F238E27FC236}">
                  <a16:creationId xmlns:a16="http://schemas.microsoft.com/office/drawing/2014/main" id="{3C3F124F-9BD0-4B02-AE25-10DD9083DFC7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105 h 105"/>
                <a:gd name="T2" fmla="*/ 1979 w 1979"/>
                <a:gd name="T3" fmla="*/ 0 h 105"/>
                <a:gd name="T4" fmla="*/ 0 w 1979"/>
                <a:gd name="T5" fmla="*/ 105 h 105"/>
                <a:gd name="T6" fmla="*/ 1979 w 197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105"/>
                  </a:moveTo>
                  <a:lnTo>
                    <a:pt x="1979" y="0"/>
                  </a:lnTo>
                  <a:lnTo>
                    <a:pt x="0" y="105"/>
                  </a:lnTo>
                  <a:lnTo>
                    <a:pt x="1979" y="10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4" name="Freeform 85">
              <a:extLst>
                <a:ext uri="{FF2B5EF4-FFF2-40B4-BE49-F238E27FC236}">
                  <a16:creationId xmlns:a16="http://schemas.microsoft.com/office/drawing/2014/main" id="{BF2C09BB-379E-4D77-92D6-68E5FB79BEF1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0 h 105"/>
                <a:gd name="T2" fmla="*/ 0 w 1979"/>
                <a:gd name="T3" fmla="*/ 105 h 105"/>
                <a:gd name="T4" fmla="*/ 18 w 1979"/>
                <a:gd name="T5" fmla="*/ 0 h 105"/>
                <a:gd name="T6" fmla="*/ 1979 w 1979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0"/>
                  </a:moveTo>
                  <a:lnTo>
                    <a:pt x="0" y="105"/>
                  </a:lnTo>
                  <a:lnTo>
                    <a:pt x="18" y="0"/>
                  </a:lnTo>
                  <a:lnTo>
                    <a:pt x="197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5" name="Freeform 86">
              <a:extLst>
                <a:ext uri="{FF2B5EF4-FFF2-40B4-BE49-F238E27FC236}">
                  <a16:creationId xmlns:a16="http://schemas.microsoft.com/office/drawing/2014/main" id="{FAD0FF7E-CEC6-480B-B6EB-D4A0C6E02259}"/>
                </a:ext>
              </a:extLst>
            </xdr:cNvPr>
            <xdr:cNvSpPr>
              <a:spLocks/>
            </xdr:cNvSpPr>
          </xdr:nvSpPr>
          <xdr:spPr bwMode="auto">
            <a:xfrm>
              <a:off x="1028" y="238"/>
              <a:ext cx="162" cy="59"/>
            </a:xfrm>
            <a:custGeom>
              <a:avLst/>
              <a:gdLst>
                <a:gd name="T0" fmla="*/ 9523 w 9541"/>
                <a:gd name="T1" fmla="*/ 3477 h 3477"/>
                <a:gd name="T2" fmla="*/ 9541 w 9541"/>
                <a:gd name="T3" fmla="*/ 3372 h 3477"/>
                <a:gd name="T4" fmla="*/ 0 w 9541"/>
                <a:gd name="T5" fmla="*/ 0 h 3477"/>
                <a:gd name="T6" fmla="*/ 9523 w 9541"/>
                <a:gd name="T7" fmla="*/ 3477 h 34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7">
                  <a:moveTo>
                    <a:pt x="9523" y="3477"/>
                  </a:moveTo>
                  <a:lnTo>
                    <a:pt x="9541" y="3372"/>
                  </a:lnTo>
                  <a:lnTo>
                    <a:pt x="0" y="0"/>
                  </a:lnTo>
                  <a:lnTo>
                    <a:pt x="9523" y="347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6" name="Freeform 87">
              <a:extLst>
                <a:ext uri="{FF2B5EF4-FFF2-40B4-BE49-F238E27FC236}">
                  <a16:creationId xmlns:a16="http://schemas.microsoft.com/office/drawing/2014/main" id="{8AFA957E-BA38-45CD-BD4E-C4CB0DD2CCE2}"/>
                </a:ext>
              </a:extLst>
            </xdr:cNvPr>
            <xdr:cNvSpPr>
              <a:spLocks/>
            </xdr:cNvSpPr>
          </xdr:nvSpPr>
          <xdr:spPr bwMode="auto">
            <a:xfrm>
              <a:off x="1028" y="237"/>
              <a:ext cx="162" cy="59"/>
            </a:xfrm>
            <a:custGeom>
              <a:avLst/>
              <a:gdLst>
                <a:gd name="T0" fmla="*/ 9541 w 9541"/>
                <a:gd name="T1" fmla="*/ 3478 h 3478"/>
                <a:gd name="T2" fmla="*/ 0 w 9541"/>
                <a:gd name="T3" fmla="*/ 106 h 3478"/>
                <a:gd name="T4" fmla="*/ 18 w 9541"/>
                <a:gd name="T5" fmla="*/ 0 h 3478"/>
                <a:gd name="T6" fmla="*/ 9541 w 9541"/>
                <a:gd name="T7" fmla="*/ 3478 h 34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8">
                  <a:moveTo>
                    <a:pt x="9541" y="3478"/>
                  </a:moveTo>
                  <a:lnTo>
                    <a:pt x="0" y="106"/>
                  </a:lnTo>
                  <a:lnTo>
                    <a:pt x="18" y="0"/>
                  </a:lnTo>
                  <a:lnTo>
                    <a:pt x="9541" y="3478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7" name="Freeform 88">
              <a:extLst>
                <a:ext uri="{FF2B5EF4-FFF2-40B4-BE49-F238E27FC236}">
                  <a16:creationId xmlns:a16="http://schemas.microsoft.com/office/drawing/2014/main" id="{07898880-99BB-466F-96E1-E721A8DCB247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35 w 11553"/>
                <a:gd name="T1" fmla="*/ 106 h 106"/>
                <a:gd name="T2" fmla="*/ 11553 w 11553"/>
                <a:gd name="T3" fmla="*/ 0 h 106"/>
                <a:gd name="T4" fmla="*/ 0 w 11553"/>
                <a:gd name="T5" fmla="*/ 106 h 106"/>
                <a:gd name="T6" fmla="*/ 11535 w 11553"/>
                <a:gd name="T7" fmla="*/ 106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35" y="106"/>
                  </a:moveTo>
                  <a:lnTo>
                    <a:pt x="11553" y="0"/>
                  </a:lnTo>
                  <a:lnTo>
                    <a:pt x="0" y="106"/>
                  </a:lnTo>
                  <a:lnTo>
                    <a:pt x="11535" y="10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8" name="Freeform 89">
              <a:extLst>
                <a:ext uri="{FF2B5EF4-FFF2-40B4-BE49-F238E27FC236}">
                  <a16:creationId xmlns:a16="http://schemas.microsoft.com/office/drawing/2014/main" id="{BB505FD1-ABB9-47E7-986E-AAA3BCF174D4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53 w 11553"/>
                <a:gd name="T1" fmla="*/ 0 h 106"/>
                <a:gd name="T2" fmla="*/ 0 w 11553"/>
                <a:gd name="T3" fmla="*/ 106 h 106"/>
                <a:gd name="T4" fmla="*/ 0 w 11553"/>
                <a:gd name="T5" fmla="*/ 0 h 106"/>
                <a:gd name="T6" fmla="*/ 11553 w 115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53" y="0"/>
                  </a:moveTo>
                  <a:lnTo>
                    <a:pt x="0" y="106"/>
                  </a:lnTo>
                  <a:lnTo>
                    <a:pt x="0" y="0"/>
                  </a:lnTo>
                  <a:lnTo>
                    <a:pt x="1155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9" name="Freeform 90">
              <a:extLst>
                <a:ext uri="{FF2B5EF4-FFF2-40B4-BE49-F238E27FC236}">
                  <a16:creationId xmlns:a16="http://schemas.microsoft.com/office/drawing/2014/main" id="{E637B18B-2F24-49CD-8B7E-EE921D3995F7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76"/>
                <a:gd name="T1" fmla="*/ 7696 h 7794"/>
                <a:gd name="T2" fmla="*/ 36 w 21076"/>
                <a:gd name="T3" fmla="*/ 7794 h 7794"/>
                <a:gd name="T4" fmla="*/ 21076 w 21076"/>
                <a:gd name="T5" fmla="*/ 0 h 7794"/>
                <a:gd name="T6" fmla="*/ 0 w 21076"/>
                <a:gd name="T7" fmla="*/ 7696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76" h="7794">
                  <a:moveTo>
                    <a:pt x="0" y="7696"/>
                  </a:moveTo>
                  <a:lnTo>
                    <a:pt x="36" y="7794"/>
                  </a:lnTo>
                  <a:lnTo>
                    <a:pt x="21076" y="0"/>
                  </a:lnTo>
                  <a:lnTo>
                    <a:pt x="0" y="769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0" name="Freeform 91">
              <a:extLst>
                <a:ext uri="{FF2B5EF4-FFF2-40B4-BE49-F238E27FC236}">
                  <a16:creationId xmlns:a16="http://schemas.microsoft.com/office/drawing/2014/main" id="{55605CE8-7982-4377-A1B1-EC2DDDFF932C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58"/>
                <a:gd name="T1" fmla="*/ 7794 h 7794"/>
                <a:gd name="T2" fmla="*/ 21040 w 21058"/>
                <a:gd name="T3" fmla="*/ 0 h 7794"/>
                <a:gd name="T4" fmla="*/ 21058 w 21058"/>
                <a:gd name="T5" fmla="*/ 107 h 7794"/>
                <a:gd name="T6" fmla="*/ 0 w 21058"/>
                <a:gd name="T7" fmla="*/ 7794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58" h="7794">
                  <a:moveTo>
                    <a:pt x="0" y="7794"/>
                  </a:moveTo>
                  <a:lnTo>
                    <a:pt x="21040" y="0"/>
                  </a:lnTo>
                  <a:lnTo>
                    <a:pt x="21058" y="107"/>
                  </a:lnTo>
                  <a:lnTo>
                    <a:pt x="0" y="779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1" name="Freeform 92">
              <a:extLst>
                <a:ext uri="{FF2B5EF4-FFF2-40B4-BE49-F238E27FC236}">
                  <a16:creationId xmlns:a16="http://schemas.microsoft.com/office/drawing/2014/main" id="{B0C9B961-A4D7-4021-BE21-5F0225AFC132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79"/>
                <a:gd name="T1" fmla="*/ 0 h 107"/>
                <a:gd name="T2" fmla="*/ 18 w 1979"/>
                <a:gd name="T3" fmla="*/ 107 h 107"/>
                <a:gd name="T4" fmla="*/ 1979 w 1979"/>
                <a:gd name="T5" fmla="*/ 0 h 107"/>
                <a:gd name="T6" fmla="*/ 0 w 1979"/>
                <a:gd name="T7" fmla="*/ 0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7">
                  <a:moveTo>
                    <a:pt x="0" y="0"/>
                  </a:moveTo>
                  <a:lnTo>
                    <a:pt x="18" y="107"/>
                  </a:lnTo>
                  <a:lnTo>
                    <a:pt x="1979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2" name="Freeform 93">
              <a:extLst>
                <a:ext uri="{FF2B5EF4-FFF2-40B4-BE49-F238E27FC236}">
                  <a16:creationId xmlns:a16="http://schemas.microsoft.com/office/drawing/2014/main" id="{53375BA7-4A3F-4017-8D0F-D71D462A55F3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61"/>
                <a:gd name="T1" fmla="*/ 107 h 107"/>
                <a:gd name="T2" fmla="*/ 1961 w 1961"/>
                <a:gd name="T3" fmla="*/ 0 h 107"/>
                <a:gd name="T4" fmla="*/ 1961 w 1961"/>
                <a:gd name="T5" fmla="*/ 107 h 107"/>
                <a:gd name="T6" fmla="*/ 0 w 1961"/>
                <a:gd name="T7" fmla="*/ 107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61" h="107">
                  <a:moveTo>
                    <a:pt x="0" y="107"/>
                  </a:moveTo>
                  <a:lnTo>
                    <a:pt x="1961" y="0"/>
                  </a:lnTo>
                  <a:lnTo>
                    <a:pt x="1961" y="107"/>
                  </a:lnTo>
                  <a:lnTo>
                    <a:pt x="0" y="10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3" name="Line 94">
              <a:extLst>
                <a:ext uri="{FF2B5EF4-FFF2-40B4-BE49-F238E27FC236}">
                  <a16:creationId xmlns:a16="http://schemas.microsoft.com/office/drawing/2014/main" id="{D43D1092-63AF-4BBB-9979-E85DD641D32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928" y="202"/>
              <a:ext cx="262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4" name="Line 95">
              <a:extLst>
                <a:ext uri="{FF2B5EF4-FFF2-40B4-BE49-F238E27FC236}">
                  <a16:creationId xmlns:a16="http://schemas.microsoft.com/office/drawing/2014/main" id="{F8E11515-4269-4DA2-BA50-B596E5ED220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93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5" name="Line 96">
              <a:extLst>
                <a:ext uri="{FF2B5EF4-FFF2-40B4-BE49-F238E27FC236}">
                  <a16:creationId xmlns:a16="http://schemas.microsoft.com/office/drawing/2014/main" id="{AC1C5053-FFEB-4471-9147-92FF8535A60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8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6" name="Line 97">
              <a:extLst>
                <a:ext uri="{FF2B5EF4-FFF2-40B4-BE49-F238E27FC236}">
                  <a16:creationId xmlns:a16="http://schemas.microsoft.com/office/drawing/2014/main" id="{6901530A-A1F9-478E-BD54-120B14D1516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7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7" name="Line 98">
              <a:extLst>
                <a:ext uri="{FF2B5EF4-FFF2-40B4-BE49-F238E27FC236}">
                  <a16:creationId xmlns:a16="http://schemas.microsoft.com/office/drawing/2014/main" id="{0D23ED25-1AFB-43DE-AD4B-74B75DBF911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6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8" name="Line 99">
              <a:extLst>
                <a:ext uri="{FF2B5EF4-FFF2-40B4-BE49-F238E27FC236}">
                  <a16:creationId xmlns:a16="http://schemas.microsoft.com/office/drawing/2014/main" id="{191C8D4D-7D5F-40E0-A2B1-6F60C7DB3B7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9" name="Line 100">
              <a:extLst>
                <a:ext uri="{FF2B5EF4-FFF2-40B4-BE49-F238E27FC236}">
                  <a16:creationId xmlns:a16="http://schemas.microsoft.com/office/drawing/2014/main" id="{1EB97345-A099-4141-86ED-5597BFEE9DD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0" name="Line 101">
              <a:extLst>
                <a:ext uri="{FF2B5EF4-FFF2-40B4-BE49-F238E27FC236}">
                  <a16:creationId xmlns:a16="http://schemas.microsoft.com/office/drawing/2014/main" id="{8952C450-4D81-4846-96EE-60260EB680C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4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1" name="Line 102">
              <a:extLst>
                <a:ext uri="{FF2B5EF4-FFF2-40B4-BE49-F238E27FC236}">
                  <a16:creationId xmlns:a16="http://schemas.microsoft.com/office/drawing/2014/main" id="{5C2A229C-E826-4F0B-A690-C5E3B93ABB5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3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2" name="Line 103">
              <a:extLst>
                <a:ext uri="{FF2B5EF4-FFF2-40B4-BE49-F238E27FC236}">
                  <a16:creationId xmlns:a16="http://schemas.microsoft.com/office/drawing/2014/main" id="{163C3F58-B102-4E16-B0DD-B8ECEA029BE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2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3" name="Line 104">
              <a:extLst>
                <a:ext uri="{FF2B5EF4-FFF2-40B4-BE49-F238E27FC236}">
                  <a16:creationId xmlns:a16="http://schemas.microsoft.com/office/drawing/2014/main" id="{BA62805B-5EA5-46C7-A8E5-A32E8C31220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1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4" name="Line 105">
              <a:extLst>
                <a:ext uri="{FF2B5EF4-FFF2-40B4-BE49-F238E27FC236}">
                  <a16:creationId xmlns:a16="http://schemas.microsoft.com/office/drawing/2014/main" id="{4CD34FC0-5282-4D9F-801C-7FA5E1CEFBF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5" name="Line 106">
              <a:extLst>
                <a:ext uri="{FF2B5EF4-FFF2-40B4-BE49-F238E27FC236}">
                  <a16:creationId xmlns:a16="http://schemas.microsoft.com/office/drawing/2014/main" id="{81435F87-122D-4141-AE6D-B10D964C8E6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2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6" name="Line 107">
              <a:extLst>
                <a:ext uri="{FF2B5EF4-FFF2-40B4-BE49-F238E27FC236}">
                  <a16:creationId xmlns:a16="http://schemas.microsoft.com/office/drawing/2014/main" id="{58C5CAEA-28C8-4A63-AEFC-6073EF5178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7" name="Line 108">
              <a:extLst>
                <a:ext uri="{FF2B5EF4-FFF2-40B4-BE49-F238E27FC236}">
                  <a16:creationId xmlns:a16="http://schemas.microsoft.com/office/drawing/2014/main" id="{A0594096-7DB8-4807-A18E-84E19BE2401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8" name="Line 109">
              <a:extLst>
                <a:ext uri="{FF2B5EF4-FFF2-40B4-BE49-F238E27FC236}">
                  <a16:creationId xmlns:a16="http://schemas.microsoft.com/office/drawing/2014/main" id="{5BA40B0A-BD52-4BAE-9ED9-C5412E20D11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9" name="Line 110">
              <a:extLst>
                <a:ext uri="{FF2B5EF4-FFF2-40B4-BE49-F238E27FC236}">
                  <a16:creationId xmlns:a16="http://schemas.microsoft.com/office/drawing/2014/main" id="{054F3403-613C-4A5D-B816-5C65E625D5D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0" name="Line 111">
              <a:extLst>
                <a:ext uri="{FF2B5EF4-FFF2-40B4-BE49-F238E27FC236}">
                  <a16:creationId xmlns:a16="http://schemas.microsoft.com/office/drawing/2014/main" id="{0207BE66-3928-4DAE-90FA-13208428EAA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1" name="Line 112">
              <a:extLst>
                <a:ext uri="{FF2B5EF4-FFF2-40B4-BE49-F238E27FC236}">
                  <a16:creationId xmlns:a16="http://schemas.microsoft.com/office/drawing/2014/main" id="{0235AFE8-22C0-48DA-A7C9-35AF2A0D1FE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2" name="Line 113">
              <a:extLst>
                <a:ext uri="{FF2B5EF4-FFF2-40B4-BE49-F238E27FC236}">
                  <a16:creationId xmlns:a16="http://schemas.microsoft.com/office/drawing/2014/main" id="{5ECBA2AA-B718-493B-8AB0-78313A1C262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3" name="Line 114">
              <a:extLst>
                <a:ext uri="{FF2B5EF4-FFF2-40B4-BE49-F238E27FC236}">
                  <a16:creationId xmlns:a16="http://schemas.microsoft.com/office/drawing/2014/main" id="{1C3B5672-8824-4018-BE19-AB63BC3A425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4" name="Line 115">
              <a:extLst>
                <a:ext uri="{FF2B5EF4-FFF2-40B4-BE49-F238E27FC236}">
                  <a16:creationId xmlns:a16="http://schemas.microsoft.com/office/drawing/2014/main" id="{46DCCC29-7811-4C07-954A-EE45CA4F7C5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5" name="Line 116">
              <a:extLst>
                <a:ext uri="{FF2B5EF4-FFF2-40B4-BE49-F238E27FC236}">
                  <a16:creationId xmlns:a16="http://schemas.microsoft.com/office/drawing/2014/main" id="{F8B5FFA8-C72C-4615-BAE9-4D8B8DEECC2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6" name="Line 117">
              <a:extLst>
                <a:ext uri="{FF2B5EF4-FFF2-40B4-BE49-F238E27FC236}">
                  <a16:creationId xmlns:a16="http://schemas.microsoft.com/office/drawing/2014/main" id="{3DEDF0F5-B197-4378-A2C7-48D1434726C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7" name="Line 118">
              <a:extLst>
                <a:ext uri="{FF2B5EF4-FFF2-40B4-BE49-F238E27FC236}">
                  <a16:creationId xmlns:a16="http://schemas.microsoft.com/office/drawing/2014/main" id="{79BBF31D-E437-43B1-B8C8-957A3172B5D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8" name="Line 119">
              <a:extLst>
                <a:ext uri="{FF2B5EF4-FFF2-40B4-BE49-F238E27FC236}">
                  <a16:creationId xmlns:a16="http://schemas.microsoft.com/office/drawing/2014/main" id="{97A41167-9F0D-40F3-99D1-91A24F8CDBA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9" name="Line 120">
              <a:extLst>
                <a:ext uri="{FF2B5EF4-FFF2-40B4-BE49-F238E27FC236}">
                  <a16:creationId xmlns:a16="http://schemas.microsoft.com/office/drawing/2014/main" id="{88246396-4EA0-44C0-BFB3-D0660886405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0" name="Line 121">
              <a:extLst>
                <a:ext uri="{FF2B5EF4-FFF2-40B4-BE49-F238E27FC236}">
                  <a16:creationId xmlns:a16="http://schemas.microsoft.com/office/drawing/2014/main" id="{FCD765CD-E639-44E8-8F90-D19B3A5E0C3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1" name="Line 122">
              <a:extLst>
                <a:ext uri="{FF2B5EF4-FFF2-40B4-BE49-F238E27FC236}">
                  <a16:creationId xmlns:a16="http://schemas.microsoft.com/office/drawing/2014/main" id="{2DB90413-FBA8-4F75-9F2C-63C3B34B2CA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2" name="Line 123">
              <a:extLst>
                <a:ext uri="{FF2B5EF4-FFF2-40B4-BE49-F238E27FC236}">
                  <a16:creationId xmlns:a16="http://schemas.microsoft.com/office/drawing/2014/main" id="{64FB950F-96F2-4688-9603-777745EB71B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3" name="Line 124">
              <a:extLst>
                <a:ext uri="{FF2B5EF4-FFF2-40B4-BE49-F238E27FC236}">
                  <a16:creationId xmlns:a16="http://schemas.microsoft.com/office/drawing/2014/main" id="{B60DF997-DAA5-4948-9BA8-906AD8926C2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4" name="Line 125">
              <a:extLst>
                <a:ext uri="{FF2B5EF4-FFF2-40B4-BE49-F238E27FC236}">
                  <a16:creationId xmlns:a16="http://schemas.microsoft.com/office/drawing/2014/main" id="{028C2421-F9A2-4B05-99CA-08E604D756C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5" name="Line 126">
              <a:extLst>
                <a:ext uri="{FF2B5EF4-FFF2-40B4-BE49-F238E27FC236}">
                  <a16:creationId xmlns:a16="http://schemas.microsoft.com/office/drawing/2014/main" id="{0B41CD37-2444-4114-8ED8-EE0B41420A0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6" name="Line 127">
              <a:extLst>
                <a:ext uri="{FF2B5EF4-FFF2-40B4-BE49-F238E27FC236}">
                  <a16:creationId xmlns:a16="http://schemas.microsoft.com/office/drawing/2014/main" id="{1BA92187-CE41-4E56-8C3D-B4C23013494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7" name="Line 128">
              <a:extLst>
                <a:ext uri="{FF2B5EF4-FFF2-40B4-BE49-F238E27FC236}">
                  <a16:creationId xmlns:a16="http://schemas.microsoft.com/office/drawing/2014/main" id="{575AB175-7989-4750-B0E6-487C46D8C1B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8" name="Line 129">
              <a:extLst>
                <a:ext uri="{FF2B5EF4-FFF2-40B4-BE49-F238E27FC236}">
                  <a16:creationId xmlns:a16="http://schemas.microsoft.com/office/drawing/2014/main" id="{E79A9534-7BD9-481B-B336-8AEF8FEDDC5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9" name="Line 130">
              <a:extLst>
                <a:ext uri="{FF2B5EF4-FFF2-40B4-BE49-F238E27FC236}">
                  <a16:creationId xmlns:a16="http://schemas.microsoft.com/office/drawing/2014/main" id="{67E3544C-FAC0-42D1-BC71-58E6A343674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0" name="Line 131">
              <a:extLst>
                <a:ext uri="{FF2B5EF4-FFF2-40B4-BE49-F238E27FC236}">
                  <a16:creationId xmlns:a16="http://schemas.microsoft.com/office/drawing/2014/main" id="{34068C5F-5160-48B5-B52E-88CB94F3A2F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1" name="Line 132">
              <a:extLst>
                <a:ext uri="{FF2B5EF4-FFF2-40B4-BE49-F238E27FC236}">
                  <a16:creationId xmlns:a16="http://schemas.microsoft.com/office/drawing/2014/main" id="{58DB8CE4-1818-4AFF-A0B4-A0FF2914658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2" name="Line 133">
              <a:extLst>
                <a:ext uri="{FF2B5EF4-FFF2-40B4-BE49-F238E27FC236}">
                  <a16:creationId xmlns:a16="http://schemas.microsoft.com/office/drawing/2014/main" id="{D169FFA3-47AD-486E-A839-043D9631D5C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3" name="Line 134">
              <a:extLst>
                <a:ext uri="{FF2B5EF4-FFF2-40B4-BE49-F238E27FC236}">
                  <a16:creationId xmlns:a16="http://schemas.microsoft.com/office/drawing/2014/main" id="{A49DF534-8A6A-4D79-83D6-22C1DAE3C70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4" name="Line 135">
              <a:extLst>
                <a:ext uri="{FF2B5EF4-FFF2-40B4-BE49-F238E27FC236}">
                  <a16:creationId xmlns:a16="http://schemas.microsoft.com/office/drawing/2014/main" id="{CC2749AF-CD7E-4AA3-80CD-F128E7E43BD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5" name="Line 136">
              <a:extLst>
                <a:ext uri="{FF2B5EF4-FFF2-40B4-BE49-F238E27FC236}">
                  <a16:creationId xmlns:a16="http://schemas.microsoft.com/office/drawing/2014/main" id="{E8EDC24D-4CD4-40C7-8979-4CDBE060400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6" name="Line 137">
              <a:extLst>
                <a:ext uri="{FF2B5EF4-FFF2-40B4-BE49-F238E27FC236}">
                  <a16:creationId xmlns:a16="http://schemas.microsoft.com/office/drawing/2014/main" id="{00B3DEFD-D167-49F8-BAB6-875AC62AFE3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7" name="Line 138">
              <a:extLst>
                <a:ext uri="{FF2B5EF4-FFF2-40B4-BE49-F238E27FC236}">
                  <a16:creationId xmlns:a16="http://schemas.microsoft.com/office/drawing/2014/main" id="{60C537F1-D5CE-4EB9-BF8D-0C4DC4DB224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8" name="Line 139">
              <a:extLst>
                <a:ext uri="{FF2B5EF4-FFF2-40B4-BE49-F238E27FC236}">
                  <a16:creationId xmlns:a16="http://schemas.microsoft.com/office/drawing/2014/main" id="{CC4BFF1C-F157-4770-A3AA-02E2E768C51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9" name="Line 140">
              <a:extLst>
                <a:ext uri="{FF2B5EF4-FFF2-40B4-BE49-F238E27FC236}">
                  <a16:creationId xmlns:a16="http://schemas.microsoft.com/office/drawing/2014/main" id="{83511368-4DF2-4483-A8F2-FA93958614A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0" name="Line 141">
              <a:extLst>
                <a:ext uri="{FF2B5EF4-FFF2-40B4-BE49-F238E27FC236}">
                  <a16:creationId xmlns:a16="http://schemas.microsoft.com/office/drawing/2014/main" id="{762AAE9C-907B-4BB7-87C4-0FEBAE2E21E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1" name="Line 142">
              <a:extLst>
                <a:ext uri="{FF2B5EF4-FFF2-40B4-BE49-F238E27FC236}">
                  <a16:creationId xmlns:a16="http://schemas.microsoft.com/office/drawing/2014/main" id="{D746665B-F121-4288-9CAE-BB1E40F08C2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2" name="Line 143">
              <a:extLst>
                <a:ext uri="{FF2B5EF4-FFF2-40B4-BE49-F238E27FC236}">
                  <a16:creationId xmlns:a16="http://schemas.microsoft.com/office/drawing/2014/main" id="{98EAA3DA-D35A-4655-BA27-77B52627827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3" name="Line 144">
              <a:extLst>
                <a:ext uri="{FF2B5EF4-FFF2-40B4-BE49-F238E27FC236}">
                  <a16:creationId xmlns:a16="http://schemas.microsoft.com/office/drawing/2014/main" id="{16F95A3D-E990-4D97-A096-0E6BA02F14B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4" name="Line 145">
              <a:extLst>
                <a:ext uri="{FF2B5EF4-FFF2-40B4-BE49-F238E27FC236}">
                  <a16:creationId xmlns:a16="http://schemas.microsoft.com/office/drawing/2014/main" id="{E20B3092-8849-458E-9AD1-397A09FB929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5" name="Line 146">
              <a:extLst>
                <a:ext uri="{FF2B5EF4-FFF2-40B4-BE49-F238E27FC236}">
                  <a16:creationId xmlns:a16="http://schemas.microsoft.com/office/drawing/2014/main" id="{6C87C5B5-FF0D-449E-9B98-2395E379536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6" name="Line 147">
              <a:extLst>
                <a:ext uri="{FF2B5EF4-FFF2-40B4-BE49-F238E27FC236}">
                  <a16:creationId xmlns:a16="http://schemas.microsoft.com/office/drawing/2014/main" id="{29389DF1-421D-4D05-ACD8-65A64A91604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7" name="Line 148">
              <a:extLst>
                <a:ext uri="{FF2B5EF4-FFF2-40B4-BE49-F238E27FC236}">
                  <a16:creationId xmlns:a16="http://schemas.microsoft.com/office/drawing/2014/main" id="{7AC0A9C9-175B-4E8E-9AA6-FA912602873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8" name="Line 149">
              <a:extLst>
                <a:ext uri="{FF2B5EF4-FFF2-40B4-BE49-F238E27FC236}">
                  <a16:creationId xmlns:a16="http://schemas.microsoft.com/office/drawing/2014/main" id="{FCFA170B-C321-424A-BFA6-5F586C595BB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9" name="Line 150">
              <a:extLst>
                <a:ext uri="{FF2B5EF4-FFF2-40B4-BE49-F238E27FC236}">
                  <a16:creationId xmlns:a16="http://schemas.microsoft.com/office/drawing/2014/main" id="{94220274-E14A-4589-A768-3DC8A6068FA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0" name="Line 151">
              <a:extLst>
                <a:ext uri="{FF2B5EF4-FFF2-40B4-BE49-F238E27FC236}">
                  <a16:creationId xmlns:a16="http://schemas.microsoft.com/office/drawing/2014/main" id="{9DC67D44-17AB-4558-B058-C8CC9CF3C59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1" name="Line 152">
              <a:extLst>
                <a:ext uri="{FF2B5EF4-FFF2-40B4-BE49-F238E27FC236}">
                  <a16:creationId xmlns:a16="http://schemas.microsoft.com/office/drawing/2014/main" id="{AB7ECE88-1EC0-4F1A-A0B4-E52BA4CF135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2" name="Line 153">
              <a:extLst>
                <a:ext uri="{FF2B5EF4-FFF2-40B4-BE49-F238E27FC236}">
                  <a16:creationId xmlns:a16="http://schemas.microsoft.com/office/drawing/2014/main" id="{31FE3435-FEE2-4801-A69B-2A1BD0499D8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3" name="Line 154">
              <a:extLst>
                <a:ext uri="{FF2B5EF4-FFF2-40B4-BE49-F238E27FC236}">
                  <a16:creationId xmlns:a16="http://schemas.microsoft.com/office/drawing/2014/main" id="{73215E31-8457-4B6B-8352-85C62701A07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4" name="Line 155">
              <a:extLst>
                <a:ext uri="{FF2B5EF4-FFF2-40B4-BE49-F238E27FC236}">
                  <a16:creationId xmlns:a16="http://schemas.microsoft.com/office/drawing/2014/main" id="{7DAE9B38-4763-4304-82BC-CD99A98BD21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5" name="Line 156">
              <a:extLst>
                <a:ext uri="{FF2B5EF4-FFF2-40B4-BE49-F238E27FC236}">
                  <a16:creationId xmlns:a16="http://schemas.microsoft.com/office/drawing/2014/main" id="{E0D6F083-EEA3-4769-9A22-642ECC4BA84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6" name="Line 157">
              <a:extLst>
                <a:ext uri="{FF2B5EF4-FFF2-40B4-BE49-F238E27FC236}">
                  <a16:creationId xmlns:a16="http://schemas.microsoft.com/office/drawing/2014/main" id="{57BC5A99-6B84-423E-AA85-7EEDE92CB77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7" name="Line 158">
              <a:extLst>
                <a:ext uri="{FF2B5EF4-FFF2-40B4-BE49-F238E27FC236}">
                  <a16:creationId xmlns:a16="http://schemas.microsoft.com/office/drawing/2014/main" id="{11043E76-19E2-4D10-AB4F-C3A5652116D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8" name="Line 159">
              <a:extLst>
                <a:ext uri="{FF2B5EF4-FFF2-40B4-BE49-F238E27FC236}">
                  <a16:creationId xmlns:a16="http://schemas.microsoft.com/office/drawing/2014/main" id="{BA6C47DD-C93D-4207-971E-5D4C1002516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9" name="Line 160">
              <a:extLst>
                <a:ext uri="{FF2B5EF4-FFF2-40B4-BE49-F238E27FC236}">
                  <a16:creationId xmlns:a16="http://schemas.microsoft.com/office/drawing/2014/main" id="{96C46EFF-789E-4548-B1B3-0317400B4B2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0" name="Line 161">
              <a:extLst>
                <a:ext uri="{FF2B5EF4-FFF2-40B4-BE49-F238E27FC236}">
                  <a16:creationId xmlns:a16="http://schemas.microsoft.com/office/drawing/2014/main" id="{D6DB96B9-69E3-4E37-A498-CB2E405E9E6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1" name="Line 162">
              <a:extLst>
                <a:ext uri="{FF2B5EF4-FFF2-40B4-BE49-F238E27FC236}">
                  <a16:creationId xmlns:a16="http://schemas.microsoft.com/office/drawing/2014/main" id="{58BF262F-6EFF-4C3A-87B6-E893C594EEE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2" name="Line 163">
              <a:extLst>
                <a:ext uri="{FF2B5EF4-FFF2-40B4-BE49-F238E27FC236}">
                  <a16:creationId xmlns:a16="http://schemas.microsoft.com/office/drawing/2014/main" id="{CF2722F0-39B0-452C-AC57-5B00E4EB175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3" name="Line 164">
              <a:extLst>
                <a:ext uri="{FF2B5EF4-FFF2-40B4-BE49-F238E27FC236}">
                  <a16:creationId xmlns:a16="http://schemas.microsoft.com/office/drawing/2014/main" id="{4707748E-E7C5-4684-A730-E60F817C538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4" name="Line 165">
              <a:extLst>
                <a:ext uri="{FF2B5EF4-FFF2-40B4-BE49-F238E27FC236}">
                  <a16:creationId xmlns:a16="http://schemas.microsoft.com/office/drawing/2014/main" id="{231EC189-08F6-4662-80B0-3690D86A88E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5" name="Line 166">
              <a:extLst>
                <a:ext uri="{FF2B5EF4-FFF2-40B4-BE49-F238E27FC236}">
                  <a16:creationId xmlns:a16="http://schemas.microsoft.com/office/drawing/2014/main" id="{8442DC1E-D42E-4F56-9425-8B3BE19ECBF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6" name="Line 167">
              <a:extLst>
                <a:ext uri="{FF2B5EF4-FFF2-40B4-BE49-F238E27FC236}">
                  <a16:creationId xmlns:a16="http://schemas.microsoft.com/office/drawing/2014/main" id="{4A4B890D-315B-41B8-B072-AB8385063BB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7" name="Line 168">
              <a:extLst>
                <a:ext uri="{FF2B5EF4-FFF2-40B4-BE49-F238E27FC236}">
                  <a16:creationId xmlns:a16="http://schemas.microsoft.com/office/drawing/2014/main" id="{0BCE6AEC-0CFA-4BD0-BEBA-BDDD16DA2CC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8" name="Line 169">
              <a:extLst>
                <a:ext uri="{FF2B5EF4-FFF2-40B4-BE49-F238E27FC236}">
                  <a16:creationId xmlns:a16="http://schemas.microsoft.com/office/drawing/2014/main" id="{80BB2E0F-A824-4915-BC50-40D34FB04BF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9" name="Line 170">
              <a:extLst>
                <a:ext uri="{FF2B5EF4-FFF2-40B4-BE49-F238E27FC236}">
                  <a16:creationId xmlns:a16="http://schemas.microsoft.com/office/drawing/2014/main" id="{0093B307-02D7-4423-B612-2E551EC3423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0" name="Line 171">
              <a:extLst>
                <a:ext uri="{FF2B5EF4-FFF2-40B4-BE49-F238E27FC236}">
                  <a16:creationId xmlns:a16="http://schemas.microsoft.com/office/drawing/2014/main" id="{F372A367-0839-49CF-ADC7-51BF42FBE4D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33" y="202"/>
              <a:ext cx="95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1" name="Freeform 172">
              <a:extLst>
                <a:ext uri="{FF2B5EF4-FFF2-40B4-BE49-F238E27FC236}">
                  <a16:creationId xmlns:a16="http://schemas.microsoft.com/office/drawing/2014/main" id="{4DEF3714-216F-424D-A831-6296AE8CA561}"/>
                </a:ext>
              </a:extLst>
            </xdr:cNvPr>
            <xdr:cNvSpPr>
              <a:spLocks/>
            </xdr:cNvSpPr>
          </xdr:nvSpPr>
          <xdr:spPr bwMode="auto">
            <a:xfrm>
              <a:off x="821" y="188"/>
              <a:ext cx="6" cy="9"/>
            </a:xfrm>
            <a:custGeom>
              <a:avLst/>
              <a:gdLst>
                <a:gd name="T0" fmla="*/ 0 w 351"/>
                <a:gd name="T1" fmla="*/ 526 h 526"/>
                <a:gd name="T2" fmla="*/ 0 w 351"/>
                <a:gd name="T3" fmla="*/ 351 h 526"/>
                <a:gd name="T4" fmla="*/ 176 w 351"/>
                <a:gd name="T5" fmla="*/ 0 h 526"/>
                <a:gd name="T6" fmla="*/ 351 w 351"/>
                <a:gd name="T7" fmla="*/ 351 h 526"/>
                <a:gd name="T8" fmla="*/ 351 w 351"/>
                <a:gd name="T9" fmla="*/ 526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526">
                  <a:moveTo>
                    <a:pt x="0" y="526"/>
                  </a:moveTo>
                  <a:lnTo>
                    <a:pt x="0" y="351"/>
                  </a:lnTo>
                  <a:lnTo>
                    <a:pt x="176" y="0"/>
                  </a:lnTo>
                  <a:lnTo>
                    <a:pt x="351" y="351"/>
                  </a:lnTo>
                  <a:lnTo>
                    <a:pt x="351" y="526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62" name="Line 173">
              <a:extLst>
                <a:ext uri="{FF2B5EF4-FFF2-40B4-BE49-F238E27FC236}">
                  <a16:creationId xmlns:a16="http://schemas.microsoft.com/office/drawing/2014/main" id="{88A71A0D-AE5D-4DBD-ACF4-6326411324C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1" y="194"/>
              <a:ext cx="6" cy="0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3" name="Freeform 174">
              <a:extLst>
                <a:ext uri="{FF2B5EF4-FFF2-40B4-BE49-F238E27FC236}">
                  <a16:creationId xmlns:a16="http://schemas.microsoft.com/office/drawing/2014/main" id="{DB05E311-285D-41CF-B3A0-4F5225BAF3AA}"/>
                </a:ext>
              </a:extLst>
            </xdr:cNvPr>
            <xdr:cNvSpPr>
              <a:spLocks/>
            </xdr:cNvSpPr>
          </xdr:nvSpPr>
          <xdr:spPr bwMode="auto">
            <a:xfrm>
              <a:off x="833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4" name="Freeform 175">
              <a:extLst>
                <a:ext uri="{FF2B5EF4-FFF2-40B4-BE49-F238E27FC236}">
                  <a16:creationId xmlns:a16="http://schemas.microsoft.com/office/drawing/2014/main" id="{D835B66E-0E76-4F63-A20F-21A397D6997F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5" name="Freeform 176">
              <a:extLst>
                <a:ext uri="{FF2B5EF4-FFF2-40B4-BE49-F238E27FC236}">
                  <a16:creationId xmlns:a16="http://schemas.microsoft.com/office/drawing/2014/main" id="{D8749C9F-8AF8-4EAB-A107-8C96D7CA1290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1" cy="2"/>
            </a:xfrm>
            <a:custGeom>
              <a:avLst/>
              <a:gdLst>
                <a:gd name="T0" fmla="*/ 53 w 53"/>
                <a:gd name="T1" fmla="*/ 14 h 106"/>
                <a:gd name="T2" fmla="*/ 0 w 53"/>
                <a:gd name="T3" fmla="*/ 0 h 106"/>
                <a:gd name="T4" fmla="*/ 0 w 53"/>
                <a:gd name="T5" fmla="*/ 106 h 106"/>
                <a:gd name="T6" fmla="*/ 53 w 53"/>
                <a:gd name="T7" fmla="*/ 14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14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53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6" name="Freeform 177">
              <a:extLst>
                <a:ext uri="{FF2B5EF4-FFF2-40B4-BE49-F238E27FC236}">
                  <a16:creationId xmlns:a16="http://schemas.microsoft.com/office/drawing/2014/main" id="{FB7F1F69-1682-48A2-9CD5-21CEA6724EC0}"/>
                </a:ext>
              </a:extLst>
            </xdr:cNvPr>
            <xdr:cNvSpPr>
              <a:spLocks/>
            </xdr:cNvSpPr>
          </xdr:nvSpPr>
          <xdr:spPr bwMode="auto">
            <a:xfrm>
              <a:off x="832" y="200"/>
              <a:ext cx="1" cy="2"/>
            </a:xfrm>
            <a:custGeom>
              <a:avLst/>
              <a:gdLst>
                <a:gd name="T0" fmla="*/ 53 w 53"/>
                <a:gd name="T1" fmla="*/ 0 h 106"/>
                <a:gd name="T2" fmla="*/ 0 w 53"/>
                <a:gd name="T3" fmla="*/ 14 h 106"/>
                <a:gd name="T4" fmla="*/ 53 w 53"/>
                <a:gd name="T5" fmla="*/ 106 h 106"/>
                <a:gd name="T6" fmla="*/ 53 w 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0"/>
                  </a:moveTo>
                  <a:lnTo>
                    <a:pt x="0" y="14"/>
                  </a:lnTo>
                  <a:lnTo>
                    <a:pt x="53" y="106"/>
                  </a:lnTo>
                  <a:lnTo>
                    <a:pt x="5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7" name="Freeform 178">
              <a:extLst>
                <a:ext uri="{FF2B5EF4-FFF2-40B4-BE49-F238E27FC236}">
                  <a16:creationId xmlns:a16="http://schemas.microsoft.com/office/drawing/2014/main" id="{3C79ACBF-3B6E-4C49-8F69-3DA61C6D20EB}"/>
                </a:ext>
              </a:extLst>
            </xdr:cNvPr>
            <xdr:cNvSpPr>
              <a:spLocks/>
            </xdr:cNvSpPr>
          </xdr:nvSpPr>
          <xdr:spPr bwMode="auto">
            <a:xfrm>
              <a:off x="831" y="200"/>
              <a:ext cx="2" cy="2"/>
            </a:xfrm>
            <a:custGeom>
              <a:avLst/>
              <a:gdLst>
                <a:gd name="T0" fmla="*/ 38 w 91"/>
                <a:gd name="T1" fmla="*/ 0 h 92"/>
                <a:gd name="T2" fmla="*/ 0 w 91"/>
                <a:gd name="T3" fmla="*/ 39 h 92"/>
                <a:gd name="T4" fmla="*/ 91 w 91"/>
                <a:gd name="T5" fmla="*/ 92 h 92"/>
                <a:gd name="T6" fmla="*/ 38 w 91"/>
                <a:gd name="T7" fmla="*/ 0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38" y="0"/>
                  </a:moveTo>
                  <a:lnTo>
                    <a:pt x="0" y="39"/>
                  </a:lnTo>
                  <a:lnTo>
                    <a:pt x="91" y="92"/>
                  </a:lnTo>
                  <a:lnTo>
                    <a:pt x="3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8" name="Freeform 179">
              <a:extLst>
                <a:ext uri="{FF2B5EF4-FFF2-40B4-BE49-F238E27FC236}">
                  <a16:creationId xmlns:a16="http://schemas.microsoft.com/office/drawing/2014/main" id="{EF0F125F-41A4-47FB-A187-E87851E013F4}"/>
                </a:ext>
              </a:extLst>
            </xdr:cNvPr>
            <xdr:cNvSpPr>
              <a:spLocks/>
            </xdr:cNvSpPr>
          </xdr:nvSpPr>
          <xdr:spPr bwMode="auto">
            <a:xfrm>
              <a:off x="831" y="201"/>
              <a:ext cx="2" cy="1"/>
            </a:xfrm>
            <a:custGeom>
              <a:avLst/>
              <a:gdLst>
                <a:gd name="T0" fmla="*/ 14 w 105"/>
                <a:gd name="T1" fmla="*/ 0 h 53"/>
                <a:gd name="T2" fmla="*/ 0 w 105"/>
                <a:gd name="T3" fmla="*/ 53 h 53"/>
                <a:gd name="T4" fmla="*/ 105 w 105"/>
                <a:gd name="T5" fmla="*/ 53 h 53"/>
                <a:gd name="T6" fmla="*/ 14 w 105"/>
                <a:gd name="T7" fmla="*/ 0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4" y="0"/>
                  </a:moveTo>
                  <a:lnTo>
                    <a:pt x="0" y="53"/>
                  </a:lnTo>
                  <a:lnTo>
                    <a:pt x="105" y="53"/>
                  </a:lnTo>
                  <a:lnTo>
                    <a:pt x="1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9" name="Freeform 180">
              <a:extLst>
                <a:ext uri="{FF2B5EF4-FFF2-40B4-BE49-F238E27FC236}">
                  <a16:creationId xmlns:a16="http://schemas.microsoft.com/office/drawing/2014/main" id="{2C84A1C0-B218-463C-BFFD-DBFA60D35FC5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105"/>
                <a:gd name="T1" fmla="*/ 0 h 52"/>
                <a:gd name="T2" fmla="*/ 14 w 105"/>
                <a:gd name="T3" fmla="*/ 52 h 52"/>
                <a:gd name="T4" fmla="*/ 105 w 105"/>
                <a:gd name="T5" fmla="*/ 0 h 52"/>
                <a:gd name="T6" fmla="*/ 0 w 105"/>
                <a:gd name="T7" fmla="*/ 0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0" y="0"/>
                  </a:moveTo>
                  <a:lnTo>
                    <a:pt x="14" y="52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0" name="Freeform 181">
              <a:extLst>
                <a:ext uri="{FF2B5EF4-FFF2-40B4-BE49-F238E27FC236}">
                  <a16:creationId xmlns:a16="http://schemas.microsoft.com/office/drawing/2014/main" id="{ABA9E45A-F8DC-433A-A0CA-B72A603A9CE1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91"/>
                <a:gd name="T1" fmla="*/ 52 h 91"/>
                <a:gd name="T2" fmla="*/ 38 w 91"/>
                <a:gd name="T3" fmla="*/ 91 h 91"/>
                <a:gd name="T4" fmla="*/ 91 w 91"/>
                <a:gd name="T5" fmla="*/ 0 h 91"/>
                <a:gd name="T6" fmla="*/ 0 w 91"/>
                <a:gd name="T7" fmla="*/ 52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0" y="52"/>
                  </a:moveTo>
                  <a:lnTo>
                    <a:pt x="38" y="91"/>
                  </a:lnTo>
                  <a:lnTo>
                    <a:pt x="91" y="0"/>
                  </a:lnTo>
                  <a:lnTo>
                    <a:pt x="0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1" name="Freeform 182">
              <a:extLst>
                <a:ext uri="{FF2B5EF4-FFF2-40B4-BE49-F238E27FC236}">
                  <a16:creationId xmlns:a16="http://schemas.microsoft.com/office/drawing/2014/main" id="{8B5C63EB-E832-4D44-AEFF-893A13AF4631}"/>
                </a:ext>
              </a:extLst>
            </xdr:cNvPr>
            <xdr:cNvSpPr>
              <a:spLocks/>
            </xdr:cNvSpPr>
          </xdr:nvSpPr>
          <xdr:spPr bwMode="auto">
            <a:xfrm>
              <a:off x="832" y="202"/>
              <a:ext cx="1" cy="2"/>
            </a:xfrm>
            <a:custGeom>
              <a:avLst/>
              <a:gdLst>
                <a:gd name="T0" fmla="*/ 0 w 53"/>
                <a:gd name="T1" fmla="*/ 91 h 105"/>
                <a:gd name="T2" fmla="*/ 53 w 53"/>
                <a:gd name="T3" fmla="*/ 105 h 105"/>
                <a:gd name="T4" fmla="*/ 53 w 53"/>
                <a:gd name="T5" fmla="*/ 0 h 105"/>
                <a:gd name="T6" fmla="*/ 0 w 53"/>
                <a:gd name="T7" fmla="*/ 9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91"/>
                  </a:moveTo>
                  <a:lnTo>
                    <a:pt x="53" y="105"/>
                  </a:lnTo>
                  <a:lnTo>
                    <a:pt x="53" y="0"/>
                  </a:lnTo>
                  <a:lnTo>
                    <a:pt x="0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2" name="Freeform 183">
              <a:extLst>
                <a:ext uri="{FF2B5EF4-FFF2-40B4-BE49-F238E27FC236}">
                  <a16:creationId xmlns:a16="http://schemas.microsoft.com/office/drawing/2014/main" id="{2B938D14-E245-44FC-9110-1C8063054840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1" cy="2"/>
            </a:xfrm>
            <a:custGeom>
              <a:avLst/>
              <a:gdLst>
                <a:gd name="T0" fmla="*/ 0 w 53"/>
                <a:gd name="T1" fmla="*/ 105 h 105"/>
                <a:gd name="T2" fmla="*/ 53 w 53"/>
                <a:gd name="T3" fmla="*/ 91 h 105"/>
                <a:gd name="T4" fmla="*/ 0 w 53"/>
                <a:gd name="T5" fmla="*/ 0 h 105"/>
                <a:gd name="T6" fmla="*/ 0 w 53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105"/>
                  </a:moveTo>
                  <a:lnTo>
                    <a:pt x="53" y="91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3" name="Freeform 184">
              <a:extLst>
                <a:ext uri="{FF2B5EF4-FFF2-40B4-BE49-F238E27FC236}">
                  <a16:creationId xmlns:a16="http://schemas.microsoft.com/office/drawing/2014/main" id="{B423D05B-F3F8-48FB-9EA0-194E5FB639E6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53 w 91"/>
                <a:gd name="T1" fmla="*/ 91 h 91"/>
                <a:gd name="T2" fmla="*/ 91 w 91"/>
                <a:gd name="T3" fmla="*/ 52 h 91"/>
                <a:gd name="T4" fmla="*/ 0 w 91"/>
                <a:gd name="T5" fmla="*/ 0 h 91"/>
                <a:gd name="T6" fmla="*/ 53 w 91"/>
                <a:gd name="T7" fmla="*/ 91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53" y="91"/>
                  </a:moveTo>
                  <a:lnTo>
                    <a:pt x="91" y="52"/>
                  </a:lnTo>
                  <a:lnTo>
                    <a:pt x="0" y="0"/>
                  </a:lnTo>
                  <a:lnTo>
                    <a:pt x="53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4" name="Freeform 185">
              <a:extLst>
                <a:ext uri="{FF2B5EF4-FFF2-40B4-BE49-F238E27FC236}">
                  <a16:creationId xmlns:a16="http://schemas.microsoft.com/office/drawing/2014/main" id="{4AF4D480-B5C4-459A-9DAE-03571E0EC4B6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91 w 105"/>
                <a:gd name="T1" fmla="*/ 52 h 52"/>
                <a:gd name="T2" fmla="*/ 105 w 105"/>
                <a:gd name="T3" fmla="*/ 0 h 52"/>
                <a:gd name="T4" fmla="*/ 0 w 105"/>
                <a:gd name="T5" fmla="*/ 0 h 52"/>
                <a:gd name="T6" fmla="*/ 91 w 105"/>
                <a:gd name="T7" fmla="*/ 52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91" y="52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91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5" name="Freeform 186">
              <a:extLst>
                <a:ext uri="{FF2B5EF4-FFF2-40B4-BE49-F238E27FC236}">
                  <a16:creationId xmlns:a16="http://schemas.microsoft.com/office/drawing/2014/main" id="{7824A422-778D-46BD-9409-EAD46C957EA2}"/>
                </a:ext>
              </a:extLst>
            </xdr:cNvPr>
            <xdr:cNvSpPr>
              <a:spLocks/>
            </xdr:cNvSpPr>
          </xdr:nvSpPr>
          <xdr:spPr bwMode="auto">
            <a:xfrm>
              <a:off x="916" y="192"/>
              <a:ext cx="6" cy="5"/>
            </a:xfrm>
            <a:custGeom>
              <a:avLst/>
              <a:gdLst>
                <a:gd name="T0" fmla="*/ 0 w 351"/>
                <a:gd name="T1" fmla="*/ 263 h 263"/>
                <a:gd name="T2" fmla="*/ 263 w 351"/>
                <a:gd name="T3" fmla="*/ 263 h 263"/>
                <a:gd name="T4" fmla="*/ 351 w 351"/>
                <a:gd name="T5" fmla="*/ 176 h 263"/>
                <a:gd name="T6" fmla="*/ 351 w 351"/>
                <a:gd name="T7" fmla="*/ 88 h 263"/>
                <a:gd name="T8" fmla="*/ 263 w 351"/>
                <a:gd name="T9" fmla="*/ 0 h 263"/>
                <a:gd name="T10" fmla="*/ 88 w 351"/>
                <a:gd name="T11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263">
                  <a:moveTo>
                    <a:pt x="0" y="263"/>
                  </a:moveTo>
                  <a:lnTo>
                    <a:pt x="263" y="263"/>
                  </a:lnTo>
                  <a:lnTo>
                    <a:pt x="351" y="176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88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6" name="Freeform 187">
              <a:extLst>
                <a:ext uri="{FF2B5EF4-FFF2-40B4-BE49-F238E27FC236}">
                  <a16:creationId xmlns:a16="http://schemas.microsoft.com/office/drawing/2014/main" id="{7233173D-277C-4AA4-B850-030A93D191B5}"/>
                </a:ext>
              </a:extLst>
            </xdr:cNvPr>
            <xdr:cNvSpPr>
              <a:spLocks/>
            </xdr:cNvSpPr>
          </xdr:nvSpPr>
          <xdr:spPr bwMode="auto">
            <a:xfrm>
              <a:off x="916" y="188"/>
              <a:ext cx="6" cy="4"/>
            </a:xfrm>
            <a:custGeom>
              <a:avLst/>
              <a:gdLst>
                <a:gd name="T0" fmla="*/ 263 w 351"/>
                <a:gd name="T1" fmla="*/ 263 h 263"/>
                <a:gd name="T2" fmla="*/ 351 w 351"/>
                <a:gd name="T3" fmla="*/ 175 h 263"/>
                <a:gd name="T4" fmla="*/ 351 w 351"/>
                <a:gd name="T5" fmla="*/ 88 h 263"/>
                <a:gd name="T6" fmla="*/ 263 w 351"/>
                <a:gd name="T7" fmla="*/ 0 h 263"/>
                <a:gd name="T8" fmla="*/ 0 w 351"/>
                <a:gd name="T9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263">
                  <a:moveTo>
                    <a:pt x="263" y="263"/>
                  </a:moveTo>
                  <a:lnTo>
                    <a:pt x="351" y="175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7" name="Line 188">
              <a:extLst>
                <a:ext uri="{FF2B5EF4-FFF2-40B4-BE49-F238E27FC236}">
                  <a16:creationId xmlns:a16="http://schemas.microsoft.com/office/drawing/2014/main" id="{8522B84B-5DF4-4D1F-872A-96D8070A61D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18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8" name="Freeform 189">
              <a:extLst>
                <a:ext uri="{FF2B5EF4-FFF2-40B4-BE49-F238E27FC236}">
                  <a16:creationId xmlns:a16="http://schemas.microsoft.com/office/drawing/2014/main" id="{9B9E6E07-BC6C-4E83-B350-94E49C6B78C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7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7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9" name="Freeform 190">
              <a:extLst>
                <a:ext uri="{FF2B5EF4-FFF2-40B4-BE49-F238E27FC236}">
                  <a16:creationId xmlns:a16="http://schemas.microsoft.com/office/drawing/2014/main" id="{A969C1F5-E6F9-415C-BE28-40BA4C86F92B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8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8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8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0" name="Freeform 191">
              <a:extLst>
                <a:ext uri="{FF2B5EF4-FFF2-40B4-BE49-F238E27FC236}">
                  <a16:creationId xmlns:a16="http://schemas.microsoft.com/office/drawing/2014/main" id="{F3FE2066-B3CB-4A02-928F-5DE3E59528BA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4 w 104"/>
                <a:gd name="T1" fmla="*/ 7 h 22"/>
                <a:gd name="T2" fmla="*/ 103 w 104"/>
                <a:gd name="T3" fmla="*/ 0 h 22"/>
                <a:gd name="T4" fmla="*/ 0 w 104"/>
                <a:gd name="T5" fmla="*/ 22 h 22"/>
                <a:gd name="T6" fmla="*/ 104 w 104"/>
                <a:gd name="T7" fmla="*/ 7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4" y="7"/>
                  </a:moveTo>
                  <a:lnTo>
                    <a:pt x="103" y="0"/>
                  </a:lnTo>
                  <a:lnTo>
                    <a:pt x="0" y="22"/>
                  </a:lnTo>
                  <a:lnTo>
                    <a:pt x="104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1" name="Freeform 192">
              <a:extLst>
                <a:ext uri="{FF2B5EF4-FFF2-40B4-BE49-F238E27FC236}">
                  <a16:creationId xmlns:a16="http://schemas.microsoft.com/office/drawing/2014/main" id="{32EC0D64-4B33-476E-B5F6-B843758B02A9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3 w 103"/>
                <a:gd name="T1" fmla="*/ 7 h 29"/>
                <a:gd name="T2" fmla="*/ 102 w 103"/>
                <a:gd name="T3" fmla="*/ 0 h 29"/>
                <a:gd name="T4" fmla="*/ 0 w 103"/>
                <a:gd name="T5" fmla="*/ 29 h 29"/>
                <a:gd name="T6" fmla="*/ 103 w 103"/>
                <a:gd name="T7" fmla="*/ 7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3" y="7"/>
                  </a:moveTo>
                  <a:lnTo>
                    <a:pt x="102" y="0"/>
                  </a:lnTo>
                  <a:lnTo>
                    <a:pt x="0" y="29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2" name="Freeform 193">
              <a:extLst>
                <a:ext uri="{FF2B5EF4-FFF2-40B4-BE49-F238E27FC236}">
                  <a16:creationId xmlns:a16="http://schemas.microsoft.com/office/drawing/2014/main" id="{66D3B3DA-42A4-46A7-84BE-1945CD2E6121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2 w 102"/>
                <a:gd name="T1" fmla="*/ 7 h 36"/>
                <a:gd name="T2" fmla="*/ 99 w 102"/>
                <a:gd name="T3" fmla="*/ 0 h 36"/>
                <a:gd name="T4" fmla="*/ 0 w 102"/>
                <a:gd name="T5" fmla="*/ 36 h 36"/>
                <a:gd name="T6" fmla="*/ 102 w 102"/>
                <a:gd name="T7" fmla="*/ 7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6">
                  <a:moveTo>
                    <a:pt x="102" y="7"/>
                  </a:moveTo>
                  <a:lnTo>
                    <a:pt x="99" y="0"/>
                  </a:lnTo>
                  <a:lnTo>
                    <a:pt x="0" y="36"/>
                  </a:lnTo>
                  <a:lnTo>
                    <a:pt x="102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3" name="Freeform 194">
              <a:extLst>
                <a:ext uri="{FF2B5EF4-FFF2-40B4-BE49-F238E27FC236}">
                  <a16:creationId xmlns:a16="http://schemas.microsoft.com/office/drawing/2014/main" id="{816B3EAD-50F0-4FA3-B974-17D9BD531E00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9 w 99"/>
                <a:gd name="T1" fmla="*/ 6 h 42"/>
                <a:gd name="T2" fmla="*/ 97 w 99"/>
                <a:gd name="T3" fmla="*/ 0 h 42"/>
                <a:gd name="T4" fmla="*/ 0 w 99"/>
                <a:gd name="T5" fmla="*/ 42 h 42"/>
                <a:gd name="T6" fmla="*/ 99 w 99"/>
                <a:gd name="T7" fmla="*/ 6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9" y="6"/>
                  </a:moveTo>
                  <a:lnTo>
                    <a:pt x="97" y="0"/>
                  </a:lnTo>
                  <a:lnTo>
                    <a:pt x="0" y="42"/>
                  </a:lnTo>
                  <a:lnTo>
                    <a:pt x="9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4" name="Freeform 195">
              <a:extLst>
                <a:ext uri="{FF2B5EF4-FFF2-40B4-BE49-F238E27FC236}">
                  <a16:creationId xmlns:a16="http://schemas.microsoft.com/office/drawing/2014/main" id="{F1C9B5AD-6D01-47BA-BA4C-8C9AAC006472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7 w 97"/>
                <a:gd name="T1" fmla="*/ 7 h 49"/>
                <a:gd name="T2" fmla="*/ 94 w 97"/>
                <a:gd name="T3" fmla="*/ 0 h 49"/>
                <a:gd name="T4" fmla="*/ 0 w 97"/>
                <a:gd name="T5" fmla="*/ 49 h 49"/>
                <a:gd name="T6" fmla="*/ 97 w 97"/>
                <a:gd name="T7" fmla="*/ 7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9">
                  <a:moveTo>
                    <a:pt x="97" y="7"/>
                  </a:moveTo>
                  <a:lnTo>
                    <a:pt x="94" y="0"/>
                  </a:lnTo>
                  <a:lnTo>
                    <a:pt x="0" y="49"/>
                  </a:lnTo>
                  <a:lnTo>
                    <a:pt x="97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5" name="Freeform 196">
              <a:extLst>
                <a:ext uri="{FF2B5EF4-FFF2-40B4-BE49-F238E27FC236}">
                  <a16:creationId xmlns:a16="http://schemas.microsoft.com/office/drawing/2014/main" id="{A719AAC9-B360-47C8-82FD-53D21DD81DFA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4 w 94"/>
                <a:gd name="T1" fmla="*/ 6 h 55"/>
                <a:gd name="T2" fmla="*/ 90 w 94"/>
                <a:gd name="T3" fmla="*/ 0 h 55"/>
                <a:gd name="T4" fmla="*/ 0 w 94"/>
                <a:gd name="T5" fmla="*/ 55 h 55"/>
                <a:gd name="T6" fmla="*/ 94 w 94"/>
                <a:gd name="T7" fmla="*/ 6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5">
                  <a:moveTo>
                    <a:pt x="94" y="6"/>
                  </a:moveTo>
                  <a:lnTo>
                    <a:pt x="90" y="0"/>
                  </a:lnTo>
                  <a:lnTo>
                    <a:pt x="0" y="55"/>
                  </a:lnTo>
                  <a:lnTo>
                    <a:pt x="9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6" name="Freeform 197">
              <a:extLst>
                <a:ext uri="{FF2B5EF4-FFF2-40B4-BE49-F238E27FC236}">
                  <a16:creationId xmlns:a16="http://schemas.microsoft.com/office/drawing/2014/main" id="{B2DE2E22-BEFB-41B6-A073-B9708C2DCB29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0 w 90"/>
                <a:gd name="T1" fmla="*/ 6 h 61"/>
                <a:gd name="T2" fmla="*/ 86 w 90"/>
                <a:gd name="T3" fmla="*/ 0 h 61"/>
                <a:gd name="T4" fmla="*/ 0 w 90"/>
                <a:gd name="T5" fmla="*/ 61 h 61"/>
                <a:gd name="T6" fmla="*/ 90 w 90"/>
                <a:gd name="T7" fmla="*/ 6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90" y="6"/>
                  </a:moveTo>
                  <a:lnTo>
                    <a:pt x="86" y="0"/>
                  </a:lnTo>
                  <a:lnTo>
                    <a:pt x="0" y="61"/>
                  </a:lnTo>
                  <a:lnTo>
                    <a:pt x="90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7" name="Freeform 198">
              <a:extLst>
                <a:ext uri="{FF2B5EF4-FFF2-40B4-BE49-F238E27FC236}">
                  <a16:creationId xmlns:a16="http://schemas.microsoft.com/office/drawing/2014/main" id="{737C217F-161E-4E9D-B72E-CFC91F5EB605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6 w 86"/>
                <a:gd name="T1" fmla="*/ 6 h 67"/>
                <a:gd name="T2" fmla="*/ 82 w 86"/>
                <a:gd name="T3" fmla="*/ 0 h 67"/>
                <a:gd name="T4" fmla="*/ 0 w 86"/>
                <a:gd name="T5" fmla="*/ 67 h 67"/>
                <a:gd name="T6" fmla="*/ 86 w 86"/>
                <a:gd name="T7" fmla="*/ 6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86" y="6"/>
                  </a:moveTo>
                  <a:lnTo>
                    <a:pt x="82" y="0"/>
                  </a:lnTo>
                  <a:lnTo>
                    <a:pt x="0" y="67"/>
                  </a:lnTo>
                  <a:lnTo>
                    <a:pt x="86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8" name="Freeform 199">
              <a:extLst>
                <a:ext uri="{FF2B5EF4-FFF2-40B4-BE49-F238E27FC236}">
                  <a16:creationId xmlns:a16="http://schemas.microsoft.com/office/drawing/2014/main" id="{8522A1AA-11BC-45DC-866F-8EAD5B7E044C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2 w 82"/>
                <a:gd name="T1" fmla="*/ 5 h 72"/>
                <a:gd name="T2" fmla="*/ 77 w 82"/>
                <a:gd name="T3" fmla="*/ 0 h 72"/>
                <a:gd name="T4" fmla="*/ 0 w 82"/>
                <a:gd name="T5" fmla="*/ 72 h 72"/>
                <a:gd name="T6" fmla="*/ 82 w 82"/>
                <a:gd name="T7" fmla="*/ 5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82" y="5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9" name="Freeform 200">
              <a:extLst>
                <a:ext uri="{FF2B5EF4-FFF2-40B4-BE49-F238E27FC236}">
                  <a16:creationId xmlns:a16="http://schemas.microsoft.com/office/drawing/2014/main" id="{D8ACBA51-E8D4-4A7E-A059-6A08CB9A9EB8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77 w 77"/>
                <a:gd name="T1" fmla="*/ 5 h 77"/>
                <a:gd name="T2" fmla="*/ 72 w 77"/>
                <a:gd name="T3" fmla="*/ 0 h 77"/>
                <a:gd name="T4" fmla="*/ 0 w 77"/>
                <a:gd name="T5" fmla="*/ 77 h 77"/>
                <a:gd name="T6" fmla="*/ 77 w 77"/>
                <a:gd name="T7" fmla="*/ 5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7" y="5"/>
                  </a:moveTo>
                  <a:lnTo>
                    <a:pt x="72" y="0"/>
                  </a:lnTo>
                  <a:lnTo>
                    <a:pt x="0" y="77"/>
                  </a:lnTo>
                  <a:lnTo>
                    <a:pt x="77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0" name="Freeform 201">
              <a:extLst>
                <a:ext uri="{FF2B5EF4-FFF2-40B4-BE49-F238E27FC236}">
                  <a16:creationId xmlns:a16="http://schemas.microsoft.com/office/drawing/2014/main" id="{B364FB48-C462-4B20-922C-F9CE4F655372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72 w 72"/>
                <a:gd name="T1" fmla="*/ 5 h 82"/>
                <a:gd name="T2" fmla="*/ 67 w 72"/>
                <a:gd name="T3" fmla="*/ 0 h 82"/>
                <a:gd name="T4" fmla="*/ 0 w 72"/>
                <a:gd name="T5" fmla="*/ 82 h 82"/>
                <a:gd name="T6" fmla="*/ 72 w 72"/>
                <a:gd name="T7" fmla="*/ 5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72" y="5"/>
                  </a:moveTo>
                  <a:lnTo>
                    <a:pt x="67" y="0"/>
                  </a:lnTo>
                  <a:lnTo>
                    <a:pt x="0" y="82"/>
                  </a:lnTo>
                  <a:lnTo>
                    <a:pt x="7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1" name="Freeform 202">
              <a:extLst>
                <a:ext uri="{FF2B5EF4-FFF2-40B4-BE49-F238E27FC236}">
                  <a16:creationId xmlns:a16="http://schemas.microsoft.com/office/drawing/2014/main" id="{08FDF2FA-7CBB-46C9-B17A-D5392C68367C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7 w 67"/>
                <a:gd name="T1" fmla="*/ 4 h 86"/>
                <a:gd name="T2" fmla="*/ 61 w 67"/>
                <a:gd name="T3" fmla="*/ 0 h 86"/>
                <a:gd name="T4" fmla="*/ 0 w 67"/>
                <a:gd name="T5" fmla="*/ 86 h 86"/>
                <a:gd name="T6" fmla="*/ 67 w 67"/>
                <a:gd name="T7" fmla="*/ 4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7" y="4"/>
                  </a:moveTo>
                  <a:lnTo>
                    <a:pt x="61" y="0"/>
                  </a:lnTo>
                  <a:lnTo>
                    <a:pt x="0" y="86"/>
                  </a:lnTo>
                  <a:lnTo>
                    <a:pt x="6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2" name="Freeform 203">
              <a:extLst>
                <a:ext uri="{FF2B5EF4-FFF2-40B4-BE49-F238E27FC236}">
                  <a16:creationId xmlns:a16="http://schemas.microsoft.com/office/drawing/2014/main" id="{8F48C699-B0FF-4461-AB47-CDEBCD3EDC44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1 w 61"/>
                <a:gd name="T1" fmla="*/ 4 h 90"/>
                <a:gd name="T2" fmla="*/ 55 w 61"/>
                <a:gd name="T3" fmla="*/ 0 h 90"/>
                <a:gd name="T4" fmla="*/ 0 w 61"/>
                <a:gd name="T5" fmla="*/ 90 h 90"/>
                <a:gd name="T6" fmla="*/ 61 w 61"/>
                <a:gd name="T7" fmla="*/ 4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61" y="4"/>
                  </a:moveTo>
                  <a:lnTo>
                    <a:pt x="55" y="0"/>
                  </a:lnTo>
                  <a:lnTo>
                    <a:pt x="0" y="90"/>
                  </a:lnTo>
                  <a:lnTo>
                    <a:pt x="61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3" name="Freeform 204">
              <a:extLst>
                <a:ext uri="{FF2B5EF4-FFF2-40B4-BE49-F238E27FC236}">
                  <a16:creationId xmlns:a16="http://schemas.microsoft.com/office/drawing/2014/main" id="{33AEF85C-8C69-4D64-9505-06EE2B48F0C8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55 w 55"/>
                <a:gd name="T1" fmla="*/ 4 h 94"/>
                <a:gd name="T2" fmla="*/ 49 w 55"/>
                <a:gd name="T3" fmla="*/ 0 h 94"/>
                <a:gd name="T4" fmla="*/ 0 w 55"/>
                <a:gd name="T5" fmla="*/ 94 h 94"/>
                <a:gd name="T6" fmla="*/ 55 w 55"/>
                <a:gd name="T7" fmla="*/ 4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4">
                  <a:moveTo>
                    <a:pt x="55" y="4"/>
                  </a:moveTo>
                  <a:lnTo>
                    <a:pt x="49" y="0"/>
                  </a:lnTo>
                  <a:lnTo>
                    <a:pt x="0" y="94"/>
                  </a:lnTo>
                  <a:lnTo>
                    <a:pt x="55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4" name="Freeform 205">
              <a:extLst>
                <a:ext uri="{FF2B5EF4-FFF2-40B4-BE49-F238E27FC236}">
                  <a16:creationId xmlns:a16="http://schemas.microsoft.com/office/drawing/2014/main" id="{4EDEE00D-7276-435B-B1FB-C44C51A9888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9 w 49"/>
                <a:gd name="T1" fmla="*/ 3 h 97"/>
                <a:gd name="T2" fmla="*/ 42 w 49"/>
                <a:gd name="T3" fmla="*/ 0 h 97"/>
                <a:gd name="T4" fmla="*/ 0 w 49"/>
                <a:gd name="T5" fmla="*/ 97 h 97"/>
                <a:gd name="T6" fmla="*/ 49 w 49"/>
                <a:gd name="T7" fmla="*/ 3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7">
                  <a:moveTo>
                    <a:pt x="49" y="3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49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5" name="Freeform 206">
              <a:extLst>
                <a:ext uri="{FF2B5EF4-FFF2-40B4-BE49-F238E27FC236}">
                  <a16:creationId xmlns:a16="http://schemas.microsoft.com/office/drawing/2014/main" id="{77188463-3139-4731-9626-6A705400859B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5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5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6" name="Freeform 207">
              <a:extLst>
                <a:ext uri="{FF2B5EF4-FFF2-40B4-BE49-F238E27FC236}">
                  <a16:creationId xmlns:a16="http://schemas.microsoft.com/office/drawing/2014/main" id="{B12CFAF3-0BB5-4D04-A8E2-A9ED5C160108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35 w 35"/>
                <a:gd name="T1" fmla="*/ 2 h 102"/>
                <a:gd name="T2" fmla="*/ 29 w 35"/>
                <a:gd name="T3" fmla="*/ 0 h 102"/>
                <a:gd name="T4" fmla="*/ 0 w 35"/>
                <a:gd name="T5" fmla="*/ 102 h 102"/>
                <a:gd name="T6" fmla="*/ 35 w 35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35" y="2"/>
                  </a:moveTo>
                  <a:lnTo>
                    <a:pt x="29" y="0"/>
                  </a:lnTo>
                  <a:lnTo>
                    <a:pt x="0" y="102"/>
                  </a:lnTo>
                  <a:lnTo>
                    <a:pt x="35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7" name="Freeform 208">
              <a:extLst>
                <a:ext uri="{FF2B5EF4-FFF2-40B4-BE49-F238E27FC236}">
                  <a16:creationId xmlns:a16="http://schemas.microsoft.com/office/drawing/2014/main" id="{4497145E-ECFF-4B51-B63F-1F270BC9078E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9 w 29"/>
                <a:gd name="T1" fmla="*/ 1 h 103"/>
                <a:gd name="T2" fmla="*/ 22 w 29"/>
                <a:gd name="T3" fmla="*/ 0 h 103"/>
                <a:gd name="T4" fmla="*/ 0 w 29"/>
                <a:gd name="T5" fmla="*/ 103 h 103"/>
                <a:gd name="T6" fmla="*/ 29 w 29"/>
                <a:gd name="T7" fmla="*/ 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9" y="1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2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8" name="Freeform 209">
              <a:extLst>
                <a:ext uri="{FF2B5EF4-FFF2-40B4-BE49-F238E27FC236}">
                  <a16:creationId xmlns:a16="http://schemas.microsoft.com/office/drawing/2014/main" id="{F8DDA1CD-DE36-48FB-8AB5-ABF4E0B896D7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9" name="Freeform 210">
              <a:extLst>
                <a:ext uri="{FF2B5EF4-FFF2-40B4-BE49-F238E27FC236}">
                  <a16:creationId xmlns:a16="http://schemas.microsoft.com/office/drawing/2014/main" id="{12EC2CCF-8779-494B-9EEA-EA2F386D7EA8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0" name="Freeform 211">
              <a:extLst>
                <a:ext uri="{FF2B5EF4-FFF2-40B4-BE49-F238E27FC236}">
                  <a16:creationId xmlns:a16="http://schemas.microsoft.com/office/drawing/2014/main" id="{839AE270-A5F5-4BF2-8720-3CE871BF6F7E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1" name="Freeform 212">
              <a:extLst>
                <a:ext uri="{FF2B5EF4-FFF2-40B4-BE49-F238E27FC236}">
                  <a16:creationId xmlns:a16="http://schemas.microsoft.com/office/drawing/2014/main" id="{8BC686CD-0B3F-42AF-B33D-A2D884A39B13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0 h 106"/>
                <a:gd name="T2" fmla="*/ 0 w 7"/>
                <a:gd name="T3" fmla="*/ 1 h 106"/>
                <a:gd name="T4" fmla="*/ 7 w 7"/>
                <a:gd name="T5" fmla="*/ 106 h 106"/>
                <a:gd name="T6" fmla="*/ 7 w 7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0"/>
                  </a:moveTo>
                  <a:lnTo>
                    <a:pt x="0" y="1"/>
                  </a:lnTo>
                  <a:lnTo>
                    <a:pt x="7" y="106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2" name="Freeform 213">
              <a:extLst>
                <a:ext uri="{FF2B5EF4-FFF2-40B4-BE49-F238E27FC236}">
                  <a16:creationId xmlns:a16="http://schemas.microsoft.com/office/drawing/2014/main" id="{6C741201-8066-4AE1-91D4-D24A663A812A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14"/>
                <a:gd name="T1" fmla="*/ 0 h 105"/>
                <a:gd name="T2" fmla="*/ 0 w 14"/>
                <a:gd name="T3" fmla="*/ 0 h 105"/>
                <a:gd name="T4" fmla="*/ 14 w 14"/>
                <a:gd name="T5" fmla="*/ 105 h 105"/>
                <a:gd name="T6" fmla="*/ 7 w 14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7" y="0"/>
                  </a:moveTo>
                  <a:lnTo>
                    <a:pt x="0" y="0"/>
                  </a:lnTo>
                  <a:lnTo>
                    <a:pt x="14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3" name="Freeform 214">
              <a:extLst>
                <a:ext uri="{FF2B5EF4-FFF2-40B4-BE49-F238E27FC236}">
                  <a16:creationId xmlns:a16="http://schemas.microsoft.com/office/drawing/2014/main" id="{75536E48-2FF5-4A4D-8924-DC6CD0BA40E5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1"/>
                <a:gd name="T1" fmla="*/ 0 h 105"/>
                <a:gd name="T2" fmla="*/ 0 w 21"/>
                <a:gd name="T3" fmla="*/ 2 h 105"/>
                <a:gd name="T4" fmla="*/ 21 w 21"/>
                <a:gd name="T5" fmla="*/ 105 h 105"/>
                <a:gd name="T6" fmla="*/ 7 w 21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5">
                  <a:moveTo>
                    <a:pt x="7" y="0"/>
                  </a:moveTo>
                  <a:lnTo>
                    <a:pt x="0" y="2"/>
                  </a:lnTo>
                  <a:lnTo>
                    <a:pt x="21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4" name="Freeform 215">
              <a:extLst>
                <a:ext uri="{FF2B5EF4-FFF2-40B4-BE49-F238E27FC236}">
                  <a16:creationId xmlns:a16="http://schemas.microsoft.com/office/drawing/2014/main" id="{6E21E063-2C30-4271-AA88-FE332523760D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8"/>
                <a:gd name="T1" fmla="*/ 0 h 103"/>
                <a:gd name="T2" fmla="*/ 0 w 28"/>
                <a:gd name="T3" fmla="*/ 1 h 103"/>
                <a:gd name="T4" fmla="*/ 28 w 28"/>
                <a:gd name="T5" fmla="*/ 103 h 103"/>
                <a:gd name="T6" fmla="*/ 7 w 28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7" y="0"/>
                  </a:moveTo>
                  <a:lnTo>
                    <a:pt x="0" y="1"/>
                  </a:lnTo>
                  <a:lnTo>
                    <a:pt x="28" y="10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5" name="Freeform 216">
              <a:extLst>
                <a:ext uri="{FF2B5EF4-FFF2-40B4-BE49-F238E27FC236}">
                  <a16:creationId xmlns:a16="http://schemas.microsoft.com/office/drawing/2014/main" id="{41D580F9-7AA2-4E25-B54C-2130FBA0F890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7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7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6" name="Freeform 217">
              <a:extLst>
                <a:ext uri="{FF2B5EF4-FFF2-40B4-BE49-F238E27FC236}">
                  <a16:creationId xmlns:a16="http://schemas.microsoft.com/office/drawing/2014/main" id="{6C0A6C31-1BB7-4AE5-B095-A29CDE2F2CC5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42"/>
                <a:gd name="T1" fmla="*/ 0 h 100"/>
                <a:gd name="T2" fmla="*/ 0 w 42"/>
                <a:gd name="T3" fmla="*/ 3 h 100"/>
                <a:gd name="T4" fmla="*/ 42 w 42"/>
                <a:gd name="T5" fmla="*/ 100 h 100"/>
                <a:gd name="T6" fmla="*/ 7 w 42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7" y="0"/>
                  </a:moveTo>
                  <a:lnTo>
                    <a:pt x="0" y="3"/>
                  </a:lnTo>
                  <a:lnTo>
                    <a:pt x="42" y="10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7" name="Freeform 218">
              <a:extLst>
                <a:ext uri="{FF2B5EF4-FFF2-40B4-BE49-F238E27FC236}">
                  <a16:creationId xmlns:a16="http://schemas.microsoft.com/office/drawing/2014/main" id="{BDF8B464-BDF8-4A15-8714-3D4813F15DF1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48"/>
                <a:gd name="T1" fmla="*/ 0 h 97"/>
                <a:gd name="T2" fmla="*/ 0 w 48"/>
                <a:gd name="T3" fmla="*/ 3 h 97"/>
                <a:gd name="T4" fmla="*/ 48 w 48"/>
                <a:gd name="T5" fmla="*/ 97 h 97"/>
                <a:gd name="T6" fmla="*/ 6 w 48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7">
                  <a:moveTo>
                    <a:pt x="6" y="0"/>
                  </a:moveTo>
                  <a:lnTo>
                    <a:pt x="0" y="3"/>
                  </a:lnTo>
                  <a:lnTo>
                    <a:pt x="48" y="97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8" name="Freeform 219">
              <a:extLst>
                <a:ext uri="{FF2B5EF4-FFF2-40B4-BE49-F238E27FC236}">
                  <a16:creationId xmlns:a16="http://schemas.microsoft.com/office/drawing/2014/main" id="{5433517B-BC1D-4C7E-A44D-219D6E396AA4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54"/>
                <a:gd name="T1" fmla="*/ 0 h 94"/>
                <a:gd name="T2" fmla="*/ 0 w 54"/>
                <a:gd name="T3" fmla="*/ 4 h 94"/>
                <a:gd name="T4" fmla="*/ 54 w 54"/>
                <a:gd name="T5" fmla="*/ 94 h 94"/>
                <a:gd name="T6" fmla="*/ 6 w 54"/>
                <a:gd name="T7" fmla="*/ 0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4">
                  <a:moveTo>
                    <a:pt x="6" y="0"/>
                  </a:moveTo>
                  <a:lnTo>
                    <a:pt x="0" y="4"/>
                  </a:lnTo>
                  <a:lnTo>
                    <a:pt x="54" y="94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9" name="Freeform 220">
              <a:extLst>
                <a:ext uri="{FF2B5EF4-FFF2-40B4-BE49-F238E27FC236}">
                  <a16:creationId xmlns:a16="http://schemas.microsoft.com/office/drawing/2014/main" id="{BE441335-C6AD-4D6E-9B66-A4D350437E46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0"/>
                <a:gd name="T1" fmla="*/ 0 h 90"/>
                <a:gd name="T2" fmla="*/ 0 w 60"/>
                <a:gd name="T3" fmla="*/ 4 h 90"/>
                <a:gd name="T4" fmla="*/ 60 w 60"/>
                <a:gd name="T5" fmla="*/ 90 h 90"/>
                <a:gd name="T6" fmla="*/ 6 w 60"/>
                <a:gd name="T7" fmla="*/ 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6" y="0"/>
                  </a:moveTo>
                  <a:lnTo>
                    <a:pt x="0" y="4"/>
                  </a:lnTo>
                  <a:lnTo>
                    <a:pt x="60" y="9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0" name="Freeform 221">
              <a:extLst>
                <a:ext uri="{FF2B5EF4-FFF2-40B4-BE49-F238E27FC236}">
                  <a16:creationId xmlns:a16="http://schemas.microsoft.com/office/drawing/2014/main" id="{13736B34-CA25-49A1-9386-641F79814783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6"/>
                <a:gd name="T1" fmla="*/ 0 h 86"/>
                <a:gd name="T2" fmla="*/ 0 w 66"/>
                <a:gd name="T3" fmla="*/ 4 h 86"/>
                <a:gd name="T4" fmla="*/ 66 w 66"/>
                <a:gd name="T5" fmla="*/ 86 h 86"/>
                <a:gd name="T6" fmla="*/ 6 w 66"/>
                <a:gd name="T7" fmla="*/ 0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6" y="0"/>
                  </a:moveTo>
                  <a:lnTo>
                    <a:pt x="0" y="4"/>
                  </a:lnTo>
                  <a:lnTo>
                    <a:pt x="66" y="8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1" name="Freeform 222">
              <a:extLst>
                <a:ext uri="{FF2B5EF4-FFF2-40B4-BE49-F238E27FC236}">
                  <a16:creationId xmlns:a16="http://schemas.microsoft.com/office/drawing/2014/main" id="{4EA90760-685D-4F9E-B82D-844A413EBF4E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72"/>
                <a:gd name="T1" fmla="*/ 0 h 82"/>
                <a:gd name="T2" fmla="*/ 0 w 72"/>
                <a:gd name="T3" fmla="*/ 5 h 82"/>
                <a:gd name="T4" fmla="*/ 72 w 72"/>
                <a:gd name="T5" fmla="*/ 82 h 82"/>
                <a:gd name="T6" fmla="*/ 6 w 72"/>
                <a:gd name="T7" fmla="*/ 0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6" y="0"/>
                  </a:moveTo>
                  <a:lnTo>
                    <a:pt x="0" y="5"/>
                  </a:lnTo>
                  <a:lnTo>
                    <a:pt x="72" y="8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2" name="Freeform 223">
              <a:extLst>
                <a:ext uri="{FF2B5EF4-FFF2-40B4-BE49-F238E27FC236}">
                  <a16:creationId xmlns:a16="http://schemas.microsoft.com/office/drawing/2014/main" id="{46908859-C562-4ADC-92AC-841BC7A0F4CB}"/>
                </a:ext>
              </a:extLst>
            </xdr:cNvPr>
            <xdr:cNvSpPr>
              <a:spLocks/>
            </xdr:cNvSpPr>
          </xdr:nvSpPr>
          <xdr:spPr bwMode="auto">
            <a:xfrm>
              <a:off x="930" y="201"/>
              <a:ext cx="1" cy="1"/>
            </a:xfrm>
            <a:custGeom>
              <a:avLst/>
              <a:gdLst>
                <a:gd name="T0" fmla="*/ 5 w 77"/>
                <a:gd name="T1" fmla="*/ 0 h 77"/>
                <a:gd name="T2" fmla="*/ 0 w 77"/>
                <a:gd name="T3" fmla="*/ 5 h 77"/>
                <a:gd name="T4" fmla="*/ 77 w 77"/>
                <a:gd name="T5" fmla="*/ 77 h 77"/>
                <a:gd name="T6" fmla="*/ 5 w 77"/>
                <a:gd name="T7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5" y="0"/>
                  </a:moveTo>
                  <a:lnTo>
                    <a:pt x="0" y="5"/>
                  </a:lnTo>
                  <a:lnTo>
                    <a:pt x="77" y="7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3" name="Freeform 224">
              <a:extLst>
                <a:ext uri="{FF2B5EF4-FFF2-40B4-BE49-F238E27FC236}">
                  <a16:creationId xmlns:a16="http://schemas.microsoft.com/office/drawing/2014/main" id="{E8F180BD-7123-42E7-9B53-8872BC3CE0D4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81"/>
                <a:gd name="T1" fmla="*/ 0 h 72"/>
                <a:gd name="T2" fmla="*/ 0 w 81"/>
                <a:gd name="T3" fmla="*/ 5 h 72"/>
                <a:gd name="T4" fmla="*/ 81 w 81"/>
                <a:gd name="T5" fmla="*/ 72 h 72"/>
                <a:gd name="T6" fmla="*/ 4 w 81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4" y="0"/>
                  </a:moveTo>
                  <a:lnTo>
                    <a:pt x="0" y="5"/>
                  </a:lnTo>
                  <a:lnTo>
                    <a:pt x="81" y="7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4" name="Freeform 225">
              <a:extLst>
                <a:ext uri="{FF2B5EF4-FFF2-40B4-BE49-F238E27FC236}">
                  <a16:creationId xmlns:a16="http://schemas.microsoft.com/office/drawing/2014/main" id="{6B80930B-1D56-4C45-A48E-25274D3937F5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5 w 86"/>
                <a:gd name="T1" fmla="*/ 0 h 67"/>
                <a:gd name="T2" fmla="*/ 0 w 86"/>
                <a:gd name="T3" fmla="*/ 6 h 67"/>
                <a:gd name="T4" fmla="*/ 86 w 86"/>
                <a:gd name="T5" fmla="*/ 67 h 67"/>
                <a:gd name="T6" fmla="*/ 5 w 86"/>
                <a:gd name="T7" fmla="*/ 0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5" y="0"/>
                  </a:moveTo>
                  <a:lnTo>
                    <a:pt x="0" y="6"/>
                  </a:lnTo>
                  <a:lnTo>
                    <a:pt x="86" y="6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5" name="Freeform 226">
              <a:extLst>
                <a:ext uri="{FF2B5EF4-FFF2-40B4-BE49-F238E27FC236}">
                  <a16:creationId xmlns:a16="http://schemas.microsoft.com/office/drawing/2014/main" id="{11E2A3AF-1DB5-4F62-8198-8789FD0FBE3C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90"/>
                <a:gd name="T1" fmla="*/ 0 h 61"/>
                <a:gd name="T2" fmla="*/ 0 w 90"/>
                <a:gd name="T3" fmla="*/ 6 h 61"/>
                <a:gd name="T4" fmla="*/ 90 w 90"/>
                <a:gd name="T5" fmla="*/ 61 h 61"/>
                <a:gd name="T6" fmla="*/ 4 w 90"/>
                <a:gd name="T7" fmla="*/ 0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4" y="0"/>
                  </a:moveTo>
                  <a:lnTo>
                    <a:pt x="0" y="6"/>
                  </a:lnTo>
                  <a:lnTo>
                    <a:pt x="90" y="6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6" name="Freeform 227">
              <a:extLst>
                <a:ext uri="{FF2B5EF4-FFF2-40B4-BE49-F238E27FC236}">
                  <a16:creationId xmlns:a16="http://schemas.microsoft.com/office/drawing/2014/main" id="{1EF491E7-4C09-4D46-B608-5B2E5A5C67FF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3"/>
                <a:gd name="T1" fmla="*/ 0 h 55"/>
                <a:gd name="T2" fmla="*/ 0 w 93"/>
                <a:gd name="T3" fmla="*/ 6 h 55"/>
                <a:gd name="T4" fmla="*/ 93 w 93"/>
                <a:gd name="T5" fmla="*/ 55 h 55"/>
                <a:gd name="T6" fmla="*/ 3 w 93"/>
                <a:gd name="T7" fmla="*/ 0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5">
                  <a:moveTo>
                    <a:pt x="3" y="0"/>
                  </a:moveTo>
                  <a:lnTo>
                    <a:pt x="0" y="6"/>
                  </a:lnTo>
                  <a:lnTo>
                    <a:pt x="93" y="55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7" name="Freeform 228">
              <a:extLst>
                <a:ext uri="{FF2B5EF4-FFF2-40B4-BE49-F238E27FC236}">
                  <a16:creationId xmlns:a16="http://schemas.microsoft.com/office/drawing/2014/main" id="{2600CD40-EEFC-4593-9239-C9D3EA378775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6"/>
                <a:gd name="T1" fmla="*/ 0 h 49"/>
                <a:gd name="T2" fmla="*/ 0 w 96"/>
                <a:gd name="T3" fmla="*/ 7 h 49"/>
                <a:gd name="T4" fmla="*/ 96 w 96"/>
                <a:gd name="T5" fmla="*/ 49 h 49"/>
                <a:gd name="T6" fmla="*/ 3 w 96"/>
                <a:gd name="T7" fmla="*/ 0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9">
                  <a:moveTo>
                    <a:pt x="3" y="0"/>
                  </a:moveTo>
                  <a:lnTo>
                    <a:pt x="0" y="7"/>
                  </a:lnTo>
                  <a:lnTo>
                    <a:pt x="96" y="49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8" name="Freeform 229">
              <a:extLst>
                <a:ext uri="{FF2B5EF4-FFF2-40B4-BE49-F238E27FC236}">
                  <a16:creationId xmlns:a16="http://schemas.microsoft.com/office/drawing/2014/main" id="{AA0D7A26-D18C-48D1-B352-A1C3B8C614AE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9"/>
                <a:gd name="T1" fmla="*/ 0 h 42"/>
                <a:gd name="T2" fmla="*/ 0 w 99"/>
                <a:gd name="T3" fmla="*/ 6 h 42"/>
                <a:gd name="T4" fmla="*/ 99 w 99"/>
                <a:gd name="T5" fmla="*/ 42 h 42"/>
                <a:gd name="T6" fmla="*/ 3 w 99"/>
                <a:gd name="T7" fmla="*/ 0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3" y="0"/>
                  </a:moveTo>
                  <a:lnTo>
                    <a:pt x="0" y="6"/>
                  </a:lnTo>
                  <a:lnTo>
                    <a:pt x="99" y="4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9" name="Freeform 230">
              <a:extLst>
                <a:ext uri="{FF2B5EF4-FFF2-40B4-BE49-F238E27FC236}">
                  <a16:creationId xmlns:a16="http://schemas.microsoft.com/office/drawing/2014/main" id="{1DDDCD2C-091E-476B-AD04-D782C61C7F60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1"/>
                <a:gd name="T1" fmla="*/ 0 h 36"/>
                <a:gd name="T2" fmla="*/ 0 w 101"/>
                <a:gd name="T3" fmla="*/ 7 h 36"/>
                <a:gd name="T4" fmla="*/ 101 w 101"/>
                <a:gd name="T5" fmla="*/ 36 h 36"/>
                <a:gd name="T6" fmla="*/ 2 w 101"/>
                <a:gd name="T7" fmla="*/ 0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2" y="0"/>
                  </a:moveTo>
                  <a:lnTo>
                    <a:pt x="0" y="7"/>
                  </a:lnTo>
                  <a:lnTo>
                    <a:pt x="101" y="3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0" name="Freeform 231">
              <a:extLst>
                <a:ext uri="{FF2B5EF4-FFF2-40B4-BE49-F238E27FC236}">
                  <a16:creationId xmlns:a16="http://schemas.microsoft.com/office/drawing/2014/main" id="{01EAD11F-13F1-42E3-A0AA-6CD05D0A2761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3"/>
                <a:gd name="T1" fmla="*/ 0 h 29"/>
                <a:gd name="T2" fmla="*/ 0 w 103"/>
                <a:gd name="T3" fmla="*/ 7 h 29"/>
                <a:gd name="T4" fmla="*/ 103 w 103"/>
                <a:gd name="T5" fmla="*/ 29 h 29"/>
                <a:gd name="T6" fmla="*/ 2 w 103"/>
                <a:gd name="T7" fmla="*/ 0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2" y="0"/>
                  </a:moveTo>
                  <a:lnTo>
                    <a:pt x="0" y="7"/>
                  </a:lnTo>
                  <a:lnTo>
                    <a:pt x="103" y="29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1" name="Freeform 232">
              <a:extLst>
                <a:ext uri="{FF2B5EF4-FFF2-40B4-BE49-F238E27FC236}">
                  <a16:creationId xmlns:a16="http://schemas.microsoft.com/office/drawing/2014/main" id="{E61102B4-F1ED-40B3-BA7C-979DF41079F8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1 w 104"/>
                <a:gd name="T1" fmla="*/ 0 h 22"/>
                <a:gd name="T2" fmla="*/ 0 w 104"/>
                <a:gd name="T3" fmla="*/ 7 h 22"/>
                <a:gd name="T4" fmla="*/ 104 w 104"/>
                <a:gd name="T5" fmla="*/ 22 h 22"/>
                <a:gd name="T6" fmla="*/ 1 w 104"/>
                <a:gd name="T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" y="0"/>
                  </a:moveTo>
                  <a:lnTo>
                    <a:pt x="0" y="7"/>
                  </a:lnTo>
                  <a:lnTo>
                    <a:pt x="104" y="2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2" name="Freeform 233">
              <a:extLst>
                <a:ext uri="{FF2B5EF4-FFF2-40B4-BE49-F238E27FC236}">
                  <a16:creationId xmlns:a16="http://schemas.microsoft.com/office/drawing/2014/main" id="{651EB7E9-F5EF-4CCB-BD20-B0D0E31C01A8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8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8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3" name="Freeform 234">
              <a:extLst>
                <a:ext uri="{FF2B5EF4-FFF2-40B4-BE49-F238E27FC236}">
                  <a16:creationId xmlns:a16="http://schemas.microsoft.com/office/drawing/2014/main" id="{327B6AD0-5307-4857-95CB-0054D6210916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7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4" name="Freeform 235">
              <a:extLst>
                <a:ext uri="{FF2B5EF4-FFF2-40B4-BE49-F238E27FC236}">
                  <a16:creationId xmlns:a16="http://schemas.microsoft.com/office/drawing/2014/main" id="{149938E3-0DD3-400C-AFF4-C4EFCEC108BD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5" name="Freeform 236">
              <a:extLst>
                <a:ext uri="{FF2B5EF4-FFF2-40B4-BE49-F238E27FC236}">
                  <a16:creationId xmlns:a16="http://schemas.microsoft.com/office/drawing/2014/main" id="{BB8B3CD7-FB1E-45D7-BB45-29C668C8D507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7 h 14"/>
                <a:gd name="T2" fmla="*/ 1 w 105"/>
                <a:gd name="T3" fmla="*/ 14 h 14"/>
                <a:gd name="T4" fmla="*/ 105 w 105"/>
                <a:gd name="T5" fmla="*/ 0 h 14"/>
                <a:gd name="T6" fmla="*/ 0 w 105"/>
                <a:gd name="T7" fmla="*/ 7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0" y="7"/>
                  </a:moveTo>
                  <a:lnTo>
                    <a:pt x="1" y="14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6" name="Freeform 237">
              <a:extLst>
                <a:ext uri="{FF2B5EF4-FFF2-40B4-BE49-F238E27FC236}">
                  <a16:creationId xmlns:a16="http://schemas.microsoft.com/office/drawing/2014/main" id="{23B67D42-0E00-4FD1-9382-B73C22CAFB65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4"/>
                <a:gd name="T1" fmla="*/ 14 h 21"/>
                <a:gd name="T2" fmla="*/ 1 w 104"/>
                <a:gd name="T3" fmla="*/ 21 h 21"/>
                <a:gd name="T4" fmla="*/ 104 w 104"/>
                <a:gd name="T5" fmla="*/ 0 h 21"/>
                <a:gd name="T6" fmla="*/ 0 w 104"/>
                <a:gd name="T7" fmla="*/ 14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0" y="14"/>
                  </a:moveTo>
                  <a:lnTo>
                    <a:pt x="1" y="21"/>
                  </a:lnTo>
                  <a:lnTo>
                    <a:pt x="104" y="0"/>
                  </a:lnTo>
                  <a:lnTo>
                    <a:pt x="0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7" name="Freeform 238">
              <a:extLst>
                <a:ext uri="{FF2B5EF4-FFF2-40B4-BE49-F238E27FC236}">
                  <a16:creationId xmlns:a16="http://schemas.microsoft.com/office/drawing/2014/main" id="{6E1CB016-BB1D-4EDC-94B5-5F630CF645C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3"/>
                <a:gd name="T1" fmla="*/ 21 h 28"/>
                <a:gd name="T2" fmla="*/ 2 w 103"/>
                <a:gd name="T3" fmla="*/ 28 h 28"/>
                <a:gd name="T4" fmla="*/ 103 w 103"/>
                <a:gd name="T5" fmla="*/ 0 h 28"/>
                <a:gd name="T6" fmla="*/ 0 w 103"/>
                <a:gd name="T7" fmla="*/ 21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0" y="21"/>
                  </a:moveTo>
                  <a:lnTo>
                    <a:pt x="2" y="28"/>
                  </a:lnTo>
                  <a:lnTo>
                    <a:pt x="103" y="0"/>
                  </a:lnTo>
                  <a:lnTo>
                    <a:pt x="0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8" name="Freeform 239">
              <a:extLst>
                <a:ext uri="{FF2B5EF4-FFF2-40B4-BE49-F238E27FC236}">
                  <a16:creationId xmlns:a16="http://schemas.microsoft.com/office/drawing/2014/main" id="{F19E3C21-828A-4D62-B0F0-D8B87BDB959E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1"/>
                <a:gd name="T1" fmla="*/ 28 h 35"/>
                <a:gd name="T2" fmla="*/ 2 w 101"/>
                <a:gd name="T3" fmla="*/ 35 h 35"/>
                <a:gd name="T4" fmla="*/ 101 w 101"/>
                <a:gd name="T5" fmla="*/ 0 h 35"/>
                <a:gd name="T6" fmla="*/ 0 w 101"/>
                <a:gd name="T7" fmla="*/ 28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5">
                  <a:moveTo>
                    <a:pt x="0" y="28"/>
                  </a:moveTo>
                  <a:lnTo>
                    <a:pt x="2" y="35"/>
                  </a:lnTo>
                  <a:lnTo>
                    <a:pt x="101" y="0"/>
                  </a:lnTo>
                  <a:lnTo>
                    <a:pt x="0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9" name="Freeform 240">
              <a:extLst>
                <a:ext uri="{FF2B5EF4-FFF2-40B4-BE49-F238E27FC236}">
                  <a16:creationId xmlns:a16="http://schemas.microsoft.com/office/drawing/2014/main" id="{1BDF6D78-4EE3-4AC8-B9B0-C30B824A56E3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9"/>
                <a:gd name="T1" fmla="*/ 35 h 42"/>
                <a:gd name="T2" fmla="*/ 3 w 99"/>
                <a:gd name="T3" fmla="*/ 42 h 42"/>
                <a:gd name="T4" fmla="*/ 99 w 99"/>
                <a:gd name="T5" fmla="*/ 0 h 42"/>
                <a:gd name="T6" fmla="*/ 0 w 99"/>
                <a:gd name="T7" fmla="*/ 35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0" y="35"/>
                  </a:moveTo>
                  <a:lnTo>
                    <a:pt x="3" y="42"/>
                  </a:lnTo>
                  <a:lnTo>
                    <a:pt x="99" y="0"/>
                  </a:lnTo>
                  <a:lnTo>
                    <a:pt x="0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0" name="Freeform 241">
              <a:extLst>
                <a:ext uri="{FF2B5EF4-FFF2-40B4-BE49-F238E27FC236}">
                  <a16:creationId xmlns:a16="http://schemas.microsoft.com/office/drawing/2014/main" id="{14849601-3301-4945-9E43-2DC08AA3DFFB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6"/>
                <a:gd name="T1" fmla="*/ 42 h 48"/>
                <a:gd name="T2" fmla="*/ 3 w 96"/>
                <a:gd name="T3" fmla="*/ 48 h 48"/>
                <a:gd name="T4" fmla="*/ 96 w 96"/>
                <a:gd name="T5" fmla="*/ 0 h 48"/>
                <a:gd name="T6" fmla="*/ 0 w 96"/>
                <a:gd name="T7" fmla="*/ 42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8">
                  <a:moveTo>
                    <a:pt x="0" y="42"/>
                  </a:moveTo>
                  <a:lnTo>
                    <a:pt x="3" y="48"/>
                  </a:lnTo>
                  <a:lnTo>
                    <a:pt x="96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1" name="Freeform 242">
              <a:extLst>
                <a:ext uri="{FF2B5EF4-FFF2-40B4-BE49-F238E27FC236}">
                  <a16:creationId xmlns:a16="http://schemas.microsoft.com/office/drawing/2014/main" id="{1C88C79F-A1EB-4818-9BB9-2970FC633D7F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3"/>
                <a:gd name="T1" fmla="*/ 48 h 54"/>
                <a:gd name="T2" fmla="*/ 3 w 93"/>
                <a:gd name="T3" fmla="*/ 54 h 54"/>
                <a:gd name="T4" fmla="*/ 93 w 93"/>
                <a:gd name="T5" fmla="*/ 0 h 54"/>
                <a:gd name="T6" fmla="*/ 0 w 93"/>
                <a:gd name="T7" fmla="*/ 48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4">
                  <a:moveTo>
                    <a:pt x="0" y="48"/>
                  </a:moveTo>
                  <a:lnTo>
                    <a:pt x="3" y="54"/>
                  </a:lnTo>
                  <a:lnTo>
                    <a:pt x="93" y="0"/>
                  </a:lnTo>
                  <a:lnTo>
                    <a:pt x="0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2" name="Freeform 243">
              <a:extLst>
                <a:ext uri="{FF2B5EF4-FFF2-40B4-BE49-F238E27FC236}">
                  <a16:creationId xmlns:a16="http://schemas.microsoft.com/office/drawing/2014/main" id="{AA4C0335-9531-44E9-94E2-7DCAA2743B1C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0"/>
                <a:gd name="T1" fmla="*/ 54 h 60"/>
                <a:gd name="T2" fmla="*/ 4 w 90"/>
                <a:gd name="T3" fmla="*/ 60 h 60"/>
                <a:gd name="T4" fmla="*/ 90 w 90"/>
                <a:gd name="T5" fmla="*/ 0 h 60"/>
                <a:gd name="T6" fmla="*/ 0 w 90"/>
                <a:gd name="T7" fmla="*/ 54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0" y="54"/>
                  </a:moveTo>
                  <a:lnTo>
                    <a:pt x="4" y="60"/>
                  </a:lnTo>
                  <a:lnTo>
                    <a:pt x="90" y="0"/>
                  </a:lnTo>
                  <a:lnTo>
                    <a:pt x="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3" name="Freeform 244">
              <a:extLst>
                <a:ext uri="{FF2B5EF4-FFF2-40B4-BE49-F238E27FC236}">
                  <a16:creationId xmlns:a16="http://schemas.microsoft.com/office/drawing/2014/main" id="{478D3B21-2A4A-43E9-B028-0F6EFA093DB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6"/>
                <a:gd name="T1" fmla="*/ 60 h 66"/>
                <a:gd name="T2" fmla="*/ 5 w 86"/>
                <a:gd name="T3" fmla="*/ 66 h 66"/>
                <a:gd name="T4" fmla="*/ 86 w 86"/>
                <a:gd name="T5" fmla="*/ 0 h 66"/>
                <a:gd name="T6" fmla="*/ 0 w 86"/>
                <a:gd name="T7" fmla="*/ 60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0" y="60"/>
                  </a:moveTo>
                  <a:lnTo>
                    <a:pt x="5" y="66"/>
                  </a:lnTo>
                  <a:lnTo>
                    <a:pt x="86" y="0"/>
                  </a:lnTo>
                  <a:lnTo>
                    <a:pt x="0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4" name="Freeform 245">
              <a:extLst>
                <a:ext uri="{FF2B5EF4-FFF2-40B4-BE49-F238E27FC236}">
                  <a16:creationId xmlns:a16="http://schemas.microsoft.com/office/drawing/2014/main" id="{EE8A0A89-CB94-40E6-8180-C074A44E5F0B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1"/>
                <a:gd name="T1" fmla="*/ 66 h 72"/>
                <a:gd name="T2" fmla="*/ 4 w 81"/>
                <a:gd name="T3" fmla="*/ 72 h 72"/>
                <a:gd name="T4" fmla="*/ 81 w 81"/>
                <a:gd name="T5" fmla="*/ 0 h 72"/>
                <a:gd name="T6" fmla="*/ 0 w 81"/>
                <a:gd name="T7" fmla="*/ 66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0" y="66"/>
                  </a:moveTo>
                  <a:lnTo>
                    <a:pt x="4" y="72"/>
                  </a:lnTo>
                  <a:lnTo>
                    <a:pt x="81" y="0"/>
                  </a:lnTo>
                  <a:lnTo>
                    <a:pt x="0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5" name="Freeform 246">
              <a:extLst>
                <a:ext uri="{FF2B5EF4-FFF2-40B4-BE49-F238E27FC236}">
                  <a16:creationId xmlns:a16="http://schemas.microsoft.com/office/drawing/2014/main" id="{68A459E0-25C4-4DF1-8C2C-C049AC945ECB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7"/>
                <a:gd name="T1" fmla="*/ 72 h 77"/>
                <a:gd name="T2" fmla="*/ 5 w 77"/>
                <a:gd name="T3" fmla="*/ 77 h 77"/>
                <a:gd name="T4" fmla="*/ 77 w 77"/>
                <a:gd name="T5" fmla="*/ 0 h 77"/>
                <a:gd name="T6" fmla="*/ 0 w 77"/>
                <a:gd name="T7" fmla="*/ 72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0" y="72"/>
                  </a:moveTo>
                  <a:lnTo>
                    <a:pt x="5" y="77"/>
                  </a:lnTo>
                  <a:lnTo>
                    <a:pt x="77" y="0"/>
                  </a:lnTo>
                  <a:lnTo>
                    <a:pt x="0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6" name="Freeform 247">
              <a:extLst>
                <a:ext uri="{FF2B5EF4-FFF2-40B4-BE49-F238E27FC236}">
                  <a16:creationId xmlns:a16="http://schemas.microsoft.com/office/drawing/2014/main" id="{6E7FF67A-8E76-497C-8892-1D7801951ACD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2"/>
                <a:gd name="T1" fmla="*/ 77 h 81"/>
                <a:gd name="T2" fmla="*/ 6 w 72"/>
                <a:gd name="T3" fmla="*/ 81 h 81"/>
                <a:gd name="T4" fmla="*/ 72 w 72"/>
                <a:gd name="T5" fmla="*/ 0 h 81"/>
                <a:gd name="T6" fmla="*/ 0 w 72"/>
                <a:gd name="T7" fmla="*/ 77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0" y="77"/>
                  </a:moveTo>
                  <a:lnTo>
                    <a:pt x="6" y="81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7" name="Freeform 248">
              <a:extLst>
                <a:ext uri="{FF2B5EF4-FFF2-40B4-BE49-F238E27FC236}">
                  <a16:creationId xmlns:a16="http://schemas.microsoft.com/office/drawing/2014/main" id="{C60BA2AA-BB60-4532-9B30-A272EC1B4E65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6"/>
                <a:gd name="T1" fmla="*/ 81 h 86"/>
                <a:gd name="T2" fmla="*/ 6 w 66"/>
                <a:gd name="T3" fmla="*/ 86 h 86"/>
                <a:gd name="T4" fmla="*/ 66 w 66"/>
                <a:gd name="T5" fmla="*/ 0 h 86"/>
                <a:gd name="T6" fmla="*/ 0 w 66"/>
                <a:gd name="T7" fmla="*/ 81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0" y="81"/>
                  </a:moveTo>
                  <a:lnTo>
                    <a:pt x="6" y="86"/>
                  </a:lnTo>
                  <a:lnTo>
                    <a:pt x="66" y="0"/>
                  </a:lnTo>
                  <a:lnTo>
                    <a:pt x="0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8" name="Freeform 249">
              <a:extLst>
                <a:ext uri="{FF2B5EF4-FFF2-40B4-BE49-F238E27FC236}">
                  <a16:creationId xmlns:a16="http://schemas.microsoft.com/office/drawing/2014/main" id="{576D6201-E824-4D51-8E98-45915DD9BFF2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0"/>
                <a:gd name="T1" fmla="*/ 86 h 90"/>
                <a:gd name="T2" fmla="*/ 6 w 60"/>
                <a:gd name="T3" fmla="*/ 90 h 90"/>
                <a:gd name="T4" fmla="*/ 60 w 60"/>
                <a:gd name="T5" fmla="*/ 0 h 90"/>
                <a:gd name="T6" fmla="*/ 0 w 60"/>
                <a:gd name="T7" fmla="*/ 86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0" y="86"/>
                  </a:moveTo>
                  <a:lnTo>
                    <a:pt x="6" y="90"/>
                  </a:lnTo>
                  <a:lnTo>
                    <a:pt x="60" y="0"/>
                  </a:lnTo>
                  <a:lnTo>
                    <a:pt x="0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9" name="Freeform 250">
              <a:extLst>
                <a:ext uri="{FF2B5EF4-FFF2-40B4-BE49-F238E27FC236}">
                  <a16:creationId xmlns:a16="http://schemas.microsoft.com/office/drawing/2014/main" id="{078CED8C-D460-4358-9902-6B1F0C345DA0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54"/>
                <a:gd name="T1" fmla="*/ 90 h 93"/>
                <a:gd name="T2" fmla="*/ 6 w 54"/>
                <a:gd name="T3" fmla="*/ 93 h 93"/>
                <a:gd name="T4" fmla="*/ 54 w 54"/>
                <a:gd name="T5" fmla="*/ 0 h 93"/>
                <a:gd name="T6" fmla="*/ 0 w 54"/>
                <a:gd name="T7" fmla="*/ 9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3">
                  <a:moveTo>
                    <a:pt x="0" y="90"/>
                  </a:moveTo>
                  <a:lnTo>
                    <a:pt x="6" y="93"/>
                  </a:lnTo>
                  <a:lnTo>
                    <a:pt x="54" y="0"/>
                  </a:lnTo>
                  <a:lnTo>
                    <a:pt x="0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" name="Freeform 251">
              <a:extLst>
                <a:ext uri="{FF2B5EF4-FFF2-40B4-BE49-F238E27FC236}">
                  <a16:creationId xmlns:a16="http://schemas.microsoft.com/office/drawing/2014/main" id="{FC4DB1C0-CA29-46F0-83E7-249B25435AE7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48"/>
                <a:gd name="T1" fmla="*/ 93 h 96"/>
                <a:gd name="T2" fmla="*/ 6 w 48"/>
                <a:gd name="T3" fmla="*/ 96 h 96"/>
                <a:gd name="T4" fmla="*/ 48 w 48"/>
                <a:gd name="T5" fmla="*/ 0 h 96"/>
                <a:gd name="T6" fmla="*/ 0 w 48"/>
                <a:gd name="T7" fmla="*/ 9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6">
                  <a:moveTo>
                    <a:pt x="0" y="93"/>
                  </a:moveTo>
                  <a:lnTo>
                    <a:pt x="6" y="96"/>
                  </a:lnTo>
                  <a:lnTo>
                    <a:pt x="48" y="0"/>
                  </a:lnTo>
                  <a:lnTo>
                    <a:pt x="0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5" name="Group 453">
            <a:extLst>
              <a:ext uri="{FF2B5EF4-FFF2-40B4-BE49-F238E27FC236}">
                <a16:creationId xmlns:a16="http://schemas.microsoft.com/office/drawing/2014/main" id="{371C68E0-DD6D-4EDA-BE17-A180D1844741}"/>
              </a:ext>
            </a:extLst>
          </xdr:cNvPr>
          <xdr:cNvGrpSpPr>
            <a:grpSpLocks/>
          </xdr:cNvGrpSpPr>
        </xdr:nvGrpSpPr>
        <xdr:grpSpPr bwMode="auto">
          <a:xfrm>
            <a:off x="930" y="188"/>
            <a:ext cx="262" cy="16"/>
            <a:chOff x="930" y="188"/>
            <a:chExt cx="262" cy="16"/>
          </a:xfrm>
        </xdr:grpSpPr>
        <xdr:sp macro="" textlink="">
          <xdr:nvSpPr>
            <xdr:cNvPr id="141" name="Freeform 253">
              <a:extLst>
                <a:ext uri="{FF2B5EF4-FFF2-40B4-BE49-F238E27FC236}">
                  <a16:creationId xmlns:a16="http://schemas.microsoft.com/office/drawing/2014/main" id="{6B9F84B6-5E47-426D-9E20-C1AA24A5C9C9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42"/>
                <a:gd name="T1" fmla="*/ 96 h 99"/>
                <a:gd name="T2" fmla="*/ 7 w 42"/>
                <a:gd name="T3" fmla="*/ 99 h 99"/>
                <a:gd name="T4" fmla="*/ 42 w 42"/>
                <a:gd name="T5" fmla="*/ 0 h 99"/>
                <a:gd name="T6" fmla="*/ 0 w 42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0" y="96"/>
                  </a:moveTo>
                  <a:lnTo>
                    <a:pt x="7" y="99"/>
                  </a:lnTo>
                  <a:lnTo>
                    <a:pt x="42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2" name="Freeform 254">
              <a:extLst>
                <a:ext uri="{FF2B5EF4-FFF2-40B4-BE49-F238E27FC236}">
                  <a16:creationId xmlns:a16="http://schemas.microsoft.com/office/drawing/2014/main" id="{B561A89E-8B82-4BDB-92FE-5AEF4ED298A6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35"/>
                <a:gd name="T1" fmla="*/ 99 h 101"/>
                <a:gd name="T2" fmla="*/ 7 w 35"/>
                <a:gd name="T3" fmla="*/ 101 h 101"/>
                <a:gd name="T4" fmla="*/ 35 w 35"/>
                <a:gd name="T5" fmla="*/ 0 h 101"/>
                <a:gd name="T6" fmla="*/ 0 w 35"/>
                <a:gd name="T7" fmla="*/ 99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0" y="99"/>
                  </a:moveTo>
                  <a:lnTo>
                    <a:pt x="7" y="101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3" name="Freeform 255">
              <a:extLst>
                <a:ext uri="{FF2B5EF4-FFF2-40B4-BE49-F238E27FC236}">
                  <a16:creationId xmlns:a16="http://schemas.microsoft.com/office/drawing/2014/main" id="{E4288C24-76C9-4CC2-9EF2-66D7C81D1998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8"/>
                <a:gd name="T1" fmla="*/ 101 h 103"/>
                <a:gd name="T2" fmla="*/ 7 w 28"/>
                <a:gd name="T3" fmla="*/ 103 h 103"/>
                <a:gd name="T4" fmla="*/ 28 w 28"/>
                <a:gd name="T5" fmla="*/ 0 h 103"/>
                <a:gd name="T6" fmla="*/ 0 w 28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0" y="101"/>
                  </a:moveTo>
                  <a:lnTo>
                    <a:pt x="7" y="103"/>
                  </a:lnTo>
                  <a:lnTo>
                    <a:pt x="28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4" name="Freeform 256">
              <a:extLst>
                <a:ext uri="{FF2B5EF4-FFF2-40B4-BE49-F238E27FC236}">
                  <a16:creationId xmlns:a16="http://schemas.microsoft.com/office/drawing/2014/main" id="{1CDE946C-1C1E-4452-B1D0-649395B6C275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1"/>
                <a:gd name="T1" fmla="*/ 103 h 104"/>
                <a:gd name="T2" fmla="*/ 7 w 21"/>
                <a:gd name="T3" fmla="*/ 104 h 104"/>
                <a:gd name="T4" fmla="*/ 21 w 21"/>
                <a:gd name="T5" fmla="*/ 0 h 104"/>
                <a:gd name="T6" fmla="*/ 0 w 21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4">
                  <a:moveTo>
                    <a:pt x="0" y="103"/>
                  </a:moveTo>
                  <a:lnTo>
                    <a:pt x="7" y="104"/>
                  </a:lnTo>
                  <a:lnTo>
                    <a:pt x="21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5" name="Freeform 257">
              <a:extLst>
                <a:ext uri="{FF2B5EF4-FFF2-40B4-BE49-F238E27FC236}">
                  <a16:creationId xmlns:a16="http://schemas.microsoft.com/office/drawing/2014/main" id="{11065CDB-CBF3-4EFA-B8BA-7D10E9F15B11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14"/>
                <a:gd name="T1" fmla="*/ 104 h 105"/>
                <a:gd name="T2" fmla="*/ 7 w 14"/>
                <a:gd name="T3" fmla="*/ 105 h 105"/>
                <a:gd name="T4" fmla="*/ 14 w 14"/>
                <a:gd name="T5" fmla="*/ 0 h 105"/>
                <a:gd name="T6" fmla="*/ 0 w 14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0" y="104"/>
                  </a:moveTo>
                  <a:lnTo>
                    <a:pt x="7" y="105"/>
                  </a:lnTo>
                  <a:lnTo>
                    <a:pt x="14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6" name="Freeform 258">
              <a:extLst>
                <a:ext uri="{FF2B5EF4-FFF2-40B4-BE49-F238E27FC236}">
                  <a16:creationId xmlns:a16="http://schemas.microsoft.com/office/drawing/2014/main" id="{D45EA419-C5BF-4F1B-B26E-20D73FD08A6D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7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7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7" name="Freeform 259">
              <a:extLst>
                <a:ext uri="{FF2B5EF4-FFF2-40B4-BE49-F238E27FC236}">
                  <a16:creationId xmlns:a16="http://schemas.microsoft.com/office/drawing/2014/main" id="{A22CB7F3-B870-4D9F-99CE-F9F0700D409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8" name="Freeform 260">
              <a:extLst>
                <a:ext uri="{FF2B5EF4-FFF2-40B4-BE49-F238E27FC236}">
                  <a16:creationId xmlns:a16="http://schemas.microsoft.com/office/drawing/2014/main" id="{4887499A-9A6C-4E54-94BE-E690684A8846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9" name="Freeform 261">
              <a:extLst>
                <a:ext uri="{FF2B5EF4-FFF2-40B4-BE49-F238E27FC236}">
                  <a16:creationId xmlns:a16="http://schemas.microsoft.com/office/drawing/2014/main" id="{14E2CE32-BFBD-47DA-9981-B435738E8BB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0" name="Freeform 262">
              <a:extLst>
                <a:ext uri="{FF2B5EF4-FFF2-40B4-BE49-F238E27FC236}">
                  <a16:creationId xmlns:a16="http://schemas.microsoft.com/office/drawing/2014/main" id="{2FFE084A-933C-4249-AF41-79C8A170BD4B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2 w 29"/>
                <a:gd name="T1" fmla="*/ 103 h 103"/>
                <a:gd name="T2" fmla="*/ 29 w 29"/>
                <a:gd name="T3" fmla="*/ 101 h 103"/>
                <a:gd name="T4" fmla="*/ 0 w 29"/>
                <a:gd name="T5" fmla="*/ 0 h 103"/>
                <a:gd name="T6" fmla="*/ 22 w 29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2" y="103"/>
                  </a:moveTo>
                  <a:lnTo>
                    <a:pt x="29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1" name="Freeform 263">
              <a:extLst>
                <a:ext uri="{FF2B5EF4-FFF2-40B4-BE49-F238E27FC236}">
                  <a16:creationId xmlns:a16="http://schemas.microsoft.com/office/drawing/2014/main" id="{4997B009-61AC-4818-A532-472246FD8B1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9 w 35"/>
                <a:gd name="T1" fmla="*/ 101 h 101"/>
                <a:gd name="T2" fmla="*/ 35 w 35"/>
                <a:gd name="T3" fmla="*/ 99 h 101"/>
                <a:gd name="T4" fmla="*/ 0 w 35"/>
                <a:gd name="T5" fmla="*/ 0 h 101"/>
                <a:gd name="T6" fmla="*/ 29 w 35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29" y="101"/>
                  </a:moveTo>
                  <a:lnTo>
                    <a:pt x="35" y="99"/>
                  </a:lnTo>
                  <a:lnTo>
                    <a:pt x="0" y="0"/>
                  </a:lnTo>
                  <a:lnTo>
                    <a:pt x="29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2" name="Freeform 264">
              <a:extLst>
                <a:ext uri="{FF2B5EF4-FFF2-40B4-BE49-F238E27FC236}">
                  <a16:creationId xmlns:a16="http://schemas.microsoft.com/office/drawing/2014/main" id="{6AC7D66C-C084-40C8-8373-3F2A22F1E9A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2"/>
            </a:xfrm>
            <a:custGeom>
              <a:avLst/>
              <a:gdLst>
                <a:gd name="T0" fmla="*/ 35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5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5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5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3" name="Freeform 265">
              <a:extLst>
                <a:ext uri="{FF2B5EF4-FFF2-40B4-BE49-F238E27FC236}">
                  <a16:creationId xmlns:a16="http://schemas.microsoft.com/office/drawing/2014/main" id="{13FE8C70-A835-46B5-8529-B3FEB20A52B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2 w 49"/>
                <a:gd name="T1" fmla="*/ 96 h 96"/>
                <a:gd name="T2" fmla="*/ 49 w 49"/>
                <a:gd name="T3" fmla="*/ 93 h 96"/>
                <a:gd name="T4" fmla="*/ 0 w 49"/>
                <a:gd name="T5" fmla="*/ 0 h 96"/>
                <a:gd name="T6" fmla="*/ 42 w 49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6">
                  <a:moveTo>
                    <a:pt x="42" y="96"/>
                  </a:moveTo>
                  <a:lnTo>
                    <a:pt x="49" y="93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4" name="Freeform 266">
              <a:extLst>
                <a:ext uri="{FF2B5EF4-FFF2-40B4-BE49-F238E27FC236}">
                  <a16:creationId xmlns:a16="http://schemas.microsoft.com/office/drawing/2014/main" id="{2298179A-6B74-4A89-9FC3-2F4A5208913D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9 w 55"/>
                <a:gd name="T1" fmla="*/ 93 h 93"/>
                <a:gd name="T2" fmla="*/ 55 w 55"/>
                <a:gd name="T3" fmla="*/ 90 h 93"/>
                <a:gd name="T4" fmla="*/ 0 w 55"/>
                <a:gd name="T5" fmla="*/ 0 h 93"/>
                <a:gd name="T6" fmla="*/ 49 w 55"/>
                <a:gd name="T7" fmla="*/ 93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3">
                  <a:moveTo>
                    <a:pt x="49" y="93"/>
                  </a:moveTo>
                  <a:lnTo>
                    <a:pt x="55" y="90"/>
                  </a:lnTo>
                  <a:lnTo>
                    <a:pt x="0" y="0"/>
                  </a:lnTo>
                  <a:lnTo>
                    <a:pt x="49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5" name="Freeform 267">
              <a:extLst>
                <a:ext uri="{FF2B5EF4-FFF2-40B4-BE49-F238E27FC236}">
                  <a16:creationId xmlns:a16="http://schemas.microsoft.com/office/drawing/2014/main" id="{FE18AD90-66AB-4937-B48E-FCF309781A2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55 w 61"/>
                <a:gd name="T1" fmla="*/ 90 h 90"/>
                <a:gd name="T2" fmla="*/ 61 w 61"/>
                <a:gd name="T3" fmla="*/ 86 h 90"/>
                <a:gd name="T4" fmla="*/ 0 w 61"/>
                <a:gd name="T5" fmla="*/ 0 h 90"/>
                <a:gd name="T6" fmla="*/ 55 w 61"/>
                <a:gd name="T7" fmla="*/ 9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55" y="90"/>
                  </a:moveTo>
                  <a:lnTo>
                    <a:pt x="61" y="86"/>
                  </a:lnTo>
                  <a:lnTo>
                    <a:pt x="0" y="0"/>
                  </a:lnTo>
                  <a:lnTo>
                    <a:pt x="55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6" name="Freeform 268">
              <a:extLst>
                <a:ext uri="{FF2B5EF4-FFF2-40B4-BE49-F238E27FC236}">
                  <a16:creationId xmlns:a16="http://schemas.microsoft.com/office/drawing/2014/main" id="{18F4FB77-5B77-4912-A45B-15525EC7E6C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1 w 67"/>
                <a:gd name="T1" fmla="*/ 86 h 86"/>
                <a:gd name="T2" fmla="*/ 67 w 67"/>
                <a:gd name="T3" fmla="*/ 81 h 86"/>
                <a:gd name="T4" fmla="*/ 0 w 67"/>
                <a:gd name="T5" fmla="*/ 0 h 86"/>
                <a:gd name="T6" fmla="*/ 61 w 67"/>
                <a:gd name="T7" fmla="*/ 86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1" y="86"/>
                  </a:moveTo>
                  <a:lnTo>
                    <a:pt x="67" y="81"/>
                  </a:lnTo>
                  <a:lnTo>
                    <a:pt x="0" y="0"/>
                  </a:lnTo>
                  <a:lnTo>
                    <a:pt x="61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7" name="Freeform 269">
              <a:extLst>
                <a:ext uri="{FF2B5EF4-FFF2-40B4-BE49-F238E27FC236}">
                  <a16:creationId xmlns:a16="http://schemas.microsoft.com/office/drawing/2014/main" id="{DA4A8A07-A2E3-474F-BBE0-8B54E0E247E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7 w 72"/>
                <a:gd name="T1" fmla="*/ 81 h 81"/>
                <a:gd name="T2" fmla="*/ 72 w 72"/>
                <a:gd name="T3" fmla="*/ 77 h 81"/>
                <a:gd name="T4" fmla="*/ 0 w 72"/>
                <a:gd name="T5" fmla="*/ 0 h 81"/>
                <a:gd name="T6" fmla="*/ 67 w 72"/>
                <a:gd name="T7" fmla="*/ 81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67" y="81"/>
                  </a:moveTo>
                  <a:lnTo>
                    <a:pt x="72" y="77"/>
                  </a:lnTo>
                  <a:lnTo>
                    <a:pt x="0" y="0"/>
                  </a:lnTo>
                  <a:lnTo>
                    <a:pt x="67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8" name="Freeform 270">
              <a:extLst>
                <a:ext uri="{FF2B5EF4-FFF2-40B4-BE49-F238E27FC236}">
                  <a16:creationId xmlns:a16="http://schemas.microsoft.com/office/drawing/2014/main" id="{B8B218C6-22A0-44A9-81FB-3ADEE44728B9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2 w 77"/>
                <a:gd name="T1" fmla="*/ 77 h 77"/>
                <a:gd name="T2" fmla="*/ 77 w 77"/>
                <a:gd name="T3" fmla="*/ 72 h 77"/>
                <a:gd name="T4" fmla="*/ 0 w 77"/>
                <a:gd name="T5" fmla="*/ 0 h 77"/>
                <a:gd name="T6" fmla="*/ 72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2" y="77"/>
                  </a:moveTo>
                  <a:lnTo>
                    <a:pt x="77" y="72"/>
                  </a:lnTo>
                  <a:lnTo>
                    <a:pt x="0" y="0"/>
                  </a:lnTo>
                  <a:lnTo>
                    <a:pt x="72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9" name="Freeform 271">
              <a:extLst>
                <a:ext uri="{FF2B5EF4-FFF2-40B4-BE49-F238E27FC236}">
                  <a16:creationId xmlns:a16="http://schemas.microsoft.com/office/drawing/2014/main" id="{2953C54D-9132-42CA-92D7-9FFF222185B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7 w 82"/>
                <a:gd name="T1" fmla="*/ 72 h 72"/>
                <a:gd name="T2" fmla="*/ 82 w 82"/>
                <a:gd name="T3" fmla="*/ 66 h 72"/>
                <a:gd name="T4" fmla="*/ 0 w 82"/>
                <a:gd name="T5" fmla="*/ 0 h 72"/>
                <a:gd name="T6" fmla="*/ 77 w 82"/>
                <a:gd name="T7" fmla="*/ 72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77" y="72"/>
                  </a:moveTo>
                  <a:lnTo>
                    <a:pt x="82" y="66"/>
                  </a:lnTo>
                  <a:lnTo>
                    <a:pt x="0" y="0"/>
                  </a:lnTo>
                  <a:lnTo>
                    <a:pt x="77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0" name="Freeform 272">
              <a:extLst>
                <a:ext uri="{FF2B5EF4-FFF2-40B4-BE49-F238E27FC236}">
                  <a16:creationId xmlns:a16="http://schemas.microsoft.com/office/drawing/2014/main" id="{EEBF55F7-02C7-4E7F-AABA-885B48237643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2 w 86"/>
                <a:gd name="T1" fmla="*/ 66 h 66"/>
                <a:gd name="T2" fmla="*/ 86 w 86"/>
                <a:gd name="T3" fmla="*/ 60 h 66"/>
                <a:gd name="T4" fmla="*/ 0 w 86"/>
                <a:gd name="T5" fmla="*/ 0 h 66"/>
                <a:gd name="T6" fmla="*/ 82 w 86"/>
                <a:gd name="T7" fmla="*/ 66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82" y="66"/>
                  </a:moveTo>
                  <a:lnTo>
                    <a:pt x="86" y="60"/>
                  </a:lnTo>
                  <a:lnTo>
                    <a:pt x="0" y="0"/>
                  </a:lnTo>
                  <a:lnTo>
                    <a:pt x="82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1" name="Freeform 273">
              <a:extLst>
                <a:ext uri="{FF2B5EF4-FFF2-40B4-BE49-F238E27FC236}">
                  <a16:creationId xmlns:a16="http://schemas.microsoft.com/office/drawing/2014/main" id="{E0915F97-1677-4BD9-B30A-4EE7025141D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6 w 90"/>
                <a:gd name="T1" fmla="*/ 60 h 60"/>
                <a:gd name="T2" fmla="*/ 90 w 90"/>
                <a:gd name="T3" fmla="*/ 54 h 60"/>
                <a:gd name="T4" fmla="*/ 0 w 90"/>
                <a:gd name="T5" fmla="*/ 0 h 60"/>
                <a:gd name="T6" fmla="*/ 86 w 90"/>
                <a:gd name="T7" fmla="*/ 60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86" y="60"/>
                  </a:moveTo>
                  <a:lnTo>
                    <a:pt x="90" y="54"/>
                  </a:lnTo>
                  <a:lnTo>
                    <a:pt x="0" y="0"/>
                  </a:lnTo>
                  <a:lnTo>
                    <a:pt x="86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2" name="Freeform 274">
              <a:extLst>
                <a:ext uri="{FF2B5EF4-FFF2-40B4-BE49-F238E27FC236}">
                  <a16:creationId xmlns:a16="http://schemas.microsoft.com/office/drawing/2014/main" id="{E4185AEA-1737-4AD2-8A0A-A205F26FA02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0 w 94"/>
                <a:gd name="T1" fmla="*/ 54 h 54"/>
                <a:gd name="T2" fmla="*/ 94 w 94"/>
                <a:gd name="T3" fmla="*/ 48 h 54"/>
                <a:gd name="T4" fmla="*/ 0 w 94"/>
                <a:gd name="T5" fmla="*/ 0 h 54"/>
                <a:gd name="T6" fmla="*/ 90 w 94"/>
                <a:gd name="T7" fmla="*/ 54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4">
                  <a:moveTo>
                    <a:pt x="90" y="54"/>
                  </a:moveTo>
                  <a:lnTo>
                    <a:pt x="94" y="48"/>
                  </a:lnTo>
                  <a:lnTo>
                    <a:pt x="0" y="0"/>
                  </a:lnTo>
                  <a:lnTo>
                    <a:pt x="9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3" name="Freeform 275">
              <a:extLst>
                <a:ext uri="{FF2B5EF4-FFF2-40B4-BE49-F238E27FC236}">
                  <a16:creationId xmlns:a16="http://schemas.microsoft.com/office/drawing/2014/main" id="{459E2B37-A1F2-46C7-8E90-5D70F3AB7AB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4 w 97"/>
                <a:gd name="T1" fmla="*/ 48 h 48"/>
                <a:gd name="T2" fmla="*/ 97 w 97"/>
                <a:gd name="T3" fmla="*/ 42 h 48"/>
                <a:gd name="T4" fmla="*/ 0 w 97"/>
                <a:gd name="T5" fmla="*/ 0 h 48"/>
                <a:gd name="T6" fmla="*/ 94 w 97"/>
                <a:gd name="T7" fmla="*/ 48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8">
                  <a:moveTo>
                    <a:pt x="94" y="48"/>
                  </a:moveTo>
                  <a:lnTo>
                    <a:pt x="97" y="42"/>
                  </a:lnTo>
                  <a:lnTo>
                    <a:pt x="0" y="0"/>
                  </a:lnTo>
                  <a:lnTo>
                    <a:pt x="94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4" name="Freeform 276">
              <a:extLst>
                <a:ext uri="{FF2B5EF4-FFF2-40B4-BE49-F238E27FC236}">
                  <a16:creationId xmlns:a16="http://schemas.microsoft.com/office/drawing/2014/main" id="{87E026F5-EBA2-4A29-AC72-EC276D96D69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7 w 99"/>
                <a:gd name="T1" fmla="*/ 42 h 42"/>
                <a:gd name="T2" fmla="*/ 99 w 99"/>
                <a:gd name="T3" fmla="*/ 35 h 42"/>
                <a:gd name="T4" fmla="*/ 0 w 99"/>
                <a:gd name="T5" fmla="*/ 0 h 42"/>
                <a:gd name="T6" fmla="*/ 97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7" y="42"/>
                  </a:moveTo>
                  <a:lnTo>
                    <a:pt x="99" y="35"/>
                  </a:lnTo>
                  <a:lnTo>
                    <a:pt x="0" y="0"/>
                  </a:lnTo>
                  <a:lnTo>
                    <a:pt x="97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5" name="Freeform 277">
              <a:extLst>
                <a:ext uri="{FF2B5EF4-FFF2-40B4-BE49-F238E27FC236}">
                  <a16:creationId xmlns:a16="http://schemas.microsoft.com/office/drawing/2014/main" id="{FC4E754E-00AB-4458-AFE5-3807136CAADD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99 w 102"/>
                <a:gd name="T1" fmla="*/ 35 h 35"/>
                <a:gd name="T2" fmla="*/ 102 w 102"/>
                <a:gd name="T3" fmla="*/ 28 h 35"/>
                <a:gd name="T4" fmla="*/ 0 w 102"/>
                <a:gd name="T5" fmla="*/ 0 h 35"/>
                <a:gd name="T6" fmla="*/ 99 w 102"/>
                <a:gd name="T7" fmla="*/ 35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99" y="35"/>
                  </a:moveTo>
                  <a:lnTo>
                    <a:pt x="102" y="28"/>
                  </a:lnTo>
                  <a:lnTo>
                    <a:pt x="0" y="0"/>
                  </a:lnTo>
                  <a:lnTo>
                    <a:pt x="99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6" name="Freeform 278">
              <a:extLst>
                <a:ext uri="{FF2B5EF4-FFF2-40B4-BE49-F238E27FC236}">
                  <a16:creationId xmlns:a16="http://schemas.microsoft.com/office/drawing/2014/main" id="{6A186D50-22DC-4C24-8288-AF6E173AE993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2 w 103"/>
                <a:gd name="T1" fmla="*/ 28 h 28"/>
                <a:gd name="T2" fmla="*/ 103 w 103"/>
                <a:gd name="T3" fmla="*/ 21 h 28"/>
                <a:gd name="T4" fmla="*/ 0 w 103"/>
                <a:gd name="T5" fmla="*/ 0 h 28"/>
                <a:gd name="T6" fmla="*/ 102 w 103"/>
                <a:gd name="T7" fmla="*/ 28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102" y="28"/>
                  </a:moveTo>
                  <a:lnTo>
                    <a:pt x="103" y="21"/>
                  </a:lnTo>
                  <a:lnTo>
                    <a:pt x="0" y="0"/>
                  </a:lnTo>
                  <a:lnTo>
                    <a:pt x="102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7" name="Freeform 279">
              <a:extLst>
                <a:ext uri="{FF2B5EF4-FFF2-40B4-BE49-F238E27FC236}">
                  <a16:creationId xmlns:a16="http://schemas.microsoft.com/office/drawing/2014/main" id="{4D9E270D-EF7E-4530-A4CC-EEFCD9AAE101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3 w 104"/>
                <a:gd name="T1" fmla="*/ 21 h 21"/>
                <a:gd name="T2" fmla="*/ 104 w 104"/>
                <a:gd name="T3" fmla="*/ 14 h 21"/>
                <a:gd name="T4" fmla="*/ 0 w 104"/>
                <a:gd name="T5" fmla="*/ 0 h 21"/>
                <a:gd name="T6" fmla="*/ 103 w 104"/>
                <a:gd name="T7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103" y="21"/>
                  </a:moveTo>
                  <a:lnTo>
                    <a:pt x="104" y="14"/>
                  </a:lnTo>
                  <a:lnTo>
                    <a:pt x="0" y="0"/>
                  </a:lnTo>
                  <a:lnTo>
                    <a:pt x="103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8" name="Freeform 280">
              <a:extLst>
                <a:ext uri="{FF2B5EF4-FFF2-40B4-BE49-F238E27FC236}">
                  <a16:creationId xmlns:a16="http://schemas.microsoft.com/office/drawing/2014/main" id="{8BBB3B59-B405-4F3F-8799-9A61D516045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4 w 105"/>
                <a:gd name="T1" fmla="*/ 14 h 14"/>
                <a:gd name="T2" fmla="*/ 105 w 105"/>
                <a:gd name="T3" fmla="*/ 7 h 14"/>
                <a:gd name="T4" fmla="*/ 0 w 105"/>
                <a:gd name="T5" fmla="*/ 0 h 14"/>
                <a:gd name="T6" fmla="*/ 104 w 105"/>
                <a:gd name="T7" fmla="*/ 14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104" y="14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9" name="Freeform 281">
              <a:extLst>
                <a:ext uri="{FF2B5EF4-FFF2-40B4-BE49-F238E27FC236}">
                  <a16:creationId xmlns:a16="http://schemas.microsoft.com/office/drawing/2014/main" id="{4EDBB056-8EDF-4F15-9492-5DE2C16F44A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0" name="Freeform 282">
              <a:extLst>
                <a:ext uri="{FF2B5EF4-FFF2-40B4-BE49-F238E27FC236}">
                  <a16:creationId xmlns:a16="http://schemas.microsoft.com/office/drawing/2014/main" id="{41B7F933-B2DB-4942-B9F0-D1188C76BF41}"/>
                </a:ext>
              </a:extLst>
            </xdr:cNvPr>
            <xdr:cNvSpPr>
              <a:spLocks/>
            </xdr:cNvSpPr>
          </xdr:nvSpPr>
          <xdr:spPr bwMode="auto">
            <a:xfrm>
              <a:off x="1017" y="188"/>
              <a:ext cx="6" cy="9"/>
            </a:xfrm>
            <a:custGeom>
              <a:avLst/>
              <a:gdLst>
                <a:gd name="T0" fmla="*/ 351 w 351"/>
                <a:gd name="T1" fmla="*/ 439 h 526"/>
                <a:gd name="T2" fmla="*/ 264 w 351"/>
                <a:gd name="T3" fmla="*/ 526 h 526"/>
                <a:gd name="T4" fmla="*/ 87 w 351"/>
                <a:gd name="T5" fmla="*/ 526 h 526"/>
                <a:gd name="T6" fmla="*/ 0 w 351"/>
                <a:gd name="T7" fmla="*/ 439 h 526"/>
                <a:gd name="T8" fmla="*/ 0 w 351"/>
                <a:gd name="T9" fmla="*/ 88 h 526"/>
                <a:gd name="T10" fmla="*/ 87 w 351"/>
                <a:gd name="T11" fmla="*/ 0 h 526"/>
                <a:gd name="T12" fmla="*/ 264 w 351"/>
                <a:gd name="T13" fmla="*/ 0 h 526"/>
                <a:gd name="T14" fmla="*/ 351 w 351"/>
                <a:gd name="T15" fmla="*/ 88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351" h="526">
                  <a:moveTo>
                    <a:pt x="351" y="439"/>
                  </a:moveTo>
                  <a:lnTo>
                    <a:pt x="264" y="526"/>
                  </a:lnTo>
                  <a:lnTo>
                    <a:pt x="87" y="526"/>
                  </a:lnTo>
                  <a:lnTo>
                    <a:pt x="0" y="439"/>
                  </a:lnTo>
                  <a:lnTo>
                    <a:pt x="0" y="88"/>
                  </a:lnTo>
                  <a:lnTo>
                    <a:pt x="87" y="0"/>
                  </a:lnTo>
                  <a:lnTo>
                    <a:pt x="264" y="0"/>
                  </a:lnTo>
                  <a:lnTo>
                    <a:pt x="351" y="88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71" name="Freeform 283">
              <a:extLst>
                <a:ext uri="{FF2B5EF4-FFF2-40B4-BE49-F238E27FC236}">
                  <a16:creationId xmlns:a16="http://schemas.microsoft.com/office/drawing/2014/main" id="{85BD6D42-2558-4477-9617-7A7BF2DC197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8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8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2" name="Freeform 284">
              <a:extLst>
                <a:ext uri="{FF2B5EF4-FFF2-40B4-BE49-F238E27FC236}">
                  <a16:creationId xmlns:a16="http://schemas.microsoft.com/office/drawing/2014/main" id="{B5C461F4-50A4-417E-8B29-E3677F7BBAF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7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3" name="Freeform 285">
              <a:extLst>
                <a:ext uri="{FF2B5EF4-FFF2-40B4-BE49-F238E27FC236}">
                  <a16:creationId xmlns:a16="http://schemas.microsoft.com/office/drawing/2014/main" id="{6B74FE81-A562-45AB-A960-F8BB02B4CD6D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4 w 104"/>
                <a:gd name="T1" fmla="*/ 8 h 23"/>
                <a:gd name="T2" fmla="*/ 103 w 104"/>
                <a:gd name="T3" fmla="*/ 0 h 23"/>
                <a:gd name="T4" fmla="*/ 0 w 104"/>
                <a:gd name="T5" fmla="*/ 23 h 23"/>
                <a:gd name="T6" fmla="*/ 104 w 104"/>
                <a:gd name="T7" fmla="*/ 8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04" y="8"/>
                  </a:moveTo>
                  <a:lnTo>
                    <a:pt x="103" y="0"/>
                  </a:lnTo>
                  <a:lnTo>
                    <a:pt x="0" y="23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4" name="Freeform 286">
              <a:extLst>
                <a:ext uri="{FF2B5EF4-FFF2-40B4-BE49-F238E27FC236}">
                  <a16:creationId xmlns:a16="http://schemas.microsoft.com/office/drawing/2014/main" id="{6F7AA386-B41A-4927-A5B7-244EF8D54857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3 w 103"/>
                <a:gd name="T1" fmla="*/ 7 h 30"/>
                <a:gd name="T2" fmla="*/ 101 w 103"/>
                <a:gd name="T3" fmla="*/ 0 h 30"/>
                <a:gd name="T4" fmla="*/ 0 w 103"/>
                <a:gd name="T5" fmla="*/ 30 h 30"/>
                <a:gd name="T6" fmla="*/ 103 w 103"/>
                <a:gd name="T7" fmla="*/ 7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103" y="7"/>
                  </a:moveTo>
                  <a:lnTo>
                    <a:pt x="101" y="0"/>
                  </a:lnTo>
                  <a:lnTo>
                    <a:pt x="0" y="30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5" name="Freeform 287">
              <a:extLst>
                <a:ext uri="{FF2B5EF4-FFF2-40B4-BE49-F238E27FC236}">
                  <a16:creationId xmlns:a16="http://schemas.microsoft.com/office/drawing/2014/main" id="{C8E534A4-F5A4-4C6A-9BC0-A4D06EE71A5C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1 w 101"/>
                <a:gd name="T1" fmla="*/ 7 h 37"/>
                <a:gd name="T2" fmla="*/ 99 w 101"/>
                <a:gd name="T3" fmla="*/ 0 h 37"/>
                <a:gd name="T4" fmla="*/ 0 w 101"/>
                <a:gd name="T5" fmla="*/ 37 h 37"/>
                <a:gd name="T6" fmla="*/ 101 w 101"/>
                <a:gd name="T7" fmla="*/ 7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101" y="7"/>
                  </a:moveTo>
                  <a:lnTo>
                    <a:pt x="99" y="0"/>
                  </a:lnTo>
                  <a:lnTo>
                    <a:pt x="0" y="37"/>
                  </a:lnTo>
                  <a:lnTo>
                    <a:pt x="101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6" name="Freeform 288">
              <a:extLst>
                <a:ext uri="{FF2B5EF4-FFF2-40B4-BE49-F238E27FC236}">
                  <a16:creationId xmlns:a16="http://schemas.microsoft.com/office/drawing/2014/main" id="{AF4E1357-56F9-40B0-8AEA-461E3AC1DA98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9 w 99"/>
                <a:gd name="T1" fmla="*/ 7 h 44"/>
                <a:gd name="T2" fmla="*/ 96 w 99"/>
                <a:gd name="T3" fmla="*/ 0 h 44"/>
                <a:gd name="T4" fmla="*/ 0 w 99"/>
                <a:gd name="T5" fmla="*/ 44 h 44"/>
                <a:gd name="T6" fmla="*/ 99 w 99"/>
                <a:gd name="T7" fmla="*/ 7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99" y="7"/>
                  </a:moveTo>
                  <a:lnTo>
                    <a:pt x="96" y="0"/>
                  </a:lnTo>
                  <a:lnTo>
                    <a:pt x="0" y="44"/>
                  </a:lnTo>
                  <a:lnTo>
                    <a:pt x="99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7" name="Freeform 289">
              <a:extLst>
                <a:ext uri="{FF2B5EF4-FFF2-40B4-BE49-F238E27FC236}">
                  <a16:creationId xmlns:a16="http://schemas.microsoft.com/office/drawing/2014/main" id="{F6ECE7B8-CB47-46FB-BA58-B6FEA7B602FE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6 w 96"/>
                <a:gd name="T1" fmla="*/ 7 h 51"/>
                <a:gd name="T2" fmla="*/ 92 w 96"/>
                <a:gd name="T3" fmla="*/ 0 h 51"/>
                <a:gd name="T4" fmla="*/ 0 w 96"/>
                <a:gd name="T5" fmla="*/ 51 h 51"/>
                <a:gd name="T6" fmla="*/ 96 w 96"/>
                <a:gd name="T7" fmla="*/ 7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96" y="7"/>
                  </a:moveTo>
                  <a:lnTo>
                    <a:pt x="92" y="0"/>
                  </a:lnTo>
                  <a:lnTo>
                    <a:pt x="0" y="51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8" name="Freeform 290">
              <a:extLst>
                <a:ext uri="{FF2B5EF4-FFF2-40B4-BE49-F238E27FC236}">
                  <a16:creationId xmlns:a16="http://schemas.microsoft.com/office/drawing/2014/main" id="{AB9655CF-C937-4D8D-AE8F-0B4500B49A2C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2 w 92"/>
                <a:gd name="T1" fmla="*/ 6 h 57"/>
                <a:gd name="T2" fmla="*/ 88 w 92"/>
                <a:gd name="T3" fmla="*/ 0 h 57"/>
                <a:gd name="T4" fmla="*/ 0 w 92"/>
                <a:gd name="T5" fmla="*/ 57 h 57"/>
                <a:gd name="T6" fmla="*/ 92 w 92"/>
                <a:gd name="T7" fmla="*/ 6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92" y="6"/>
                  </a:moveTo>
                  <a:lnTo>
                    <a:pt x="88" y="0"/>
                  </a:lnTo>
                  <a:lnTo>
                    <a:pt x="0" y="57"/>
                  </a:lnTo>
                  <a:lnTo>
                    <a:pt x="92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9" name="Freeform 291">
              <a:extLst>
                <a:ext uri="{FF2B5EF4-FFF2-40B4-BE49-F238E27FC236}">
                  <a16:creationId xmlns:a16="http://schemas.microsoft.com/office/drawing/2014/main" id="{EED3798B-10CE-47E1-8AAD-0211E26CD3C4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8 w 88"/>
                <a:gd name="T1" fmla="*/ 6 h 63"/>
                <a:gd name="T2" fmla="*/ 84 w 88"/>
                <a:gd name="T3" fmla="*/ 0 h 63"/>
                <a:gd name="T4" fmla="*/ 0 w 88"/>
                <a:gd name="T5" fmla="*/ 63 h 63"/>
                <a:gd name="T6" fmla="*/ 88 w 88"/>
                <a:gd name="T7" fmla="*/ 6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8" y="6"/>
                  </a:moveTo>
                  <a:lnTo>
                    <a:pt x="84" y="0"/>
                  </a:lnTo>
                  <a:lnTo>
                    <a:pt x="0" y="63"/>
                  </a:lnTo>
                  <a:lnTo>
                    <a:pt x="88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0" name="Freeform 292">
              <a:extLst>
                <a:ext uri="{FF2B5EF4-FFF2-40B4-BE49-F238E27FC236}">
                  <a16:creationId xmlns:a16="http://schemas.microsoft.com/office/drawing/2014/main" id="{BADBADCB-9CB4-44B1-8226-6D834F6E98D1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4 w 84"/>
                <a:gd name="T1" fmla="*/ 6 h 69"/>
                <a:gd name="T2" fmla="*/ 79 w 84"/>
                <a:gd name="T3" fmla="*/ 0 h 69"/>
                <a:gd name="T4" fmla="*/ 0 w 84"/>
                <a:gd name="T5" fmla="*/ 69 h 69"/>
                <a:gd name="T6" fmla="*/ 84 w 84"/>
                <a:gd name="T7" fmla="*/ 6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84" y="6"/>
                  </a:moveTo>
                  <a:lnTo>
                    <a:pt x="79" y="0"/>
                  </a:lnTo>
                  <a:lnTo>
                    <a:pt x="0" y="69"/>
                  </a:lnTo>
                  <a:lnTo>
                    <a:pt x="8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1" name="Freeform 293">
              <a:extLst>
                <a:ext uri="{FF2B5EF4-FFF2-40B4-BE49-F238E27FC236}">
                  <a16:creationId xmlns:a16="http://schemas.microsoft.com/office/drawing/2014/main" id="{2D317FF9-3C8B-44E5-96DB-A3DA16858083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79 w 79"/>
                <a:gd name="T1" fmla="*/ 6 h 75"/>
                <a:gd name="T2" fmla="*/ 74 w 79"/>
                <a:gd name="T3" fmla="*/ 0 h 75"/>
                <a:gd name="T4" fmla="*/ 0 w 79"/>
                <a:gd name="T5" fmla="*/ 75 h 75"/>
                <a:gd name="T6" fmla="*/ 79 w 79"/>
                <a:gd name="T7" fmla="*/ 6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5">
                  <a:moveTo>
                    <a:pt x="79" y="6"/>
                  </a:moveTo>
                  <a:lnTo>
                    <a:pt x="74" y="0"/>
                  </a:lnTo>
                  <a:lnTo>
                    <a:pt x="0" y="75"/>
                  </a:lnTo>
                  <a:lnTo>
                    <a:pt x="7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2" name="Freeform 294">
              <a:extLst>
                <a:ext uri="{FF2B5EF4-FFF2-40B4-BE49-F238E27FC236}">
                  <a16:creationId xmlns:a16="http://schemas.microsoft.com/office/drawing/2014/main" id="{43953D5B-5BF7-4B8C-A137-3E98974C7D3E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74 w 74"/>
                <a:gd name="T1" fmla="*/ 5 h 80"/>
                <a:gd name="T2" fmla="*/ 69 w 74"/>
                <a:gd name="T3" fmla="*/ 0 h 80"/>
                <a:gd name="T4" fmla="*/ 0 w 74"/>
                <a:gd name="T5" fmla="*/ 80 h 80"/>
                <a:gd name="T6" fmla="*/ 74 w 74"/>
                <a:gd name="T7" fmla="*/ 5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74" y="5"/>
                  </a:moveTo>
                  <a:lnTo>
                    <a:pt x="69" y="0"/>
                  </a:lnTo>
                  <a:lnTo>
                    <a:pt x="0" y="80"/>
                  </a:lnTo>
                  <a:lnTo>
                    <a:pt x="74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3" name="Freeform 295">
              <a:extLst>
                <a:ext uri="{FF2B5EF4-FFF2-40B4-BE49-F238E27FC236}">
                  <a16:creationId xmlns:a16="http://schemas.microsoft.com/office/drawing/2014/main" id="{7B5AC76C-F702-4695-99EC-8C741DBB6B05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9 w 69"/>
                <a:gd name="T1" fmla="*/ 5 h 85"/>
                <a:gd name="T2" fmla="*/ 63 w 69"/>
                <a:gd name="T3" fmla="*/ 0 h 85"/>
                <a:gd name="T4" fmla="*/ 0 w 69"/>
                <a:gd name="T5" fmla="*/ 85 h 85"/>
                <a:gd name="T6" fmla="*/ 69 w 69"/>
                <a:gd name="T7" fmla="*/ 5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9" y="5"/>
                  </a:moveTo>
                  <a:lnTo>
                    <a:pt x="63" y="0"/>
                  </a:lnTo>
                  <a:lnTo>
                    <a:pt x="0" y="85"/>
                  </a:lnTo>
                  <a:lnTo>
                    <a:pt x="69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4" name="Freeform 296">
              <a:extLst>
                <a:ext uri="{FF2B5EF4-FFF2-40B4-BE49-F238E27FC236}">
                  <a16:creationId xmlns:a16="http://schemas.microsoft.com/office/drawing/2014/main" id="{DC5DA9FD-2A26-4655-A114-5DF83924E6A5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3 w 63"/>
                <a:gd name="T1" fmla="*/ 4 h 89"/>
                <a:gd name="T2" fmla="*/ 57 w 63"/>
                <a:gd name="T3" fmla="*/ 0 h 89"/>
                <a:gd name="T4" fmla="*/ 0 w 63"/>
                <a:gd name="T5" fmla="*/ 89 h 89"/>
                <a:gd name="T6" fmla="*/ 63 w 63"/>
                <a:gd name="T7" fmla="*/ 4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3" y="4"/>
                  </a:moveTo>
                  <a:lnTo>
                    <a:pt x="57" y="0"/>
                  </a:lnTo>
                  <a:lnTo>
                    <a:pt x="0" y="89"/>
                  </a:lnTo>
                  <a:lnTo>
                    <a:pt x="63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5" name="Freeform 297">
              <a:extLst>
                <a:ext uri="{FF2B5EF4-FFF2-40B4-BE49-F238E27FC236}">
                  <a16:creationId xmlns:a16="http://schemas.microsoft.com/office/drawing/2014/main" id="{2036A59F-CD41-42E3-A45E-0283E3D129A7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57 w 57"/>
                <a:gd name="T1" fmla="*/ 4 h 93"/>
                <a:gd name="T2" fmla="*/ 50 w 57"/>
                <a:gd name="T3" fmla="*/ 0 h 93"/>
                <a:gd name="T4" fmla="*/ 0 w 57"/>
                <a:gd name="T5" fmla="*/ 93 h 93"/>
                <a:gd name="T6" fmla="*/ 57 w 57"/>
                <a:gd name="T7" fmla="*/ 4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57" y="4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6" name="Freeform 298">
              <a:extLst>
                <a:ext uri="{FF2B5EF4-FFF2-40B4-BE49-F238E27FC236}">
                  <a16:creationId xmlns:a16="http://schemas.microsoft.com/office/drawing/2014/main" id="{EC2BDBAB-2630-4AB1-A0A4-C489DB8F14BF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50 w 50"/>
                <a:gd name="T1" fmla="*/ 3 h 96"/>
                <a:gd name="T2" fmla="*/ 44 w 50"/>
                <a:gd name="T3" fmla="*/ 0 h 96"/>
                <a:gd name="T4" fmla="*/ 0 w 50"/>
                <a:gd name="T5" fmla="*/ 96 h 96"/>
                <a:gd name="T6" fmla="*/ 50 w 50"/>
                <a:gd name="T7" fmla="*/ 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50" y="3"/>
                  </a:moveTo>
                  <a:lnTo>
                    <a:pt x="44" y="0"/>
                  </a:lnTo>
                  <a:lnTo>
                    <a:pt x="0" y="96"/>
                  </a:lnTo>
                  <a:lnTo>
                    <a:pt x="50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7" name="Freeform 299">
              <a:extLst>
                <a:ext uri="{FF2B5EF4-FFF2-40B4-BE49-F238E27FC236}">
                  <a16:creationId xmlns:a16="http://schemas.microsoft.com/office/drawing/2014/main" id="{382A1CBF-C66F-46DB-9AD2-15B50342DAC6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44 w 44"/>
                <a:gd name="T1" fmla="*/ 3 h 99"/>
                <a:gd name="T2" fmla="*/ 37 w 44"/>
                <a:gd name="T3" fmla="*/ 0 h 99"/>
                <a:gd name="T4" fmla="*/ 0 w 44"/>
                <a:gd name="T5" fmla="*/ 99 h 99"/>
                <a:gd name="T6" fmla="*/ 44 w 44"/>
                <a:gd name="T7" fmla="*/ 3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44" y="3"/>
                  </a:moveTo>
                  <a:lnTo>
                    <a:pt x="37" y="0"/>
                  </a:lnTo>
                  <a:lnTo>
                    <a:pt x="0" y="99"/>
                  </a:lnTo>
                  <a:lnTo>
                    <a:pt x="44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8" name="Freeform 300">
              <a:extLst>
                <a:ext uri="{FF2B5EF4-FFF2-40B4-BE49-F238E27FC236}">
                  <a16:creationId xmlns:a16="http://schemas.microsoft.com/office/drawing/2014/main" id="{07DF92C5-6EF9-4F4D-B1A1-B82C849203E3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7 w 37"/>
                <a:gd name="T1" fmla="*/ 2 h 101"/>
                <a:gd name="T2" fmla="*/ 30 w 37"/>
                <a:gd name="T3" fmla="*/ 0 h 101"/>
                <a:gd name="T4" fmla="*/ 0 w 37"/>
                <a:gd name="T5" fmla="*/ 101 h 101"/>
                <a:gd name="T6" fmla="*/ 37 w 37"/>
                <a:gd name="T7" fmla="*/ 2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7" y="2"/>
                  </a:moveTo>
                  <a:lnTo>
                    <a:pt x="30" y="0"/>
                  </a:lnTo>
                  <a:lnTo>
                    <a:pt x="0" y="101"/>
                  </a:lnTo>
                  <a:lnTo>
                    <a:pt x="37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9" name="Freeform 301">
              <a:extLst>
                <a:ext uri="{FF2B5EF4-FFF2-40B4-BE49-F238E27FC236}">
                  <a16:creationId xmlns:a16="http://schemas.microsoft.com/office/drawing/2014/main" id="{54442784-5100-46A4-9E5B-609F2BFD2493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0 w 30"/>
                <a:gd name="T1" fmla="*/ 2 h 103"/>
                <a:gd name="T2" fmla="*/ 22 w 30"/>
                <a:gd name="T3" fmla="*/ 0 h 103"/>
                <a:gd name="T4" fmla="*/ 0 w 30"/>
                <a:gd name="T5" fmla="*/ 103 h 103"/>
                <a:gd name="T6" fmla="*/ 30 w 30"/>
                <a:gd name="T7" fmla="*/ 2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30" y="2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30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0" name="Freeform 302">
              <a:extLst>
                <a:ext uri="{FF2B5EF4-FFF2-40B4-BE49-F238E27FC236}">
                  <a16:creationId xmlns:a16="http://schemas.microsoft.com/office/drawing/2014/main" id="{DDF84A1E-1E79-463D-8F6C-4D864B18E4C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1" name="Freeform 303">
              <a:extLst>
                <a:ext uri="{FF2B5EF4-FFF2-40B4-BE49-F238E27FC236}">
                  <a16:creationId xmlns:a16="http://schemas.microsoft.com/office/drawing/2014/main" id="{2AD027CD-6870-4CC6-85B9-E273771F77BC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2" name="Freeform 304">
              <a:extLst>
                <a:ext uri="{FF2B5EF4-FFF2-40B4-BE49-F238E27FC236}">
                  <a16:creationId xmlns:a16="http://schemas.microsoft.com/office/drawing/2014/main" id="{01BE7F49-CCCB-4473-855A-7550362A8D0A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3" name="Freeform 305">
              <a:extLst>
                <a:ext uri="{FF2B5EF4-FFF2-40B4-BE49-F238E27FC236}">
                  <a16:creationId xmlns:a16="http://schemas.microsoft.com/office/drawing/2014/main" id="{6D334C76-EF03-427B-A4B4-AD0E856B4A17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8 w 8"/>
                <a:gd name="T1" fmla="*/ 0 h 106"/>
                <a:gd name="T2" fmla="*/ 0 w 8"/>
                <a:gd name="T3" fmla="*/ 1 h 106"/>
                <a:gd name="T4" fmla="*/ 8 w 8"/>
                <a:gd name="T5" fmla="*/ 106 h 106"/>
                <a:gd name="T6" fmla="*/ 8 w 8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6">
                  <a:moveTo>
                    <a:pt x="8" y="0"/>
                  </a:moveTo>
                  <a:lnTo>
                    <a:pt x="0" y="1"/>
                  </a:lnTo>
                  <a:lnTo>
                    <a:pt x="8" y="106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4" name="Freeform 306">
              <a:extLst>
                <a:ext uri="{FF2B5EF4-FFF2-40B4-BE49-F238E27FC236}">
                  <a16:creationId xmlns:a16="http://schemas.microsoft.com/office/drawing/2014/main" id="{C4162900-2FD4-4769-BD50-E748C6C73B55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15"/>
                <a:gd name="T1" fmla="*/ 0 h 105"/>
                <a:gd name="T2" fmla="*/ 0 w 15"/>
                <a:gd name="T3" fmla="*/ 0 h 105"/>
                <a:gd name="T4" fmla="*/ 15 w 15"/>
                <a:gd name="T5" fmla="*/ 105 h 105"/>
                <a:gd name="T6" fmla="*/ 7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0"/>
                  </a:moveTo>
                  <a:lnTo>
                    <a:pt x="0" y="0"/>
                  </a:lnTo>
                  <a:lnTo>
                    <a:pt x="15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5" name="Freeform 307">
              <a:extLst>
                <a:ext uri="{FF2B5EF4-FFF2-40B4-BE49-F238E27FC236}">
                  <a16:creationId xmlns:a16="http://schemas.microsoft.com/office/drawing/2014/main" id="{DA75AA28-C5F7-4F2D-A7FE-F4015FB18B02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22"/>
                <a:gd name="T1" fmla="*/ 0 h 105"/>
                <a:gd name="T2" fmla="*/ 0 w 22"/>
                <a:gd name="T3" fmla="*/ 2 h 105"/>
                <a:gd name="T4" fmla="*/ 22 w 22"/>
                <a:gd name="T5" fmla="*/ 105 h 105"/>
                <a:gd name="T6" fmla="*/ 7 w 22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7" y="0"/>
                  </a:moveTo>
                  <a:lnTo>
                    <a:pt x="0" y="2"/>
                  </a:lnTo>
                  <a:lnTo>
                    <a:pt x="22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6" name="Freeform 308">
              <a:extLst>
                <a:ext uri="{FF2B5EF4-FFF2-40B4-BE49-F238E27FC236}">
                  <a16:creationId xmlns:a16="http://schemas.microsoft.com/office/drawing/2014/main" id="{5198991A-63FF-4C04-8999-11C1C8FC5754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8 w 30"/>
                <a:gd name="T1" fmla="*/ 0 h 103"/>
                <a:gd name="T2" fmla="*/ 0 w 30"/>
                <a:gd name="T3" fmla="*/ 2 h 103"/>
                <a:gd name="T4" fmla="*/ 30 w 30"/>
                <a:gd name="T5" fmla="*/ 103 h 103"/>
                <a:gd name="T6" fmla="*/ 8 w 30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8" y="0"/>
                  </a:moveTo>
                  <a:lnTo>
                    <a:pt x="0" y="2"/>
                  </a:lnTo>
                  <a:lnTo>
                    <a:pt x="30" y="10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7" name="Freeform 309">
              <a:extLst>
                <a:ext uri="{FF2B5EF4-FFF2-40B4-BE49-F238E27FC236}">
                  <a16:creationId xmlns:a16="http://schemas.microsoft.com/office/drawing/2014/main" id="{2C5B2205-61FE-47AF-9188-9F6D1113393C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37"/>
                <a:gd name="T1" fmla="*/ 0 h 101"/>
                <a:gd name="T2" fmla="*/ 0 w 37"/>
                <a:gd name="T3" fmla="*/ 2 h 101"/>
                <a:gd name="T4" fmla="*/ 37 w 37"/>
                <a:gd name="T5" fmla="*/ 101 h 101"/>
                <a:gd name="T6" fmla="*/ 7 w 37"/>
                <a:gd name="T7" fmla="*/ 0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7" y="0"/>
                  </a:moveTo>
                  <a:lnTo>
                    <a:pt x="0" y="2"/>
                  </a:lnTo>
                  <a:lnTo>
                    <a:pt x="37" y="10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8" name="Freeform 310">
              <a:extLst>
                <a:ext uri="{FF2B5EF4-FFF2-40B4-BE49-F238E27FC236}">
                  <a16:creationId xmlns:a16="http://schemas.microsoft.com/office/drawing/2014/main" id="{9E978099-6D51-4682-B1E2-F58F220031D2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44"/>
                <a:gd name="T1" fmla="*/ 0 h 99"/>
                <a:gd name="T2" fmla="*/ 0 w 44"/>
                <a:gd name="T3" fmla="*/ 3 h 99"/>
                <a:gd name="T4" fmla="*/ 44 w 44"/>
                <a:gd name="T5" fmla="*/ 99 h 99"/>
                <a:gd name="T6" fmla="*/ 7 w 44"/>
                <a:gd name="T7" fmla="*/ 0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7" y="0"/>
                  </a:moveTo>
                  <a:lnTo>
                    <a:pt x="0" y="3"/>
                  </a:lnTo>
                  <a:lnTo>
                    <a:pt x="44" y="99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9" name="Freeform 311">
              <a:extLst>
                <a:ext uri="{FF2B5EF4-FFF2-40B4-BE49-F238E27FC236}">
                  <a16:creationId xmlns:a16="http://schemas.microsoft.com/office/drawing/2014/main" id="{BB218054-1A9D-432C-9014-DD9F5B967691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50"/>
                <a:gd name="T1" fmla="*/ 0 h 96"/>
                <a:gd name="T2" fmla="*/ 0 w 50"/>
                <a:gd name="T3" fmla="*/ 3 h 96"/>
                <a:gd name="T4" fmla="*/ 50 w 50"/>
                <a:gd name="T5" fmla="*/ 96 h 96"/>
                <a:gd name="T6" fmla="*/ 6 w 50"/>
                <a:gd name="T7" fmla="*/ 0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6" y="0"/>
                  </a:moveTo>
                  <a:lnTo>
                    <a:pt x="0" y="3"/>
                  </a:lnTo>
                  <a:lnTo>
                    <a:pt x="50" y="9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0" name="Freeform 312">
              <a:extLst>
                <a:ext uri="{FF2B5EF4-FFF2-40B4-BE49-F238E27FC236}">
                  <a16:creationId xmlns:a16="http://schemas.microsoft.com/office/drawing/2014/main" id="{91DF80A0-EC75-4355-BC11-DECB2D77A82F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57"/>
                <a:gd name="T1" fmla="*/ 0 h 93"/>
                <a:gd name="T2" fmla="*/ 0 w 57"/>
                <a:gd name="T3" fmla="*/ 4 h 93"/>
                <a:gd name="T4" fmla="*/ 57 w 57"/>
                <a:gd name="T5" fmla="*/ 93 h 93"/>
                <a:gd name="T6" fmla="*/ 7 w 57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7" y="0"/>
                  </a:moveTo>
                  <a:lnTo>
                    <a:pt x="0" y="4"/>
                  </a:lnTo>
                  <a:lnTo>
                    <a:pt x="57" y="9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1" name="Freeform 313">
              <a:extLst>
                <a:ext uri="{FF2B5EF4-FFF2-40B4-BE49-F238E27FC236}">
                  <a16:creationId xmlns:a16="http://schemas.microsoft.com/office/drawing/2014/main" id="{C31FA9B7-ECA3-4AD7-9A7E-D13A7FDAEA59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63"/>
                <a:gd name="T1" fmla="*/ 0 h 89"/>
                <a:gd name="T2" fmla="*/ 0 w 63"/>
                <a:gd name="T3" fmla="*/ 4 h 89"/>
                <a:gd name="T4" fmla="*/ 63 w 63"/>
                <a:gd name="T5" fmla="*/ 89 h 89"/>
                <a:gd name="T6" fmla="*/ 6 w 63"/>
                <a:gd name="T7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" y="0"/>
                  </a:moveTo>
                  <a:lnTo>
                    <a:pt x="0" y="4"/>
                  </a:lnTo>
                  <a:lnTo>
                    <a:pt x="63" y="89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2" name="Freeform 314">
              <a:extLst>
                <a:ext uri="{FF2B5EF4-FFF2-40B4-BE49-F238E27FC236}">
                  <a16:creationId xmlns:a16="http://schemas.microsoft.com/office/drawing/2014/main" id="{639877C5-E475-4EB0-BAA3-971C396CF0BC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6 w 69"/>
                <a:gd name="T1" fmla="*/ 0 h 85"/>
                <a:gd name="T2" fmla="*/ 0 w 69"/>
                <a:gd name="T3" fmla="*/ 5 h 85"/>
                <a:gd name="T4" fmla="*/ 69 w 69"/>
                <a:gd name="T5" fmla="*/ 85 h 85"/>
                <a:gd name="T6" fmla="*/ 6 w 69"/>
                <a:gd name="T7" fmla="*/ 0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" y="0"/>
                  </a:moveTo>
                  <a:lnTo>
                    <a:pt x="0" y="5"/>
                  </a:lnTo>
                  <a:lnTo>
                    <a:pt x="69" y="8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3" name="Freeform 315">
              <a:extLst>
                <a:ext uri="{FF2B5EF4-FFF2-40B4-BE49-F238E27FC236}">
                  <a16:creationId xmlns:a16="http://schemas.microsoft.com/office/drawing/2014/main" id="{2B49A51D-EB39-4351-914D-15208FF278C4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5 w 74"/>
                <a:gd name="T1" fmla="*/ 0 h 80"/>
                <a:gd name="T2" fmla="*/ 0 w 74"/>
                <a:gd name="T3" fmla="*/ 5 h 80"/>
                <a:gd name="T4" fmla="*/ 74 w 74"/>
                <a:gd name="T5" fmla="*/ 80 h 80"/>
                <a:gd name="T6" fmla="*/ 5 w 74"/>
                <a:gd name="T7" fmla="*/ 0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5" y="0"/>
                  </a:moveTo>
                  <a:lnTo>
                    <a:pt x="0" y="5"/>
                  </a:lnTo>
                  <a:lnTo>
                    <a:pt x="74" y="8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4" name="Freeform 316">
              <a:extLst>
                <a:ext uri="{FF2B5EF4-FFF2-40B4-BE49-F238E27FC236}">
                  <a16:creationId xmlns:a16="http://schemas.microsoft.com/office/drawing/2014/main" id="{8615F11D-91A2-4B92-BD25-BD0E5C777414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6 w 80"/>
                <a:gd name="T1" fmla="*/ 0 h 75"/>
                <a:gd name="T2" fmla="*/ 0 w 80"/>
                <a:gd name="T3" fmla="*/ 6 h 75"/>
                <a:gd name="T4" fmla="*/ 80 w 80"/>
                <a:gd name="T5" fmla="*/ 75 h 75"/>
                <a:gd name="T6" fmla="*/ 6 w 80"/>
                <a:gd name="T7" fmla="*/ 0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5">
                  <a:moveTo>
                    <a:pt x="6" y="0"/>
                  </a:moveTo>
                  <a:lnTo>
                    <a:pt x="0" y="6"/>
                  </a:lnTo>
                  <a:lnTo>
                    <a:pt x="80" y="7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5" name="Freeform 317">
              <a:extLst>
                <a:ext uri="{FF2B5EF4-FFF2-40B4-BE49-F238E27FC236}">
                  <a16:creationId xmlns:a16="http://schemas.microsoft.com/office/drawing/2014/main" id="{F3A56F20-E500-446A-8765-4798D63AC08F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84"/>
                <a:gd name="T1" fmla="*/ 0 h 69"/>
                <a:gd name="T2" fmla="*/ 0 w 84"/>
                <a:gd name="T3" fmla="*/ 6 h 69"/>
                <a:gd name="T4" fmla="*/ 84 w 84"/>
                <a:gd name="T5" fmla="*/ 69 h 69"/>
                <a:gd name="T6" fmla="*/ 4 w 84"/>
                <a:gd name="T7" fmla="*/ 0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4" y="0"/>
                  </a:moveTo>
                  <a:lnTo>
                    <a:pt x="0" y="6"/>
                  </a:lnTo>
                  <a:lnTo>
                    <a:pt x="84" y="69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6" name="Freeform 318">
              <a:extLst>
                <a:ext uri="{FF2B5EF4-FFF2-40B4-BE49-F238E27FC236}">
                  <a16:creationId xmlns:a16="http://schemas.microsoft.com/office/drawing/2014/main" id="{EB7D0FA1-BFD5-401A-82AD-40FB3C250B1A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5 w 89"/>
                <a:gd name="T1" fmla="*/ 0 h 63"/>
                <a:gd name="T2" fmla="*/ 0 w 89"/>
                <a:gd name="T3" fmla="*/ 6 h 63"/>
                <a:gd name="T4" fmla="*/ 89 w 89"/>
                <a:gd name="T5" fmla="*/ 63 h 63"/>
                <a:gd name="T6" fmla="*/ 5 w 89"/>
                <a:gd name="T7" fmla="*/ 0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5" y="0"/>
                  </a:moveTo>
                  <a:lnTo>
                    <a:pt x="0" y="6"/>
                  </a:lnTo>
                  <a:lnTo>
                    <a:pt x="89" y="63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7" name="Freeform 319">
              <a:extLst>
                <a:ext uri="{FF2B5EF4-FFF2-40B4-BE49-F238E27FC236}">
                  <a16:creationId xmlns:a16="http://schemas.microsoft.com/office/drawing/2014/main" id="{EACC60AC-8F8C-45F5-8DC2-726DE85A43C8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2"/>
                <a:gd name="T1" fmla="*/ 0 h 57"/>
                <a:gd name="T2" fmla="*/ 0 w 92"/>
                <a:gd name="T3" fmla="*/ 6 h 57"/>
                <a:gd name="T4" fmla="*/ 92 w 92"/>
                <a:gd name="T5" fmla="*/ 57 h 57"/>
                <a:gd name="T6" fmla="*/ 3 w 92"/>
                <a:gd name="T7" fmla="*/ 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3" y="0"/>
                  </a:moveTo>
                  <a:lnTo>
                    <a:pt x="0" y="6"/>
                  </a:lnTo>
                  <a:lnTo>
                    <a:pt x="92" y="57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8" name="Freeform 320">
              <a:extLst>
                <a:ext uri="{FF2B5EF4-FFF2-40B4-BE49-F238E27FC236}">
                  <a16:creationId xmlns:a16="http://schemas.microsoft.com/office/drawing/2014/main" id="{DCF2727C-3110-40A3-BDE0-12B503C46C57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96"/>
                <a:gd name="T1" fmla="*/ 0 h 51"/>
                <a:gd name="T2" fmla="*/ 0 w 96"/>
                <a:gd name="T3" fmla="*/ 7 h 51"/>
                <a:gd name="T4" fmla="*/ 96 w 96"/>
                <a:gd name="T5" fmla="*/ 51 h 51"/>
                <a:gd name="T6" fmla="*/ 4 w 96"/>
                <a:gd name="T7" fmla="*/ 0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4" y="0"/>
                  </a:moveTo>
                  <a:lnTo>
                    <a:pt x="0" y="7"/>
                  </a:lnTo>
                  <a:lnTo>
                    <a:pt x="96" y="5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9" name="Freeform 321">
              <a:extLst>
                <a:ext uri="{FF2B5EF4-FFF2-40B4-BE49-F238E27FC236}">
                  <a16:creationId xmlns:a16="http://schemas.microsoft.com/office/drawing/2014/main" id="{0504DA65-D17C-4ACE-B6B2-0126D0746701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9"/>
                <a:gd name="T1" fmla="*/ 0 h 44"/>
                <a:gd name="T2" fmla="*/ 0 w 99"/>
                <a:gd name="T3" fmla="*/ 7 h 44"/>
                <a:gd name="T4" fmla="*/ 99 w 99"/>
                <a:gd name="T5" fmla="*/ 44 h 44"/>
                <a:gd name="T6" fmla="*/ 3 w 99"/>
                <a:gd name="T7" fmla="*/ 0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3" y="0"/>
                  </a:moveTo>
                  <a:lnTo>
                    <a:pt x="0" y="7"/>
                  </a:lnTo>
                  <a:lnTo>
                    <a:pt x="99" y="44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0" name="Freeform 322">
              <a:extLst>
                <a:ext uri="{FF2B5EF4-FFF2-40B4-BE49-F238E27FC236}">
                  <a16:creationId xmlns:a16="http://schemas.microsoft.com/office/drawing/2014/main" id="{276DB0F8-C152-42B1-B2DE-5ED1D07A42AC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1"/>
                <a:gd name="T1" fmla="*/ 0 h 37"/>
                <a:gd name="T2" fmla="*/ 0 w 101"/>
                <a:gd name="T3" fmla="*/ 7 h 37"/>
                <a:gd name="T4" fmla="*/ 101 w 101"/>
                <a:gd name="T5" fmla="*/ 37 h 37"/>
                <a:gd name="T6" fmla="*/ 2 w 101"/>
                <a:gd name="T7" fmla="*/ 0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2" y="0"/>
                  </a:moveTo>
                  <a:lnTo>
                    <a:pt x="0" y="7"/>
                  </a:lnTo>
                  <a:lnTo>
                    <a:pt x="101" y="37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1" name="Freeform 323">
              <a:extLst>
                <a:ext uri="{FF2B5EF4-FFF2-40B4-BE49-F238E27FC236}">
                  <a16:creationId xmlns:a16="http://schemas.microsoft.com/office/drawing/2014/main" id="{F1E9C47C-262D-46BA-A6CA-9576DA178938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3"/>
                <a:gd name="T1" fmla="*/ 0 h 30"/>
                <a:gd name="T2" fmla="*/ 0 w 103"/>
                <a:gd name="T3" fmla="*/ 7 h 30"/>
                <a:gd name="T4" fmla="*/ 103 w 103"/>
                <a:gd name="T5" fmla="*/ 30 h 30"/>
                <a:gd name="T6" fmla="*/ 2 w 103"/>
                <a:gd name="T7" fmla="*/ 0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2" y="0"/>
                  </a:moveTo>
                  <a:lnTo>
                    <a:pt x="0" y="7"/>
                  </a:lnTo>
                  <a:lnTo>
                    <a:pt x="103" y="3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2" name="Freeform 324">
              <a:extLst>
                <a:ext uri="{FF2B5EF4-FFF2-40B4-BE49-F238E27FC236}">
                  <a16:creationId xmlns:a16="http://schemas.microsoft.com/office/drawing/2014/main" id="{0CDCFF97-914D-4728-BF74-31D20A1FEE82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1 w 104"/>
                <a:gd name="T1" fmla="*/ 0 h 23"/>
                <a:gd name="T2" fmla="*/ 0 w 104"/>
                <a:gd name="T3" fmla="*/ 8 h 23"/>
                <a:gd name="T4" fmla="*/ 104 w 104"/>
                <a:gd name="T5" fmla="*/ 23 h 23"/>
                <a:gd name="T6" fmla="*/ 1 w 104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" y="0"/>
                  </a:moveTo>
                  <a:lnTo>
                    <a:pt x="0" y="8"/>
                  </a:lnTo>
                  <a:lnTo>
                    <a:pt x="104" y="2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3" name="Freeform 325">
              <a:extLst>
                <a:ext uri="{FF2B5EF4-FFF2-40B4-BE49-F238E27FC236}">
                  <a16:creationId xmlns:a16="http://schemas.microsoft.com/office/drawing/2014/main" id="{3D868F1D-1077-4252-86BF-F283A3158F3D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7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7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4" name="Freeform 326">
              <a:extLst>
                <a:ext uri="{FF2B5EF4-FFF2-40B4-BE49-F238E27FC236}">
                  <a16:creationId xmlns:a16="http://schemas.microsoft.com/office/drawing/2014/main" id="{9AC41EBB-E7DD-4244-BFF3-E03F938F9FD2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8"/>
                <a:gd name="T2" fmla="*/ 0 w 105"/>
                <a:gd name="T3" fmla="*/ 8 h 8"/>
                <a:gd name="T4" fmla="*/ 105 w 105"/>
                <a:gd name="T5" fmla="*/ 8 h 8"/>
                <a:gd name="T6" fmla="*/ 0 w 105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0" y="0"/>
                  </a:moveTo>
                  <a:lnTo>
                    <a:pt x="0" y="8"/>
                  </a:lnTo>
                  <a:lnTo>
                    <a:pt x="105" y="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5" name="Freeform 327">
              <a:extLst>
                <a:ext uri="{FF2B5EF4-FFF2-40B4-BE49-F238E27FC236}">
                  <a16:creationId xmlns:a16="http://schemas.microsoft.com/office/drawing/2014/main" id="{3CD02619-F8F0-446C-BEA7-12AFE2779917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6" name="Freeform 328">
              <a:extLst>
                <a:ext uri="{FF2B5EF4-FFF2-40B4-BE49-F238E27FC236}">
                  <a16:creationId xmlns:a16="http://schemas.microsoft.com/office/drawing/2014/main" id="{FD7134BC-67AD-4042-A614-E7A8DD9BC7AB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7 h 15"/>
                <a:gd name="T2" fmla="*/ 1 w 105"/>
                <a:gd name="T3" fmla="*/ 15 h 15"/>
                <a:gd name="T4" fmla="*/ 105 w 105"/>
                <a:gd name="T5" fmla="*/ 0 h 15"/>
                <a:gd name="T6" fmla="*/ 0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0" y="7"/>
                  </a:moveTo>
                  <a:lnTo>
                    <a:pt x="1" y="15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7" name="Freeform 329">
              <a:extLst>
                <a:ext uri="{FF2B5EF4-FFF2-40B4-BE49-F238E27FC236}">
                  <a16:creationId xmlns:a16="http://schemas.microsoft.com/office/drawing/2014/main" id="{FCB5537B-C7E4-466F-B315-13E9B5D93CE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4"/>
                <a:gd name="T1" fmla="*/ 15 h 22"/>
                <a:gd name="T2" fmla="*/ 1 w 104"/>
                <a:gd name="T3" fmla="*/ 22 h 22"/>
                <a:gd name="T4" fmla="*/ 104 w 104"/>
                <a:gd name="T5" fmla="*/ 0 h 22"/>
                <a:gd name="T6" fmla="*/ 0 w 104"/>
                <a:gd name="T7" fmla="*/ 15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0" y="15"/>
                  </a:moveTo>
                  <a:lnTo>
                    <a:pt x="1" y="22"/>
                  </a:lnTo>
                  <a:lnTo>
                    <a:pt x="104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8" name="Freeform 330">
              <a:extLst>
                <a:ext uri="{FF2B5EF4-FFF2-40B4-BE49-F238E27FC236}">
                  <a16:creationId xmlns:a16="http://schemas.microsoft.com/office/drawing/2014/main" id="{6E95E538-6CA4-4D9B-BA4C-15F8AF45C355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3"/>
                <a:gd name="T1" fmla="*/ 22 h 29"/>
                <a:gd name="T2" fmla="*/ 2 w 103"/>
                <a:gd name="T3" fmla="*/ 29 h 29"/>
                <a:gd name="T4" fmla="*/ 103 w 103"/>
                <a:gd name="T5" fmla="*/ 0 h 29"/>
                <a:gd name="T6" fmla="*/ 0 w 103"/>
                <a:gd name="T7" fmla="*/ 22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0" y="22"/>
                  </a:moveTo>
                  <a:lnTo>
                    <a:pt x="2" y="29"/>
                  </a:lnTo>
                  <a:lnTo>
                    <a:pt x="103" y="0"/>
                  </a:lnTo>
                  <a:lnTo>
                    <a:pt x="0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9" name="Freeform 331">
              <a:extLst>
                <a:ext uri="{FF2B5EF4-FFF2-40B4-BE49-F238E27FC236}">
                  <a16:creationId xmlns:a16="http://schemas.microsoft.com/office/drawing/2014/main" id="{498DB199-B78B-49DD-B78B-F1EE3788750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1"/>
                <a:gd name="T1" fmla="*/ 29 h 36"/>
                <a:gd name="T2" fmla="*/ 2 w 101"/>
                <a:gd name="T3" fmla="*/ 36 h 36"/>
                <a:gd name="T4" fmla="*/ 101 w 101"/>
                <a:gd name="T5" fmla="*/ 0 h 36"/>
                <a:gd name="T6" fmla="*/ 0 w 101"/>
                <a:gd name="T7" fmla="*/ 29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0" y="29"/>
                  </a:moveTo>
                  <a:lnTo>
                    <a:pt x="2" y="36"/>
                  </a:lnTo>
                  <a:lnTo>
                    <a:pt x="101" y="0"/>
                  </a:lnTo>
                  <a:lnTo>
                    <a:pt x="0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0" name="Freeform 332">
              <a:extLst>
                <a:ext uri="{FF2B5EF4-FFF2-40B4-BE49-F238E27FC236}">
                  <a16:creationId xmlns:a16="http://schemas.microsoft.com/office/drawing/2014/main" id="{CD102D1C-1555-45FF-8716-350D80C6AA87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9"/>
                <a:gd name="T1" fmla="*/ 36 h 43"/>
                <a:gd name="T2" fmla="*/ 3 w 99"/>
                <a:gd name="T3" fmla="*/ 43 h 43"/>
                <a:gd name="T4" fmla="*/ 99 w 99"/>
                <a:gd name="T5" fmla="*/ 0 h 43"/>
                <a:gd name="T6" fmla="*/ 0 w 99"/>
                <a:gd name="T7" fmla="*/ 36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0" y="36"/>
                  </a:moveTo>
                  <a:lnTo>
                    <a:pt x="3" y="43"/>
                  </a:lnTo>
                  <a:lnTo>
                    <a:pt x="99" y="0"/>
                  </a:lnTo>
                  <a:lnTo>
                    <a:pt x="0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1" name="Freeform 333">
              <a:extLst>
                <a:ext uri="{FF2B5EF4-FFF2-40B4-BE49-F238E27FC236}">
                  <a16:creationId xmlns:a16="http://schemas.microsoft.com/office/drawing/2014/main" id="{FC08D731-065E-4CDD-8C33-9EC43DEC6EA5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6"/>
                <a:gd name="T1" fmla="*/ 43 h 50"/>
                <a:gd name="T2" fmla="*/ 4 w 96"/>
                <a:gd name="T3" fmla="*/ 50 h 50"/>
                <a:gd name="T4" fmla="*/ 96 w 96"/>
                <a:gd name="T5" fmla="*/ 0 h 50"/>
                <a:gd name="T6" fmla="*/ 0 w 96"/>
                <a:gd name="T7" fmla="*/ 43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0" y="43"/>
                  </a:moveTo>
                  <a:lnTo>
                    <a:pt x="4" y="50"/>
                  </a:lnTo>
                  <a:lnTo>
                    <a:pt x="96" y="0"/>
                  </a:lnTo>
                  <a:lnTo>
                    <a:pt x="0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2" name="Freeform 334">
              <a:extLst>
                <a:ext uri="{FF2B5EF4-FFF2-40B4-BE49-F238E27FC236}">
                  <a16:creationId xmlns:a16="http://schemas.microsoft.com/office/drawing/2014/main" id="{CEE05151-A85A-4FD6-98C6-221657EF2ED7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2"/>
                <a:gd name="T1" fmla="*/ 50 h 57"/>
                <a:gd name="T2" fmla="*/ 3 w 92"/>
                <a:gd name="T3" fmla="*/ 57 h 57"/>
                <a:gd name="T4" fmla="*/ 92 w 92"/>
                <a:gd name="T5" fmla="*/ 0 h 57"/>
                <a:gd name="T6" fmla="*/ 0 w 92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0" y="50"/>
                  </a:moveTo>
                  <a:lnTo>
                    <a:pt x="3" y="57"/>
                  </a:lnTo>
                  <a:lnTo>
                    <a:pt x="92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3" name="Freeform 335">
              <a:extLst>
                <a:ext uri="{FF2B5EF4-FFF2-40B4-BE49-F238E27FC236}">
                  <a16:creationId xmlns:a16="http://schemas.microsoft.com/office/drawing/2014/main" id="{880BFAF8-617D-4FE0-BD54-01B8BC0EC19A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9"/>
                <a:gd name="T1" fmla="*/ 57 h 63"/>
                <a:gd name="T2" fmla="*/ 5 w 89"/>
                <a:gd name="T3" fmla="*/ 63 h 63"/>
                <a:gd name="T4" fmla="*/ 89 w 89"/>
                <a:gd name="T5" fmla="*/ 0 h 63"/>
                <a:gd name="T6" fmla="*/ 0 w 89"/>
                <a:gd name="T7" fmla="*/ 57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0" y="57"/>
                  </a:moveTo>
                  <a:lnTo>
                    <a:pt x="5" y="63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4" name="Freeform 336">
              <a:extLst>
                <a:ext uri="{FF2B5EF4-FFF2-40B4-BE49-F238E27FC236}">
                  <a16:creationId xmlns:a16="http://schemas.microsoft.com/office/drawing/2014/main" id="{FF0E34C2-BC49-4431-8439-A26950BC6B65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4"/>
                <a:gd name="T1" fmla="*/ 63 h 69"/>
                <a:gd name="T2" fmla="*/ 4 w 84"/>
                <a:gd name="T3" fmla="*/ 69 h 69"/>
                <a:gd name="T4" fmla="*/ 84 w 84"/>
                <a:gd name="T5" fmla="*/ 0 h 69"/>
                <a:gd name="T6" fmla="*/ 0 w 84"/>
                <a:gd name="T7" fmla="*/ 63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0" y="63"/>
                  </a:moveTo>
                  <a:lnTo>
                    <a:pt x="4" y="69"/>
                  </a:lnTo>
                  <a:lnTo>
                    <a:pt x="84" y="0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5" name="Freeform 337">
              <a:extLst>
                <a:ext uri="{FF2B5EF4-FFF2-40B4-BE49-F238E27FC236}">
                  <a16:creationId xmlns:a16="http://schemas.microsoft.com/office/drawing/2014/main" id="{0803BA4C-55C2-4D65-A470-3D71D245C294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0"/>
                <a:gd name="T1" fmla="*/ 69 h 74"/>
                <a:gd name="T2" fmla="*/ 6 w 80"/>
                <a:gd name="T3" fmla="*/ 74 h 74"/>
                <a:gd name="T4" fmla="*/ 80 w 80"/>
                <a:gd name="T5" fmla="*/ 0 h 74"/>
                <a:gd name="T6" fmla="*/ 0 w 80"/>
                <a:gd name="T7" fmla="*/ 69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4">
                  <a:moveTo>
                    <a:pt x="0" y="69"/>
                  </a:moveTo>
                  <a:lnTo>
                    <a:pt x="6" y="74"/>
                  </a:lnTo>
                  <a:lnTo>
                    <a:pt x="80" y="0"/>
                  </a:lnTo>
                  <a:lnTo>
                    <a:pt x="0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6" name="Freeform 338">
              <a:extLst>
                <a:ext uri="{FF2B5EF4-FFF2-40B4-BE49-F238E27FC236}">
                  <a16:creationId xmlns:a16="http://schemas.microsoft.com/office/drawing/2014/main" id="{FF59017F-4A16-4491-A858-32B7BF6DB901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74"/>
                <a:gd name="T1" fmla="*/ 74 h 79"/>
                <a:gd name="T2" fmla="*/ 5 w 74"/>
                <a:gd name="T3" fmla="*/ 79 h 79"/>
                <a:gd name="T4" fmla="*/ 74 w 74"/>
                <a:gd name="T5" fmla="*/ 0 h 79"/>
                <a:gd name="T6" fmla="*/ 0 w 74"/>
                <a:gd name="T7" fmla="*/ 74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0" y="74"/>
                  </a:moveTo>
                  <a:lnTo>
                    <a:pt x="5" y="79"/>
                  </a:lnTo>
                  <a:lnTo>
                    <a:pt x="74" y="0"/>
                  </a:lnTo>
                  <a:lnTo>
                    <a:pt x="0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7" name="Freeform 339">
              <a:extLst>
                <a:ext uri="{FF2B5EF4-FFF2-40B4-BE49-F238E27FC236}">
                  <a16:creationId xmlns:a16="http://schemas.microsoft.com/office/drawing/2014/main" id="{CD65E786-8C74-4807-AA68-9D9D62C05368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69"/>
                <a:gd name="T1" fmla="*/ 79 h 84"/>
                <a:gd name="T2" fmla="*/ 6 w 69"/>
                <a:gd name="T3" fmla="*/ 84 h 84"/>
                <a:gd name="T4" fmla="*/ 69 w 69"/>
                <a:gd name="T5" fmla="*/ 0 h 84"/>
                <a:gd name="T6" fmla="*/ 0 w 69"/>
                <a:gd name="T7" fmla="*/ 79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0" y="79"/>
                  </a:moveTo>
                  <a:lnTo>
                    <a:pt x="6" y="84"/>
                  </a:lnTo>
                  <a:lnTo>
                    <a:pt x="69" y="0"/>
                  </a:lnTo>
                  <a:lnTo>
                    <a:pt x="0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8" name="Freeform 340">
              <a:extLst>
                <a:ext uri="{FF2B5EF4-FFF2-40B4-BE49-F238E27FC236}">
                  <a16:creationId xmlns:a16="http://schemas.microsoft.com/office/drawing/2014/main" id="{252029D7-42F1-4613-8594-00C718BD1A7A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63"/>
                <a:gd name="T1" fmla="*/ 84 h 88"/>
                <a:gd name="T2" fmla="*/ 6 w 63"/>
                <a:gd name="T3" fmla="*/ 88 h 88"/>
                <a:gd name="T4" fmla="*/ 63 w 63"/>
                <a:gd name="T5" fmla="*/ 0 h 88"/>
                <a:gd name="T6" fmla="*/ 0 w 63"/>
                <a:gd name="T7" fmla="*/ 84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0" y="84"/>
                  </a:moveTo>
                  <a:lnTo>
                    <a:pt x="6" y="88"/>
                  </a:lnTo>
                  <a:lnTo>
                    <a:pt x="63" y="0"/>
                  </a:lnTo>
                  <a:lnTo>
                    <a:pt x="0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9" name="Freeform 341">
              <a:extLst>
                <a:ext uri="{FF2B5EF4-FFF2-40B4-BE49-F238E27FC236}">
                  <a16:creationId xmlns:a16="http://schemas.microsoft.com/office/drawing/2014/main" id="{E110B45D-8646-4001-A5B9-57FABDEF51F4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7"/>
                <a:gd name="T1" fmla="*/ 88 h 92"/>
                <a:gd name="T2" fmla="*/ 7 w 57"/>
                <a:gd name="T3" fmla="*/ 92 h 92"/>
                <a:gd name="T4" fmla="*/ 57 w 57"/>
                <a:gd name="T5" fmla="*/ 0 h 92"/>
                <a:gd name="T6" fmla="*/ 0 w 57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0" y="88"/>
                  </a:moveTo>
                  <a:lnTo>
                    <a:pt x="7" y="92"/>
                  </a:lnTo>
                  <a:lnTo>
                    <a:pt x="57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0" name="Freeform 342">
              <a:extLst>
                <a:ext uri="{FF2B5EF4-FFF2-40B4-BE49-F238E27FC236}">
                  <a16:creationId xmlns:a16="http://schemas.microsoft.com/office/drawing/2014/main" id="{82DE555C-BFE6-4377-8D2F-2C44513D26B2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0"/>
                <a:gd name="T1" fmla="*/ 92 h 95"/>
                <a:gd name="T2" fmla="*/ 6 w 50"/>
                <a:gd name="T3" fmla="*/ 95 h 95"/>
                <a:gd name="T4" fmla="*/ 50 w 50"/>
                <a:gd name="T5" fmla="*/ 0 h 95"/>
                <a:gd name="T6" fmla="*/ 0 w 50"/>
                <a:gd name="T7" fmla="*/ 92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0" y="92"/>
                  </a:moveTo>
                  <a:lnTo>
                    <a:pt x="6" y="95"/>
                  </a:lnTo>
                  <a:lnTo>
                    <a:pt x="50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1" name="Freeform 343">
              <a:extLst>
                <a:ext uri="{FF2B5EF4-FFF2-40B4-BE49-F238E27FC236}">
                  <a16:creationId xmlns:a16="http://schemas.microsoft.com/office/drawing/2014/main" id="{E40E4B16-D480-4892-BE4C-325468379595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44"/>
                <a:gd name="T1" fmla="*/ 95 h 98"/>
                <a:gd name="T2" fmla="*/ 7 w 44"/>
                <a:gd name="T3" fmla="*/ 98 h 98"/>
                <a:gd name="T4" fmla="*/ 44 w 44"/>
                <a:gd name="T5" fmla="*/ 0 h 98"/>
                <a:gd name="T6" fmla="*/ 0 w 44"/>
                <a:gd name="T7" fmla="*/ 95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0" y="95"/>
                  </a:moveTo>
                  <a:lnTo>
                    <a:pt x="7" y="98"/>
                  </a:lnTo>
                  <a:lnTo>
                    <a:pt x="44" y="0"/>
                  </a:lnTo>
                  <a:lnTo>
                    <a:pt x="0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2" name="Freeform 344">
              <a:extLst>
                <a:ext uri="{FF2B5EF4-FFF2-40B4-BE49-F238E27FC236}">
                  <a16:creationId xmlns:a16="http://schemas.microsoft.com/office/drawing/2014/main" id="{A11BEB3B-888E-407A-8498-18F35E86BB1D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7"/>
                <a:gd name="T1" fmla="*/ 98 h 101"/>
                <a:gd name="T2" fmla="*/ 7 w 37"/>
                <a:gd name="T3" fmla="*/ 101 h 101"/>
                <a:gd name="T4" fmla="*/ 37 w 37"/>
                <a:gd name="T5" fmla="*/ 0 h 101"/>
                <a:gd name="T6" fmla="*/ 0 w 37"/>
                <a:gd name="T7" fmla="*/ 98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0" y="98"/>
                  </a:moveTo>
                  <a:lnTo>
                    <a:pt x="7" y="101"/>
                  </a:lnTo>
                  <a:lnTo>
                    <a:pt x="37" y="0"/>
                  </a:lnTo>
                  <a:lnTo>
                    <a:pt x="0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3" name="Freeform 345">
              <a:extLst>
                <a:ext uri="{FF2B5EF4-FFF2-40B4-BE49-F238E27FC236}">
                  <a16:creationId xmlns:a16="http://schemas.microsoft.com/office/drawing/2014/main" id="{57EEDD41-5CB2-4A41-A14E-89FC215FE9DB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0"/>
                <a:gd name="T1" fmla="*/ 101 h 103"/>
                <a:gd name="T2" fmla="*/ 8 w 30"/>
                <a:gd name="T3" fmla="*/ 103 h 103"/>
                <a:gd name="T4" fmla="*/ 30 w 30"/>
                <a:gd name="T5" fmla="*/ 0 h 103"/>
                <a:gd name="T6" fmla="*/ 0 w 30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0" y="101"/>
                  </a:moveTo>
                  <a:lnTo>
                    <a:pt x="8" y="103"/>
                  </a:lnTo>
                  <a:lnTo>
                    <a:pt x="30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4" name="Freeform 346">
              <a:extLst>
                <a:ext uri="{FF2B5EF4-FFF2-40B4-BE49-F238E27FC236}">
                  <a16:creationId xmlns:a16="http://schemas.microsoft.com/office/drawing/2014/main" id="{CEFD45F4-7D2B-4A99-A78E-5C2EC95CE574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22"/>
                <a:gd name="T1" fmla="*/ 103 h 104"/>
                <a:gd name="T2" fmla="*/ 7 w 22"/>
                <a:gd name="T3" fmla="*/ 104 h 104"/>
                <a:gd name="T4" fmla="*/ 22 w 22"/>
                <a:gd name="T5" fmla="*/ 0 h 104"/>
                <a:gd name="T6" fmla="*/ 0 w 22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0" y="103"/>
                  </a:moveTo>
                  <a:lnTo>
                    <a:pt x="7" y="104"/>
                  </a:lnTo>
                  <a:lnTo>
                    <a:pt x="22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5" name="Freeform 347">
              <a:extLst>
                <a:ext uri="{FF2B5EF4-FFF2-40B4-BE49-F238E27FC236}">
                  <a16:creationId xmlns:a16="http://schemas.microsoft.com/office/drawing/2014/main" id="{BB298669-489D-49D5-AF24-8B1829EA0FE9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15"/>
                <a:gd name="T1" fmla="*/ 104 h 105"/>
                <a:gd name="T2" fmla="*/ 7 w 15"/>
                <a:gd name="T3" fmla="*/ 105 h 105"/>
                <a:gd name="T4" fmla="*/ 15 w 15"/>
                <a:gd name="T5" fmla="*/ 0 h 105"/>
                <a:gd name="T6" fmla="*/ 0 w 15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0" y="104"/>
                  </a:moveTo>
                  <a:lnTo>
                    <a:pt x="7" y="105"/>
                  </a:lnTo>
                  <a:lnTo>
                    <a:pt x="15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6" name="Freeform 348">
              <a:extLst>
                <a:ext uri="{FF2B5EF4-FFF2-40B4-BE49-F238E27FC236}">
                  <a16:creationId xmlns:a16="http://schemas.microsoft.com/office/drawing/2014/main" id="{D19A9AA6-2B5A-481B-A293-5D7FBA3215B8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8"/>
                <a:gd name="T1" fmla="*/ 105 h 105"/>
                <a:gd name="T2" fmla="*/ 8 w 8"/>
                <a:gd name="T3" fmla="*/ 105 h 105"/>
                <a:gd name="T4" fmla="*/ 8 w 8"/>
                <a:gd name="T5" fmla="*/ 0 h 105"/>
                <a:gd name="T6" fmla="*/ 0 w 8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5">
                  <a:moveTo>
                    <a:pt x="0" y="105"/>
                  </a:moveTo>
                  <a:lnTo>
                    <a:pt x="8" y="105"/>
                  </a:lnTo>
                  <a:lnTo>
                    <a:pt x="8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7" name="Freeform 349">
              <a:extLst>
                <a:ext uri="{FF2B5EF4-FFF2-40B4-BE49-F238E27FC236}">
                  <a16:creationId xmlns:a16="http://schemas.microsoft.com/office/drawing/2014/main" id="{15C1C2D1-E5CA-4921-8B9E-4C0A96BD1BF9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8" name="Freeform 350">
              <a:extLst>
                <a:ext uri="{FF2B5EF4-FFF2-40B4-BE49-F238E27FC236}">
                  <a16:creationId xmlns:a16="http://schemas.microsoft.com/office/drawing/2014/main" id="{D17AF055-48B6-4101-8A3A-CABDC851A75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9" name="Freeform 351">
              <a:extLst>
                <a:ext uri="{FF2B5EF4-FFF2-40B4-BE49-F238E27FC236}">
                  <a16:creationId xmlns:a16="http://schemas.microsoft.com/office/drawing/2014/main" id="{FF65AA05-82C0-4FD7-A821-9E1B3F777F53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0" name="Freeform 352">
              <a:extLst>
                <a:ext uri="{FF2B5EF4-FFF2-40B4-BE49-F238E27FC236}">
                  <a16:creationId xmlns:a16="http://schemas.microsoft.com/office/drawing/2014/main" id="{233E56BE-A4EF-4148-B132-555D55607CE6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22 w 30"/>
                <a:gd name="T1" fmla="*/ 103 h 103"/>
                <a:gd name="T2" fmla="*/ 30 w 30"/>
                <a:gd name="T3" fmla="*/ 101 h 103"/>
                <a:gd name="T4" fmla="*/ 0 w 30"/>
                <a:gd name="T5" fmla="*/ 0 h 103"/>
                <a:gd name="T6" fmla="*/ 22 w 30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22" y="103"/>
                  </a:moveTo>
                  <a:lnTo>
                    <a:pt x="30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1" name="Freeform 353">
              <a:extLst>
                <a:ext uri="{FF2B5EF4-FFF2-40B4-BE49-F238E27FC236}">
                  <a16:creationId xmlns:a16="http://schemas.microsoft.com/office/drawing/2014/main" id="{698B8496-C320-4F9C-A542-1D95C655E4C6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0 w 37"/>
                <a:gd name="T1" fmla="*/ 101 h 101"/>
                <a:gd name="T2" fmla="*/ 37 w 37"/>
                <a:gd name="T3" fmla="*/ 98 h 101"/>
                <a:gd name="T4" fmla="*/ 0 w 37"/>
                <a:gd name="T5" fmla="*/ 0 h 101"/>
                <a:gd name="T6" fmla="*/ 30 w 37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0" y="101"/>
                  </a:moveTo>
                  <a:lnTo>
                    <a:pt x="37" y="98"/>
                  </a:lnTo>
                  <a:lnTo>
                    <a:pt x="0" y="0"/>
                  </a:lnTo>
                  <a:lnTo>
                    <a:pt x="3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2" name="Freeform 354">
              <a:extLst>
                <a:ext uri="{FF2B5EF4-FFF2-40B4-BE49-F238E27FC236}">
                  <a16:creationId xmlns:a16="http://schemas.microsoft.com/office/drawing/2014/main" id="{EB43B7CD-A6AF-40BA-BB9A-574BFCFFB4F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7 w 44"/>
                <a:gd name="T1" fmla="*/ 98 h 98"/>
                <a:gd name="T2" fmla="*/ 44 w 44"/>
                <a:gd name="T3" fmla="*/ 95 h 98"/>
                <a:gd name="T4" fmla="*/ 0 w 44"/>
                <a:gd name="T5" fmla="*/ 0 h 98"/>
                <a:gd name="T6" fmla="*/ 37 w 44"/>
                <a:gd name="T7" fmla="*/ 98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37" y="98"/>
                  </a:moveTo>
                  <a:lnTo>
                    <a:pt x="44" y="95"/>
                  </a:lnTo>
                  <a:lnTo>
                    <a:pt x="0" y="0"/>
                  </a:lnTo>
                  <a:lnTo>
                    <a:pt x="37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3" name="Freeform 355">
              <a:extLst>
                <a:ext uri="{FF2B5EF4-FFF2-40B4-BE49-F238E27FC236}">
                  <a16:creationId xmlns:a16="http://schemas.microsoft.com/office/drawing/2014/main" id="{D0AAB6F9-6E32-4EDB-B73A-77F8B3864B6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1"/>
            </a:xfrm>
            <a:custGeom>
              <a:avLst/>
              <a:gdLst>
                <a:gd name="T0" fmla="*/ 44 w 50"/>
                <a:gd name="T1" fmla="*/ 95 h 95"/>
                <a:gd name="T2" fmla="*/ 50 w 50"/>
                <a:gd name="T3" fmla="*/ 92 h 95"/>
                <a:gd name="T4" fmla="*/ 0 w 50"/>
                <a:gd name="T5" fmla="*/ 0 h 95"/>
                <a:gd name="T6" fmla="*/ 44 w 50"/>
                <a:gd name="T7" fmla="*/ 95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44" y="95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4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4" name="Freeform 356">
              <a:extLst>
                <a:ext uri="{FF2B5EF4-FFF2-40B4-BE49-F238E27FC236}">
                  <a16:creationId xmlns:a16="http://schemas.microsoft.com/office/drawing/2014/main" id="{2F424E6F-C836-4E94-A130-D5FA740255C3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0 w 57"/>
                <a:gd name="T1" fmla="*/ 92 h 92"/>
                <a:gd name="T2" fmla="*/ 57 w 57"/>
                <a:gd name="T3" fmla="*/ 88 h 92"/>
                <a:gd name="T4" fmla="*/ 0 w 57"/>
                <a:gd name="T5" fmla="*/ 0 h 92"/>
                <a:gd name="T6" fmla="*/ 50 w 57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50" y="92"/>
                  </a:moveTo>
                  <a:lnTo>
                    <a:pt x="57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5" name="Freeform 357">
              <a:extLst>
                <a:ext uri="{FF2B5EF4-FFF2-40B4-BE49-F238E27FC236}">
                  <a16:creationId xmlns:a16="http://schemas.microsoft.com/office/drawing/2014/main" id="{366E960A-6BC3-45EC-A9E6-AA0B375990E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7 w 63"/>
                <a:gd name="T1" fmla="*/ 88 h 88"/>
                <a:gd name="T2" fmla="*/ 63 w 63"/>
                <a:gd name="T3" fmla="*/ 84 h 88"/>
                <a:gd name="T4" fmla="*/ 0 w 63"/>
                <a:gd name="T5" fmla="*/ 0 h 88"/>
                <a:gd name="T6" fmla="*/ 57 w 63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57" y="88"/>
                  </a:moveTo>
                  <a:lnTo>
                    <a:pt x="63" y="84"/>
                  </a:lnTo>
                  <a:lnTo>
                    <a:pt x="0" y="0"/>
                  </a:lnTo>
                  <a:lnTo>
                    <a:pt x="57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6" name="Freeform 358">
              <a:extLst>
                <a:ext uri="{FF2B5EF4-FFF2-40B4-BE49-F238E27FC236}">
                  <a16:creationId xmlns:a16="http://schemas.microsoft.com/office/drawing/2014/main" id="{E3D0B451-0209-44D9-994D-FDDA48D4824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3 w 69"/>
                <a:gd name="T1" fmla="*/ 84 h 84"/>
                <a:gd name="T2" fmla="*/ 69 w 69"/>
                <a:gd name="T3" fmla="*/ 79 h 84"/>
                <a:gd name="T4" fmla="*/ 0 w 69"/>
                <a:gd name="T5" fmla="*/ 0 h 84"/>
                <a:gd name="T6" fmla="*/ 63 w 69"/>
                <a:gd name="T7" fmla="*/ 84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63" y="84"/>
                  </a:moveTo>
                  <a:lnTo>
                    <a:pt x="69" y="79"/>
                  </a:lnTo>
                  <a:lnTo>
                    <a:pt x="0" y="0"/>
                  </a:lnTo>
                  <a:lnTo>
                    <a:pt x="63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7" name="Freeform 359">
              <a:extLst>
                <a:ext uri="{FF2B5EF4-FFF2-40B4-BE49-F238E27FC236}">
                  <a16:creationId xmlns:a16="http://schemas.microsoft.com/office/drawing/2014/main" id="{C3CF5209-57F3-4C42-A77D-721E3ACC4F3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9 w 74"/>
                <a:gd name="T1" fmla="*/ 79 h 79"/>
                <a:gd name="T2" fmla="*/ 74 w 74"/>
                <a:gd name="T3" fmla="*/ 74 h 79"/>
                <a:gd name="T4" fmla="*/ 0 w 74"/>
                <a:gd name="T5" fmla="*/ 0 h 79"/>
                <a:gd name="T6" fmla="*/ 69 w 74"/>
                <a:gd name="T7" fmla="*/ 79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69" y="79"/>
                  </a:moveTo>
                  <a:lnTo>
                    <a:pt x="74" y="74"/>
                  </a:lnTo>
                  <a:lnTo>
                    <a:pt x="0" y="0"/>
                  </a:lnTo>
                  <a:lnTo>
                    <a:pt x="69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8" name="Freeform 360">
              <a:extLst>
                <a:ext uri="{FF2B5EF4-FFF2-40B4-BE49-F238E27FC236}">
                  <a16:creationId xmlns:a16="http://schemas.microsoft.com/office/drawing/2014/main" id="{7801DC46-D5BA-459A-9551-D9629EAE5C5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4 w 79"/>
                <a:gd name="T1" fmla="*/ 74 h 74"/>
                <a:gd name="T2" fmla="*/ 79 w 79"/>
                <a:gd name="T3" fmla="*/ 69 h 74"/>
                <a:gd name="T4" fmla="*/ 0 w 79"/>
                <a:gd name="T5" fmla="*/ 0 h 74"/>
                <a:gd name="T6" fmla="*/ 74 w 79"/>
                <a:gd name="T7" fmla="*/ 74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4">
                  <a:moveTo>
                    <a:pt x="74" y="74"/>
                  </a:moveTo>
                  <a:lnTo>
                    <a:pt x="79" y="69"/>
                  </a:lnTo>
                  <a:lnTo>
                    <a:pt x="0" y="0"/>
                  </a:lnTo>
                  <a:lnTo>
                    <a:pt x="74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9" name="Freeform 361">
              <a:extLst>
                <a:ext uri="{FF2B5EF4-FFF2-40B4-BE49-F238E27FC236}">
                  <a16:creationId xmlns:a16="http://schemas.microsoft.com/office/drawing/2014/main" id="{B5973C5E-63DF-4964-B70E-B8CBFA4E5E98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9 w 84"/>
                <a:gd name="T1" fmla="*/ 69 h 69"/>
                <a:gd name="T2" fmla="*/ 84 w 84"/>
                <a:gd name="T3" fmla="*/ 63 h 69"/>
                <a:gd name="T4" fmla="*/ 0 w 84"/>
                <a:gd name="T5" fmla="*/ 0 h 69"/>
                <a:gd name="T6" fmla="*/ 79 w 84"/>
                <a:gd name="T7" fmla="*/ 69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79" y="69"/>
                  </a:moveTo>
                  <a:lnTo>
                    <a:pt x="84" y="63"/>
                  </a:lnTo>
                  <a:lnTo>
                    <a:pt x="0" y="0"/>
                  </a:lnTo>
                  <a:lnTo>
                    <a:pt x="79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0" name="Freeform 362">
              <a:extLst>
                <a:ext uri="{FF2B5EF4-FFF2-40B4-BE49-F238E27FC236}">
                  <a16:creationId xmlns:a16="http://schemas.microsoft.com/office/drawing/2014/main" id="{5C7B1F33-0C64-4B2B-A804-570E344D312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4 w 88"/>
                <a:gd name="T1" fmla="*/ 63 h 63"/>
                <a:gd name="T2" fmla="*/ 88 w 88"/>
                <a:gd name="T3" fmla="*/ 57 h 63"/>
                <a:gd name="T4" fmla="*/ 0 w 88"/>
                <a:gd name="T5" fmla="*/ 0 h 63"/>
                <a:gd name="T6" fmla="*/ 84 w 88"/>
                <a:gd name="T7" fmla="*/ 63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4" y="63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4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1" name="Freeform 363">
              <a:extLst>
                <a:ext uri="{FF2B5EF4-FFF2-40B4-BE49-F238E27FC236}">
                  <a16:creationId xmlns:a16="http://schemas.microsoft.com/office/drawing/2014/main" id="{ADCF04B9-CA72-421E-A74F-898540E40B2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8 w 92"/>
                <a:gd name="T1" fmla="*/ 57 h 57"/>
                <a:gd name="T2" fmla="*/ 92 w 92"/>
                <a:gd name="T3" fmla="*/ 50 h 57"/>
                <a:gd name="T4" fmla="*/ 0 w 92"/>
                <a:gd name="T5" fmla="*/ 0 h 57"/>
                <a:gd name="T6" fmla="*/ 88 w 92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88" y="57"/>
                  </a:moveTo>
                  <a:lnTo>
                    <a:pt x="92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2" name="Freeform 364">
              <a:extLst>
                <a:ext uri="{FF2B5EF4-FFF2-40B4-BE49-F238E27FC236}">
                  <a16:creationId xmlns:a16="http://schemas.microsoft.com/office/drawing/2014/main" id="{9974D4AD-6FB0-47F1-8EF9-B72F6D1864D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2 w 96"/>
                <a:gd name="T1" fmla="*/ 50 h 50"/>
                <a:gd name="T2" fmla="*/ 96 w 96"/>
                <a:gd name="T3" fmla="*/ 43 h 50"/>
                <a:gd name="T4" fmla="*/ 0 w 96"/>
                <a:gd name="T5" fmla="*/ 0 h 50"/>
                <a:gd name="T6" fmla="*/ 92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2" y="50"/>
                  </a:moveTo>
                  <a:lnTo>
                    <a:pt x="96" y="43"/>
                  </a:lnTo>
                  <a:lnTo>
                    <a:pt x="0" y="0"/>
                  </a:lnTo>
                  <a:lnTo>
                    <a:pt x="92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3" name="Freeform 365">
              <a:extLst>
                <a:ext uri="{FF2B5EF4-FFF2-40B4-BE49-F238E27FC236}">
                  <a16:creationId xmlns:a16="http://schemas.microsoft.com/office/drawing/2014/main" id="{E968F626-655D-4317-ABA2-8BA6171AD06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6 w 99"/>
                <a:gd name="T1" fmla="*/ 43 h 43"/>
                <a:gd name="T2" fmla="*/ 99 w 99"/>
                <a:gd name="T3" fmla="*/ 36 h 43"/>
                <a:gd name="T4" fmla="*/ 0 w 99"/>
                <a:gd name="T5" fmla="*/ 0 h 43"/>
                <a:gd name="T6" fmla="*/ 96 w 99"/>
                <a:gd name="T7" fmla="*/ 43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6" y="43"/>
                  </a:moveTo>
                  <a:lnTo>
                    <a:pt x="99" y="36"/>
                  </a:lnTo>
                  <a:lnTo>
                    <a:pt x="0" y="0"/>
                  </a:lnTo>
                  <a:lnTo>
                    <a:pt x="96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4" name="Freeform 366">
              <a:extLst>
                <a:ext uri="{FF2B5EF4-FFF2-40B4-BE49-F238E27FC236}">
                  <a16:creationId xmlns:a16="http://schemas.microsoft.com/office/drawing/2014/main" id="{CE3ECC66-EA4B-44D4-AC82-0E57B260C84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99 w 101"/>
                <a:gd name="T1" fmla="*/ 36 h 36"/>
                <a:gd name="T2" fmla="*/ 101 w 101"/>
                <a:gd name="T3" fmla="*/ 29 h 36"/>
                <a:gd name="T4" fmla="*/ 0 w 101"/>
                <a:gd name="T5" fmla="*/ 0 h 36"/>
                <a:gd name="T6" fmla="*/ 99 w 101"/>
                <a:gd name="T7" fmla="*/ 36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99" y="36"/>
                  </a:moveTo>
                  <a:lnTo>
                    <a:pt x="101" y="29"/>
                  </a:lnTo>
                  <a:lnTo>
                    <a:pt x="0" y="0"/>
                  </a:lnTo>
                  <a:lnTo>
                    <a:pt x="99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5" name="Freeform 367">
              <a:extLst>
                <a:ext uri="{FF2B5EF4-FFF2-40B4-BE49-F238E27FC236}">
                  <a16:creationId xmlns:a16="http://schemas.microsoft.com/office/drawing/2014/main" id="{293530F5-48AC-45C4-B45A-06E17C80E188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1 w 103"/>
                <a:gd name="T1" fmla="*/ 29 h 29"/>
                <a:gd name="T2" fmla="*/ 103 w 103"/>
                <a:gd name="T3" fmla="*/ 22 h 29"/>
                <a:gd name="T4" fmla="*/ 0 w 103"/>
                <a:gd name="T5" fmla="*/ 0 h 29"/>
                <a:gd name="T6" fmla="*/ 101 w 103"/>
                <a:gd name="T7" fmla="*/ 29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1" y="29"/>
                  </a:moveTo>
                  <a:lnTo>
                    <a:pt x="103" y="22"/>
                  </a:lnTo>
                  <a:lnTo>
                    <a:pt x="0" y="0"/>
                  </a:lnTo>
                  <a:lnTo>
                    <a:pt x="101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6" name="Freeform 368">
              <a:extLst>
                <a:ext uri="{FF2B5EF4-FFF2-40B4-BE49-F238E27FC236}">
                  <a16:creationId xmlns:a16="http://schemas.microsoft.com/office/drawing/2014/main" id="{F4210F3D-CA37-4FAA-9722-6B45036D2B3A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3 w 104"/>
                <a:gd name="T1" fmla="*/ 22 h 22"/>
                <a:gd name="T2" fmla="*/ 104 w 104"/>
                <a:gd name="T3" fmla="*/ 15 h 22"/>
                <a:gd name="T4" fmla="*/ 0 w 104"/>
                <a:gd name="T5" fmla="*/ 0 h 22"/>
                <a:gd name="T6" fmla="*/ 103 w 104"/>
                <a:gd name="T7" fmla="*/ 22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3" y="22"/>
                  </a:moveTo>
                  <a:lnTo>
                    <a:pt x="104" y="15"/>
                  </a:lnTo>
                  <a:lnTo>
                    <a:pt x="0" y="0"/>
                  </a:lnTo>
                  <a:lnTo>
                    <a:pt x="103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7" name="Freeform 369">
              <a:extLst>
                <a:ext uri="{FF2B5EF4-FFF2-40B4-BE49-F238E27FC236}">
                  <a16:creationId xmlns:a16="http://schemas.microsoft.com/office/drawing/2014/main" id="{8257CF3C-A046-433E-B4D7-81EE9F1B51B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4 w 105"/>
                <a:gd name="T1" fmla="*/ 15 h 15"/>
                <a:gd name="T2" fmla="*/ 105 w 105"/>
                <a:gd name="T3" fmla="*/ 7 h 15"/>
                <a:gd name="T4" fmla="*/ 0 w 105"/>
                <a:gd name="T5" fmla="*/ 0 h 15"/>
                <a:gd name="T6" fmla="*/ 104 w 105"/>
                <a:gd name="T7" fmla="*/ 15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4" y="15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8" name="Freeform 370">
              <a:extLst>
                <a:ext uri="{FF2B5EF4-FFF2-40B4-BE49-F238E27FC236}">
                  <a16:creationId xmlns:a16="http://schemas.microsoft.com/office/drawing/2014/main" id="{D6EFFEA7-1A58-4B20-8F69-CBA498268BA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9" name="Freeform 371">
              <a:extLst>
                <a:ext uri="{FF2B5EF4-FFF2-40B4-BE49-F238E27FC236}">
                  <a16:creationId xmlns:a16="http://schemas.microsoft.com/office/drawing/2014/main" id="{479A7AF5-7AD4-4353-AF29-D1D1CC68D0AF}"/>
                </a:ext>
              </a:extLst>
            </xdr:cNvPr>
            <xdr:cNvSpPr>
              <a:spLocks/>
            </xdr:cNvSpPr>
          </xdr:nvSpPr>
          <xdr:spPr bwMode="auto">
            <a:xfrm>
              <a:off x="1095" y="188"/>
              <a:ext cx="6" cy="9"/>
            </a:xfrm>
            <a:custGeom>
              <a:avLst/>
              <a:gdLst>
                <a:gd name="T0" fmla="*/ 0 w 352"/>
                <a:gd name="T1" fmla="*/ 526 h 526"/>
                <a:gd name="T2" fmla="*/ 0 w 352"/>
                <a:gd name="T3" fmla="*/ 0 h 526"/>
                <a:gd name="T4" fmla="*/ 264 w 352"/>
                <a:gd name="T5" fmla="*/ 0 h 526"/>
                <a:gd name="T6" fmla="*/ 352 w 352"/>
                <a:gd name="T7" fmla="*/ 88 h 526"/>
                <a:gd name="T8" fmla="*/ 352 w 352"/>
                <a:gd name="T9" fmla="*/ 175 h 526"/>
                <a:gd name="T10" fmla="*/ 264 w 352"/>
                <a:gd name="T11" fmla="*/ 263 h 526"/>
                <a:gd name="T12" fmla="*/ 0 w 352"/>
                <a:gd name="T13" fmla="*/ 263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352" h="526">
                  <a:moveTo>
                    <a:pt x="0" y="526"/>
                  </a:moveTo>
                  <a:lnTo>
                    <a:pt x="0" y="0"/>
                  </a:lnTo>
                  <a:lnTo>
                    <a:pt x="264" y="0"/>
                  </a:lnTo>
                  <a:lnTo>
                    <a:pt x="352" y="88"/>
                  </a:lnTo>
                  <a:lnTo>
                    <a:pt x="352" y="175"/>
                  </a:lnTo>
                  <a:lnTo>
                    <a:pt x="264" y="263"/>
                  </a:lnTo>
                  <a:lnTo>
                    <a:pt x="0" y="263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0" name="Freeform 372">
              <a:extLst>
                <a:ext uri="{FF2B5EF4-FFF2-40B4-BE49-F238E27FC236}">
                  <a16:creationId xmlns:a16="http://schemas.microsoft.com/office/drawing/2014/main" id="{8506C74D-B9F7-45A9-95CF-23D0C8A643E8}"/>
                </a:ext>
              </a:extLst>
            </xdr:cNvPr>
            <xdr:cNvSpPr>
              <a:spLocks/>
            </xdr:cNvSpPr>
          </xdr:nvSpPr>
          <xdr:spPr bwMode="auto">
            <a:xfrm>
              <a:off x="1104" y="191"/>
              <a:ext cx="6" cy="6"/>
            </a:xfrm>
            <a:custGeom>
              <a:avLst/>
              <a:gdLst>
                <a:gd name="T0" fmla="*/ 351 w 351"/>
                <a:gd name="T1" fmla="*/ 0 h 351"/>
                <a:gd name="T2" fmla="*/ 88 w 351"/>
                <a:gd name="T3" fmla="*/ 0 h 351"/>
                <a:gd name="T4" fmla="*/ 0 w 351"/>
                <a:gd name="T5" fmla="*/ 88 h 351"/>
                <a:gd name="T6" fmla="*/ 0 w 351"/>
                <a:gd name="T7" fmla="*/ 264 h 351"/>
                <a:gd name="T8" fmla="*/ 88 w 351"/>
                <a:gd name="T9" fmla="*/ 351 h 351"/>
                <a:gd name="T10" fmla="*/ 351 w 351"/>
                <a:gd name="T11" fmla="*/ 351 h 3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351">
                  <a:moveTo>
                    <a:pt x="351" y="0"/>
                  </a:moveTo>
                  <a:lnTo>
                    <a:pt x="88" y="0"/>
                  </a:lnTo>
                  <a:lnTo>
                    <a:pt x="0" y="88"/>
                  </a:lnTo>
                  <a:lnTo>
                    <a:pt x="0" y="264"/>
                  </a:lnTo>
                  <a:lnTo>
                    <a:pt x="88" y="351"/>
                  </a:lnTo>
                  <a:lnTo>
                    <a:pt x="351" y="351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1" name="Freeform 373">
              <a:extLst>
                <a:ext uri="{FF2B5EF4-FFF2-40B4-BE49-F238E27FC236}">
                  <a16:creationId xmlns:a16="http://schemas.microsoft.com/office/drawing/2014/main" id="{8119E58C-6EE9-4969-A443-E7D7C01C1E1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9"/>
                <a:gd name="T2" fmla="*/ 105 w 105"/>
                <a:gd name="T3" fmla="*/ 0 h 9"/>
                <a:gd name="T4" fmla="*/ 0 w 105"/>
                <a:gd name="T5" fmla="*/ 9 h 9"/>
                <a:gd name="T6" fmla="*/ 105 w 105"/>
                <a:gd name="T7" fmla="*/ 9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9">
                  <a:moveTo>
                    <a:pt x="105" y="9"/>
                  </a:moveTo>
                  <a:lnTo>
                    <a:pt x="105" y="0"/>
                  </a:lnTo>
                  <a:lnTo>
                    <a:pt x="0" y="9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2" name="Freeform 374">
              <a:extLst>
                <a:ext uri="{FF2B5EF4-FFF2-40B4-BE49-F238E27FC236}">
                  <a16:creationId xmlns:a16="http://schemas.microsoft.com/office/drawing/2014/main" id="{C09B0456-E869-448A-8B3F-8132069E705F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18"/>
                <a:gd name="T2" fmla="*/ 104 w 105"/>
                <a:gd name="T3" fmla="*/ 0 h 18"/>
                <a:gd name="T4" fmla="*/ 0 w 105"/>
                <a:gd name="T5" fmla="*/ 18 h 18"/>
                <a:gd name="T6" fmla="*/ 105 w 105"/>
                <a:gd name="T7" fmla="*/ 9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8">
                  <a:moveTo>
                    <a:pt x="105" y="9"/>
                  </a:moveTo>
                  <a:lnTo>
                    <a:pt x="104" y="0"/>
                  </a:lnTo>
                  <a:lnTo>
                    <a:pt x="0" y="18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3" name="Freeform 375">
              <a:extLst>
                <a:ext uri="{FF2B5EF4-FFF2-40B4-BE49-F238E27FC236}">
                  <a16:creationId xmlns:a16="http://schemas.microsoft.com/office/drawing/2014/main" id="{7BBF51AE-38FC-426D-AF12-06C93B5482A9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4 w 104"/>
                <a:gd name="T1" fmla="*/ 8 h 26"/>
                <a:gd name="T2" fmla="*/ 102 w 104"/>
                <a:gd name="T3" fmla="*/ 0 h 26"/>
                <a:gd name="T4" fmla="*/ 0 w 104"/>
                <a:gd name="T5" fmla="*/ 26 h 26"/>
                <a:gd name="T6" fmla="*/ 104 w 104"/>
                <a:gd name="T7" fmla="*/ 8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4" y="8"/>
                  </a:moveTo>
                  <a:lnTo>
                    <a:pt x="102" y="0"/>
                  </a:lnTo>
                  <a:lnTo>
                    <a:pt x="0" y="26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4" name="Freeform 376">
              <a:extLst>
                <a:ext uri="{FF2B5EF4-FFF2-40B4-BE49-F238E27FC236}">
                  <a16:creationId xmlns:a16="http://schemas.microsoft.com/office/drawing/2014/main" id="{FD096D69-9E97-43A2-96EC-5044EB42FDBA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2 w 102"/>
                <a:gd name="T1" fmla="*/ 9 h 35"/>
                <a:gd name="T2" fmla="*/ 99 w 102"/>
                <a:gd name="T3" fmla="*/ 0 h 35"/>
                <a:gd name="T4" fmla="*/ 0 w 102"/>
                <a:gd name="T5" fmla="*/ 35 h 35"/>
                <a:gd name="T6" fmla="*/ 102 w 102"/>
                <a:gd name="T7" fmla="*/ 9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102" y="9"/>
                  </a:moveTo>
                  <a:lnTo>
                    <a:pt x="99" y="0"/>
                  </a:lnTo>
                  <a:lnTo>
                    <a:pt x="0" y="35"/>
                  </a:lnTo>
                  <a:lnTo>
                    <a:pt x="102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5" name="Freeform 377">
              <a:extLst>
                <a:ext uri="{FF2B5EF4-FFF2-40B4-BE49-F238E27FC236}">
                  <a16:creationId xmlns:a16="http://schemas.microsoft.com/office/drawing/2014/main" id="{ED76E4F0-9F29-45C6-B748-6CB4DA90D48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9 w 99"/>
                <a:gd name="T1" fmla="*/ 8 h 43"/>
                <a:gd name="T2" fmla="*/ 96 w 99"/>
                <a:gd name="T3" fmla="*/ 0 h 43"/>
                <a:gd name="T4" fmla="*/ 0 w 99"/>
                <a:gd name="T5" fmla="*/ 43 h 43"/>
                <a:gd name="T6" fmla="*/ 99 w 99"/>
                <a:gd name="T7" fmla="*/ 8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9" y="8"/>
                  </a:moveTo>
                  <a:lnTo>
                    <a:pt x="96" y="0"/>
                  </a:lnTo>
                  <a:lnTo>
                    <a:pt x="0" y="43"/>
                  </a:lnTo>
                  <a:lnTo>
                    <a:pt x="99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6" name="Freeform 378">
              <a:extLst>
                <a:ext uri="{FF2B5EF4-FFF2-40B4-BE49-F238E27FC236}">
                  <a16:creationId xmlns:a16="http://schemas.microsoft.com/office/drawing/2014/main" id="{0FB6FE07-F454-494A-8CB9-46BFCB920DE7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6 w 96"/>
                <a:gd name="T1" fmla="*/ 7 h 50"/>
                <a:gd name="T2" fmla="*/ 93 w 96"/>
                <a:gd name="T3" fmla="*/ 0 h 50"/>
                <a:gd name="T4" fmla="*/ 0 w 96"/>
                <a:gd name="T5" fmla="*/ 50 h 50"/>
                <a:gd name="T6" fmla="*/ 96 w 96"/>
                <a:gd name="T7" fmla="*/ 7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6" y="7"/>
                  </a:moveTo>
                  <a:lnTo>
                    <a:pt x="93" y="0"/>
                  </a:lnTo>
                  <a:lnTo>
                    <a:pt x="0" y="50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7" name="Freeform 379">
              <a:extLst>
                <a:ext uri="{FF2B5EF4-FFF2-40B4-BE49-F238E27FC236}">
                  <a16:creationId xmlns:a16="http://schemas.microsoft.com/office/drawing/2014/main" id="{F09E38DE-5A4E-4EA0-B15E-064A9AB10C8C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3 w 93"/>
                <a:gd name="T1" fmla="*/ 8 h 58"/>
                <a:gd name="T2" fmla="*/ 88 w 93"/>
                <a:gd name="T3" fmla="*/ 0 h 58"/>
                <a:gd name="T4" fmla="*/ 0 w 93"/>
                <a:gd name="T5" fmla="*/ 58 h 58"/>
                <a:gd name="T6" fmla="*/ 93 w 93"/>
                <a:gd name="T7" fmla="*/ 8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8">
                  <a:moveTo>
                    <a:pt x="93" y="8"/>
                  </a:moveTo>
                  <a:lnTo>
                    <a:pt x="88" y="0"/>
                  </a:lnTo>
                  <a:lnTo>
                    <a:pt x="0" y="58"/>
                  </a:lnTo>
                  <a:lnTo>
                    <a:pt x="93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8" name="Freeform 380">
              <a:extLst>
                <a:ext uri="{FF2B5EF4-FFF2-40B4-BE49-F238E27FC236}">
                  <a16:creationId xmlns:a16="http://schemas.microsoft.com/office/drawing/2014/main" id="{5D8F6B1B-3F9D-4FB5-A7B7-08797049B2F1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8 w 88"/>
                <a:gd name="T1" fmla="*/ 7 h 65"/>
                <a:gd name="T2" fmla="*/ 83 w 88"/>
                <a:gd name="T3" fmla="*/ 0 h 65"/>
                <a:gd name="T4" fmla="*/ 0 w 88"/>
                <a:gd name="T5" fmla="*/ 65 h 65"/>
                <a:gd name="T6" fmla="*/ 88 w 88"/>
                <a:gd name="T7" fmla="*/ 7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5">
                  <a:moveTo>
                    <a:pt x="88" y="7"/>
                  </a:moveTo>
                  <a:lnTo>
                    <a:pt x="83" y="0"/>
                  </a:lnTo>
                  <a:lnTo>
                    <a:pt x="0" y="65"/>
                  </a:lnTo>
                  <a:lnTo>
                    <a:pt x="88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9" name="Freeform 381">
              <a:extLst>
                <a:ext uri="{FF2B5EF4-FFF2-40B4-BE49-F238E27FC236}">
                  <a16:creationId xmlns:a16="http://schemas.microsoft.com/office/drawing/2014/main" id="{1E87EBB5-C8D9-4E74-863F-0A80B0BDA0EA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3 w 83"/>
                <a:gd name="T1" fmla="*/ 7 h 72"/>
                <a:gd name="T2" fmla="*/ 77 w 83"/>
                <a:gd name="T3" fmla="*/ 0 h 72"/>
                <a:gd name="T4" fmla="*/ 0 w 83"/>
                <a:gd name="T5" fmla="*/ 72 h 72"/>
                <a:gd name="T6" fmla="*/ 83 w 83"/>
                <a:gd name="T7" fmla="*/ 7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2">
                  <a:moveTo>
                    <a:pt x="83" y="7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0" name="Freeform 382">
              <a:extLst>
                <a:ext uri="{FF2B5EF4-FFF2-40B4-BE49-F238E27FC236}">
                  <a16:creationId xmlns:a16="http://schemas.microsoft.com/office/drawing/2014/main" id="{F5B6698A-9D08-4155-9E1A-7B08956186D8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77 w 77"/>
                <a:gd name="T1" fmla="*/ 6 h 78"/>
                <a:gd name="T2" fmla="*/ 71 w 77"/>
                <a:gd name="T3" fmla="*/ 0 h 78"/>
                <a:gd name="T4" fmla="*/ 0 w 77"/>
                <a:gd name="T5" fmla="*/ 78 h 78"/>
                <a:gd name="T6" fmla="*/ 77 w 77"/>
                <a:gd name="T7" fmla="*/ 6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8">
                  <a:moveTo>
                    <a:pt x="77" y="6"/>
                  </a:moveTo>
                  <a:lnTo>
                    <a:pt x="71" y="0"/>
                  </a:lnTo>
                  <a:lnTo>
                    <a:pt x="0" y="78"/>
                  </a:lnTo>
                  <a:lnTo>
                    <a:pt x="77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1" name="Freeform 383">
              <a:extLst>
                <a:ext uri="{FF2B5EF4-FFF2-40B4-BE49-F238E27FC236}">
                  <a16:creationId xmlns:a16="http://schemas.microsoft.com/office/drawing/2014/main" id="{59F25ED3-9D3A-44B2-A1C1-318071974E19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71 w 71"/>
                <a:gd name="T1" fmla="*/ 5 h 83"/>
                <a:gd name="T2" fmla="*/ 65 w 71"/>
                <a:gd name="T3" fmla="*/ 0 h 83"/>
                <a:gd name="T4" fmla="*/ 0 w 71"/>
                <a:gd name="T5" fmla="*/ 83 h 83"/>
                <a:gd name="T6" fmla="*/ 71 w 71"/>
                <a:gd name="T7" fmla="*/ 5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71" y="5"/>
                  </a:moveTo>
                  <a:lnTo>
                    <a:pt x="65" y="0"/>
                  </a:lnTo>
                  <a:lnTo>
                    <a:pt x="0" y="83"/>
                  </a:lnTo>
                  <a:lnTo>
                    <a:pt x="71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2" name="Freeform 384">
              <a:extLst>
                <a:ext uri="{FF2B5EF4-FFF2-40B4-BE49-F238E27FC236}">
                  <a16:creationId xmlns:a16="http://schemas.microsoft.com/office/drawing/2014/main" id="{EC4592CE-5125-47B7-8939-6EB38CA5603F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65 w 65"/>
                <a:gd name="T1" fmla="*/ 5 h 88"/>
                <a:gd name="T2" fmla="*/ 58 w 65"/>
                <a:gd name="T3" fmla="*/ 0 h 88"/>
                <a:gd name="T4" fmla="*/ 0 w 65"/>
                <a:gd name="T5" fmla="*/ 88 h 88"/>
                <a:gd name="T6" fmla="*/ 65 w 65"/>
                <a:gd name="T7" fmla="*/ 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65" y="5"/>
                  </a:moveTo>
                  <a:lnTo>
                    <a:pt x="58" y="0"/>
                  </a:lnTo>
                  <a:lnTo>
                    <a:pt x="0" y="88"/>
                  </a:lnTo>
                  <a:lnTo>
                    <a:pt x="65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3" name="Freeform 385">
              <a:extLst>
                <a:ext uri="{FF2B5EF4-FFF2-40B4-BE49-F238E27FC236}">
                  <a16:creationId xmlns:a16="http://schemas.microsoft.com/office/drawing/2014/main" id="{54B65892-0513-456C-9919-DF3B405093E3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8 w 58"/>
                <a:gd name="T1" fmla="*/ 5 h 93"/>
                <a:gd name="T2" fmla="*/ 50 w 58"/>
                <a:gd name="T3" fmla="*/ 0 h 93"/>
                <a:gd name="T4" fmla="*/ 0 w 58"/>
                <a:gd name="T5" fmla="*/ 93 h 93"/>
                <a:gd name="T6" fmla="*/ 58 w 58"/>
                <a:gd name="T7" fmla="*/ 5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3">
                  <a:moveTo>
                    <a:pt x="58" y="5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8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4" name="Freeform 386">
              <a:extLst>
                <a:ext uri="{FF2B5EF4-FFF2-40B4-BE49-F238E27FC236}">
                  <a16:creationId xmlns:a16="http://schemas.microsoft.com/office/drawing/2014/main" id="{925B2AD8-BA23-474E-8352-055B2AEF553B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0 w 50"/>
                <a:gd name="T1" fmla="*/ 4 h 97"/>
                <a:gd name="T2" fmla="*/ 42 w 50"/>
                <a:gd name="T3" fmla="*/ 0 h 97"/>
                <a:gd name="T4" fmla="*/ 0 w 50"/>
                <a:gd name="T5" fmla="*/ 97 h 97"/>
                <a:gd name="T6" fmla="*/ 50 w 50"/>
                <a:gd name="T7" fmla="*/ 4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7">
                  <a:moveTo>
                    <a:pt x="50" y="4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50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5" name="Freeform 387">
              <a:extLst>
                <a:ext uri="{FF2B5EF4-FFF2-40B4-BE49-F238E27FC236}">
                  <a16:creationId xmlns:a16="http://schemas.microsoft.com/office/drawing/2014/main" id="{997BE201-4D36-46B8-A9EF-D263E20F1E47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4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4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6" name="Freeform 388">
              <a:extLst>
                <a:ext uri="{FF2B5EF4-FFF2-40B4-BE49-F238E27FC236}">
                  <a16:creationId xmlns:a16="http://schemas.microsoft.com/office/drawing/2014/main" id="{327F2179-C558-4762-A875-CA9418E557D8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34 w 34"/>
                <a:gd name="T1" fmla="*/ 2 h 102"/>
                <a:gd name="T2" fmla="*/ 26 w 34"/>
                <a:gd name="T3" fmla="*/ 0 h 102"/>
                <a:gd name="T4" fmla="*/ 0 w 34"/>
                <a:gd name="T5" fmla="*/ 102 h 102"/>
                <a:gd name="T6" fmla="*/ 34 w 34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34" y="2"/>
                  </a:moveTo>
                  <a:lnTo>
                    <a:pt x="26" y="0"/>
                  </a:lnTo>
                  <a:lnTo>
                    <a:pt x="0" y="102"/>
                  </a:lnTo>
                  <a:lnTo>
                    <a:pt x="34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7" name="Freeform 389">
              <a:extLst>
                <a:ext uri="{FF2B5EF4-FFF2-40B4-BE49-F238E27FC236}">
                  <a16:creationId xmlns:a16="http://schemas.microsoft.com/office/drawing/2014/main" id="{BC40FC8D-00A1-494E-BA76-1E5B1A2ABDC7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26 w 26"/>
                <a:gd name="T1" fmla="*/ 2 h 104"/>
                <a:gd name="T2" fmla="*/ 17 w 26"/>
                <a:gd name="T3" fmla="*/ 0 h 104"/>
                <a:gd name="T4" fmla="*/ 0 w 26"/>
                <a:gd name="T5" fmla="*/ 104 h 104"/>
                <a:gd name="T6" fmla="*/ 26 w 26"/>
                <a:gd name="T7" fmla="*/ 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26" y="2"/>
                  </a:moveTo>
                  <a:lnTo>
                    <a:pt x="17" y="0"/>
                  </a:lnTo>
                  <a:lnTo>
                    <a:pt x="0" y="104"/>
                  </a:lnTo>
                  <a:lnTo>
                    <a:pt x="26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8" name="Freeform 390">
              <a:extLst>
                <a:ext uri="{FF2B5EF4-FFF2-40B4-BE49-F238E27FC236}">
                  <a16:creationId xmlns:a16="http://schemas.microsoft.com/office/drawing/2014/main" id="{8B8420A7-983D-4DDD-8228-42E92006DC75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17 w 17"/>
                <a:gd name="T1" fmla="*/ 1 h 105"/>
                <a:gd name="T2" fmla="*/ 9 w 17"/>
                <a:gd name="T3" fmla="*/ 0 h 105"/>
                <a:gd name="T4" fmla="*/ 0 w 17"/>
                <a:gd name="T5" fmla="*/ 105 h 105"/>
                <a:gd name="T6" fmla="*/ 17 w 17"/>
                <a:gd name="T7" fmla="*/ 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17" y="1"/>
                  </a:moveTo>
                  <a:lnTo>
                    <a:pt x="9" y="0"/>
                  </a:lnTo>
                  <a:lnTo>
                    <a:pt x="0" y="105"/>
                  </a:lnTo>
                  <a:lnTo>
                    <a:pt x="1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9" name="Freeform 391">
              <a:extLst>
                <a:ext uri="{FF2B5EF4-FFF2-40B4-BE49-F238E27FC236}">
                  <a16:creationId xmlns:a16="http://schemas.microsoft.com/office/drawing/2014/main" id="{EC35398D-476D-4983-B8A8-E526782F84E3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1 h 106"/>
                <a:gd name="T2" fmla="*/ 0 w 9"/>
                <a:gd name="T3" fmla="*/ 0 h 106"/>
                <a:gd name="T4" fmla="*/ 0 w 9"/>
                <a:gd name="T5" fmla="*/ 106 h 106"/>
                <a:gd name="T6" fmla="*/ 9 w 9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0" name="Freeform 392">
              <a:extLst>
                <a:ext uri="{FF2B5EF4-FFF2-40B4-BE49-F238E27FC236}">
                  <a16:creationId xmlns:a16="http://schemas.microsoft.com/office/drawing/2014/main" id="{4881CF3C-5893-4B80-B5A0-8680A45C2A38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0 h 106"/>
                <a:gd name="T2" fmla="*/ 0 w 9"/>
                <a:gd name="T3" fmla="*/ 1 h 106"/>
                <a:gd name="T4" fmla="*/ 9 w 9"/>
                <a:gd name="T5" fmla="*/ 106 h 106"/>
                <a:gd name="T6" fmla="*/ 9 w 9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0"/>
                  </a:moveTo>
                  <a:lnTo>
                    <a:pt x="0" y="1"/>
                  </a:lnTo>
                  <a:lnTo>
                    <a:pt x="9" y="106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1" name="Freeform 393">
              <a:extLst>
                <a:ext uri="{FF2B5EF4-FFF2-40B4-BE49-F238E27FC236}">
                  <a16:creationId xmlns:a16="http://schemas.microsoft.com/office/drawing/2014/main" id="{BC02A42F-D699-437F-B54C-0041CFE384F7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18"/>
                <a:gd name="T1" fmla="*/ 0 h 105"/>
                <a:gd name="T2" fmla="*/ 0 w 18"/>
                <a:gd name="T3" fmla="*/ 1 h 105"/>
                <a:gd name="T4" fmla="*/ 18 w 18"/>
                <a:gd name="T5" fmla="*/ 105 h 105"/>
                <a:gd name="T6" fmla="*/ 9 w 18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9" y="0"/>
                  </a:moveTo>
                  <a:lnTo>
                    <a:pt x="0" y="1"/>
                  </a:lnTo>
                  <a:lnTo>
                    <a:pt x="18" y="105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2" name="Freeform 394">
              <a:extLst>
                <a:ext uri="{FF2B5EF4-FFF2-40B4-BE49-F238E27FC236}">
                  <a16:creationId xmlns:a16="http://schemas.microsoft.com/office/drawing/2014/main" id="{67F69970-CBCA-41A1-B050-D893B4AF65C6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27"/>
                <a:gd name="T1" fmla="*/ 0 h 104"/>
                <a:gd name="T2" fmla="*/ 0 w 27"/>
                <a:gd name="T3" fmla="*/ 2 h 104"/>
                <a:gd name="T4" fmla="*/ 27 w 27"/>
                <a:gd name="T5" fmla="*/ 104 h 104"/>
                <a:gd name="T6" fmla="*/ 9 w 27"/>
                <a:gd name="T7" fmla="*/ 0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9" y="0"/>
                  </a:moveTo>
                  <a:lnTo>
                    <a:pt x="0" y="2"/>
                  </a:lnTo>
                  <a:lnTo>
                    <a:pt x="27" y="104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3" name="Freeform 395">
              <a:extLst>
                <a:ext uri="{FF2B5EF4-FFF2-40B4-BE49-F238E27FC236}">
                  <a16:creationId xmlns:a16="http://schemas.microsoft.com/office/drawing/2014/main" id="{03E29797-B792-4BBE-B383-A0593D19A16B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8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8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8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4" name="Freeform 396">
              <a:extLst>
                <a:ext uri="{FF2B5EF4-FFF2-40B4-BE49-F238E27FC236}">
                  <a16:creationId xmlns:a16="http://schemas.microsoft.com/office/drawing/2014/main" id="{669D97A2-B1D0-47CF-93D6-0AA34BC7AB9E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43"/>
                <a:gd name="T1" fmla="*/ 0 h 100"/>
                <a:gd name="T2" fmla="*/ 0 w 43"/>
                <a:gd name="T3" fmla="*/ 3 h 100"/>
                <a:gd name="T4" fmla="*/ 43 w 43"/>
                <a:gd name="T5" fmla="*/ 100 h 100"/>
                <a:gd name="T6" fmla="*/ 8 w 43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100">
                  <a:moveTo>
                    <a:pt x="8" y="0"/>
                  </a:moveTo>
                  <a:lnTo>
                    <a:pt x="0" y="3"/>
                  </a:lnTo>
                  <a:lnTo>
                    <a:pt x="43" y="100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5" name="Freeform 397">
              <a:extLst>
                <a:ext uri="{FF2B5EF4-FFF2-40B4-BE49-F238E27FC236}">
                  <a16:creationId xmlns:a16="http://schemas.microsoft.com/office/drawing/2014/main" id="{08224ADC-603A-4461-8C96-03A5BCD749E6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1"/>
                <a:gd name="T1" fmla="*/ 0 h 97"/>
                <a:gd name="T2" fmla="*/ 0 w 51"/>
                <a:gd name="T3" fmla="*/ 4 h 97"/>
                <a:gd name="T4" fmla="*/ 51 w 51"/>
                <a:gd name="T5" fmla="*/ 97 h 97"/>
                <a:gd name="T6" fmla="*/ 8 w 51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7">
                  <a:moveTo>
                    <a:pt x="8" y="0"/>
                  </a:moveTo>
                  <a:lnTo>
                    <a:pt x="0" y="4"/>
                  </a:lnTo>
                  <a:lnTo>
                    <a:pt x="51" y="97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6" name="Freeform 398">
              <a:extLst>
                <a:ext uri="{FF2B5EF4-FFF2-40B4-BE49-F238E27FC236}">
                  <a16:creationId xmlns:a16="http://schemas.microsoft.com/office/drawing/2014/main" id="{138E2C83-8602-480D-B3EC-2E946A9EDC26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9"/>
                <a:gd name="T1" fmla="*/ 0 h 93"/>
                <a:gd name="T2" fmla="*/ 0 w 59"/>
                <a:gd name="T3" fmla="*/ 5 h 93"/>
                <a:gd name="T4" fmla="*/ 59 w 59"/>
                <a:gd name="T5" fmla="*/ 93 h 93"/>
                <a:gd name="T6" fmla="*/ 8 w 59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3">
                  <a:moveTo>
                    <a:pt x="8" y="0"/>
                  </a:moveTo>
                  <a:lnTo>
                    <a:pt x="0" y="5"/>
                  </a:lnTo>
                  <a:lnTo>
                    <a:pt x="59" y="9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7" name="Freeform 399">
              <a:extLst>
                <a:ext uri="{FF2B5EF4-FFF2-40B4-BE49-F238E27FC236}">
                  <a16:creationId xmlns:a16="http://schemas.microsoft.com/office/drawing/2014/main" id="{A163ECB8-5C4F-4BDC-96BE-7E90967E8FB5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7 w 66"/>
                <a:gd name="T1" fmla="*/ 0 h 88"/>
                <a:gd name="T2" fmla="*/ 0 w 66"/>
                <a:gd name="T3" fmla="*/ 5 h 88"/>
                <a:gd name="T4" fmla="*/ 66 w 66"/>
                <a:gd name="T5" fmla="*/ 88 h 88"/>
                <a:gd name="T6" fmla="*/ 7 w 66"/>
                <a:gd name="T7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7" y="0"/>
                  </a:moveTo>
                  <a:lnTo>
                    <a:pt x="0" y="5"/>
                  </a:lnTo>
                  <a:lnTo>
                    <a:pt x="66" y="88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8" name="Freeform 400">
              <a:extLst>
                <a:ext uri="{FF2B5EF4-FFF2-40B4-BE49-F238E27FC236}">
                  <a16:creationId xmlns:a16="http://schemas.microsoft.com/office/drawing/2014/main" id="{B2C2EBBC-CD30-4B60-9C6F-95D886B1B6AE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6 w 72"/>
                <a:gd name="T1" fmla="*/ 0 h 83"/>
                <a:gd name="T2" fmla="*/ 0 w 72"/>
                <a:gd name="T3" fmla="*/ 5 h 83"/>
                <a:gd name="T4" fmla="*/ 72 w 72"/>
                <a:gd name="T5" fmla="*/ 83 h 83"/>
                <a:gd name="T6" fmla="*/ 6 w 72"/>
                <a:gd name="T7" fmla="*/ 0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6" y="0"/>
                  </a:moveTo>
                  <a:lnTo>
                    <a:pt x="0" y="5"/>
                  </a:lnTo>
                  <a:lnTo>
                    <a:pt x="72" y="83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9" name="Freeform 401">
              <a:extLst>
                <a:ext uri="{FF2B5EF4-FFF2-40B4-BE49-F238E27FC236}">
                  <a16:creationId xmlns:a16="http://schemas.microsoft.com/office/drawing/2014/main" id="{104B78F0-57B8-413B-B46D-67775AE10591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78"/>
                <a:gd name="T1" fmla="*/ 0 h 78"/>
                <a:gd name="T2" fmla="*/ 0 w 78"/>
                <a:gd name="T3" fmla="*/ 6 h 78"/>
                <a:gd name="T4" fmla="*/ 78 w 78"/>
                <a:gd name="T5" fmla="*/ 78 h 78"/>
                <a:gd name="T6" fmla="*/ 6 w 78"/>
                <a:gd name="T7" fmla="*/ 0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8">
                  <a:moveTo>
                    <a:pt x="6" y="0"/>
                  </a:moveTo>
                  <a:lnTo>
                    <a:pt x="0" y="6"/>
                  </a:lnTo>
                  <a:lnTo>
                    <a:pt x="78" y="78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0" name="Freeform 402">
              <a:extLst>
                <a:ext uri="{FF2B5EF4-FFF2-40B4-BE49-F238E27FC236}">
                  <a16:creationId xmlns:a16="http://schemas.microsoft.com/office/drawing/2014/main" id="{EF4AB23B-653D-4828-B343-4753ED716EB7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84"/>
                <a:gd name="T1" fmla="*/ 0 h 72"/>
                <a:gd name="T2" fmla="*/ 0 w 84"/>
                <a:gd name="T3" fmla="*/ 7 h 72"/>
                <a:gd name="T4" fmla="*/ 84 w 84"/>
                <a:gd name="T5" fmla="*/ 72 h 72"/>
                <a:gd name="T6" fmla="*/ 6 w 84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2">
                  <a:moveTo>
                    <a:pt x="6" y="0"/>
                  </a:moveTo>
                  <a:lnTo>
                    <a:pt x="0" y="7"/>
                  </a:lnTo>
                  <a:lnTo>
                    <a:pt x="84" y="7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1" name="Freeform 403">
              <a:extLst>
                <a:ext uri="{FF2B5EF4-FFF2-40B4-BE49-F238E27FC236}">
                  <a16:creationId xmlns:a16="http://schemas.microsoft.com/office/drawing/2014/main" id="{354AC684-A3B6-49A7-B5F6-EBBBBA08F6E9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89"/>
                <a:gd name="T1" fmla="*/ 0 h 65"/>
                <a:gd name="T2" fmla="*/ 0 w 89"/>
                <a:gd name="T3" fmla="*/ 7 h 65"/>
                <a:gd name="T4" fmla="*/ 89 w 89"/>
                <a:gd name="T5" fmla="*/ 65 h 65"/>
                <a:gd name="T6" fmla="*/ 5 w 89"/>
                <a:gd name="T7" fmla="*/ 0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5">
                  <a:moveTo>
                    <a:pt x="5" y="0"/>
                  </a:moveTo>
                  <a:lnTo>
                    <a:pt x="0" y="7"/>
                  </a:lnTo>
                  <a:lnTo>
                    <a:pt x="89" y="65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2" name="Freeform 404">
              <a:extLst>
                <a:ext uri="{FF2B5EF4-FFF2-40B4-BE49-F238E27FC236}">
                  <a16:creationId xmlns:a16="http://schemas.microsoft.com/office/drawing/2014/main" id="{E76F2F25-F73B-4731-80CA-4B79C10635C4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94"/>
                <a:gd name="T1" fmla="*/ 0 h 58"/>
                <a:gd name="T2" fmla="*/ 0 w 94"/>
                <a:gd name="T3" fmla="*/ 8 h 58"/>
                <a:gd name="T4" fmla="*/ 94 w 94"/>
                <a:gd name="T5" fmla="*/ 58 h 58"/>
                <a:gd name="T6" fmla="*/ 5 w 94"/>
                <a:gd name="T7" fmla="*/ 0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8">
                  <a:moveTo>
                    <a:pt x="5" y="0"/>
                  </a:moveTo>
                  <a:lnTo>
                    <a:pt x="0" y="8"/>
                  </a:lnTo>
                  <a:lnTo>
                    <a:pt x="94" y="58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3" name="Freeform 405">
              <a:extLst>
                <a:ext uri="{FF2B5EF4-FFF2-40B4-BE49-F238E27FC236}">
                  <a16:creationId xmlns:a16="http://schemas.microsoft.com/office/drawing/2014/main" id="{C5B67C3A-F789-48E0-92DF-5D035EA74868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3 w 97"/>
                <a:gd name="T1" fmla="*/ 0 h 50"/>
                <a:gd name="T2" fmla="*/ 0 w 97"/>
                <a:gd name="T3" fmla="*/ 7 h 50"/>
                <a:gd name="T4" fmla="*/ 97 w 97"/>
                <a:gd name="T5" fmla="*/ 50 h 50"/>
                <a:gd name="T6" fmla="*/ 3 w 97"/>
                <a:gd name="T7" fmla="*/ 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3" y="0"/>
                  </a:moveTo>
                  <a:lnTo>
                    <a:pt x="0" y="7"/>
                  </a:lnTo>
                  <a:lnTo>
                    <a:pt x="97" y="5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4" name="Freeform 406">
              <a:extLst>
                <a:ext uri="{FF2B5EF4-FFF2-40B4-BE49-F238E27FC236}">
                  <a16:creationId xmlns:a16="http://schemas.microsoft.com/office/drawing/2014/main" id="{5496FC97-EA75-477F-872D-9BE4612823EC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4 w 101"/>
                <a:gd name="T1" fmla="*/ 0 h 43"/>
                <a:gd name="T2" fmla="*/ 0 w 101"/>
                <a:gd name="T3" fmla="*/ 8 h 43"/>
                <a:gd name="T4" fmla="*/ 101 w 101"/>
                <a:gd name="T5" fmla="*/ 43 h 43"/>
                <a:gd name="T6" fmla="*/ 4 w 101"/>
                <a:gd name="T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3">
                  <a:moveTo>
                    <a:pt x="4" y="0"/>
                  </a:moveTo>
                  <a:lnTo>
                    <a:pt x="0" y="8"/>
                  </a:lnTo>
                  <a:lnTo>
                    <a:pt x="101" y="43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5" name="Freeform 407">
              <a:extLst>
                <a:ext uri="{FF2B5EF4-FFF2-40B4-BE49-F238E27FC236}">
                  <a16:creationId xmlns:a16="http://schemas.microsoft.com/office/drawing/2014/main" id="{995D6103-1526-437E-8CF4-221722B5A13F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3"/>
                <a:gd name="T1" fmla="*/ 0 h 35"/>
                <a:gd name="T2" fmla="*/ 0 w 103"/>
                <a:gd name="T3" fmla="*/ 9 h 35"/>
                <a:gd name="T4" fmla="*/ 103 w 103"/>
                <a:gd name="T5" fmla="*/ 35 h 35"/>
                <a:gd name="T6" fmla="*/ 2 w 103"/>
                <a:gd name="T7" fmla="*/ 0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5">
                  <a:moveTo>
                    <a:pt x="2" y="0"/>
                  </a:moveTo>
                  <a:lnTo>
                    <a:pt x="0" y="9"/>
                  </a:lnTo>
                  <a:lnTo>
                    <a:pt x="103" y="35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6" name="Freeform 408">
              <a:extLst>
                <a:ext uri="{FF2B5EF4-FFF2-40B4-BE49-F238E27FC236}">
                  <a16:creationId xmlns:a16="http://schemas.microsoft.com/office/drawing/2014/main" id="{E4BA07C6-BC0F-44D0-9746-62CB96523535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5"/>
                <a:gd name="T1" fmla="*/ 0 h 26"/>
                <a:gd name="T2" fmla="*/ 0 w 105"/>
                <a:gd name="T3" fmla="*/ 8 h 26"/>
                <a:gd name="T4" fmla="*/ 105 w 105"/>
                <a:gd name="T5" fmla="*/ 26 h 26"/>
                <a:gd name="T6" fmla="*/ 2 w 105"/>
                <a:gd name="T7" fmla="*/ 0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2" y="0"/>
                  </a:moveTo>
                  <a:lnTo>
                    <a:pt x="0" y="8"/>
                  </a:lnTo>
                  <a:lnTo>
                    <a:pt x="105" y="2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7" name="Freeform 409">
              <a:extLst>
                <a:ext uri="{FF2B5EF4-FFF2-40B4-BE49-F238E27FC236}">
                  <a16:creationId xmlns:a16="http://schemas.microsoft.com/office/drawing/2014/main" id="{35119684-4395-42B0-BC3C-CD488A6B87F0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1 w 106"/>
                <a:gd name="T1" fmla="*/ 0 h 18"/>
                <a:gd name="T2" fmla="*/ 0 w 106"/>
                <a:gd name="T3" fmla="*/ 9 h 18"/>
                <a:gd name="T4" fmla="*/ 106 w 106"/>
                <a:gd name="T5" fmla="*/ 18 h 18"/>
                <a:gd name="T6" fmla="*/ 1 w 106"/>
                <a:gd name="T7" fmla="*/ 0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8">
                  <a:moveTo>
                    <a:pt x="1" y="0"/>
                  </a:moveTo>
                  <a:lnTo>
                    <a:pt x="0" y="9"/>
                  </a:lnTo>
                  <a:lnTo>
                    <a:pt x="106" y="18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8" name="Freeform 410">
              <a:extLst>
                <a:ext uri="{FF2B5EF4-FFF2-40B4-BE49-F238E27FC236}">
                  <a16:creationId xmlns:a16="http://schemas.microsoft.com/office/drawing/2014/main" id="{7FBFA6B3-FECF-477D-BEA0-C3C99EDEB8E2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9"/>
                <a:gd name="T2" fmla="*/ 0 w 106"/>
                <a:gd name="T3" fmla="*/ 9 h 9"/>
                <a:gd name="T4" fmla="*/ 106 w 106"/>
                <a:gd name="T5" fmla="*/ 9 h 9"/>
                <a:gd name="T6" fmla="*/ 0 w 106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9">
                  <a:moveTo>
                    <a:pt x="0" y="0"/>
                  </a:moveTo>
                  <a:lnTo>
                    <a:pt x="0" y="9"/>
                  </a:lnTo>
                  <a:lnTo>
                    <a:pt x="106" y="9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9" name="Freeform 411">
              <a:extLst>
                <a:ext uri="{FF2B5EF4-FFF2-40B4-BE49-F238E27FC236}">
                  <a16:creationId xmlns:a16="http://schemas.microsoft.com/office/drawing/2014/main" id="{6DCEF2DF-34C8-4C51-8029-546331B5664D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8"/>
                <a:gd name="T2" fmla="*/ 0 w 106"/>
                <a:gd name="T3" fmla="*/ 8 h 8"/>
                <a:gd name="T4" fmla="*/ 106 w 106"/>
                <a:gd name="T5" fmla="*/ 0 h 8"/>
                <a:gd name="T6" fmla="*/ 0 w 106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8">
                  <a:moveTo>
                    <a:pt x="0" y="0"/>
                  </a:moveTo>
                  <a:lnTo>
                    <a:pt x="0" y="8"/>
                  </a:lnTo>
                  <a:lnTo>
                    <a:pt x="10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0" name="Freeform 412">
              <a:extLst>
                <a:ext uri="{FF2B5EF4-FFF2-40B4-BE49-F238E27FC236}">
                  <a16:creationId xmlns:a16="http://schemas.microsoft.com/office/drawing/2014/main" id="{4E255444-C8BE-4C14-B462-D1AFBBA78BE1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8 h 17"/>
                <a:gd name="T2" fmla="*/ 1 w 106"/>
                <a:gd name="T3" fmla="*/ 17 h 17"/>
                <a:gd name="T4" fmla="*/ 106 w 106"/>
                <a:gd name="T5" fmla="*/ 0 h 17"/>
                <a:gd name="T6" fmla="*/ 0 w 106"/>
                <a:gd name="T7" fmla="*/ 8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7">
                  <a:moveTo>
                    <a:pt x="0" y="8"/>
                  </a:moveTo>
                  <a:lnTo>
                    <a:pt x="1" y="17"/>
                  </a:lnTo>
                  <a:lnTo>
                    <a:pt x="106" y="0"/>
                  </a:lnTo>
                  <a:lnTo>
                    <a:pt x="0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1" name="Freeform 413">
              <a:extLst>
                <a:ext uri="{FF2B5EF4-FFF2-40B4-BE49-F238E27FC236}">
                  <a16:creationId xmlns:a16="http://schemas.microsoft.com/office/drawing/2014/main" id="{476E4AF9-7858-4B6E-B73F-B2B169A2C5B9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5"/>
                <a:gd name="T1" fmla="*/ 17 h 26"/>
                <a:gd name="T2" fmla="*/ 2 w 105"/>
                <a:gd name="T3" fmla="*/ 26 h 26"/>
                <a:gd name="T4" fmla="*/ 105 w 105"/>
                <a:gd name="T5" fmla="*/ 0 h 26"/>
                <a:gd name="T6" fmla="*/ 0 w 105"/>
                <a:gd name="T7" fmla="*/ 17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0" y="17"/>
                  </a:moveTo>
                  <a:lnTo>
                    <a:pt x="2" y="26"/>
                  </a:lnTo>
                  <a:lnTo>
                    <a:pt x="105" y="0"/>
                  </a:lnTo>
                  <a:lnTo>
                    <a:pt x="0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2" name="Freeform 414">
              <a:extLst>
                <a:ext uri="{FF2B5EF4-FFF2-40B4-BE49-F238E27FC236}">
                  <a16:creationId xmlns:a16="http://schemas.microsoft.com/office/drawing/2014/main" id="{8FCE38B1-F0A5-4D38-AA7F-481A7D7DF497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3"/>
                <a:gd name="T1" fmla="*/ 26 h 34"/>
                <a:gd name="T2" fmla="*/ 2 w 103"/>
                <a:gd name="T3" fmla="*/ 34 h 34"/>
                <a:gd name="T4" fmla="*/ 103 w 103"/>
                <a:gd name="T5" fmla="*/ 0 h 34"/>
                <a:gd name="T6" fmla="*/ 0 w 103"/>
                <a:gd name="T7" fmla="*/ 26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4">
                  <a:moveTo>
                    <a:pt x="0" y="26"/>
                  </a:moveTo>
                  <a:lnTo>
                    <a:pt x="2" y="34"/>
                  </a:lnTo>
                  <a:lnTo>
                    <a:pt x="103" y="0"/>
                  </a:lnTo>
                  <a:lnTo>
                    <a:pt x="0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3" name="Freeform 415">
              <a:extLst>
                <a:ext uri="{FF2B5EF4-FFF2-40B4-BE49-F238E27FC236}">
                  <a16:creationId xmlns:a16="http://schemas.microsoft.com/office/drawing/2014/main" id="{B945A79F-3160-41FC-9311-720C4FEB8D8A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1"/>
            </a:xfrm>
            <a:custGeom>
              <a:avLst/>
              <a:gdLst>
                <a:gd name="T0" fmla="*/ 0 w 101"/>
                <a:gd name="T1" fmla="*/ 34 h 42"/>
                <a:gd name="T2" fmla="*/ 4 w 101"/>
                <a:gd name="T3" fmla="*/ 42 h 42"/>
                <a:gd name="T4" fmla="*/ 101 w 101"/>
                <a:gd name="T5" fmla="*/ 0 h 42"/>
                <a:gd name="T6" fmla="*/ 0 w 101"/>
                <a:gd name="T7" fmla="*/ 34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2">
                  <a:moveTo>
                    <a:pt x="0" y="34"/>
                  </a:moveTo>
                  <a:lnTo>
                    <a:pt x="4" y="42"/>
                  </a:lnTo>
                  <a:lnTo>
                    <a:pt x="101" y="0"/>
                  </a:lnTo>
                  <a:lnTo>
                    <a:pt x="0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4" name="Freeform 416">
              <a:extLst>
                <a:ext uri="{FF2B5EF4-FFF2-40B4-BE49-F238E27FC236}">
                  <a16:creationId xmlns:a16="http://schemas.microsoft.com/office/drawing/2014/main" id="{29A432D8-A1FE-425B-85DE-84D738DEAD22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7"/>
                <a:gd name="T1" fmla="*/ 42 h 50"/>
                <a:gd name="T2" fmla="*/ 3 w 97"/>
                <a:gd name="T3" fmla="*/ 50 h 50"/>
                <a:gd name="T4" fmla="*/ 97 w 97"/>
                <a:gd name="T5" fmla="*/ 0 h 50"/>
                <a:gd name="T6" fmla="*/ 0 w 97"/>
                <a:gd name="T7" fmla="*/ 42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0" y="42"/>
                  </a:moveTo>
                  <a:lnTo>
                    <a:pt x="3" y="50"/>
                  </a:lnTo>
                  <a:lnTo>
                    <a:pt x="97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5" name="Freeform 417">
              <a:extLst>
                <a:ext uri="{FF2B5EF4-FFF2-40B4-BE49-F238E27FC236}">
                  <a16:creationId xmlns:a16="http://schemas.microsoft.com/office/drawing/2014/main" id="{A7420096-4B28-42A9-BEB7-0667EC15F4A9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4"/>
                <a:gd name="T1" fmla="*/ 50 h 57"/>
                <a:gd name="T2" fmla="*/ 5 w 94"/>
                <a:gd name="T3" fmla="*/ 57 h 57"/>
                <a:gd name="T4" fmla="*/ 94 w 94"/>
                <a:gd name="T5" fmla="*/ 0 h 57"/>
                <a:gd name="T6" fmla="*/ 0 w 94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7">
                  <a:moveTo>
                    <a:pt x="0" y="50"/>
                  </a:moveTo>
                  <a:lnTo>
                    <a:pt x="5" y="57"/>
                  </a:lnTo>
                  <a:lnTo>
                    <a:pt x="94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6" name="Freeform 418">
              <a:extLst>
                <a:ext uri="{FF2B5EF4-FFF2-40B4-BE49-F238E27FC236}">
                  <a16:creationId xmlns:a16="http://schemas.microsoft.com/office/drawing/2014/main" id="{DA97982B-5877-4921-9466-7066C81C3773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9"/>
                <a:gd name="T1" fmla="*/ 57 h 64"/>
                <a:gd name="T2" fmla="*/ 5 w 89"/>
                <a:gd name="T3" fmla="*/ 64 h 64"/>
                <a:gd name="T4" fmla="*/ 89 w 89"/>
                <a:gd name="T5" fmla="*/ 0 h 64"/>
                <a:gd name="T6" fmla="*/ 0 w 89"/>
                <a:gd name="T7" fmla="*/ 57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4">
                  <a:moveTo>
                    <a:pt x="0" y="57"/>
                  </a:moveTo>
                  <a:lnTo>
                    <a:pt x="5" y="64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7" name="Freeform 419">
              <a:extLst>
                <a:ext uri="{FF2B5EF4-FFF2-40B4-BE49-F238E27FC236}">
                  <a16:creationId xmlns:a16="http://schemas.microsoft.com/office/drawing/2014/main" id="{6E380E3F-8DB3-4308-AA3F-D9CB2B0BDC4C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4"/>
                <a:gd name="T1" fmla="*/ 64 h 71"/>
                <a:gd name="T2" fmla="*/ 6 w 84"/>
                <a:gd name="T3" fmla="*/ 71 h 71"/>
                <a:gd name="T4" fmla="*/ 84 w 84"/>
                <a:gd name="T5" fmla="*/ 0 h 71"/>
                <a:gd name="T6" fmla="*/ 0 w 84"/>
                <a:gd name="T7" fmla="*/ 64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1">
                  <a:moveTo>
                    <a:pt x="0" y="64"/>
                  </a:moveTo>
                  <a:lnTo>
                    <a:pt x="6" y="71"/>
                  </a:lnTo>
                  <a:lnTo>
                    <a:pt x="84" y="0"/>
                  </a:lnTo>
                  <a:lnTo>
                    <a:pt x="0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8" name="Freeform 420">
              <a:extLst>
                <a:ext uri="{FF2B5EF4-FFF2-40B4-BE49-F238E27FC236}">
                  <a16:creationId xmlns:a16="http://schemas.microsoft.com/office/drawing/2014/main" id="{DCDEE524-C5BA-4724-853F-CC25FC90D309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8"/>
                <a:gd name="T1" fmla="*/ 71 h 77"/>
                <a:gd name="T2" fmla="*/ 6 w 78"/>
                <a:gd name="T3" fmla="*/ 77 h 77"/>
                <a:gd name="T4" fmla="*/ 78 w 78"/>
                <a:gd name="T5" fmla="*/ 0 h 77"/>
                <a:gd name="T6" fmla="*/ 0 w 78"/>
                <a:gd name="T7" fmla="*/ 71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7">
                  <a:moveTo>
                    <a:pt x="0" y="71"/>
                  </a:moveTo>
                  <a:lnTo>
                    <a:pt x="6" y="77"/>
                  </a:lnTo>
                  <a:lnTo>
                    <a:pt x="78" y="0"/>
                  </a:lnTo>
                  <a:lnTo>
                    <a:pt x="0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9" name="Freeform 421">
              <a:extLst>
                <a:ext uri="{FF2B5EF4-FFF2-40B4-BE49-F238E27FC236}">
                  <a16:creationId xmlns:a16="http://schemas.microsoft.com/office/drawing/2014/main" id="{9C858755-A39E-43D6-A233-D3B21F4A28E8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2"/>
                <a:gd name="T1" fmla="*/ 77 h 83"/>
                <a:gd name="T2" fmla="*/ 6 w 72"/>
                <a:gd name="T3" fmla="*/ 83 h 83"/>
                <a:gd name="T4" fmla="*/ 72 w 72"/>
                <a:gd name="T5" fmla="*/ 0 h 83"/>
                <a:gd name="T6" fmla="*/ 0 w 72"/>
                <a:gd name="T7" fmla="*/ 77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0" y="77"/>
                  </a:moveTo>
                  <a:lnTo>
                    <a:pt x="6" y="83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0" name="Freeform 422">
              <a:extLst>
                <a:ext uri="{FF2B5EF4-FFF2-40B4-BE49-F238E27FC236}">
                  <a16:creationId xmlns:a16="http://schemas.microsoft.com/office/drawing/2014/main" id="{348A3ECA-5295-4A51-ACEC-660C6AA73346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66"/>
                <a:gd name="T1" fmla="*/ 83 h 88"/>
                <a:gd name="T2" fmla="*/ 7 w 66"/>
                <a:gd name="T3" fmla="*/ 88 h 88"/>
                <a:gd name="T4" fmla="*/ 66 w 66"/>
                <a:gd name="T5" fmla="*/ 0 h 88"/>
                <a:gd name="T6" fmla="*/ 0 w 66"/>
                <a:gd name="T7" fmla="*/ 83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0" y="83"/>
                  </a:moveTo>
                  <a:lnTo>
                    <a:pt x="7" y="88"/>
                  </a:lnTo>
                  <a:lnTo>
                    <a:pt x="66" y="0"/>
                  </a:lnTo>
                  <a:lnTo>
                    <a:pt x="0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1" name="Freeform 423">
              <a:extLst>
                <a:ext uri="{FF2B5EF4-FFF2-40B4-BE49-F238E27FC236}">
                  <a16:creationId xmlns:a16="http://schemas.microsoft.com/office/drawing/2014/main" id="{879EA530-17AA-4160-97B1-E39886DC200B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9"/>
                <a:gd name="T1" fmla="*/ 88 h 92"/>
                <a:gd name="T2" fmla="*/ 8 w 59"/>
                <a:gd name="T3" fmla="*/ 92 h 92"/>
                <a:gd name="T4" fmla="*/ 59 w 59"/>
                <a:gd name="T5" fmla="*/ 0 h 92"/>
                <a:gd name="T6" fmla="*/ 0 w 59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2">
                  <a:moveTo>
                    <a:pt x="0" y="88"/>
                  </a:moveTo>
                  <a:lnTo>
                    <a:pt x="8" y="92"/>
                  </a:lnTo>
                  <a:lnTo>
                    <a:pt x="59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2" name="Freeform 424">
              <a:extLst>
                <a:ext uri="{FF2B5EF4-FFF2-40B4-BE49-F238E27FC236}">
                  <a16:creationId xmlns:a16="http://schemas.microsoft.com/office/drawing/2014/main" id="{55C465AE-5546-4924-BB6B-A7DA920FCCE9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1"/>
                <a:gd name="T1" fmla="*/ 92 h 96"/>
                <a:gd name="T2" fmla="*/ 8 w 51"/>
                <a:gd name="T3" fmla="*/ 96 h 96"/>
                <a:gd name="T4" fmla="*/ 51 w 51"/>
                <a:gd name="T5" fmla="*/ 0 h 96"/>
                <a:gd name="T6" fmla="*/ 0 w 51"/>
                <a:gd name="T7" fmla="*/ 92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6">
                  <a:moveTo>
                    <a:pt x="0" y="92"/>
                  </a:moveTo>
                  <a:lnTo>
                    <a:pt x="8" y="96"/>
                  </a:lnTo>
                  <a:lnTo>
                    <a:pt x="51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3" name="Freeform 425">
              <a:extLst>
                <a:ext uri="{FF2B5EF4-FFF2-40B4-BE49-F238E27FC236}">
                  <a16:creationId xmlns:a16="http://schemas.microsoft.com/office/drawing/2014/main" id="{974CAAE2-274C-49A1-B1E5-E26A5BCDE63F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2"/>
            </a:xfrm>
            <a:custGeom>
              <a:avLst/>
              <a:gdLst>
                <a:gd name="T0" fmla="*/ 0 w 43"/>
                <a:gd name="T1" fmla="*/ 96 h 99"/>
                <a:gd name="T2" fmla="*/ 8 w 43"/>
                <a:gd name="T3" fmla="*/ 99 h 99"/>
                <a:gd name="T4" fmla="*/ 43 w 43"/>
                <a:gd name="T5" fmla="*/ 0 h 99"/>
                <a:gd name="T6" fmla="*/ 0 w 43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99">
                  <a:moveTo>
                    <a:pt x="0" y="96"/>
                  </a:moveTo>
                  <a:lnTo>
                    <a:pt x="8" y="99"/>
                  </a:lnTo>
                  <a:lnTo>
                    <a:pt x="43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4" name="Freeform 426">
              <a:extLst>
                <a:ext uri="{FF2B5EF4-FFF2-40B4-BE49-F238E27FC236}">
                  <a16:creationId xmlns:a16="http://schemas.microsoft.com/office/drawing/2014/main" id="{97EFAEE2-9F88-4681-AFF9-F93C7F3C6B1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35"/>
                <a:gd name="T1" fmla="*/ 99 h 102"/>
                <a:gd name="T2" fmla="*/ 8 w 35"/>
                <a:gd name="T3" fmla="*/ 102 h 102"/>
                <a:gd name="T4" fmla="*/ 35 w 35"/>
                <a:gd name="T5" fmla="*/ 0 h 102"/>
                <a:gd name="T6" fmla="*/ 0 w 35"/>
                <a:gd name="T7" fmla="*/ 99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0" y="99"/>
                  </a:moveTo>
                  <a:lnTo>
                    <a:pt x="8" y="102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5" name="Freeform 427">
              <a:extLst>
                <a:ext uri="{FF2B5EF4-FFF2-40B4-BE49-F238E27FC236}">
                  <a16:creationId xmlns:a16="http://schemas.microsoft.com/office/drawing/2014/main" id="{84A7B61B-63CC-41D7-B432-4F6E7366C8ED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27"/>
                <a:gd name="T1" fmla="*/ 102 h 104"/>
                <a:gd name="T2" fmla="*/ 9 w 27"/>
                <a:gd name="T3" fmla="*/ 104 h 104"/>
                <a:gd name="T4" fmla="*/ 27 w 27"/>
                <a:gd name="T5" fmla="*/ 0 h 104"/>
                <a:gd name="T6" fmla="*/ 0 w 27"/>
                <a:gd name="T7" fmla="*/ 10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0" y="102"/>
                  </a:moveTo>
                  <a:lnTo>
                    <a:pt x="9" y="104"/>
                  </a:lnTo>
                  <a:lnTo>
                    <a:pt x="27" y="0"/>
                  </a:lnTo>
                  <a:lnTo>
                    <a:pt x="0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6" name="Freeform 428">
              <a:extLst>
                <a:ext uri="{FF2B5EF4-FFF2-40B4-BE49-F238E27FC236}">
                  <a16:creationId xmlns:a16="http://schemas.microsoft.com/office/drawing/2014/main" id="{79048DD3-5F85-45ED-B5D3-5463A48BEC14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18"/>
                <a:gd name="T1" fmla="*/ 104 h 105"/>
                <a:gd name="T2" fmla="*/ 9 w 18"/>
                <a:gd name="T3" fmla="*/ 105 h 105"/>
                <a:gd name="T4" fmla="*/ 18 w 18"/>
                <a:gd name="T5" fmla="*/ 0 h 105"/>
                <a:gd name="T6" fmla="*/ 0 w 18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0" y="104"/>
                  </a:moveTo>
                  <a:lnTo>
                    <a:pt x="9" y="105"/>
                  </a:lnTo>
                  <a:lnTo>
                    <a:pt x="18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7" name="Freeform 429">
              <a:extLst>
                <a:ext uri="{FF2B5EF4-FFF2-40B4-BE49-F238E27FC236}">
                  <a16:creationId xmlns:a16="http://schemas.microsoft.com/office/drawing/2014/main" id="{2695F9A2-7923-4384-A71E-20379157C3D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9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9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8" name="Freeform 430">
              <a:extLst>
                <a:ext uri="{FF2B5EF4-FFF2-40B4-BE49-F238E27FC236}">
                  <a16:creationId xmlns:a16="http://schemas.microsoft.com/office/drawing/2014/main" id="{5C4F2B51-DB1E-418D-B025-F83B5843A1AA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0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9" name="Freeform 431">
              <a:extLst>
                <a:ext uri="{FF2B5EF4-FFF2-40B4-BE49-F238E27FC236}">
                  <a16:creationId xmlns:a16="http://schemas.microsoft.com/office/drawing/2014/main" id="{76D847C3-F94B-4287-80A2-E2E672C03EB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9 w 17"/>
                <a:gd name="T1" fmla="*/ 105 h 105"/>
                <a:gd name="T2" fmla="*/ 17 w 17"/>
                <a:gd name="T3" fmla="*/ 104 h 105"/>
                <a:gd name="T4" fmla="*/ 0 w 17"/>
                <a:gd name="T5" fmla="*/ 0 h 105"/>
                <a:gd name="T6" fmla="*/ 9 w 1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9" y="105"/>
                  </a:moveTo>
                  <a:lnTo>
                    <a:pt x="17" y="104"/>
                  </a:lnTo>
                  <a:lnTo>
                    <a:pt x="0" y="0"/>
                  </a:lnTo>
                  <a:lnTo>
                    <a:pt x="9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0" name="Freeform 432">
              <a:extLst>
                <a:ext uri="{FF2B5EF4-FFF2-40B4-BE49-F238E27FC236}">
                  <a16:creationId xmlns:a16="http://schemas.microsoft.com/office/drawing/2014/main" id="{6A9BAD65-9D7F-4034-B7B8-95178410024D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17 w 26"/>
                <a:gd name="T1" fmla="*/ 104 h 104"/>
                <a:gd name="T2" fmla="*/ 26 w 26"/>
                <a:gd name="T3" fmla="*/ 102 h 104"/>
                <a:gd name="T4" fmla="*/ 0 w 26"/>
                <a:gd name="T5" fmla="*/ 0 h 104"/>
                <a:gd name="T6" fmla="*/ 17 w 26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17" y="104"/>
                  </a:moveTo>
                  <a:lnTo>
                    <a:pt x="26" y="102"/>
                  </a:lnTo>
                  <a:lnTo>
                    <a:pt x="0" y="0"/>
                  </a:lnTo>
                  <a:lnTo>
                    <a:pt x="17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1" name="Freeform 433">
              <a:extLst>
                <a:ext uri="{FF2B5EF4-FFF2-40B4-BE49-F238E27FC236}">
                  <a16:creationId xmlns:a16="http://schemas.microsoft.com/office/drawing/2014/main" id="{86693C51-EDF2-4012-9C5A-486B9AB65C2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26 w 34"/>
                <a:gd name="T1" fmla="*/ 102 h 102"/>
                <a:gd name="T2" fmla="*/ 34 w 34"/>
                <a:gd name="T3" fmla="*/ 99 h 102"/>
                <a:gd name="T4" fmla="*/ 0 w 34"/>
                <a:gd name="T5" fmla="*/ 0 h 102"/>
                <a:gd name="T6" fmla="*/ 26 w 34"/>
                <a:gd name="T7" fmla="*/ 10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26" y="102"/>
                  </a:moveTo>
                  <a:lnTo>
                    <a:pt x="34" y="99"/>
                  </a:lnTo>
                  <a:lnTo>
                    <a:pt x="0" y="0"/>
                  </a:lnTo>
                  <a:lnTo>
                    <a:pt x="26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2" name="Freeform 434">
              <a:extLst>
                <a:ext uri="{FF2B5EF4-FFF2-40B4-BE49-F238E27FC236}">
                  <a16:creationId xmlns:a16="http://schemas.microsoft.com/office/drawing/2014/main" id="{4F1A113A-4BCA-495F-A789-83C648A3DD7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34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4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4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4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3" name="Freeform 435">
              <a:extLst>
                <a:ext uri="{FF2B5EF4-FFF2-40B4-BE49-F238E27FC236}">
                  <a16:creationId xmlns:a16="http://schemas.microsoft.com/office/drawing/2014/main" id="{8D56D449-91FD-4A37-99E9-D9FBB708EE4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42 w 50"/>
                <a:gd name="T1" fmla="*/ 96 h 96"/>
                <a:gd name="T2" fmla="*/ 50 w 50"/>
                <a:gd name="T3" fmla="*/ 92 h 96"/>
                <a:gd name="T4" fmla="*/ 0 w 50"/>
                <a:gd name="T5" fmla="*/ 0 h 96"/>
                <a:gd name="T6" fmla="*/ 42 w 50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42" y="96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4" name="Freeform 436">
              <a:extLst>
                <a:ext uri="{FF2B5EF4-FFF2-40B4-BE49-F238E27FC236}">
                  <a16:creationId xmlns:a16="http://schemas.microsoft.com/office/drawing/2014/main" id="{46B67F5C-55FB-47CD-B9CB-F491A40A5965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0 w 58"/>
                <a:gd name="T1" fmla="*/ 92 h 92"/>
                <a:gd name="T2" fmla="*/ 58 w 58"/>
                <a:gd name="T3" fmla="*/ 88 h 92"/>
                <a:gd name="T4" fmla="*/ 0 w 58"/>
                <a:gd name="T5" fmla="*/ 0 h 92"/>
                <a:gd name="T6" fmla="*/ 50 w 58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2">
                  <a:moveTo>
                    <a:pt x="50" y="92"/>
                  </a:moveTo>
                  <a:lnTo>
                    <a:pt x="58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5" name="Freeform 437">
              <a:extLst>
                <a:ext uri="{FF2B5EF4-FFF2-40B4-BE49-F238E27FC236}">
                  <a16:creationId xmlns:a16="http://schemas.microsoft.com/office/drawing/2014/main" id="{48CD5794-14D4-4682-8906-5954BC3D00D3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8 w 65"/>
                <a:gd name="T1" fmla="*/ 88 h 88"/>
                <a:gd name="T2" fmla="*/ 65 w 65"/>
                <a:gd name="T3" fmla="*/ 83 h 88"/>
                <a:gd name="T4" fmla="*/ 0 w 65"/>
                <a:gd name="T5" fmla="*/ 0 h 88"/>
                <a:gd name="T6" fmla="*/ 58 w 65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58" y="88"/>
                  </a:moveTo>
                  <a:lnTo>
                    <a:pt x="65" y="83"/>
                  </a:lnTo>
                  <a:lnTo>
                    <a:pt x="0" y="0"/>
                  </a:lnTo>
                  <a:lnTo>
                    <a:pt x="58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6" name="Freeform 438">
              <a:extLst>
                <a:ext uri="{FF2B5EF4-FFF2-40B4-BE49-F238E27FC236}">
                  <a16:creationId xmlns:a16="http://schemas.microsoft.com/office/drawing/2014/main" id="{2AE1C64E-B38F-41E8-849C-699732C8530A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65 w 71"/>
                <a:gd name="T1" fmla="*/ 83 h 83"/>
                <a:gd name="T2" fmla="*/ 71 w 71"/>
                <a:gd name="T3" fmla="*/ 77 h 83"/>
                <a:gd name="T4" fmla="*/ 0 w 71"/>
                <a:gd name="T5" fmla="*/ 0 h 83"/>
                <a:gd name="T6" fmla="*/ 65 w 71"/>
                <a:gd name="T7" fmla="*/ 83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65" y="83"/>
                  </a:moveTo>
                  <a:lnTo>
                    <a:pt x="71" y="77"/>
                  </a:lnTo>
                  <a:lnTo>
                    <a:pt x="0" y="0"/>
                  </a:lnTo>
                  <a:lnTo>
                    <a:pt x="65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7" name="Freeform 439">
              <a:extLst>
                <a:ext uri="{FF2B5EF4-FFF2-40B4-BE49-F238E27FC236}">
                  <a16:creationId xmlns:a16="http://schemas.microsoft.com/office/drawing/2014/main" id="{3412E068-41C4-4922-85CF-641F399E196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1 w 77"/>
                <a:gd name="T1" fmla="*/ 77 h 77"/>
                <a:gd name="T2" fmla="*/ 77 w 77"/>
                <a:gd name="T3" fmla="*/ 71 h 77"/>
                <a:gd name="T4" fmla="*/ 0 w 77"/>
                <a:gd name="T5" fmla="*/ 0 h 77"/>
                <a:gd name="T6" fmla="*/ 71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1" y="77"/>
                  </a:moveTo>
                  <a:lnTo>
                    <a:pt x="77" y="71"/>
                  </a:lnTo>
                  <a:lnTo>
                    <a:pt x="0" y="0"/>
                  </a:lnTo>
                  <a:lnTo>
                    <a:pt x="71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8" name="Freeform 440">
              <a:extLst>
                <a:ext uri="{FF2B5EF4-FFF2-40B4-BE49-F238E27FC236}">
                  <a16:creationId xmlns:a16="http://schemas.microsoft.com/office/drawing/2014/main" id="{463EFC2E-9213-48A9-B5FF-F154E27BD5F3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7 w 83"/>
                <a:gd name="T1" fmla="*/ 71 h 71"/>
                <a:gd name="T2" fmla="*/ 83 w 83"/>
                <a:gd name="T3" fmla="*/ 64 h 71"/>
                <a:gd name="T4" fmla="*/ 0 w 83"/>
                <a:gd name="T5" fmla="*/ 0 h 71"/>
                <a:gd name="T6" fmla="*/ 77 w 83"/>
                <a:gd name="T7" fmla="*/ 71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1">
                  <a:moveTo>
                    <a:pt x="77" y="71"/>
                  </a:moveTo>
                  <a:lnTo>
                    <a:pt x="83" y="64"/>
                  </a:lnTo>
                  <a:lnTo>
                    <a:pt x="0" y="0"/>
                  </a:lnTo>
                  <a:lnTo>
                    <a:pt x="77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9" name="Freeform 441">
              <a:extLst>
                <a:ext uri="{FF2B5EF4-FFF2-40B4-BE49-F238E27FC236}">
                  <a16:creationId xmlns:a16="http://schemas.microsoft.com/office/drawing/2014/main" id="{CAC28DC1-7376-45AE-B33D-3D9729F4A33F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3 w 88"/>
                <a:gd name="T1" fmla="*/ 64 h 64"/>
                <a:gd name="T2" fmla="*/ 88 w 88"/>
                <a:gd name="T3" fmla="*/ 57 h 64"/>
                <a:gd name="T4" fmla="*/ 0 w 88"/>
                <a:gd name="T5" fmla="*/ 0 h 64"/>
                <a:gd name="T6" fmla="*/ 83 w 88"/>
                <a:gd name="T7" fmla="*/ 64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4">
                  <a:moveTo>
                    <a:pt x="83" y="64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3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0" name="Freeform 442">
              <a:extLst>
                <a:ext uri="{FF2B5EF4-FFF2-40B4-BE49-F238E27FC236}">
                  <a16:creationId xmlns:a16="http://schemas.microsoft.com/office/drawing/2014/main" id="{55DF39DC-3D11-4D0B-9C8C-3F3C2383D57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8 w 93"/>
                <a:gd name="T1" fmla="*/ 57 h 57"/>
                <a:gd name="T2" fmla="*/ 93 w 93"/>
                <a:gd name="T3" fmla="*/ 50 h 57"/>
                <a:gd name="T4" fmla="*/ 0 w 93"/>
                <a:gd name="T5" fmla="*/ 0 h 57"/>
                <a:gd name="T6" fmla="*/ 88 w 93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7">
                  <a:moveTo>
                    <a:pt x="88" y="57"/>
                  </a:moveTo>
                  <a:lnTo>
                    <a:pt x="93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1" name="Freeform 443">
              <a:extLst>
                <a:ext uri="{FF2B5EF4-FFF2-40B4-BE49-F238E27FC236}">
                  <a16:creationId xmlns:a16="http://schemas.microsoft.com/office/drawing/2014/main" id="{6082A83A-40DA-4CA4-BCBD-3E0A75B76FC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3 w 96"/>
                <a:gd name="T1" fmla="*/ 50 h 50"/>
                <a:gd name="T2" fmla="*/ 96 w 96"/>
                <a:gd name="T3" fmla="*/ 42 h 50"/>
                <a:gd name="T4" fmla="*/ 0 w 96"/>
                <a:gd name="T5" fmla="*/ 0 h 50"/>
                <a:gd name="T6" fmla="*/ 93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3" y="50"/>
                  </a:moveTo>
                  <a:lnTo>
                    <a:pt x="96" y="42"/>
                  </a:lnTo>
                  <a:lnTo>
                    <a:pt x="0" y="0"/>
                  </a:lnTo>
                  <a:lnTo>
                    <a:pt x="93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2" name="Freeform 444">
              <a:extLst>
                <a:ext uri="{FF2B5EF4-FFF2-40B4-BE49-F238E27FC236}">
                  <a16:creationId xmlns:a16="http://schemas.microsoft.com/office/drawing/2014/main" id="{F13ECA1A-D077-44DA-99ED-18174562E96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6 w 99"/>
                <a:gd name="T1" fmla="*/ 42 h 42"/>
                <a:gd name="T2" fmla="*/ 99 w 99"/>
                <a:gd name="T3" fmla="*/ 34 h 42"/>
                <a:gd name="T4" fmla="*/ 0 w 99"/>
                <a:gd name="T5" fmla="*/ 0 h 42"/>
                <a:gd name="T6" fmla="*/ 96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6" y="42"/>
                  </a:moveTo>
                  <a:lnTo>
                    <a:pt x="99" y="34"/>
                  </a:lnTo>
                  <a:lnTo>
                    <a:pt x="0" y="0"/>
                  </a:lnTo>
                  <a:lnTo>
                    <a:pt x="96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3" name="Freeform 445">
              <a:extLst>
                <a:ext uri="{FF2B5EF4-FFF2-40B4-BE49-F238E27FC236}">
                  <a16:creationId xmlns:a16="http://schemas.microsoft.com/office/drawing/2014/main" id="{FB461095-3E97-4F58-9534-0740D542FF3A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99 w 102"/>
                <a:gd name="T1" fmla="*/ 34 h 34"/>
                <a:gd name="T2" fmla="*/ 102 w 102"/>
                <a:gd name="T3" fmla="*/ 26 h 34"/>
                <a:gd name="T4" fmla="*/ 0 w 102"/>
                <a:gd name="T5" fmla="*/ 0 h 34"/>
                <a:gd name="T6" fmla="*/ 99 w 102"/>
                <a:gd name="T7" fmla="*/ 34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4">
                  <a:moveTo>
                    <a:pt x="99" y="34"/>
                  </a:moveTo>
                  <a:lnTo>
                    <a:pt x="102" y="26"/>
                  </a:lnTo>
                  <a:lnTo>
                    <a:pt x="0" y="0"/>
                  </a:lnTo>
                  <a:lnTo>
                    <a:pt x="99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4" name="Freeform 446">
              <a:extLst>
                <a:ext uri="{FF2B5EF4-FFF2-40B4-BE49-F238E27FC236}">
                  <a16:creationId xmlns:a16="http://schemas.microsoft.com/office/drawing/2014/main" id="{9CAA6FCE-8EC9-4A64-AD0B-7769A950FA6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2 w 104"/>
                <a:gd name="T1" fmla="*/ 26 h 26"/>
                <a:gd name="T2" fmla="*/ 104 w 104"/>
                <a:gd name="T3" fmla="*/ 17 h 26"/>
                <a:gd name="T4" fmla="*/ 0 w 104"/>
                <a:gd name="T5" fmla="*/ 0 h 26"/>
                <a:gd name="T6" fmla="*/ 102 w 104"/>
                <a:gd name="T7" fmla="*/ 26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2" y="26"/>
                  </a:moveTo>
                  <a:lnTo>
                    <a:pt x="104" y="17"/>
                  </a:lnTo>
                  <a:lnTo>
                    <a:pt x="0" y="0"/>
                  </a:lnTo>
                  <a:lnTo>
                    <a:pt x="102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5" name="Freeform 447">
              <a:extLst>
                <a:ext uri="{FF2B5EF4-FFF2-40B4-BE49-F238E27FC236}">
                  <a16:creationId xmlns:a16="http://schemas.microsoft.com/office/drawing/2014/main" id="{D50395ED-C102-4000-91AF-D8357A19FA1D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4 w 105"/>
                <a:gd name="T1" fmla="*/ 17 h 17"/>
                <a:gd name="T2" fmla="*/ 105 w 105"/>
                <a:gd name="T3" fmla="*/ 8 h 17"/>
                <a:gd name="T4" fmla="*/ 0 w 105"/>
                <a:gd name="T5" fmla="*/ 0 h 17"/>
                <a:gd name="T6" fmla="*/ 104 w 105"/>
                <a:gd name="T7" fmla="*/ 17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7">
                  <a:moveTo>
                    <a:pt x="104" y="17"/>
                  </a:moveTo>
                  <a:lnTo>
                    <a:pt x="105" y="8"/>
                  </a:lnTo>
                  <a:lnTo>
                    <a:pt x="0" y="0"/>
                  </a:lnTo>
                  <a:lnTo>
                    <a:pt x="104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6" name="Freeform 448">
              <a:extLst>
                <a:ext uri="{FF2B5EF4-FFF2-40B4-BE49-F238E27FC236}">
                  <a16:creationId xmlns:a16="http://schemas.microsoft.com/office/drawing/2014/main" id="{8E469DC3-E5E7-4135-94DC-987A1D007344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0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7" name="Freeform 449">
              <a:extLst>
                <a:ext uri="{FF2B5EF4-FFF2-40B4-BE49-F238E27FC236}">
                  <a16:creationId xmlns:a16="http://schemas.microsoft.com/office/drawing/2014/main" id="{E12E8C71-CC0C-46BE-BEC0-F49FDD49167D}"/>
                </a:ext>
              </a:extLst>
            </xdr:cNvPr>
            <xdr:cNvSpPr>
              <a:spLocks/>
            </xdr:cNvSpPr>
          </xdr:nvSpPr>
          <xdr:spPr bwMode="auto">
            <a:xfrm>
              <a:off x="1178" y="188"/>
              <a:ext cx="6" cy="9"/>
            </a:xfrm>
            <a:custGeom>
              <a:avLst/>
              <a:gdLst>
                <a:gd name="T0" fmla="*/ 0 w 350"/>
                <a:gd name="T1" fmla="*/ 526 h 526"/>
                <a:gd name="T2" fmla="*/ 263 w 350"/>
                <a:gd name="T3" fmla="*/ 526 h 526"/>
                <a:gd name="T4" fmla="*/ 350 w 350"/>
                <a:gd name="T5" fmla="*/ 439 h 526"/>
                <a:gd name="T6" fmla="*/ 350 w 350"/>
                <a:gd name="T7" fmla="*/ 88 h 526"/>
                <a:gd name="T8" fmla="*/ 263 w 350"/>
                <a:gd name="T9" fmla="*/ 0 h 526"/>
                <a:gd name="T10" fmla="*/ 0 w 350"/>
                <a:gd name="T11" fmla="*/ 0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0" h="526">
                  <a:moveTo>
                    <a:pt x="0" y="526"/>
                  </a:moveTo>
                  <a:lnTo>
                    <a:pt x="263" y="526"/>
                  </a:lnTo>
                  <a:lnTo>
                    <a:pt x="350" y="439"/>
                  </a:lnTo>
                  <a:lnTo>
                    <a:pt x="350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38" name="Line 450">
              <a:extLst>
                <a:ext uri="{FF2B5EF4-FFF2-40B4-BE49-F238E27FC236}">
                  <a16:creationId xmlns:a16="http://schemas.microsoft.com/office/drawing/2014/main" id="{F3F6CC1E-4EA9-49E3-B9E4-9E351F074D5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0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9" name="Freeform 451">
              <a:extLst>
                <a:ext uri="{FF2B5EF4-FFF2-40B4-BE49-F238E27FC236}">
                  <a16:creationId xmlns:a16="http://schemas.microsoft.com/office/drawing/2014/main" id="{80D120EF-723C-4430-885B-E24DAD5DDF89}"/>
                </a:ext>
              </a:extLst>
            </xdr:cNvPr>
            <xdr:cNvSpPr>
              <a:spLocks/>
            </xdr:cNvSpPr>
          </xdr:nvSpPr>
          <xdr:spPr bwMode="auto">
            <a:xfrm>
              <a:off x="1190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40" name="Freeform 452">
              <a:extLst>
                <a:ext uri="{FF2B5EF4-FFF2-40B4-BE49-F238E27FC236}">
                  <a16:creationId xmlns:a16="http://schemas.microsoft.com/office/drawing/2014/main" id="{13D49D7A-4D1D-443C-B6F8-BAA88B82BD09}"/>
                </a:ext>
              </a:extLst>
            </xdr:cNvPr>
            <xdr:cNvSpPr>
              <a:spLocks/>
            </xdr:cNvSpPr>
          </xdr:nvSpPr>
          <xdr:spPr bwMode="auto">
            <a:xfrm>
              <a:off x="1190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6" name="Freeform 454">
            <a:extLst>
              <a:ext uri="{FF2B5EF4-FFF2-40B4-BE49-F238E27FC236}">
                <a16:creationId xmlns:a16="http://schemas.microsoft.com/office/drawing/2014/main" id="{BBA891D9-C9B4-441B-AE86-FB6FCF1A8F63}"/>
              </a:ext>
            </a:extLst>
          </xdr:cNvPr>
          <xdr:cNvSpPr>
            <a:spLocks/>
          </xdr:cNvSpPr>
        </xdr:nvSpPr>
        <xdr:spPr bwMode="auto">
          <a:xfrm>
            <a:off x="1190" y="200"/>
            <a:ext cx="1" cy="2"/>
          </a:xfrm>
          <a:custGeom>
            <a:avLst/>
            <a:gdLst>
              <a:gd name="T0" fmla="*/ 53 w 53"/>
              <a:gd name="T1" fmla="*/ 14 h 106"/>
              <a:gd name="T2" fmla="*/ 0 w 53"/>
              <a:gd name="T3" fmla="*/ 0 h 106"/>
              <a:gd name="T4" fmla="*/ 0 w 53"/>
              <a:gd name="T5" fmla="*/ 106 h 106"/>
              <a:gd name="T6" fmla="*/ 53 w 53"/>
              <a:gd name="T7" fmla="*/ 14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14"/>
                </a:moveTo>
                <a:lnTo>
                  <a:pt x="0" y="0"/>
                </a:lnTo>
                <a:lnTo>
                  <a:pt x="0" y="106"/>
                </a:lnTo>
                <a:lnTo>
                  <a:pt x="53" y="14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Freeform 455">
            <a:extLst>
              <a:ext uri="{FF2B5EF4-FFF2-40B4-BE49-F238E27FC236}">
                <a16:creationId xmlns:a16="http://schemas.microsoft.com/office/drawing/2014/main" id="{F4AC09C0-229B-4CD1-965D-36CD1031CABF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53 w 53"/>
              <a:gd name="T1" fmla="*/ 0 h 106"/>
              <a:gd name="T2" fmla="*/ 0 w 53"/>
              <a:gd name="T3" fmla="*/ 14 h 106"/>
              <a:gd name="T4" fmla="*/ 53 w 53"/>
              <a:gd name="T5" fmla="*/ 106 h 106"/>
              <a:gd name="T6" fmla="*/ 53 w 53"/>
              <a:gd name="T7" fmla="*/ 0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0"/>
                </a:moveTo>
                <a:lnTo>
                  <a:pt x="0" y="14"/>
                </a:lnTo>
                <a:lnTo>
                  <a:pt x="53" y="106"/>
                </a:lnTo>
                <a:lnTo>
                  <a:pt x="53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" name="Freeform 456">
            <a:extLst>
              <a:ext uri="{FF2B5EF4-FFF2-40B4-BE49-F238E27FC236}">
                <a16:creationId xmlns:a16="http://schemas.microsoft.com/office/drawing/2014/main" id="{4A38EB83-FC23-4C54-8259-8A020B0D92FC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38 w 91"/>
              <a:gd name="T1" fmla="*/ 0 h 92"/>
              <a:gd name="T2" fmla="*/ 0 w 91"/>
              <a:gd name="T3" fmla="*/ 39 h 92"/>
              <a:gd name="T4" fmla="*/ 91 w 91"/>
              <a:gd name="T5" fmla="*/ 92 h 92"/>
              <a:gd name="T6" fmla="*/ 38 w 91"/>
              <a:gd name="T7" fmla="*/ 0 h 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2">
                <a:moveTo>
                  <a:pt x="38" y="0"/>
                </a:moveTo>
                <a:lnTo>
                  <a:pt x="0" y="39"/>
                </a:lnTo>
                <a:lnTo>
                  <a:pt x="91" y="92"/>
                </a:lnTo>
                <a:lnTo>
                  <a:pt x="38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Freeform 457">
            <a:extLst>
              <a:ext uri="{FF2B5EF4-FFF2-40B4-BE49-F238E27FC236}">
                <a16:creationId xmlns:a16="http://schemas.microsoft.com/office/drawing/2014/main" id="{8DCA2B98-C27A-4C5A-BE79-EE0C76E2F6B4}"/>
              </a:ext>
            </a:extLst>
          </xdr:cNvPr>
          <xdr:cNvSpPr>
            <a:spLocks/>
          </xdr:cNvSpPr>
        </xdr:nvSpPr>
        <xdr:spPr bwMode="auto">
          <a:xfrm>
            <a:off x="1188" y="201"/>
            <a:ext cx="2" cy="1"/>
          </a:xfrm>
          <a:custGeom>
            <a:avLst/>
            <a:gdLst>
              <a:gd name="T0" fmla="*/ 15 w 106"/>
              <a:gd name="T1" fmla="*/ 0 h 53"/>
              <a:gd name="T2" fmla="*/ 0 w 106"/>
              <a:gd name="T3" fmla="*/ 53 h 53"/>
              <a:gd name="T4" fmla="*/ 106 w 106"/>
              <a:gd name="T5" fmla="*/ 53 h 53"/>
              <a:gd name="T6" fmla="*/ 15 w 106"/>
              <a:gd name="T7" fmla="*/ 0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3">
                <a:moveTo>
                  <a:pt x="15" y="0"/>
                </a:moveTo>
                <a:lnTo>
                  <a:pt x="0" y="53"/>
                </a:lnTo>
                <a:lnTo>
                  <a:pt x="106" y="53"/>
                </a:lnTo>
                <a:lnTo>
                  <a:pt x="15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" name="Freeform 458">
            <a:extLst>
              <a:ext uri="{FF2B5EF4-FFF2-40B4-BE49-F238E27FC236}">
                <a16:creationId xmlns:a16="http://schemas.microsoft.com/office/drawing/2014/main" id="{52DEC94D-B026-483F-BD0D-13F1E3AD9DAB}"/>
              </a:ext>
            </a:extLst>
          </xdr:cNvPr>
          <xdr:cNvSpPr>
            <a:spLocks/>
          </xdr:cNvSpPr>
        </xdr:nvSpPr>
        <xdr:spPr bwMode="auto">
          <a:xfrm>
            <a:off x="1188" y="202"/>
            <a:ext cx="2" cy="1"/>
          </a:xfrm>
          <a:custGeom>
            <a:avLst/>
            <a:gdLst>
              <a:gd name="T0" fmla="*/ 0 w 106"/>
              <a:gd name="T1" fmla="*/ 0 h 52"/>
              <a:gd name="T2" fmla="*/ 15 w 106"/>
              <a:gd name="T3" fmla="*/ 52 h 52"/>
              <a:gd name="T4" fmla="*/ 106 w 106"/>
              <a:gd name="T5" fmla="*/ 0 h 52"/>
              <a:gd name="T6" fmla="*/ 0 w 106"/>
              <a:gd name="T7" fmla="*/ 0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2">
                <a:moveTo>
                  <a:pt x="0" y="0"/>
                </a:moveTo>
                <a:lnTo>
                  <a:pt x="15" y="52"/>
                </a:lnTo>
                <a:lnTo>
                  <a:pt x="106" y="0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" name="Freeform 459">
            <a:extLst>
              <a:ext uri="{FF2B5EF4-FFF2-40B4-BE49-F238E27FC236}">
                <a16:creationId xmlns:a16="http://schemas.microsoft.com/office/drawing/2014/main" id="{A0A5127E-6DA0-480C-8D7B-1B445D278A10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1"/>
          </a:xfrm>
          <a:custGeom>
            <a:avLst/>
            <a:gdLst>
              <a:gd name="T0" fmla="*/ 0 w 91"/>
              <a:gd name="T1" fmla="*/ 52 h 91"/>
              <a:gd name="T2" fmla="*/ 38 w 91"/>
              <a:gd name="T3" fmla="*/ 91 h 91"/>
              <a:gd name="T4" fmla="*/ 91 w 91"/>
              <a:gd name="T5" fmla="*/ 0 h 91"/>
              <a:gd name="T6" fmla="*/ 0 w 91"/>
              <a:gd name="T7" fmla="*/ 52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0" y="52"/>
                </a:moveTo>
                <a:lnTo>
                  <a:pt x="38" y="91"/>
                </a:lnTo>
                <a:lnTo>
                  <a:pt x="91" y="0"/>
                </a:lnTo>
                <a:lnTo>
                  <a:pt x="0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" name="Freeform 460">
            <a:extLst>
              <a:ext uri="{FF2B5EF4-FFF2-40B4-BE49-F238E27FC236}">
                <a16:creationId xmlns:a16="http://schemas.microsoft.com/office/drawing/2014/main" id="{F162F9A0-B4B4-47F8-B55A-AE4A76F4962D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2"/>
          </a:xfrm>
          <a:custGeom>
            <a:avLst/>
            <a:gdLst>
              <a:gd name="T0" fmla="*/ 0 w 53"/>
              <a:gd name="T1" fmla="*/ 91 h 105"/>
              <a:gd name="T2" fmla="*/ 53 w 53"/>
              <a:gd name="T3" fmla="*/ 105 h 105"/>
              <a:gd name="T4" fmla="*/ 53 w 53"/>
              <a:gd name="T5" fmla="*/ 0 h 105"/>
              <a:gd name="T6" fmla="*/ 0 w 53"/>
              <a:gd name="T7" fmla="*/ 9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91"/>
                </a:moveTo>
                <a:lnTo>
                  <a:pt x="53" y="105"/>
                </a:lnTo>
                <a:lnTo>
                  <a:pt x="53" y="0"/>
                </a:lnTo>
                <a:lnTo>
                  <a:pt x="0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" name="Freeform 461">
            <a:extLst>
              <a:ext uri="{FF2B5EF4-FFF2-40B4-BE49-F238E27FC236}">
                <a16:creationId xmlns:a16="http://schemas.microsoft.com/office/drawing/2014/main" id="{33E02096-7141-496A-91FD-436B68F8F9F4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1" cy="2"/>
          </a:xfrm>
          <a:custGeom>
            <a:avLst/>
            <a:gdLst>
              <a:gd name="T0" fmla="*/ 0 w 53"/>
              <a:gd name="T1" fmla="*/ 105 h 105"/>
              <a:gd name="T2" fmla="*/ 53 w 53"/>
              <a:gd name="T3" fmla="*/ 91 h 105"/>
              <a:gd name="T4" fmla="*/ 0 w 53"/>
              <a:gd name="T5" fmla="*/ 0 h 105"/>
              <a:gd name="T6" fmla="*/ 0 w 53"/>
              <a:gd name="T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105"/>
                </a:moveTo>
                <a:lnTo>
                  <a:pt x="53" y="91"/>
                </a:lnTo>
                <a:lnTo>
                  <a:pt x="0" y="0"/>
                </a:lnTo>
                <a:lnTo>
                  <a:pt x="0" y="105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4" name="Freeform 462">
            <a:extLst>
              <a:ext uri="{FF2B5EF4-FFF2-40B4-BE49-F238E27FC236}">
                <a16:creationId xmlns:a16="http://schemas.microsoft.com/office/drawing/2014/main" id="{2FB220B8-6175-4969-8C0E-F9DAECAFB751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53 w 91"/>
              <a:gd name="T1" fmla="*/ 91 h 91"/>
              <a:gd name="T2" fmla="*/ 91 w 91"/>
              <a:gd name="T3" fmla="*/ 52 h 91"/>
              <a:gd name="T4" fmla="*/ 0 w 91"/>
              <a:gd name="T5" fmla="*/ 0 h 91"/>
              <a:gd name="T6" fmla="*/ 53 w 91"/>
              <a:gd name="T7" fmla="*/ 91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53" y="91"/>
                </a:moveTo>
                <a:lnTo>
                  <a:pt x="91" y="52"/>
                </a:lnTo>
                <a:lnTo>
                  <a:pt x="0" y="0"/>
                </a:lnTo>
                <a:lnTo>
                  <a:pt x="53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" name="Freeform 463">
            <a:extLst>
              <a:ext uri="{FF2B5EF4-FFF2-40B4-BE49-F238E27FC236}">
                <a16:creationId xmlns:a16="http://schemas.microsoft.com/office/drawing/2014/main" id="{53E52B56-15BE-4D80-A17B-F7F3C57F6431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91 w 105"/>
              <a:gd name="T1" fmla="*/ 52 h 52"/>
              <a:gd name="T2" fmla="*/ 105 w 105"/>
              <a:gd name="T3" fmla="*/ 0 h 52"/>
              <a:gd name="T4" fmla="*/ 0 w 105"/>
              <a:gd name="T5" fmla="*/ 0 h 52"/>
              <a:gd name="T6" fmla="*/ 91 w 105"/>
              <a:gd name="T7" fmla="*/ 52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5" h="52">
                <a:moveTo>
                  <a:pt x="91" y="52"/>
                </a:moveTo>
                <a:lnTo>
                  <a:pt x="105" y="0"/>
                </a:lnTo>
                <a:lnTo>
                  <a:pt x="0" y="0"/>
                </a:lnTo>
                <a:lnTo>
                  <a:pt x="91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" name="Line 464">
            <a:extLst>
              <a:ext uri="{FF2B5EF4-FFF2-40B4-BE49-F238E27FC236}">
                <a16:creationId xmlns:a16="http://schemas.microsoft.com/office/drawing/2014/main" id="{6DC732C5-BF00-4822-B2A1-8567289D1B92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465">
            <a:extLst>
              <a:ext uri="{FF2B5EF4-FFF2-40B4-BE49-F238E27FC236}">
                <a16:creationId xmlns:a16="http://schemas.microsoft.com/office/drawing/2014/main" id="{BEFD21D0-74B1-47B0-9CC7-7478A5EDD575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466">
            <a:extLst>
              <a:ext uri="{FF2B5EF4-FFF2-40B4-BE49-F238E27FC236}">
                <a16:creationId xmlns:a16="http://schemas.microsoft.com/office/drawing/2014/main" id="{E4A92872-B5C6-411D-BF14-13B0CC2158C3}"/>
              </a:ext>
            </a:extLst>
          </xdr:cNvPr>
          <xdr:cNvSpPr>
            <a:spLocks noChangeShapeType="1"/>
          </xdr:cNvSpPr>
        </xdr:nvSpPr>
        <xdr:spPr bwMode="auto">
          <a:xfrm>
            <a:off x="842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Freeform 467">
            <a:extLst>
              <a:ext uri="{FF2B5EF4-FFF2-40B4-BE49-F238E27FC236}">
                <a16:creationId xmlns:a16="http://schemas.microsoft.com/office/drawing/2014/main" id="{DF8617C0-FD98-4D16-9FF5-0E70F247CCFD}"/>
              </a:ext>
            </a:extLst>
          </xdr:cNvPr>
          <xdr:cNvSpPr>
            <a:spLocks/>
          </xdr:cNvSpPr>
        </xdr:nvSpPr>
        <xdr:spPr bwMode="auto">
          <a:xfrm>
            <a:off x="833" y="268"/>
            <a:ext cx="9" cy="2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" name="Freeform 468">
            <a:extLst>
              <a:ext uri="{FF2B5EF4-FFF2-40B4-BE49-F238E27FC236}">
                <a16:creationId xmlns:a16="http://schemas.microsoft.com/office/drawing/2014/main" id="{11CFDE20-5A03-4308-9D44-F036B407B74B}"/>
              </a:ext>
            </a:extLst>
          </xdr:cNvPr>
          <xdr:cNvSpPr>
            <a:spLocks/>
          </xdr:cNvSpPr>
        </xdr:nvSpPr>
        <xdr:spPr bwMode="auto">
          <a:xfrm>
            <a:off x="922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1" name="Line 474">
            <a:extLst>
              <a:ext uri="{FF2B5EF4-FFF2-40B4-BE49-F238E27FC236}">
                <a16:creationId xmlns:a16="http://schemas.microsoft.com/office/drawing/2014/main" id="{E2C3CE64-7284-4B92-B251-DFAF308F5D35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75">
            <a:extLst>
              <a:ext uri="{FF2B5EF4-FFF2-40B4-BE49-F238E27FC236}">
                <a16:creationId xmlns:a16="http://schemas.microsoft.com/office/drawing/2014/main" id="{B5FFD908-F710-40A3-B1DA-DBA3765FF521}"/>
              </a:ext>
            </a:extLst>
          </xdr:cNvPr>
          <xdr:cNvSpPr>
            <a:spLocks noChangeShapeType="1"/>
          </xdr:cNvSpPr>
        </xdr:nvSpPr>
        <xdr:spPr bwMode="auto">
          <a:xfrm>
            <a:off x="1029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76">
            <a:extLst>
              <a:ext uri="{FF2B5EF4-FFF2-40B4-BE49-F238E27FC236}">
                <a16:creationId xmlns:a16="http://schemas.microsoft.com/office/drawing/2014/main" id="{50EFCE6B-4643-40DA-A981-777864F2E62B}"/>
              </a:ext>
            </a:extLst>
          </xdr:cNvPr>
          <xdr:cNvSpPr>
            <a:spLocks noChangeShapeType="1"/>
          </xdr:cNvSpPr>
        </xdr:nvSpPr>
        <xdr:spPr bwMode="auto">
          <a:xfrm>
            <a:off x="940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Freeform 477">
            <a:extLst>
              <a:ext uri="{FF2B5EF4-FFF2-40B4-BE49-F238E27FC236}">
                <a16:creationId xmlns:a16="http://schemas.microsoft.com/office/drawing/2014/main" id="{674406BA-7C23-49A8-9C93-63451F1BF7CD}"/>
              </a:ext>
            </a:extLst>
          </xdr:cNvPr>
          <xdr:cNvSpPr>
            <a:spLocks/>
          </xdr:cNvSpPr>
        </xdr:nvSpPr>
        <xdr:spPr bwMode="auto">
          <a:xfrm>
            <a:off x="931" y="268"/>
            <a:ext cx="9" cy="2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8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8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5" name="Freeform 478">
            <a:extLst>
              <a:ext uri="{FF2B5EF4-FFF2-40B4-BE49-F238E27FC236}">
                <a16:creationId xmlns:a16="http://schemas.microsoft.com/office/drawing/2014/main" id="{3D334817-26F1-43FB-ACA7-2C50DAF1871C}"/>
              </a:ext>
            </a:extLst>
          </xdr:cNvPr>
          <xdr:cNvSpPr>
            <a:spLocks/>
          </xdr:cNvSpPr>
        </xdr:nvSpPr>
        <xdr:spPr bwMode="auto">
          <a:xfrm>
            <a:off x="1020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6" name="Line 484">
            <a:extLst>
              <a:ext uri="{FF2B5EF4-FFF2-40B4-BE49-F238E27FC236}">
                <a16:creationId xmlns:a16="http://schemas.microsoft.com/office/drawing/2014/main" id="{D5760EAA-E327-4ADB-A78E-0242983E8F74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89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485">
            <a:extLst>
              <a:ext uri="{FF2B5EF4-FFF2-40B4-BE49-F238E27FC236}">
                <a16:creationId xmlns:a16="http://schemas.microsoft.com/office/drawing/2014/main" id="{9D128D5F-A5BD-460E-A4AE-A0206AEF392C}"/>
              </a:ext>
            </a:extLst>
          </xdr:cNvPr>
          <xdr:cNvSpPr>
            <a:spLocks noChangeShapeType="1"/>
          </xdr:cNvSpPr>
        </xdr:nvSpPr>
        <xdr:spPr bwMode="auto">
          <a:xfrm>
            <a:off x="1190" y="299"/>
            <a:ext cx="0" cy="3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86">
            <a:extLst>
              <a:ext uri="{FF2B5EF4-FFF2-40B4-BE49-F238E27FC236}">
                <a16:creationId xmlns:a16="http://schemas.microsoft.com/office/drawing/2014/main" id="{BB25C57B-D878-4D30-A65C-5654B0F1771D}"/>
              </a:ext>
            </a:extLst>
          </xdr:cNvPr>
          <xdr:cNvSpPr>
            <a:spLocks noChangeShapeType="1"/>
          </xdr:cNvSpPr>
        </xdr:nvSpPr>
        <xdr:spPr bwMode="auto">
          <a:xfrm>
            <a:off x="842" y="325"/>
            <a:ext cx="339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Freeform 487">
            <a:extLst>
              <a:ext uri="{FF2B5EF4-FFF2-40B4-BE49-F238E27FC236}">
                <a16:creationId xmlns:a16="http://schemas.microsoft.com/office/drawing/2014/main" id="{3B154839-01AC-4D7C-A099-D1B900D9D20D}"/>
              </a:ext>
            </a:extLst>
          </xdr:cNvPr>
          <xdr:cNvSpPr>
            <a:spLocks/>
          </xdr:cNvSpPr>
        </xdr:nvSpPr>
        <xdr:spPr bwMode="auto">
          <a:xfrm>
            <a:off x="833" y="323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" name="Freeform 488">
            <a:extLst>
              <a:ext uri="{FF2B5EF4-FFF2-40B4-BE49-F238E27FC236}">
                <a16:creationId xmlns:a16="http://schemas.microsoft.com/office/drawing/2014/main" id="{9BC03028-5900-417E-82A6-12913A0E4378}"/>
              </a:ext>
            </a:extLst>
          </xdr:cNvPr>
          <xdr:cNvSpPr>
            <a:spLocks/>
          </xdr:cNvSpPr>
        </xdr:nvSpPr>
        <xdr:spPr bwMode="auto">
          <a:xfrm>
            <a:off x="1181" y="323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" name="Line 494">
            <a:extLst>
              <a:ext uri="{FF2B5EF4-FFF2-40B4-BE49-F238E27FC236}">
                <a16:creationId xmlns:a16="http://schemas.microsoft.com/office/drawing/2014/main" id="{56B3AE83-0B55-4A9A-8057-A2E7E5F97B82}"/>
              </a:ext>
            </a:extLst>
          </xdr:cNvPr>
          <xdr:cNvSpPr>
            <a:spLocks noChangeShapeType="1"/>
          </xdr:cNvSpPr>
        </xdr:nvSpPr>
        <xdr:spPr bwMode="auto">
          <a:xfrm flipV="1">
            <a:off x="1029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495">
            <a:extLst>
              <a:ext uri="{FF2B5EF4-FFF2-40B4-BE49-F238E27FC236}">
                <a16:creationId xmlns:a16="http://schemas.microsoft.com/office/drawing/2014/main" id="{0FC6BEB4-95D9-49BF-82B6-2A2E663ABCA4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496">
            <a:extLst>
              <a:ext uri="{FF2B5EF4-FFF2-40B4-BE49-F238E27FC236}">
                <a16:creationId xmlns:a16="http://schemas.microsoft.com/office/drawing/2014/main" id="{8BAB9D2B-19DD-4B23-96C2-33D91FD956ED}"/>
              </a:ext>
            </a:extLst>
          </xdr:cNvPr>
          <xdr:cNvSpPr>
            <a:spLocks noChangeShapeType="1"/>
          </xdr:cNvSpPr>
        </xdr:nvSpPr>
        <xdr:spPr bwMode="auto">
          <a:xfrm>
            <a:off x="1038" y="86"/>
            <a:ext cx="6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Freeform 497">
            <a:extLst>
              <a:ext uri="{FF2B5EF4-FFF2-40B4-BE49-F238E27FC236}">
                <a16:creationId xmlns:a16="http://schemas.microsoft.com/office/drawing/2014/main" id="{897CB740-5368-46FC-BEEC-59BBC1CE8CB9}"/>
              </a:ext>
            </a:extLst>
          </xdr:cNvPr>
          <xdr:cNvSpPr>
            <a:spLocks/>
          </xdr:cNvSpPr>
        </xdr:nvSpPr>
        <xdr:spPr bwMode="auto">
          <a:xfrm>
            <a:off x="1029" y="84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7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7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" name="Freeform 498">
            <a:extLst>
              <a:ext uri="{FF2B5EF4-FFF2-40B4-BE49-F238E27FC236}">
                <a16:creationId xmlns:a16="http://schemas.microsoft.com/office/drawing/2014/main" id="{F2D3836E-69A1-4E42-8951-3A2555603D1E}"/>
              </a:ext>
            </a:extLst>
          </xdr:cNvPr>
          <xdr:cNvSpPr>
            <a:spLocks/>
          </xdr:cNvSpPr>
        </xdr:nvSpPr>
        <xdr:spPr bwMode="auto">
          <a:xfrm>
            <a:off x="1103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" name="Line 504">
            <a:extLst>
              <a:ext uri="{FF2B5EF4-FFF2-40B4-BE49-F238E27FC236}">
                <a16:creationId xmlns:a16="http://schemas.microsoft.com/office/drawing/2014/main" id="{C8618ECB-E183-4230-B817-491FCD97DE48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505">
            <a:extLst>
              <a:ext uri="{FF2B5EF4-FFF2-40B4-BE49-F238E27FC236}">
                <a16:creationId xmlns:a16="http://schemas.microsoft.com/office/drawing/2014/main" id="{9EE161F8-5FAF-492B-8D56-721384FF1477}"/>
              </a:ext>
            </a:extLst>
          </xdr:cNvPr>
          <xdr:cNvSpPr>
            <a:spLocks noChangeShapeType="1"/>
          </xdr:cNvSpPr>
        </xdr:nvSpPr>
        <xdr:spPr bwMode="auto">
          <a:xfrm flipV="1">
            <a:off x="1190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506">
            <a:extLst>
              <a:ext uri="{FF2B5EF4-FFF2-40B4-BE49-F238E27FC236}">
                <a16:creationId xmlns:a16="http://schemas.microsoft.com/office/drawing/2014/main" id="{31EF4A2A-1AA1-41CE-A558-834C6D287BBE}"/>
              </a:ext>
            </a:extLst>
          </xdr:cNvPr>
          <xdr:cNvSpPr>
            <a:spLocks noChangeShapeType="1"/>
          </xdr:cNvSpPr>
        </xdr:nvSpPr>
        <xdr:spPr bwMode="auto">
          <a:xfrm>
            <a:off x="1121" y="86"/>
            <a:ext cx="6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Freeform 507">
            <a:extLst>
              <a:ext uri="{FF2B5EF4-FFF2-40B4-BE49-F238E27FC236}">
                <a16:creationId xmlns:a16="http://schemas.microsoft.com/office/drawing/2014/main" id="{DC038CB0-5F7D-496D-8BDF-33F349088D8D}"/>
              </a:ext>
            </a:extLst>
          </xdr:cNvPr>
          <xdr:cNvSpPr>
            <a:spLocks/>
          </xdr:cNvSpPr>
        </xdr:nvSpPr>
        <xdr:spPr bwMode="auto">
          <a:xfrm>
            <a:off x="1112" y="84"/>
            <a:ext cx="9" cy="3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7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7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" name="Freeform 508">
            <a:extLst>
              <a:ext uri="{FF2B5EF4-FFF2-40B4-BE49-F238E27FC236}">
                <a16:creationId xmlns:a16="http://schemas.microsoft.com/office/drawing/2014/main" id="{DA4EF6F5-C38A-4EE6-B70A-AD5A861ECE01}"/>
              </a:ext>
            </a:extLst>
          </xdr:cNvPr>
          <xdr:cNvSpPr>
            <a:spLocks/>
          </xdr:cNvSpPr>
        </xdr:nvSpPr>
        <xdr:spPr bwMode="auto">
          <a:xfrm>
            <a:off x="1181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" name="Line 514">
            <a:extLst>
              <a:ext uri="{FF2B5EF4-FFF2-40B4-BE49-F238E27FC236}">
                <a16:creationId xmlns:a16="http://schemas.microsoft.com/office/drawing/2014/main" id="{CED60F3A-65B4-4A45-A8E7-562717B05A71}"/>
              </a:ext>
            </a:extLst>
          </xdr:cNvPr>
          <xdr:cNvSpPr>
            <a:spLocks noChangeShapeType="1"/>
          </xdr:cNvSpPr>
        </xdr:nvSpPr>
        <xdr:spPr bwMode="auto">
          <a:xfrm>
            <a:off x="1226" y="107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15">
            <a:extLst>
              <a:ext uri="{FF2B5EF4-FFF2-40B4-BE49-F238E27FC236}">
                <a16:creationId xmlns:a16="http://schemas.microsoft.com/office/drawing/2014/main" id="{2CF79CF5-8AC6-4B3D-BC94-545864344953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516">
            <a:extLst>
              <a:ext uri="{FF2B5EF4-FFF2-40B4-BE49-F238E27FC236}">
                <a16:creationId xmlns:a16="http://schemas.microsoft.com/office/drawing/2014/main" id="{37CB758A-762C-446F-A053-8BF79A90B807}"/>
              </a:ext>
            </a:extLst>
          </xdr:cNvPr>
          <xdr:cNvSpPr>
            <a:spLocks noChangeShapeType="1"/>
          </xdr:cNvSpPr>
        </xdr:nvSpPr>
        <xdr:spPr bwMode="auto">
          <a:xfrm>
            <a:off x="1240" y="116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517">
            <a:extLst>
              <a:ext uri="{FF2B5EF4-FFF2-40B4-BE49-F238E27FC236}">
                <a16:creationId xmlns:a16="http://schemas.microsoft.com/office/drawing/2014/main" id="{E95FD7AA-48B2-4164-A079-7B88C73C90B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16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518">
            <a:extLst>
              <a:ext uri="{FF2B5EF4-FFF2-40B4-BE49-F238E27FC236}">
                <a16:creationId xmlns:a16="http://schemas.microsoft.com/office/drawing/2014/main" id="{EC8BD6E6-D0E4-4D25-8BF0-441AE3ADC18B}"/>
              </a:ext>
            </a:extLst>
          </xdr:cNvPr>
          <xdr:cNvSpPr>
            <a:spLocks/>
          </xdr:cNvSpPr>
        </xdr:nvSpPr>
        <xdr:spPr bwMode="auto">
          <a:xfrm>
            <a:off x="1238" y="107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" name="Freeform 519">
            <a:extLst>
              <a:ext uri="{FF2B5EF4-FFF2-40B4-BE49-F238E27FC236}">
                <a16:creationId xmlns:a16="http://schemas.microsoft.com/office/drawing/2014/main" id="{A371433C-94BF-46A6-BA6B-7E041EC72AB4}"/>
              </a:ext>
            </a:extLst>
          </xdr:cNvPr>
          <xdr:cNvSpPr>
            <a:spLocks/>
          </xdr:cNvSpPr>
        </xdr:nvSpPr>
        <xdr:spPr bwMode="auto">
          <a:xfrm>
            <a:off x="1238" y="193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7" name="Freeform 520">
            <a:extLst>
              <a:ext uri="{FF2B5EF4-FFF2-40B4-BE49-F238E27FC236}">
                <a16:creationId xmlns:a16="http://schemas.microsoft.com/office/drawing/2014/main" id="{A06632B7-9418-41BE-B585-AA617ACB71DD}"/>
              </a:ext>
            </a:extLst>
          </xdr:cNvPr>
          <xdr:cNvSpPr>
            <a:spLocks/>
          </xdr:cNvSpPr>
        </xdr:nvSpPr>
        <xdr:spPr bwMode="auto">
          <a:xfrm>
            <a:off x="1208" y="153"/>
            <a:ext cx="3" cy="5"/>
          </a:xfrm>
          <a:custGeom>
            <a:avLst/>
            <a:gdLst>
              <a:gd name="T0" fmla="*/ 140 w 210"/>
              <a:gd name="T1" fmla="*/ 280 h 280"/>
              <a:gd name="T2" fmla="*/ 70 w 210"/>
              <a:gd name="T3" fmla="*/ 280 h 280"/>
              <a:gd name="T4" fmla="*/ 0 w 210"/>
              <a:gd name="T5" fmla="*/ 210 h 280"/>
              <a:gd name="T6" fmla="*/ 0 w 210"/>
              <a:gd name="T7" fmla="*/ 70 h 280"/>
              <a:gd name="T8" fmla="*/ 70 w 210"/>
              <a:gd name="T9" fmla="*/ 0 h 280"/>
              <a:gd name="T10" fmla="*/ 140 w 210"/>
              <a:gd name="T11" fmla="*/ 0 h 280"/>
              <a:gd name="T12" fmla="*/ 210 w 210"/>
              <a:gd name="T13" fmla="*/ 70 h 280"/>
              <a:gd name="T14" fmla="*/ 210 w 210"/>
              <a:gd name="T15" fmla="*/ 210 h 280"/>
              <a:gd name="T16" fmla="*/ 140 w 21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0">
                <a:moveTo>
                  <a:pt x="14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10" y="70"/>
                </a:lnTo>
                <a:lnTo>
                  <a:pt x="210" y="210"/>
                </a:lnTo>
                <a:lnTo>
                  <a:pt x="140" y="28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Line 521">
            <a:extLst>
              <a:ext uri="{FF2B5EF4-FFF2-40B4-BE49-F238E27FC236}">
                <a16:creationId xmlns:a16="http://schemas.microsoft.com/office/drawing/2014/main" id="{40732C1B-E0CC-4FDF-AFEA-80C39EF48405}"/>
              </a:ext>
            </a:extLst>
          </xdr:cNvPr>
          <xdr:cNvSpPr>
            <a:spLocks noChangeShapeType="1"/>
          </xdr:cNvSpPr>
        </xdr:nvSpPr>
        <xdr:spPr bwMode="auto">
          <a:xfrm>
            <a:off x="1211" y="157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522">
            <a:extLst>
              <a:ext uri="{FF2B5EF4-FFF2-40B4-BE49-F238E27FC236}">
                <a16:creationId xmlns:a16="http://schemas.microsoft.com/office/drawing/2014/main" id="{2708567C-26BE-44EF-AF98-2AC5AA00BB7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157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Freeform 523">
            <a:extLst>
              <a:ext uri="{FF2B5EF4-FFF2-40B4-BE49-F238E27FC236}">
                <a16:creationId xmlns:a16="http://schemas.microsoft.com/office/drawing/2014/main" id="{CC6C19F6-EFB2-4C86-BD34-473A0BD0ADE0}"/>
              </a:ext>
            </a:extLst>
          </xdr:cNvPr>
          <xdr:cNvSpPr>
            <a:spLocks/>
          </xdr:cNvSpPr>
        </xdr:nvSpPr>
        <xdr:spPr bwMode="auto">
          <a:xfrm>
            <a:off x="1217" y="151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1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1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Line 524">
            <a:extLst>
              <a:ext uri="{FF2B5EF4-FFF2-40B4-BE49-F238E27FC236}">
                <a16:creationId xmlns:a16="http://schemas.microsoft.com/office/drawing/2014/main" id="{987BE324-5885-4AA8-B0D3-2681B3FEDAB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151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Freeform 525">
            <a:extLst>
              <a:ext uri="{FF2B5EF4-FFF2-40B4-BE49-F238E27FC236}">
                <a16:creationId xmlns:a16="http://schemas.microsoft.com/office/drawing/2014/main" id="{5DDF5057-2819-40CD-82E7-58368ECB1518}"/>
              </a:ext>
            </a:extLst>
          </xdr:cNvPr>
          <xdr:cNvSpPr>
            <a:spLocks/>
          </xdr:cNvSpPr>
        </xdr:nvSpPr>
        <xdr:spPr bwMode="auto">
          <a:xfrm>
            <a:off x="1231" y="151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1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1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Line 526">
            <a:extLst>
              <a:ext uri="{FF2B5EF4-FFF2-40B4-BE49-F238E27FC236}">
                <a16:creationId xmlns:a16="http://schemas.microsoft.com/office/drawing/2014/main" id="{6FDB8A21-6B92-4463-91DA-FF7E7BF7E31D}"/>
              </a:ext>
            </a:extLst>
          </xdr:cNvPr>
          <xdr:cNvSpPr>
            <a:spLocks noChangeShapeType="1"/>
          </xdr:cNvSpPr>
        </xdr:nvSpPr>
        <xdr:spPr bwMode="auto">
          <a:xfrm>
            <a:off x="1239" y="153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527">
            <a:extLst>
              <a:ext uri="{FF2B5EF4-FFF2-40B4-BE49-F238E27FC236}">
                <a16:creationId xmlns:a16="http://schemas.microsoft.com/office/drawing/2014/main" id="{B6A5F518-F8D0-4A55-B326-06FD3C6BEA48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156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534">
            <a:extLst>
              <a:ext uri="{FF2B5EF4-FFF2-40B4-BE49-F238E27FC236}">
                <a16:creationId xmlns:a16="http://schemas.microsoft.com/office/drawing/2014/main" id="{4E16E86B-4B32-40B4-BD65-1B1C65654CD3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535">
            <a:extLst>
              <a:ext uri="{FF2B5EF4-FFF2-40B4-BE49-F238E27FC236}">
                <a16:creationId xmlns:a16="http://schemas.microsoft.com/office/drawing/2014/main" id="{47AADE62-338D-4539-B27D-D9885D01DFD2}"/>
              </a:ext>
            </a:extLst>
          </xdr:cNvPr>
          <xdr:cNvSpPr>
            <a:spLocks noChangeShapeType="1"/>
          </xdr:cNvSpPr>
        </xdr:nvSpPr>
        <xdr:spPr bwMode="auto">
          <a:xfrm>
            <a:off x="1226" y="296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536">
            <a:extLst>
              <a:ext uri="{FF2B5EF4-FFF2-40B4-BE49-F238E27FC236}">
                <a16:creationId xmlns:a16="http://schemas.microsoft.com/office/drawing/2014/main" id="{30B57BD8-C405-4F66-8C4E-57FE277D3029}"/>
              </a:ext>
            </a:extLst>
          </xdr:cNvPr>
          <xdr:cNvSpPr>
            <a:spLocks noChangeShapeType="1"/>
          </xdr:cNvSpPr>
        </xdr:nvSpPr>
        <xdr:spPr bwMode="auto">
          <a:xfrm>
            <a:off x="1240" y="211"/>
            <a:ext cx="0" cy="3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537">
            <a:extLst>
              <a:ext uri="{FF2B5EF4-FFF2-40B4-BE49-F238E27FC236}">
                <a16:creationId xmlns:a16="http://schemas.microsoft.com/office/drawing/2014/main" id="{A478FE70-576C-4B2B-8011-0E24B1220FBC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255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Freeform 538">
            <a:extLst>
              <a:ext uri="{FF2B5EF4-FFF2-40B4-BE49-F238E27FC236}">
                <a16:creationId xmlns:a16="http://schemas.microsoft.com/office/drawing/2014/main" id="{096AF79A-5C3C-44A2-AEC3-5C17D968B32F}"/>
              </a:ext>
            </a:extLst>
          </xdr:cNvPr>
          <xdr:cNvSpPr>
            <a:spLocks/>
          </xdr:cNvSpPr>
        </xdr:nvSpPr>
        <xdr:spPr bwMode="auto">
          <a:xfrm>
            <a:off x="123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0" name="Freeform 539">
            <a:extLst>
              <a:ext uri="{FF2B5EF4-FFF2-40B4-BE49-F238E27FC236}">
                <a16:creationId xmlns:a16="http://schemas.microsoft.com/office/drawing/2014/main" id="{7459B809-32EA-46D5-BE77-5A0A66F613B8}"/>
              </a:ext>
            </a:extLst>
          </xdr:cNvPr>
          <xdr:cNvSpPr>
            <a:spLocks/>
          </xdr:cNvSpPr>
        </xdr:nvSpPr>
        <xdr:spPr bwMode="auto">
          <a:xfrm>
            <a:off x="1238" y="288"/>
            <a:ext cx="3" cy="8"/>
          </a:xfrm>
          <a:custGeom>
            <a:avLst/>
            <a:gdLst>
              <a:gd name="T0" fmla="*/ 0 w 175"/>
              <a:gd name="T1" fmla="*/ 0 h 526"/>
              <a:gd name="T2" fmla="*/ 175 w 175"/>
              <a:gd name="T3" fmla="*/ 0 h 526"/>
              <a:gd name="T4" fmla="*/ 88 w 175"/>
              <a:gd name="T5" fmla="*/ 526 h 526"/>
              <a:gd name="T6" fmla="*/ 0 w 175"/>
              <a:gd name="T7" fmla="*/ 0 h 5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6">
                <a:moveTo>
                  <a:pt x="0" y="0"/>
                </a:moveTo>
                <a:lnTo>
                  <a:pt x="175" y="0"/>
                </a:lnTo>
                <a:lnTo>
                  <a:pt x="88" y="526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" name="Freeform 540">
            <a:extLst>
              <a:ext uri="{FF2B5EF4-FFF2-40B4-BE49-F238E27FC236}">
                <a16:creationId xmlns:a16="http://schemas.microsoft.com/office/drawing/2014/main" id="{4D229130-54AC-4C26-92FE-240E843E19B7}"/>
              </a:ext>
            </a:extLst>
          </xdr:cNvPr>
          <xdr:cNvSpPr>
            <a:spLocks/>
          </xdr:cNvSpPr>
        </xdr:nvSpPr>
        <xdr:spPr bwMode="auto">
          <a:xfrm>
            <a:off x="1208" y="248"/>
            <a:ext cx="3" cy="5"/>
          </a:xfrm>
          <a:custGeom>
            <a:avLst/>
            <a:gdLst>
              <a:gd name="T0" fmla="*/ 140 w 210"/>
              <a:gd name="T1" fmla="*/ 281 h 281"/>
              <a:gd name="T2" fmla="*/ 70 w 210"/>
              <a:gd name="T3" fmla="*/ 281 h 281"/>
              <a:gd name="T4" fmla="*/ 0 w 210"/>
              <a:gd name="T5" fmla="*/ 211 h 281"/>
              <a:gd name="T6" fmla="*/ 0 w 210"/>
              <a:gd name="T7" fmla="*/ 71 h 281"/>
              <a:gd name="T8" fmla="*/ 70 w 210"/>
              <a:gd name="T9" fmla="*/ 0 h 281"/>
              <a:gd name="T10" fmla="*/ 140 w 210"/>
              <a:gd name="T11" fmla="*/ 0 h 281"/>
              <a:gd name="T12" fmla="*/ 210 w 210"/>
              <a:gd name="T13" fmla="*/ 71 h 281"/>
              <a:gd name="T14" fmla="*/ 210 w 210"/>
              <a:gd name="T15" fmla="*/ 211 h 281"/>
              <a:gd name="T16" fmla="*/ 140 w 210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1">
                <a:moveTo>
                  <a:pt x="140" y="281"/>
                </a:moveTo>
                <a:lnTo>
                  <a:pt x="70" y="281"/>
                </a:lnTo>
                <a:lnTo>
                  <a:pt x="0" y="211"/>
                </a:lnTo>
                <a:lnTo>
                  <a:pt x="0" y="71"/>
                </a:lnTo>
                <a:lnTo>
                  <a:pt x="70" y="0"/>
                </a:lnTo>
                <a:lnTo>
                  <a:pt x="140" y="0"/>
                </a:lnTo>
                <a:lnTo>
                  <a:pt x="210" y="71"/>
                </a:lnTo>
                <a:lnTo>
                  <a:pt x="210" y="211"/>
                </a:lnTo>
                <a:lnTo>
                  <a:pt x="140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Line 541">
            <a:extLst>
              <a:ext uri="{FF2B5EF4-FFF2-40B4-BE49-F238E27FC236}">
                <a16:creationId xmlns:a16="http://schemas.microsoft.com/office/drawing/2014/main" id="{45C73FC3-3966-4BF4-9E08-D3D6E118E58A}"/>
              </a:ext>
            </a:extLst>
          </xdr:cNvPr>
          <xdr:cNvSpPr>
            <a:spLocks noChangeShapeType="1"/>
          </xdr:cNvSpPr>
        </xdr:nvSpPr>
        <xdr:spPr bwMode="auto">
          <a:xfrm>
            <a:off x="1211" y="252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542">
            <a:extLst>
              <a:ext uri="{FF2B5EF4-FFF2-40B4-BE49-F238E27FC236}">
                <a16:creationId xmlns:a16="http://schemas.microsoft.com/office/drawing/2014/main" id="{2903F391-6246-4668-A79F-52C405E53FEF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252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Freeform 543">
            <a:extLst>
              <a:ext uri="{FF2B5EF4-FFF2-40B4-BE49-F238E27FC236}">
                <a16:creationId xmlns:a16="http://schemas.microsoft.com/office/drawing/2014/main" id="{81E537A6-503C-4B80-8380-A8802BB90422}"/>
              </a:ext>
            </a:extLst>
          </xdr:cNvPr>
          <xdr:cNvSpPr>
            <a:spLocks/>
          </xdr:cNvSpPr>
        </xdr:nvSpPr>
        <xdr:spPr bwMode="auto">
          <a:xfrm>
            <a:off x="1217" y="246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0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0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544">
            <a:extLst>
              <a:ext uri="{FF2B5EF4-FFF2-40B4-BE49-F238E27FC236}">
                <a16:creationId xmlns:a16="http://schemas.microsoft.com/office/drawing/2014/main" id="{75F5B595-3320-4EA1-B3AF-8BF72D82B5C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246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Freeform 545">
            <a:extLst>
              <a:ext uri="{FF2B5EF4-FFF2-40B4-BE49-F238E27FC236}">
                <a16:creationId xmlns:a16="http://schemas.microsoft.com/office/drawing/2014/main" id="{253786C6-4458-4201-BED7-F8E58366DF77}"/>
              </a:ext>
            </a:extLst>
          </xdr:cNvPr>
          <xdr:cNvSpPr>
            <a:spLocks/>
          </xdr:cNvSpPr>
        </xdr:nvSpPr>
        <xdr:spPr bwMode="auto">
          <a:xfrm>
            <a:off x="1231" y="246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0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0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7" name="Line 546">
            <a:extLst>
              <a:ext uri="{FF2B5EF4-FFF2-40B4-BE49-F238E27FC236}">
                <a16:creationId xmlns:a16="http://schemas.microsoft.com/office/drawing/2014/main" id="{8182F5E9-00F9-43F9-B870-25E55BAA1A15}"/>
              </a:ext>
            </a:extLst>
          </xdr:cNvPr>
          <xdr:cNvSpPr>
            <a:spLocks noChangeShapeType="1"/>
          </xdr:cNvSpPr>
        </xdr:nvSpPr>
        <xdr:spPr bwMode="auto">
          <a:xfrm>
            <a:off x="1239" y="248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547">
            <a:extLst>
              <a:ext uri="{FF2B5EF4-FFF2-40B4-BE49-F238E27FC236}">
                <a16:creationId xmlns:a16="http://schemas.microsoft.com/office/drawing/2014/main" id="{C9B1E0B3-A330-48A6-9FB9-45D2B9A2AD3E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250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554">
            <a:extLst>
              <a:ext uri="{FF2B5EF4-FFF2-40B4-BE49-F238E27FC236}">
                <a16:creationId xmlns:a16="http://schemas.microsoft.com/office/drawing/2014/main" id="{6F2E052E-9937-4FB4-9167-CCB53B22204A}"/>
              </a:ext>
            </a:extLst>
          </xdr:cNvPr>
          <xdr:cNvSpPr>
            <a:spLocks noChangeShapeType="1"/>
          </xdr:cNvSpPr>
        </xdr:nvSpPr>
        <xdr:spPr bwMode="auto">
          <a:xfrm>
            <a:off x="1192" y="238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555">
            <a:extLst>
              <a:ext uri="{FF2B5EF4-FFF2-40B4-BE49-F238E27FC236}">
                <a16:creationId xmlns:a16="http://schemas.microsoft.com/office/drawing/2014/main" id="{2586E96F-1A1E-47A7-8FCF-A2120562E8CA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56">
            <a:extLst>
              <a:ext uri="{FF2B5EF4-FFF2-40B4-BE49-F238E27FC236}">
                <a16:creationId xmlns:a16="http://schemas.microsoft.com/office/drawing/2014/main" id="{9DF032EE-0083-4264-B16E-AF35164DB9DB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9" y="226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57">
            <a:extLst>
              <a:ext uri="{FF2B5EF4-FFF2-40B4-BE49-F238E27FC236}">
                <a16:creationId xmlns:a16="http://schemas.microsoft.com/office/drawing/2014/main" id="{64F30EF6-91DF-4A18-98C4-EFC363862C8B}"/>
              </a:ext>
            </a:extLst>
          </xdr:cNvPr>
          <xdr:cNvSpPr>
            <a:spLocks noChangeShapeType="1"/>
          </xdr:cNvSpPr>
        </xdr:nvSpPr>
        <xdr:spPr bwMode="auto">
          <a:xfrm>
            <a:off x="1209" y="211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558">
            <a:extLst>
              <a:ext uri="{FF2B5EF4-FFF2-40B4-BE49-F238E27FC236}">
                <a16:creationId xmlns:a16="http://schemas.microsoft.com/office/drawing/2014/main" id="{5C8AFC93-3F6F-4F36-9677-DDF6CBCE338C}"/>
              </a:ext>
            </a:extLst>
          </xdr:cNvPr>
          <xdr:cNvSpPr>
            <a:spLocks/>
          </xdr:cNvSpPr>
        </xdr:nvSpPr>
        <xdr:spPr bwMode="auto">
          <a:xfrm>
            <a:off x="1208" y="229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4" name="Freeform 559">
            <a:extLst>
              <a:ext uri="{FF2B5EF4-FFF2-40B4-BE49-F238E27FC236}">
                <a16:creationId xmlns:a16="http://schemas.microsoft.com/office/drawing/2014/main" id="{7DDAEEB7-104E-4958-8B1F-D8875142C37B}"/>
              </a:ext>
            </a:extLst>
          </xdr:cNvPr>
          <xdr:cNvSpPr>
            <a:spLocks/>
          </xdr:cNvSpPr>
        </xdr:nvSpPr>
        <xdr:spPr bwMode="auto">
          <a:xfrm>
            <a:off x="120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" name="Line 564">
            <a:extLst>
              <a:ext uri="{FF2B5EF4-FFF2-40B4-BE49-F238E27FC236}">
                <a16:creationId xmlns:a16="http://schemas.microsoft.com/office/drawing/2014/main" id="{B87DF21E-328B-4D7D-93DE-0F0821D65129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38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65">
            <a:extLst>
              <a:ext uri="{FF2B5EF4-FFF2-40B4-BE49-F238E27FC236}">
                <a16:creationId xmlns:a16="http://schemas.microsoft.com/office/drawing/2014/main" id="{F069E59C-983E-4A4A-A263-96C793861C93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02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66">
            <a:extLst>
              <a:ext uri="{FF2B5EF4-FFF2-40B4-BE49-F238E27FC236}">
                <a16:creationId xmlns:a16="http://schemas.microsoft.com/office/drawing/2014/main" id="{45568F9F-3BA1-4161-841E-3FFE5F564BEB}"/>
              </a:ext>
            </a:extLst>
          </xdr:cNvPr>
          <xdr:cNvSpPr>
            <a:spLocks noChangeShapeType="1"/>
          </xdr:cNvSpPr>
        </xdr:nvSpPr>
        <xdr:spPr bwMode="auto">
          <a:xfrm flipV="1">
            <a:off x="793" y="228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567">
            <a:extLst>
              <a:ext uri="{FF2B5EF4-FFF2-40B4-BE49-F238E27FC236}">
                <a16:creationId xmlns:a16="http://schemas.microsoft.com/office/drawing/2014/main" id="{76DA760F-0BCE-4154-BEE9-51FB4C629893}"/>
              </a:ext>
            </a:extLst>
          </xdr:cNvPr>
          <xdr:cNvSpPr>
            <a:spLocks noChangeShapeType="1"/>
          </xdr:cNvSpPr>
        </xdr:nvSpPr>
        <xdr:spPr bwMode="auto">
          <a:xfrm>
            <a:off x="793" y="211"/>
            <a:ext cx="0" cy="5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Freeform 568">
            <a:extLst>
              <a:ext uri="{FF2B5EF4-FFF2-40B4-BE49-F238E27FC236}">
                <a16:creationId xmlns:a16="http://schemas.microsoft.com/office/drawing/2014/main" id="{C777B881-E317-4495-8BC8-4CB65C251D27}"/>
              </a:ext>
            </a:extLst>
          </xdr:cNvPr>
          <xdr:cNvSpPr>
            <a:spLocks/>
          </xdr:cNvSpPr>
        </xdr:nvSpPr>
        <xdr:spPr bwMode="auto">
          <a:xfrm>
            <a:off x="791" y="229"/>
            <a:ext cx="3" cy="9"/>
          </a:xfrm>
          <a:custGeom>
            <a:avLst/>
            <a:gdLst>
              <a:gd name="T0" fmla="*/ 0 w 176"/>
              <a:gd name="T1" fmla="*/ 0 h 527"/>
              <a:gd name="T2" fmla="*/ 176 w 176"/>
              <a:gd name="T3" fmla="*/ 0 h 527"/>
              <a:gd name="T4" fmla="*/ 89 w 176"/>
              <a:gd name="T5" fmla="*/ 527 h 527"/>
              <a:gd name="T6" fmla="*/ 0 w 176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0"/>
                </a:moveTo>
                <a:lnTo>
                  <a:pt x="176" y="0"/>
                </a:lnTo>
                <a:lnTo>
                  <a:pt x="89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0" name="Freeform 569">
            <a:extLst>
              <a:ext uri="{FF2B5EF4-FFF2-40B4-BE49-F238E27FC236}">
                <a16:creationId xmlns:a16="http://schemas.microsoft.com/office/drawing/2014/main" id="{17739BE0-D066-4068-95A3-22224EC0BE02}"/>
              </a:ext>
            </a:extLst>
          </xdr:cNvPr>
          <xdr:cNvSpPr>
            <a:spLocks/>
          </xdr:cNvSpPr>
        </xdr:nvSpPr>
        <xdr:spPr bwMode="auto">
          <a:xfrm>
            <a:off x="791" y="202"/>
            <a:ext cx="3" cy="9"/>
          </a:xfrm>
          <a:custGeom>
            <a:avLst/>
            <a:gdLst>
              <a:gd name="T0" fmla="*/ 0 w 176"/>
              <a:gd name="T1" fmla="*/ 527 h 527"/>
              <a:gd name="T2" fmla="*/ 176 w 176"/>
              <a:gd name="T3" fmla="*/ 527 h 527"/>
              <a:gd name="T4" fmla="*/ 89 w 176"/>
              <a:gd name="T5" fmla="*/ 0 h 527"/>
              <a:gd name="T6" fmla="*/ 0 w 176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527"/>
                </a:moveTo>
                <a:lnTo>
                  <a:pt x="176" y="527"/>
                </a:lnTo>
                <a:lnTo>
                  <a:pt x="89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1" name="Freeform 570">
            <a:extLst>
              <a:ext uri="{FF2B5EF4-FFF2-40B4-BE49-F238E27FC236}">
                <a16:creationId xmlns:a16="http://schemas.microsoft.com/office/drawing/2014/main" id="{11EF089D-16CC-4B4E-BBB6-71D30B30B959}"/>
              </a:ext>
            </a:extLst>
          </xdr:cNvPr>
          <xdr:cNvSpPr>
            <a:spLocks/>
          </xdr:cNvSpPr>
        </xdr:nvSpPr>
        <xdr:spPr bwMode="auto">
          <a:xfrm>
            <a:off x="760" y="221"/>
            <a:ext cx="4" cy="5"/>
          </a:xfrm>
          <a:custGeom>
            <a:avLst/>
            <a:gdLst>
              <a:gd name="T0" fmla="*/ 141 w 211"/>
              <a:gd name="T1" fmla="*/ 281 h 281"/>
              <a:gd name="T2" fmla="*/ 71 w 211"/>
              <a:gd name="T3" fmla="*/ 281 h 281"/>
              <a:gd name="T4" fmla="*/ 0 w 211"/>
              <a:gd name="T5" fmla="*/ 210 h 281"/>
              <a:gd name="T6" fmla="*/ 0 w 211"/>
              <a:gd name="T7" fmla="*/ 70 h 281"/>
              <a:gd name="T8" fmla="*/ 71 w 211"/>
              <a:gd name="T9" fmla="*/ 0 h 281"/>
              <a:gd name="T10" fmla="*/ 141 w 211"/>
              <a:gd name="T11" fmla="*/ 0 h 281"/>
              <a:gd name="T12" fmla="*/ 211 w 211"/>
              <a:gd name="T13" fmla="*/ 70 h 281"/>
              <a:gd name="T14" fmla="*/ 211 w 211"/>
              <a:gd name="T15" fmla="*/ 210 h 281"/>
              <a:gd name="T16" fmla="*/ 141 w 21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1" h="281">
                <a:moveTo>
                  <a:pt x="141" y="281"/>
                </a:moveTo>
                <a:lnTo>
                  <a:pt x="71" y="281"/>
                </a:lnTo>
                <a:lnTo>
                  <a:pt x="0" y="210"/>
                </a:lnTo>
                <a:lnTo>
                  <a:pt x="0" y="70"/>
                </a:lnTo>
                <a:lnTo>
                  <a:pt x="71" y="0"/>
                </a:lnTo>
                <a:lnTo>
                  <a:pt x="141" y="0"/>
                </a:lnTo>
                <a:lnTo>
                  <a:pt x="211" y="70"/>
                </a:lnTo>
                <a:lnTo>
                  <a:pt x="211" y="210"/>
                </a:lnTo>
                <a:lnTo>
                  <a:pt x="141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2" name="Line 571">
            <a:extLst>
              <a:ext uri="{FF2B5EF4-FFF2-40B4-BE49-F238E27FC236}">
                <a16:creationId xmlns:a16="http://schemas.microsoft.com/office/drawing/2014/main" id="{DE37F2FF-5D9F-4516-AECC-118C88B7FE4D}"/>
              </a:ext>
            </a:extLst>
          </xdr:cNvPr>
          <xdr:cNvSpPr>
            <a:spLocks noChangeShapeType="1"/>
          </xdr:cNvSpPr>
        </xdr:nvSpPr>
        <xdr:spPr bwMode="auto">
          <a:xfrm>
            <a:off x="764" y="224"/>
            <a:ext cx="1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572">
            <a:extLst>
              <a:ext uri="{FF2B5EF4-FFF2-40B4-BE49-F238E27FC236}">
                <a16:creationId xmlns:a16="http://schemas.microsoft.com/office/drawing/2014/main" id="{9AA2B7E3-3D8F-4D05-AE14-9376DDEBEF3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8" y="224"/>
            <a:ext cx="0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573">
            <a:extLst>
              <a:ext uri="{FF2B5EF4-FFF2-40B4-BE49-F238E27FC236}">
                <a16:creationId xmlns:a16="http://schemas.microsoft.com/office/drawing/2014/main" id="{81BDBE02-692E-407A-8CE2-F958B8C9B693}"/>
              </a:ext>
            </a:extLst>
          </xdr:cNvPr>
          <xdr:cNvSpPr>
            <a:spLocks noChangeShapeType="1"/>
          </xdr:cNvSpPr>
        </xdr:nvSpPr>
        <xdr:spPr bwMode="auto">
          <a:xfrm flipV="1">
            <a:off x="770" y="219"/>
            <a:ext cx="0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Freeform 574">
            <a:extLst>
              <a:ext uri="{FF2B5EF4-FFF2-40B4-BE49-F238E27FC236}">
                <a16:creationId xmlns:a16="http://schemas.microsoft.com/office/drawing/2014/main" id="{29A6ECC7-A99A-4B99-96B0-871920EB4DE4}"/>
              </a:ext>
            </a:extLst>
          </xdr:cNvPr>
          <xdr:cNvSpPr>
            <a:spLocks/>
          </xdr:cNvSpPr>
        </xdr:nvSpPr>
        <xdr:spPr bwMode="auto">
          <a:xfrm>
            <a:off x="770" y="221"/>
            <a:ext cx="5" cy="5"/>
          </a:xfrm>
          <a:custGeom>
            <a:avLst/>
            <a:gdLst>
              <a:gd name="T0" fmla="*/ 0 w 281"/>
              <a:gd name="T1" fmla="*/ 140 h 281"/>
              <a:gd name="T2" fmla="*/ 140 w 281"/>
              <a:gd name="T3" fmla="*/ 0 h 281"/>
              <a:gd name="T4" fmla="*/ 210 w 281"/>
              <a:gd name="T5" fmla="*/ 0 h 281"/>
              <a:gd name="T6" fmla="*/ 281 w 281"/>
              <a:gd name="T7" fmla="*/ 70 h 281"/>
              <a:gd name="T8" fmla="*/ 281 w 281"/>
              <a:gd name="T9" fmla="*/ 210 h 281"/>
              <a:gd name="T10" fmla="*/ 210 w 281"/>
              <a:gd name="T11" fmla="*/ 281 h 281"/>
              <a:gd name="T12" fmla="*/ 140 w 281"/>
              <a:gd name="T13" fmla="*/ 281 h 281"/>
              <a:gd name="T14" fmla="*/ 0 w 281"/>
              <a:gd name="T15" fmla="*/ 140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1"/>
                </a:lnTo>
                <a:lnTo>
                  <a:pt x="140" y="281"/>
                </a:lnTo>
                <a:lnTo>
                  <a:pt x="0" y="14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Line 575">
            <a:extLst>
              <a:ext uri="{FF2B5EF4-FFF2-40B4-BE49-F238E27FC236}">
                <a16:creationId xmlns:a16="http://schemas.microsoft.com/office/drawing/2014/main" id="{319DD9F4-9C39-4AAE-86A5-0A552BFCACE6}"/>
              </a:ext>
            </a:extLst>
          </xdr:cNvPr>
          <xdr:cNvSpPr>
            <a:spLocks noChangeShapeType="1"/>
          </xdr:cNvSpPr>
        </xdr:nvSpPr>
        <xdr:spPr bwMode="auto">
          <a:xfrm flipV="1">
            <a:off x="777" y="219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Freeform 576">
            <a:extLst>
              <a:ext uri="{FF2B5EF4-FFF2-40B4-BE49-F238E27FC236}">
                <a16:creationId xmlns:a16="http://schemas.microsoft.com/office/drawing/2014/main" id="{DFF08A78-FD71-4143-9A9E-87DF149B3DC8}"/>
              </a:ext>
            </a:extLst>
          </xdr:cNvPr>
          <xdr:cNvSpPr>
            <a:spLocks/>
          </xdr:cNvSpPr>
        </xdr:nvSpPr>
        <xdr:spPr bwMode="auto">
          <a:xfrm>
            <a:off x="784" y="219"/>
            <a:ext cx="5" cy="7"/>
          </a:xfrm>
          <a:custGeom>
            <a:avLst/>
            <a:gdLst>
              <a:gd name="T0" fmla="*/ 0 w 280"/>
              <a:gd name="T1" fmla="*/ 71 h 422"/>
              <a:gd name="T2" fmla="*/ 70 w 280"/>
              <a:gd name="T3" fmla="*/ 0 h 422"/>
              <a:gd name="T4" fmla="*/ 210 w 280"/>
              <a:gd name="T5" fmla="*/ 0 h 422"/>
              <a:gd name="T6" fmla="*/ 280 w 280"/>
              <a:gd name="T7" fmla="*/ 71 h 422"/>
              <a:gd name="T8" fmla="*/ 280 w 280"/>
              <a:gd name="T9" fmla="*/ 141 h 422"/>
              <a:gd name="T10" fmla="*/ 210 w 280"/>
              <a:gd name="T11" fmla="*/ 211 h 422"/>
              <a:gd name="T12" fmla="*/ 70 w 280"/>
              <a:gd name="T13" fmla="*/ 211 h 422"/>
              <a:gd name="T14" fmla="*/ 0 w 280"/>
              <a:gd name="T15" fmla="*/ 281 h 422"/>
              <a:gd name="T16" fmla="*/ 0 w 280"/>
              <a:gd name="T17" fmla="*/ 422 h 422"/>
              <a:gd name="T18" fmla="*/ 280 w 280"/>
              <a:gd name="T19" fmla="*/ 42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0" h="422">
                <a:moveTo>
                  <a:pt x="0" y="71"/>
                </a:move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141"/>
                </a:lnTo>
                <a:lnTo>
                  <a:pt x="210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2"/>
                </a:lnTo>
                <a:lnTo>
                  <a:pt x="280" y="422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Line 577">
            <a:extLst>
              <a:ext uri="{FF2B5EF4-FFF2-40B4-BE49-F238E27FC236}">
                <a16:creationId xmlns:a16="http://schemas.microsoft.com/office/drawing/2014/main" id="{EEFBDFBE-1209-4F86-BCDF-C3AC1428DD0E}"/>
              </a:ext>
            </a:extLst>
          </xdr:cNvPr>
          <xdr:cNvSpPr>
            <a:spLocks noChangeShapeType="1"/>
          </xdr:cNvSpPr>
        </xdr:nvSpPr>
        <xdr:spPr bwMode="auto">
          <a:xfrm>
            <a:off x="791" y="221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578">
            <a:extLst>
              <a:ext uri="{FF2B5EF4-FFF2-40B4-BE49-F238E27FC236}">
                <a16:creationId xmlns:a16="http://schemas.microsoft.com/office/drawing/2014/main" id="{A3EBF0D2-13CF-4EE0-9334-9630A64A42EB}"/>
              </a:ext>
            </a:extLst>
          </xdr:cNvPr>
          <xdr:cNvSpPr>
            <a:spLocks noChangeShapeType="1"/>
          </xdr:cNvSpPr>
        </xdr:nvSpPr>
        <xdr:spPr bwMode="auto">
          <a:xfrm flipH="1">
            <a:off x="791" y="223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Freeform 586">
            <a:extLst>
              <a:ext uri="{FF2B5EF4-FFF2-40B4-BE49-F238E27FC236}">
                <a16:creationId xmlns:a16="http://schemas.microsoft.com/office/drawing/2014/main" id="{7D232AA8-DF5E-4C95-BE6E-74846FD40751}"/>
              </a:ext>
            </a:extLst>
          </xdr:cNvPr>
          <xdr:cNvSpPr>
            <a:spLocks/>
          </xdr:cNvSpPr>
        </xdr:nvSpPr>
        <xdr:spPr bwMode="auto">
          <a:xfrm>
            <a:off x="1201" y="96"/>
            <a:ext cx="4" cy="4"/>
          </a:xfrm>
          <a:custGeom>
            <a:avLst/>
            <a:gdLst>
              <a:gd name="T0" fmla="*/ 0 w 282"/>
              <a:gd name="T1" fmla="*/ 210 h 210"/>
              <a:gd name="T2" fmla="*/ 212 w 282"/>
              <a:gd name="T3" fmla="*/ 210 h 210"/>
              <a:gd name="T4" fmla="*/ 282 w 282"/>
              <a:gd name="T5" fmla="*/ 140 h 210"/>
              <a:gd name="T6" fmla="*/ 282 w 282"/>
              <a:gd name="T7" fmla="*/ 70 h 210"/>
              <a:gd name="T8" fmla="*/ 212 w 282"/>
              <a:gd name="T9" fmla="*/ 0 h 210"/>
              <a:gd name="T10" fmla="*/ 70 w 282"/>
              <a:gd name="T11" fmla="*/ 0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2" h="210">
                <a:moveTo>
                  <a:pt x="0" y="210"/>
                </a:moveTo>
                <a:lnTo>
                  <a:pt x="212" y="210"/>
                </a:lnTo>
                <a:lnTo>
                  <a:pt x="282" y="140"/>
                </a:lnTo>
                <a:lnTo>
                  <a:pt x="282" y="70"/>
                </a:lnTo>
                <a:lnTo>
                  <a:pt x="212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Freeform 587">
            <a:extLst>
              <a:ext uri="{FF2B5EF4-FFF2-40B4-BE49-F238E27FC236}">
                <a16:creationId xmlns:a16="http://schemas.microsoft.com/office/drawing/2014/main" id="{B0CE7935-7CD0-45EE-8F14-DEA1433556A4}"/>
              </a:ext>
            </a:extLst>
          </xdr:cNvPr>
          <xdr:cNvSpPr>
            <a:spLocks/>
          </xdr:cNvSpPr>
        </xdr:nvSpPr>
        <xdr:spPr bwMode="auto">
          <a:xfrm>
            <a:off x="1201" y="93"/>
            <a:ext cx="4" cy="3"/>
          </a:xfrm>
          <a:custGeom>
            <a:avLst/>
            <a:gdLst>
              <a:gd name="T0" fmla="*/ 212 w 282"/>
              <a:gd name="T1" fmla="*/ 211 h 211"/>
              <a:gd name="T2" fmla="*/ 282 w 282"/>
              <a:gd name="T3" fmla="*/ 141 h 211"/>
              <a:gd name="T4" fmla="*/ 282 w 282"/>
              <a:gd name="T5" fmla="*/ 70 h 211"/>
              <a:gd name="T6" fmla="*/ 212 w 282"/>
              <a:gd name="T7" fmla="*/ 0 h 211"/>
              <a:gd name="T8" fmla="*/ 0 w 282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2" h="211">
                <a:moveTo>
                  <a:pt x="212" y="211"/>
                </a:moveTo>
                <a:lnTo>
                  <a:pt x="282" y="141"/>
                </a:lnTo>
                <a:lnTo>
                  <a:pt x="282" y="70"/>
                </a:lnTo>
                <a:lnTo>
                  <a:pt x="212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Line 588">
            <a:extLst>
              <a:ext uri="{FF2B5EF4-FFF2-40B4-BE49-F238E27FC236}">
                <a16:creationId xmlns:a16="http://schemas.microsoft.com/office/drawing/2014/main" id="{7471E510-D410-4273-9741-A48755F459DB}"/>
              </a:ext>
            </a:extLst>
          </xdr:cNvPr>
          <xdr:cNvSpPr>
            <a:spLocks noChangeShapeType="1"/>
          </xdr:cNvSpPr>
        </xdr:nvSpPr>
        <xdr:spPr bwMode="auto">
          <a:xfrm>
            <a:off x="1202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Freeform 589">
            <a:extLst>
              <a:ext uri="{FF2B5EF4-FFF2-40B4-BE49-F238E27FC236}">
                <a16:creationId xmlns:a16="http://schemas.microsoft.com/office/drawing/2014/main" id="{90738041-5305-40AC-B994-7889C9CDAE84}"/>
              </a:ext>
            </a:extLst>
          </xdr:cNvPr>
          <xdr:cNvSpPr>
            <a:spLocks/>
          </xdr:cNvSpPr>
        </xdr:nvSpPr>
        <xdr:spPr bwMode="auto">
          <a:xfrm>
            <a:off x="1208" y="95"/>
            <a:ext cx="5" cy="5"/>
          </a:xfrm>
          <a:custGeom>
            <a:avLst/>
            <a:gdLst>
              <a:gd name="T0" fmla="*/ 210 w 281"/>
              <a:gd name="T1" fmla="*/ 280 h 280"/>
              <a:gd name="T2" fmla="*/ 70 w 281"/>
              <a:gd name="T3" fmla="*/ 280 h 280"/>
              <a:gd name="T4" fmla="*/ 0 w 281"/>
              <a:gd name="T5" fmla="*/ 210 h 280"/>
              <a:gd name="T6" fmla="*/ 0 w 281"/>
              <a:gd name="T7" fmla="*/ 70 h 280"/>
              <a:gd name="T8" fmla="*/ 70 w 281"/>
              <a:gd name="T9" fmla="*/ 0 h 280"/>
              <a:gd name="T10" fmla="*/ 210 w 281"/>
              <a:gd name="T11" fmla="*/ 0 h 280"/>
              <a:gd name="T12" fmla="*/ 281 w 281"/>
              <a:gd name="T13" fmla="*/ 70 h 280"/>
              <a:gd name="T14" fmla="*/ 281 w 281"/>
              <a:gd name="T15" fmla="*/ 210 h 280"/>
              <a:gd name="T16" fmla="*/ 210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Line 590">
            <a:extLst>
              <a:ext uri="{FF2B5EF4-FFF2-40B4-BE49-F238E27FC236}">
                <a16:creationId xmlns:a16="http://schemas.microsoft.com/office/drawing/2014/main" id="{2FDD1787-CBCB-4145-B02A-666B67DA2D5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Freeform 591">
            <a:extLst>
              <a:ext uri="{FF2B5EF4-FFF2-40B4-BE49-F238E27FC236}">
                <a16:creationId xmlns:a16="http://schemas.microsoft.com/office/drawing/2014/main" id="{61063542-ED53-4C0E-9D6C-4C0E7147CB34}"/>
              </a:ext>
            </a:extLst>
          </xdr:cNvPr>
          <xdr:cNvSpPr>
            <a:spLocks/>
          </xdr:cNvSpPr>
        </xdr:nvSpPr>
        <xdr:spPr bwMode="auto">
          <a:xfrm>
            <a:off x="1215" y="95"/>
            <a:ext cx="5" cy="3"/>
          </a:xfrm>
          <a:custGeom>
            <a:avLst/>
            <a:gdLst>
              <a:gd name="T0" fmla="*/ 0 w 281"/>
              <a:gd name="T1" fmla="*/ 140 h 140"/>
              <a:gd name="T2" fmla="*/ 140 w 281"/>
              <a:gd name="T3" fmla="*/ 0 h 140"/>
              <a:gd name="T4" fmla="*/ 210 w 281"/>
              <a:gd name="T5" fmla="*/ 0 h 140"/>
              <a:gd name="T6" fmla="*/ 281 w 281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1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6" name="Freeform 592">
            <a:extLst>
              <a:ext uri="{FF2B5EF4-FFF2-40B4-BE49-F238E27FC236}">
                <a16:creationId xmlns:a16="http://schemas.microsoft.com/office/drawing/2014/main" id="{CED48A08-2B05-4227-A47E-CD734A75B7EA}"/>
              </a:ext>
            </a:extLst>
          </xdr:cNvPr>
          <xdr:cNvSpPr>
            <a:spLocks/>
          </xdr:cNvSpPr>
        </xdr:nvSpPr>
        <xdr:spPr bwMode="auto">
          <a:xfrm>
            <a:off x="1222" y="95"/>
            <a:ext cx="5" cy="5"/>
          </a:xfrm>
          <a:custGeom>
            <a:avLst/>
            <a:gdLst>
              <a:gd name="T0" fmla="*/ 280 w 280"/>
              <a:gd name="T1" fmla="*/ 140 h 280"/>
              <a:gd name="T2" fmla="*/ 140 w 280"/>
              <a:gd name="T3" fmla="*/ 280 h 280"/>
              <a:gd name="T4" fmla="*/ 70 w 280"/>
              <a:gd name="T5" fmla="*/ 280 h 280"/>
              <a:gd name="T6" fmla="*/ 0 w 280"/>
              <a:gd name="T7" fmla="*/ 210 h 280"/>
              <a:gd name="T8" fmla="*/ 0 w 280"/>
              <a:gd name="T9" fmla="*/ 70 h 280"/>
              <a:gd name="T10" fmla="*/ 70 w 280"/>
              <a:gd name="T11" fmla="*/ 0 h 280"/>
              <a:gd name="T12" fmla="*/ 140 w 280"/>
              <a:gd name="T13" fmla="*/ 0 h 280"/>
              <a:gd name="T14" fmla="*/ 280 w 280"/>
              <a:gd name="T15" fmla="*/ 14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0" h="280">
                <a:moveTo>
                  <a:pt x="280" y="140"/>
                </a:moveTo>
                <a:lnTo>
                  <a:pt x="140" y="280"/>
                </a:ln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80" y="14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593">
            <a:extLst>
              <a:ext uri="{FF2B5EF4-FFF2-40B4-BE49-F238E27FC236}">
                <a16:creationId xmlns:a16="http://schemas.microsoft.com/office/drawing/2014/main" id="{67AF2DF7-0611-4FAE-B230-288B82865B38}"/>
              </a:ext>
            </a:extLst>
          </xdr:cNvPr>
          <xdr:cNvSpPr>
            <a:spLocks noChangeShapeType="1"/>
          </xdr:cNvSpPr>
        </xdr:nvSpPr>
        <xdr:spPr bwMode="auto">
          <a:xfrm>
            <a:off x="1227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Freeform 594">
            <a:extLst>
              <a:ext uri="{FF2B5EF4-FFF2-40B4-BE49-F238E27FC236}">
                <a16:creationId xmlns:a16="http://schemas.microsoft.com/office/drawing/2014/main" id="{04169B6B-5EBC-422F-9F41-E578BAEB8C08}"/>
              </a:ext>
            </a:extLst>
          </xdr:cNvPr>
          <xdr:cNvSpPr>
            <a:spLocks/>
          </xdr:cNvSpPr>
        </xdr:nvSpPr>
        <xdr:spPr bwMode="auto">
          <a:xfrm>
            <a:off x="1229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" name="Freeform 595">
            <a:extLst>
              <a:ext uri="{FF2B5EF4-FFF2-40B4-BE49-F238E27FC236}">
                <a16:creationId xmlns:a16="http://schemas.microsoft.com/office/drawing/2014/main" id="{96801B28-A268-457A-8E7D-48C4B49F7AFF}"/>
              </a:ext>
            </a:extLst>
          </xdr:cNvPr>
          <xdr:cNvSpPr>
            <a:spLocks/>
          </xdr:cNvSpPr>
        </xdr:nvSpPr>
        <xdr:spPr bwMode="auto">
          <a:xfrm>
            <a:off x="1244" y="95"/>
            <a:ext cx="4" cy="5"/>
          </a:xfrm>
          <a:custGeom>
            <a:avLst/>
            <a:gdLst>
              <a:gd name="T0" fmla="*/ 0 w 281"/>
              <a:gd name="T1" fmla="*/ 140 h 280"/>
              <a:gd name="T2" fmla="*/ 211 w 281"/>
              <a:gd name="T3" fmla="*/ 140 h 280"/>
              <a:gd name="T4" fmla="*/ 281 w 281"/>
              <a:gd name="T5" fmla="*/ 70 h 280"/>
              <a:gd name="T6" fmla="*/ 211 w 281"/>
              <a:gd name="T7" fmla="*/ 0 h 280"/>
              <a:gd name="T8" fmla="*/ 70 w 281"/>
              <a:gd name="T9" fmla="*/ 0 h 280"/>
              <a:gd name="T10" fmla="*/ 0 w 281"/>
              <a:gd name="T11" fmla="*/ 70 h 280"/>
              <a:gd name="T12" fmla="*/ 0 w 281"/>
              <a:gd name="T13" fmla="*/ 210 h 280"/>
              <a:gd name="T14" fmla="*/ 70 w 281"/>
              <a:gd name="T15" fmla="*/ 280 h 280"/>
              <a:gd name="T16" fmla="*/ 211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0" y="140"/>
                </a:moveTo>
                <a:lnTo>
                  <a:pt x="211" y="140"/>
                </a:lnTo>
                <a:lnTo>
                  <a:pt x="281" y="70"/>
                </a:lnTo>
                <a:lnTo>
                  <a:pt x="211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1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0" name="Line 596">
            <a:extLst>
              <a:ext uri="{FF2B5EF4-FFF2-40B4-BE49-F238E27FC236}">
                <a16:creationId xmlns:a16="http://schemas.microsoft.com/office/drawing/2014/main" id="{5A4D4503-FEFA-4B22-84EE-BE77D1BACDBD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597">
            <a:extLst>
              <a:ext uri="{FF2B5EF4-FFF2-40B4-BE49-F238E27FC236}">
                <a16:creationId xmlns:a16="http://schemas.microsoft.com/office/drawing/2014/main" id="{DC21603B-19D7-4A6C-87ED-887B1A0879F3}"/>
              </a:ext>
            </a:extLst>
          </xdr:cNvPr>
          <xdr:cNvSpPr>
            <a:spLocks noChangeShapeType="1"/>
          </xdr:cNvSpPr>
        </xdr:nvSpPr>
        <xdr:spPr bwMode="auto">
          <a:xfrm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598">
            <a:extLst>
              <a:ext uri="{FF2B5EF4-FFF2-40B4-BE49-F238E27FC236}">
                <a16:creationId xmlns:a16="http://schemas.microsoft.com/office/drawing/2014/main" id="{BEB07580-06A5-499D-8F54-E51145F2A7E3}"/>
              </a:ext>
            </a:extLst>
          </xdr:cNvPr>
          <xdr:cNvSpPr>
            <a:spLocks noChangeShapeType="1"/>
          </xdr:cNvSpPr>
        </xdr:nvSpPr>
        <xdr:spPr bwMode="auto">
          <a:xfrm>
            <a:off x="1258" y="95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Freeform 599">
            <a:extLst>
              <a:ext uri="{FF2B5EF4-FFF2-40B4-BE49-F238E27FC236}">
                <a16:creationId xmlns:a16="http://schemas.microsoft.com/office/drawing/2014/main" id="{4AA160B5-5745-4F24-9B9A-879DCA5BB715}"/>
              </a:ext>
            </a:extLst>
          </xdr:cNvPr>
          <xdr:cNvSpPr>
            <a:spLocks/>
          </xdr:cNvSpPr>
        </xdr:nvSpPr>
        <xdr:spPr bwMode="auto">
          <a:xfrm>
            <a:off x="1260" y="93"/>
            <a:ext cx="3" cy="7"/>
          </a:xfrm>
          <a:custGeom>
            <a:avLst/>
            <a:gdLst>
              <a:gd name="T0" fmla="*/ 0 w 141"/>
              <a:gd name="T1" fmla="*/ 0 h 421"/>
              <a:gd name="T2" fmla="*/ 0 w 141"/>
              <a:gd name="T3" fmla="*/ 351 h 421"/>
              <a:gd name="T4" fmla="*/ 70 w 141"/>
              <a:gd name="T5" fmla="*/ 421 h 421"/>
              <a:gd name="T6" fmla="*/ 141 w 141"/>
              <a:gd name="T7" fmla="*/ 35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1">
                <a:moveTo>
                  <a:pt x="0" y="0"/>
                </a:moveTo>
                <a:lnTo>
                  <a:pt x="0" y="351"/>
                </a:lnTo>
                <a:lnTo>
                  <a:pt x="70" y="421"/>
                </a:lnTo>
                <a:lnTo>
                  <a:pt x="141" y="35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4" name="Freeform 600">
            <a:extLst>
              <a:ext uri="{FF2B5EF4-FFF2-40B4-BE49-F238E27FC236}">
                <a16:creationId xmlns:a16="http://schemas.microsoft.com/office/drawing/2014/main" id="{B9743DDB-B7CA-453A-901B-E4B590D3C389}"/>
              </a:ext>
            </a:extLst>
          </xdr:cNvPr>
          <xdr:cNvSpPr>
            <a:spLocks/>
          </xdr:cNvSpPr>
        </xdr:nvSpPr>
        <xdr:spPr bwMode="auto">
          <a:xfrm>
            <a:off x="1265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" name="Line 601">
            <a:extLst>
              <a:ext uri="{FF2B5EF4-FFF2-40B4-BE49-F238E27FC236}">
                <a16:creationId xmlns:a16="http://schemas.microsoft.com/office/drawing/2014/main" id="{0091EAD9-7EAE-4CE1-BC37-025C6B889FEC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2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Freeform 602">
            <a:extLst>
              <a:ext uri="{FF2B5EF4-FFF2-40B4-BE49-F238E27FC236}">
                <a16:creationId xmlns:a16="http://schemas.microsoft.com/office/drawing/2014/main" id="{FD7C0A41-FF8E-4735-8649-EE5E840054E0}"/>
              </a:ext>
            </a:extLst>
          </xdr:cNvPr>
          <xdr:cNvSpPr>
            <a:spLocks/>
          </xdr:cNvSpPr>
        </xdr:nvSpPr>
        <xdr:spPr bwMode="auto">
          <a:xfrm>
            <a:off x="1272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" name="Line 603">
            <a:extLst>
              <a:ext uri="{FF2B5EF4-FFF2-40B4-BE49-F238E27FC236}">
                <a16:creationId xmlns:a16="http://schemas.microsoft.com/office/drawing/2014/main" id="{D62837FA-38DA-4ADC-BD0D-CF716B41FDE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604">
            <a:extLst>
              <a:ext uri="{FF2B5EF4-FFF2-40B4-BE49-F238E27FC236}">
                <a16:creationId xmlns:a16="http://schemas.microsoft.com/office/drawing/2014/main" id="{F713BEF2-89E6-4CAA-9ED1-CD8E2EAF7A49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Freeform 605">
            <a:extLst>
              <a:ext uri="{FF2B5EF4-FFF2-40B4-BE49-F238E27FC236}">
                <a16:creationId xmlns:a16="http://schemas.microsoft.com/office/drawing/2014/main" id="{742AA2F1-81C6-4A98-BA9B-BF96B4B3773F}"/>
              </a:ext>
            </a:extLst>
          </xdr:cNvPr>
          <xdr:cNvSpPr>
            <a:spLocks/>
          </xdr:cNvSpPr>
        </xdr:nvSpPr>
        <xdr:spPr bwMode="auto">
          <a:xfrm>
            <a:off x="1282" y="95"/>
            <a:ext cx="4" cy="5"/>
          </a:xfrm>
          <a:custGeom>
            <a:avLst/>
            <a:gdLst>
              <a:gd name="T0" fmla="*/ 210 w 280"/>
              <a:gd name="T1" fmla="*/ 280 h 280"/>
              <a:gd name="T2" fmla="*/ 70 w 280"/>
              <a:gd name="T3" fmla="*/ 280 h 280"/>
              <a:gd name="T4" fmla="*/ 0 w 280"/>
              <a:gd name="T5" fmla="*/ 210 h 280"/>
              <a:gd name="T6" fmla="*/ 0 w 280"/>
              <a:gd name="T7" fmla="*/ 70 h 280"/>
              <a:gd name="T8" fmla="*/ 70 w 280"/>
              <a:gd name="T9" fmla="*/ 0 h 280"/>
              <a:gd name="T10" fmla="*/ 210 w 280"/>
              <a:gd name="T11" fmla="*/ 0 h 280"/>
              <a:gd name="T12" fmla="*/ 280 w 280"/>
              <a:gd name="T13" fmla="*/ 70 h 280"/>
              <a:gd name="T14" fmla="*/ 280 w 280"/>
              <a:gd name="T15" fmla="*/ 21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0" y="70"/>
                </a:lnTo>
                <a:lnTo>
                  <a:pt x="280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" name="Line 606">
            <a:extLst>
              <a:ext uri="{FF2B5EF4-FFF2-40B4-BE49-F238E27FC236}">
                <a16:creationId xmlns:a16="http://schemas.microsoft.com/office/drawing/2014/main" id="{604C678A-4018-4729-BBF9-9C987901FDC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Freeform 607">
            <a:extLst>
              <a:ext uri="{FF2B5EF4-FFF2-40B4-BE49-F238E27FC236}">
                <a16:creationId xmlns:a16="http://schemas.microsoft.com/office/drawing/2014/main" id="{A638CA5E-0A48-4D9D-8B46-74678374882F}"/>
              </a:ext>
            </a:extLst>
          </xdr:cNvPr>
          <xdr:cNvSpPr>
            <a:spLocks/>
          </xdr:cNvSpPr>
        </xdr:nvSpPr>
        <xdr:spPr bwMode="auto">
          <a:xfrm>
            <a:off x="1289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" name="Freeform 608">
            <a:extLst>
              <a:ext uri="{FF2B5EF4-FFF2-40B4-BE49-F238E27FC236}">
                <a16:creationId xmlns:a16="http://schemas.microsoft.com/office/drawing/2014/main" id="{D32A9E51-0315-4AAE-9009-79F599FE3ED5}"/>
              </a:ext>
            </a:extLst>
          </xdr:cNvPr>
          <xdr:cNvSpPr>
            <a:spLocks/>
          </xdr:cNvSpPr>
        </xdr:nvSpPr>
        <xdr:spPr bwMode="auto">
          <a:xfrm>
            <a:off x="1206" y="307"/>
            <a:ext cx="5" cy="3"/>
          </a:xfrm>
          <a:custGeom>
            <a:avLst/>
            <a:gdLst>
              <a:gd name="T0" fmla="*/ 0 w 280"/>
              <a:gd name="T1" fmla="*/ 211 h 211"/>
              <a:gd name="T2" fmla="*/ 210 w 280"/>
              <a:gd name="T3" fmla="*/ 211 h 211"/>
              <a:gd name="T4" fmla="*/ 280 w 280"/>
              <a:gd name="T5" fmla="*/ 141 h 211"/>
              <a:gd name="T6" fmla="*/ 280 w 280"/>
              <a:gd name="T7" fmla="*/ 70 h 211"/>
              <a:gd name="T8" fmla="*/ 210 w 280"/>
              <a:gd name="T9" fmla="*/ 0 h 211"/>
              <a:gd name="T10" fmla="*/ 70 w 280"/>
              <a:gd name="T11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0" h="211">
                <a:moveTo>
                  <a:pt x="0" y="211"/>
                </a:moveTo>
                <a:lnTo>
                  <a:pt x="210" y="211"/>
                </a:lnTo>
                <a:lnTo>
                  <a:pt x="280" y="141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" name="Freeform 609">
            <a:extLst>
              <a:ext uri="{FF2B5EF4-FFF2-40B4-BE49-F238E27FC236}">
                <a16:creationId xmlns:a16="http://schemas.microsoft.com/office/drawing/2014/main" id="{410E095C-D52F-464A-91A8-D877F84BE7C3}"/>
              </a:ext>
            </a:extLst>
          </xdr:cNvPr>
          <xdr:cNvSpPr>
            <a:spLocks/>
          </xdr:cNvSpPr>
        </xdr:nvSpPr>
        <xdr:spPr bwMode="auto">
          <a:xfrm>
            <a:off x="1206" y="303"/>
            <a:ext cx="5" cy="4"/>
          </a:xfrm>
          <a:custGeom>
            <a:avLst/>
            <a:gdLst>
              <a:gd name="T0" fmla="*/ 210 w 280"/>
              <a:gd name="T1" fmla="*/ 211 h 211"/>
              <a:gd name="T2" fmla="*/ 280 w 280"/>
              <a:gd name="T3" fmla="*/ 140 h 211"/>
              <a:gd name="T4" fmla="*/ 280 w 280"/>
              <a:gd name="T5" fmla="*/ 70 h 211"/>
              <a:gd name="T6" fmla="*/ 210 w 280"/>
              <a:gd name="T7" fmla="*/ 0 h 211"/>
              <a:gd name="T8" fmla="*/ 0 w 280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0" h="211">
                <a:moveTo>
                  <a:pt x="210" y="211"/>
                </a:moveTo>
                <a:lnTo>
                  <a:pt x="280" y="140"/>
                </a:lnTo>
                <a:lnTo>
                  <a:pt x="280" y="70"/>
                </a:lnTo>
                <a:lnTo>
                  <a:pt x="210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" name="Line 610">
            <a:extLst>
              <a:ext uri="{FF2B5EF4-FFF2-40B4-BE49-F238E27FC236}">
                <a16:creationId xmlns:a16="http://schemas.microsoft.com/office/drawing/2014/main" id="{2DCEE23D-3D4B-4F0A-81F1-973BEA408B60}"/>
              </a:ext>
            </a:extLst>
          </xdr:cNvPr>
          <xdr:cNvSpPr>
            <a:spLocks noChangeShapeType="1"/>
          </xdr:cNvSpPr>
        </xdr:nvSpPr>
        <xdr:spPr bwMode="auto">
          <a:xfrm>
            <a:off x="1208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Freeform 611">
            <a:extLst>
              <a:ext uri="{FF2B5EF4-FFF2-40B4-BE49-F238E27FC236}">
                <a16:creationId xmlns:a16="http://schemas.microsoft.com/office/drawing/2014/main" id="{160E2508-F2A0-4393-9C12-34DABE87F611}"/>
              </a:ext>
            </a:extLst>
          </xdr:cNvPr>
          <xdr:cNvSpPr>
            <a:spLocks/>
          </xdr:cNvSpPr>
        </xdr:nvSpPr>
        <xdr:spPr bwMode="auto">
          <a:xfrm>
            <a:off x="1213" y="305"/>
            <a:ext cx="5" cy="5"/>
          </a:xfrm>
          <a:custGeom>
            <a:avLst/>
            <a:gdLst>
              <a:gd name="T0" fmla="*/ 210 w 280"/>
              <a:gd name="T1" fmla="*/ 282 h 282"/>
              <a:gd name="T2" fmla="*/ 70 w 280"/>
              <a:gd name="T3" fmla="*/ 282 h 282"/>
              <a:gd name="T4" fmla="*/ 0 w 280"/>
              <a:gd name="T5" fmla="*/ 212 h 282"/>
              <a:gd name="T6" fmla="*/ 0 w 280"/>
              <a:gd name="T7" fmla="*/ 71 h 282"/>
              <a:gd name="T8" fmla="*/ 70 w 280"/>
              <a:gd name="T9" fmla="*/ 0 h 282"/>
              <a:gd name="T10" fmla="*/ 210 w 280"/>
              <a:gd name="T11" fmla="*/ 0 h 282"/>
              <a:gd name="T12" fmla="*/ 280 w 280"/>
              <a:gd name="T13" fmla="*/ 71 h 282"/>
              <a:gd name="T14" fmla="*/ 280 w 280"/>
              <a:gd name="T15" fmla="*/ 212 h 282"/>
              <a:gd name="T16" fmla="*/ 210 w 280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" name="Line 612">
            <a:extLst>
              <a:ext uri="{FF2B5EF4-FFF2-40B4-BE49-F238E27FC236}">
                <a16:creationId xmlns:a16="http://schemas.microsoft.com/office/drawing/2014/main" id="{1CB142F2-8C6A-4448-8B65-B6771F65CED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1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Freeform 613">
            <a:extLst>
              <a:ext uri="{FF2B5EF4-FFF2-40B4-BE49-F238E27FC236}">
                <a16:creationId xmlns:a16="http://schemas.microsoft.com/office/drawing/2014/main" id="{54A633FF-CC3F-427C-AAFA-DB4CD2E28695}"/>
              </a:ext>
            </a:extLst>
          </xdr:cNvPr>
          <xdr:cNvSpPr>
            <a:spLocks/>
          </xdr:cNvSpPr>
        </xdr:nvSpPr>
        <xdr:spPr bwMode="auto">
          <a:xfrm>
            <a:off x="1221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" name="Freeform 614">
            <a:extLst>
              <a:ext uri="{FF2B5EF4-FFF2-40B4-BE49-F238E27FC236}">
                <a16:creationId xmlns:a16="http://schemas.microsoft.com/office/drawing/2014/main" id="{FCFD8199-29BF-4BF5-BD2F-AEF6C8401C94}"/>
              </a:ext>
            </a:extLst>
          </xdr:cNvPr>
          <xdr:cNvSpPr>
            <a:spLocks/>
          </xdr:cNvSpPr>
        </xdr:nvSpPr>
        <xdr:spPr bwMode="auto">
          <a:xfrm>
            <a:off x="1228" y="305"/>
            <a:ext cx="5" cy="5"/>
          </a:xfrm>
          <a:custGeom>
            <a:avLst/>
            <a:gdLst>
              <a:gd name="T0" fmla="*/ 281 w 281"/>
              <a:gd name="T1" fmla="*/ 141 h 282"/>
              <a:gd name="T2" fmla="*/ 141 w 281"/>
              <a:gd name="T3" fmla="*/ 282 h 282"/>
              <a:gd name="T4" fmla="*/ 71 w 281"/>
              <a:gd name="T5" fmla="*/ 282 h 282"/>
              <a:gd name="T6" fmla="*/ 0 w 281"/>
              <a:gd name="T7" fmla="*/ 212 h 282"/>
              <a:gd name="T8" fmla="*/ 0 w 281"/>
              <a:gd name="T9" fmla="*/ 71 h 282"/>
              <a:gd name="T10" fmla="*/ 71 w 281"/>
              <a:gd name="T11" fmla="*/ 0 h 282"/>
              <a:gd name="T12" fmla="*/ 141 w 281"/>
              <a:gd name="T13" fmla="*/ 0 h 282"/>
              <a:gd name="T14" fmla="*/ 281 w 281"/>
              <a:gd name="T15" fmla="*/ 141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2">
                <a:moveTo>
                  <a:pt x="281" y="141"/>
                </a:moveTo>
                <a:lnTo>
                  <a:pt x="141" y="282"/>
                </a:lnTo>
                <a:lnTo>
                  <a:pt x="71" y="282"/>
                </a:lnTo>
                <a:lnTo>
                  <a:pt x="0" y="212"/>
                </a:lnTo>
                <a:lnTo>
                  <a:pt x="0" y="71"/>
                </a:lnTo>
                <a:lnTo>
                  <a:pt x="71" y="0"/>
                </a:lnTo>
                <a:lnTo>
                  <a:pt x="141" y="0"/>
                </a:lnTo>
                <a:lnTo>
                  <a:pt x="281" y="141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" name="Line 615">
            <a:extLst>
              <a:ext uri="{FF2B5EF4-FFF2-40B4-BE49-F238E27FC236}">
                <a16:creationId xmlns:a16="http://schemas.microsoft.com/office/drawing/2014/main" id="{BAD774D3-DFEF-4744-A918-3AD0DAAA7920}"/>
              </a:ext>
            </a:extLst>
          </xdr:cNvPr>
          <xdr:cNvSpPr>
            <a:spLocks noChangeShapeType="1"/>
          </xdr:cNvSpPr>
        </xdr:nvSpPr>
        <xdr:spPr bwMode="auto">
          <a:xfrm>
            <a:off x="1233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Freeform 616">
            <a:extLst>
              <a:ext uri="{FF2B5EF4-FFF2-40B4-BE49-F238E27FC236}">
                <a16:creationId xmlns:a16="http://schemas.microsoft.com/office/drawing/2014/main" id="{0AE5A5A7-FFF3-4A4A-9D26-F770168ACDDB}"/>
              </a:ext>
            </a:extLst>
          </xdr:cNvPr>
          <xdr:cNvSpPr>
            <a:spLocks/>
          </xdr:cNvSpPr>
        </xdr:nvSpPr>
        <xdr:spPr bwMode="auto">
          <a:xfrm>
            <a:off x="1235" y="305"/>
            <a:ext cx="5" cy="5"/>
          </a:xfrm>
          <a:custGeom>
            <a:avLst/>
            <a:gdLst>
              <a:gd name="T0" fmla="*/ 0 w 281"/>
              <a:gd name="T1" fmla="*/ 141 h 282"/>
              <a:gd name="T2" fmla="*/ 211 w 281"/>
              <a:gd name="T3" fmla="*/ 141 h 282"/>
              <a:gd name="T4" fmla="*/ 281 w 281"/>
              <a:gd name="T5" fmla="*/ 71 h 282"/>
              <a:gd name="T6" fmla="*/ 211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1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1" y="141"/>
                </a:lnTo>
                <a:lnTo>
                  <a:pt x="281" y="71"/>
                </a:lnTo>
                <a:lnTo>
                  <a:pt x="211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1" name="Line 617">
            <a:extLst>
              <a:ext uri="{FF2B5EF4-FFF2-40B4-BE49-F238E27FC236}">
                <a16:creationId xmlns:a16="http://schemas.microsoft.com/office/drawing/2014/main" id="{4DA28B38-955A-45A9-A568-47E32975516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Line 618">
            <a:extLst>
              <a:ext uri="{FF2B5EF4-FFF2-40B4-BE49-F238E27FC236}">
                <a16:creationId xmlns:a16="http://schemas.microsoft.com/office/drawing/2014/main" id="{770C5592-DBFD-4F99-BF51-EE383C6D6849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619">
            <a:extLst>
              <a:ext uri="{FF2B5EF4-FFF2-40B4-BE49-F238E27FC236}">
                <a16:creationId xmlns:a16="http://schemas.microsoft.com/office/drawing/2014/main" id="{070A7D08-9E5B-4F45-9E8A-7E161764BE3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2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Freeform 620">
            <a:extLst>
              <a:ext uri="{FF2B5EF4-FFF2-40B4-BE49-F238E27FC236}">
                <a16:creationId xmlns:a16="http://schemas.microsoft.com/office/drawing/2014/main" id="{C89DE984-2852-45AD-8BA0-B03B932B643A}"/>
              </a:ext>
            </a:extLst>
          </xdr:cNvPr>
          <xdr:cNvSpPr>
            <a:spLocks/>
          </xdr:cNvSpPr>
        </xdr:nvSpPr>
        <xdr:spPr bwMode="auto">
          <a:xfrm>
            <a:off x="1252" y="305"/>
            <a:ext cx="4" cy="5"/>
          </a:xfrm>
          <a:custGeom>
            <a:avLst/>
            <a:gdLst>
              <a:gd name="T0" fmla="*/ 0 w 281"/>
              <a:gd name="T1" fmla="*/ 141 h 282"/>
              <a:gd name="T2" fmla="*/ 141 w 281"/>
              <a:gd name="T3" fmla="*/ 0 h 282"/>
              <a:gd name="T4" fmla="*/ 211 w 281"/>
              <a:gd name="T5" fmla="*/ 0 h 282"/>
              <a:gd name="T6" fmla="*/ 281 w 281"/>
              <a:gd name="T7" fmla="*/ 71 h 282"/>
              <a:gd name="T8" fmla="*/ 281 w 281"/>
              <a:gd name="T9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141" y="0"/>
                </a:lnTo>
                <a:lnTo>
                  <a:pt x="211" y="0"/>
                </a:lnTo>
                <a:lnTo>
                  <a:pt x="281" y="71"/>
                </a:lnTo>
                <a:lnTo>
                  <a:pt x="28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" name="Line 621">
            <a:extLst>
              <a:ext uri="{FF2B5EF4-FFF2-40B4-BE49-F238E27FC236}">
                <a16:creationId xmlns:a16="http://schemas.microsoft.com/office/drawing/2014/main" id="{D7C3A5E5-0121-4853-9ADE-CE53E7EC194E}"/>
              </a:ext>
            </a:extLst>
          </xdr:cNvPr>
          <xdr:cNvSpPr>
            <a:spLocks noChangeShapeType="1"/>
          </xdr:cNvSpPr>
        </xdr:nvSpPr>
        <xdr:spPr bwMode="auto">
          <a:xfrm>
            <a:off x="1259" y="305"/>
            <a:ext cx="4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Freeform 622">
            <a:extLst>
              <a:ext uri="{FF2B5EF4-FFF2-40B4-BE49-F238E27FC236}">
                <a16:creationId xmlns:a16="http://schemas.microsoft.com/office/drawing/2014/main" id="{845209E4-677B-4A3E-82F9-D896B7DD82AE}"/>
              </a:ext>
            </a:extLst>
          </xdr:cNvPr>
          <xdr:cNvSpPr>
            <a:spLocks/>
          </xdr:cNvSpPr>
        </xdr:nvSpPr>
        <xdr:spPr bwMode="auto">
          <a:xfrm>
            <a:off x="1261" y="303"/>
            <a:ext cx="2" cy="7"/>
          </a:xfrm>
          <a:custGeom>
            <a:avLst/>
            <a:gdLst>
              <a:gd name="T0" fmla="*/ 0 w 141"/>
              <a:gd name="T1" fmla="*/ 0 h 422"/>
              <a:gd name="T2" fmla="*/ 0 w 141"/>
              <a:gd name="T3" fmla="*/ 352 h 422"/>
              <a:gd name="T4" fmla="*/ 71 w 141"/>
              <a:gd name="T5" fmla="*/ 422 h 422"/>
              <a:gd name="T6" fmla="*/ 141 w 141"/>
              <a:gd name="T7" fmla="*/ 35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2">
                <a:moveTo>
                  <a:pt x="0" y="0"/>
                </a:moveTo>
                <a:lnTo>
                  <a:pt x="0" y="352"/>
                </a:lnTo>
                <a:lnTo>
                  <a:pt x="71" y="422"/>
                </a:lnTo>
                <a:lnTo>
                  <a:pt x="141" y="35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7" name="Freeform 623">
            <a:extLst>
              <a:ext uri="{FF2B5EF4-FFF2-40B4-BE49-F238E27FC236}">
                <a16:creationId xmlns:a16="http://schemas.microsoft.com/office/drawing/2014/main" id="{076C43B9-DD63-4402-B4FA-1526387EE651}"/>
              </a:ext>
            </a:extLst>
          </xdr:cNvPr>
          <xdr:cNvSpPr>
            <a:spLocks/>
          </xdr:cNvSpPr>
        </xdr:nvSpPr>
        <xdr:spPr bwMode="auto">
          <a:xfrm>
            <a:off x="1266" y="305"/>
            <a:ext cx="5" cy="5"/>
          </a:xfrm>
          <a:custGeom>
            <a:avLst/>
            <a:gdLst>
              <a:gd name="T0" fmla="*/ 0 w 281"/>
              <a:gd name="T1" fmla="*/ 141 h 282"/>
              <a:gd name="T2" fmla="*/ 210 w 281"/>
              <a:gd name="T3" fmla="*/ 141 h 282"/>
              <a:gd name="T4" fmla="*/ 281 w 281"/>
              <a:gd name="T5" fmla="*/ 71 h 282"/>
              <a:gd name="T6" fmla="*/ 210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0" y="141"/>
                </a:lnTo>
                <a:lnTo>
                  <a:pt x="281" y="71"/>
                </a:lnTo>
                <a:lnTo>
                  <a:pt x="210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0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" name="Line 624">
            <a:extLst>
              <a:ext uri="{FF2B5EF4-FFF2-40B4-BE49-F238E27FC236}">
                <a16:creationId xmlns:a16="http://schemas.microsoft.com/office/drawing/2014/main" id="{AB6B732E-ED08-4954-91F3-4D30EBBCB7D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3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Freeform 625">
            <a:extLst>
              <a:ext uri="{FF2B5EF4-FFF2-40B4-BE49-F238E27FC236}">
                <a16:creationId xmlns:a16="http://schemas.microsoft.com/office/drawing/2014/main" id="{7CCDDFDB-1CED-48DB-8353-A7C926DF710F}"/>
              </a:ext>
            </a:extLst>
          </xdr:cNvPr>
          <xdr:cNvSpPr>
            <a:spLocks/>
          </xdr:cNvSpPr>
        </xdr:nvSpPr>
        <xdr:spPr bwMode="auto">
          <a:xfrm>
            <a:off x="1273" y="305"/>
            <a:ext cx="5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0" name="Line 626">
            <a:extLst>
              <a:ext uri="{FF2B5EF4-FFF2-40B4-BE49-F238E27FC236}">
                <a16:creationId xmlns:a16="http://schemas.microsoft.com/office/drawing/2014/main" id="{C21D4D6F-6D75-4C39-8828-FE0B384B1279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627">
            <a:extLst>
              <a:ext uri="{FF2B5EF4-FFF2-40B4-BE49-F238E27FC236}">
                <a16:creationId xmlns:a16="http://schemas.microsoft.com/office/drawing/2014/main" id="{2E6CD06A-F917-4FCD-955F-67B7729F52E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Freeform 628">
            <a:extLst>
              <a:ext uri="{FF2B5EF4-FFF2-40B4-BE49-F238E27FC236}">
                <a16:creationId xmlns:a16="http://schemas.microsoft.com/office/drawing/2014/main" id="{9EDA8955-79E4-45DE-AF86-278FB5652F76}"/>
              </a:ext>
            </a:extLst>
          </xdr:cNvPr>
          <xdr:cNvSpPr>
            <a:spLocks/>
          </xdr:cNvSpPr>
        </xdr:nvSpPr>
        <xdr:spPr bwMode="auto">
          <a:xfrm>
            <a:off x="1283" y="305"/>
            <a:ext cx="4" cy="5"/>
          </a:xfrm>
          <a:custGeom>
            <a:avLst/>
            <a:gdLst>
              <a:gd name="T0" fmla="*/ 210 w 281"/>
              <a:gd name="T1" fmla="*/ 282 h 282"/>
              <a:gd name="T2" fmla="*/ 70 w 281"/>
              <a:gd name="T3" fmla="*/ 282 h 282"/>
              <a:gd name="T4" fmla="*/ 0 w 281"/>
              <a:gd name="T5" fmla="*/ 212 h 282"/>
              <a:gd name="T6" fmla="*/ 0 w 281"/>
              <a:gd name="T7" fmla="*/ 71 h 282"/>
              <a:gd name="T8" fmla="*/ 70 w 281"/>
              <a:gd name="T9" fmla="*/ 0 h 282"/>
              <a:gd name="T10" fmla="*/ 210 w 281"/>
              <a:gd name="T11" fmla="*/ 0 h 282"/>
              <a:gd name="T12" fmla="*/ 281 w 281"/>
              <a:gd name="T13" fmla="*/ 71 h 282"/>
              <a:gd name="T14" fmla="*/ 281 w 281"/>
              <a:gd name="T15" fmla="*/ 21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1" y="71"/>
                </a:lnTo>
                <a:lnTo>
                  <a:pt x="281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" name="Line 629">
            <a:extLst>
              <a:ext uri="{FF2B5EF4-FFF2-40B4-BE49-F238E27FC236}">
                <a16:creationId xmlns:a16="http://schemas.microsoft.com/office/drawing/2014/main" id="{74EE258B-CB1A-4C12-8004-0B67702773A9}"/>
              </a:ext>
            </a:extLst>
          </xdr:cNvPr>
          <xdr:cNvSpPr>
            <a:spLocks noChangeShapeType="1"/>
          </xdr:cNvSpPr>
        </xdr:nvSpPr>
        <xdr:spPr bwMode="auto">
          <a:xfrm flipV="1">
            <a:off x="129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Freeform 630">
            <a:extLst>
              <a:ext uri="{FF2B5EF4-FFF2-40B4-BE49-F238E27FC236}">
                <a16:creationId xmlns:a16="http://schemas.microsoft.com/office/drawing/2014/main" id="{5CFBF2D5-D39B-43E8-B695-B78BBB3DFDD9}"/>
              </a:ext>
            </a:extLst>
          </xdr:cNvPr>
          <xdr:cNvSpPr>
            <a:spLocks/>
          </xdr:cNvSpPr>
        </xdr:nvSpPr>
        <xdr:spPr bwMode="auto">
          <a:xfrm>
            <a:off x="1290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5" name="Freeform 631">
            <a:extLst>
              <a:ext uri="{FF2B5EF4-FFF2-40B4-BE49-F238E27FC236}">
                <a16:creationId xmlns:a16="http://schemas.microsoft.com/office/drawing/2014/main" id="{E0221440-7E0B-409E-B339-C9BABF0F3A0A}"/>
              </a:ext>
            </a:extLst>
          </xdr:cNvPr>
          <xdr:cNvSpPr>
            <a:spLocks/>
          </xdr:cNvSpPr>
        </xdr:nvSpPr>
        <xdr:spPr bwMode="auto">
          <a:xfrm>
            <a:off x="864" y="189"/>
            <a:ext cx="5" cy="7"/>
          </a:xfrm>
          <a:custGeom>
            <a:avLst/>
            <a:gdLst>
              <a:gd name="T0" fmla="*/ 0 w 282"/>
              <a:gd name="T1" fmla="*/ 422 h 422"/>
              <a:gd name="T2" fmla="*/ 0 w 282"/>
              <a:gd name="T3" fmla="*/ 0 h 422"/>
              <a:gd name="T4" fmla="*/ 282 w 282"/>
              <a:gd name="T5" fmla="*/ 0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82" h="422">
                <a:moveTo>
                  <a:pt x="0" y="422"/>
                </a:moveTo>
                <a:lnTo>
                  <a:pt x="0" y="0"/>
                </a:lnTo>
                <a:lnTo>
                  <a:pt x="282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6" name="Line 632">
            <a:extLst>
              <a:ext uri="{FF2B5EF4-FFF2-40B4-BE49-F238E27FC236}">
                <a16:creationId xmlns:a16="http://schemas.microsoft.com/office/drawing/2014/main" id="{97B6414B-79EE-4392-9D9F-000731A67084}"/>
              </a:ext>
            </a:extLst>
          </xdr:cNvPr>
          <xdr:cNvSpPr>
            <a:spLocks noChangeShapeType="1"/>
          </xdr:cNvSpPr>
        </xdr:nvSpPr>
        <xdr:spPr bwMode="auto">
          <a:xfrm>
            <a:off x="864" y="193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633">
            <a:extLst>
              <a:ext uri="{FF2B5EF4-FFF2-40B4-BE49-F238E27FC236}">
                <a16:creationId xmlns:a16="http://schemas.microsoft.com/office/drawing/2014/main" id="{2A946EDA-5ECC-449C-A86A-458603D4A03F}"/>
              </a:ext>
            </a:extLst>
          </xdr:cNvPr>
          <xdr:cNvSpPr>
            <a:spLocks noChangeShapeType="1"/>
          </xdr:cNvSpPr>
        </xdr:nvSpPr>
        <xdr:spPr bwMode="auto">
          <a:xfrm>
            <a:off x="864" y="196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Freeform 634">
            <a:extLst>
              <a:ext uri="{FF2B5EF4-FFF2-40B4-BE49-F238E27FC236}">
                <a16:creationId xmlns:a16="http://schemas.microsoft.com/office/drawing/2014/main" id="{36F31777-8E37-4E18-BF20-E7404D7AD7FD}"/>
              </a:ext>
            </a:extLst>
          </xdr:cNvPr>
          <xdr:cNvSpPr>
            <a:spLocks/>
          </xdr:cNvSpPr>
        </xdr:nvSpPr>
        <xdr:spPr bwMode="auto">
          <a:xfrm>
            <a:off x="871" y="192"/>
            <a:ext cx="4" cy="7"/>
          </a:xfrm>
          <a:custGeom>
            <a:avLst/>
            <a:gdLst>
              <a:gd name="T0" fmla="*/ 0 w 211"/>
              <a:gd name="T1" fmla="*/ 351 h 421"/>
              <a:gd name="T2" fmla="*/ 70 w 211"/>
              <a:gd name="T3" fmla="*/ 421 h 421"/>
              <a:gd name="T4" fmla="*/ 141 w 211"/>
              <a:gd name="T5" fmla="*/ 421 h 421"/>
              <a:gd name="T6" fmla="*/ 211 w 211"/>
              <a:gd name="T7" fmla="*/ 351 h 421"/>
              <a:gd name="T8" fmla="*/ 211 w 211"/>
              <a:gd name="T9" fmla="*/ 0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11" h="421">
                <a:moveTo>
                  <a:pt x="0" y="351"/>
                </a:moveTo>
                <a:lnTo>
                  <a:pt x="70" y="421"/>
                </a:lnTo>
                <a:lnTo>
                  <a:pt x="141" y="421"/>
                </a:lnTo>
                <a:lnTo>
                  <a:pt x="211" y="351"/>
                </a:lnTo>
                <a:lnTo>
                  <a:pt x="211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9" name="Line 635">
            <a:extLst>
              <a:ext uri="{FF2B5EF4-FFF2-40B4-BE49-F238E27FC236}">
                <a16:creationId xmlns:a16="http://schemas.microsoft.com/office/drawing/2014/main" id="{1282BFA8-404C-422D-984E-53F831897AAE}"/>
              </a:ext>
            </a:extLst>
          </xdr:cNvPr>
          <xdr:cNvSpPr>
            <a:spLocks noChangeShapeType="1"/>
          </xdr:cNvSpPr>
        </xdr:nvSpPr>
        <xdr:spPr bwMode="auto">
          <a:xfrm flipV="1">
            <a:off x="875" y="189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Freeform 636">
            <a:extLst>
              <a:ext uri="{FF2B5EF4-FFF2-40B4-BE49-F238E27FC236}">
                <a16:creationId xmlns:a16="http://schemas.microsoft.com/office/drawing/2014/main" id="{987D31A7-20AA-45BC-AFC2-987CAC0A4C40}"/>
              </a:ext>
            </a:extLst>
          </xdr:cNvPr>
          <xdr:cNvSpPr>
            <a:spLocks/>
          </xdr:cNvSpPr>
        </xdr:nvSpPr>
        <xdr:spPr bwMode="auto">
          <a:xfrm>
            <a:off x="877" y="192"/>
            <a:ext cx="5" cy="4"/>
          </a:xfrm>
          <a:custGeom>
            <a:avLst/>
            <a:gdLst>
              <a:gd name="T0" fmla="*/ 0 w 281"/>
              <a:gd name="T1" fmla="*/ 140 h 281"/>
              <a:gd name="T2" fmla="*/ 210 w 281"/>
              <a:gd name="T3" fmla="*/ 140 h 281"/>
              <a:gd name="T4" fmla="*/ 281 w 281"/>
              <a:gd name="T5" fmla="*/ 70 h 281"/>
              <a:gd name="T6" fmla="*/ 210 w 281"/>
              <a:gd name="T7" fmla="*/ 0 h 281"/>
              <a:gd name="T8" fmla="*/ 70 w 281"/>
              <a:gd name="T9" fmla="*/ 0 h 281"/>
              <a:gd name="T10" fmla="*/ 0 w 281"/>
              <a:gd name="T11" fmla="*/ 70 h 281"/>
              <a:gd name="T12" fmla="*/ 0 w 281"/>
              <a:gd name="T13" fmla="*/ 210 h 281"/>
              <a:gd name="T14" fmla="*/ 70 w 281"/>
              <a:gd name="T15" fmla="*/ 281 h 281"/>
              <a:gd name="T16" fmla="*/ 210 w 28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210" y="140"/>
                </a:lnTo>
                <a:lnTo>
                  <a:pt x="281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1"/>
                </a:lnTo>
                <a:lnTo>
                  <a:pt x="210" y="28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</xdr:col>
      <xdr:colOff>236604</xdr:colOff>
      <xdr:row>11</xdr:row>
      <xdr:rowOff>109497</xdr:rowOff>
    </xdr:from>
    <xdr:to>
      <xdr:col>2</xdr:col>
      <xdr:colOff>236606</xdr:colOff>
      <xdr:row>14</xdr:row>
      <xdr:rowOff>144876</xdr:rowOff>
    </xdr:to>
    <xdr:cxnSp macro="">
      <xdr:nvCxnSpPr>
        <xdr:cNvPr id="541" name="Conector recto de flecha 540">
          <a:extLst>
            <a:ext uri="{FF2B5EF4-FFF2-40B4-BE49-F238E27FC236}">
              <a16:creationId xmlns:a16="http://schemas.microsoft.com/office/drawing/2014/main" id="{6640AF1D-B12A-45E0-BDEE-BB76CDFD9AD2}"/>
            </a:ext>
          </a:extLst>
        </xdr:cNvPr>
        <xdr:cNvCxnSpPr/>
      </xdr:nvCxnSpPr>
      <xdr:spPr>
        <a:xfrm>
          <a:off x="2446404" y="2224047"/>
          <a:ext cx="2" cy="7307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</xdr:colOff>
      <xdr:row>11</xdr:row>
      <xdr:rowOff>108857</xdr:rowOff>
    </xdr:from>
    <xdr:to>
      <xdr:col>2</xdr:col>
      <xdr:colOff>228600</xdr:colOff>
      <xdr:row>11</xdr:row>
      <xdr:rowOff>108857</xdr:rowOff>
    </xdr:to>
    <xdr:cxnSp macro="">
      <xdr:nvCxnSpPr>
        <xdr:cNvPr id="542" name="Conector recto de flecha 541">
          <a:extLst>
            <a:ext uri="{FF2B5EF4-FFF2-40B4-BE49-F238E27FC236}">
              <a16:creationId xmlns:a16="http://schemas.microsoft.com/office/drawing/2014/main" id="{3B1F21A4-7E01-48C0-B48D-F2CE3D0F5AAB}"/>
            </a:ext>
          </a:extLst>
        </xdr:cNvPr>
        <xdr:cNvCxnSpPr/>
      </xdr:nvCxnSpPr>
      <xdr:spPr>
        <a:xfrm flipH="1">
          <a:off x="2231571" y="2223407"/>
          <a:ext cx="2068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621907</xdr:colOff>
      <xdr:row>39</xdr:row>
      <xdr:rowOff>11350</xdr:rowOff>
    </xdr:from>
    <xdr:to>
      <xdr:col>7</xdr:col>
      <xdr:colOff>565367</xdr:colOff>
      <xdr:row>57</xdr:row>
      <xdr:rowOff>180078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id="{B81F09C4-2B2F-45B2-98DD-51B7DB95ED5A}"/>
            </a:ext>
          </a:extLst>
        </xdr:cNvPr>
        <xdr:cNvGrpSpPr>
          <a:grpSpLocks noChangeAspect="1"/>
        </xdr:cNvGrpSpPr>
      </xdr:nvGrpSpPr>
      <xdr:grpSpPr bwMode="auto">
        <a:xfrm>
          <a:off x="621907" y="7767421"/>
          <a:ext cx="6698434" cy="3667708"/>
          <a:chOff x="753" y="57"/>
          <a:chExt cx="550" cy="299"/>
        </a:xfrm>
      </xdr:grpSpPr>
      <xdr:sp macro="" textlink="">
        <xdr:nvSpPr>
          <xdr:cNvPr id="3" name="AutoShape 50">
            <a:extLst>
              <a:ext uri="{FF2B5EF4-FFF2-40B4-BE49-F238E27FC236}">
                <a16:creationId xmlns:a16="http://schemas.microsoft.com/office/drawing/2014/main" id="{D037BDEE-25E4-4256-9364-327C6854D2F8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753" y="57"/>
            <a:ext cx="550" cy="2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grpSp>
        <xdr:nvGrpSpPr>
          <xdr:cNvPr id="4" name="Group 252">
            <a:extLst>
              <a:ext uri="{FF2B5EF4-FFF2-40B4-BE49-F238E27FC236}">
                <a16:creationId xmlns:a16="http://schemas.microsoft.com/office/drawing/2014/main" id="{0C6A974C-64A3-4D66-BA38-F46D01E9BB10}"/>
              </a:ext>
            </a:extLst>
          </xdr:cNvPr>
          <xdr:cNvGrpSpPr>
            <a:grpSpLocks/>
          </xdr:cNvGrpSpPr>
        </xdr:nvGrpSpPr>
        <xdr:grpSpPr bwMode="auto">
          <a:xfrm>
            <a:off x="821" y="106"/>
            <a:ext cx="402" cy="191"/>
            <a:chOff x="821" y="106"/>
            <a:chExt cx="402" cy="191"/>
          </a:xfrm>
        </xdr:grpSpPr>
        <xdr:sp macro="" textlink="">
          <xdr:nvSpPr>
            <xdr:cNvPr id="341" name="Line 52">
              <a:extLst>
                <a:ext uri="{FF2B5EF4-FFF2-40B4-BE49-F238E27FC236}">
                  <a16:creationId xmlns:a16="http://schemas.microsoft.com/office/drawing/2014/main" id="{5583D43E-40CE-4059-9918-674A280FB33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23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2" name="Line 53">
              <a:extLst>
                <a:ext uri="{FF2B5EF4-FFF2-40B4-BE49-F238E27FC236}">
                  <a16:creationId xmlns:a16="http://schemas.microsoft.com/office/drawing/2014/main" id="{F6E9D547-F3D6-4DCC-973B-6FE6AF6798F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32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3" name="Line 54">
              <a:extLst>
                <a:ext uri="{FF2B5EF4-FFF2-40B4-BE49-F238E27FC236}">
                  <a16:creationId xmlns:a16="http://schemas.microsoft.com/office/drawing/2014/main" id="{C78356ED-576E-48FC-8060-B6537F7FF88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0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4" name="Line 55">
              <a:extLst>
                <a:ext uri="{FF2B5EF4-FFF2-40B4-BE49-F238E27FC236}">
                  <a16:creationId xmlns:a16="http://schemas.microsoft.com/office/drawing/2014/main" id="{7D9532D1-68D4-4EC5-90E8-3A1597D243E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9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5" name="Line 56">
              <a:extLst>
                <a:ext uri="{FF2B5EF4-FFF2-40B4-BE49-F238E27FC236}">
                  <a16:creationId xmlns:a16="http://schemas.microsoft.com/office/drawing/2014/main" id="{EC6035E4-7154-4066-8F9D-B62354C5D66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57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6" name="Line 57">
              <a:extLst>
                <a:ext uri="{FF2B5EF4-FFF2-40B4-BE49-F238E27FC236}">
                  <a16:creationId xmlns:a16="http://schemas.microsoft.com/office/drawing/2014/main" id="{FA3933CF-27B7-4F9A-8417-1B7CFC13CDB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66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7" name="Line 58">
              <a:extLst>
                <a:ext uri="{FF2B5EF4-FFF2-40B4-BE49-F238E27FC236}">
                  <a16:creationId xmlns:a16="http://schemas.microsoft.com/office/drawing/2014/main" id="{D8407701-97E7-4CF6-8954-03D9255A666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74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8" name="Line 59">
              <a:extLst>
                <a:ext uri="{FF2B5EF4-FFF2-40B4-BE49-F238E27FC236}">
                  <a16:creationId xmlns:a16="http://schemas.microsoft.com/office/drawing/2014/main" id="{4730C666-D421-4EC7-BB84-6C592A779DA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83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9" name="Line 60">
              <a:extLst>
                <a:ext uri="{FF2B5EF4-FFF2-40B4-BE49-F238E27FC236}">
                  <a16:creationId xmlns:a16="http://schemas.microsoft.com/office/drawing/2014/main" id="{193BC0BA-8A1B-4D93-896B-67034B27B3B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91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0" name="Line 61">
              <a:extLst>
                <a:ext uri="{FF2B5EF4-FFF2-40B4-BE49-F238E27FC236}">
                  <a16:creationId xmlns:a16="http://schemas.microsoft.com/office/drawing/2014/main" id="{57A25D8B-933A-4B03-9F41-7AC36D067AD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0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1" name="Line 62">
              <a:extLst>
                <a:ext uri="{FF2B5EF4-FFF2-40B4-BE49-F238E27FC236}">
                  <a16:creationId xmlns:a16="http://schemas.microsoft.com/office/drawing/2014/main" id="{BF933010-2E5C-4F7A-A839-37C59E48743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8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2" name="Line 63">
              <a:extLst>
                <a:ext uri="{FF2B5EF4-FFF2-40B4-BE49-F238E27FC236}">
                  <a16:creationId xmlns:a16="http://schemas.microsoft.com/office/drawing/2014/main" id="{55D156E6-C2B3-44BC-84DA-33650424D30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17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3" name="Line 64">
              <a:extLst>
                <a:ext uri="{FF2B5EF4-FFF2-40B4-BE49-F238E27FC236}">
                  <a16:creationId xmlns:a16="http://schemas.microsoft.com/office/drawing/2014/main" id="{1EF9F61F-7F68-4901-BAE3-B897052B266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25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4" name="Line 65">
              <a:extLst>
                <a:ext uri="{FF2B5EF4-FFF2-40B4-BE49-F238E27FC236}">
                  <a16:creationId xmlns:a16="http://schemas.microsoft.com/office/drawing/2014/main" id="{D762BC58-7D02-4D56-88B8-0185CB52755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34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5" name="Line 66">
              <a:extLst>
                <a:ext uri="{FF2B5EF4-FFF2-40B4-BE49-F238E27FC236}">
                  <a16:creationId xmlns:a16="http://schemas.microsoft.com/office/drawing/2014/main" id="{DCA0EEA7-F832-4DC0-9D02-951E7E6233D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42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6" name="Line 67">
              <a:extLst>
                <a:ext uri="{FF2B5EF4-FFF2-40B4-BE49-F238E27FC236}">
                  <a16:creationId xmlns:a16="http://schemas.microsoft.com/office/drawing/2014/main" id="{D6413673-55E1-4020-B361-3DEFCFD5F5A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1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7" name="Line 68">
              <a:extLst>
                <a:ext uri="{FF2B5EF4-FFF2-40B4-BE49-F238E27FC236}">
                  <a16:creationId xmlns:a16="http://schemas.microsoft.com/office/drawing/2014/main" id="{BC5A076A-1778-418B-9151-28866A373C6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9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8" name="Line 69">
              <a:extLst>
                <a:ext uri="{FF2B5EF4-FFF2-40B4-BE49-F238E27FC236}">
                  <a16:creationId xmlns:a16="http://schemas.microsoft.com/office/drawing/2014/main" id="{BA3F7D6A-7C3C-4620-982D-52CD749DAD3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68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9" name="Line 70">
              <a:extLst>
                <a:ext uri="{FF2B5EF4-FFF2-40B4-BE49-F238E27FC236}">
                  <a16:creationId xmlns:a16="http://schemas.microsoft.com/office/drawing/2014/main" id="{D3F703BB-2308-4A2C-8B2F-FBF64F59990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76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0" name="Line 71">
              <a:extLst>
                <a:ext uri="{FF2B5EF4-FFF2-40B4-BE49-F238E27FC236}">
                  <a16:creationId xmlns:a16="http://schemas.microsoft.com/office/drawing/2014/main" id="{42D55E64-AB86-4B2F-B4C8-3065DD74D8F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5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1" name="Line 72">
              <a:extLst>
                <a:ext uri="{FF2B5EF4-FFF2-40B4-BE49-F238E27FC236}">
                  <a16:creationId xmlns:a16="http://schemas.microsoft.com/office/drawing/2014/main" id="{409DAE0B-83EE-49A0-A71F-725E84CC611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8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2" name="Line 73">
              <a:extLst>
                <a:ext uri="{FF2B5EF4-FFF2-40B4-BE49-F238E27FC236}">
                  <a16:creationId xmlns:a16="http://schemas.microsoft.com/office/drawing/2014/main" id="{EA00811A-67CB-4EE6-9DAB-43F67B030BD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3" name="Line 74">
              <a:extLst>
                <a:ext uri="{FF2B5EF4-FFF2-40B4-BE49-F238E27FC236}">
                  <a16:creationId xmlns:a16="http://schemas.microsoft.com/office/drawing/2014/main" id="{52E5FD4E-EFC9-4B2D-8E17-97B9D6356A7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8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4" name="Line 75">
              <a:extLst>
                <a:ext uri="{FF2B5EF4-FFF2-40B4-BE49-F238E27FC236}">
                  <a16:creationId xmlns:a16="http://schemas.microsoft.com/office/drawing/2014/main" id="{1524C2F0-E889-4992-AF78-2D17C1DD769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7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5" name="Line 76">
              <a:extLst>
                <a:ext uri="{FF2B5EF4-FFF2-40B4-BE49-F238E27FC236}">
                  <a16:creationId xmlns:a16="http://schemas.microsoft.com/office/drawing/2014/main" id="{DED101F1-85E7-4A42-92C2-79A6E0EDCB4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6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6" name="Line 77">
              <a:extLst>
                <a:ext uri="{FF2B5EF4-FFF2-40B4-BE49-F238E27FC236}">
                  <a16:creationId xmlns:a16="http://schemas.microsoft.com/office/drawing/2014/main" id="{41B9C6AA-C564-4FC5-9AD3-7153AEAB5AF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5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7" name="Line 78">
              <a:extLst>
                <a:ext uri="{FF2B5EF4-FFF2-40B4-BE49-F238E27FC236}">
                  <a16:creationId xmlns:a16="http://schemas.microsoft.com/office/drawing/2014/main" id="{79D15AB0-E317-4B81-85E3-C934033E3CA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47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8" name="Line 79">
              <a:extLst>
                <a:ext uri="{FF2B5EF4-FFF2-40B4-BE49-F238E27FC236}">
                  <a16:creationId xmlns:a16="http://schemas.microsoft.com/office/drawing/2014/main" id="{F29F495A-7C2F-403A-AD6F-770CBC8395A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9" name="Line 80">
              <a:extLst>
                <a:ext uri="{FF2B5EF4-FFF2-40B4-BE49-F238E27FC236}">
                  <a16:creationId xmlns:a16="http://schemas.microsoft.com/office/drawing/2014/main" id="{EB788D39-DAAF-41EB-BC4C-9C39FF71D9B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0" name="Line 81">
              <a:extLst>
                <a:ext uri="{FF2B5EF4-FFF2-40B4-BE49-F238E27FC236}">
                  <a16:creationId xmlns:a16="http://schemas.microsoft.com/office/drawing/2014/main" id="{0A2DAABB-F6DC-4D70-9AF7-0346C324A38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2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1" name="Line 82">
              <a:extLst>
                <a:ext uri="{FF2B5EF4-FFF2-40B4-BE49-F238E27FC236}">
                  <a16:creationId xmlns:a16="http://schemas.microsoft.com/office/drawing/2014/main" id="{41E579C3-D32F-4747-BDC5-1A5314B8F9B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1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2" name="Line 83">
              <a:extLst>
                <a:ext uri="{FF2B5EF4-FFF2-40B4-BE49-F238E27FC236}">
                  <a16:creationId xmlns:a16="http://schemas.microsoft.com/office/drawing/2014/main" id="{0BF9D9A3-475A-46BA-B69A-3F5622292DD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3" name="Freeform 84">
              <a:extLst>
                <a:ext uri="{FF2B5EF4-FFF2-40B4-BE49-F238E27FC236}">
                  <a16:creationId xmlns:a16="http://schemas.microsoft.com/office/drawing/2014/main" id="{367133E8-D5FB-4C2D-BB46-0C3DB3AFB71A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105 h 105"/>
                <a:gd name="T2" fmla="*/ 1979 w 1979"/>
                <a:gd name="T3" fmla="*/ 0 h 105"/>
                <a:gd name="T4" fmla="*/ 0 w 1979"/>
                <a:gd name="T5" fmla="*/ 105 h 105"/>
                <a:gd name="T6" fmla="*/ 1979 w 197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105"/>
                  </a:moveTo>
                  <a:lnTo>
                    <a:pt x="1979" y="0"/>
                  </a:lnTo>
                  <a:lnTo>
                    <a:pt x="0" y="105"/>
                  </a:lnTo>
                  <a:lnTo>
                    <a:pt x="1979" y="10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4" name="Freeform 85">
              <a:extLst>
                <a:ext uri="{FF2B5EF4-FFF2-40B4-BE49-F238E27FC236}">
                  <a16:creationId xmlns:a16="http://schemas.microsoft.com/office/drawing/2014/main" id="{A70BB596-8232-47ED-821D-C5873651105C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0 h 105"/>
                <a:gd name="T2" fmla="*/ 0 w 1979"/>
                <a:gd name="T3" fmla="*/ 105 h 105"/>
                <a:gd name="T4" fmla="*/ 18 w 1979"/>
                <a:gd name="T5" fmla="*/ 0 h 105"/>
                <a:gd name="T6" fmla="*/ 1979 w 1979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0"/>
                  </a:moveTo>
                  <a:lnTo>
                    <a:pt x="0" y="105"/>
                  </a:lnTo>
                  <a:lnTo>
                    <a:pt x="18" y="0"/>
                  </a:lnTo>
                  <a:lnTo>
                    <a:pt x="197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5" name="Freeform 86">
              <a:extLst>
                <a:ext uri="{FF2B5EF4-FFF2-40B4-BE49-F238E27FC236}">
                  <a16:creationId xmlns:a16="http://schemas.microsoft.com/office/drawing/2014/main" id="{48E3E5C6-EE0A-4082-9603-1B4700465DC0}"/>
                </a:ext>
              </a:extLst>
            </xdr:cNvPr>
            <xdr:cNvSpPr>
              <a:spLocks/>
            </xdr:cNvSpPr>
          </xdr:nvSpPr>
          <xdr:spPr bwMode="auto">
            <a:xfrm>
              <a:off x="1028" y="238"/>
              <a:ext cx="162" cy="59"/>
            </a:xfrm>
            <a:custGeom>
              <a:avLst/>
              <a:gdLst>
                <a:gd name="T0" fmla="*/ 9523 w 9541"/>
                <a:gd name="T1" fmla="*/ 3477 h 3477"/>
                <a:gd name="T2" fmla="*/ 9541 w 9541"/>
                <a:gd name="T3" fmla="*/ 3372 h 3477"/>
                <a:gd name="T4" fmla="*/ 0 w 9541"/>
                <a:gd name="T5" fmla="*/ 0 h 3477"/>
                <a:gd name="T6" fmla="*/ 9523 w 9541"/>
                <a:gd name="T7" fmla="*/ 3477 h 34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7">
                  <a:moveTo>
                    <a:pt x="9523" y="3477"/>
                  </a:moveTo>
                  <a:lnTo>
                    <a:pt x="9541" y="3372"/>
                  </a:lnTo>
                  <a:lnTo>
                    <a:pt x="0" y="0"/>
                  </a:lnTo>
                  <a:lnTo>
                    <a:pt x="9523" y="347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6" name="Freeform 87">
              <a:extLst>
                <a:ext uri="{FF2B5EF4-FFF2-40B4-BE49-F238E27FC236}">
                  <a16:creationId xmlns:a16="http://schemas.microsoft.com/office/drawing/2014/main" id="{E7CF11E1-CB87-4A5B-87EC-6CCFF8A8B9BC}"/>
                </a:ext>
              </a:extLst>
            </xdr:cNvPr>
            <xdr:cNvSpPr>
              <a:spLocks/>
            </xdr:cNvSpPr>
          </xdr:nvSpPr>
          <xdr:spPr bwMode="auto">
            <a:xfrm>
              <a:off x="1028" y="237"/>
              <a:ext cx="162" cy="59"/>
            </a:xfrm>
            <a:custGeom>
              <a:avLst/>
              <a:gdLst>
                <a:gd name="T0" fmla="*/ 9541 w 9541"/>
                <a:gd name="T1" fmla="*/ 3478 h 3478"/>
                <a:gd name="T2" fmla="*/ 0 w 9541"/>
                <a:gd name="T3" fmla="*/ 106 h 3478"/>
                <a:gd name="T4" fmla="*/ 18 w 9541"/>
                <a:gd name="T5" fmla="*/ 0 h 3478"/>
                <a:gd name="T6" fmla="*/ 9541 w 9541"/>
                <a:gd name="T7" fmla="*/ 3478 h 34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8">
                  <a:moveTo>
                    <a:pt x="9541" y="3478"/>
                  </a:moveTo>
                  <a:lnTo>
                    <a:pt x="0" y="106"/>
                  </a:lnTo>
                  <a:lnTo>
                    <a:pt x="18" y="0"/>
                  </a:lnTo>
                  <a:lnTo>
                    <a:pt x="9541" y="3478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7" name="Freeform 88">
              <a:extLst>
                <a:ext uri="{FF2B5EF4-FFF2-40B4-BE49-F238E27FC236}">
                  <a16:creationId xmlns:a16="http://schemas.microsoft.com/office/drawing/2014/main" id="{DD5BE966-5F16-4E39-AF9E-36B3928E8DDF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35 w 11553"/>
                <a:gd name="T1" fmla="*/ 106 h 106"/>
                <a:gd name="T2" fmla="*/ 11553 w 11553"/>
                <a:gd name="T3" fmla="*/ 0 h 106"/>
                <a:gd name="T4" fmla="*/ 0 w 11553"/>
                <a:gd name="T5" fmla="*/ 106 h 106"/>
                <a:gd name="T6" fmla="*/ 11535 w 11553"/>
                <a:gd name="T7" fmla="*/ 106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35" y="106"/>
                  </a:moveTo>
                  <a:lnTo>
                    <a:pt x="11553" y="0"/>
                  </a:lnTo>
                  <a:lnTo>
                    <a:pt x="0" y="106"/>
                  </a:lnTo>
                  <a:lnTo>
                    <a:pt x="11535" y="10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8" name="Freeform 89">
              <a:extLst>
                <a:ext uri="{FF2B5EF4-FFF2-40B4-BE49-F238E27FC236}">
                  <a16:creationId xmlns:a16="http://schemas.microsoft.com/office/drawing/2014/main" id="{7E6014BA-56EE-4FE3-97CD-A83621ED8A46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53 w 11553"/>
                <a:gd name="T1" fmla="*/ 0 h 106"/>
                <a:gd name="T2" fmla="*/ 0 w 11553"/>
                <a:gd name="T3" fmla="*/ 106 h 106"/>
                <a:gd name="T4" fmla="*/ 0 w 11553"/>
                <a:gd name="T5" fmla="*/ 0 h 106"/>
                <a:gd name="T6" fmla="*/ 11553 w 115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53" y="0"/>
                  </a:moveTo>
                  <a:lnTo>
                    <a:pt x="0" y="106"/>
                  </a:lnTo>
                  <a:lnTo>
                    <a:pt x="0" y="0"/>
                  </a:lnTo>
                  <a:lnTo>
                    <a:pt x="1155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9" name="Freeform 90">
              <a:extLst>
                <a:ext uri="{FF2B5EF4-FFF2-40B4-BE49-F238E27FC236}">
                  <a16:creationId xmlns:a16="http://schemas.microsoft.com/office/drawing/2014/main" id="{159F762C-C071-477D-B1B4-8837254EF902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76"/>
                <a:gd name="T1" fmla="*/ 7696 h 7794"/>
                <a:gd name="T2" fmla="*/ 36 w 21076"/>
                <a:gd name="T3" fmla="*/ 7794 h 7794"/>
                <a:gd name="T4" fmla="*/ 21076 w 21076"/>
                <a:gd name="T5" fmla="*/ 0 h 7794"/>
                <a:gd name="T6" fmla="*/ 0 w 21076"/>
                <a:gd name="T7" fmla="*/ 7696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76" h="7794">
                  <a:moveTo>
                    <a:pt x="0" y="7696"/>
                  </a:moveTo>
                  <a:lnTo>
                    <a:pt x="36" y="7794"/>
                  </a:lnTo>
                  <a:lnTo>
                    <a:pt x="21076" y="0"/>
                  </a:lnTo>
                  <a:lnTo>
                    <a:pt x="0" y="769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0" name="Freeform 91">
              <a:extLst>
                <a:ext uri="{FF2B5EF4-FFF2-40B4-BE49-F238E27FC236}">
                  <a16:creationId xmlns:a16="http://schemas.microsoft.com/office/drawing/2014/main" id="{D334987B-452D-4108-988C-F050538DBEA3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58"/>
                <a:gd name="T1" fmla="*/ 7794 h 7794"/>
                <a:gd name="T2" fmla="*/ 21040 w 21058"/>
                <a:gd name="T3" fmla="*/ 0 h 7794"/>
                <a:gd name="T4" fmla="*/ 21058 w 21058"/>
                <a:gd name="T5" fmla="*/ 107 h 7794"/>
                <a:gd name="T6" fmla="*/ 0 w 21058"/>
                <a:gd name="T7" fmla="*/ 7794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58" h="7794">
                  <a:moveTo>
                    <a:pt x="0" y="7794"/>
                  </a:moveTo>
                  <a:lnTo>
                    <a:pt x="21040" y="0"/>
                  </a:lnTo>
                  <a:lnTo>
                    <a:pt x="21058" y="107"/>
                  </a:lnTo>
                  <a:lnTo>
                    <a:pt x="0" y="779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1" name="Freeform 92">
              <a:extLst>
                <a:ext uri="{FF2B5EF4-FFF2-40B4-BE49-F238E27FC236}">
                  <a16:creationId xmlns:a16="http://schemas.microsoft.com/office/drawing/2014/main" id="{5F807FA8-E45E-4C8A-B618-21C180D2CF90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79"/>
                <a:gd name="T1" fmla="*/ 0 h 107"/>
                <a:gd name="T2" fmla="*/ 18 w 1979"/>
                <a:gd name="T3" fmla="*/ 107 h 107"/>
                <a:gd name="T4" fmla="*/ 1979 w 1979"/>
                <a:gd name="T5" fmla="*/ 0 h 107"/>
                <a:gd name="T6" fmla="*/ 0 w 1979"/>
                <a:gd name="T7" fmla="*/ 0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7">
                  <a:moveTo>
                    <a:pt x="0" y="0"/>
                  </a:moveTo>
                  <a:lnTo>
                    <a:pt x="18" y="107"/>
                  </a:lnTo>
                  <a:lnTo>
                    <a:pt x="1979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2" name="Freeform 93">
              <a:extLst>
                <a:ext uri="{FF2B5EF4-FFF2-40B4-BE49-F238E27FC236}">
                  <a16:creationId xmlns:a16="http://schemas.microsoft.com/office/drawing/2014/main" id="{AF1669CE-A839-4FE6-8704-08058231D039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61"/>
                <a:gd name="T1" fmla="*/ 107 h 107"/>
                <a:gd name="T2" fmla="*/ 1961 w 1961"/>
                <a:gd name="T3" fmla="*/ 0 h 107"/>
                <a:gd name="T4" fmla="*/ 1961 w 1961"/>
                <a:gd name="T5" fmla="*/ 107 h 107"/>
                <a:gd name="T6" fmla="*/ 0 w 1961"/>
                <a:gd name="T7" fmla="*/ 107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61" h="107">
                  <a:moveTo>
                    <a:pt x="0" y="107"/>
                  </a:moveTo>
                  <a:lnTo>
                    <a:pt x="1961" y="0"/>
                  </a:lnTo>
                  <a:lnTo>
                    <a:pt x="1961" y="107"/>
                  </a:lnTo>
                  <a:lnTo>
                    <a:pt x="0" y="10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3" name="Line 94">
              <a:extLst>
                <a:ext uri="{FF2B5EF4-FFF2-40B4-BE49-F238E27FC236}">
                  <a16:creationId xmlns:a16="http://schemas.microsoft.com/office/drawing/2014/main" id="{8EF27249-75D1-4A98-8240-A508500ECDB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928" y="202"/>
              <a:ext cx="262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4" name="Line 95">
              <a:extLst>
                <a:ext uri="{FF2B5EF4-FFF2-40B4-BE49-F238E27FC236}">
                  <a16:creationId xmlns:a16="http://schemas.microsoft.com/office/drawing/2014/main" id="{B474F4F2-1983-4E9E-97C8-FD6B7FAA382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93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5" name="Line 96">
              <a:extLst>
                <a:ext uri="{FF2B5EF4-FFF2-40B4-BE49-F238E27FC236}">
                  <a16:creationId xmlns:a16="http://schemas.microsoft.com/office/drawing/2014/main" id="{59CAE729-6D91-4479-A178-F99DAD592E9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8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6" name="Line 97">
              <a:extLst>
                <a:ext uri="{FF2B5EF4-FFF2-40B4-BE49-F238E27FC236}">
                  <a16:creationId xmlns:a16="http://schemas.microsoft.com/office/drawing/2014/main" id="{5C85E9BE-F068-44AA-B16C-82A8E6C6ED4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7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7" name="Line 98">
              <a:extLst>
                <a:ext uri="{FF2B5EF4-FFF2-40B4-BE49-F238E27FC236}">
                  <a16:creationId xmlns:a16="http://schemas.microsoft.com/office/drawing/2014/main" id="{F64CA5E5-6199-45ED-A9E1-326771E42E9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6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8" name="Line 99">
              <a:extLst>
                <a:ext uri="{FF2B5EF4-FFF2-40B4-BE49-F238E27FC236}">
                  <a16:creationId xmlns:a16="http://schemas.microsoft.com/office/drawing/2014/main" id="{AF313EBA-DAD5-4D48-8789-60DDE507984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9" name="Line 100">
              <a:extLst>
                <a:ext uri="{FF2B5EF4-FFF2-40B4-BE49-F238E27FC236}">
                  <a16:creationId xmlns:a16="http://schemas.microsoft.com/office/drawing/2014/main" id="{C0F0B360-935F-45BB-BD37-FFAEEE80A93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0" name="Line 101">
              <a:extLst>
                <a:ext uri="{FF2B5EF4-FFF2-40B4-BE49-F238E27FC236}">
                  <a16:creationId xmlns:a16="http://schemas.microsoft.com/office/drawing/2014/main" id="{45361F21-A4D1-4F7E-A050-D38E62E77D5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4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1" name="Line 102">
              <a:extLst>
                <a:ext uri="{FF2B5EF4-FFF2-40B4-BE49-F238E27FC236}">
                  <a16:creationId xmlns:a16="http://schemas.microsoft.com/office/drawing/2014/main" id="{0056FC29-3EFD-4005-87D9-4257C760FD0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3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2" name="Line 103">
              <a:extLst>
                <a:ext uri="{FF2B5EF4-FFF2-40B4-BE49-F238E27FC236}">
                  <a16:creationId xmlns:a16="http://schemas.microsoft.com/office/drawing/2014/main" id="{5B141D4E-55FD-4F08-A0D4-67AECDA844B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2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3" name="Line 104">
              <a:extLst>
                <a:ext uri="{FF2B5EF4-FFF2-40B4-BE49-F238E27FC236}">
                  <a16:creationId xmlns:a16="http://schemas.microsoft.com/office/drawing/2014/main" id="{4D1BB6B0-A62E-4EA1-A7AA-8F54978E802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1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4" name="Line 105">
              <a:extLst>
                <a:ext uri="{FF2B5EF4-FFF2-40B4-BE49-F238E27FC236}">
                  <a16:creationId xmlns:a16="http://schemas.microsoft.com/office/drawing/2014/main" id="{FCB0B316-47EA-406A-B44C-D53999451E1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5" name="Line 106">
              <a:extLst>
                <a:ext uri="{FF2B5EF4-FFF2-40B4-BE49-F238E27FC236}">
                  <a16:creationId xmlns:a16="http://schemas.microsoft.com/office/drawing/2014/main" id="{694507A6-3220-426B-A1A8-0EF23275502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2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6" name="Line 107">
              <a:extLst>
                <a:ext uri="{FF2B5EF4-FFF2-40B4-BE49-F238E27FC236}">
                  <a16:creationId xmlns:a16="http://schemas.microsoft.com/office/drawing/2014/main" id="{43248F5D-F6E1-435F-889C-E4B3506C5FC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7" name="Line 108">
              <a:extLst>
                <a:ext uri="{FF2B5EF4-FFF2-40B4-BE49-F238E27FC236}">
                  <a16:creationId xmlns:a16="http://schemas.microsoft.com/office/drawing/2014/main" id="{F902FEED-CC2D-4138-891B-3BDBCDDD74D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8" name="Line 109">
              <a:extLst>
                <a:ext uri="{FF2B5EF4-FFF2-40B4-BE49-F238E27FC236}">
                  <a16:creationId xmlns:a16="http://schemas.microsoft.com/office/drawing/2014/main" id="{47D78D7E-6E9F-4138-9FFD-C41D6E82E03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9" name="Line 110">
              <a:extLst>
                <a:ext uri="{FF2B5EF4-FFF2-40B4-BE49-F238E27FC236}">
                  <a16:creationId xmlns:a16="http://schemas.microsoft.com/office/drawing/2014/main" id="{B35A89A1-7AF2-4F36-B38C-1E82090EDD3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0" name="Line 111">
              <a:extLst>
                <a:ext uri="{FF2B5EF4-FFF2-40B4-BE49-F238E27FC236}">
                  <a16:creationId xmlns:a16="http://schemas.microsoft.com/office/drawing/2014/main" id="{FE1A027B-D087-464B-91E3-A101A5329CA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1" name="Line 112">
              <a:extLst>
                <a:ext uri="{FF2B5EF4-FFF2-40B4-BE49-F238E27FC236}">
                  <a16:creationId xmlns:a16="http://schemas.microsoft.com/office/drawing/2014/main" id="{CB625B5C-6146-4098-AF08-950E3A28ADD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2" name="Line 113">
              <a:extLst>
                <a:ext uri="{FF2B5EF4-FFF2-40B4-BE49-F238E27FC236}">
                  <a16:creationId xmlns:a16="http://schemas.microsoft.com/office/drawing/2014/main" id="{E9462006-C7D1-425C-974E-CDF60D52509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3" name="Line 114">
              <a:extLst>
                <a:ext uri="{FF2B5EF4-FFF2-40B4-BE49-F238E27FC236}">
                  <a16:creationId xmlns:a16="http://schemas.microsoft.com/office/drawing/2014/main" id="{F1ED3A18-8C47-40FB-96C9-5E155E59605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4" name="Line 115">
              <a:extLst>
                <a:ext uri="{FF2B5EF4-FFF2-40B4-BE49-F238E27FC236}">
                  <a16:creationId xmlns:a16="http://schemas.microsoft.com/office/drawing/2014/main" id="{37063E22-FA90-4DAA-B77F-659CA9E022D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5" name="Line 116">
              <a:extLst>
                <a:ext uri="{FF2B5EF4-FFF2-40B4-BE49-F238E27FC236}">
                  <a16:creationId xmlns:a16="http://schemas.microsoft.com/office/drawing/2014/main" id="{CF281AC4-0BD1-4A60-B174-1E618F0B52D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6" name="Line 117">
              <a:extLst>
                <a:ext uri="{FF2B5EF4-FFF2-40B4-BE49-F238E27FC236}">
                  <a16:creationId xmlns:a16="http://schemas.microsoft.com/office/drawing/2014/main" id="{39FBC907-07C9-44FE-A9F6-B01CE9FE3C7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7" name="Line 118">
              <a:extLst>
                <a:ext uri="{FF2B5EF4-FFF2-40B4-BE49-F238E27FC236}">
                  <a16:creationId xmlns:a16="http://schemas.microsoft.com/office/drawing/2014/main" id="{9CFEBB77-5664-468B-8EC6-EE41D88393A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8" name="Line 119">
              <a:extLst>
                <a:ext uri="{FF2B5EF4-FFF2-40B4-BE49-F238E27FC236}">
                  <a16:creationId xmlns:a16="http://schemas.microsoft.com/office/drawing/2014/main" id="{3851F149-6C50-462F-9AEF-49A17D3CEC4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9" name="Line 120">
              <a:extLst>
                <a:ext uri="{FF2B5EF4-FFF2-40B4-BE49-F238E27FC236}">
                  <a16:creationId xmlns:a16="http://schemas.microsoft.com/office/drawing/2014/main" id="{D16E9867-2BE8-42D8-8FA6-1F46BBC9604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0" name="Line 121">
              <a:extLst>
                <a:ext uri="{FF2B5EF4-FFF2-40B4-BE49-F238E27FC236}">
                  <a16:creationId xmlns:a16="http://schemas.microsoft.com/office/drawing/2014/main" id="{EB2CC13A-8044-4475-9AD8-B25ACE25F52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1" name="Line 122">
              <a:extLst>
                <a:ext uri="{FF2B5EF4-FFF2-40B4-BE49-F238E27FC236}">
                  <a16:creationId xmlns:a16="http://schemas.microsoft.com/office/drawing/2014/main" id="{790459B2-FC6B-4E20-A947-675C2CE6286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2" name="Line 123">
              <a:extLst>
                <a:ext uri="{FF2B5EF4-FFF2-40B4-BE49-F238E27FC236}">
                  <a16:creationId xmlns:a16="http://schemas.microsoft.com/office/drawing/2014/main" id="{F774A625-7BFA-436D-ACAA-889EEE6EC47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3" name="Line 124">
              <a:extLst>
                <a:ext uri="{FF2B5EF4-FFF2-40B4-BE49-F238E27FC236}">
                  <a16:creationId xmlns:a16="http://schemas.microsoft.com/office/drawing/2014/main" id="{D2B05068-871E-48FC-8F3D-F7CC82F40BC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4" name="Line 125">
              <a:extLst>
                <a:ext uri="{FF2B5EF4-FFF2-40B4-BE49-F238E27FC236}">
                  <a16:creationId xmlns:a16="http://schemas.microsoft.com/office/drawing/2014/main" id="{16481603-0A94-4BB1-8805-BCE0E10A442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5" name="Line 126">
              <a:extLst>
                <a:ext uri="{FF2B5EF4-FFF2-40B4-BE49-F238E27FC236}">
                  <a16:creationId xmlns:a16="http://schemas.microsoft.com/office/drawing/2014/main" id="{4FF59666-7B72-41A9-BD61-D829D313E48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6" name="Line 127">
              <a:extLst>
                <a:ext uri="{FF2B5EF4-FFF2-40B4-BE49-F238E27FC236}">
                  <a16:creationId xmlns:a16="http://schemas.microsoft.com/office/drawing/2014/main" id="{49B10D54-6590-4694-91F6-0E17725C1A2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7" name="Line 128">
              <a:extLst>
                <a:ext uri="{FF2B5EF4-FFF2-40B4-BE49-F238E27FC236}">
                  <a16:creationId xmlns:a16="http://schemas.microsoft.com/office/drawing/2014/main" id="{95366C25-5829-4943-B6B0-1F48226C39B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8" name="Line 129">
              <a:extLst>
                <a:ext uri="{FF2B5EF4-FFF2-40B4-BE49-F238E27FC236}">
                  <a16:creationId xmlns:a16="http://schemas.microsoft.com/office/drawing/2014/main" id="{2FD70438-C550-4E89-BE2E-6F2D7694964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9" name="Line 130">
              <a:extLst>
                <a:ext uri="{FF2B5EF4-FFF2-40B4-BE49-F238E27FC236}">
                  <a16:creationId xmlns:a16="http://schemas.microsoft.com/office/drawing/2014/main" id="{F6F0A495-7DAF-4F76-BEB8-E9E83312AD0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0" name="Line 131">
              <a:extLst>
                <a:ext uri="{FF2B5EF4-FFF2-40B4-BE49-F238E27FC236}">
                  <a16:creationId xmlns:a16="http://schemas.microsoft.com/office/drawing/2014/main" id="{DC739549-9CE0-4A9B-AFFA-3211CDFE6AE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1" name="Line 132">
              <a:extLst>
                <a:ext uri="{FF2B5EF4-FFF2-40B4-BE49-F238E27FC236}">
                  <a16:creationId xmlns:a16="http://schemas.microsoft.com/office/drawing/2014/main" id="{5C294EAA-8626-45A9-90BC-30074FC3A5B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2" name="Line 133">
              <a:extLst>
                <a:ext uri="{FF2B5EF4-FFF2-40B4-BE49-F238E27FC236}">
                  <a16:creationId xmlns:a16="http://schemas.microsoft.com/office/drawing/2014/main" id="{C1046405-0731-420A-9F24-CB7D2A30019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3" name="Line 134">
              <a:extLst>
                <a:ext uri="{FF2B5EF4-FFF2-40B4-BE49-F238E27FC236}">
                  <a16:creationId xmlns:a16="http://schemas.microsoft.com/office/drawing/2014/main" id="{891AE7F0-BFBA-4509-97D7-F59B4BBC348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4" name="Line 135">
              <a:extLst>
                <a:ext uri="{FF2B5EF4-FFF2-40B4-BE49-F238E27FC236}">
                  <a16:creationId xmlns:a16="http://schemas.microsoft.com/office/drawing/2014/main" id="{67B7515F-32E4-4FF0-BB3A-13DAB8848D3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5" name="Line 136">
              <a:extLst>
                <a:ext uri="{FF2B5EF4-FFF2-40B4-BE49-F238E27FC236}">
                  <a16:creationId xmlns:a16="http://schemas.microsoft.com/office/drawing/2014/main" id="{8510EE9E-77D9-49C4-8C23-8308BFEF076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6" name="Line 137">
              <a:extLst>
                <a:ext uri="{FF2B5EF4-FFF2-40B4-BE49-F238E27FC236}">
                  <a16:creationId xmlns:a16="http://schemas.microsoft.com/office/drawing/2014/main" id="{8DF94487-9738-4DA9-BD2B-4F74FBFEED3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7" name="Line 138">
              <a:extLst>
                <a:ext uri="{FF2B5EF4-FFF2-40B4-BE49-F238E27FC236}">
                  <a16:creationId xmlns:a16="http://schemas.microsoft.com/office/drawing/2014/main" id="{4850B9CD-1B29-42FF-868B-BD808A7A165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8" name="Line 139">
              <a:extLst>
                <a:ext uri="{FF2B5EF4-FFF2-40B4-BE49-F238E27FC236}">
                  <a16:creationId xmlns:a16="http://schemas.microsoft.com/office/drawing/2014/main" id="{ADEB169F-3C2F-498E-80AF-F30EC31DEB6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9" name="Line 140">
              <a:extLst>
                <a:ext uri="{FF2B5EF4-FFF2-40B4-BE49-F238E27FC236}">
                  <a16:creationId xmlns:a16="http://schemas.microsoft.com/office/drawing/2014/main" id="{393ED512-FE3D-46D8-B4F1-65689ABE08E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0" name="Line 141">
              <a:extLst>
                <a:ext uri="{FF2B5EF4-FFF2-40B4-BE49-F238E27FC236}">
                  <a16:creationId xmlns:a16="http://schemas.microsoft.com/office/drawing/2014/main" id="{BCC70C97-E356-4039-9058-ED01B95AE2D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1" name="Line 142">
              <a:extLst>
                <a:ext uri="{FF2B5EF4-FFF2-40B4-BE49-F238E27FC236}">
                  <a16:creationId xmlns:a16="http://schemas.microsoft.com/office/drawing/2014/main" id="{E4975850-E7C2-40FE-8CFB-3224A893D2E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2" name="Line 143">
              <a:extLst>
                <a:ext uri="{FF2B5EF4-FFF2-40B4-BE49-F238E27FC236}">
                  <a16:creationId xmlns:a16="http://schemas.microsoft.com/office/drawing/2014/main" id="{98A6E81E-B10D-4919-8E83-C96C3A0BC67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3" name="Line 144">
              <a:extLst>
                <a:ext uri="{FF2B5EF4-FFF2-40B4-BE49-F238E27FC236}">
                  <a16:creationId xmlns:a16="http://schemas.microsoft.com/office/drawing/2014/main" id="{719E4CF8-0EA5-48D6-B1FA-8F0148A3557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4" name="Line 145">
              <a:extLst>
                <a:ext uri="{FF2B5EF4-FFF2-40B4-BE49-F238E27FC236}">
                  <a16:creationId xmlns:a16="http://schemas.microsoft.com/office/drawing/2014/main" id="{50FE7ED4-0E64-44EE-9BF1-CBF0F0C9130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5" name="Line 146">
              <a:extLst>
                <a:ext uri="{FF2B5EF4-FFF2-40B4-BE49-F238E27FC236}">
                  <a16:creationId xmlns:a16="http://schemas.microsoft.com/office/drawing/2014/main" id="{CF95F00E-22BB-4181-9C19-CE59A4361C6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6" name="Line 147">
              <a:extLst>
                <a:ext uri="{FF2B5EF4-FFF2-40B4-BE49-F238E27FC236}">
                  <a16:creationId xmlns:a16="http://schemas.microsoft.com/office/drawing/2014/main" id="{F48CA26E-D4B9-4F1C-8B36-78EA12985DE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7" name="Line 148">
              <a:extLst>
                <a:ext uri="{FF2B5EF4-FFF2-40B4-BE49-F238E27FC236}">
                  <a16:creationId xmlns:a16="http://schemas.microsoft.com/office/drawing/2014/main" id="{19C5511D-018E-4175-BAE5-ED340D1C1D1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8" name="Line 149">
              <a:extLst>
                <a:ext uri="{FF2B5EF4-FFF2-40B4-BE49-F238E27FC236}">
                  <a16:creationId xmlns:a16="http://schemas.microsoft.com/office/drawing/2014/main" id="{39FF0721-D14F-4E25-AFE0-AC044D0189E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9" name="Line 150">
              <a:extLst>
                <a:ext uri="{FF2B5EF4-FFF2-40B4-BE49-F238E27FC236}">
                  <a16:creationId xmlns:a16="http://schemas.microsoft.com/office/drawing/2014/main" id="{F98A2528-3F83-4999-9C96-0A5ED217635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0" name="Line 151">
              <a:extLst>
                <a:ext uri="{FF2B5EF4-FFF2-40B4-BE49-F238E27FC236}">
                  <a16:creationId xmlns:a16="http://schemas.microsoft.com/office/drawing/2014/main" id="{D17ED58E-6B16-44AC-81B6-A58C563C08C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1" name="Line 152">
              <a:extLst>
                <a:ext uri="{FF2B5EF4-FFF2-40B4-BE49-F238E27FC236}">
                  <a16:creationId xmlns:a16="http://schemas.microsoft.com/office/drawing/2014/main" id="{C544C0F2-D226-42C7-AFB2-8F3986B6F4C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2" name="Line 153">
              <a:extLst>
                <a:ext uri="{FF2B5EF4-FFF2-40B4-BE49-F238E27FC236}">
                  <a16:creationId xmlns:a16="http://schemas.microsoft.com/office/drawing/2014/main" id="{F8F5F9F2-2D34-429C-A08B-A50214D4131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3" name="Line 154">
              <a:extLst>
                <a:ext uri="{FF2B5EF4-FFF2-40B4-BE49-F238E27FC236}">
                  <a16:creationId xmlns:a16="http://schemas.microsoft.com/office/drawing/2014/main" id="{AB24334B-A324-415F-B618-164A99B34E0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4" name="Line 155">
              <a:extLst>
                <a:ext uri="{FF2B5EF4-FFF2-40B4-BE49-F238E27FC236}">
                  <a16:creationId xmlns:a16="http://schemas.microsoft.com/office/drawing/2014/main" id="{DC1291E5-76CE-42EF-A3EE-BB6A9ACB33C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5" name="Line 156">
              <a:extLst>
                <a:ext uri="{FF2B5EF4-FFF2-40B4-BE49-F238E27FC236}">
                  <a16:creationId xmlns:a16="http://schemas.microsoft.com/office/drawing/2014/main" id="{3E5540F1-F8DF-4D5E-A2B8-4A9D7C4B729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6" name="Line 157">
              <a:extLst>
                <a:ext uri="{FF2B5EF4-FFF2-40B4-BE49-F238E27FC236}">
                  <a16:creationId xmlns:a16="http://schemas.microsoft.com/office/drawing/2014/main" id="{570E524C-023C-4516-A80B-489E7C1BFC3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7" name="Line 158">
              <a:extLst>
                <a:ext uri="{FF2B5EF4-FFF2-40B4-BE49-F238E27FC236}">
                  <a16:creationId xmlns:a16="http://schemas.microsoft.com/office/drawing/2014/main" id="{E7DDB708-3D60-444C-A561-A3056DF10FC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8" name="Line 159">
              <a:extLst>
                <a:ext uri="{FF2B5EF4-FFF2-40B4-BE49-F238E27FC236}">
                  <a16:creationId xmlns:a16="http://schemas.microsoft.com/office/drawing/2014/main" id="{B074B7F0-903C-420E-B904-D08D7AEF326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9" name="Line 160">
              <a:extLst>
                <a:ext uri="{FF2B5EF4-FFF2-40B4-BE49-F238E27FC236}">
                  <a16:creationId xmlns:a16="http://schemas.microsoft.com/office/drawing/2014/main" id="{C05852E2-A112-4030-8427-BA36B90BE95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0" name="Line 161">
              <a:extLst>
                <a:ext uri="{FF2B5EF4-FFF2-40B4-BE49-F238E27FC236}">
                  <a16:creationId xmlns:a16="http://schemas.microsoft.com/office/drawing/2014/main" id="{C9ED49D2-23D2-49B3-866E-12188F94772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1" name="Line 162">
              <a:extLst>
                <a:ext uri="{FF2B5EF4-FFF2-40B4-BE49-F238E27FC236}">
                  <a16:creationId xmlns:a16="http://schemas.microsoft.com/office/drawing/2014/main" id="{36B6D6B7-173C-4C0C-BB40-58FFF78D12C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2" name="Line 163">
              <a:extLst>
                <a:ext uri="{FF2B5EF4-FFF2-40B4-BE49-F238E27FC236}">
                  <a16:creationId xmlns:a16="http://schemas.microsoft.com/office/drawing/2014/main" id="{EAE3E147-B941-4665-987A-7C026651CC5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3" name="Line 164">
              <a:extLst>
                <a:ext uri="{FF2B5EF4-FFF2-40B4-BE49-F238E27FC236}">
                  <a16:creationId xmlns:a16="http://schemas.microsoft.com/office/drawing/2014/main" id="{54EA506A-8363-420D-9DC0-A834CC47FEC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4" name="Line 165">
              <a:extLst>
                <a:ext uri="{FF2B5EF4-FFF2-40B4-BE49-F238E27FC236}">
                  <a16:creationId xmlns:a16="http://schemas.microsoft.com/office/drawing/2014/main" id="{81044F4D-1105-422A-8160-9C94112A27E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5" name="Line 166">
              <a:extLst>
                <a:ext uri="{FF2B5EF4-FFF2-40B4-BE49-F238E27FC236}">
                  <a16:creationId xmlns:a16="http://schemas.microsoft.com/office/drawing/2014/main" id="{36977BCF-3A71-4DB8-A491-CC6E3063CDA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6" name="Line 167">
              <a:extLst>
                <a:ext uri="{FF2B5EF4-FFF2-40B4-BE49-F238E27FC236}">
                  <a16:creationId xmlns:a16="http://schemas.microsoft.com/office/drawing/2014/main" id="{2428BF3A-04BB-4C47-8F1C-2E7DACFB40C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7" name="Line 168">
              <a:extLst>
                <a:ext uri="{FF2B5EF4-FFF2-40B4-BE49-F238E27FC236}">
                  <a16:creationId xmlns:a16="http://schemas.microsoft.com/office/drawing/2014/main" id="{0D979880-5430-4085-83ED-8591B83E9C6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8" name="Line 169">
              <a:extLst>
                <a:ext uri="{FF2B5EF4-FFF2-40B4-BE49-F238E27FC236}">
                  <a16:creationId xmlns:a16="http://schemas.microsoft.com/office/drawing/2014/main" id="{74F2BDC3-EA73-4484-BCDB-A8278E5DA64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9" name="Line 170">
              <a:extLst>
                <a:ext uri="{FF2B5EF4-FFF2-40B4-BE49-F238E27FC236}">
                  <a16:creationId xmlns:a16="http://schemas.microsoft.com/office/drawing/2014/main" id="{4F1B8593-76F1-4B8B-81CC-B1102642A13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0" name="Line 171">
              <a:extLst>
                <a:ext uri="{FF2B5EF4-FFF2-40B4-BE49-F238E27FC236}">
                  <a16:creationId xmlns:a16="http://schemas.microsoft.com/office/drawing/2014/main" id="{6680C3D0-2073-4C2D-9C44-81C59536075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33" y="202"/>
              <a:ext cx="95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1" name="Freeform 172">
              <a:extLst>
                <a:ext uri="{FF2B5EF4-FFF2-40B4-BE49-F238E27FC236}">
                  <a16:creationId xmlns:a16="http://schemas.microsoft.com/office/drawing/2014/main" id="{1396CD98-A722-40A1-B222-EAFC53A56170}"/>
                </a:ext>
              </a:extLst>
            </xdr:cNvPr>
            <xdr:cNvSpPr>
              <a:spLocks/>
            </xdr:cNvSpPr>
          </xdr:nvSpPr>
          <xdr:spPr bwMode="auto">
            <a:xfrm>
              <a:off x="821" y="188"/>
              <a:ext cx="6" cy="9"/>
            </a:xfrm>
            <a:custGeom>
              <a:avLst/>
              <a:gdLst>
                <a:gd name="T0" fmla="*/ 0 w 351"/>
                <a:gd name="T1" fmla="*/ 526 h 526"/>
                <a:gd name="T2" fmla="*/ 0 w 351"/>
                <a:gd name="T3" fmla="*/ 351 h 526"/>
                <a:gd name="T4" fmla="*/ 176 w 351"/>
                <a:gd name="T5" fmla="*/ 0 h 526"/>
                <a:gd name="T6" fmla="*/ 351 w 351"/>
                <a:gd name="T7" fmla="*/ 351 h 526"/>
                <a:gd name="T8" fmla="*/ 351 w 351"/>
                <a:gd name="T9" fmla="*/ 526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526">
                  <a:moveTo>
                    <a:pt x="0" y="526"/>
                  </a:moveTo>
                  <a:lnTo>
                    <a:pt x="0" y="351"/>
                  </a:lnTo>
                  <a:lnTo>
                    <a:pt x="176" y="0"/>
                  </a:lnTo>
                  <a:lnTo>
                    <a:pt x="351" y="351"/>
                  </a:lnTo>
                  <a:lnTo>
                    <a:pt x="351" y="526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62" name="Line 173">
              <a:extLst>
                <a:ext uri="{FF2B5EF4-FFF2-40B4-BE49-F238E27FC236}">
                  <a16:creationId xmlns:a16="http://schemas.microsoft.com/office/drawing/2014/main" id="{D886E1A0-FBB8-4793-8200-6F1BF71F93D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1" y="194"/>
              <a:ext cx="6" cy="0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3" name="Freeform 174">
              <a:extLst>
                <a:ext uri="{FF2B5EF4-FFF2-40B4-BE49-F238E27FC236}">
                  <a16:creationId xmlns:a16="http://schemas.microsoft.com/office/drawing/2014/main" id="{E1907C85-F154-4847-B415-E8D529272731}"/>
                </a:ext>
              </a:extLst>
            </xdr:cNvPr>
            <xdr:cNvSpPr>
              <a:spLocks/>
            </xdr:cNvSpPr>
          </xdr:nvSpPr>
          <xdr:spPr bwMode="auto">
            <a:xfrm>
              <a:off x="833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4" name="Freeform 175">
              <a:extLst>
                <a:ext uri="{FF2B5EF4-FFF2-40B4-BE49-F238E27FC236}">
                  <a16:creationId xmlns:a16="http://schemas.microsoft.com/office/drawing/2014/main" id="{C84092D3-7CBD-4346-93E3-7AD842631CA6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5" name="Freeform 176">
              <a:extLst>
                <a:ext uri="{FF2B5EF4-FFF2-40B4-BE49-F238E27FC236}">
                  <a16:creationId xmlns:a16="http://schemas.microsoft.com/office/drawing/2014/main" id="{55E7978E-B880-4988-B553-CAB528B4540A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1" cy="2"/>
            </a:xfrm>
            <a:custGeom>
              <a:avLst/>
              <a:gdLst>
                <a:gd name="T0" fmla="*/ 53 w 53"/>
                <a:gd name="T1" fmla="*/ 14 h 106"/>
                <a:gd name="T2" fmla="*/ 0 w 53"/>
                <a:gd name="T3" fmla="*/ 0 h 106"/>
                <a:gd name="T4" fmla="*/ 0 w 53"/>
                <a:gd name="T5" fmla="*/ 106 h 106"/>
                <a:gd name="T6" fmla="*/ 53 w 53"/>
                <a:gd name="T7" fmla="*/ 14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14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53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6" name="Freeform 177">
              <a:extLst>
                <a:ext uri="{FF2B5EF4-FFF2-40B4-BE49-F238E27FC236}">
                  <a16:creationId xmlns:a16="http://schemas.microsoft.com/office/drawing/2014/main" id="{7E309E91-40A1-4418-9C89-313669072396}"/>
                </a:ext>
              </a:extLst>
            </xdr:cNvPr>
            <xdr:cNvSpPr>
              <a:spLocks/>
            </xdr:cNvSpPr>
          </xdr:nvSpPr>
          <xdr:spPr bwMode="auto">
            <a:xfrm>
              <a:off x="832" y="200"/>
              <a:ext cx="1" cy="2"/>
            </a:xfrm>
            <a:custGeom>
              <a:avLst/>
              <a:gdLst>
                <a:gd name="T0" fmla="*/ 53 w 53"/>
                <a:gd name="T1" fmla="*/ 0 h 106"/>
                <a:gd name="T2" fmla="*/ 0 w 53"/>
                <a:gd name="T3" fmla="*/ 14 h 106"/>
                <a:gd name="T4" fmla="*/ 53 w 53"/>
                <a:gd name="T5" fmla="*/ 106 h 106"/>
                <a:gd name="T6" fmla="*/ 53 w 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0"/>
                  </a:moveTo>
                  <a:lnTo>
                    <a:pt x="0" y="14"/>
                  </a:lnTo>
                  <a:lnTo>
                    <a:pt x="53" y="106"/>
                  </a:lnTo>
                  <a:lnTo>
                    <a:pt x="5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7" name="Freeform 178">
              <a:extLst>
                <a:ext uri="{FF2B5EF4-FFF2-40B4-BE49-F238E27FC236}">
                  <a16:creationId xmlns:a16="http://schemas.microsoft.com/office/drawing/2014/main" id="{B493327C-93A4-47B1-AAA9-AE7BF44E0DC7}"/>
                </a:ext>
              </a:extLst>
            </xdr:cNvPr>
            <xdr:cNvSpPr>
              <a:spLocks/>
            </xdr:cNvSpPr>
          </xdr:nvSpPr>
          <xdr:spPr bwMode="auto">
            <a:xfrm>
              <a:off x="831" y="200"/>
              <a:ext cx="2" cy="2"/>
            </a:xfrm>
            <a:custGeom>
              <a:avLst/>
              <a:gdLst>
                <a:gd name="T0" fmla="*/ 38 w 91"/>
                <a:gd name="T1" fmla="*/ 0 h 92"/>
                <a:gd name="T2" fmla="*/ 0 w 91"/>
                <a:gd name="T3" fmla="*/ 39 h 92"/>
                <a:gd name="T4" fmla="*/ 91 w 91"/>
                <a:gd name="T5" fmla="*/ 92 h 92"/>
                <a:gd name="T6" fmla="*/ 38 w 91"/>
                <a:gd name="T7" fmla="*/ 0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38" y="0"/>
                  </a:moveTo>
                  <a:lnTo>
                    <a:pt x="0" y="39"/>
                  </a:lnTo>
                  <a:lnTo>
                    <a:pt x="91" y="92"/>
                  </a:lnTo>
                  <a:lnTo>
                    <a:pt x="3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8" name="Freeform 179">
              <a:extLst>
                <a:ext uri="{FF2B5EF4-FFF2-40B4-BE49-F238E27FC236}">
                  <a16:creationId xmlns:a16="http://schemas.microsoft.com/office/drawing/2014/main" id="{8DC85A57-FF2D-4CC6-A7B6-1E7B9910A113}"/>
                </a:ext>
              </a:extLst>
            </xdr:cNvPr>
            <xdr:cNvSpPr>
              <a:spLocks/>
            </xdr:cNvSpPr>
          </xdr:nvSpPr>
          <xdr:spPr bwMode="auto">
            <a:xfrm>
              <a:off x="831" y="201"/>
              <a:ext cx="2" cy="1"/>
            </a:xfrm>
            <a:custGeom>
              <a:avLst/>
              <a:gdLst>
                <a:gd name="T0" fmla="*/ 14 w 105"/>
                <a:gd name="T1" fmla="*/ 0 h 53"/>
                <a:gd name="T2" fmla="*/ 0 w 105"/>
                <a:gd name="T3" fmla="*/ 53 h 53"/>
                <a:gd name="T4" fmla="*/ 105 w 105"/>
                <a:gd name="T5" fmla="*/ 53 h 53"/>
                <a:gd name="T6" fmla="*/ 14 w 105"/>
                <a:gd name="T7" fmla="*/ 0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4" y="0"/>
                  </a:moveTo>
                  <a:lnTo>
                    <a:pt x="0" y="53"/>
                  </a:lnTo>
                  <a:lnTo>
                    <a:pt x="105" y="53"/>
                  </a:lnTo>
                  <a:lnTo>
                    <a:pt x="1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9" name="Freeform 180">
              <a:extLst>
                <a:ext uri="{FF2B5EF4-FFF2-40B4-BE49-F238E27FC236}">
                  <a16:creationId xmlns:a16="http://schemas.microsoft.com/office/drawing/2014/main" id="{A146BCDC-42FB-454A-AD4F-BA5456A1E0CB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105"/>
                <a:gd name="T1" fmla="*/ 0 h 52"/>
                <a:gd name="T2" fmla="*/ 14 w 105"/>
                <a:gd name="T3" fmla="*/ 52 h 52"/>
                <a:gd name="T4" fmla="*/ 105 w 105"/>
                <a:gd name="T5" fmla="*/ 0 h 52"/>
                <a:gd name="T6" fmla="*/ 0 w 105"/>
                <a:gd name="T7" fmla="*/ 0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0" y="0"/>
                  </a:moveTo>
                  <a:lnTo>
                    <a:pt x="14" y="52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0" name="Freeform 181">
              <a:extLst>
                <a:ext uri="{FF2B5EF4-FFF2-40B4-BE49-F238E27FC236}">
                  <a16:creationId xmlns:a16="http://schemas.microsoft.com/office/drawing/2014/main" id="{973BEE4C-DFAC-469F-A82A-977169179DF8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91"/>
                <a:gd name="T1" fmla="*/ 52 h 91"/>
                <a:gd name="T2" fmla="*/ 38 w 91"/>
                <a:gd name="T3" fmla="*/ 91 h 91"/>
                <a:gd name="T4" fmla="*/ 91 w 91"/>
                <a:gd name="T5" fmla="*/ 0 h 91"/>
                <a:gd name="T6" fmla="*/ 0 w 91"/>
                <a:gd name="T7" fmla="*/ 52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0" y="52"/>
                  </a:moveTo>
                  <a:lnTo>
                    <a:pt x="38" y="91"/>
                  </a:lnTo>
                  <a:lnTo>
                    <a:pt x="91" y="0"/>
                  </a:lnTo>
                  <a:lnTo>
                    <a:pt x="0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1" name="Freeform 182">
              <a:extLst>
                <a:ext uri="{FF2B5EF4-FFF2-40B4-BE49-F238E27FC236}">
                  <a16:creationId xmlns:a16="http://schemas.microsoft.com/office/drawing/2014/main" id="{98A74D65-3E85-4044-861B-A2B4D9FC818A}"/>
                </a:ext>
              </a:extLst>
            </xdr:cNvPr>
            <xdr:cNvSpPr>
              <a:spLocks/>
            </xdr:cNvSpPr>
          </xdr:nvSpPr>
          <xdr:spPr bwMode="auto">
            <a:xfrm>
              <a:off x="832" y="202"/>
              <a:ext cx="1" cy="2"/>
            </a:xfrm>
            <a:custGeom>
              <a:avLst/>
              <a:gdLst>
                <a:gd name="T0" fmla="*/ 0 w 53"/>
                <a:gd name="T1" fmla="*/ 91 h 105"/>
                <a:gd name="T2" fmla="*/ 53 w 53"/>
                <a:gd name="T3" fmla="*/ 105 h 105"/>
                <a:gd name="T4" fmla="*/ 53 w 53"/>
                <a:gd name="T5" fmla="*/ 0 h 105"/>
                <a:gd name="T6" fmla="*/ 0 w 53"/>
                <a:gd name="T7" fmla="*/ 9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91"/>
                  </a:moveTo>
                  <a:lnTo>
                    <a:pt x="53" y="105"/>
                  </a:lnTo>
                  <a:lnTo>
                    <a:pt x="53" y="0"/>
                  </a:lnTo>
                  <a:lnTo>
                    <a:pt x="0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2" name="Freeform 183">
              <a:extLst>
                <a:ext uri="{FF2B5EF4-FFF2-40B4-BE49-F238E27FC236}">
                  <a16:creationId xmlns:a16="http://schemas.microsoft.com/office/drawing/2014/main" id="{76DB19EB-211C-478D-8B3A-AB09A05C02F6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1" cy="2"/>
            </a:xfrm>
            <a:custGeom>
              <a:avLst/>
              <a:gdLst>
                <a:gd name="T0" fmla="*/ 0 w 53"/>
                <a:gd name="T1" fmla="*/ 105 h 105"/>
                <a:gd name="T2" fmla="*/ 53 w 53"/>
                <a:gd name="T3" fmla="*/ 91 h 105"/>
                <a:gd name="T4" fmla="*/ 0 w 53"/>
                <a:gd name="T5" fmla="*/ 0 h 105"/>
                <a:gd name="T6" fmla="*/ 0 w 53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105"/>
                  </a:moveTo>
                  <a:lnTo>
                    <a:pt x="53" y="91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3" name="Freeform 184">
              <a:extLst>
                <a:ext uri="{FF2B5EF4-FFF2-40B4-BE49-F238E27FC236}">
                  <a16:creationId xmlns:a16="http://schemas.microsoft.com/office/drawing/2014/main" id="{A12A474D-C5DD-4EC1-91B7-505738A6800D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53 w 91"/>
                <a:gd name="T1" fmla="*/ 91 h 91"/>
                <a:gd name="T2" fmla="*/ 91 w 91"/>
                <a:gd name="T3" fmla="*/ 52 h 91"/>
                <a:gd name="T4" fmla="*/ 0 w 91"/>
                <a:gd name="T5" fmla="*/ 0 h 91"/>
                <a:gd name="T6" fmla="*/ 53 w 91"/>
                <a:gd name="T7" fmla="*/ 91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53" y="91"/>
                  </a:moveTo>
                  <a:lnTo>
                    <a:pt x="91" y="52"/>
                  </a:lnTo>
                  <a:lnTo>
                    <a:pt x="0" y="0"/>
                  </a:lnTo>
                  <a:lnTo>
                    <a:pt x="53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4" name="Freeform 185">
              <a:extLst>
                <a:ext uri="{FF2B5EF4-FFF2-40B4-BE49-F238E27FC236}">
                  <a16:creationId xmlns:a16="http://schemas.microsoft.com/office/drawing/2014/main" id="{26CB58A5-7F14-4B1B-94C9-08BC85D05284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91 w 105"/>
                <a:gd name="T1" fmla="*/ 52 h 52"/>
                <a:gd name="T2" fmla="*/ 105 w 105"/>
                <a:gd name="T3" fmla="*/ 0 h 52"/>
                <a:gd name="T4" fmla="*/ 0 w 105"/>
                <a:gd name="T5" fmla="*/ 0 h 52"/>
                <a:gd name="T6" fmla="*/ 91 w 105"/>
                <a:gd name="T7" fmla="*/ 52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91" y="52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91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5" name="Freeform 186">
              <a:extLst>
                <a:ext uri="{FF2B5EF4-FFF2-40B4-BE49-F238E27FC236}">
                  <a16:creationId xmlns:a16="http://schemas.microsoft.com/office/drawing/2014/main" id="{8367E3D2-C3AE-43CA-BC00-1F4CC110BE7D}"/>
                </a:ext>
              </a:extLst>
            </xdr:cNvPr>
            <xdr:cNvSpPr>
              <a:spLocks/>
            </xdr:cNvSpPr>
          </xdr:nvSpPr>
          <xdr:spPr bwMode="auto">
            <a:xfrm>
              <a:off x="916" y="192"/>
              <a:ext cx="6" cy="5"/>
            </a:xfrm>
            <a:custGeom>
              <a:avLst/>
              <a:gdLst>
                <a:gd name="T0" fmla="*/ 0 w 351"/>
                <a:gd name="T1" fmla="*/ 263 h 263"/>
                <a:gd name="T2" fmla="*/ 263 w 351"/>
                <a:gd name="T3" fmla="*/ 263 h 263"/>
                <a:gd name="T4" fmla="*/ 351 w 351"/>
                <a:gd name="T5" fmla="*/ 176 h 263"/>
                <a:gd name="T6" fmla="*/ 351 w 351"/>
                <a:gd name="T7" fmla="*/ 88 h 263"/>
                <a:gd name="T8" fmla="*/ 263 w 351"/>
                <a:gd name="T9" fmla="*/ 0 h 263"/>
                <a:gd name="T10" fmla="*/ 88 w 351"/>
                <a:gd name="T11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263">
                  <a:moveTo>
                    <a:pt x="0" y="263"/>
                  </a:moveTo>
                  <a:lnTo>
                    <a:pt x="263" y="263"/>
                  </a:lnTo>
                  <a:lnTo>
                    <a:pt x="351" y="176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88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6" name="Freeform 187">
              <a:extLst>
                <a:ext uri="{FF2B5EF4-FFF2-40B4-BE49-F238E27FC236}">
                  <a16:creationId xmlns:a16="http://schemas.microsoft.com/office/drawing/2014/main" id="{4E8A0212-B1AC-4F92-B99F-8F83BF115671}"/>
                </a:ext>
              </a:extLst>
            </xdr:cNvPr>
            <xdr:cNvSpPr>
              <a:spLocks/>
            </xdr:cNvSpPr>
          </xdr:nvSpPr>
          <xdr:spPr bwMode="auto">
            <a:xfrm>
              <a:off x="916" y="188"/>
              <a:ext cx="6" cy="4"/>
            </a:xfrm>
            <a:custGeom>
              <a:avLst/>
              <a:gdLst>
                <a:gd name="T0" fmla="*/ 263 w 351"/>
                <a:gd name="T1" fmla="*/ 263 h 263"/>
                <a:gd name="T2" fmla="*/ 351 w 351"/>
                <a:gd name="T3" fmla="*/ 175 h 263"/>
                <a:gd name="T4" fmla="*/ 351 w 351"/>
                <a:gd name="T5" fmla="*/ 88 h 263"/>
                <a:gd name="T6" fmla="*/ 263 w 351"/>
                <a:gd name="T7" fmla="*/ 0 h 263"/>
                <a:gd name="T8" fmla="*/ 0 w 351"/>
                <a:gd name="T9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263">
                  <a:moveTo>
                    <a:pt x="263" y="263"/>
                  </a:moveTo>
                  <a:lnTo>
                    <a:pt x="351" y="175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7" name="Line 188">
              <a:extLst>
                <a:ext uri="{FF2B5EF4-FFF2-40B4-BE49-F238E27FC236}">
                  <a16:creationId xmlns:a16="http://schemas.microsoft.com/office/drawing/2014/main" id="{AF0BC892-A3F7-40F4-99F7-32EBB196229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18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8" name="Freeform 189">
              <a:extLst>
                <a:ext uri="{FF2B5EF4-FFF2-40B4-BE49-F238E27FC236}">
                  <a16:creationId xmlns:a16="http://schemas.microsoft.com/office/drawing/2014/main" id="{4A1F2B86-821D-45C2-B424-EEE3D5CAC19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7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7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9" name="Freeform 190">
              <a:extLst>
                <a:ext uri="{FF2B5EF4-FFF2-40B4-BE49-F238E27FC236}">
                  <a16:creationId xmlns:a16="http://schemas.microsoft.com/office/drawing/2014/main" id="{6AD894E1-D8E7-42C8-8209-E971AB474363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8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8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8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0" name="Freeform 191">
              <a:extLst>
                <a:ext uri="{FF2B5EF4-FFF2-40B4-BE49-F238E27FC236}">
                  <a16:creationId xmlns:a16="http://schemas.microsoft.com/office/drawing/2014/main" id="{94C04755-FA72-4667-832A-DD58B6E0CC67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4 w 104"/>
                <a:gd name="T1" fmla="*/ 7 h 22"/>
                <a:gd name="T2" fmla="*/ 103 w 104"/>
                <a:gd name="T3" fmla="*/ 0 h 22"/>
                <a:gd name="T4" fmla="*/ 0 w 104"/>
                <a:gd name="T5" fmla="*/ 22 h 22"/>
                <a:gd name="T6" fmla="*/ 104 w 104"/>
                <a:gd name="T7" fmla="*/ 7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4" y="7"/>
                  </a:moveTo>
                  <a:lnTo>
                    <a:pt x="103" y="0"/>
                  </a:lnTo>
                  <a:lnTo>
                    <a:pt x="0" y="22"/>
                  </a:lnTo>
                  <a:lnTo>
                    <a:pt x="104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1" name="Freeform 192">
              <a:extLst>
                <a:ext uri="{FF2B5EF4-FFF2-40B4-BE49-F238E27FC236}">
                  <a16:creationId xmlns:a16="http://schemas.microsoft.com/office/drawing/2014/main" id="{784E1CCD-CF40-4103-854D-1D57594FBBEA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3 w 103"/>
                <a:gd name="T1" fmla="*/ 7 h 29"/>
                <a:gd name="T2" fmla="*/ 102 w 103"/>
                <a:gd name="T3" fmla="*/ 0 h 29"/>
                <a:gd name="T4" fmla="*/ 0 w 103"/>
                <a:gd name="T5" fmla="*/ 29 h 29"/>
                <a:gd name="T6" fmla="*/ 103 w 103"/>
                <a:gd name="T7" fmla="*/ 7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3" y="7"/>
                  </a:moveTo>
                  <a:lnTo>
                    <a:pt x="102" y="0"/>
                  </a:lnTo>
                  <a:lnTo>
                    <a:pt x="0" y="29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2" name="Freeform 193">
              <a:extLst>
                <a:ext uri="{FF2B5EF4-FFF2-40B4-BE49-F238E27FC236}">
                  <a16:creationId xmlns:a16="http://schemas.microsoft.com/office/drawing/2014/main" id="{636C5B63-A2E7-4D4B-ADEC-3ECDD8945B4B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2 w 102"/>
                <a:gd name="T1" fmla="*/ 7 h 36"/>
                <a:gd name="T2" fmla="*/ 99 w 102"/>
                <a:gd name="T3" fmla="*/ 0 h 36"/>
                <a:gd name="T4" fmla="*/ 0 w 102"/>
                <a:gd name="T5" fmla="*/ 36 h 36"/>
                <a:gd name="T6" fmla="*/ 102 w 102"/>
                <a:gd name="T7" fmla="*/ 7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6">
                  <a:moveTo>
                    <a:pt x="102" y="7"/>
                  </a:moveTo>
                  <a:lnTo>
                    <a:pt x="99" y="0"/>
                  </a:lnTo>
                  <a:lnTo>
                    <a:pt x="0" y="36"/>
                  </a:lnTo>
                  <a:lnTo>
                    <a:pt x="102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3" name="Freeform 194">
              <a:extLst>
                <a:ext uri="{FF2B5EF4-FFF2-40B4-BE49-F238E27FC236}">
                  <a16:creationId xmlns:a16="http://schemas.microsoft.com/office/drawing/2014/main" id="{EF27C75A-FCB8-421F-BADE-E689A573CEFB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9 w 99"/>
                <a:gd name="T1" fmla="*/ 6 h 42"/>
                <a:gd name="T2" fmla="*/ 97 w 99"/>
                <a:gd name="T3" fmla="*/ 0 h 42"/>
                <a:gd name="T4" fmla="*/ 0 w 99"/>
                <a:gd name="T5" fmla="*/ 42 h 42"/>
                <a:gd name="T6" fmla="*/ 99 w 99"/>
                <a:gd name="T7" fmla="*/ 6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9" y="6"/>
                  </a:moveTo>
                  <a:lnTo>
                    <a:pt x="97" y="0"/>
                  </a:lnTo>
                  <a:lnTo>
                    <a:pt x="0" y="42"/>
                  </a:lnTo>
                  <a:lnTo>
                    <a:pt x="9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4" name="Freeform 195">
              <a:extLst>
                <a:ext uri="{FF2B5EF4-FFF2-40B4-BE49-F238E27FC236}">
                  <a16:creationId xmlns:a16="http://schemas.microsoft.com/office/drawing/2014/main" id="{A5B1F075-B1DC-43EA-93D2-BD4E09A724C2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7 w 97"/>
                <a:gd name="T1" fmla="*/ 7 h 49"/>
                <a:gd name="T2" fmla="*/ 94 w 97"/>
                <a:gd name="T3" fmla="*/ 0 h 49"/>
                <a:gd name="T4" fmla="*/ 0 w 97"/>
                <a:gd name="T5" fmla="*/ 49 h 49"/>
                <a:gd name="T6" fmla="*/ 97 w 97"/>
                <a:gd name="T7" fmla="*/ 7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9">
                  <a:moveTo>
                    <a:pt x="97" y="7"/>
                  </a:moveTo>
                  <a:lnTo>
                    <a:pt x="94" y="0"/>
                  </a:lnTo>
                  <a:lnTo>
                    <a:pt x="0" y="49"/>
                  </a:lnTo>
                  <a:lnTo>
                    <a:pt x="97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5" name="Freeform 196">
              <a:extLst>
                <a:ext uri="{FF2B5EF4-FFF2-40B4-BE49-F238E27FC236}">
                  <a16:creationId xmlns:a16="http://schemas.microsoft.com/office/drawing/2014/main" id="{5AAFC70F-7D89-48D9-925A-E43825DDC97B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4 w 94"/>
                <a:gd name="T1" fmla="*/ 6 h 55"/>
                <a:gd name="T2" fmla="*/ 90 w 94"/>
                <a:gd name="T3" fmla="*/ 0 h 55"/>
                <a:gd name="T4" fmla="*/ 0 w 94"/>
                <a:gd name="T5" fmla="*/ 55 h 55"/>
                <a:gd name="T6" fmla="*/ 94 w 94"/>
                <a:gd name="T7" fmla="*/ 6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5">
                  <a:moveTo>
                    <a:pt x="94" y="6"/>
                  </a:moveTo>
                  <a:lnTo>
                    <a:pt x="90" y="0"/>
                  </a:lnTo>
                  <a:lnTo>
                    <a:pt x="0" y="55"/>
                  </a:lnTo>
                  <a:lnTo>
                    <a:pt x="9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6" name="Freeform 197">
              <a:extLst>
                <a:ext uri="{FF2B5EF4-FFF2-40B4-BE49-F238E27FC236}">
                  <a16:creationId xmlns:a16="http://schemas.microsoft.com/office/drawing/2014/main" id="{C0D29F39-09AA-4DA7-B525-312BC10A93A9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0 w 90"/>
                <a:gd name="T1" fmla="*/ 6 h 61"/>
                <a:gd name="T2" fmla="*/ 86 w 90"/>
                <a:gd name="T3" fmla="*/ 0 h 61"/>
                <a:gd name="T4" fmla="*/ 0 w 90"/>
                <a:gd name="T5" fmla="*/ 61 h 61"/>
                <a:gd name="T6" fmla="*/ 90 w 90"/>
                <a:gd name="T7" fmla="*/ 6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90" y="6"/>
                  </a:moveTo>
                  <a:lnTo>
                    <a:pt x="86" y="0"/>
                  </a:lnTo>
                  <a:lnTo>
                    <a:pt x="0" y="61"/>
                  </a:lnTo>
                  <a:lnTo>
                    <a:pt x="90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7" name="Freeform 198">
              <a:extLst>
                <a:ext uri="{FF2B5EF4-FFF2-40B4-BE49-F238E27FC236}">
                  <a16:creationId xmlns:a16="http://schemas.microsoft.com/office/drawing/2014/main" id="{DC8BDF4F-36A6-4EDB-B5D8-6F226D114923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6 w 86"/>
                <a:gd name="T1" fmla="*/ 6 h 67"/>
                <a:gd name="T2" fmla="*/ 82 w 86"/>
                <a:gd name="T3" fmla="*/ 0 h 67"/>
                <a:gd name="T4" fmla="*/ 0 w 86"/>
                <a:gd name="T5" fmla="*/ 67 h 67"/>
                <a:gd name="T6" fmla="*/ 86 w 86"/>
                <a:gd name="T7" fmla="*/ 6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86" y="6"/>
                  </a:moveTo>
                  <a:lnTo>
                    <a:pt x="82" y="0"/>
                  </a:lnTo>
                  <a:lnTo>
                    <a:pt x="0" y="67"/>
                  </a:lnTo>
                  <a:lnTo>
                    <a:pt x="86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8" name="Freeform 199">
              <a:extLst>
                <a:ext uri="{FF2B5EF4-FFF2-40B4-BE49-F238E27FC236}">
                  <a16:creationId xmlns:a16="http://schemas.microsoft.com/office/drawing/2014/main" id="{0C03E3E6-A9B6-4889-AA94-BE8E48A941B5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2 w 82"/>
                <a:gd name="T1" fmla="*/ 5 h 72"/>
                <a:gd name="T2" fmla="*/ 77 w 82"/>
                <a:gd name="T3" fmla="*/ 0 h 72"/>
                <a:gd name="T4" fmla="*/ 0 w 82"/>
                <a:gd name="T5" fmla="*/ 72 h 72"/>
                <a:gd name="T6" fmla="*/ 82 w 82"/>
                <a:gd name="T7" fmla="*/ 5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82" y="5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9" name="Freeform 200">
              <a:extLst>
                <a:ext uri="{FF2B5EF4-FFF2-40B4-BE49-F238E27FC236}">
                  <a16:creationId xmlns:a16="http://schemas.microsoft.com/office/drawing/2014/main" id="{CC1BDB47-56E8-4AF9-BC5F-DB800D4B50AD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77 w 77"/>
                <a:gd name="T1" fmla="*/ 5 h 77"/>
                <a:gd name="T2" fmla="*/ 72 w 77"/>
                <a:gd name="T3" fmla="*/ 0 h 77"/>
                <a:gd name="T4" fmla="*/ 0 w 77"/>
                <a:gd name="T5" fmla="*/ 77 h 77"/>
                <a:gd name="T6" fmla="*/ 77 w 77"/>
                <a:gd name="T7" fmla="*/ 5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7" y="5"/>
                  </a:moveTo>
                  <a:lnTo>
                    <a:pt x="72" y="0"/>
                  </a:lnTo>
                  <a:lnTo>
                    <a:pt x="0" y="77"/>
                  </a:lnTo>
                  <a:lnTo>
                    <a:pt x="77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0" name="Freeform 201">
              <a:extLst>
                <a:ext uri="{FF2B5EF4-FFF2-40B4-BE49-F238E27FC236}">
                  <a16:creationId xmlns:a16="http://schemas.microsoft.com/office/drawing/2014/main" id="{857043C9-C594-4FED-A64D-5DA37743E5ED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72 w 72"/>
                <a:gd name="T1" fmla="*/ 5 h 82"/>
                <a:gd name="T2" fmla="*/ 67 w 72"/>
                <a:gd name="T3" fmla="*/ 0 h 82"/>
                <a:gd name="T4" fmla="*/ 0 w 72"/>
                <a:gd name="T5" fmla="*/ 82 h 82"/>
                <a:gd name="T6" fmla="*/ 72 w 72"/>
                <a:gd name="T7" fmla="*/ 5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72" y="5"/>
                  </a:moveTo>
                  <a:lnTo>
                    <a:pt x="67" y="0"/>
                  </a:lnTo>
                  <a:lnTo>
                    <a:pt x="0" y="82"/>
                  </a:lnTo>
                  <a:lnTo>
                    <a:pt x="7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1" name="Freeform 202">
              <a:extLst>
                <a:ext uri="{FF2B5EF4-FFF2-40B4-BE49-F238E27FC236}">
                  <a16:creationId xmlns:a16="http://schemas.microsoft.com/office/drawing/2014/main" id="{D147EA02-D91E-403B-AD4E-7501D11918A3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7 w 67"/>
                <a:gd name="T1" fmla="*/ 4 h 86"/>
                <a:gd name="T2" fmla="*/ 61 w 67"/>
                <a:gd name="T3" fmla="*/ 0 h 86"/>
                <a:gd name="T4" fmla="*/ 0 w 67"/>
                <a:gd name="T5" fmla="*/ 86 h 86"/>
                <a:gd name="T6" fmla="*/ 67 w 67"/>
                <a:gd name="T7" fmla="*/ 4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7" y="4"/>
                  </a:moveTo>
                  <a:lnTo>
                    <a:pt x="61" y="0"/>
                  </a:lnTo>
                  <a:lnTo>
                    <a:pt x="0" y="86"/>
                  </a:lnTo>
                  <a:lnTo>
                    <a:pt x="6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2" name="Freeform 203">
              <a:extLst>
                <a:ext uri="{FF2B5EF4-FFF2-40B4-BE49-F238E27FC236}">
                  <a16:creationId xmlns:a16="http://schemas.microsoft.com/office/drawing/2014/main" id="{BF78452E-AE70-496B-8561-292E7CAEB4C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1 w 61"/>
                <a:gd name="T1" fmla="*/ 4 h 90"/>
                <a:gd name="T2" fmla="*/ 55 w 61"/>
                <a:gd name="T3" fmla="*/ 0 h 90"/>
                <a:gd name="T4" fmla="*/ 0 w 61"/>
                <a:gd name="T5" fmla="*/ 90 h 90"/>
                <a:gd name="T6" fmla="*/ 61 w 61"/>
                <a:gd name="T7" fmla="*/ 4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61" y="4"/>
                  </a:moveTo>
                  <a:lnTo>
                    <a:pt x="55" y="0"/>
                  </a:lnTo>
                  <a:lnTo>
                    <a:pt x="0" y="90"/>
                  </a:lnTo>
                  <a:lnTo>
                    <a:pt x="61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3" name="Freeform 204">
              <a:extLst>
                <a:ext uri="{FF2B5EF4-FFF2-40B4-BE49-F238E27FC236}">
                  <a16:creationId xmlns:a16="http://schemas.microsoft.com/office/drawing/2014/main" id="{B46D8FF9-52B7-488A-9DDC-FCEC167C5B66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55 w 55"/>
                <a:gd name="T1" fmla="*/ 4 h 94"/>
                <a:gd name="T2" fmla="*/ 49 w 55"/>
                <a:gd name="T3" fmla="*/ 0 h 94"/>
                <a:gd name="T4" fmla="*/ 0 w 55"/>
                <a:gd name="T5" fmla="*/ 94 h 94"/>
                <a:gd name="T6" fmla="*/ 55 w 55"/>
                <a:gd name="T7" fmla="*/ 4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4">
                  <a:moveTo>
                    <a:pt x="55" y="4"/>
                  </a:moveTo>
                  <a:lnTo>
                    <a:pt x="49" y="0"/>
                  </a:lnTo>
                  <a:lnTo>
                    <a:pt x="0" y="94"/>
                  </a:lnTo>
                  <a:lnTo>
                    <a:pt x="55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4" name="Freeform 205">
              <a:extLst>
                <a:ext uri="{FF2B5EF4-FFF2-40B4-BE49-F238E27FC236}">
                  <a16:creationId xmlns:a16="http://schemas.microsoft.com/office/drawing/2014/main" id="{42B95DE3-77C6-4384-BAC3-61390CB5CF17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9 w 49"/>
                <a:gd name="T1" fmla="*/ 3 h 97"/>
                <a:gd name="T2" fmla="*/ 42 w 49"/>
                <a:gd name="T3" fmla="*/ 0 h 97"/>
                <a:gd name="T4" fmla="*/ 0 w 49"/>
                <a:gd name="T5" fmla="*/ 97 h 97"/>
                <a:gd name="T6" fmla="*/ 49 w 49"/>
                <a:gd name="T7" fmla="*/ 3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7">
                  <a:moveTo>
                    <a:pt x="49" y="3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49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5" name="Freeform 206">
              <a:extLst>
                <a:ext uri="{FF2B5EF4-FFF2-40B4-BE49-F238E27FC236}">
                  <a16:creationId xmlns:a16="http://schemas.microsoft.com/office/drawing/2014/main" id="{E9F9EB6B-4337-48D1-975F-719A911FB1ED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5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5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6" name="Freeform 207">
              <a:extLst>
                <a:ext uri="{FF2B5EF4-FFF2-40B4-BE49-F238E27FC236}">
                  <a16:creationId xmlns:a16="http://schemas.microsoft.com/office/drawing/2014/main" id="{BFBFD42F-AD43-44FD-B99A-0C718227E604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35 w 35"/>
                <a:gd name="T1" fmla="*/ 2 h 102"/>
                <a:gd name="T2" fmla="*/ 29 w 35"/>
                <a:gd name="T3" fmla="*/ 0 h 102"/>
                <a:gd name="T4" fmla="*/ 0 w 35"/>
                <a:gd name="T5" fmla="*/ 102 h 102"/>
                <a:gd name="T6" fmla="*/ 35 w 35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35" y="2"/>
                  </a:moveTo>
                  <a:lnTo>
                    <a:pt x="29" y="0"/>
                  </a:lnTo>
                  <a:lnTo>
                    <a:pt x="0" y="102"/>
                  </a:lnTo>
                  <a:lnTo>
                    <a:pt x="35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7" name="Freeform 208">
              <a:extLst>
                <a:ext uri="{FF2B5EF4-FFF2-40B4-BE49-F238E27FC236}">
                  <a16:creationId xmlns:a16="http://schemas.microsoft.com/office/drawing/2014/main" id="{6C86BA12-9981-41A0-8085-C199C22E3CCB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9 w 29"/>
                <a:gd name="T1" fmla="*/ 1 h 103"/>
                <a:gd name="T2" fmla="*/ 22 w 29"/>
                <a:gd name="T3" fmla="*/ 0 h 103"/>
                <a:gd name="T4" fmla="*/ 0 w 29"/>
                <a:gd name="T5" fmla="*/ 103 h 103"/>
                <a:gd name="T6" fmla="*/ 29 w 29"/>
                <a:gd name="T7" fmla="*/ 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9" y="1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2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8" name="Freeform 209">
              <a:extLst>
                <a:ext uri="{FF2B5EF4-FFF2-40B4-BE49-F238E27FC236}">
                  <a16:creationId xmlns:a16="http://schemas.microsoft.com/office/drawing/2014/main" id="{0E2096AD-9D5D-42E3-BA9B-386938D2068F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9" name="Freeform 210">
              <a:extLst>
                <a:ext uri="{FF2B5EF4-FFF2-40B4-BE49-F238E27FC236}">
                  <a16:creationId xmlns:a16="http://schemas.microsoft.com/office/drawing/2014/main" id="{441E62E1-7012-4C5D-9952-230BE9E91681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0" name="Freeform 211">
              <a:extLst>
                <a:ext uri="{FF2B5EF4-FFF2-40B4-BE49-F238E27FC236}">
                  <a16:creationId xmlns:a16="http://schemas.microsoft.com/office/drawing/2014/main" id="{2182F649-6087-49BA-BDDB-9EA5DCE9C19A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1" name="Freeform 212">
              <a:extLst>
                <a:ext uri="{FF2B5EF4-FFF2-40B4-BE49-F238E27FC236}">
                  <a16:creationId xmlns:a16="http://schemas.microsoft.com/office/drawing/2014/main" id="{49BD23CD-D21A-43BA-8B8A-C5AAC0EA0F0C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0 h 106"/>
                <a:gd name="T2" fmla="*/ 0 w 7"/>
                <a:gd name="T3" fmla="*/ 1 h 106"/>
                <a:gd name="T4" fmla="*/ 7 w 7"/>
                <a:gd name="T5" fmla="*/ 106 h 106"/>
                <a:gd name="T6" fmla="*/ 7 w 7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0"/>
                  </a:moveTo>
                  <a:lnTo>
                    <a:pt x="0" y="1"/>
                  </a:lnTo>
                  <a:lnTo>
                    <a:pt x="7" y="106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2" name="Freeform 213">
              <a:extLst>
                <a:ext uri="{FF2B5EF4-FFF2-40B4-BE49-F238E27FC236}">
                  <a16:creationId xmlns:a16="http://schemas.microsoft.com/office/drawing/2014/main" id="{F8453240-7693-4EB8-B8AE-8A29613F6D0D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14"/>
                <a:gd name="T1" fmla="*/ 0 h 105"/>
                <a:gd name="T2" fmla="*/ 0 w 14"/>
                <a:gd name="T3" fmla="*/ 0 h 105"/>
                <a:gd name="T4" fmla="*/ 14 w 14"/>
                <a:gd name="T5" fmla="*/ 105 h 105"/>
                <a:gd name="T6" fmla="*/ 7 w 14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7" y="0"/>
                  </a:moveTo>
                  <a:lnTo>
                    <a:pt x="0" y="0"/>
                  </a:lnTo>
                  <a:lnTo>
                    <a:pt x="14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3" name="Freeform 214">
              <a:extLst>
                <a:ext uri="{FF2B5EF4-FFF2-40B4-BE49-F238E27FC236}">
                  <a16:creationId xmlns:a16="http://schemas.microsoft.com/office/drawing/2014/main" id="{1D93C626-F83B-4147-8E61-E541597DD0EE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1"/>
                <a:gd name="T1" fmla="*/ 0 h 105"/>
                <a:gd name="T2" fmla="*/ 0 w 21"/>
                <a:gd name="T3" fmla="*/ 2 h 105"/>
                <a:gd name="T4" fmla="*/ 21 w 21"/>
                <a:gd name="T5" fmla="*/ 105 h 105"/>
                <a:gd name="T6" fmla="*/ 7 w 21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5">
                  <a:moveTo>
                    <a:pt x="7" y="0"/>
                  </a:moveTo>
                  <a:lnTo>
                    <a:pt x="0" y="2"/>
                  </a:lnTo>
                  <a:lnTo>
                    <a:pt x="21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4" name="Freeform 215">
              <a:extLst>
                <a:ext uri="{FF2B5EF4-FFF2-40B4-BE49-F238E27FC236}">
                  <a16:creationId xmlns:a16="http://schemas.microsoft.com/office/drawing/2014/main" id="{89A78BB0-E758-4DBD-B4B9-7C1EA7D50334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8"/>
                <a:gd name="T1" fmla="*/ 0 h 103"/>
                <a:gd name="T2" fmla="*/ 0 w 28"/>
                <a:gd name="T3" fmla="*/ 1 h 103"/>
                <a:gd name="T4" fmla="*/ 28 w 28"/>
                <a:gd name="T5" fmla="*/ 103 h 103"/>
                <a:gd name="T6" fmla="*/ 7 w 28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7" y="0"/>
                  </a:moveTo>
                  <a:lnTo>
                    <a:pt x="0" y="1"/>
                  </a:lnTo>
                  <a:lnTo>
                    <a:pt x="28" y="10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5" name="Freeform 216">
              <a:extLst>
                <a:ext uri="{FF2B5EF4-FFF2-40B4-BE49-F238E27FC236}">
                  <a16:creationId xmlns:a16="http://schemas.microsoft.com/office/drawing/2014/main" id="{5B33CAD0-51AE-43AB-B069-6FE7ADDD7A0F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7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7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6" name="Freeform 217">
              <a:extLst>
                <a:ext uri="{FF2B5EF4-FFF2-40B4-BE49-F238E27FC236}">
                  <a16:creationId xmlns:a16="http://schemas.microsoft.com/office/drawing/2014/main" id="{FEA5C612-E1B5-4F7E-A359-7570643BF1B1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42"/>
                <a:gd name="T1" fmla="*/ 0 h 100"/>
                <a:gd name="T2" fmla="*/ 0 w 42"/>
                <a:gd name="T3" fmla="*/ 3 h 100"/>
                <a:gd name="T4" fmla="*/ 42 w 42"/>
                <a:gd name="T5" fmla="*/ 100 h 100"/>
                <a:gd name="T6" fmla="*/ 7 w 42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7" y="0"/>
                  </a:moveTo>
                  <a:lnTo>
                    <a:pt x="0" y="3"/>
                  </a:lnTo>
                  <a:lnTo>
                    <a:pt x="42" y="10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7" name="Freeform 218">
              <a:extLst>
                <a:ext uri="{FF2B5EF4-FFF2-40B4-BE49-F238E27FC236}">
                  <a16:creationId xmlns:a16="http://schemas.microsoft.com/office/drawing/2014/main" id="{F4973BFD-319A-4138-A8AF-A4F7FC744524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48"/>
                <a:gd name="T1" fmla="*/ 0 h 97"/>
                <a:gd name="T2" fmla="*/ 0 w 48"/>
                <a:gd name="T3" fmla="*/ 3 h 97"/>
                <a:gd name="T4" fmla="*/ 48 w 48"/>
                <a:gd name="T5" fmla="*/ 97 h 97"/>
                <a:gd name="T6" fmla="*/ 6 w 48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7">
                  <a:moveTo>
                    <a:pt x="6" y="0"/>
                  </a:moveTo>
                  <a:lnTo>
                    <a:pt x="0" y="3"/>
                  </a:lnTo>
                  <a:lnTo>
                    <a:pt x="48" y="97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8" name="Freeform 219">
              <a:extLst>
                <a:ext uri="{FF2B5EF4-FFF2-40B4-BE49-F238E27FC236}">
                  <a16:creationId xmlns:a16="http://schemas.microsoft.com/office/drawing/2014/main" id="{20CE4C3F-4BEB-47B7-A916-DEDEAE9AC512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54"/>
                <a:gd name="T1" fmla="*/ 0 h 94"/>
                <a:gd name="T2" fmla="*/ 0 w 54"/>
                <a:gd name="T3" fmla="*/ 4 h 94"/>
                <a:gd name="T4" fmla="*/ 54 w 54"/>
                <a:gd name="T5" fmla="*/ 94 h 94"/>
                <a:gd name="T6" fmla="*/ 6 w 54"/>
                <a:gd name="T7" fmla="*/ 0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4">
                  <a:moveTo>
                    <a:pt x="6" y="0"/>
                  </a:moveTo>
                  <a:lnTo>
                    <a:pt x="0" y="4"/>
                  </a:lnTo>
                  <a:lnTo>
                    <a:pt x="54" y="94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9" name="Freeform 220">
              <a:extLst>
                <a:ext uri="{FF2B5EF4-FFF2-40B4-BE49-F238E27FC236}">
                  <a16:creationId xmlns:a16="http://schemas.microsoft.com/office/drawing/2014/main" id="{2E8F138E-CFB3-4182-9690-C5EA9D45F2D8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0"/>
                <a:gd name="T1" fmla="*/ 0 h 90"/>
                <a:gd name="T2" fmla="*/ 0 w 60"/>
                <a:gd name="T3" fmla="*/ 4 h 90"/>
                <a:gd name="T4" fmla="*/ 60 w 60"/>
                <a:gd name="T5" fmla="*/ 90 h 90"/>
                <a:gd name="T6" fmla="*/ 6 w 60"/>
                <a:gd name="T7" fmla="*/ 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6" y="0"/>
                  </a:moveTo>
                  <a:lnTo>
                    <a:pt x="0" y="4"/>
                  </a:lnTo>
                  <a:lnTo>
                    <a:pt x="60" y="9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0" name="Freeform 221">
              <a:extLst>
                <a:ext uri="{FF2B5EF4-FFF2-40B4-BE49-F238E27FC236}">
                  <a16:creationId xmlns:a16="http://schemas.microsoft.com/office/drawing/2014/main" id="{C2F2C42F-5C9C-423F-84D1-C922D071C1C9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6"/>
                <a:gd name="T1" fmla="*/ 0 h 86"/>
                <a:gd name="T2" fmla="*/ 0 w 66"/>
                <a:gd name="T3" fmla="*/ 4 h 86"/>
                <a:gd name="T4" fmla="*/ 66 w 66"/>
                <a:gd name="T5" fmla="*/ 86 h 86"/>
                <a:gd name="T6" fmla="*/ 6 w 66"/>
                <a:gd name="T7" fmla="*/ 0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6" y="0"/>
                  </a:moveTo>
                  <a:lnTo>
                    <a:pt x="0" y="4"/>
                  </a:lnTo>
                  <a:lnTo>
                    <a:pt x="66" y="8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1" name="Freeform 222">
              <a:extLst>
                <a:ext uri="{FF2B5EF4-FFF2-40B4-BE49-F238E27FC236}">
                  <a16:creationId xmlns:a16="http://schemas.microsoft.com/office/drawing/2014/main" id="{30411B1C-052D-4FA6-95FE-F41CB065D03C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72"/>
                <a:gd name="T1" fmla="*/ 0 h 82"/>
                <a:gd name="T2" fmla="*/ 0 w 72"/>
                <a:gd name="T3" fmla="*/ 5 h 82"/>
                <a:gd name="T4" fmla="*/ 72 w 72"/>
                <a:gd name="T5" fmla="*/ 82 h 82"/>
                <a:gd name="T6" fmla="*/ 6 w 72"/>
                <a:gd name="T7" fmla="*/ 0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6" y="0"/>
                  </a:moveTo>
                  <a:lnTo>
                    <a:pt x="0" y="5"/>
                  </a:lnTo>
                  <a:lnTo>
                    <a:pt x="72" y="8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2" name="Freeform 223">
              <a:extLst>
                <a:ext uri="{FF2B5EF4-FFF2-40B4-BE49-F238E27FC236}">
                  <a16:creationId xmlns:a16="http://schemas.microsoft.com/office/drawing/2014/main" id="{794FDC22-4590-439D-AE97-6C42596158AB}"/>
                </a:ext>
              </a:extLst>
            </xdr:cNvPr>
            <xdr:cNvSpPr>
              <a:spLocks/>
            </xdr:cNvSpPr>
          </xdr:nvSpPr>
          <xdr:spPr bwMode="auto">
            <a:xfrm>
              <a:off x="930" y="201"/>
              <a:ext cx="1" cy="1"/>
            </a:xfrm>
            <a:custGeom>
              <a:avLst/>
              <a:gdLst>
                <a:gd name="T0" fmla="*/ 5 w 77"/>
                <a:gd name="T1" fmla="*/ 0 h 77"/>
                <a:gd name="T2" fmla="*/ 0 w 77"/>
                <a:gd name="T3" fmla="*/ 5 h 77"/>
                <a:gd name="T4" fmla="*/ 77 w 77"/>
                <a:gd name="T5" fmla="*/ 77 h 77"/>
                <a:gd name="T6" fmla="*/ 5 w 77"/>
                <a:gd name="T7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5" y="0"/>
                  </a:moveTo>
                  <a:lnTo>
                    <a:pt x="0" y="5"/>
                  </a:lnTo>
                  <a:lnTo>
                    <a:pt x="77" y="7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3" name="Freeform 224">
              <a:extLst>
                <a:ext uri="{FF2B5EF4-FFF2-40B4-BE49-F238E27FC236}">
                  <a16:creationId xmlns:a16="http://schemas.microsoft.com/office/drawing/2014/main" id="{1826EA6F-7B5D-402A-9BA8-ABB5BCFF1D1B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81"/>
                <a:gd name="T1" fmla="*/ 0 h 72"/>
                <a:gd name="T2" fmla="*/ 0 w 81"/>
                <a:gd name="T3" fmla="*/ 5 h 72"/>
                <a:gd name="T4" fmla="*/ 81 w 81"/>
                <a:gd name="T5" fmla="*/ 72 h 72"/>
                <a:gd name="T6" fmla="*/ 4 w 81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4" y="0"/>
                  </a:moveTo>
                  <a:lnTo>
                    <a:pt x="0" y="5"/>
                  </a:lnTo>
                  <a:lnTo>
                    <a:pt x="81" y="7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4" name="Freeform 225">
              <a:extLst>
                <a:ext uri="{FF2B5EF4-FFF2-40B4-BE49-F238E27FC236}">
                  <a16:creationId xmlns:a16="http://schemas.microsoft.com/office/drawing/2014/main" id="{3AD664C2-A64B-44C4-AB90-A5BB09A5C655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5 w 86"/>
                <a:gd name="T1" fmla="*/ 0 h 67"/>
                <a:gd name="T2" fmla="*/ 0 w 86"/>
                <a:gd name="T3" fmla="*/ 6 h 67"/>
                <a:gd name="T4" fmla="*/ 86 w 86"/>
                <a:gd name="T5" fmla="*/ 67 h 67"/>
                <a:gd name="T6" fmla="*/ 5 w 86"/>
                <a:gd name="T7" fmla="*/ 0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5" y="0"/>
                  </a:moveTo>
                  <a:lnTo>
                    <a:pt x="0" y="6"/>
                  </a:lnTo>
                  <a:lnTo>
                    <a:pt x="86" y="6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5" name="Freeform 226">
              <a:extLst>
                <a:ext uri="{FF2B5EF4-FFF2-40B4-BE49-F238E27FC236}">
                  <a16:creationId xmlns:a16="http://schemas.microsoft.com/office/drawing/2014/main" id="{75FE1D43-13D6-4E22-8365-BB57ADF6E6EF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90"/>
                <a:gd name="T1" fmla="*/ 0 h 61"/>
                <a:gd name="T2" fmla="*/ 0 w 90"/>
                <a:gd name="T3" fmla="*/ 6 h 61"/>
                <a:gd name="T4" fmla="*/ 90 w 90"/>
                <a:gd name="T5" fmla="*/ 61 h 61"/>
                <a:gd name="T6" fmla="*/ 4 w 90"/>
                <a:gd name="T7" fmla="*/ 0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4" y="0"/>
                  </a:moveTo>
                  <a:lnTo>
                    <a:pt x="0" y="6"/>
                  </a:lnTo>
                  <a:lnTo>
                    <a:pt x="90" y="6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6" name="Freeform 227">
              <a:extLst>
                <a:ext uri="{FF2B5EF4-FFF2-40B4-BE49-F238E27FC236}">
                  <a16:creationId xmlns:a16="http://schemas.microsoft.com/office/drawing/2014/main" id="{6BBE12B6-A9F7-4416-8841-730D5E014900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3"/>
                <a:gd name="T1" fmla="*/ 0 h 55"/>
                <a:gd name="T2" fmla="*/ 0 w 93"/>
                <a:gd name="T3" fmla="*/ 6 h 55"/>
                <a:gd name="T4" fmla="*/ 93 w 93"/>
                <a:gd name="T5" fmla="*/ 55 h 55"/>
                <a:gd name="T6" fmla="*/ 3 w 93"/>
                <a:gd name="T7" fmla="*/ 0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5">
                  <a:moveTo>
                    <a:pt x="3" y="0"/>
                  </a:moveTo>
                  <a:lnTo>
                    <a:pt x="0" y="6"/>
                  </a:lnTo>
                  <a:lnTo>
                    <a:pt x="93" y="55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7" name="Freeform 228">
              <a:extLst>
                <a:ext uri="{FF2B5EF4-FFF2-40B4-BE49-F238E27FC236}">
                  <a16:creationId xmlns:a16="http://schemas.microsoft.com/office/drawing/2014/main" id="{D7F67388-C625-42A5-9B52-BEAA584AFB46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6"/>
                <a:gd name="T1" fmla="*/ 0 h 49"/>
                <a:gd name="T2" fmla="*/ 0 w 96"/>
                <a:gd name="T3" fmla="*/ 7 h 49"/>
                <a:gd name="T4" fmla="*/ 96 w 96"/>
                <a:gd name="T5" fmla="*/ 49 h 49"/>
                <a:gd name="T6" fmla="*/ 3 w 96"/>
                <a:gd name="T7" fmla="*/ 0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9">
                  <a:moveTo>
                    <a:pt x="3" y="0"/>
                  </a:moveTo>
                  <a:lnTo>
                    <a:pt x="0" y="7"/>
                  </a:lnTo>
                  <a:lnTo>
                    <a:pt x="96" y="49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8" name="Freeform 229">
              <a:extLst>
                <a:ext uri="{FF2B5EF4-FFF2-40B4-BE49-F238E27FC236}">
                  <a16:creationId xmlns:a16="http://schemas.microsoft.com/office/drawing/2014/main" id="{EA48819C-D2B6-413C-AD7C-430311EE6F4B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9"/>
                <a:gd name="T1" fmla="*/ 0 h 42"/>
                <a:gd name="T2" fmla="*/ 0 w 99"/>
                <a:gd name="T3" fmla="*/ 6 h 42"/>
                <a:gd name="T4" fmla="*/ 99 w 99"/>
                <a:gd name="T5" fmla="*/ 42 h 42"/>
                <a:gd name="T6" fmla="*/ 3 w 99"/>
                <a:gd name="T7" fmla="*/ 0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3" y="0"/>
                  </a:moveTo>
                  <a:lnTo>
                    <a:pt x="0" y="6"/>
                  </a:lnTo>
                  <a:lnTo>
                    <a:pt x="99" y="4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9" name="Freeform 230">
              <a:extLst>
                <a:ext uri="{FF2B5EF4-FFF2-40B4-BE49-F238E27FC236}">
                  <a16:creationId xmlns:a16="http://schemas.microsoft.com/office/drawing/2014/main" id="{3ACDA2AA-F283-459E-9F45-4DFE992D009B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1"/>
                <a:gd name="T1" fmla="*/ 0 h 36"/>
                <a:gd name="T2" fmla="*/ 0 w 101"/>
                <a:gd name="T3" fmla="*/ 7 h 36"/>
                <a:gd name="T4" fmla="*/ 101 w 101"/>
                <a:gd name="T5" fmla="*/ 36 h 36"/>
                <a:gd name="T6" fmla="*/ 2 w 101"/>
                <a:gd name="T7" fmla="*/ 0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2" y="0"/>
                  </a:moveTo>
                  <a:lnTo>
                    <a:pt x="0" y="7"/>
                  </a:lnTo>
                  <a:lnTo>
                    <a:pt x="101" y="3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0" name="Freeform 231">
              <a:extLst>
                <a:ext uri="{FF2B5EF4-FFF2-40B4-BE49-F238E27FC236}">
                  <a16:creationId xmlns:a16="http://schemas.microsoft.com/office/drawing/2014/main" id="{2F3BEBE5-81E6-4981-A703-B6AF878A3BB4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3"/>
                <a:gd name="T1" fmla="*/ 0 h 29"/>
                <a:gd name="T2" fmla="*/ 0 w 103"/>
                <a:gd name="T3" fmla="*/ 7 h 29"/>
                <a:gd name="T4" fmla="*/ 103 w 103"/>
                <a:gd name="T5" fmla="*/ 29 h 29"/>
                <a:gd name="T6" fmla="*/ 2 w 103"/>
                <a:gd name="T7" fmla="*/ 0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2" y="0"/>
                  </a:moveTo>
                  <a:lnTo>
                    <a:pt x="0" y="7"/>
                  </a:lnTo>
                  <a:lnTo>
                    <a:pt x="103" y="29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1" name="Freeform 232">
              <a:extLst>
                <a:ext uri="{FF2B5EF4-FFF2-40B4-BE49-F238E27FC236}">
                  <a16:creationId xmlns:a16="http://schemas.microsoft.com/office/drawing/2014/main" id="{5C5961E3-5BEB-4511-BFF7-DC4C22B29EBA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1 w 104"/>
                <a:gd name="T1" fmla="*/ 0 h 22"/>
                <a:gd name="T2" fmla="*/ 0 w 104"/>
                <a:gd name="T3" fmla="*/ 7 h 22"/>
                <a:gd name="T4" fmla="*/ 104 w 104"/>
                <a:gd name="T5" fmla="*/ 22 h 22"/>
                <a:gd name="T6" fmla="*/ 1 w 104"/>
                <a:gd name="T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" y="0"/>
                  </a:moveTo>
                  <a:lnTo>
                    <a:pt x="0" y="7"/>
                  </a:lnTo>
                  <a:lnTo>
                    <a:pt x="104" y="2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2" name="Freeform 233">
              <a:extLst>
                <a:ext uri="{FF2B5EF4-FFF2-40B4-BE49-F238E27FC236}">
                  <a16:creationId xmlns:a16="http://schemas.microsoft.com/office/drawing/2014/main" id="{9D10FB81-E144-4A27-BD27-415EB41D6DBD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8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8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3" name="Freeform 234">
              <a:extLst>
                <a:ext uri="{FF2B5EF4-FFF2-40B4-BE49-F238E27FC236}">
                  <a16:creationId xmlns:a16="http://schemas.microsoft.com/office/drawing/2014/main" id="{C7653E3A-4F57-499B-80C8-FBE264EE3D65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7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4" name="Freeform 235">
              <a:extLst>
                <a:ext uri="{FF2B5EF4-FFF2-40B4-BE49-F238E27FC236}">
                  <a16:creationId xmlns:a16="http://schemas.microsoft.com/office/drawing/2014/main" id="{AB8E0993-57D3-4D62-A218-D0B92223756F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5" name="Freeform 236">
              <a:extLst>
                <a:ext uri="{FF2B5EF4-FFF2-40B4-BE49-F238E27FC236}">
                  <a16:creationId xmlns:a16="http://schemas.microsoft.com/office/drawing/2014/main" id="{EAEDFF6C-6079-4A74-BBBA-5FDB8CC3ED08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7 h 14"/>
                <a:gd name="T2" fmla="*/ 1 w 105"/>
                <a:gd name="T3" fmla="*/ 14 h 14"/>
                <a:gd name="T4" fmla="*/ 105 w 105"/>
                <a:gd name="T5" fmla="*/ 0 h 14"/>
                <a:gd name="T6" fmla="*/ 0 w 105"/>
                <a:gd name="T7" fmla="*/ 7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0" y="7"/>
                  </a:moveTo>
                  <a:lnTo>
                    <a:pt x="1" y="14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6" name="Freeform 237">
              <a:extLst>
                <a:ext uri="{FF2B5EF4-FFF2-40B4-BE49-F238E27FC236}">
                  <a16:creationId xmlns:a16="http://schemas.microsoft.com/office/drawing/2014/main" id="{F1DA8F05-6C7D-4DA0-AF0A-F8E664DF2CA3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4"/>
                <a:gd name="T1" fmla="*/ 14 h 21"/>
                <a:gd name="T2" fmla="*/ 1 w 104"/>
                <a:gd name="T3" fmla="*/ 21 h 21"/>
                <a:gd name="T4" fmla="*/ 104 w 104"/>
                <a:gd name="T5" fmla="*/ 0 h 21"/>
                <a:gd name="T6" fmla="*/ 0 w 104"/>
                <a:gd name="T7" fmla="*/ 14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0" y="14"/>
                  </a:moveTo>
                  <a:lnTo>
                    <a:pt x="1" y="21"/>
                  </a:lnTo>
                  <a:lnTo>
                    <a:pt x="104" y="0"/>
                  </a:lnTo>
                  <a:lnTo>
                    <a:pt x="0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7" name="Freeform 238">
              <a:extLst>
                <a:ext uri="{FF2B5EF4-FFF2-40B4-BE49-F238E27FC236}">
                  <a16:creationId xmlns:a16="http://schemas.microsoft.com/office/drawing/2014/main" id="{85B253A0-42E7-45F7-BBF1-A87798D362C2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3"/>
                <a:gd name="T1" fmla="*/ 21 h 28"/>
                <a:gd name="T2" fmla="*/ 2 w 103"/>
                <a:gd name="T3" fmla="*/ 28 h 28"/>
                <a:gd name="T4" fmla="*/ 103 w 103"/>
                <a:gd name="T5" fmla="*/ 0 h 28"/>
                <a:gd name="T6" fmla="*/ 0 w 103"/>
                <a:gd name="T7" fmla="*/ 21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0" y="21"/>
                  </a:moveTo>
                  <a:lnTo>
                    <a:pt x="2" y="28"/>
                  </a:lnTo>
                  <a:lnTo>
                    <a:pt x="103" y="0"/>
                  </a:lnTo>
                  <a:lnTo>
                    <a:pt x="0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8" name="Freeform 239">
              <a:extLst>
                <a:ext uri="{FF2B5EF4-FFF2-40B4-BE49-F238E27FC236}">
                  <a16:creationId xmlns:a16="http://schemas.microsoft.com/office/drawing/2014/main" id="{54B9501B-E674-4BB6-9329-8E7E622F568D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1"/>
                <a:gd name="T1" fmla="*/ 28 h 35"/>
                <a:gd name="T2" fmla="*/ 2 w 101"/>
                <a:gd name="T3" fmla="*/ 35 h 35"/>
                <a:gd name="T4" fmla="*/ 101 w 101"/>
                <a:gd name="T5" fmla="*/ 0 h 35"/>
                <a:gd name="T6" fmla="*/ 0 w 101"/>
                <a:gd name="T7" fmla="*/ 28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5">
                  <a:moveTo>
                    <a:pt x="0" y="28"/>
                  </a:moveTo>
                  <a:lnTo>
                    <a:pt x="2" y="35"/>
                  </a:lnTo>
                  <a:lnTo>
                    <a:pt x="101" y="0"/>
                  </a:lnTo>
                  <a:lnTo>
                    <a:pt x="0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9" name="Freeform 240">
              <a:extLst>
                <a:ext uri="{FF2B5EF4-FFF2-40B4-BE49-F238E27FC236}">
                  <a16:creationId xmlns:a16="http://schemas.microsoft.com/office/drawing/2014/main" id="{D6FDBB24-5721-4C9A-9CEF-60D0726150C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9"/>
                <a:gd name="T1" fmla="*/ 35 h 42"/>
                <a:gd name="T2" fmla="*/ 3 w 99"/>
                <a:gd name="T3" fmla="*/ 42 h 42"/>
                <a:gd name="T4" fmla="*/ 99 w 99"/>
                <a:gd name="T5" fmla="*/ 0 h 42"/>
                <a:gd name="T6" fmla="*/ 0 w 99"/>
                <a:gd name="T7" fmla="*/ 35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0" y="35"/>
                  </a:moveTo>
                  <a:lnTo>
                    <a:pt x="3" y="42"/>
                  </a:lnTo>
                  <a:lnTo>
                    <a:pt x="99" y="0"/>
                  </a:lnTo>
                  <a:lnTo>
                    <a:pt x="0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0" name="Freeform 241">
              <a:extLst>
                <a:ext uri="{FF2B5EF4-FFF2-40B4-BE49-F238E27FC236}">
                  <a16:creationId xmlns:a16="http://schemas.microsoft.com/office/drawing/2014/main" id="{94F33DCA-20B0-404A-8229-D175B2D64EEF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6"/>
                <a:gd name="T1" fmla="*/ 42 h 48"/>
                <a:gd name="T2" fmla="*/ 3 w 96"/>
                <a:gd name="T3" fmla="*/ 48 h 48"/>
                <a:gd name="T4" fmla="*/ 96 w 96"/>
                <a:gd name="T5" fmla="*/ 0 h 48"/>
                <a:gd name="T6" fmla="*/ 0 w 96"/>
                <a:gd name="T7" fmla="*/ 42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8">
                  <a:moveTo>
                    <a:pt x="0" y="42"/>
                  </a:moveTo>
                  <a:lnTo>
                    <a:pt x="3" y="48"/>
                  </a:lnTo>
                  <a:lnTo>
                    <a:pt x="96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1" name="Freeform 242">
              <a:extLst>
                <a:ext uri="{FF2B5EF4-FFF2-40B4-BE49-F238E27FC236}">
                  <a16:creationId xmlns:a16="http://schemas.microsoft.com/office/drawing/2014/main" id="{401059F3-4552-4952-887E-7686D6B60F0D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3"/>
                <a:gd name="T1" fmla="*/ 48 h 54"/>
                <a:gd name="T2" fmla="*/ 3 w 93"/>
                <a:gd name="T3" fmla="*/ 54 h 54"/>
                <a:gd name="T4" fmla="*/ 93 w 93"/>
                <a:gd name="T5" fmla="*/ 0 h 54"/>
                <a:gd name="T6" fmla="*/ 0 w 93"/>
                <a:gd name="T7" fmla="*/ 48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4">
                  <a:moveTo>
                    <a:pt x="0" y="48"/>
                  </a:moveTo>
                  <a:lnTo>
                    <a:pt x="3" y="54"/>
                  </a:lnTo>
                  <a:lnTo>
                    <a:pt x="93" y="0"/>
                  </a:lnTo>
                  <a:lnTo>
                    <a:pt x="0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2" name="Freeform 243">
              <a:extLst>
                <a:ext uri="{FF2B5EF4-FFF2-40B4-BE49-F238E27FC236}">
                  <a16:creationId xmlns:a16="http://schemas.microsoft.com/office/drawing/2014/main" id="{09E08117-1B91-4A3F-B4A8-15984246707D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0"/>
                <a:gd name="T1" fmla="*/ 54 h 60"/>
                <a:gd name="T2" fmla="*/ 4 w 90"/>
                <a:gd name="T3" fmla="*/ 60 h 60"/>
                <a:gd name="T4" fmla="*/ 90 w 90"/>
                <a:gd name="T5" fmla="*/ 0 h 60"/>
                <a:gd name="T6" fmla="*/ 0 w 90"/>
                <a:gd name="T7" fmla="*/ 54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0" y="54"/>
                  </a:moveTo>
                  <a:lnTo>
                    <a:pt x="4" y="60"/>
                  </a:lnTo>
                  <a:lnTo>
                    <a:pt x="90" y="0"/>
                  </a:lnTo>
                  <a:lnTo>
                    <a:pt x="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3" name="Freeform 244">
              <a:extLst>
                <a:ext uri="{FF2B5EF4-FFF2-40B4-BE49-F238E27FC236}">
                  <a16:creationId xmlns:a16="http://schemas.microsoft.com/office/drawing/2014/main" id="{101422F7-88EE-4225-B764-00B92C98CEFC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6"/>
                <a:gd name="T1" fmla="*/ 60 h 66"/>
                <a:gd name="T2" fmla="*/ 5 w 86"/>
                <a:gd name="T3" fmla="*/ 66 h 66"/>
                <a:gd name="T4" fmla="*/ 86 w 86"/>
                <a:gd name="T5" fmla="*/ 0 h 66"/>
                <a:gd name="T6" fmla="*/ 0 w 86"/>
                <a:gd name="T7" fmla="*/ 60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0" y="60"/>
                  </a:moveTo>
                  <a:lnTo>
                    <a:pt x="5" y="66"/>
                  </a:lnTo>
                  <a:lnTo>
                    <a:pt x="86" y="0"/>
                  </a:lnTo>
                  <a:lnTo>
                    <a:pt x="0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4" name="Freeform 245">
              <a:extLst>
                <a:ext uri="{FF2B5EF4-FFF2-40B4-BE49-F238E27FC236}">
                  <a16:creationId xmlns:a16="http://schemas.microsoft.com/office/drawing/2014/main" id="{555983EB-5CB6-4F14-AFB3-A66F03F215F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1"/>
                <a:gd name="T1" fmla="*/ 66 h 72"/>
                <a:gd name="T2" fmla="*/ 4 w 81"/>
                <a:gd name="T3" fmla="*/ 72 h 72"/>
                <a:gd name="T4" fmla="*/ 81 w 81"/>
                <a:gd name="T5" fmla="*/ 0 h 72"/>
                <a:gd name="T6" fmla="*/ 0 w 81"/>
                <a:gd name="T7" fmla="*/ 66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0" y="66"/>
                  </a:moveTo>
                  <a:lnTo>
                    <a:pt x="4" y="72"/>
                  </a:lnTo>
                  <a:lnTo>
                    <a:pt x="81" y="0"/>
                  </a:lnTo>
                  <a:lnTo>
                    <a:pt x="0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5" name="Freeform 246">
              <a:extLst>
                <a:ext uri="{FF2B5EF4-FFF2-40B4-BE49-F238E27FC236}">
                  <a16:creationId xmlns:a16="http://schemas.microsoft.com/office/drawing/2014/main" id="{C4196D3B-B6F8-4012-AA10-B273E57586C3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7"/>
                <a:gd name="T1" fmla="*/ 72 h 77"/>
                <a:gd name="T2" fmla="*/ 5 w 77"/>
                <a:gd name="T3" fmla="*/ 77 h 77"/>
                <a:gd name="T4" fmla="*/ 77 w 77"/>
                <a:gd name="T5" fmla="*/ 0 h 77"/>
                <a:gd name="T6" fmla="*/ 0 w 77"/>
                <a:gd name="T7" fmla="*/ 72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0" y="72"/>
                  </a:moveTo>
                  <a:lnTo>
                    <a:pt x="5" y="77"/>
                  </a:lnTo>
                  <a:lnTo>
                    <a:pt x="77" y="0"/>
                  </a:lnTo>
                  <a:lnTo>
                    <a:pt x="0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6" name="Freeform 247">
              <a:extLst>
                <a:ext uri="{FF2B5EF4-FFF2-40B4-BE49-F238E27FC236}">
                  <a16:creationId xmlns:a16="http://schemas.microsoft.com/office/drawing/2014/main" id="{2F2032EC-B8AC-40D2-961B-BBC53A401052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2"/>
                <a:gd name="T1" fmla="*/ 77 h 81"/>
                <a:gd name="T2" fmla="*/ 6 w 72"/>
                <a:gd name="T3" fmla="*/ 81 h 81"/>
                <a:gd name="T4" fmla="*/ 72 w 72"/>
                <a:gd name="T5" fmla="*/ 0 h 81"/>
                <a:gd name="T6" fmla="*/ 0 w 72"/>
                <a:gd name="T7" fmla="*/ 77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0" y="77"/>
                  </a:moveTo>
                  <a:lnTo>
                    <a:pt x="6" y="81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7" name="Freeform 248">
              <a:extLst>
                <a:ext uri="{FF2B5EF4-FFF2-40B4-BE49-F238E27FC236}">
                  <a16:creationId xmlns:a16="http://schemas.microsoft.com/office/drawing/2014/main" id="{31CBD0D2-8AE1-4BB2-BA2C-EFA1BEF60837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6"/>
                <a:gd name="T1" fmla="*/ 81 h 86"/>
                <a:gd name="T2" fmla="*/ 6 w 66"/>
                <a:gd name="T3" fmla="*/ 86 h 86"/>
                <a:gd name="T4" fmla="*/ 66 w 66"/>
                <a:gd name="T5" fmla="*/ 0 h 86"/>
                <a:gd name="T6" fmla="*/ 0 w 66"/>
                <a:gd name="T7" fmla="*/ 81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0" y="81"/>
                  </a:moveTo>
                  <a:lnTo>
                    <a:pt x="6" y="86"/>
                  </a:lnTo>
                  <a:lnTo>
                    <a:pt x="66" y="0"/>
                  </a:lnTo>
                  <a:lnTo>
                    <a:pt x="0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8" name="Freeform 249">
              <a:extLst>
                <a:ext uri="{FF2B5EF4-FFF2-40B4-BE49-F238E27FC236}">
                  <a16:creationId xmlns:a16="http://schemas.microsoft.com/office/drawing/2014/main" id="{12E0D292-33FA-4E61-A12A-43A3606F34F6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0"/>
                <a:gd name="T1" fmla="*/ 86 h 90"/>
                <a:gd name="T2" fmla="*/ 6 w 60"/>
                <a:gd name="T3" fmla="*/ 90 h 90"/>
                <a:gd name="T4" fmla="*/ 60 w 60"/>
                <a:gd name="T5" fmla="*/ 0 h 90"/>
                <a:gd name="T6" fmla="*/ 0 w 60"/>
                <a:gd name="T7" fmla="*/ 86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0" y="86"/>
                  </a:moveTo>
                  <a:lnTo>
                    <a:pt x="6" y="90"/>
                  </a:lnTo>
                  <a:lnTo>
                    <a:pt x="60" y="0"/>
                  </a:lnTo>
                  <a:lnTo>
                    <a:pt x="0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9" name="Freeform 250">
              <a:extLst>
                <a:ext uri="{FF2B5EF4-FFF2-40B4-BE49-F238E27FC236}">
                  <a16:creationId xmlns:a16="http://schemas.microsoft.com/office/drawing/2014/main" id="{5C519646-6933-483F-B0A0-B6EBA2E1941F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54"/>
                <a:gd name="T1" fmla="*/ 90 h 93"/>
                <a:gd name="T2" fmla="*/ 6 w 54"/>
                <a:gd name="T3" fmla="*/ 93 h 93"/>
                <a:gd name="T4" fmla="*/ 54 w 54"/>
                <a:gd name="T5" fmla="*/ 0 h 93"/>
                <a:gd name="T6" fmla="*/ 0 w 54"/>
                <a:gd name="T7" fmla="*/ 9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3">
                  <a:moveTo>
                    <a:pt x="0" y="90"/>
                  </a:moveTo>
                  <a:lnTo>
                    <a:pt x="6" y="93"/>
                  </a:lnTo>
                  <a:lnTo>
                    <a:pt x="54" y="0"/>
                  </a:lnTo>
                  <a:lnTo>
                    <a:pt x="0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" name="Freeform 251">
              <a:extLst>
                <a:ext uri="{FF2B5EF4-FFF2-40B4-BE49-F238E27FC236}">
                  <a16:creationId xmlns:a16="http://schemas.microsoft.com/office/drawing/2014/main" id="{AC03ADC5-82D6-4BE0-B035-658B97AC15C3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48"/>
                <a:gd name="T1" fmla="*/ 93 h 96"/>
                <a:gd name="T2" fmla="*/ 6 w 48"/>
                <a:gd name="T3" fmla="*/ 96 h 96"/>
                <a:gd name="T4" fmla="*/ 48 w 48"/>
                <a:gd name="T5" fmla="*/ 0 h 96"/>
                <a:gd name="T6" fmla="*/ 0 w 48"/>
                <a:gd name="T7" fmla="*/ 9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6">
                  <a:moveTo>
                    <a:pt x="0" y="93"/>
                  </a:moveTo>
                  <a:lnTo>
                    <a:pt x="6" y="96"/>
                  </a:lnTo>
                  <a:lnTo>
                    <a:pt x="48" y="0"/>
                  </a:lnTo>
                  <a:lnTo>
                    <a:pt x="0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5" name="Group 453">
            <a:extLst>
              <a:ext uri="{FF2B5EF4-FFF2-40B4-BE49-F238E27FC236}">
                <a16:creationId xmlns:a16="http://schemas.microsoft.com/office/drawing/2014/main" id="{B1FC3769-F96E-47BD-A920-DA276E9AAAB7}"/>
              </a:ext>
            </a:extLst>
          </xdr:cNvPr>
          <xdr:cNvGrpSpPr>
            <a:grpSpLocks/>
          </xdr:cNvGrpSpPr>
        </xdr:nvGrpSpPr>
        <xdr:grpSpPr bwMode="auto">
          <a:xfrm>
            <a:off x="930" y="188"/>
            <a:ext cx="262" cy="16"/>
            <a:chOff x="930" y="188"/>
            <a:chExt cx="262" cy="16"/>
          </a:xfrm>
        </xdr:grpSpPr>
        <xdr:sp macro="" textlink="">
          <xdr:nvSpPr>
            <xdr:cNvPr id="141" name="Freeform 253">
              <a:extLst>
                <a:ext uri="{FF2B5EF4-FFF2-40B4-BE49-F238E27FC236}">
                  <a16:creationId xmlns:a16="http://schemas.microsoft.com/office/drawing/2014/main" id="{EAEEA441-B531-4EB4-99C5-67C8DF4BCDE0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42"/>
                <a:gd name="T1" fmla="*/ 96 h 99"/>
                <a:gd name="T2" fmla="*/ 7 w 42"/>
                <a:gd name="T3" fmla="*/ 99 h 99"/>
                <a:gd name="T4" fmla="*/ 42 w 42"/>
                <a:gd name="T5" fmla="*/ 0 h 99"/>
                <a:gd name="T6" fmla="*/ 0 w 42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0" y="96"/>
                  </a:moveTo>
                  <a:lnTo>
                    <a:pt x="7" y="99"/>
                  </a:lnTo>
                  <a:lnTo>
                    <a:pt x="42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2" name="Freeform 254">
              <a:extLst>
                <a:ext uri="{FF2B5EF4-FFF2-40B4-BE49-F238E27FC236}">
                  <a16:creationId xmlns:a16="http://schemas.microsoft.com/office/drawing/2014/main" id="{2560FB7E-2E9D-4E1A-B32D-2E3D0C551ED2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35"/>
                <a:gd name="T1" fmla="*/ 99 h 101"/>
                <a:gd name="T2" fmla="*/ 7 w 35"/>
                <a:gd name="T3" fmla="*/ 101 h 101"/>
                <a:gd name="T4" fmla="*/ 35 w 35"/>
                <a:gd name="T5" fmla="*/ 0 h 101"/>
                <a:gd name="T6" fmla="*/ 0 w 35"/>
                <a:gd name="T7" fmla="*/ 99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0" y="99"/>
                  </a:moveTo>
                  <a:lnTo>
                    <a:pt x="7" y="101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3" name="Freeform 255">
              <a:extLst>
                <a:ext uri="{FF2B5EF4-FFF2-40B4-BE49-F238E27FC236}">
                  <a16:creationId xmlns:a16="http://schemas.microsoft.com/office/drawing/2014/main" id="{BF5286FF-F452-470B-873B-2A3812FCC19F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8"/>
                <a:gd name="T1" fmla="*/ 101 h 103"/>
                <a:gd name="T2" fmla="*/ 7 w 28"/>
                <a:gd name="T3" fmla="*/ 103 h 103"/>
                <a:gd name="T4" fmla="*/ 28 w 28"/>
                <a:gd name="T5" fmla="*/ 0 h 103"/>
                <a:gd name="T6" fmla="*/ 0 w 28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0" y="101"/>
                  </a:moveTo>
                  <a:lnTo>
                    <a:pt x="7" y="103"/>
                  </a:lnTo>
                  <a:lnTo>
                    <a:pt x="28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4" name="Freeform 256">
              <a:extLst>
                <a:ext uri="{FF2B5EF4-FFF2-40B4-BE49-F238E27FC236}">
                  <a16:creationId xmlns:a16="http://schemas.microsoft.com/office/drawing/2014/main" id="{87771C25-1340-4256-A761-FC6385858243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1"/>
                <a:gd name="T1" fmla="*/ 103 h 104"/>
                <a:gd name="T2" fmla="*/ 7 w 21"/>
                <a:gd name="T3" fmla="*/ 104 h 104"/>
                <a:gd name="T4" fmla="*/ 21 w 21"/>
                <a:gd name="T5" fmla="*/ 0 h 104"/>
                <a:gd name="T6" fmla="*/ 0 w 21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4">
                  <a:moveTo>
                    <a:pt x="0" y="103"/>
                  </a:moveTo>
                  <a:lnTo>
                    <a:pt x="7" y="104"/>
                  </a:lnTo>
                  <a:lnTo>
                    <a:pt x="21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5" name="Freeform 257">
              <a:extLst>
                <a:ext uri="{FF2B5EF4-FFF2-40B4-BE49-F238E27FC236}">
                  <a16:creationId xmlns:a16="http://schemas.microsoft.com/office/drawing/2014/main" id="{0AB88C6A-FA79-4CD9-80BA-F3D8F9608026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14"/>
                <a:gd name="T1" fmla="*/ 104 h 105"/>
                <a:gd name="T2" fmla="*/ 7 w 14"/>
                <a:gd name="T3" fmla="*/ 105 h 105"/>
                <a:gd name="T4" fmla="*/ 14 w 14"/>
                <a:gd name="T5" fmla="*/ 0 h 105"/>
                <a:gd name="T6" fmla="*/ 0 w 14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0" y="104"/>
                  </a:moveTo>
                  <a:lnTo>
                    <a:pt x="7" y="105"/>
                  </a:lnTo>
                  <a:lnTo>
                    <a:pt x="14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6" name="Freeform 258">
              <a:extLst>
                <a:ext uri="{FF2B5EF4-FFF2-40B4-BE49-F238E27FC236}">
                  <a16:creationId xmlns:a16="http://schemas.microsoft.com/office/drawing/2014/main" id="{3DE6FAE2-9794-4B68-BCCF-B6B22C34A99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7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7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7" name="Freeform 259">
              <a:extLst>
                <a:ext uri="{FF2B5EF4-FFF2-40B4-BE49-F238E27FC236}">
                  <a16:creationId xmlns:a16="http://schemas.microsoft.com/office/drawing/2014/main" id="{5DCE25B3-687E-4D95-B53A-19B292B103D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8" name="Freeform 260">
              <a:extLst>
                <a:ext uri="{FF2B5EF4-FFF2-40B4-BE49-F238E27FC236}">
                  <a16:creationId xmlns:a16="http://schemas.microsoft.com/office/drawing/2014/main" id="{33AE3FCA-43E0-47EF-ABC8-0855F13F096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9" name="Freeform 261">
              <a:extLst>
                <a:ext uri="{FF2B5EF4-FFF2-40B4-BE49-F238E27FC236}">
                  <a16:creationId xmlns:a16="http://schemas.microsoft.com/office/drawing/2014/main" id="{55313F96-56D0-4563-8B16-20A92AFB0B95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0" name="Freeform 262">
              <a:extLst>
                <a:ext uri="{FF2B5EF4-FFF2-40B4-BE49-F238E27FC236}">
                  <a16:creationId xmlns:a16="http://schemas.microsoft.com/office/drawing/2014/main" id="{0EB4490B-4607-4AC2-B7F0-9C30F81DC5BC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2 w 29"/>
                <a:gd name="T1" fmla="*/ 103 h 103"/>
                <a:gd name="T2" fmla="*/ 29 w 29"/>
                <a:gd name="T3" fmla="*/ 101 h 103"/>
                <a:gd name="T4" fmla="*/ 0 w 29"/>
                <a:gd name="T5" fmla="*/ 0 h 103"/>
                <a:gd name="T6" fmla="*/ 22 w 29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2" y="103"/>
                  </a:moveTo>
                  <a:lnTo>
                    <a:pt x="29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1" name="Freeform 263">
              <a:extLst>
                <a:ext uri="{FF2B5EF4-FFF2-40B4-BE49-F238E27FC236}">
                  <a16:creationId xmlns:a16="http://schemas.microsoft.com/office/drawing/2014/main" id="{89E87D95-0F18-4422-A339-346F57CF200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9 w 35"/>
                <a:gd name="T1" fmla="*/ 101 h 101"/>
                <a:gd name="T2" fmla="*/ 35 w 35"/>
                <a:gd name="T3" fmla="*/ 99 h 101"/>
                <a:gd name="T4" fmla="*/ 0 w 35"/>
                <a:gd name="T5" fmla="*/ 0 h 101"/>
                <a:gd name="T6" fmla="*/ 29 w 35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29" y="101"/>
                  </a:moveTo>
                  <a:lnTo>
                    <a:pt x="35" y="99"/>
                  </a:lnTo>
                  <a:lnTo>
                    <a:pt x="0" y="0"/>
                  </a:lnTo>
                  <a:lnTo>
                    <a:pt x="29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2" name="Freeform 264">
              <a:extLst>
                <a:ext uri="{FF2B5EF4-FFF2-40B4-BE49-F238E27FC236}">
                  <a16:creationId xmlns:a16="http://schemas.microsoft.com/office/drawing/2014/main" id="{4120D1DE-4B2D-441E-8281-398FCC84FB9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2"/>
            </a:xfrm>
            <a:custGeom>
              <a:avLst/>
              <a:gdLst>
                <a:gd name="T0" fmla="*/ 35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5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5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5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3" name="Freeform 265">
              <a:extLst>
                <a:ext uri="{FF2B5EF4-FFF2-40B4-BE49-F238E27FC236}">
                  <a16:creationId xmlns:a16="http://schemas.microsoft.com/office/drawing/2014/main" id="{E70F4AA8-1A12-40EE-BDE1-8AE04287C87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2 w 49"/>
                <a:gd name="T1" fmla="*/ 96 h 96"/>
                <a:gd name="T2" fmla="*/ 49 w 49"/>
                <a:gd name="T3" fmla="*/ 93 h 96"/>
                <a:gd name="T4" fmla="*/ 0 w 49"/>
                <a:gd name="T5" fmla="*/ 0 h 96"/>
                <a:gd name="T6" fmla="*/ 42 w 49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6">
                  <a:moveTo>
                    <a:pt x="42" y="96"/>
                  </a:moveTo>
                  <a:lnTo>
                    <a:pt x="49" y="93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4" name="Freeform 266">
              <a:extLst>
                <a:ext uri="{FF2B5EF4-FFF2-40B4-BE49-F238E27FC236}">
                  <a16:creationId xmlns:a16="http://schemas.microsoft.com/office/drawing/2014/main" id="{99DC80AD-14B0-4DA6-A0EE-9E677876D9D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9 w 55"/>
                <a:gd name="T1" fmla="*/ 93 h 93"/>
                <a:gd name="T2" fmla="*/ 55 w 55"/>
                <a:gd name="T3" fmla="*/ 90 h 93"/>
                <a:gd name="T4" fmla="*/ 0 w 55"/>
                <a:gd name="T5" fmla="*/ 0 h 93"/>
                <a:gd name="T6" fmla="*/ 49 w 55"/>
                <a:gd name="T7" fmla="*/ 93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3">
                  <a:moveTo>
                    <a:pt x="49" y="93"/>
                  </a:moveTo>
                  <a:lnTo>
                    <a:pt x="55" y="90"/>
                  </a:lnTo>
                  <a:lnTo>
                    <a:pt x="0" y="0"/>
                  </a:lnTo>
                  <a:lnTo>
                    <a:pt x="49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5" name="Freeform 267">
              <a:extLst>
                <a:ext uri="{FF2B5EF4-FFF2-40B4-BE49-F238E27FC236}">
                  <a16:creationId xmlns:a16="http://schemas.microsoft.com/office/drawing/2014/main" id="{113F9E1C-6DAB-42E4-9371-A6F79395DE4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55 w 61"/>
                <a:gd name="T1" fmla="*/ 90 h 90"/>
                <a:gd name="T2" fmla="*/ 61 w 61"/>
                <a:gd name="T3" fmla="*/ 86 h 90"/>
                <a:gd name="T4" fmla="*/ 0 w 61"/>
                <a:gd name="T5" fmla="*/ 0 h 90"/>
                <a:gd name="T6" fmla="*/ 55 w 61"/>
                <a:gd name="T7" fmla="*/ 9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55" y="90"/>
                  </a:moveTo>
                  <a:lnTo>
                    <a:pt x="61" y="86"/>
                  </a:lnTo>
                  <a:lnTo>
                    <a:pt x="0" y="0"/>
                  </a:lnTo>
                  <a:lnTo>
                    <a:pt x="55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6" name="Freeform 268">
              <a:extLst>
                <a:ext uri="{FF2B5EF4-FFF2-40B4-BE49-F238E27FC236}">
                  <a16:creationId xmlns:a16="http://schemas.microsoft.com/office/drawing/2014/main" id="{6AB58DF2-4B0C-4414-96BE-CD1534C3A44B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1 w 67"/>
                <a:gd name="T1" fmla="*/ 86 h 86"/>
                <a:gd name="T2" fmla="*/ 67 w 67"/>
                <a:gd name="T3" fmla="*/ 81 h 86"/>
                <a:gd name="T4" fmla="*/ 0 w 67"/>
                <a:gd name="T5" fmla="*/ 0 h 86"/>
                <a:gd name="T6" fmla="*/ 61 w 67"/>
                <a:gd name="T7" fmla="*/ 86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1" y="86"/>
                  </a:moveTo>
                  <a:lnTo>
                    <a:pt x="67" y="81"/>
                  </a:lnTo>
                  <a:lnTo>
                    <a:pt x="0" y="0"/>
                  </a:lnTo>
                  <a:lnTo>
                    <a:pt x="61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7" name="Freeform 269">
              <a:extLst>
                <a:ext uri="{FF2B5EF4-FFF2-40B4-BE49-F238E27FC236}">
                  <a16:creationId xmlns:a16="http://schemas.microsoft.com/office/drawing/2014/main" id="{036899B5-BED1-4A22-AF04-A4898B25521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7 w 72"/>
                <a:gd name="T1" fmla="*/ 81 h 81"/>
                <a:gd name="T2" fmla="*/ 72 w 72"/>
                <a:gd name="T3" fmla="*/ 77 h 81"/>
                <a:gd name="T4" fmla="*/ 0 w 72"/>
                <a:gd name="T5" fmla="*/ 0 h 81"/>
                <a:gd name="T6" fmla="*/ 67 w 72"/>
                <a:gd name="T7" fmla="*/ 81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67" y="81"/>
                  </a:moveTo>
                  <a:lnTo>
                    <a:pt x="72" y="77"/>
                  </a:lnTo>
                  <a:lnTo>
                    <a:pt x="0" y="0"/>
                  </a:lnTo>
                  <a:lnTo>
                    <a:pt x="67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8" name="Freeform 270">
              <a:extLst>
                <a:ext uri="{FF2B5EF4-FFF2-40B4-BE49-F238E27FC236}">
                  <a16:creationId xmlns:a16="http://schemas.microsoft.com/office/drawing/2014/main" id="{3BA48A4B-7378-420F-8D60-DF66C042DA2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2 w 77"/>
                <a:gd name="T1" fmla="*/ 77 h 77"/>
                <a:gd name="T2" fmla="*/ 77 w 77"/>
                <a:gd name="T3" fmla="*/ 72 h 77"/>
                <a:gd name="T4" fmla="*/ 0 w 77"/>
                <a:gd name="T5" fmla="*/ 0 h 77"/>
                <a:gd name="T6" fmla="*/ 72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2" y="77"/>
                  </a:moveTo>
                  <a:lnTo>
                    <a:pt x="77" y="72"/>
                  </a:lnTo>
                  <a:lnTo>
                    <a:pt x="0" y="0"/>
                  </a:lnTo>
                  <a:lnTo>
                    <a:pt x="72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9" name="Freeform 271">
              <a:extLst>
                <a:ext uri="{FF2B5EF4-FFF2-40B4-BE49-F238E27FC236}">
                  <a16:creationId xmlns:a16="http://schemas.microsoft.com/office/drawing/2014/main" id="{120FBE50-4D78-442F-85FF-AE133BBDD1F9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7 w 82"/>
                <a:gd name="T1" fmla="*/ 72 h 72"/>
                <a:gd name="T2" fmla="*/ 82 w 82"/>
                <a:gd name="T3" fmla="*/ 66 h 72"/>
                <a:gd name="T4" fmla="*/ 0 w 82"/>
                <a:gd name="T5" fmla="*/ 0 h 72"/>
                <a:gd name="T6" fmla="*/ 77 w 82"/>
                <a:gd name="T7" fmla="*/ 72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77" y="72"/>
                  </a:moveTo>
                  <a:lnTo>
                    <a:pt x="82" y="66"/>
                  </a:lnTo>
                  <a:lnTo>
                    <a:pt x="0" y="0"/>
                  </a:lnTo>
                  <a:lnTo>
                    <a:pt x="77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0" name="Freeform 272">
              <a:extLst>
                <a:ext uri="{FF2B5EF4-FFF2-40B4-BE49-F238E27FC236}">
                  <a16:creationId xmlns:a16="http://schemas.microsoft.com/office/drawing/2014/main" id="{5F4CB89F-2415-4427-8F0B-D4CB6E7D223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2 w 86"/>
                <a:gd name="T1" fmla="*/ 66 h 66"/>
                <a:gd name="T2" fmla="*/ 86 w 86"/>
                <a:gd name="T3" fmla="*/ 60 h 66"/>
                <a:gd name="T4" fmla="*/ 0 w 86"/>
                <a:gd name="T5" fmla="*/ 0 h 66"/>
                <a:gd name="T6" fmla="*/ 82 w 86"/>
                <a:gd name="T7" fmla="*/ 66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82" y="66"/>
                  </a:moveTo>
                  <a:lnTo>
                    <a:pt x="86" y="60"/>
                  </a:lnTo>
                  <a:lnTo>
                    <a:pt x="0" y="0"/>
                  </a:lnTo>
                  <a:lnTo>
                    <a:pt x="82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1" name="Freeform 273">
              <a:extLst>
                <a:ext uri="{FF2B5EF4-FFF2-40B4-BE49-F238E27FC236}">
                  <a16:creationId xmlns:a16="http://schemas.microsoft.com/office/drawing/2014/main" id="{144569B9-BD41-4768-BF01-3037637B088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6 w 90"/>
                <a:gd name="T1" fmla="*/ 60 h 60"/>
                <a:gd name="T2" fmla="*/ 90 w 90"/>
                <a:gd name="T3" fmla="*/ 54 h 60"/>
                <a:gd name="T4" fmla="*/ 0 w 90"/>
                <a:gd name="T5" fmla="*/ 0 h 60"/>
                <a:gd name="T6" fmla="*/ 86 w 90"/>
                <a:gd name="T7" fmla="*/ 60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86" y="60"/>
                  </a:moveTo>
                  <a:lnTo>
                    <a:pt x="90" y="54"/>
                  </a:lnTo>
                  <a:lnTo>
                    <a:pt x="0" y="0"/>
                  </a:lnTo>
                  <a:lnTo>
                    <a:pt x="86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2" name="Freeform 274">
              <a:extLst>
                <a:ext uri="{FF2B5EF4-FFF2-40B4-BE49-F238E27FC236}">
                  <a16:creationId xmlns:a16="http://schemas.microsoft.com/office/drawing/2014/main" id="{D9F10792-519D-4C45-B03A-C77A0F11683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0 w 94"/>
                <a:gd name="T1" fmla="*/ 54 h 54"/>
                <a:gd name="T2" fmla="*/ 94 w 94"/>
                <a:gd name="T3" fmla="*/ 48 h 54"/>
                <a:gd name="T4" fmla="*/ 0 w 94"/>
                <a:gd name="T5" fmla="*/ 0 h 54"/>
                <a:gd name="T6" fmla="*/ 90 w 94"/>
                <a:gd name="T7" fmla="*/ 54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4">
                  <a:moveTo>
                    <a:pt x="90" y="54"/>
                  </a:moveTo>
                  <a:lnTo>
                    <a:pt x="94" y="48"/>
                  </a:lnTo>
                  <a:lnTo>
                    <a:pt x="0" y="0"/>
                  </a:lnTo>
                  <a:lnTo>
                    <a:pt x="9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3" name="Freeform 275">
              <a:extLst>
                <a:ext uri="{FF2B5EF4-FFF2-40B4-BE49-F238E27FC236}">
                  <a16:creationId xmlns:a16="http://schemas.microsoft.com/office/drawing/2014/main" id="{51CEAF0E-F95C-4A88-A29D-89B3CBCD8B9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4 w 97"/>
                <a:gd name="T1" fmla="*/ 48 h 48"/>
                <a:gd name="T2" fmla="*/ 97 w 97"/>
                <a:gd name="T3" fmla="*/ 42 h 48"/>
                <a:gd name="T4" fmla="*/ 0 w 97"/>
                <a:gd name="T5" fmla="*/ 0 h 48"/>
                <a:gd name="T6" fmla="*/ 94 w 97"/>
                <a:gd name="T7" fmla="*/ 48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8">
                  <a:moveTo>
                    <a:pt x="94" y="48"/>
                  </a:moveTo>
                  <a:lnTo>
                    <a:pt x="97" y="42"/>
                  </a:lnTo>
                  <a:lnTo>
                    <a:pt x="0" y="0"/>
                  </a:lnTo>
                  <a:lnTo>
                    <a:pt x="94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4" name="Freeform 276">
              <a:extLst>
                <a:ext uri="{FF2B5EF4-FFF2-40B4-BE49-F238E27FC236}">
                  <a16:creationId xmlns:a16="http://schemas.microsoft.com/office/drawing/2014/main" id="{6565F6A7-0975-4CB4-A8B3-FC0A2CAF6CD6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7 w 99"/>
                <a:gd name="T1" fmla="*/ 42 h 42"/>
                <a:gd name="T2" fmla="*/ 99 w 99"/>
                <a:gd name="T3" fmla="*/ 35 h 42"/>
                <a:gd name="T4" fmla="*/ 0 w 99"/>
                <a:gd name="T5" fmla="*/ 0 h 42"/>
                <a:gd name="T6" fmla="*/ 97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7" y="42"/>
                  </a:moveTo>
                  <a:lnTo>
                    <a:pt x="99" y="35"/>
                  </a:lnTo>
                  <a:lnTo>
                    <a:pt x="0" y="0"/>
                  </a:lnTo>
                  <a:lnTo>
                    <a:pt x="97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5" name="Freeform 277">
              <a:extLst>
                <a:ext uri="{FF2B5EF4-FFF2-40B4-BE49-F238E27FC236}">
                  <a16:creationId xmlns:a16="http://schemas.microsoft.com/office/drawing/2014/main" id="{491DA807-38DB-453E-9432-17237E5C6505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99 w 102"/>
                <a:gd name="T1" fmla="*/ 35 h 35"/>
                <a:gd name="T2" fmla="*/ 102 w 102"/>
                <a:gd name="T3" fmla="*/ 28 h 35"/>
                <a:gd name="T4" fmla="*/ 0 w 102"/>
                <a:gd name="T5" fmla="*/ 0 h 35"/>
                <a:gd name="T6" fmla="*/ 99 w 102"/>
                <a:gd name="T7" fmla="*/ 35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99" y="35"/>
                  </a:moveTo>
                  <a:lnTo>
                    <a:pt x="102" y="28"/>
                  </a:lnTo>
                  <a:lnTo>
                    <a:pt x="0" y="0"/>
                  </a:lnTo>
                  <a:lnTo>
                    <a:pt x="99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6" name="Freeform 278">
              <a:extLst>
                <a:ext uri="{FF2B5EF4-FFF2-40B4-BE49-F238E27FC236}">
                  <a16:creationId xmlns:a16="http://schemas.microsoft.com/office/drawing/2014/main" id="{513C76E2-082A-4D5F-B723-15E84ABAC61C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2 w 103"/>
                <a:gd name="T1" fmla="*/ 28 h 28"/>
                <a:gd name="T2" fmla="*/ 103 w 103"/>
                <a:gd name="T3" fmla="*/ 21 h 28"/>
                <a:gd name="T4" fmla="*/ 0 w 103"/>
                <a:gd name="T5" fmla="*/ 0 h 28"/>
                <a:gd name="T6" fmla="*/ 102 w 103"/>
                <a:gd name="T7" fmla="*/ 28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102" y="28"/>
                  </a:moveTo>
                  <a:lnTo>
                    <a:pt x="103" y="21"/>
                  </a:lnTo>
                  <a:lnTo>
                    <a:pt x="0" y="0"/>
                  </a:lnTo>
                  <a:lnTo>
                    <a:pt x="102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7" name="Freeform 279">
              <a:extLst>
                <a:ext uri="{FF2B5EF4-FFF2-40B4-BE49-F238E27FC236}">
                  <a16:creationId xmlns:a16="http://schemas.microsoft.com/office/drawing/2014/main" id="{630795EA-2BF2-4AE2-B750-D1C08333BC0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3 w 104"/>
                <a:gd name="T1" fmla="*/ 21 h 21"/>
                <a:gd name="T2" fmla="*/ 104 w 104"/>
                <a:gd name="T3" fmla="*/ 14 h 21"/>
                <a:gd name="T4" fmla="*/ 0 w 104"/>
                <a:gd name="T5" fmla="*/ 0 h 21"/>
                <a:gd name="T6" fmla="*/ 103 w 104"/>
                <a:gd name="T7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103" y="21"/>
                  </a:moveTo>
                  <a:lnTo>
                    <a:pt x="104" y="14"/>
                  </a:lnTo>
                  <a:lnTo>
                    <a:pt x="0" y="0"/>
                  </a:lnTo>
                  <a:lnTo>
                    <a:pt x="103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8" name="Freeform 280">
              <a:extLst>
                <a:ext uri="{FF2B5EF4-FFF2-40B4-BE49-F238E27FC236}">
                  <a16:creationId xmlns:a16="http://schemas.microsoft.com/office/drawing/2014/main" id="{D4400DFC-1DC5-4E38-AFA9-F225C778209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4 w 105"/>
                <a:gd name="T1" fmla="*/ 14 h 14"/>
                <a:gd name="T2" fmla="*/ 105 w 105"/>
                <a:gd name="T3" fmla="*/ 7 h 14"/>
                <a:gd name="T4" fmla="*/ 0 w 105"/>
                <a:gd name="T5" fmla="*/ 0 h 14"/>
                <a:gd name="T6" fmla="*/ 104 w 105"/>
                <a:gd name="T7" fmla="*/ 14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104" y="14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9" name="Freeform 281">
              <a:extLst>
                <a:ext uri="{FF2B5EF4-FFF2-40B4-BE49-F238E27FC236}">
                  <a16:creationId xmlns:a16="http://schemas.microsoft.com/office/drawing/2014/main" id="{7C0D6B01-545B-49A2-9298-CB777CEB26D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0" name="Freeform 282">
              <a:extLst>
                <a:ext uri="{FF2B5EF4-FFF2-40B4-BE49-F238E27FC236}">
                  <a16:creationId xmlns:a16="http://schemas.microsoft.com/office/drawing/2014/main" id="{501D9741-45B6-4957-B4BC-861D7119E5A1}"/>
                </a:ext>
              </a:extLst>
            </xdr:cNvPr>
            <xdr:cNvSpPr>
              <a:spLocks/>
            </xdr:cNvSpPr>
          </xdr:nvSpPr>
          <xdr:spPr bwMode="auto">
            <a:xfrm>
              <a:off x="1017" y="188"/>
              <a:ext cx="6" cy="9"/>
            </a:xfrm>
            <a:custGeom>
              <a:avLst/>
              <a:gdLst>
                <a:gd name="T0" fmla="*/ 351 w 351"/>
                <a:gd name="T1" fmla="*/ 439 h 526"/>
                <a:gd name="T2" fmla="*/ 264 w 351"/>
                <a:gd name="T3" fmla="*/ 526 h 526"/>
                <a:gd name="T4" fmla="*/ 87 w 351"/>
                <a:gd name="T5" fmla="*/ 526 h 526"/>
                <a:gd name="T6" fmla="*/ 0 w 351"/>
                <a:gd name="T7" fmla="*/ 439 h 526"/>
                <a:gd name="T8" fmla="*/ 0 w 351"/>
                <a:gd name="T9" fmla="*/ 88 h 526"/>
                <a:gd name="T10" fmla="*/ 87 w 351"/>
                <a:gd name="T11" fmla="*/ 0 h 526"/>
                <a:gd name="T12" fmla="*/ 264 w 351"/>
                <a:gd name="T13" fmla="*/ 0 h 526"/>
                <a:gd name="T14" fmla="*/ 351 w 351"/>
                <a:gd name="T15" fmla="*/ 88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351" h="526">
                  <a:moveTo>
                    <a:pt x="351" y="439"/>
                  </a:moveTo>
                  <a:lnTo>
                    <a:pt x="264" y="526"/>
                  </a:lnTo>
                  <a:lnTo>
                    <a:pt x="87" y="526"/>
                  </a:lnTo>
                  <a:lnTo>
                    <a:pt x="0" y="439"/>
                  </a:lnTo>
                  <a:lnTo>
                    <a:pt x="0" y="88"/>
                  </a:lnTo>
                  <a:lnTo>
                    <a:pt x="87" y="0"/>
                  </a:lnTo>
                  <a:lnTo>
                    <a:pt x="264" y="0"/>
                  </a:lnTo>
                  <a:lnTo>
                    <a:pt x="351" y="88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71" name="Freeform 283">
              <a:extLst>
                <a:ext uri="{FF2B5EF4-FFF2-40B4-BE49-F238E27FC236}">
                  <a16:creationId xmlns:a16="http://schemas.microsoft.com/office/drawing/2014/main" id="{8FA1B2ED-A75B-41EF-9DA6-51B6ADA170E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8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8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2" name="Freeform 284">
              <a:extLst>
                <a:ext uri="{FF2B5EF4-FFF2-40B4-BE49-F238E27FC236}">
                  <a16:creationId xmlns:a16="http://schemas.microsoft.com/office/drawing/2014/main" id="{E28C74F5-F45A-4FED-9631-DE49B85A5FC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7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3" name="Freeform 285">
              <a:extLst>
                <a:ext uri="{FF2B5EF4-FFF2-40B4-BE49-F238E27FC236}">
                  <a16:creationId xmlns:a16="http://schemas.microsoft.com/office/drawing/2014/main" id="{01A70BFC-FE3A-499E-8326-A646ABF427FF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4 w 104"/>
                <a:gd name="T1" fmla="*/ 8 h 23"/>
                <a:gd name="T2" fmla="*/ 103 w 104"/>
                <a:gd name="T3" fmla="*/ 0 h 23"/>
                <a:gd name="T4" fmla="*/ 0 w 104"/>
                <a:gd name="T5" fmla="*/ 23 h 23"/>
                <a:gd name="T6" fmla="*/ 104 w 104"/>
                <a:gd name="T7" fmla="*/ 8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04" y="8"/>
                  </a:moveTo>
                  <a:lnTo>
                    <a:pt x="103" y="0"/>
                  </a:lnTo>
                  <a:lnTo>
                    <a:pt x="0" y="23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4" name="Freeform 286">
              <a:extLst>
                <a:ext uri="{FF2B5EF4-FFF2-40B4-BE49-F238E27FC236}">
                  <a16:creationId xmlns:a16="http://schemas.microsoft.com/office/drawing/2014/main" id="{65E2CF2E-E6CD-4464-9119-91A3A3B0ADB8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3 w 103"/>
                <a:gd name="T1" fmla="*/ 7 h 30"/>
                <a:gd name="T2" fmla="*/ 101 w 103"/>
                <a:gd name="T3" fmla="*/ 0 h 30"/>
                <a:gd name="T4" fmla="*/ 0 w 103"/>
                <a:gd name="T5" fmla="*/ 30 h 30"/>
                <a:gd name="T6" fmla="*/ 103 w 103"/>
                <a:gd name="T7" fmla="*/ 7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103" y="7"/>
                  </a:moveTo>
                  <a:lnTo>
                    <a:pt x="101" y="0"/>
                  </a:lnTo>
                  <a:lnTo>
                    <a:pt x="0" y="30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5" name="Freeform 287">
              <a:extLst>
                <a:ext uri="{FF2B5EF4-FFF2-40B4-BE49-F238E27FC236}">
                  <a16:creationId xmlns:a16="http://schemas.microsoft.com/office/drawing/2014/main" id="{0676A9B2-4EBD-4585-BCA5-1B6768318E23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1 w 101"/>
                <a:gd name="T1" fmla="*/ 7 h 37"/>
                <a:gd name="T2" fmla="*/ 99 w 101"/>
                <a:gd name="T3" fmla="*/ 0 h 37"/>
                <a:gd name="T4" fmla="*/ 0 w 101"/>
                <a:gd name="T5" fmla="*/ 37 h 37"/>
                <a:gd name="T6" fmla="*/ 101 w 101"/>
                <a:gd name="T7" fmla="*/ 7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101" y="7"/>
                  </a:moveTo>
                  <a:lnTo>
                    <a:pt x="99" y="0"/>
                  </a:lnTo>
                  <a:lnTo>
                    <a:pt x="0" y="37"/>
                  </a:lnTo>
                  <a:lnTo>
                    <a:pt x="101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6" name="Freeform 288">
              <a:extLst>
                <a:ext uri="{FF2B5EF4-FFF2-40B4-BE49-F238E27FC236}">
                  <a16:creationId xmlns:a16="http://schemas.microsoft.com/office/drawing/2014/main" id="{8991D4AF-D179-4EC8-87EE-604CBF7526EB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9 w 99"/>
                <a:gd name="T1" fmla="*/ 7 h 44"/>
                <a:gd name="T2" fmla="*/ 96 w 99"/>
                <a:gd name="T3" fmla="*/ 0 h 44"/>
                <a:gd name="T4" fmla="*/ 0 w 99"/>
                <a:gd name="T5" fmla="*/ 44 h 44"/>
                <a:gd name="T6" fmla="*/ 99 w 99"/>
                <a:gd name="T7" fmla="*/ 7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99" y="7"/>
                  </a:moveTo>
                  <a:lnTo>
                    <a:pt x="96" y="0"/>
                  </a:lnTo>
                  <a:lnTo>
                    <a:pt x="0" y="44"/>
                  </a:lnTo>
                  <a:lnTo>
                    <a:pt x="99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7" name="Freeform 289">
              <a:extLst>
                <a:ext uri="{FF2B5EF4-FFF2-40B4-BE49-F238E27FC236}">
                  <a16:creationId xmlns:a16="http://schemas.microsoft.com/office/drawing/2014/main" id="{1A9FCA67-F5B6-443E-9F14-C346ECCF56C8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6 w 96"/>
                <a:gd name="T1" fmla="*/ 7 h 51"/>
                <a:gd name="T2" fmla="*/ 92 w 96"/>
                <a:gd name="T3" fmla="*/ 0 h 51"/>
                <a:gd name="T4" fmla="*/ 0 w 96"/>
                <a:gd name="T5" fmla="*/ 51 h 51"/>
                <a:gd name="T6" fmla="*/ 96 w 96"/>
                <a:gd name="T7" fmla="*/ 7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96" y="7"/>
                  </a:moveTo>
                  <a:lnTo>
                    <a:pt x="92" y="0"/>
                  </a:lnTo>
                  <a:lnTo>
                    <a:pt x="0" y="51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8" name="Freeform 290">
              <a:extLst>
                <a:ext uri="{FF2B5EF4-FFF2-40B4-BE49-F238E27FC236}">
                  <a16:creationId xmlns:a16="http://schemas.microsoft.com/office/drawing/2014/main" id="{AFC0C78B-EF5E-40DF-B2DA-9F28EFE9F65A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2 w 92"/>
                <a:gd name="T1" fmla="*/ 6 h 57"/>
                <a:gd name="T2" fmla="*/ 88 w 92"/>
                <a:gd name="T3" fmla="*/ 0 h 57"/>
                <a:gd name="T4" fmla="*/ 0 w 92"/>
                <a:gd name="T5" fmla="*/ 57 h 57"/>
                <a:gd name="T6" fmla="*/ 92 w 92"/>
                <a:gd name="T7" fmla="*/ 6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92" y="6"/>
                  </a:moveTo>
                  <a:lnTo>
                    <a:pt x="88" y="0"/>
                  </a:lnTo>
                  <a:lnTo>
                    <a:pt x="0" y="57"/>
                  </a:lnTo>
                  <a:lnTo>
                    <a:pt x="92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9" name="Freeform 291">
              <a:extLst>
                <a:ext uri="{FF2B5EF4-FFF2-40B4-BE49-F238E27FC236}">
                  <a16:creationId xmlns:a16="http://schemas.microsoft.com/office/drawing/2014/main" id="{708483AD-E94C-417A-8099-CE2D54767101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8 w 88"/>
                <a:gd name="T1" fmla="*/ 6 h 63"/>
                <a:gd name="T2" fmla="*/ 84 w 88"/>
                <a:gd name="T3" fmla="*/ 0 h 63"/>
                <a:gd name="T4" fmla="*/ 0 w 88"/>
                <a:gd name="T5" fmla="*/ 63 h 63"/>
                <a:gd name="T6" fmla="*/ 88 w 88"/>
                <a:gd name="T7" fmla="*/ 6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8" y="6"/>
                  </a:moveTo>
                  <a:lnTo>
                    <a:pt x="84" y="0"/>
                  </a:lnTo>
                  <a:lnTo>
                    <a:pt x="0" y="63"/>
                  </a:lnTo>
                  <a:lnTo>
                    <a:pt x="88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0" name="Freeform 292">
              <a:extLst>
                <a:ext uri="{FF2B5EF4-FFF2-40B4-BE49-F238E27FC236}">
                  <a16:creationId xmlns:a16="http://schemas.microsoft.com/office/drawing/2014/main" id="{77E6110C-9D5A-4BD8-AF76-9A316111FADB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4 w 84"/>
                <a:gd name="T1" fmla="*/ 6 h 69"/>
                <a:gd name="T2" fmla="*/ 79 w 84"/>
                <a:gd name="T3" fmla="*/ 0 h 69"/>
                <a:gd name="T4" fmla="*/ 0 w 84"/>
                <a:gd name="T5" fmla="*/ 69 h 69"/>
                <a:gd name="T6" fmla="*/ 84 w 84"/>
                <a:gd name="T7" fmla="*/ 6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84" y="6"/>
                  </a:moveTo>
                  <a:lnTo>
                    <a:pt x="79" y="0"/>
                  </a:lnTo>
                  <a:lnTo>
                    <a:pt x="0" y="69"/>
                  </a:lnTo>
                  <a:lnTo>
                    <a:pt x="8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1" name="Freeform 293">
              <a:extLst>
                <a:ext uri="{FF2B5EF4-FFF2-40B4-BE49-F238E27FC236}">
                  <a16:creationId xmlns:a16="http://schemas.microsoft.com/office/drawing/2014/main" id="{8F7BE1BA-867B-49DD-9738-F06B9178EE32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79 w 79"/>
                <a:gd name="T1" fmla="*/ 6 h 75"/>
                <a:gd name="T2" fmla="*/ 74 w 79"/>
                <a:gd name="T3" fmla="*/ 0 h 75"/>
                <a:gd name="T4" fmla="*/ 0 w 79"/>
                <a:gd name="T5" fmla="*/ 75 h 75"/>
                <a:gd name="T6" fmla="*/ 79 w 79"/>
                <a:gd name="T7" fmla="*/ 6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5">
                  <a:moveTo>
                    <a:pt x="79" y="6"/>
                  </a:moveTo>
                  <a:lnTo>
                    <a:pt x="74" y="0"/>
                  </a:lnTo>
                  <a:lnTo>
                    <a:pt x="0" y="75"/>
                  </a:lnTo>
                  <a:lnTo>
                    <a:pt x="7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2" name="Freeform 294">
              <a:extLst>
                <a:ext uri="{FF2B5EF4-FFF2-40B4-BE49-F238E27FC236}">
                  <a16:creationId xmlns:a16="http://schemas.microsoft.com/office/drawing/2014/main" id="{B0C1C1BA-0B14-4FAC-B716-94E905192C54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74 w 74"/>
                <a:gd name="T1" fmla="*/ 5 h 80"/>
                <a:gd name="T2" fmla="*/ 69 w 74"/>
                <a:gd name="T3" fmla="*/ 0 h 80"/>
                <a:gd name="T4" fmla="*/ 0 w 74"/>
                <a:gd name="T5" fmla="*/ 80 h 80"/>
                <a:gd name="T6" fmla="*/ 74 w 74"/>
                <a:gd name="T7" fmla="*/ 5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74" y="5"/>
                  </a:moveTo>
                  <a:lnTo>
                    <a:pt x="69" y="0"/>
                  </a:lnTo>
                  <a:lnTo>
                    <a:pt x="0" y="80"/>
                  </a:lnTo>
                  <a:lnTo>
                    <a:pt x="74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3" name="Freeform 295">
              <a:extLst>
                <a:ext uri="{FF2B5EF4-FFF2-40B4-BE49-F238E27FC236}">
                  <a16:creationId xmlns:a16="http://schemas.microsoft.com/office/drawing/2014/main" id="{B05FED93-6CFA-478F-9B77-544790437674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9 w 69"/>
                <a:gd name="T1" fmla="*/ 5 h 85"/>
                <a:gd name="T2" fmla="*/ 63 w 69"/>
                <a:gd name="T3" fmla="*/ 0 h 85"/>
                <a:gd name="T4" fmla="*/ 0 w 69"/>
                <a:gd name="T5" fmla="*/ 85 h 85"/>
                <a:gd name="T6" fmla="*/ 69 w 69"/>
                <a:gd name="T7" fmla="*/ 5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9" y="5"/>
                  </a:moveTo>
                  <a:lnTo>
                    <a:pt x="63" y="0"/>
                  </a:lnTo>
                  <a:lnTo>
                    <a:pt x="0" y="85"/>
                  </a:lnTo>
                  <a:lnTo>
                    <a:pt x="69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4" name="Freeform 296">
              <a:extLst>
                <a:ext uri="{FF2B5EF4-FFF2-40B4-BE49-F238E27FC236}">
                  <a16:creationId xmlns:a16="http://schemas.microsoft.com/office/drawing/2014/main" id="{B57B8BFE-447B-4E99-9FB4-B61E5FCDF635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3 w 63"/>
                <a:gd name="T1" fmla="*/ 4 h 89"/>
                <a:gd name="T2" fmla="*/ 57 w 63"/>
                <a:gd name="T3" fmla="*/ 0 h 89"/>
                <a:gd name="T4" fmla="*/ 0 w 63"/>
                <a:gd name="T5" fmla="*/ 89 h 89"/>
                <a:gd name="T6" fmla="*/ 63 w 63"/>
                <a:gd name="T7" fmla="*/ 4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3" y="4"/>
                  </a:moveTo>
                  <a:lnTo>
                    <a:pt x="57" y="0"/>
                  </a:lnTo>
                  <a:lnTo>
                    <a:pt x="0" y="89"/>
                  </a:lnTo>
                  <a:lnTo>
                    <a:pt x="63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5" name="Freeform 297">
              <a:extLst>
                <a:ext uri="{FF2B5EF4-FFF2-40B4-BE49-F238E27FC236}">
                  <a16:creationId xmlns:a16="http://schemas.microsoft.com/office/drawing/2014/main" id="{9284909D-C59D-4C49-B313-7C1232B3849B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57 w 57"/>
                <a:gd name="T1" fmla="*/ 4 h 93"/>
                <a:gd name="T2" fmla="*/ 50 w 57"/>
                <a:gd name="T3" fmla="*/ 0 h 93"/>
                <a:gd name="T4" fmla="*/ 0 w 57"/>
                <a:gd name="T5" fmla="*/ 93 h 93"/>
                <a:gd name="T6" fmla="*/ 57 w 57"/>
                <a:gd name="T7" fmla="*/ 4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57" y="4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6" name="Freeform 298">
              <a:extLst>
                <a:ext uri="{FF2B5EF4-FFF2-40B4-BE49-F238E27FC236}">
                  <a16:creationId xmlns:a16="http://schemas.microsoft.com/office/drawing/2014/main" id="{DB6880F8-3808-4357-89F2-7562809E8E7D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50 w 50"/>
                <a:gd name="T1" fmla="*/ 3 h 96"/>
                <a:gd name="T2" fmla="*/ 44 w 50"/>
                <a:gd name="T3" fmla="*/ 0 h 96"/>
                <a:gd name="T4" fmla="*/ 0 w 50"/>
                <a:gd name="T5" fmla="*/ 96 h 96"/>
                <a:gd name="T6" fmla="*/ 50 w 50"/>
                <a:gd name="T7" fmla="*/ 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50" y="3"/>
                  </a:moveTo>
                  <a:lnTo>
                    <a:pt x="44" y="0"/>
                  </a:lnTo>
                  <a:lnTo>
                    <a:pt x="0" y="96"/>
                  </a:lnTo>
                  <a:lnTo>
                    <a:pt x="50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7" name="Freeform 299">
              <a:extLst>
                <a:ext uri="{FF2B5EF4-FFF2-40B4-BE49-F238E27FC236}">
                  <a16:creationId xmlns:a16="http://schemas.microsoft.com/office/drawing/2014/main" id="{43425F06-F379-47B2-BCAB-BC972CAAE0D2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44 w 44"/>
                <a:gd name="T1" fmla="*/ 3 h 99"/>
                <a:gd name="T2" fmla="*/ 37 w 44"/>
                <a:gd name="T3" fmla="*/ 0 h 99"/>
                <a:gd name="T4" fmla="*/ 0 w 44"/>
                <a:gd name="T5" fmla="*/ 99 h 99"/>
                <a:gd name="T6" fmla="*/ 44 w 44"/>
                <a:gd name="T7" fmla="*/ 3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44" y="3"/>
                  </a:moveTo>
                  <a:lnTo>
                    <a:pt x="37" y="0"/>
                  </a:lnTo>
                  <a:lnTo>
                    <a:pt x="0" y="99"/>
                  </a:lnTo>
                  <a:lnTo>
                    <a:pt x="44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8" name="Freeform 300">
              <a:extLst>
                <a:ext uri="{FF2B5EF4-FFF2-40B4-BE49-F238E27FC236}">
                  <a16:creationId xmlns:a16="http://schemas.microsoft.com/office/drawing/2014/main" id="{2EA55D21-69C3-4406-A634-CFE6E1C0551B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7 w 37"/>
                <a:gd name="T1" fmla="*/ 2 h 101"/>
                <a:gd name="T2" fmla="*/ 30 w 37"/>
                <a:gd name="T3" fmla="*/ 0 h 101"/>
                <a:gd name="T4" fmla="*/ 0 w 37"/>
                <a:gd name="T5" fmla="*/ 101 h 101"/>
                <a:gd name="T6" fmla="*/ 37 w 37"/>
                <a:gd name="T7" fmla="*/ 2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7" y="2"/>
                  </a:moveTo>
                  <a:lnTo>
                    <a:pt x="30" y="0"/>
                  </a:lnTo>
                  <a:lnTo>
                    <a:pt x="0" y="101"/>
                  </a:lnTo>
                  <a:lnTo>
                    <a:pt x="37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9" name="Freeform 301">
              <a:extLst>
                <a:ext uri="{FF2B5EF4-FFF2-40B4-BE49-F238E27FC236}">
                  <a16:creationId xmlns:a16="http://schemas.microsoft.com/office/drawing/2014/main" id="{1F6F4263-C4A3-41EB-A226-E1AD982CA0C4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0 w 30"/>
                <a:gd name="T1" fmla="*/ 2 h 103"/>
                <a:gd name="T2" fmla="*/ 22 w 30"/>
                <a:gd name="T3" fmla="*/ 0 h 103"/>
                <a:gd name="T4" fmla="*/ 0 w 30"/>
                <a:gd name="T5" fmla="*/ 103 h 103"/>
                <a:gd name="T6" fmla="*/ 30 w 30"/>
                <a:gd name="T7" fmla="*/ 2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30" y="2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30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0" name="Freeform 302">
              <a:extLst>
                <a:ext uri="{FF2B5EF4-FFF2-40B4-BE49-F238E27FC236}">
                  <a16:creationId xmlns:a16="http://schemas.microsoft.com/office/drawing/2014/main" id="{3C5AC429-605C-4835-9EBB-A5DF9D3D6F67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1" name="Freeform 303">
              <a:extLst>
                <a:ext uri="{FF2B5EF4-FFF2-40B4-BE49-F238E27FC236}">
                  <a16:creationId xmlns:a16="http://schemas.microsoft.com/office/drawing/2014/main" id="{14BD1D5C-E741-4F2F-8E74-1A3267F201B2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2" name="Freeform 304">
              <a:extLst>
                <a:ext uri="{FF2B5EF4-FFF2-40B4-BE49-F238E27FC236}">
                  <a16:creationId xmlns:a16="http://schemas.microsoft.com/office/drawing/2014/main" id="{A5238659-DE72-4469-B584-8471915C7DE1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3" name="Freeform 305">
              <a:extLst>
                <a:ext uri="{FF2B5EF4-FFF2-40B4-BE49-F238E27FC236}">
                  <a16:creationId xmlns:a16="http://schemas.microsoft.com/office/drawing/2014/main" id="{74EC92B2-2DC3-43B8-996D-EA86BD653EBF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8 w 8"/>
                <a:gd name="T1" fmla="*/ 0 h 106"/>
                <a:gd name="T2" fmla="*/ 0 w 8"/>
                <a:gd name="T3" fmla="*/ 1 h 106"/>
                <a:gd name="T4" fmla="*/ 8 w 8"/>
                <a:gd name="T5" fmla="*/ 106 h 106"/>
                <a:gd name="T6" fmla="*/ 8 w 8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6">
                  <a:moveTo>
                    <a:pt x="8" y="0"/>
                  </a:moveTo>
                  <a:lnTo>
                    <a:pt x="0" y="1"/>
                  </a:lnTo>
                  <a:lnTo>
                    <a:pt x="8" y="106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4" name="Freeform 306">
              <a:extLst>
                <a:ext uri="{FF2B5EF4-FFF2-40B4-BE49-F238E27FC236}">
                  <a16:creationId xmlns:a16="http://schemas.microsoft.com/office/drawing/2014/main" id="{E2819EB8-2EAB-4C77-BBE8-E717DEA59DB1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15"/>
                <a:gd name="T1" fmla="*/ 0 h 105"/>
                <a:gd name="T2" fmla="*/ 0 w 15"/>
                <a:gd name="T3" fmla="*/ 0 h 105"/>
                <a:gd name="T4" fmla="*/ 15 w 15"/>
                <a:gd name="T5" fmla="*/ 105 h 105"/>
                <a:gd name="T6" fmla="*/ 7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0"/>
                  </a:moveTo>
                  <a:lnTo>
                    <a:pt x="0" y="0"/>
                  </a:lnTo>
                  <a:lnTo>
                    <a:pt x="15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5" name="Freeform 307">
              <a:extLst>
                <a:ext uri="{FF2B5EF4-FFF2-40B4-BE49-F238E27FC236}">
                  <a16:creationId xmlns:a16="http://schemas.microsoft.com/office/drawing/2014/main" id="{6CCDB9DF-0E71-46E7-BB9D-F4C93BB81466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22"/>
                <a:gd name="T1" fmla="*/ 0 h 105"/>
                <a:gd name="T2" fmla="*/ 0 w 22"/>
                <a:gd name="T3" fmla="*/ 2 h 105"/>
                <a:gd name="T4" fmla="*/ 22 w 22"/>
                <a:gd name="T5" fmla="*/ 105 h 105"/>
                <a:gd name="T6" fmla="*/ 7 w 22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7" y="0"/>
                  </a:moveTo>
                  <a:lnTo>
                    <a:pt x="0" y="2"/>
                  </a:lnTo>
                  <a:lnTo>
                    <a:pt x="22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6" name="Freeform 308">
              <a:extLst>
                <a:ext uri="{FF2B5EF4-FFF2-40B4-BE49-F238E27FC236}">
                  <a16:creationId xmlns:a16="http://schemas.microsoft.com/office/drawing/2014/main" id="{7E057083-88BD-4660-B633-4C1891837062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8 w 30"/>
                <a:gd name="T1" fmla="*/ 0 h 103"/>
                <a:gd name="T2" fmla="*/ 0 w 30"/>
                <a:gd name="T3" fmla="*/ 2 h 103"/>
                <a:gd name="T4" fmla="*/ 30 w 30"/>
                <a:gd name="T5" fmla="*/ 103 h 103"/>
                <a:gd name="T6" fmla="*/ 8 w 30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8" y="0"/>
                  </a:moveTo>
                  <a:lnTo>
                    <a:pt x="0" y="2"/>
                  </a:lnTo>
                  <a:lnTo>
                    <a:pt x="30" y="10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7" name="Freeform 309">
              <a:extLst>
                <a:ext uri="{FF2B5EF4-FFF2-40B4-BE49-F238E27FC236}">
                  <a16:creationId xmlns:a16="http://schemas.microsoft.com/office/drawing/2014/main" id="{7ACDED49-D80B-49E2-9A41-2C0247C8E9FD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37"/>
                <a:gd name="T1" fmla="*/ 0 h 101"/>
                <a:gd name="T2" fmla="*/ 0 w 37"/>
                <a:gd name="T3" fmla="*/ 2 h 101"/>
                <a:gd name="T4" fmla="*/ 37 w 37"/>
                <a:gd name="T5" fmla="*/ 101 h 101"/>
                <a:gd name="T6" fmla="*/ 7 w 37"/>
                <a:gd name="T7" fmla="*/ 0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7" y="0"/>
                  </a:moveTo>
                  <a:lnTo>
                    <a:pt x="0" y="2"/>
                  </a:lnTo>
                  <a:lnTo>
                    <a:pt x="37" y="10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8" name="Freeform 310">
              <a:extLst>
                <a:ext uri="{FF2B5EF4-FFF2-40B4-BE49-F238E27FC236}">
                  <a16:creationId xmlns:a16="http://schemas.microsoft.com/office/drawing/2014/main" id="{F9EEF897-7013-4EFF-BA07-B2B939CEEB97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44"/>
                <a:gd name="T1" fmla="*/ 0 h 99"/>
                <a:gd name="T2" fmla="*/ 0 w 44"/>
                <a:gd name="T3" fmla="*/ 3 h 99"/>
                <a:gd name="T4" fmla="*/ 44 w 44"/>
                <a:gd name="T5" fmla="*/ 99 h 99"/>
                <a:gd name="T6" fmla="*/ 7 w 44"/>
                <a:gd name="T7" fmla="*/ 0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7" y="0"/>
                  </a:moveTo>
                  <a:lnTo>
                    <a:pt x="0" y="3"/>
                  </a:lnTo>
                  <a:lnTo>
                    <a:pt x="44" y="99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9" name="Freeform 311">
              <a:extLst>
                <a:ext uri="{FF2B5EF4-FFF2-40B4-BE49-F238E27FC236}">
                  <a16:creationId xmlns:a16="http://schemas.microsoft.com/office/drawing/2014/main" id="{8E5E1CA6-27A4-4B11-897E-5FDDB14BAFC4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50"/>
                <a:gd name="T1" fmla="*/ 0 h 96"/>
                <a:gd name="T2" fmla="*/ 0 w 50"/>
                <a:gd name="T3" fmla="*/ 3 h 96"/>
                <a:gd name="T4" fmla="*/ 50 w 50"/>
                <a:gd name="T5" fmla="*/ 96 h 96"/>
                <a:gd name="T6" fmla="*/ 6 w 50"/>
                <a:gd name="T7" fmla="*/ 0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6" y="0"/>
                  </a:moveTo>
                  <a:lnTo>
                    <a:pt x="0" y="3"/>
                  </a:lnTo>
                  <a:lnTo>
                    <a:pt x="50" y="9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0" name="Freeform 312">
              <a:extLst>
                <a:ext uri="{FF2B5EF4-FFF2-40B4-BE49-F238E27FC236}">
                  <a16:creationId xmlns:a16="http://schemas.microsoft.com/office/drawing/2014/main" id="{C0A9B6CF-9A85-4F70-839F-C2265BD10084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57"/>
                <a:gd name="T1" fmla="*/ 0 h 93"/>
                <a:gd name="T2" fmla="*/ 0 w 57"/>
                <a:gd name="T3" fmla="*/ 4 h 93"/>
                <a:gd name="T4" fmla="*/ 57 w 57"/>
                <a:gd name="T5" fmla="*/ 93 h 93"/>
                <a:gd name="T6" fmla="*/ 7 w 57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7" y="0"/>
                  </a:moveTo>
                  <a:lnTo>
                    <a:pt x="0" y="4"/>
                  </a:lnTo>
                  <a:lnTo>
                    <a:pt x="57" y="9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1" name="Freeform 313">
              <a:extLst>
                <a:ext uri="{FF2B5EF4-FFF2-40B4-BE49-F238E27FC236}">
                  <a16:creationId xmlns:a16="http://schemas.microsoft.com/office/drawing/2014/main" id="{8FC61447-DC29-4A96-B3E5-35B3A254D1C8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63"/>
                <a:gd name="T1" fmla="*/ 0 h 89"/>
                <a:gd name="T2" fmla="*/ 0 w 63"/>
                <a:gd name="T3" fmla="*/ 4 h 89"/>
                <a:gd name="T4" fmla="*/ 63 w 63"/>
                <a:gd name="T5" fmla="*/ 89 h 89"/>
                <a:gd name="T6" fmla="*/ 6 w 63"/>
                <a:gd name="T7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" y="0"/>
                  </a:moveTo>
                  <a:lnTo>
                    <a:pt x="0" y="4"/>
                  </a:lnTo>
                  <a:lnTo>
                    <a:pt x="63" y="89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2" name="Freeform 314">
              <a:extLst>
                <a:ext uri="{FF2B5EF4-FFF2-40B4-BE49-F238E27FC236}">
                  <a16:creationId xmlns:a16="http://schemas.microsoft.com/office/drawing/2014/main" id="{022C4134-D3EA-4EBC-9DB5-76029F9013E6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6 w 69"/>
                <a:gd name="T1" fmla="*/ 0 h 85"/>
                <a:gd name="T2" fmla="*/ 0 w 69"/>
                <a:gd name="T3" fmla="*/ 5 h 85"/>
                <a:gd name="T4" fmla="*/ 69 w 69"/>
                <a:gd name="T5" fmla="*/ 85 h 85"/>
                <a:gd name="T6" fmla="*/ 6 w 69"/>
                <a:gd name="T7" fmla="*/ 0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" y="0"/>
                  </a:moveTo>
                  <a:lnTo>
                    <a:pt x="0" y="5"/>
                  </a:lnTo>
                  <a:lnTo>
                    <a:pt x="69" y="8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3" name="Freeform 315">
              <a:extLst>
                <a:ext uri="{FF2B5EF4-FFF2-40B4-BE49-F238E27FC236}">
                  <a16:creationId xmlns:a16="http://schemas.microsoft.com/office/drawing/2014/main" id="{0065C1DE-91DD-4212-AD82-387A931B1C25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5 w 74"/>
                <a:gd name="T1" fmla="*/ 0 h 80"/>
                <a:gd name="T2" fmla="*/ 0 w 74"/>
                <a:gd name="T3" fmla="*/ 5 h 80"/>
                <a:gd name="T4" fmla="*/ 74 w 74"/>
                <a:gd name="T5" fmla="*/ 80 h 80"/>
                <a:gd name="T6" fmla="*/ 5 w 74"/>
                <a:gd name="T7" fmla="*/ 0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5" y="0"/>
                  </a:moveTo>
                  <a:lnTo>
                    <a:pt x="0" y="5"/>
                  </a:lnTo>
                  <a:lnTo>
                    <a:pt x="74" y="8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4" name="Freeform 316">
              <a:extLst>
                <a:ext uri="{FF2B5EF4-FFF2-40B4-BE49-F238E27FC236}">
                  <a16:creationId xmlns:a16="http://schemas.microsoft.com/office/drawing/2014/main" id="{BD53BAA4-DFA9-467A-A4B3-39808D060056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6 w 80"/>
                <a:gd name="T1" fmla="*/ 0 h 75"/>
                <a:gd name="T2" fmla="*/ 0 w 80"/>
                <a:gd name="T3" fmla="*/ 6 h 75"/>
                <a:gd name="T4" fmla="*/ 80 w 80"/>
                <a:gd name="T5" fmla="*/ 75 h 75"/>
                <a:gd name="T6" fmla="*/ 6 w 80"/>
                <a:gd name="T7" fmla="*/ 0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5">
                  <a:moveTo>
                    <a:pt x="6" y="0"/>
                  </a:moveTo>
                  <a:lnTo>
                    <a:pt x="0" y="6"/>
                  </a:lnTo>
                  <a:lnTo>
                    <a:pt x="80" y="7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5" name="Freeform 317">
              <a:extLst>
                <a:ext uri="{FF2B5EF4-FFF2-40B4-BE49-F238E27FC236}">
                  <a16:creationId xmlns:a16="http://schemas.microsoft.com/office/drawing/2014/main" id="{9C103B83-9A95-48AF-8E5B-8B41413DA300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84"/>
                <a:gd name="T1" fmla="*/ 0 h 69"/>
                <a:gd name="T2" fmla="*/ 0 w 84"/>
                <a:gd name="T3" fmla="*/ 6 h 69"/>
                <a:gd name="T4" fmla="*/ 84 w 84"/>
                <a:gd name="T5" fmla="*/ 69 h 69"/>
                <a:gd name="T6" fmla="*/ 4 w 84"/>
                <a:gd name="T7" fmla="*/ 0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4" y="0"/>
                  </a:moveTo>
                  <a:lnTo>
                    <a:pt x="0" y="6"/>
                  </a:lnTo>
                  <a:lnTo>
                    <a:pt x="84" y="69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6" name="Freeform 318">
              <a:extLst>
                <a:ext uri="{FF2B5EF4-FFF2-40B4-BE49-F238E27FC236}">
                  <a16:creationId xmlns:a16="http://schemas.microsoft.com/office/drawing/2014/main" id="{0B85F893-C124-4A2A-8FA5-8D28AB376B82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5 w 89"/>
                <a:gd name="T1" fmla="*/ 0 h 63"/>
                <a:gd name="T2" fmla="*/ 0 w 89"/>
                <a:gd name="T3" fmla="*/ 6 h 63"/>
                <a:gd name="T4" fmla="*/ 89 w 89"/>
                <a:gd name="T5" fmla="*/ 63 h 63"/>
                <a:gd name="T6" fmla="*/ 5 w 89"/>
                <a:gd name="T7" fmla="*/ 0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5" y="0"/>
                  </a:moveTo>
                  <a:lnTo>
                    <a:pt x="0" y="6"/>
                  </a:lnTo>
                  <a:lnTo>
                    <a:pt x="89" y="63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7" name="Freeform 319">
              <a:extLst>
                <a:ext uri="{FF2B5EF4-FFF2-40B4-BE49-F238E27FC236}">
                  <a16:creationId xmlns:a16="http://schemas.microsoft.com/office/drawing/2014/main" id="{8BB50397-5615-4912-8136-5D1161908373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2"/>
                <a:gd name="T1" fmla="*/ 0 h 57"/>
                <a:gd name="T2" fmla="*/ 0 w 92"/>
                <a:gd name="T3" fmla="*/ 6 h 57"/>
                <a:gd name="T4" fmla="*/ 92 w 92"/>
                <a:gd name="T5" fmla="*/ 57 h 57"/>
                <a:gd name="T6" fmla="*/ 3 w 92"/>
                <a:gd name="T7" fmla="*/ 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3" y="0"/>
                  </a:moveTo>
                  <a:lnTo>
                    <a:pt x="0" y="6"/>
                  </a:lnTo>
                  <a:lnTo>
                    <a:pt x="92" y="57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8" name="Freeform 320">
              <a:extLst>
                <a:ext uri="{FF2B5EF4-FFF2-40B4-BE49-F238E27FC236}">
                  <a16:creationId xmlns:a16="http://schemas.microsoft.com/office/drawing/2014/main" id="{72444BB7-AC12-4035-A71D-5147AC48775B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96"/>
                <a:gd name="T1" fmla="*/ 0 h 51"/>
                <a:gd name="T2" fmla="*/ 0 w 96"/>
                <a:gd name="T3" fmla="*/ 7 h 51"/>
                <a:gd name="T4" fmla="*/ 96 w 96"/>
                <a:gd name="T5" fmla="*/ 51 h 51"/>
                <a:gd name="T6" fmla="*/ 4 w 96"/>
                <a:gd name="T7" fmla="*/ 0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4" y="0"/>
                  </a:moveTo>
                  <a:lnTo>
                    <a:pt x="0" y="7"/>
                  </a:lnTo>
                  <a:lnTo>
                    <a:pt x="96" y="5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9" name="Freeform 321">
              <a:extLst>
                <a:ext uri="{FF2B5EF4-FFF2-40B4-BE49-F238E27FC236}">
                  <a16:creationId xmlns:a16="http://schemas.microsoft.com/office/drawing/2014/main" id="{02F86434-A285-4ACD-8483-0D6784E3AD5F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9"/>
                <a:gd name="T1" fmla="*/ 0 h 44"/>
                <a:gd name="T2" fmla="*/ 0 w 99"/>
                <a:gd name="T3" fmla="*/ 7 h 44"/>
                <a:gd name="T4" fmla="*/ 99 w 99"/>
                <a:gd name="T5" fmla="*/ 44 h 44"/>
                <a:gd name="T6" fmla="*/ 3 w 99"/>
                <a:gd name="T7" fmla="*/ 0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3" y="0"/>
                  </a:moveTo>
                  <a:lnTo>
                    <a:pt x="0" y="7"/>
                  </a:lnTo>
                  <a:lnTo>
                    <a:pt x="99" y="44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0" name="Freeform 322">
              <a:extLst>
                <a:ext uri="{FF2B5EF4-FFF2-40B4-BE49-F238E27FC236}">
                  <a16:creationId xmlns:a16="http://schemas.microsoft.com/office/drawing/2014/main" id="{05B1ACE0-9D86-4AEF-80D1-671B2A476FC7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1"/>
                <a:gd name="T1" fmla="*/ 0 h 37"/>
                <a:gd name="T2" fmla="*/ 0 w 101"/>
                <a:gd name="T3" fmla="*/ 7 h 37"/>
                <a:gd name="T4" fmla="*/ 101 w 101"/>
                <a:gd name="T5" fmla="*/ 37 h 37"/>
                <a:gd name="T6" fmla="*/ 2 w 101"/>
                <a:gd name="T7" fmla="*/ 0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2" y="0"/>
                  </a:moveTo>
                  <a:lnTo>
                    <a:pt x="0" y="7"/>
                  </a:lnTo>
                  <a:lnTo>
                    <a:pt x="101" y="37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1" name="Freeform 323">
              <a:extLst>
                <a:ext uri="{FF2B5EF4-FFF2-40B4-BE49-F238E27FC236}">
                  <a16:creationId xmlns:a16="http://schemas.microsoft.com/office/drawing/2014/main" id="{2358E751-51A0-4AAB-8B77-3188CDD454B3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3"/>
                <a:gd name="T1" fmla="*/ 0 h 30"/>
                <a:gd name="T2" fmla="*/ 0 w 103"/>
                <a:gd name="T3" fmla="*/ 7 h 30"/>
                <a:gd name="T4" fmla="*/ 103 w 103"/>
                <a:gd name="T5" fmla="*/ 30 h 30"/>
                <a:gd name="T6" fmla="*/ 2 w 103"/>
                <a:gd name="T7" fmla="*/ 0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2" y="0"/>
                  </a:moveTo>
                  <a:lnTo>
                    <a:pt x="0" y="7"/>
                  </a:lnTo>
                  <a:lnTo>
                    <a:pt x="103" y="3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2" name="Freeform 324">
              <a:extLst>
                <a:ext uri="{FF2B5EF4-FFF2-40B4-BE49-F238E27FC236}">
                  <a16:creationId xmlns:a16="http://schemas.microsoft.com/office/drawing/2014/main" id="{915309FC-37C7-402A-BC73-9EC43CF3FF82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1 w 104"/>
                <a:gd name="T1" fmla="*/ 0 h 23"/>
                <a:gd name="T2" fmla="*/ 0 w 104"/>
                <a:gd name="T3" fmla="*/ 8 h 23"/>
                <a:gd name="T4" fmla="*/ 104 w 104"/>
                <a:gd name="T5" fmla="*/ 23 h 23"/>
                <a:gd name="T6" fmla="*/ 1 w 104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" y="0"/>
                  </a:moveTo>
                  <a:lnTo>
                    <a:pt x="0" y="8"/>
                  </a:lnTo>
                  <a:lnTo>
                    <a:pt x="104" y="2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3" name="Freeform 325">
              <a:extLst>
                <a:ext uri="{FF2B5EF4-FFF2-40B4-BE49-F238E27FC236}">
                  <a16:creationId xmlns:a16="http://schemas.microsoft.com/office/drawing/2014/main" id="{3056661A-4CC9-4889-9802-8323CDA73F21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7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7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4" name="Freeform 326">
              <a:extLst>
                <a:ext uri="{FF2B5EF4-FFF2-40B4-BE49-F238E27FC236}">
                  <a16:creationId xmlns:a16="http://schemas.microsoft.com/office/drawing/2014/main" id="{48D5822C-94CB-44CF-BCE8-7ECF06FA683F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8"/>
                <a:gd name="T2" fmla="*/ 0 w 105"/>
                <a:gd name="T3" fmla="*/ 8 h 8"/>
                <a:gd name="T4" fmla="*/ 105 w 105"/>
                <a:gd name="T5" fmla="*/ 8 h 8"/>
                <a:gd name="T6" fmla="*/ 0 w 105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0" y="0"/>
                  </a:moveTo>
                  <a:lnTo>
                    <a:pt x="0" y="8"/>
                  </a:lnTo>
                  <a:lnTo>
                    <a:pt x="105" y="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5" name="Freeform 327">
              <a:extLst>
                <a:ext uri="{FF2B5EF4-FFF2-40B4-BE49-F238E27FC236}">
                  <a16:creationId xmlns:a16="http://schemas.microsoft.com/office/drawing/2014/main" id="{AA6AE955-6234-4393-A626-1359D203E237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6" name="Freeform 328">
              <a:extLst>
                <a:ext uri="{FF2B5EF4-FFF2-40B4-BE49-F238E27FC236}">
                  <a16:creationId xmlns:a16="http://schemas.microsoft.com/office/drawing/2014/main" id="{19890DBF-3991-482F-B451-50FB22757236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7 h 15"/>
                <a:gd name="T2" fmla="*/ 1 w 105"/>
                <a:gd name="T3" fmla="*/ 15 h 15"/>
                <a:gd name="T4" fmla="*/ 105 w 105"/>
                <a:gd name="T5" fmla="*/ 0 h 15"/>
                <a:gd name="T6" fmla="*/ 0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0" y="7"/>
                  </a:moveTo>
                  <a:lnTo>
                    <a:pt x="1" y="15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7" name="Freeform 329">
              <a:extLst>
                <a:ext uri="{FF2B5EF4-FFF2-40B4-BE49-F238E27FC236}">
                  <a16:creationId xmlns:a16="http://schemas.microsoft.com/office/drawing/2014/main" id="{14AE790A-6FA1-40EB-BDBF-78BD0715BE38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4"/>
                <a:gd name="T1" fmla="*/ 15 h 22"/>
                <a:gd name="T2" fmla="*/ 1 w 104"/>
                <a:gd name="T3" fmla="*/ 22 h 22"/>
                <a:gd name="T4" fmla="*/ 104 w 104"/>
                <a:gd name="T5" fmla="*/ 0 h 22"/>
                <a:gd name="T6" fmla="*/ 0 w 104"/>
                <a:gd name="T7" fmla="*/ 15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0" y="15"/>
                  </a:moveTo>
                  <a:lnTo>
                    <a:pt x="1" y="22"/>
                  </a:lnTo>
                  <a:lnTo>
                    <a:pt x="104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8" name="Freeform 330">
              <a:extLst>
                <a:ext uri="{FF2B5EF4-FFF2-40B4-BE49-F238E27FC236}">
                  <a16:creationId xmlns:a16="http://schemas.microsoft.com/office/drawing/2014/main" id="{ACBAB678-7CA6-49E8-86E5-5AA2E0E07C3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3"/>
                <a:gd name="T1" fmla="*/ 22 h 29"/>
                <a:gd name="T2" fmla="*/ 2 w 103"/>
                <a:gd name="T3" fmla="*/ 29 h 29"/>
                <a:gd name="T4" fmla="*/ 103 w 103"/>
                <a:gd name="T5" fmla="*/ 0 h 29"/>
                <a:gd name="T6" fmla="*/ 0 w 103"/>
                <a:gd name="T7" fmla="*/ 22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0" y="22"/>
                  </a:moveTo>
                  <a:lnTo>
                    <a:pt x="2" y="29"/>
                  </a:lnTo>
                  <a:lnTo>
                    <a:pt x="103" y="0"/>
                  </a:lnTo>
                  <a:lnTo>
                    <a:pt x="0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9" name="Freeform 331">
              <a:extLst>
                <a:ext uri="{FF2B5EF4-FFF2-40B4-BE49-F238E27FC236}">
                  <a16:creationId xmlns:a16="http://schemas.microsoft.com/office/drawing/2014/main" id="{FA17C7F9-9943-456B-8D67-04D18897EEA8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1"/>
                <a:gd name="T1" fmla="*/ 29 h 36"/>
                <a:gd name="T2" fmla="*/ 2 w 101"/>
                <a:gd name="T3" fmla="*/ 36 h 36"/>
                <a:gd name="T4" fmla="*/ 101 w 101"/>
                <a:gd name="T5" fmla="*/ 0 h 36"/>
                <a:gd name="T6" fmla="*/ 0 w 101"/>
                <a:gd name="T7" fmla="*/ 29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0" y="29"/>
                  </a:moveTo>
                  <a:lnTo>
                    <a:pt x="2" y="36"/>
                  </a:lnTo>
                  <a:lnTo>
                    <a:pt x="101" y="0"/>
                  </a:lnTo>
                  <a:lnTo>
                    <a:pt x="0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0" name="Freeform 332">
              <a:extLst>
                <a:ext uri="{FF2B5EF4-FFF2-40B4-BE49-F238E27FC236}">
                  <a16:creationId xmlns:a16="http://schemas.microsoft.com/office/drawing/2014/main" id="{740B3C7D-35F3-40AD-AA76-EB547583D815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9"/>
                <a:gd name="T1" fmla="*/ 36 h 43"/>
                <a:gd name="T2" fmla="*/ 3 w 99"/>
                <a:gd name="T3" fmla="*/ 43 h 43"/>
                <a:gd name="T4" fmla="*/ 99 w 99"/>
                <a:gd name="T5" fmla="*/ 0 h 43"/>
                <a:gd name="T6" fmla="*/ 0 w 99"/>
                <a:gd name="T7" fmla="*/ 36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0" y="36"/>
                  </a:moveTo>
                  <a:lnTo>
                    <a:pt x="3" y="43"/>
                  </a:lnTo>
                  <a:lnTo>
                    <a:pt x="99" y="0"/>
                  </a:lnTo>
                  <a:lnTo>
                    <a:pt x="0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1" name="Freeform 333">
              <a:extLst>
                <a:ext uri="{FF2B5EF4-FFF2-40B4-BE49-F238E27FC236}">
                  <a16:creationId xmlns:a16="http://schemas.microsoft.com/office/drawing/2014/main" id="{8A1ABB39-87D5-4F04-8880-AE5610F1696B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6"/>
                <a:gd name="T1" fmla="*/ 43 h 50"/>
                <a:gd name="T2" fmla="*/ 4 w 96"/>
                <a:gd name="T3" fmla="*/ 50 h 50"/>
                <a:gd name="T4" fmla="*/ 96 w 96"/>
                <a:gd name="T5" fmla="*/ 0 h 50"/>
                <a:gd name="T6" fmla="*/ 0 w 96"/>
                <a:gd name="T7" fmla="*/ 43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0" y="43"/>
                  </a:moveTo>
                  <a:lnTo>
                    <a:pt x="4" y="50"/>
                  </a:lnTo>
                  <a:lnTo>
                    <a:pt x="96" y="0"/>
                  </a:lnTo>
                  <a:lnTo>
                    <a:pt x="0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2" name="Freeform 334">
              <a:extLst>
                <a:ext uri="{FF2B5EF4-FFF2-40B4-BE49-F238E27FC236}">
                  <a16:creationId xmlns:a16="http://schemas.microsoft.com/office/drawing/2014/main" id="{FC3EACE7-BBBC-4C34-AD0D-D5EB00F3F7A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2"/>
                <a:gd name="T1" fmla="*/ 50 h 57"/>
                <a:gd name="T2" fmla="*/ 3 w 92"/>
                <a:gd name="T3" fmla="*/ 57 h 57"/>
                <a:gd name="T4" fmla="*/ 92 w 92"/>
                <a:gd name="T5" fmla="*/ 0 h 57"/>
                <a:gd name="T6" fmla="*/ 0 w 92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0" y="50"/>
                  </a:moveTo>
                  <a:lnTo>
                    <a:pt x="3" y="57"/>
                  </a:lnTo>
                  <a:lnTo>
                    <a:pt x="92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3" name="Freeform 335">
              <a:extLst>
                <a:ext uri="{FF2B5EF4-FFF2-40B4-BE49-F238E27FC236}">
                  <a16:creationId xmlns:a16="http://schemas.microsoft.com/office/drawing/2014/main" id="{E37C01EF-EF00-4DAB-BCCC-2A1C4400BF43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9"/>
                <a:gd name="T1" fmla="*/ 57 h 63"/>
                <a:gd name="T2" fmla="*/ 5 w 89"/>
                <a:gd name="T3" fmla="*/ 63 h 63"/>
                <a:gd name="T4" fmla="*/ 89 w 89"/>
                <a:gd name="T5" fmla="*/ 0 h 63"/>
                <a:gd name="T6" fmla="*/ 0 w 89"/>
                <a:gd name="T7" fmla="*/ 57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0" y="57"/>
                  </a:moveTo>
                  <a:lnTo>
                    <a:pt x="5" y="63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4" name="Freeform 336">
              <a:extLst>
                <a:ext uri="{FF2B5EF4-FFF2-40B4-BE49-F238E27FC236}">
                  <a16:creationId xmlns:a16="http://schemas.microsoft.com/office/drawing/2014/main" id="{C25CAE2D-D27D-400F-AAE0-192DE8F848B9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4"/>
                <a:gd name="T1" fmla="*/ 63 h 69"/>
                <a:gd name="T2" fmla="*/ 4 w 84"/>
                <a:gd name="T3" fmla="*/ 69 h 69"/>
                <a:gd name="T4" fmla="*/ 84 w 84"/>
                <a:gd name="T5" fmla="*/ 0 h 69"/>
                <a:gd name="T6" fmla="*/ 0 w 84"/>
                <a:gd name="T7" fmla="*/ 63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0" y="63"/>
                  </a:moveTo>
                  <a:lnTo>
                    <a:pt x="4" y="69"/>
                  </a:lnTo>
                  <a:lnTo>
                    <a:pt x="84" y="0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5" name="Freeform 337">
              <a:extLst>
                <a:ext uri="{FF2B5EF4-FFF2-40B4-BE49-F238E27FC236}">
                  <a16:creationId xmlns:a16="http://schemas.microsoft.com/office/drawing/2014/main" id="{4ECB4201-3509-4314-80A2-70DB80C74BB2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0"/>
                <a:gd name="T1" fmla="*/ 69 h 74"/>
                <a:gd name="T2" fmla="*/ 6 w 80"/>
                <a:gd name="T3" fmla="*/ 74 h 74"/>
                <a:gd name="T4" fmla="*/ 80 w 80"/>
                <a:gd name="T5" fmla="*/ 0 h 74"/>
                <a:gd name="T6" fmla="*/ 0 w 80"/>
                <a:gd name="T7" fmla="*/ 69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4">
                  <a:moveTo>
                    <a:pt x="0" y="69"/>
                  </a:moveTo>
                  <a:lnTo>
                    <a:pt x="6" y="74"/>
                  </a:lnTo>
                  <a:lnTo>
                    <a:pt x="80" y="0"/>
                  </a:lnTo>
                  <a:lnTo>
                    <a:pt x="0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6" name="Freeform 338">
              <a:extLst>
                <a:ext uri="{FF2B5EF4-FFF2-40B4-BE49-F238E27FC236}">
                  <a16:creationId xmlns:a16="http://schemas.microsoft.com/office/drawing/2014/main" id="{A106B78C-E0A5-41FF-B7AE-6C647B7BF931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74"/>
                <a:gd name="T1" fmla="*/ 74 h 79"/>
                <a:gd name="T2" fmla="*/ 5 w 74"/>
                <a:gd name="T3" fmla="*/ 79 h 79"/>
                <a:gd name="T4" fmla="*/ 74 w 74"/>
                <a:gd name="T5" fmla="*/ 0 h 79"/>
                <a:gd name="T6" fmla="*/ 0 w 74"/>
                <a:gd name="T7" fmla="*/ 74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0" y="74"/>
                  </a:moveTo>
                  <a:lnTo>
                    <a:pt x="5" y="79"/>
                  </a:lnTo>
                  <a:lnTo>
                    <a:pt x="74" y="0"/>
                  </a:lnTo>
                  <a:lnTo>
                    <a:pt x="0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7" name="Freeform 339">
              <a:extLst>
                <a:ext uri="{FF2B5EF4-FFF2-40B4-BE49-F238E27FC236}">
                  <a16:creationId xmlns:a16="http://schemas.microsoft.com/office/drawing/2014/main" id="{55E3548E-524C-4C11-92CC-31F349A4DB18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69"/>
                <a:gd name="T1" fmla="*/ 79 h 84"/>
                <a:gd name="T2" fmla="*/ 6 w 69"/>
                <a:gd name="T3" fmla="*/ 84 h 84"/>
                <a:gd name="T4" fmla="*/ 69 w 69"/>
                <a:gd name="T5" fmla="*/ 0 h 84"/>
                <a:gd name="T6" fmla="*/ 0 w 69"/>
                <a:gd name="T7" fmla="*/ 79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0" y="79"/>
                  </a:moveTo>
                  <a:lnTo>
                    <a:pt x="6" y="84"/>
                  </a:lnTo>
                  <a:lnTo>
                    <a:pt x="69" y="0"/>
                  </a:lnTo>
                  <a:lnTo>
                    <a:pt x="0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8" name="Freeform 340">
              <a:extLst>
                <a:ext uri="{FF2B5EF4-FFF2-40B4-BE49-F238E27FC236}">
                  <a16:creationId xmlns:a16="http://schemas.microsoft.com/office/drawing/2014/main" id="{A1B1343A-8E6B-46E1-A928-057DE32AE55E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63"/>
                <a:gd name="T1" fmla="*/ 84 h 88"/>
                <a:gd name="T2" fmla="*/ 6 w 63"/>
                <a:gd name="T3" fmla="*/ 88 h 88"/>
                <a:gd name="T4" fmla="*/ 63 w 63"/>
                <a:gd name="T5" fmla="*/ 0 h 88"/>
                <a:gd name="T6" fmla="*/ 0 w 63"/>
                <a:gd name="T7" fmla="*/ 84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0" y="84"/>
                  </a:moveTo>
                  <a:lnTo>
                    <a:pt x="6" y="88"/>
                  </a:lnTo>
                  <a:lnTo>
                    <a:pt x="63" y="0"/>
                  </a:lnTo>
                  <a:lnTo>
                    <a:pt x="0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9" name="Freeform 341">
              <a:extLst>
                <a:ext uri="{FF2B5EF4-FFF2-40B4-BE49-F238E27FC236}">
                  <a16:creationId xmlns:a16="http://schemas.microsoft.com/office/drawing/2014/main" id="{75C28BFF-C57F-480B-ABEE-2608D415E5CB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7"/>
                <a:gd name="T1" fmla="*/ 88 h 92"/>
                <a:gd name="T2" fmla="*/ 7 w 57"/>
                <a:gd name="T3" fmla="*/ 92 h 92"/>
                <a:gd name="T4" fmla="*/ 57 w 57"/>
                <a:gd name="T5" fmla="*/ 0 h 92"/>
                <a:gd name="T6" fmla="*/ 0 w 57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0" y="88"/>
                  </a:moveTo>
                  <a:lnTo>
                    <a:pt x="7" y="92"/>
                  </a:lnTo>
                  <a:lnTo>
                    <a:pt x="57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0" name="Freeform 342">
              <a:extLst>
                <a:ext uri="{FF2B5EF4-FFF2-40B4-BE49-F238E27FC236}">
                  <a16:creationId xmlns:a16="http://schemas.microsoft.com/office/drawing/2014/main" id="{ED8FA128-7A88-41F7-8B79-CDA7E55F6770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0"/>
                <a:gd name="T1" fmla="*/ 92 h 95"/>
                <a:gd name="T2" fmla="*/ 6 w 50"/>
                <a:gd name="T3" fmla="*/ 95 h 95"/>
                <a:gd name="T4" fmla="*/ 50 w 50"/>
                <a:gd name="T5" fmla="*/ 0 h 95"/>
                <a:gd name="T6" fmla="*/ 0 w 50"/>
                <a:gd name="T7" fmla="*/ 92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0" y="92"/>
                  </a:moveTo>
                  <a:lnTo>
                    <a:pt x="6" y="95"/>
                  </a:lnTo>
                  <a:lnTo>
                    <a:pt x="50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1" name="Freeform 343">
              <a:extLst>
                <a:ext uri="{FF2B5EF4-FFF2-40B4-BE49-F238E27FC236}">
                  <a16:creationId xmlns:a16="http://schemas.microsoft.com/office/drawing/2014/main" id="{11336B2D-EE0D-4138-88AD-CC44A3416168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44"/>
                <a:gd name="T1" fmla="*/ 95 h 98"/>
                <a:gd name="T2" fmla="*/ 7 w 44"/>
                <a:gd name="T3" fmla="*/ 98 h 98"/>
                <a:gd name="T4" fmla="*/ 44 w 44"/>
                <a:gd name="T5" fmla="*/ 0 h 98"/>
                <a:gd name="T6" fmla="*/ 0 w 44"/>
                <a:gd name="T7" fmla="*/ 95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0" y="95"/>
                  </a:moveTo>
                  <a:lnTo>
                    <a:pt x="7" y="98"/>
                  </a:lnTo>
                  <a:lnTo>
                    <a:pt x="44" y="0"/>
                  </a:lnTo>
                  <a:lnTo>
                    <a:pt x="0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2" name="Freeform 344">
              <a:extLst>
                <a:ext uri="{FF2B5EF4-FFF2-40B4-BE49-F238E27FC236}">
                  <a16:creationId xmlns:a16="http://schemas.microsoft.com/office/drawing/2014/main" id="{F644548E-BCC6-4067-BDA5-0271764823FA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7"/>
                <a:gd name="T1" fmla="*/ 98 h 101"/>
                <a:gd name="T2" fmla="*/ 7 w 37"/>
                <a:gd name="T3" fmla="*/ 101 h 101"/>
                <a:gd name="T4" fmla="*/ 37 w 37"/>
                <a:gd name="T5" fmla="*/ 0 h 101"/>
                <a:gd name="T6" fmla="*/ 0 w 37"/>
                <a:gd name="T7" fmla="*/ 98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0" y="98"/>
                  </a:moveTo>
                  <a:lnTo>
                    <a:pt x="7" y="101"/>
                  </a:lnTo>
                  <a:lnTo>
                    <a:pt x="37" y="0"/>
                  </a:lnTo>
                  <a:lnTo>
                    <a:pt x="0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3" name="Freeform 345">
              <a:extLst>
                <a:ext uri="{FF2B5EF4-FFF2-40B4-BE49-F238E27FC236}">
                  <a16:creationId xmlns:a16="http://schemas.microsoft.com/office/drawing/2014/main" id="{F7979DE6-2C6A-4FB3-9EAD-695F7305EA2B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0"/>
                <a:gd name="T1" fmla="*/ 101 h 103"/>
                <a:gd name="T2" fmla="*/ 8 w 30"/>
                <a:gd name="T3" fmla="*/ 103 h 103"/>
                <a:gd name="T4" fmla="*/ 30 w 30"/>
                <a:gd name="T5" fmla="*/ 0 h 103"/>
                <a:gd name="T6" fmla="*/ 0 w 30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0" y="101"/>
                  </a:moveTo>
                  <a:lnTo>
                    <a:pt x="8" y="103"/>
                  </a:lnTo>
                  <a:lnTo>
                    <a:pt x="30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4" name="Freeform 346">
              <a:extLst>
                <a:ext uri="{FF2B5EF4-FFF2-40B4-BE49-F238E27FC236}">
                  <a16:creationId xmlns:a16="http://schemas.microsoft.com/office/drawing/2014/main" id="{D5AC5D08-7A67-404F-9B62-0FF28EA21C2F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22"/>
                <a:gd name="T1" fmla="*/ 103 h 104"/>
                <a:gd name="T2" fmla="*/ 7 w 22"/>
                <a:gd name="T3" fmla="*/ 104 h 104"/>
                <a:gd name="T4" fmla="*/ 22 w 22"/>
                <a:gd name="T5" fmla="*/ 0 h 104"/>
                <a:gd name="T6" fmla="*/ 0 w 22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0" y="103"/>
                  </a:moveTo>
                  <a:lnTo>
                    <a:pt x="7" y="104"/>
                  </a:lnTo>
                  <a:lnTo>
                    <a:pt x="22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5" name="Freeform 347">
              <a:extLst>
                <a:ext uri="{FF2B5EF4-FFF2-40B4-BE49-F238E27FC236}">
                  <a16:creationId xmlns:a16="http://schemas.microsoft.com/office/drawing/2014/main" id="{A157B06D-06E0-48F0-9515-7BDAC8CA7EC7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15"/>
                <a:gd name="T1" fmla="*/ 104 h 105"/>
                <a:gd name="T2" fmla="*/ 7 w 15"/>
                <a:gd name="T3" fmla="*/ 105 h 105"/>
                <a:gd name="T4" fmla="*/ 15 w 15"/>
                <a:gd name="T5" fmla="*/ 0 h 105"/>
                <a:gd name="T6" fmla="*/ 0 w 15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0" y="104"/>
                  </a:moveTo>
                  <a:lnTo>
                    <a:pt x="7" y="105"/>
                  </a:lnTo>
                  <a:lnTo>
                    <a:pt x="15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6" name="Freeform 348">
              <a:extLst>
                <a:ext uri="{FF2B5EF4-FFF2-40B4-BE49-F238E27FC236}">
                  <a16:creationId xmlns:a16="http://schemas.microsoft.com/office/drawing/2014/main" id="{A951FE6D-9F67-4692-AE44-CB0C623A4A4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8"/>
                <a:gd name="T1" fmla="*/ 105 h 105"/>
                <a:gd name="T2" fmla="*/ 8 w 8"/>
                <a:gd name="T3" fmla="*/ 105 h 105"/>
                <a:gd name="T4" fmla="*/ 8 w 8"/>
                <a:gd name="T5" fmla="*/ 0 h 105"/>
                <a:gd name="T6" fmla="*/ 0 w 8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5">
                  <a:moveTo>
                    <a:pt x="0" y="105"/>
                  </a:moveTo>
                  <a:lnTo>
                    <a:pt x="8" y="105"/>
                  </a:lnTo>
                  <a:lnTo>
                    <a:pt x="8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7" name="Freeform 349">
              <a:extLst>
                <a:ext uri="{FF2B5EF4-FFF2-40B4-BE49-F238E27FC236}">
                  <a16:creationId xmlns:a16="http://schemas.microsoft.com/office/drawing/2014/main" id="{CC8739C5-545C-4E6E-A48A-D4EF0F5A2185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8" name="Freeform 350">
              <a:extLst>
                <a:ext uri="{FF2B5EF4-FFF2-40B4-BE49-F238E27FC236}">
                  <a16:creationId xmlns:a16="http://schemas.microsoft.com/office/drawing/2014/main" id="{1B125C4A-86F0-4C76-AF1B-1830C2026695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9" name="Freeform 351">
              <a:extLst>
                <a:ext uri="{FF2B5EF4-FFF2-40B4-BE49-F238E27FC236}">
                  <a16:creationId xmlns:a16="http://schemas.microsoft.com/office/drawing/2014/main" id="{9C96A057-F2A5-4118-A4F3-4ABC54F990B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0" name="Freeform 352">
              <a:extLst>
                <a:ext uri="{FF2B5EF4-FFF2-40B4-BE49-F238E27FC236}">
                  <a16:creationId xmlns:a16="http://schemas.microsoft.com/office/drawing/2014/main" id="{B523764A-DAB7-44B4-9BB2-4FFF4614218A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22 w 30"/>
                <a:gd name="T1" fmla="*/ 103 h 103"/>
                <a:gd name="T2" fmla="*/ 30 w 30"/>
                <a:gd name="T3" fmla="*/ 101 h 103"/>
                <a:gd name="T4" fmla="*/ 0 w 30"/>
                <a:gd name="T5" fmla="*/ 0 h 103"/>
                <a:gd name="T6" fmla="*/ 22 w 30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22" y="103"/>
                  </a:moveTo>
                  <a:lnTo>
                    <a:pt x="30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1" name="Freeform 353">
              <a:extLst>
                <a:ext uri="{FF2B5EF4-FFF2-40B4-BE49-F238E27FC236}">
                  <a16:creationId xmlns:a16="http://schemas.microsoft.com/office/drawing/2014/main" id="{8A7B54A9-17BA-49D9-87AE-D0B98C3A1CE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0 w 37"/>
                <a:gd name="T1" fmla="*/ 101 h 101"/>
                <a:gd name="T2" fmla="*/ 37 w 37"/>
                <a:gd name="T3" fmla="*/ 98 h 101"/>
                <a:gd name="T4" fmla="*/ 0 w 37"/>
                <a:gd name="T5" fmla="*/ 0 h 101"/>
                <a:gd name="T6" fmla="*/ 30 w 37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0" y="101"/>
                  </a:moveTo>
                  <a:lnTo>
                    <a:pt x="37" y="98"/>
                  </a:lnTo>
                  <a:lnTo>
                    <a:pt x="0" y="0"/>
                  </a:lnTo>
                  <a:lnTo>
                    <a:pt x="3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2" name="Freeform 354">
              <a:extLst>
                <a:ext uri="{FF2B5EF4-FFF2-40B4-BE49-F238E27FC236}">
                  <a16:creationId xmlns:a16="http://schemas.microsoft.com/office/drawing/2014/main" id="{CD627D22-4667-4B43-A37D-C887AEFC373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7 w 44"/>
                <a:gd name="T1" fmla="*/ 98 h 98"/>
                <a:gd name="T2" fmla="*/ 44 w 44"/>
                <a:gd name="T3" fmla="*/ 95 h 98"/>
                <a:gd name="T4" fmla="*/ 0 w 44"/>
                <a:gd name="T5" fmla="*/ 0 h 98"/>
                <a:gd name="T6" fmla="*/ 37 w 44"/>
                <a:gd name="T7" fmla="*/ 98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37" y="98"/>
                  </a:moveTo>
                  <a:lnTo>
                    <a:pt x="44" y="95"/>
                  </a:lnTo>
                  <a:lnTo>
                    <a:pt x="0" y="0"/>
                  </a:lnTo>
                  <a:lnTo>
                    <a:pt x="37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3" name="Freeform 355">
              <a:extLst>
                <a:ext uri="{FF2B5EF4-FFF2-40B4-BE49-F238E27FC236}">
                  <a16:creationId xmlns:a16="http://schemas.microsoft.com/office/drawing/2014/main" id="{B2F3A9F2-8C7B-4D34-ACDA-5C180AE824B9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1"/>
            </a:xfrm>
            <a:custGeom>
              <a:avLst/>
              <a:gdLst>
                <a:gd name="T0" fmla="*/ 44 w 50"/>
                <a:gd name="T1" fmla="*/ 95 h 95"/>
                <a:gd name="T2" fmla="*/ 50 w 50"/>
                <a:gd name="T3" fmla="*/ 92 h 95"/>
                <a:gd name="T4" fmla="*/ 0 w 50"/>
                <a:gd name="T5" fmla="*/ 0 h 95"/>
                <a:gd name="T6" fmla="*/ 44 w 50"/>
                <a:gd name="T7" fmla="*/ 95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44" y="95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4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4" name="Freeform 356">
              <a:extLst>
                <a:ext uri="{FF2B5EF4-FFF2-40B4-BE49-F238E27FC236}">
                  <a16:creationId xmlns:a16="http://schemas.microsoft.com/office/drawing/2014/main" id="{F88B6F76-6542-47D1-ADA4-A2ED658A60C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0 w 57"/>
                <a:gd name="T1" fmla="*/ 92 h 92"/>
                <a:gd name="T2" fmla="*/ 57 w 57"/>
                <a:gd name="T3" fmla="*/ 88 h 92"/>
                <a:gd name="T4" fmla="*/ 0 w 57"/>
                <a:gd name="T5" fmla="*/ 0 h 92"/>
                <a:gd name="T6" fmla="*/ 50 w 57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50" y="92"/>
                  </a:moveTo>
                  <a:lnTo>
                    <a:pt x="57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5" name="Freeform 357">
              <a:extLst>
                <a:ext uri="{FF2B5EF4-FFF2-40B4-BE49-F238E27FC236}">
                  <a16:creationId xmlns:a16="http://schemas.microsoft.com/office/drawing/2014/main" id="{219E2493-4B54-4FF1-8ABB-E1121CE3CE7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7 w 63"/>
                <a:gd name="T1" fmla="*/ 88 h 88"/>
                <a:gd name="T2" fmla="*/ 63 w 63"/>
                <a:gd name="T3" fmla="*/ 84 h 88"/>
                <a:gd name="T4" fmla="*/ 0 w 63"/>
                <a:gd name="T5" fmla="*/ 0 h 88"/>
                <a:gd name="T6" fmla="*/ 57 w 63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57" y="88"/>
                  </a:moveTo>
                  <a:lnTo>
                    <a:pt x="63" y="84"/>
                  </a:lnTo>
                  <a:lnTo>
                    <a:pt x="0" y="0"/>
                  </a:lnTo>
                  <a:lnTo>
                    <a:pt x="57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6" name="Freeform 358">
              <a:extLst>
                <a:ext uri="{FF2B5EF4-FFF2-40B4-BE49-F238E27FC236}">
                  <a16:creationId xmlns:a16="http://schemas.microsoft.com/office/drawing/2014/main" id="{0A87836C-605B-4F14-8E7E-9A453A8ED94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3 w 69"/>
                <a:gd name="T1" fmla="*/ 84 h 84"/>
                <a:gd name="T2" fmla="*/ 69 w 69"/>
                <a:gd name="T3" fmla="*/ 79 h 84"/>
                <a:gd name="T4" fmla="*/ 0 w 69"/>
                <a:gd name="T5" fmla="*/ 0 h 84"/>
                <a:gd name="T6" fmla="*/ 63 w 69"/>
                <a:gd name="T7" fmla="*/ 84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63" y="84"/>
                  </a:moveTo>
                  <a:lnTo>
                    <a:pt x="69" y="79"/>
                  </a:lnTo>
                  <a:lnTo>
                    <a:pt x="0" y="0"/>
                  </a:lnTo>
                  <a:lnTo>
                    <a:pt x="63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7" name="Freeform 359">
              <a:extLst>
                <a:ext uri="{FF2B5EF4-FFF2-40B4-BE49-F238E27FC236}">
                  <a16:creationId xmlns:a16="http://schemas.microsoft.com/office/drawing/2014/main" id="{F00E827C-61F0-4743-9AB8-A2E6644A679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9 w 74"/>
                <a:gd name="T1" fmla="*/ 79 h 79"/>
                <a:gd name="T2" fmla="*/ 74 w 74"/>
                <a:gd name="T3" fmla="*/ 74 h 79"/>
                <a:gd name="T4" fmla="*/ 0 w 74"/>
                <a:gd name="T5" fmla="*/ 0 h 79"/>
                <a:gd name="T6" fmla="*/ 69 w 74"/>
                <a:gd name="T7" fmla="*/ 79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69" y="79"/>
                  </a:moveTo>
                  <a:lnTo>
                    <a:pt x="74" y="74"/>
                  </a:lnTo>
                  <a:lnTo>
                    <a:pt x="0" y="0"/>
                  </a:lnTo>
                  <a:lnTo>
                    <a:pt x="69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8" name="Freeform 360">
              <a:extLst>
                <a:ext uri="{FF2B5EF4-FFF2-40B4-BE49-F238E27FC236}">
                  <a16:creationId xmlns:a16="http://schemas.microsoft.com/office/drawing/2014/main" id="{824E30CC-F38E-4413-AD84-F367197F7C3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4 w 79"/>
                <a:gd name="T1" fmla="*/ 74 h 74"/>
                <a:gd name="T2" fmla="*/ 79 w 79"/>
                <a:gd name="T3" fmla="*/ 69 h 74"/>
                <a:gd name="T4" fmla="*/ 0 w 79"/>
                <a:gd name="T5" fmla="*/ 0 h 74"/>
                <a:gd name="T6" fmla="*/ 74 w 79"/>
                <a:gd name="T7" fmla="*/ 74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4">
                  <a:moveTo>
                    <a:pt x="74" y="74"/>
                  </a:moveTo>
                  <a:lnTo>
                    <a:pt x="79" y="69"/>
                  </a:lnTo>
                  <a:lnTo>
                    <a:pt x="0" y="0"/>
                  </a:lnTo>
                  <a:lnTo>
                    <a:pt x="74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9" name="Freeform 361">
              <a:extLst>
                <a:ext uri="{FF2B5EF4-FFF2-40B4-BE49-F238E27FC236}">
                  <a16:creationId xmlns:a16="http://schemas.microsoft.com/office/drawing/2014/main" id="{7B15CCAF-475A-4D0C-BAB6-EA017E0FA0F6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9 w 84"/>
                <a:gd name="T1" fmla="*/ 69 h 69"/>
                <a:gd name="T2" fmla="*/ 84 w 84"/>
                <a:gd name="T3" fmla="*/ 63 h 69"/>
                <a:gd name="T4" fmla="*/ 0 w 84"/>
                <a:gd name="T5" fmla="*/ 0 h 69"/>
                <a:gd name="T6" fmla="*/ 79 w 84"/>
                <a:gd name="T7" fmla="*/ 69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79" y="69"/>
                  </a:moveTo>
                  <a:lnTo>
                    <a:pt x="84" y="63"/>
                  </a:lnTo>
                  <a:lnTo>
                    <a:pt x="0" y="0"/>
                  </a:lnTo>
                  <a:lnTo>
                    <a:pt x="79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0" name="Freeform 362">
              <a:extLst>
                <a:ext uri="{FF2B5EF4-FFF2-40B4-BE49-F238E27FC236}">
                  <a16:creationId xmlns:a16="http://schemas.microsoft.com/office/drawing/2014/main" id="{AF83F461-DCE7-42A8-BE01-8A7A22B24699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4 w 88"/>
                <a:gd name="T1" fmla="*/ 63 h 63"/>
                <a:gd name="T2" fmla="*/ 88 w 88"/>
                <a:gd name="T3" fmla="*/ 57 h 63"/>
                <a:gd name="T4" fmla="*/ 0 w 88"/>
                <a:gd name="T5" fmla="*/ 0 h 63"/>
                <a:gd name="T6" fmla="*/ 84 w 88"/>
                <a:gd name="T7" fmla="*/ 63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4" y="63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4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1" name="Freeform 363">
              <a:extLst>
                <a:ext uri="{FF2B5EF4-FFF2-40B4-BE49-F238E27FC236}">
                  <a16:creationId xmlns:a16="http://schemas.microsoft.com/office/drawing/2014/main" id="{7950018D-D2EF-49A7-80D7-DF48ECD7CA7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8 w 92"/>
                <a:gd name="T1" fmla="*/ 57 h 57"/>
                <a:gd name="T2" fmla="*/ 92 w 92"/>
                <a:gd name="T3" fmla="*/ 50 h 57"/>
                <a:gd name="T4" fmla="*/ 0 w 92"/>
                <a:gd name="T5" fmla="*/ 0 h 57"/>
                <a:gd name="T6" fmla="*/ 88 w 92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88" y="57"/>
                  </a:moveTo>
                  <a:lnTo>
                    <a:pt x="92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2" name="Freeform 364">
              <a:extLst>
                <a:ext uri="{FF2B5EF4-FFF2-40B4-BE49-F238E27FC236}">
                  <a16:creationId xmlns:a16="http://schemas.microsoft.com/office/drawing/2014/main" id="{86B25C8D-3399-4EB8-861F-A3576FFA580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2 w 96"/>
                <a:gd name="T1" fmla="*/ 50 h 50"/>
                <a:gd name="T2" fmla="*/ 96 w 96"/>
                <a:gd name="T3" fmla="*/ 43 h 50"/>
                <a:gd name="T4" fmla="*/ 0 w 96"/>
                <a:gd name="T5" fmla="*/ 0 h 50"/>
                <a:gd name="T6" fmla="*/ 92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2" y="50"/>
                  </a:moveTo>
                  <a:lnTo>
                    <a:pt x="96" y="43"/>
                  </a:lnTo>
                  <a:lnTo>
                    <a:pt x="0" y="0"/>
                  </a:lnTo>
                  <a:lnTo>
                    <a:pt x="92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3" name="Freeform 365">
              <a:extLst>
                <a:ext uri="{FF2B5EF4-FFF2-40B4-BE49-F238E27FC236}">
                  <a16:creationId xmlns:a16="http://schemas.microsoft.com/office/drawing/2014/main" id="{A8EFE2AA-D64F-409A-B49D-FE123677E2B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6 w 99"/>
                <a:gd name="T1" fmla="*/ 43 h 43"/>
                <a:gd name="T2" fmla="*/ 99 w 99"/>
                <a:gd name="T3" fmla="*/ 36 h 43"/>
                <a:gd name="T4" fmla="*/ 0 w 99"/>
                <a:gd name="T5" fmla="*/ 0 h 43"/>
                <a:gd name="T6" fmla="*/ 96 w 99"/>
                <a:gd name="T7" fmla="*/ 43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6" y="43"/>
                  </a:moveTo>
                  <a:lnTo>
                    <a:pt x="99" y="36"/>
                  </a:lnTo>
                  <a:lnTo>
                    <a:pt x="0" y="0"/>
                  </a:lnTo>
                  <a:lnTo>
                    <a:pt x="96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4" name="Freeform 366">
              <a:extLst>
                <a:ext uri="{FF2B5EF4-FFF2-40B4-BE49-F238E27FC236}">
                  <a16:creationId xmlns:a16="http://schemas.microsoft.com/office/drawing/2014/main" id="{8BF21212-DD1D-4533-9D60-ED6B093A5223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99 w 101"/>
                <a:gd name="T1" fmla="*/ 36 h 36"/>
                <a:gd name="T2" fmla="*/ 101 w 101"/>
                <a:gd name="T3" fmla="*/ 29 h 36"/>
                <a:gd name="T4" fmla="*/ 0 w 101"/>
                <a:gd name="T5" fmla="*/ 0 h 36"/>
                <a:gd name="T6" fmla="*/ 99 w 101"/>
                <a:gd name="T7" fmla="*/ 36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99" y="36"/>
                  </a:moveTo>
                  <a:lnTo>
                    <a:pt x="101" y="29"/>
                  </a:lnTo>
                  <a:lnTo>
                    <a:pt x="0" y="0"/>
                  </a:lnTo>
                  <a:lnTo>
                    <a:pt x="99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5" name="Freeform 367">
              <a:extLst>
                <a:ext uri="{FF2B5EF4-FFF2-40B4-BE49-F238E27FC236}">
                  <a16:creationId xmlns:a16="http://schemas.microsoft.com/office/drawing/2014/main" id="{BC145CD9-37AE-4302-A0EA-469AF9C63F2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1 w 103"/>
                <a:gd name="T1" fmla="*/ 29 h 29"/>
                <a:gd name="T2" fmla="*/ 103 w 103"/>
                <a:gd name="T3" fmla="*/ 22 h 29"/>
                <a:gd name="T4" fmla="*/ 0 w 103"/>
                <a:gd name="T5" fmla="*/ 0 h 29"/>
                <a:gd name="T6" fmla="*/ 101 w 103"/>
                <a:gd name="T7" fmla="*/ 29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1" y="29"/>
                  </a:moveTo>
                  <a:lnTo>
                    <a:pt x="103" y="22"/>
                  </a:lnTo>
                  <a:lnTo>
                    <a:pt x="0" y="0"/>
                  </a:lnTo>
                  <a:lnTo>
                    <a:pt x="101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6" name="Freeform 368">
              <a:extLst>
                <a:ext uri="{FF2B5EF4-FFF2-40B4-BE49-F238E27FC236}">
                  <a16:creationId xmlns:a16="http://schemas.microsoft.com/office/drawing/2014/main" id="{94E72A78-10AC-4046-AC9D-FB1616DBB5A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3 w 104"/>
                <a:gd name="T1" fmla="*/ 22 h 22"/>
                <a:gd name="T2" fmla="*/ 104 w 104"/>
                <a:gd name="T3" fmla="*/ 15 h 22"/>
                <a:gd name="T4" fmla="*/ 0 w 104"/>
                <a:gd name="T5" fmla="*/ 0 h 22"/>
                <a:gd name="T6" fmla="*/ 103 w 104"/>
                <a:gd name="T7" fmla="*/ 22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3" y="22"/>
                  </a:moveTo>
                  <a:lnTo>
                    <a:pt x="104" y="15"/>
                  </a:lnTo>
                  <a:lnTo>
                    <a:pt x="0" y="0"/>
                  </a:lnTo>
                  <a:lnTo>
                    <a:pt x="103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7" name="Freeform 369">
              <a:extLst>
                <a:ext uri="{FF2B5EF4-FFF2-40B4-BE49-F238E27FC236}">
                  <a16:creationId xmlns:a16="http://schemas.microsoft.com/office/drawing/2014/main" id="{99844C8E-1785-4FD4-BA8A-6692164518A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4 w 105"/>
                <a:gd name="T1" fmla="*/ 15 h 15"/>
                <a:gd name="T2" fmla="*/ 105 w 105"/>
                <a:gd name="T3" fmla="*/ 7 h 15"/>
                <a:gd name="T4" fmla="*/ 0 w 105"/>
                <a:gd name="T5" fmla="*/ 0 h 15"/>
                <a:gd name="T6" fmla="*/ 104 w 105"/>
                <a:gd name="T7" fmla="*/ 15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4" y="15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8" name="Freeform 370">
              <a:extLst>
                <a:ext uri="{FF2B5EF4-FFF2-40B4-BE49-F238E27FC236}">
                  <a16:creationId xmlns:a16="http://schemas.microsoft.com/office/drawing/2014/main" id="{8FA6FBCC-1069-4572-AF45-82C812BB634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9" name="Freeform 371">
              <a:extLst>
                <a:ext uri="{FF2B5EF4-FFF2-40B4-BE49-F238E27FC236}">
                  <a16:creationId xmlns:a16="http://schemas.microsoft.com/office/drawing/2014/main" id="{701D783D-51A8-45C1-9F29-9DFEDE062150}"/>
                </a:ext>
              </a:extLst>
            </xdr:cNvPr>
            <xdr:cNvSpPr>
              <a:spLocks/>
            </xdr:cNvSpPr>
          </xdr:nvSpPr>
          <xdr:spPr bwMode="auto">
            <a:xfrm>
              <a:off x="1095" y="188"/>
              <a:ext cx="6" cy="9"/>
            </a:xfrm>
            <a:custGeom>
              <a:avLst/>
              <a:gdLst>
                <a:gd name="T0" fmla="*/ 0 w 352"/>
                <a:gd name="T1" fmla="*/ 526 h 526"/>
                <a:gd name="T2" fmla="*/ 0 w 352"/>
                <a:gd name="T3" fmla="*/ 0 h 526"/>
                <a:gd name="T4" fmla="*/ 264 w 352"/>
                <a:gd name="T5" fmla="*/ 0 h 526"/>
                <a:gd name="T6" fmla="*/ 352 w 352"/>
                <a:gd name="T7" fmla="*/ 88 h 526"/>
                <a:gd name="T8" fmla="*/ 352 w 352"/>
                <a:gd name="T9" fmla="*/ 175 h 526"/>
                <a:gd name="T10" fmla="*/ 264 w 352"/>
                <a:gd name="T11" fmla="*/ 263 h 526"/>
                <a:gd name="T12" fmla="*/ 0 w 352"/>
                <a:gd name="T13" fmla="*/ 263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352" h="526">
                  <a:moveTo>
                    <a:pt x="0" y="526"/>
                  </a:moveTo>
                  <a:lnTo>
                    <a:pt x="0" y="0"/>
                  </a:lnTo>
                  <a:lnTo>
                    <a:pt x="264" y="0"/>
                  </a:lnTo>
                  <a:lnTo>
                    <a:pt x="352" y="88"/>
                  </a:lnTo>
                  <a:lnTo>
                    <a:pt x="352" y="175"/>
                  </a:lnTo>
                  <a:lnTo>
                    <a:pt x="264" y="263"/>
                  </a:lnTo>
                  <a:lnTo>
                    <a:pt x="0" y="263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0" name="Freeform 372">
              <a:extLst>
                <a:ext uri="{FF2B5EF4-FFF2-40B4-BE49-F238E27FC236}">
                  <a16:creationId xmlns:a16="http://schemas.microsoft.com/office/drawing/2014/main" id="{768471AA-EC44-4908-A054-64428D58356F}"/>
                </a:ext>
              </a:extLst>
            </xdr:cNvPr>
            <xdr:cNvSpPr>
              <a:spLocks/>
            </xdr:cNvSpPr>
          </xdr:nvSpPr>
          <xdr:spPr bwMode="auto">
            <a:xfrm>
              <a:off x="1104" y="191"/>
              <a:ext cx="6" cy="6"/>
            </a:xfrm>
            <a:custGeom>
              <a:avLst/>
              <a:gdLst>
                <a:gd name="T0" fmla="*/ 351 w 351"/>
                <a:gd name="T1" fmla="*/ 0 h 351"/>
                <a:gd name="T2" fmla="*/ 88 w 351"/>
                <a:gd name="T3" fmla="*/ 0 h 351"/>
                <a:gd name="T4" fmla="*/ 0 w 351"/>
                <a:gd name="T5" fmla="*/ 88 h 351"/>
                <a:gd name="T6" fmla="*/ 0 w 351"/>
                <a:gd name="T7" fmla="*/ 264 h 351"/>
                <a:gd name="T8" fmla="*/ 88 w 351"/>
                <a:gd name="T9" fmla="*/ 351 h 351"/>
                <a:gd name="T10" fmla="*/ 351 w 351"/>
                <a:gd name="T11" fmla="*/ 351 h 3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351">
                  <a:moveTo>
                    <a:pt x="351" y="0"/>
                  </a:moveTo>
                  <a:lnTo>
                    <a:pt x="88" y="0"/>
                  </a:lnTo>
                  <a:lnTo>
                    <a:pt x="0" y="88"/>
                  </a:lnTo>
                  <a:lnTo>
                    <a:pt x="0" y="264"/>
                  </a:lnTo>
                  <a:lnTo>
                    <a:pt x="88" y="351"/>
                  </a:lnTo>
                  <a:lnTo>
                    <a:pt x="351" y="351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1" name="Freeform 373">
              <a:extLst>
                <a:ext uri="{FF2B5EF4-FFF2-40B4-BE49-F238E27FC236}">
                  <a16:creationId xmlns:a16="http://schemas.microsoft.com/office/drawing/2014/main" id="{FA790670-00F7-4D1E-AFA7-BBD28DDE3D8C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9"/>
                <a:gd name="T2" fmla="*/ 105 w 105"/>
                <a:gd name="T3" fmla="*/ 0 h 9"/>
                <a:gd name="T4" fmla="*/ 0 w 105"/>
                <a:gd name="T5" fmla="*/ 9 h 9"/>
                <a:gd name="T6" fmla="*/ 105 w 105"/>
                <a:gd name="T7" fmla="*/ 9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9">
                  <a:moveTo>
                    <a:pt x="105" y="9"/>
                  </a:moveTo>
                  <a:lnTo>
                    <a:pt x="105" y="0"/>
                  </a:lnTo>
                  <a:lnTo>
                    <a:pt x="0" y="9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2" name="Freeform 374">
              <a:extLst>
                <a:ext uri="{FF2B5EF4-FFF2-40B4-BE49-F238E27FC236}">
                  <a16:creationId xmlns:a16="http://schemas.microsoft.com/office/drawing/2014/main" id="{2C488FBF-7184-4FC5-B05F-DE2046B84E3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18"/>
                <a:gd name="T2" fmla="*/ 104 w 105"/>
                <a:gd name="T3" fmla="*/ 0 h 18"/>
                <a:gd name="T4" fmla="*/ 0 w 105"/>
                <a:gd name="T5" fmla="*/ 18 h 18"/>
                <a:gd name="T6" fmla="*/ 105 w 105"/>
                <a:gd name="T7" fmla="*/ 9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8">
                  <a:moveTo>
                    <a:pt x="105" y="9"/>
                  </a:moveTo>
                  <a:lnTo>
                    <a:pt x="104" y="0"/>
                  </a:lnTo>
                  <a:lnTo>
                    <a:pt x="0" y="18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3" name="Freeform 375">
              <a:extLst>
                <a:ext uri="{FF2B5EF4-FFF2-40B4-BE49-F238E27FC236}">
                  <a16:creationId xmlns:a16="http://schemas.microsoft.com/office/drawing/2014/main" id="{8A49DDA8-7883-4DA6-AB1E-DCD87466DD8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4 w 104"/>
                <a:gd name="T1" fmla="*/ 8 h 26"/>
                <a:gd name="T2" fmla="*/ 102 w 104"/>
                <a:gd name="T3" fmla="*/ 0 h 26"/>
                <a:gd name="T4" fmla="*/ 0 w 104"/>
                <a:gd name="T5" fmla="*/ 26 h 26"/>
                <a:gd name="T6" fmla="*/ 104 w 104"/>
                <a:gd name="T7" fmla="*/ 8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4" y="8"/>
                  </a:moveTo>
                  <a:lnTo>
                    <a:pt x="102" y="0"/>
                  </a:lnTo>
                  <a:lnTo>
                    <a:pt x="0" y="26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4" name="Freeform 376">
              <a:extLst>
                <a:ext uri="{FF2B5EF4-FFF2-40B4-BE49-F238E27FC236}">
                  <a16:creationId xmlns:a16="http://schemas.microsoft.com/office/drawing/2014/main" id="{9F4FF614-FFFE-45FB-9469-020554A8E94E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2 w 102"/>
                <a:gd name="T1" fmla="*/ 9 h 35"/>
                <a:gd name="T2" fmla="*/ 99 w 102"/>
                <a:gd name="T3" fmla="*/ 0 h 35"/>
                <a:gd name="T4" fmla="*/ 0 w 102"/>
                <a:gd name="T5" fmla="*/ 35 h 35"/>
                <a:gd name="T6" fmla="*/ 102 w 102"/>
                <a:gd name="T7" fmla="*/ 9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102" y="9"/>
                  </a:moveTo>
                  <a:lnTo>
                    <a:pt x="99" y="0"/>
                  </a:lnTo>
                  <a:lnTo>
                    <a:pt x="0" y="35"/>
                  </a:lnTo>
                  <a:lnTo>
                    <a:pt x="102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5" name="Freeform 377">
              <a:extLst>
                <a:ext uri="{FF2B5EF4-FFF2-40B4-BE49-F238E27FC236}">
                  <a16:creationId xmlns:a16="http://schemas.microsoft.com/office/drawing/2014/main" id="{8463D945-B2DF-4EA3-AF36-48E5E9DA8F97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9 w 99"/>
                <a:gd name="T1" fmla="*/ 8 h 43"/>
                <a:gd name="T2" fmla="*/ 96 w 99"/>
                <a:gd name="T3" fmla="*/ 0 h 43"/>
                <a:gd name="T4" fmla="*/ 0 w 99"/>
                <a:gd name="T5" fmla="*/ 43 h 43"/>
                <a:gd name="T6" fmla="*/ 99 w 99"/>
                <a:gd name="T7" fmla="*/ 8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9" y="8"/>
                  </a:moveTo>
                  <a:lnTo>
                    <a:pt x="96" y="0"/>
                  </a:lnTo>
                  <a:lnTo>
                    <a:pt x="0" y="43"/>
                  </a:lnTo>
                  <a:lnTo>
                    <a:pt x="99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6" name="Freeform 378">
              <a:extLst>
                <a:ext uri="{FF2B5EF4-FFF2-40B4-BE49-F238E27FC236}">
                  <a16:creationId xmlns:a16="http://schemas.microsoft.com/office/drawing/2014/main" id="{4DC8B851-B0A7-4C2C-B4E9-2DEF6ABFA787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6 w 96"/>
                <a:gd name="T1" fmla="*/ 7 h 50"/>
                <a:gd name="T2" fmla="*/ 93 w 96"/>
                <a:gd name="T3" fmla="*/ 0 h 50"/>
                <a:gd name="T4" fmla="*/ 0 w 96"/>
                <a:gd name="T5" fmla="*/ 50 h 50"/>
                <a:gd name="T6" fmla="*/ 96 w 96"/>
                <a:gd name="T7" fmla="*/ 7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6" y="7"/>
                  </a:moveTo>
                  <a:lnTo>
                    <a:pt x="93" y="0"/>
                  </a:lnTo>
                  <a:lnTo>
                    <a:pt x="0" y="50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7" name="Freeform 379">
              <a:extLst>
                <a:ext uri="{FF2B5EF4-FFF2-40B4-BE49-F238E27FC236}">
                  <a16:creationId xmlns:a16="http://schemas.microsoft.com/office/drawing/2014/main" id="{4B1FEDC9-137F-46AF-9EA2-58EF3FE9B695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3 w 93"/>
                <a:gd name="T1" fmla="*/ 8 h 58"/>
                <a:gd name="T2" fmla="*/ 88 w 93"/>
                <a:gd name="T3" fmla="*/ 0 h 58"/>
                <a:gd name="T4" fmla="*/ 0 w 93"/>
                <a:gd name="T5" fmla="*/ 58 h 58"/>
                <a:gd name="T6" fmla="*/ 93 w 93"/>
                <a:gd name="T7" fmla="*/ 8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8">
                  <a:moveTo>
                    <a:pt x="93" y="8"/>
                  </a:moveTo>
                  <a:lnTo>
                    <a:pt x="88" y="0"/>
                  </a:lnTo>
                  <a:lnTo>
                    <a:pt x="0" y="58"/>
                  </a:lnTo>
                  <a:lnTo>
                    <a:pt x="93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8" name="Freeform 380">
              <a:extLst>
                <a:ext uri="{FF2B5EF4-FFF2-40B4-BE49-F238E27FC236}">
                  <a16:creationId xmlns:a16="http://schemas.microsoft.com/office/drawing/2014/main" id="{792B0DB4-BB3E-4D8A-9C74-77DF2C1E7591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8 w 88"/>
                <a:gd name="T1" fmla="*/ 7 h 65"/>
                <a:gd name="T2" fmla="*/ 83 w 88"/>
                <a:gd name="T3" fmla="*/ 0 h 65"/>
                <a:gd name="T4" fmla="*/ 0 w 88"/>
                <a:gd name="T5" fmla="*/ 65 h 65"/>
                <a:gd name="T6" fmla="*/ 88 w 88"/>
                <a:gd name="T7" fmla="*/ 7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5">
                  <a:moveTo>
                    <a:pt x="88" y="7"/>
                  </a:moveTo>
                  <a:lnTo>
                    <a:pt x="83" y="0"/>
                  </a:lnTo>
                  <a:lnTo>
                    <a:pt x="0" y="65"/>
                  </a:lnTo>
                  <a:lnTo>
                    <a:pt x="88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9" name="Freeform 381">
              <a:extLst>
                <a:ext uri="{FF2B5EF4-FFF2-40B4-BE49-F238E27FC236}">
                  <a16:creationId xmlns:a16="http://schemas.microsoft.com/office/drawing/2014/main" id="{C88C128C-10BE-4053-9478-F7F604EC20EB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3 w 83"/>
                <a:gd name="T1" fmla="*/ 7 h 72"/>
                <a:gd name="T2" fmla="*/ 77 w 83"/>
                <a:gd name="T3" fmla="*/ 0 h 72"/>
                <a:gd name="T4" fmla="*/ 0 w 83"/>
                <a:gd name="T5" fmla="*/ 72 h 72"/>
                <a:gd name="T6" fmla="*/ 83 w 83"/>
                <a:gd name="T7" fmla="*/ 7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2">
                  <a:moveTo>
                    <a:pt x="83" y="7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0" name="Freeform 382">
              <a:extLst>
                <a:ext uri="{FF2B5EF4-FFF2-40B4-BE49-F238E27FC236}">
                  <a16:creationId xmlns:a16="http://schemas.microsoft.com/office/drawing/2014/main" id="{6F599D83-3619-4F42-91C7-BD55C1D0F466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77 w 77"/>
                <a:gd name="T1" fmla="*/ 6 h 78"/>
                <a:gd name="T2" fmla="*/ 71 w 77"/>
                <a:gd name="T3" fmla="*/ 0 h 78"/>
                <a:gd name="T4" fmla="*/ 0 w 77"/>
                <a:gd name="T5" fmla="*/ 78 h 78"/>
                <a:gd name="T6" fmla="*/ 77 w 77"/>
                <a:gd name="T7" fmla="*/ 6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8">
                  <a:moveTo>
                    <a:pt x="77" y="6"/>
                  </a:moveTo>
                  <a:lnTo>
                    <a:pt x="71" y="0"/>
                  </a:lnTo>
                  <a:lnTo>
                    <a:pt x="0" y="78"/>
                  </a:lnTo>
                  <a:lnTo>
                    <a:pt x="77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1" name="Freeform 383">
              <a:extLst>
                <a:ext uri="{FF2B5EF4-FFF2-40B4-BE49-F238E27FC236}">
                  <a16:creationId xmlns:a16="http://schemas.microsoft.com/office/drawing/2014/main" id="{2C46B355-2EBD-4BC8-9305-674AB90C7FCE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71 w 71"/>
                <a:gd name="T1" fmla="*/ 5 h 83"/>
                <a:gd name="T2" fmla="*/ 65 w 71"/>
                <a:gd name="T3" fmla="*/ 0 h 83"/>
                <a:gd name="T4" fmla="*/ 0 w 71"/>
                <a:gd name="T5" fmla="*/ 83 h 83"/>
                <a:gd name="T6" fmla="*/ 71 w 71"/>
                <a:gd name="T7" fmla="*/ 5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71" y="5"/>
                  </a:moveTo>
                  <a:lnTo>
                    <a:pt x="65" y="0"/>
                  </a:lnTo>
                  <a:lnTo>
                    <a:pt x="0" y="83"/>
                  </a:lnTo>
                  <a:lnTo>
                    <a:pt x="71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2" name="Freeform 384">
              <a:extLst>
                <a:ext uri="{FF2B5EF4-FFF2-40B4-BE49-F238E27FC236}">
                  <a16:creationId xmlns:a16="http://schemas.microsoft.com/office/drawing/2014/main" id="{67A4B31D-C6E2-4AB2-ADDD-1DA73FCB365B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65 w 65"/>
                <a:gd name="T1" fmla="*/ 5 h 88"/>
                <a:gd name="T2" fmla="*/ 58 w 65"/>
                <a:gd name="T3" fmla="*/ 0 h 88"/>
                <a:gd name="T4" fmla="*/ 0 w 65"/>
                <a:gd name="T5" fmla="*/ 88 h 88"/>
                <a:gd name="T6" fmla="*/ 65 w 65"/>
                <a:gd name="T7" fmla="*/ 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65" y="5"/>
                  </a:moveTo>
                  <a:lnTo>
                    <a:pt x="58" y="0"/>
                  </a:lnTo>
                  <a:lnTo>
                    <a:pt x="0" y="88"/>
                  </a:lnTo>
                  <a:lnTo>
                    <a:pt x="65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3" name="Freeform 385">
              <a:extLst>
                <a:ext uri="{FF2B5EF4-FFF2-40B4-BE49-F238E27FC236}">
                  <a16:creationId xmlns:a16="http://schemas.microsoft.com/office/drawing/2014/main" id="{EDA0CD22-28AB-4411-A7D7-5D23D44F07CD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8 w 58"/>
                <a:gd name="T1" fmla="*/ 5 h 93"/>
                <a:gd name="T2" fmla="*/ 50 w 58"/>
                <a:gd name="T3" fmla="*/ 0 h 93"/>
                <a:gd name="T4" fmla="*/ 0 w 58"/>
                <a:gd name="T5" fmla="*/ 93 h 93"/>
                <a:gd name="T6" fmla="*/ 58 w 58"/>
                <a:gd name="T7" fmla="*/ 5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3">
                  <a:moveTo>
                    <a:pt x="58" y="5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8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4" name="Freeform 386">
              <a:extLst>
                <a:ext uri="{FF2B5EF4-FFF2-40B4-BE49-F238E27FC236}">
                  <a16:creationId xmlns:a16="http://schemas.microsoft.com/office/drawing/2014/main" id="{108CDAF3-D939-4E06-9917-04641F742206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0 w 50"/>
                <a:gd name="T1" fmla="*/ 4 h 97"/>
                <a:gd name="T2" fmla="*/ 42 w 50"/>
                <a:gd name="T3" fmla="*/ 0 h 97"/>
                <a:gd name="T4" fmla="*/ 0 w 50"/>
                <a:gd name="T5" fmla="*/ 97 h 97"/>
                <a:gd name="T6" fmla="*/ 50 w 50"/>
                <a:gd name="T7" fmla="*/ 4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7">
                  <a:moveTo>
                    <a:pt x="50" y="4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50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5" name="Freeform 387">
              <a:extLst>
                <a:ext uri="{FF2B5EF4-FFF2-40B4-BE49-F238E27FC236}">
                  <a16:creationId xmlns:a16="http://schemas.microsoft.com/office/drawing/2014/main" id="{A7B1C9D0-C9E2-4A07-A4BB-5C95BC79B229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4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4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6" name="Freeform 388">
              <a:extLst>
                <a:ext uri="{FF2B5EF4-FFF2-40B4-BE49-F238E27FC236}">
                  <a16:creationId xmlns:a16="http://schemas.microsoft.com/office/drawing/2014/main" id="{D17F0820-27E0-4A19-9FCB-6B9B6A43C2B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34 w 34"/>
                <a:gd name="T1" fmla="*/ 2 h 102"/>
                <a:gd name="T2" fmla="*/ 26 w 34"/>
                <a:gd name="T3" fmla="*/ 0 h 102"/>
                <a:gd name="T4" fmla="*/ 0 w 34"/>
                <a:gd name="T5" fmla="*/ 102 h 102"/>
                <a:gd name="T6" fmla="*/ 34 w 34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34" y="2"/>
                  </a:moveTo>
                  <a:lnTo>
                    <a:pt x="26" y="0"/>
                  </a:lnTo>
                  <a:lnTo>
                    <a:pt x="0" y="102"/>
                  </a:lnTo>
                  <a:lnTo>
                    <a:pt x="34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7" name="Freeform 389">
              <a:extLst>
                <a:ext uri="{FF2B5EF4-FFF2-40B4-BE49-F238E27FC236}">
                  <a16:creationId xmlns:a16="http://schemas.microsoft.com/office/drawing/2014/main" id="{249AC494-2C60-4E4A-BCC8-0E4F4302EC52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26 w 26"/>
                <a:gd name="T1" fmla="*/ 2 h 104"/>
                <a:gd name="T2" fmla="*/ 17 w 26"/>
                <a:gd name="T3" fmla="*/ 0 h 104"/>
                <a:gd name="T4" fmla="*/ 0 w 26"/>
                <a:gd name="T5" fmla="*/ 104 h 104"/>
                <a:gd name="T6" fmla="*/ 26 w 26"/>
                <a:gd name="T7" fmla="*/ 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26" y="2"/>
                  </a:moveTo>
                  <a:lnTo>
                    <a:pt x="17" y="0"/>
                  </a:lnTo>
                  <a:lnTo>
                    <a:pt x="0" y="104"/>
                  </a:lnTo>
                  <a:lnTo>
                    <a:pt x="26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8" name="Freeform 390">
              <a:extLst>
                <a:ext uri="{FF2B5EF4-FFF2-40B4-BE49-F238E27FC236}">
                  <a16:creationId xmlns:a16="http://schemas.microsoft.com/office/drawing/2014/main" id="{81D35361-65F6-4036-85EA-D746CEAA251E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17 w 17"/>
                <a:gd name="T1" fmla="*/ 1 h 105"/>
                <a:gd name="T2" fmla="*/ 9 w 17"/>
                <a:gd name="T3" fmla="*/ 0 h 105"/>
                <a:gd name="T4" fmla="*/ 0 w 17"/>
                <a:gd name="T5" fmla="*/ 105 h 105"/>
                <a:gd name="T6" fmla="*/ 17 w 17"/>
                <a:gd name="T7" fmla="*/ 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17" y="1"/>
                  </a:moveTo>
                  <a:lnTo>
                    <a:pt x="9" y="0"/>
                  </a:lnTo>
                  <a:lnTo>
                    <a:pt x="0" y="105"/>
                  </a:lnTo>
                  <a:lnTo>
                    <a:pt x="1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9" name="Freeform 391">
              <a:extLst>
                <a:ext uri="{FF2B5EF4-FFF2-40B4-BE49-F238E27FC236}">
                  <a16:creationId xmlns:a16="http://schemas.microsoft.com/office/drawing/2014/main" id="{FE3258EA-6124-4E41-90DF-1F54DF09D0EA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1 h 106"/>
                <a:gd name="T2" fmla="*/ 0 w 9"/>
                <a:gd name="T3" fmla="*/ 0 h 106"/>
                <a:gd name="T4" fmla="*/ 0 w 9"/>
                <a:gd name="T5" fmla="*/ 106 h 106"/>
                <a:gd name="T6" fmla="*/ 9 w 9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0" name="Freeform 392">
              <a:extLst>
                <a:ext uri="{FF2B5EF4-FFF2-40B4-BE49-F238E27FC236}">
                  <a16:creationId xmlns:a16="http://schemas.microsoft.com/office/drawing/2014/main" id="{42B202F4-2122-4C37-BACF-A8ED9B5D67CD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0 h 106"/>
                <a:gd name="T2" fmla="*/ 0 w 9"/>
                <a:gd name="T3" fmla="*/ 1 h 106"/>
                <a:gd name="T4" fmla="*/ 9 w 9"/>
                <a:gd name="T5" fmla="*/ 106 h 106"/>
                <a:gd name="T6" fmla="*/ 9 w 9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0"/>
                  </a:moveTo>
                  <a:lnTo>
                    <a:pt x="0" y="1"/>
                  </a:lnTo>
                  <a:lnTo>
                    <a:pt x="9" y="106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1" name="Freeform 393">
              <a:extLst>
                <a:ext uri="{FF2B5EF4-FFF2-40B4-BE49-F238E27FC236}">
                  <a16:creationId xmlns:a16="http://schemas.microsoft.com/office/drawing/2014/main" id="{5ED354CA-958D-43F2-B66E-93830CE52A75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18"/>
                <a:gd name="T1" fmla="*/ 0 h 105"/>
                <a:gd name="T2" fmla="*/ 0 w 18"/>
                <a:gd name="T3" fmla="*/ 1 h 105"/>
                <a:gd name="T4" fmla="*/ 18 w 18"/>
                <a:gd name="T5" fmla="*/ 105 h 105"/>
                <a:gd name="T6" fmla="*/ 9 w 18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9" y="0"/>
                  </a:moveTo>
                  <a:lnTo>
                    <a:pt x="0" y="1"/>
                  </a:lnTo>
                  <a:lnTo>
                    <a:pt x="18" y="105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2" name="Freeform 394">
              <a:extLst>
                <a:ext uri="{FF2B5EF4-FFF2-40B4-BE49-F238E27FC236}">
                  <a16:creationId xmlns:a16="http://schemas.microsoft.com/office/drawing/2014/main" id="{1BDA6CC0-F9E1-422F-A0D0-9505BD2E9E2E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27"/>
                <a:gd name="T1" fmla="*/ 0 h 104"/>
                <a:gd name="T2" fmla="*/ 0 w 27"/>
                <a:gd name="T3" fmla="*/ 2 h 104"/>
                <a:gd name="T4" fmla="*/ 27 w 27"/>
                <a:gd name="T5" fmla="*/ 104 h 104"/>
                <a:gd name="T6" fmla="*/ 9 w 27"/>
                <a:gd name="T7" fmla="*/ 0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9" y="0"/>
                  </a:moveTo>
                  <a:lnTo>
                    <a:pt x="0" y="2"/>
                  </a:lnTo>
                  <a:lnTo>
                    <a:pt x="27" y="104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3" name="Freeform 395">
              <a:extLst>
                <a:ext uri="{FF2B5EF4-FFF2-40B4-BE49-F238E27FC236}">
                  <a16:creationId xmlns:a16="http://schemas.microsoft.com/office/drawing/2014/main" id="{8221C282-DCCD-483E-B8F2-0F5D84612FCA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8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8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8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4" name="Freeform 396">
              <a:extLst>
                <a:ext uri="{FF2B5EF4-FFF2-40B4-BE49-F238E27FC236}">
                  <a16:creationId xmlns:a16="http://schemas.microsoft.com/office/drawing/2014/main" id="{6AC9239D-5E86-40C6-B67F-84769982E5CD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43"/>
                <a:gd name="T1" fmla="*/ 0 h 100"/>
                <a:gd name="T2" fmla="*/ 0 w 43"/>
                <a:gd name="T3" fmla="*/ 3 h 100"/>
                <a:gd name="T4" fmla="*/ 43 w 43"/>
                <a:gd name="T5" fmla="*/ 100 h 100"/>
                <a:gd name="T6" fmla="*/ 8 w 43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100">
                  <a:moveTo>
                    <a:pt x="8" y="0"/>
                  </a:moveTo>
                  <a:lnTo>
                    <a:pt x="0" y="3"/>
                  </a:lnTo>
                  <a:lnTo>
                    <a:pt x="43" y="100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5" name="Freeform 397">
              <a:extLst>
                <a:ext uri="{FF2B5EF4-FFF2-40B4-BE49-F238E27FC236}">
                  <a16:creationId xmlns:a16="http://schemas.microsoft.com/office/drawing/2014/main" id="{CAF3D49A-C2D3-477D-AAB0-19BB396C1AAE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1"/>
                <a:gd name="T1" fmla="*/ 0 h 97"/>
                <a:gd name="T2" fmla="*/ 0 w 51"/>
                <a:gd name="T3" fmla="*/ 4 h 97"/>
                <a:gd name="T4" fmla="*/ 51 w 51"/>
                <a:gd name="T5" fmla="*/ 97 h 97"/>
                <a:gd name="T6" fmla="*/ 8 w 51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7">
                  <a:moveTo>
                    <a:pt x="8" y="0"/>
                  </a:moveTo>
                  <a:lnTo>
                    <a:pt x="0" y="4"/>
                  </a:lnTo>
                  <a:lnTo>
                    <a:pt x="51" y="97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6" name="Freeform 398">
              <a:extLst>
                <a:ext uri="{FF2B5EF4-FFF2-40B4-BE49-F238E27FC236}">
                  <a16:creationId xmlns:a16="http://schemas.microsoft.com/office/drawing/2014/main" id="{7DDE23E0-1ED3-406A-AAFF-227A9D0C1EDA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9"/>
                <a:gd name="T1" fmla="*/ 0 h 93"/>
                <a:gd name="T2" fmla="*/ 0 w 59"/>
                <a:gd name="T3" fmla="*/ 5 h 93"/>
                <a:gd name="T4" fmla="*/ 59 w 59"/>
                <a:gd name="T5" fmla="*/ 93 h 93"/>
                <a:gd name="T6" fmla="*/ 8 w 59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3">
                  <a:moveTo>
                    <a:pt x="8" y="0"/>
                  </a:moveTo>
                  <a:lnTo>
                    <a:pt x="0" y="5"/>
                  </a:lnTo>
                  <a:lnTo>
                    <a:pt x="59" y="9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7" name="Freeform 399">
              <a:extLst>
                <a:ext uri="{FF2B5EF4-FFF2-40B4-BE49-F238E27FC236}">
                  <a16:creationId xmlns:a16="http://schemas.microsoft.com/office/drawing/2014/main" id="{4BFBD1EF-F43C-4FCE-87E9-D91D9870AE24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7 w 66"/>
                <a:gd name="T1" fmla="*/ 0 h 88"/>
                <a:gd name="T2" fmla="*/ 0 w 66"/>
                <a:gd name="T3" fmla="*/ 5 h 88"/>
                <a:gd name="T4" fmla="*/ 66 w 66"/>
                <a:gd name="T5" fmla="*/ 88 h 88"/>
                <a:gd name="T6" fmla="*/ 7 w 66"/>
                <a:gd name="T7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7" y="0"/>
                  </a:moveTo>
                  <a:lnTo>
                    <a:pt x="0" y="5"/>
                  </a:lnTo>
                  <a:lnTo>
                    <a:pt x="66" y="88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8" name="Freeform 400">
              <a:extLst>
                <a:ext uri="{FF2B5EF4-FFF2-40B4-BE49-F238E27FC236}">
                  <a16:creationId xmlns:a16="http://schemas.microsoft.com/office/drawing/2014/main" id="{3FF76EE1-1757-42CF-BEF2-FAB00E54947F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6 w 72"/>
                <a:gd name="T1" fmla="*/ 0 h 83"/>
                <a:gd name="T2" fmla="*/ 0 w 72"/>
                <a:gd name="T3" fmla="*/ 5 h 83"/>
                <a:gd name="T4" fmla="*/ 72 w 72"/>
                <a:gd name="T5" fmla="*/ 83 h 83"/>
                <a:gd name="T6" fmla="*/ 6 w 72"/>
                <a:gd name="T7" fmla="*/ 0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6" y="0"/>
                  </a:moveTo>
                  <a:lnTo>
                    <a:pt x="0" y="5"/>
                  </a:lnTo>
                  <a:lnTo>
                    <a:pt x="72" y="83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9" name="Freeform 401">
              <a:extLst>
                <a:ext uri="{FF2B5EF4-FFF2-40B4-BE49-F238E27FC236}">
                  <a16:creationId xmlns:a16="http://schemas.microsoft.com/office/drawing/2014/main" id="{B173C31B-DBED-4C13-99C7-2D3F6FF75396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78"/>
                <a:gd name="T1" fmla="*/ 0 h 78"/>
                <a:gd name="T2" fmla="*/ 0 w 78"/>
                <a:gd name="T3" fmla="*/ 6 h 78"/>
                <a:gd name="T4" fmla="*/ 78 w 78"/>
                <a:gd name="T5" fmla="*/ 78 h 78"/>
                <a:gd name="T6" fmla="*/ 6 w 78"/>
                <a:gd name="T7" fmla="*/ 0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8">
                  <a:moveTo>
                    <a:pt x="6" y="0"/>
                  </a:moveTo>
                  <a:lnTo>
                    <a:pt x="0" y="6"/>
                  </a:lnTo>
                  <a:lnTo>
                    <a:pt x="78" y="78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0" name="Freeform 402">
              <a:extLst>
                <a:ext uri="{FF2B5EF4-FFF2-40B4-BE49-F238E27FC236}">
                  <a16:creationId xmlns:a16="http://schemas.microsoft.com/office/drawing/2014/main" id="{9BB1BCC6-A61C-43FA-90DE-E944040320C4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84"/>
                <a:gd name="T1" fmla="*/ 0 h 72"/>
                <a:gd name="T2" fmla="*/ 0 w 84"/>
                <a:gd name="T3" fmla="*/ 7 h 72"/>
                <a:gd name="T4" fmla="*/ 84 w 84"/>
                <a:gd name="T5" fmla="*/ 72 h 72"/>
                <a:gd name="T6" fmla="*/ 6 w 84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2">
                  <a:moveTo>
                    <a:pt x="6" y="0"/>
                  </a:moveTo>
                  <a:lnTo>
                    <a:pt x="0" y="7"/>
                  </a:lnTo>
                  <a:lnTo>
                    <a:pt x="84" y="7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1" name="Freeform 403">
              <a:extLst>
                <a:ext uri="{FF2B5EF4-FFF2-40B4-BE49-F238E27FC236}">
                  <a16:creationId xmlns:a16="http://schemas.microsoft.com/office/drawing/2014/main" id="{12163F0C-CD85-402C-AAD5-C35D4D7C6891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89"/>
                <a:gd name="T1" fmla="*/ 0 h 65"/>
                <a:gd name="T2" fmla="*/ 0 w 89"/>
                <a:gd name="T3" fmla="*/ 7 h 65"/>
                <a:gd name="T4" fmla="*/ 89 w 89"/>
                <a:gd name="T5" fmla="*/ 65 h 65"/>
                <a:gd name="T6" fmla="*/ 5 w 89"/>
                <a:gd name="T7" fmla="*/ 0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5">
                  <a:moveTo>
                    <a:pt x="5" y="0"/>
                  </a:moveTo>
                  <a:lnTo>
                    <a:pt x="0" y="7"/>
                  </a:lnTo>
                  <a:lnTo>
                    <a:pt x="89" y="65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2" name="Freeform 404">
              <a:extLst>
                <a:ext uri="{FF2B5EF4-FFF2-40B4-BE49-F238E27FC236}">
                  <a16:creationId xmlns:a16="http://schemas.microsoft.com/office/drawing/2014/main" id="{9F38244C-3E4D-45BE-B39C-B7578BEBB5E6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94"/>
                <a:gd name="T1" fmla="*/ 0 h 58"/>
                <a:gd name="T2" fmla="*/ 0 w 94"/>
                <a:gd name="T3" fmla="*/ 8 h 58"/>
                <a:gd name="T4" fmla="*/ 94 w 94"/>
                <a:gd name="T5" fmla="*/ 58 h 58"/>
                <a:gd name="T6" fmla="*/ 5 w 94"/>
                <a:gd name="T7" fmla="*/ 0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8">
                  <a:moveTo>
                    <a:pt x="5" y="0"/>
                  </a:moveTo>
                  <a:lnTo>
                    <a:pt x="0" y="8"/>
                  </a:lnTo>
                  <a:lnTo>
                    <a:pt x="94" y="58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3" name="Freeform 405">
              <a:extLst>
                <a:ext uri="{FF2B5EF4-FFF2-40B4-BE49-F238E27FC236}">
                  <a16:creationId xmlns:a16="http://schemas.microsoft.com/office/drawing/2014/main" id="{FCBE0F62-2260-42D7-96FF-AC2EFD793754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3 w 97"/>
                <a:gd name="T1" fmla="*/ 0 h 50"/>
                <a:gd name="T2" fmla="*/ 0 w 97"/>
                <a:gd name="T3" fmla="*/ 7 h 50"/>
                <a:gd name="T4" fmla="*/ 97 w 97"/>
                <a:gd name="T5" fmla="*/ 50 h 50"/>
                <a:gd name="T6" fmla="*/ 3 w 97"/>
                <a:gd name="T7" fmla="*/ 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3" y="0"/>
                  </a:moveTo>
                  <a:lnTo>
                    <a:pt x="0" y="7"/>
                  </a:lnTo>
                  <a:lnTo>
                    <a:pt x="97" y="5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4" name="Freeform 406">
              <a:extLst>
                <a:ext uri="{FF2B5EF4-FFF2-40B4-BE49-F238E27FC236}">
                  <a16:creationId xmlns:a16="http://schemas.microsoft.com/office/drawing/2014/main" id="{938EABE6-B50D-4721-8A3B-5A3F5CF528DE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4 w 101"/>
                <a:gd name="T1" fmla="*/ 0 h 43"/>
                <a:gd name="T2" fmla="*/ 0 w 101"/>
                <a:gd name="T3" fmla="*/ 8 h 43"/>
                <a:gd name="T4" fmla="*/ 101 w 101"/>
                <a:gd name="T5" fmla="*/ 43 h 43"/>
                <a:gd name="T6" fmla="*/ 4 w 101"/>
                <a:gd name="T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3">
                  <a:moveTo>
                    <a:pt x="4" y="0"/>
                  </a:moveTo>
                  <a:lnTo>
                    <a:pt x="0" y="8"/>
                  </a:lnTo>
                  <a:lnTo>
                    <a:pt x="101" y="43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5" name="Freeform 407">
              <a:extLst>
                <a:ext uri="{FF2B5EF4-FFF2-40B4-BE49-F238E27FC236}">
                  <a16:creationId xmlns:a16="http://schemas.microsoft.com/office/drawing/2014/main" id="{4EE9FFCD-DFEC-4DA6-AA46-BF876CFB3E39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3"/>
                <a:gd name="T1" fmla="*/ 0 h 35"/>
                <a:gd name="T2" fmla="*/ 0 w 103"/>
                <a:gd name="T3" fmla="*/ 9 h 35"/>
                <a:gd name="T4" fmla="*/ 103 w 103"/>
                <a:gd name="T5" fmla="*/ 35 h 35"/>
                <a:gd name="T6" fmla="*/ 2 w 103"/>
                <a:gd name="T7" fmla="*/ 0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5">
                  <a:moveTo>
                    <a:pt x="2" y="0"/>
                  </a:moveTo>
                  <a:lnTo>
                    <a:pt x="0" y="9"/>
                  </a:lnTo>
                  <a:lnTo>
                    <a:pt x="103" y="35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6" name="Freeform 408">
              <a:extLst>
                <a:ext uri="{FF2B5EF4-FFF2-40B4-BE49-F238E27FC236}">
                  <a16:creationId xmlns:a16="http://schemas.microsoft.com/office/drawing/2014/main" id="{B0A48E6D-DE1E-4489-8755-D2A6FBC5497A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5"/>
                <a:gd name="T1" fmla="*/ 0 h 26"/>
                <a:gd name="T2" fmla="*/ 0 w 105"/>
                <a:gd name="T3" fmla="*/ 8 h 26"/>
                <a:gd name="T4" fmla="*/ 105 w 105"/>
                <a:gd name="T5" fmla="*/ 26 h 26"/>
                <a:gd name="T6" fmla="*/ 2 w 105"/>
                <a:gd name="T7" fmla="*/ 0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2" y="0"/>
                  </a:moveTo>
                  <a:lnTo>
                    <a:pt x="0" y="8"/>
                  </a:lnTo>
                  <a:lnTo>
                    <a:pt x="105" y="2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7" name="Freeform 409">
              <a:extLst>
                <a:ext uri="{FF2B5EF4-FFF2-40B4-BE49-F238E27FC236}">
                  <a16:creationId xmlns:a16="http://schemas.microsoft.com/office/drawing/2014/main" id="{C0A22126-F4A1-495B-8D1A-95AA977903FA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1 w 106"/>
                <a:gd name="T1" fmla="*/ 0 h 18"/>
                <a:gd name="T2" fmla="*/ 0 w 106"/>
                <a:gd name="T3" fmla="*/ 9 h 18"/>
                <a:gd name="T4" fmla="*/ 106 w 106"/>
                <a:gd name="T5" fmla="*/ 18 h 18"/>
                <a:gd name="T6" fmla="*/ 1 w 106"/>
                <a:gd name="T7" fmla="*/ 0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8">
                  <a:moveTo>
                    <a:pt x="1" y="0"/>
                  </a:moveTo>
                  <a:lnTo>
                    <a:pt x="0" y="9"/>
                  </a:lnTo>
                  <a:lnTo>
                    <a:pt x="106" y="18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8" name="Freeform 410">
              <a:extLst>
                <a:ext uri="{FF2B5EF4-FFF2-40B4-BE49-F238E27FC236}">
                  <a16:creationId xmlns:a16="http://schemas.microsoft.com/office/drawing/2014/main" id="{4F719CBE-82FC-40DD-B166-B3997F1248CF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9"/>
                <a:gd name="T2" fmla="*/ 0 w 106"/>
                <a:gd name="T3" fmla="*/ 9 h 9"/>
                <a:gd name="T4" fmla="*/ 106 w 106"/>
                <a:gd name="T5" fmla="*/ 9 h 9"/>
                <a:gd name="T6" fmla="*/ 0 w 106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9">
                  <a:moveTo>
                    <a:pt x="0" y="0"/>
                  </a:moveTo>
                  <a:lnTo>
                    <a:pt x="0" y="9"/>
                  </a:lnTo>
                  <a:lnTo>
                    <a:pt x="106" y="9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9" name="Freeform 411">
              <a:extLst>
                <a:ext uri="{FF2B5EF4-FFF2-40B4-BE49-F238E27FC236}">
                  <a16:creationId xmlns:a16="http://schemas.microsoft.com/office/drawing/2014/main" id="{D3092293-A3C0-4BAA-9B5C-288A8EEDF583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8"/>
                <a:gd name="T2" fmla="*/ 0 w 106"/>
                <a:gd name="T3" fmla="*/ 8 h 8"/>
                <a:gd name="T4" fmla="*/ 106 w 106"/>
                <a:gd name="T5" fmla="*/ 0 h 8"/>
                <a:gd name="T6" fmla="*/ 0 w 106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8">
                  <a:moveTo>
                    <a:pt x="0" y="0"/>
                  </a:moveTo>
                  <a:lnTo>
                    <a:pt x="0" y="8"/>
                  </a:lnTo>
                  <a:lnTo>
                    <a:pt x="10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0" name="Freeform 412">
              <a:extLst>
                <a:ext uri="{FF2B5EF4-FFF2-40B4-BE49-F238E27FC236}">
                  <a16:creationId xmlns:a16="http://schemas.microsoft.com/office/drawing/2014/main" id="{D8354DDA-4AEF-4212-A9A8-B2FA249C1CE9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8 h 17"/>
                <a:gd name="T2" fmla="*/ 1 w 106"/>
                <a:gd name="T3" fmla="*/ 17 h 17"/>
                <a:gd name="T4" fmla="*/ 106 w 106"/>
                <a:gd name="T5" fmla="*/ 0 h 17"/>
                <a:gd name="T6" fmla="*/ 0 w 106"/>
                <a:gd name="T7" fmla="*/ 8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7">
                  <a:moveTo>
                    <a:pt x="0" y="8"/>
                  </a:moveTo>
                  <a:lnTo>
                    <a:pt x="1" y="17"/>
                  </a:lnTo>
                  <a:lnTo>
                    <a:pt x="106" y="0"/>
                  </a:lnTo>
                  <a:lnTo>
                    <a:pt x="0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1" name="Freeform 413">
              <a:extLst>
                <a:ext uri="{FF2B5EF4-FFF2-40B4-BE49-F238E27FC236}">
                  <a16:creationId xmlns:a16="http://schemas.microsoft.com/office/drawing/2014/main" id="{5E70A8B1-482E-4BCC-8C4C-D6A6B1FA3AA4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5"/>
                <a:gd name="T1" fmla="*/ 17 h 26"/>
                <a:gd name="T2" fmla="*/ 2 w 105"/>
                <a:gd name="T3" fmla="*/ 26 h 26"/>
                <a:gd name="T4" fmla="*/ 105 w 105"/>
                <a:gd name="T5" fmla="*/ 0 h 26"/>
                <a:gd name="T6" fmla="*/ 0 w 105"/>
                <a:gd name="T7" fmla="*/ 17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0" y="17"/>
                  </a:moveTo>
                  <a:lnTo>
                    <a:pt x="2" y="26"/>
                  </a:lnTo>
                  <a:lnTo>
                    <a:pt x="105" y="0"/>
                  </a:lnTo>
                  <a:lnTo>
                    <a:pt x="0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2" name="Freeform 414">
              <a:extLst>
                <a:ext uri="{FF2B5EF4-FFF2-40B4-BE49-F238E27FC236}">
                  <a16:creationId xmlns:a16="http://schemas.microsoft.com/office/drawing/2014/main" id="{9AA39CCC-FFCE-4C08-A22F-BC953CEAB46E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3"/>
                <a:gd name="T1" fmla="*/ 26 h 34"/>
                <a:gd name="T2" fmla="*/ 2 w 103"/>
                <a:gd name="T3" fmla="*/ 34 h 34"/>
                <a:gd name="T4" fmla="*/ 103 w 103"/>
                <a:gd name="T5" fmla="*/ 0 h 34"/>
                <a:gd name="T6" fmla="*/ 0 w 103"/>
                <a:gd name="T7" fmla="*/ 26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4">
                  <a:moveTo>
                    <a:pt x="0" y="26"/>
                  </a:moveTo>
                  <a:lnTo>
                    <a:pt x="2" y="34"/>
                  </a:lnTo>
                  <a:lnTo>
                    <a:pt x="103" y="0"/>
                  </a:lnTo>
                  <a:lnTo>
                    <a:pt x="0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3" name="Freeform 415">
              <a:extLst>
                <a:ext uri="{FF2B5EF4-FFF2-40B4-BE49-F238E27FC236}">
                  <a16:creationId xmlns:a16="http://schemas.microsoft.com/office/drawing/2014/main" id="{4D5A14A1-EB15-42AB-AB70-29E4DD2FD2AD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1"/>
            </a:xfrm>
            <a:custGeom>
              <a:avLst/>
              <a:gdLst>
                <a:gd name="T0" fmla="*/ 0 w 101"/>
                <a:gd name="T1" fmla="*/ 34 h 42"/>
                <a:gd name="T2" fmla="*/ 4 w 101"/>
                <a:gd name="T3" fmla="*/ 42 h 42"/>
                <a:gd name="T4" fmla="*/ 101 w 101"/>
                <a:gd name="T5" fmla="*/ 0 h 42"/>
                <a:gd name="T6" fmla="*/ 0 w 101"/>
                <a:gd name="T7" fmla="*/ 34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2">
                  <a:moveTo>
                    <a:pt x="0" y="34"/>
                  </a:moveTo>
                  <a:lnTo>
                    <a:pt x="4" y="42"/>
                  </a:lnTo>
                  <a:lnTo>
                    <a:pt x="101" y="0"/>
                  </a:lnTo>
                  <a:lnTo>
                    <a:pt x="0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4" name="Freeform 416">
              <a:extLst>
                <a:ext uri="{FF2B5EF4-FFF2-40B4-BE49-F238E27FC236}">
                  <a16:creationId xmlns:a16="http://schemas.microsoft.com/office/drawing/2014/main" id="{0268F661-2F08-47C4-8490-699F599075EF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7"/>
                <a:gd name="T1" fmla="*/ 42 h 50"/>
                <a:gd name="T2" fmla="*/ 3 w 97"/>
                <a:gd name="T3" fmla="*/ 50 h 50"/>
                <a:gd name="T4" fmla="*/ 97 w 97"/>
                <a:gd name="T5" fmla="*/ 0 h 50"/>
                <a:gd name="T6" fmla="*/ 0 w 97"/>
                <a:gd name="T7" fmla="*/ 42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0" y="42"/>
                  </a:moveTo>
                  <a:lnTo>
                    <a:pt x="3" y="50"/>
                  </a:lnTo>
                  <a:lnTo>
                    <a:pt x="97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5" name="Freeform 417">
              <a:extLst>
                <a:ext uri="{FF2B5EF4-FFF2-40B4-BE49-F238E27FC236}">
                  <a16:creationId xmlns:a16="http://schemas.microsoft.com/office/drawing/2014/main" id="{4D4B97BD-D78C-4865-9EF1-95C4A366C5BD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4"/>
                <a:gd name="T1" fmla="*/ 50 h 57"/>
                <a:gd name="T2" fmla="*/ 5 w 94"/>
                <a:gd name="T3" fmla="*/ 57 h 57"/>
                <a:gd name="T4" fmla="*/ 94 w 94"/>
                <a:gd name="T5" fmla="*/ 0 h 57"/>
                <a:gd name="T6" fmla="*/ 0 w 94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7">
                  <a:moveTo>
                    <a:pt x="0" y="50"/>
                  </a:moveTo>
                  <a:lnTo>
                    <a:pt x="5" y="57"/>
                  </a:lnTo>
                  <a:lnTo>
                    <a:pt x="94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6" name="Freeform 418">
              <a:extLst>
                <a:ext uri="{FF2B5EF4-FFF2-40B4-BE49-F238E27FC236}">
                  <a16:creationId xmlns:a16="http://schemas.microsoft.com/office/drawing/2014/main" id="{5B5D426C-565C-43F0-B36B-65004DF99E78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9"/>
                <a:gd name="T1" fmla="*/ 57 h 64"/>
                <a:gd name="T2" fmla="*/ 5 w 89"/>
                <a:gd name="T3" fmla="*/ 64 h 64"/>
                <a:gd name="T4" fmla="*/ 89 w 89"/>
                <a:gd name="T5" fmla="*/ 0 h 64"/>
                <a:gd name="T6" fmla="*/ 0 w 89"/>
                <a:gd name="T7" fmla="*/ 57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4">
                  <a:moveTo>
                    <a:pt x="0" y="57"/>
                  </a:moveTo>
                  <a:lnTo>
                    <a:pt x="5" y="64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7" name="Freeform 419">
              <a:extLst>
                <a:ext uri="{FF2B5EF4-FFF2-40B4-BE49-F238E27FC236}">
                  <a16:creationId xmlns:a16="http://schemas.microsoft.com/office/drawing/2014/main" id="{AC10DB7D-918C-4303-A5DD-E8B0F6CC2C6A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4"/>
                <a:gd name="T1" fmla="*/ 64 h 71"/>
                <a:gd name="T2" fmla="*/ 6 w 84"/>
                <a:gd name="T3" fmla="*/ 71 h 71"/>
                <a:gd name="T4" fmla="*/ 84 w 84"/>
                <a:gd name="T5" fmla="*/ 0 h 71"/>
                <a:gd name="T6" fmla="*/ 0 w 84"/>
                <a:gd name="T7" fmla="*/ 64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1">
                  <a:moveTo>
                    <a:pt x="0" y="64"/>
                  </a:moveTo>
                  <a:lnTo>
                    <a:pt x="6" y="71"/>
                  </a:lnTo>
                  <a:lnTo>
                    <a:pt x="84" y="0"/>
                  </a:lnTo>
                  <a:lnTo>
                    <a:pt x="0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8" name="Freeform 420">
              <a:extLst>
                <a:ext uri="{FF2B5EF4-FFF2-40B4-BE49-F238E27FC236}">
                  <a16:creationId xmlns:a16="http://schemas.microsoft.com/office/drawing/2014/main" id="{30D45E30-ED32-447A-888B-5F50A6815202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8"/>
                <a:gd name="T1" fmla="*/ 71 h 77"/>
                <a:gd name="T2" fmla="*/ 6 w 78"/>
                <a:gd name="T3" fmla="*/ 77 h 77"/>
                <a:gd name="T4" fmla="*/ 78 w 78"/>
                <a:gd name="T5" fmla="*/ 0 h 77"/>
                <a:gd name="T6" fmla="*/ 0 w 78"/>
                <a:gd name="T7" fmla="*/ 71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7">
                  <a:moveTo>
                    <a:pt x="0" y="71"/>
                  </a:moveTo>
                  <a:lnTo>
                    <a:pt x="6" y="77"/>
                  </a:lnTo>
                  <a:lnTo>
                    <a:pt x="78" y="0"/>
                  </a:lnTo>
                  <a:lnTo>
                    <a:pt x="0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9" name="Freeform 421">
              <a:extLst>
                <a:ext uri="{FF2B5EF4-FFF2-40B4-BE49-F238E27FC236}">
                  <a16:creationId xmlns:a16="http://schemas.microsoft.com/office/drawing/2014/main" id="{8916558F-9D7C-4CAC-8AB7-6B6C0FCAFD21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2"/>
                <a:gd name="T1" fmla="*/ 77 h 83"/>
                <a:gd name="T2" fmla="*/ 6 w 72"/>
                <a:gd name="T3" fmla="*/ 83 h 83"/>
                <a:gd name="T4" fmla="*/ 72 w 72"/>
                <a:gd name="T5" fmla="*/ 0 h 83"/>
                <a:gd name="T6" fmla="*/ 0 w 72"/>
                <a:gd name="T7" fmla="*/ 77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0" y="77"/>
                  </a:moveTo>
                  <a:lnTo>
                    <a:pt x="6" y="83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0" name="Freeform 422">
              <a:extLst>
                <a:ext uri="{FF2B5EF4-FFF2-40B4-BE49-F238E27FC236}">
                  <a16:creationId xmlns:a16="http://schemas.microsoft.com/office/drawing/2014/main" id="{EDBCE950-FA93-4573-9D2C-8B90BE5D417C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66"/>
                <a:gd name="T1" fmla="*/ 83 h 88"/>
                <a:gd name="T2" fmla="*/ 7 w 66"/>
                <a:gd name="T3" fmla="*/ 88 h 88"/>
                <a:gd name="T4" fmla="*/ 66 w 66"/>
                <a:gd name="T5" fmla="*/ 0 h 88"/>
                <a:gd name="T6" fmla="*/ 0 w 66"/>
                <a:gd name="T7" fmla="*/ 83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0" y="83"/>
                  </a:moveTo>
                  <a:lnTo>
                    <a:pt x="7" y="88"/>
                  </a:lnTo>
                  <a:lnTo>
                    <a:pt x="66" y="0"/>
                  </a:lnTo>
                  <a:lnTo>
                    <a:pt x="0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1" name="Freeform 423">
              <a:extLst>
                <a:ext uri="{FF2B5EF4-FFF2-40B4-BE49-F238E27FC236}">
                  <a16:creationId xmlns:a16="http://schemas.microsoft.com/office/drawing/2014/main" id="{D851599E-CA98-4376-8A4D-A5EAFE403028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9"/>
                <a:gd name="T1" fmla="*/ 88 h 92"/>
                <a:gd name="T2" fmla="*/ 8 w 59"/>
                <a:gd name="T3" fmla="*/ 92 h 92"/>
                <a:gd name="T4" fmla="*/ 59 w 59"/>
                <a:gd name="T5" fmla="*/ 0 h 92"/>
                <a:gd name="T6" fmla="*/ 0 w 59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2">
                  <a:moveTo>
                    <a:pt x="0" y="88"/>
                  </a:moveTo>
                  <a:lnTo>
                    <a:pt x="8" y="92"/>
                  </a:lnTo>
                  <a:lnTo>
                    <a:pt x="59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2" name="Freeform 424">
              <a:extLst>
                <a:ext uri="{FF2B5EF4-FFF2-40B4-BE49-F238E27FC236}">
                  <a16:creationId xmlns:a16="http://schemas.microsoft.com/office/drawing/2014/main" id="{EBF7AED6-E025-4F93-8169-81FD158D827F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1"/>
                <a:gd name="T1" fmla="*/ 92 h 96"/>
                <a:gd name="T2" fmla="*/ 8 w 51"/>
                <a:gd name="T3" fmla="*/ 96 h 96"/>
                <a:gd name="T4" fmla="*/ 51 w 51"/>
                <a:gd name="T5" fmla="*/ 0 h 96"/>
                <a:gd name="T6" fmla="*/ 0 w 51"/>
                <a:gd name="T7" fmla="*/ 92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6">
                  <a:moveTo>
                    <a:pt x="0" y="92"/>
                  </a:moveTo>
                  <a:lnTo>
                    <a:pt x="8" y="96"/>
                  </a:lnTo>
                  <a:lnTo>
                    <a:pt x="51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3" name="Freeform 425">
              <a:extLst>
                <a:ext uri="{FF2B5EF4-FFF2-40B4-BE49-F238E27FC236}">
                  <a16:creationId xmlns:a16="http://schemas.microsoft.com/office/drawing/2014/main" id="{8286E5D8-67A9-4D6F-9507-E2C38908EC64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2"/>
            </a:xfrm>
            <a:custGeom>
              <a:avLst/>
              <a:gdLst>
                <a:gd name="T0" fmla="*/ 0 w 43"/>
                <a:gd name="T1" fmla="*/ 96 h 99"/>
                <a:gd name="T2" fmla="*/ 8 w 43"/>
                <a:gd name="T3" fmla="*/ 99 h 99"/>
                <a:gd name="T4" fmla="*/ 43 w 43"/>
                <a:gd name="T5" fmla="*/ 0 h 99"/>
                <a:gd name="T6" fmla="*/ 0 w 43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99">
                  <a:moveTo>
                    <a:pt x="0" y="96"/>
                  </a:moveTo>
                  <a:lnTo>
                    <a:pt x="8" y="99"/>
                  </a:lnTo>
                  <a:lnTo>
                    <a:pt x="43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4" name="Freeform 426">
              <a:extLst>
                <a:ext uri="{FF2B5EF4-FFF2-40B4-BE49-F238E27FC236}">
                  <a16:creationId xmlns:a16="http://schemas.microsoft.com/office/drawing/2014/main" id="{92F7E955-4F94-44E2-B403-09F212A9A3A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35"/>
                <a:gd name="T1" fmla="*/ 99 h 102"/>
                <a:gd name="T2" fmla="*/ 8 w 35"/>
                <a:gd name="T3" fmla="*/ 102 h 102"/>
                <a:gd name="T4" fmla="*/ 35 w 35"/>
                <a:gd name="T5" fmla="*/ 0 h 102"/>
                <a:gd name="T6" fmla="*/ 0 w 35"/>
                <a:gd name="T7" fmla="*/ 99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0" y="99"/>
                  </a:moveTo>
                  <a:lnTo>
                    <a:pt x="8" y="102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5" name="Freeform 427">
              <a:extLst>
                <a:ext uri="{FF2B5EF4-FFF2-40B4-BE49-F238E27FC236}">
                  <a16:creationId xmlns:a16="http://schemas.microsoft.com/office/drawing/2014/main" id="{722534D5-7489-44C4-8A72-46D042115BB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27"/>
                <a:gd name="T1" fmla="*/ 102 h 104"/>
                <a:gd name="T2" fmla="*/ 9 w 27"/>
                <a:gd name="T3" fmla="*/ 104 h 104"/>
                <a:gd name="T4" fmla="*/ 27 w 27"/>
                <a:gd name="T5" fmla="*/ 0 h 104"/>
                <a:gd name="T6" fmla="*/ 0 w 27"/>
                <a:gd name="T7" fmla="*/ 10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0" y="102"/>
                  </a:moveTo>
                  <a:lnTo>
                    <a:pt x="9" y="104"/>
                  </a:lnTo>
                  <a:lnTo>
                    <a:pt x="27" y="0"/>
                  </a:lnTo>
                  <a:lnTo>
                    <a:pt x="0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6" name="Freeform 428">
              <a:extLst>
                <a:ext uri="{FF2B5EF4-FFF2-40B4-BE49-F238E27FC236}">
                  <a16:creationId xmlns:a16="http://schemas.microsoft.com/office/drawing/2014/main" id="{8E15D6D6-6E05-40EA-87C4-2DE93D8BF10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18"/>
                <a:gd name="T1" fmla="*/ 104 h 105"/>
                <a:gd name="T2" fmla="*/ 9 w 18"/>
                <a:gd name="T3" fmla="*/ 105 h 105"/>
                <a:gd name="T4" fmla="*/ 18 w 18"/>
                <a:gd name="T5" fmla="*/ 0 h 105"/>
                <a:gd name="T6" fmla="*/ 0 w 18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0" y="104"/>
                  </a:moveTo>
                  <a:lnTo>
                    <a:pt x="9" y="105"/>
                  </a:lnTo>
                  <a:lnTo>
                    <a:pt x="18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7" name="Freeform 429">
              <a:extLst>
                <a:ext uri="{FF2B5EF4-FFF2-40B4-BE49-F238E27FC236}">
                  <a16:creationId xmlns:a16="http://schemas.microsoft.com/office/drawing/2014/main" id="{E36FD02B-5B42-44C1-B757-BFEFBBB3A68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9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9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8" name="Freeform 430">
              <a:extLst>
                <a:ext uri="{FF2B5EF4-FFF2-40B4-BE49-F238E27FC236}">
                  <a16:creationId xmlns:a16="http://schemas.microsoft.com/office/drawing/2014/main" id="{CBB872D1-7D87-4D64-BFF1-314F5EBD9E95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0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9" name="Freeform 431">
              <a:extLst>
                <a:ext uri="{FF2B5EF4-FFF2-40B4-BE49-F238E27FC236}">
                  <a16:creationId xmlns:a16="http://schemas.microsoft.com/office/drawing/2014/main" id="{49C23074-CDCF-48A6-8E8A-A5AEC706E57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9 w 17"/>
                <a:gd name="T1" fmla="*/ 105 h 105"/>
                <a:gd name="T2" fmla="*/ 17 w 17"/>
                <a:gd name="T3" fmla="*/ 104 h 105"/>
                <a:gd name="T4" fmla="*/ 0 w 17"/>
                <a:gd name="T5" fmla="*/ 0 h 105"/>
                <a:gd name="T6" fmla="*/ 9 w 1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9" y="105"/>
                  </a:moveTo>
                  <a:lnTo>
                    <a:pt x="17" y="104"/>
                  </a:lnTo>
                  <a:lnTo>
                    <a:pt x="0" y="0"/>
                  </a:lnTo>
                  <a:lnTo>
                    <a:pt x="9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0" name="Freeform 432">
              <a:extLst>
                <a:ext uri="{FF2B5EF4-FFF2-40B4-BE49-F238E27FC236}">
                  <a16:creationId xmlns:a16="http://schemas.microsoft.com/office/drawing/2014/main" id="{2A9B0661-5614-48DD-AA3E-5B70C3AF768C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17 w 26"/>
                <a:gd name="T1" fmla="*/ 104 h 104"/>
                <a:gd name="T2" fmla="*/ 26 w 26"/>
                <a:gd name="T3" fmla="*/ 102 h 104"/>
                <a:gd name="T4" fmla="*/ 0 w 26"/>
                <a:gd name="T5" fmla="*/ 0 h 104"/>
                <a:gd name="T6" fmla="*/ 17 w 26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17" y="104"/>
                  </a:moveTo>
                  <a:lnTo>
                    <a:pt x="26" y="102"/>
                  </a:lnTo>
                  <a:lnTo>
                    <a:pt x="0" y="0"/>
                  </a:lnTo>
                  <a:lnTo>
                    <a:pt x="17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1" name="Freeform 433">
              <a:extLst>
                <a:ext uri="{FF2B5EF4-FFF2-40B4-BE49-F238E27FC236}">
                  <a16:creationId xmlns:a16="http://schemas.microsoft.com/office/drawing/2014/main" id="{E5309219-6582-40FB-83FE-2771708ABA7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26 w 34"/>
                <a:gd name="T1" fmla="*/ 102 h 102"/>
                <a:gd name="T2" fmla="*/ 34 w 34"/>
                <a:gd name="T3" fmla="*/ 99 h 102"/>
                <a:gd name="T4" fmla="*/ 0 w 34"/>
                <a:gd name="T5" fmla="*/ 0 h 102"/>
                <a:gd name="T6" fmla="*/ 26 w 34"/>
                <a:gd name="T7" fmla="*/ 10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26" y="102"/>
                  </a:moveTo>
                  <a:lnTo>
                    <a:pt x="34" y="99"/>
                  </a:lnTo>
                  <a:lnTo>
                    <a:pt x="0" y="0"/>
                  </a:lnTo>
                  <a:lnTo>
                    <a:pt x="26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2" name="Freeform 434">
              <a:extLst>
                <a:ext uri="{FF2B5EF4-FFF2-40B4-BE49-F238E27FC236}">
                  <a16:creationId xmlns:a16="http://schemas.microsoft.com/office/drawing/2014/main" id="{1196FF23-031F-4183-8A4B-A9AB0B9CC1A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34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4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4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4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3" name="Freeform 435">
              <a:extLst>
                <a:ext uri="{FF2B5EF4-FFF2-40B4-BE49-F238E27FC236}">
                  <a16:creationId xmlns:a16="http://schemas.microsoft.com/office/drawing/2014/main" id="{059DE246-E1B3-47D4-9481-D26EDE9F0F5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42 w 50"/>
                <a:gd name="T1" fmla="*/ 96 h 96"/>
                <a:gd name="T2" fmla="*/ 50 w 50"/>
                <a:gd name="T3" fmla="*/ 92 h 96"/>
                <a:gd name="T4" fmla="*/ 0 w 50"/>
                <a:gd name="T5" fmla="*/ 0 h 96"/>
                <a:gd name="T6" fmla="*/ 42 w 50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42" y="96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4" name="Freeform 436">
              <a:extLst>
                <a:ext uri="{FF2B5EF4-FFF2-40B4-BE49-F238E27FC236}">
                  <a16:creationId xmlns:a16="http://schemas.microsoft.com/office/drawing/2014/main" id="{641D6AA1-CDEF-4456-BB4B-A4ADD67618E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0 w 58"/>
                <a:gd name="T1" fmla="*/ 92 h 92"/>
                <a:gd name="T2" fmla="*/ 58 w 58"/>
                <a:gd name="T3" fmla="*/ 88 h 92"/>
                <a:gd name="T4" fmla="*/ 0 w 58"/>
                <a:gd name="T5" fmla="*/ 0 h 92"/>
                <a:gd name="T6" fmla="*/ 50 w 58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2">
                  <a:moveTo>
                    <a:pt x="50" y="92"/>
                  </a:moveTo>
                  <a:lnTo>
                    <a:pt x="58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5" name="Freeform 437">
              <a:extLst>
                <a:ext uri="{FF2B5EF4-FFF2-40B4-BE49-F238E27FC236}">
                  <a16:creationId xmlns:a16="http://schemas.microsoft.com/office/drawing/2014/main" id="{27DAF2BA-FE63-4562-9D57-3D15995F54FF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8 w 65"/>
                <a:gd name="T1" fmla="*/ 88 h 88"/>
                <a:gd name="T2" fmla="*/ 65 w 65"/>
                <a:gd name="T3" fmla="*/ 83 h 88"/>
                <a:gd name="T4" fmla="*/ 0 w 65"/>
                <a:gd name="T5" fmla="*/ 0 h 88"/>
                <a:gd name="T6" fmla="*/ 58 w 65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58" y="88"/>
                  </a:moveTo>
                  <a:lnTo>
                    <a:pt x="65" y="83"/>
                  </a:lnTo>
                  <a:lnTo>
                    <a:pt x="0" y="0"/>
                  </a:lnTo>
                  <a:lnTo>
                    <a:pt x="58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6" name="Freeform 438">
              <a:extLst>
                <a:ext uri="{FF2B5EF4-FFF2-40B4-BE49-F238E27FC236}">
                  <a16:creationId xmlns:a16="http://schemas.microsoft.com/office/drawing/2014/main" id="{3CA6AA52-7E77-42D0-96BF-5E0866C5D916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65 w 71"/>
                <a:gd name="T1" fmla="*/ 83 h 83"/>
                <a:gd name="T2" fmla="*/ 71 w 71"/>
                <a:gd name="T3" fmla="*/ 77 h 83"/>
                <a:gd name="T4" fmla="*/ 0 w 71"/>
                <a:gd name="T5" fmla="*/ 0 h 83"/>
                <a:gd name="T6" fmla="*/ 65 w 71"/>
                <a:gd name="T7" fmla="*/ 83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65" y="83"/>
                  </a:moveTo>
                  <a:lnTo>
                    <a:pt x="71" y="77"/>
                  </a:lnTo>
                  <a:lnTo>
                    <a:pt x="0" y="0"/>
                  </a:lnTo>
                  <a:lnTo>
                    <a:pt x="65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7" name="Freeform 439">
              <a:extLst>
                <a:ext uri="{FF2B5EF4-FFF2-40B4-BE49-F238E27FC236}">
                  <a16:creationId xmlns:a16="http://schemas.microsoft.com/office/drawing/2014/main" id="{D3C5E6B9-A14A-4F58-8AF2-6ED6EC5216A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1 w 77"/>
                <a:gd name="T1" fmla="*/ 77 h 77"/>
                <a:gd name="T2" fmla="*/ 77 w 77"/>
                <a:gd name="T3" fmla="*/ 71 h 77"/>
                <a:gd name="T4" fmla="*/ 0 w 77"/>
                <a:gd name="T5" fmla="*/ 0 h 77"/>
                <a:gd name="T6" fmla="*/ 71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1" y="77"/>
                  </a:moveTo>
                  <a:lnTo>
                    <a:pt x="77" y="71"/>
                  </a:lnTo>
                  <a:lnTo>
                    <a:pt x="0" y="0"/>
                  </a:lnTo>
                  <a:lnTo>
                    <a:pt x="71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8" name="Freeform 440">
              <a:extLst>
                <a:ext uri="{FF2B5EF4-FFF2-40B4-BE49-F238E27FC236}">
                  <a16:creationId xmlns:a16="http://schemas.microsoft.com/office/drawing/2014/main" id="{ADD6530B-8986-4CB2-865A-992C424BD2B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7 w 83"/>
                <a:gd name="T1" fmla="*/ 71 h 71"/>
                <a:gd name="T2" fmla="*/ 83 w 83"/>
                <a:gd name="T3" fmla="*/ 64 h 71"/>
                <a:gd name="T4" fmla="*/ 0 w 83"/>
                <a:gd name="T5" fmla="*/ 0 h 71"/>
                <a:gd name="T6" fmla="*/ 77 w 83"/>
                <a:gd name="T7" fmla="*/ 71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1">
                  <a:moveTo>
                    <a:pt x="77" y="71"/>
                  </a:moveTo>
                  <a:lnTo>
                    <a:pt x="83" y="64"/>
                  </a:lnTo>
                  <a:lnTo>
                    <a:pt x="0" y="0"/>
                  </a:lnTo>
                  <a:lnTo>
                    <a:pt x="77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9" name="Freeform 441">
              <a:extLst>
                <a:ext uri="{FF2B5EF4-FFF2-40B4-BE49-F238E27FC236}">
                  <a16:creationId xmlns:a16="http://schemas.microsoft.com/office/drawing/2014/main" id="{002BDB39-B45A-4321-A9D9-961BB918A71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3 w 88"/>
                <a:gd name="T1" fmla="*/ 64 h 64"/>
                <a:gd name="T2" fmla="*/ 88 w 88"/>
                <a:gd name="T3" fmla="*/ 57 h 64"/>
                <a:gd name="T4" fmla="*/ 0 w 88"/>
                <a:gd name="T5" fmla="*/ 0 h 64"/>
                <a:gd name="T6" fmla="*/ 83 w 88"/>
                <a:gd name="T7" fmla="*/ 64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4">
                  <a:moveTo>
                    <a:pt x="83" y="64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3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0" name="Freeform 442">
              <a:extLst>
                <a:ext uri="{FF2B5EF4-FFF2-40B4-BE49-F238E27FC236}">
                  <a16:creationId xmlns:a16="http://schemas.microsoft.com/office/drawing/2014/main" id="{5AC76E71-CD9E-48B8-BEC6-874366FD4D1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8 w 93"/>
                <a:gd name="T1" fmla="*/ 57 h 57"/>
                <a:gd name="T2" fmla="*/ 93 w 93"/>
                <a:gd name="T3" fmla="*/ 50 h 57"/>
                <a:gd name="T4" fmla="*/ 0 w 93"/>
                <a:gd name="T5" fmla="*/ 0 h 57"/>
                <a:gd name="T6" fmla="*/ 88 w 93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7">
                  <a:moveTo>
                    <a:pt x="88" y="57"/>
                  </a:moveTo>
                  <a:lnTo>
                    <a:pt x="93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1" name="Freeform 443">
              <a:extLst>
                <a:ext uri="{FF2B5EF4-FFF2-40B4-BE49-F238E27FC236}">
                  <a16:creationId xmlns:a16="http://schemas.microsoft.com/office/drawing/2014/main" id="{6F2F6011-C8C8-49F1-A156-73DF7F39B29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3 w 96"/>
                <a:gd name="T1" fmla="*/ 50 h 50"/>
                <a:gd name="T2" fmla="*/ 96 w 96"/>
                <a:gd name="T3" fmla="*/ 42 h 50"/>
                <a:gd name="T4" fmla="*/ 0 w 96"/>
                <a:gd name="T5" fmla="*/ 0 h 50"/>
                <a:gd name="T6" fmla="*/ 93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3" y="50"/>
                  </a:moveTo>
                  <a:lnTo>
                    <a:pt x="96" y="42"/>
                  </a:lnTo>
                  <a:lnTo>
                    <a:pt x="0" y="0"/>
                  </a:lnTo>
                  <a:lnTo>
                    <a:pt x="93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2" name="Freeform 444">
              <a:extLst>
                <a:ext uri="{FF2B5EF4-FFF2-40B4-BE49-F238E27FC236}">
                  <a16:creationId xmlns:a16="http://schemas.microsoft.com/office/drawing/2014/main" id="{86417088-41D3-4582-8E8D-057F7830DA0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6 w 99"/>
                <a:gd name="T1" fmla="*/ 42 h 42"/>
                <a:gd name="T2" fmla="*/ 99 w 99"/>
                <a:gd name="T3" fmla="*/ 34 h 42"/>
                <a:gd name="T4" fmla="*/ 0 w 99"/>
                <a:gd name="T5" fmla="*/ 0 h 42"/>
                <a:gd name="T6" fmla="*/ 96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6" y="42"/>
                  </a:moveTo>
                  <a:lnTo>
                    <a:pt x="99" y="34"/>
                  </a:lnTo>
                  <a:lnTo>
                    <a:pt x="0" y="0"/>
                  </a:lnTo>
                  <a:lnTo>
                    <a:pt x="96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3" name="Freeform 445">
              <a:extLst>
                <a:ext uri="{FF2B5EF4-FFF2-40B4-BE49-F238E27FC236}">
                  <a16:creationId xmlns:a16="http://schemas.microsoft.com/office/drawing/2014/main" id="{AEFAFFAF-87EE-4F09-BF1B-1D7C587B9205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99 w 102"/>
                <a:gd name="T1" fmla="*/ 34 h 34"/>
                <a:gd name="T2" fmla="*/ 102 w 102"/>
                <a:gd name="T3" fmla="*/ 26 h 34"/>
                <a:gd name="T4" fmla="*/ 0 w 102"/>
                <a:gd name="T5" fmla="*/ 0 h 34"/>
                <a:gd name="T6" fmla="*/ 99 w 102"/>
                <a:gd name="T7" fmla="*/ 34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4">
                  <a:moveTo>
                    <a:pt x="99" y="34"/>
                  </a:moveTo>
                  <a:lnTo>
                    <a:pt x="102" y="26"/>
                  </a:lnTo>
                  <a:lnTo>
                    <a:pt x="0" y="0"/>
                  </a:lnTo>
                  <a:lnTo>
                    <a:pt x="99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4" name="Freeform 446">
              <a:extLst>
                <a:ext uri="{FF2B5EF4-FFF2-40B4-BE49-F238E27FC236}">
                  <a16:creationId xmlns:a16="http://schemas.microsoft.com/office/drawing/2014/main" id="{F1CA16B8-C990-45BB-9599-9A5709A2554D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2 w 104"/>
                <a:gd name="T1" fmla="*/ 26 h 26"/>
                <a:gd name="T2" fmla="*/ 104 w 104"/>
                <a:gd name="T3" fmla="*/ 17 h 26"/>
                <a:gd name="T4" fmla="*/ 0 w 104"/>
                <a:gd name="T5" fmla="*/ 0 h 26"/>
                <a:gd name="T6" fmla="*/ 102 w 104"/>
                <a:gd name="T7" fmla="*/ 26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2" y="26"/>
                  </a:moveTo>
                  <a:lnTo>
                    <a:pt x="104" y="17"/>
                  </a:lnTo>
                  <a:lnTo>
                    <a:pt x="0" y="0"/>
                  </a:lnTo>
                  <a:lnTo>
                    <a:pt x="102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5" name="Freeform 447">
              <a:extLst>
                <a:ext uri="{FF2B5EF4-FFF2-40B4-BE49-F238E27FC236}">
                  <a16:creationId xmlns:a16="http://schemas.microsoft.com/office/drawing/2014/main" id="{7B79F06C-5D84-4CD8-A1EA-56870CB8EA0F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4 w 105"/>
                <a:gd name="T1" fmla="*/ 17 h 17"/>
                <a:gd name="T2" fmla="*/ 105 w 105"/>
                <a:gd name="T3" fmla="*/ 8 h 17"/>
                <a:gd name="T4" fmla="*/ 0 w 105"/>
                <a:gd name="T5" fmla="*/ 0 h 17"/>
                <a:gd name="T6" fmla="*/ 104 w 105"/>
                <a:gd name="T7" fmla="*/ 17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7">
                  <a:moveTo>
                    <a:pt x="104" y="17"/>
                  </a:moveTo>
                  <a:lnTo>
                    <a:pt x="105" y="8"/>
                  </a:lnTo>
                  <a:lnTo>
                    <a:pt x="0" y="0"/>
                  </a:lnTo>
                  <a:lnTo>
                    <a:pt x="104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6" name="Freeform 448">
              <a:extLst>
                <a:ext uri="{FF2B5EF4-FFF2-40B4-BE49-F238E27FC236}">
                  <a16:creationId xmlns:a16="http://schemas.microsoft.com/office/drawing/2014/main" id="{6FEB1C36-D01A-4E8F-8544-687E82C6506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0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7" name="Freeform 449">
              <a:extLst>
                <a:ext uri="{FF2B5EF4-FFF2-40B4-BE49-F238E27FC236}">
                  <a16:creationId xmlns:a16="http://schemas.microsoft.com/office/drawing/2014/main" id="{67FBA601-E125-4D4B-8259-7A3FC94B2341}"/>
                </a:ext>
              </a:extLst>
            </xdr:cNvPr>
            <xdr:cNvSpPr>
              <a:spLocks/>
            </xdr:cNvSpPr>
          </xdr:nvSpPr>
          <xdr:spPr bwMode="auto">
            <a:xfrm>
              <a:off x="1178" y="188"/>
              <a:ext cx="6" cy="9"/>
            </a:xfrm>
            <a:custGeom>
              <a:avLst/>
              <a:gdLst>
                <a:gd name="T0" fmla="*/ 0 w 350"/>
                <a:gd name="T1" fmla="*/ 526 h 526"/>
                <a:gd name="T2" fmla="*/ 263 w 350"/>
                <a:gd name="T3" fmla="*/ 526 h 526"/>
                <a:gd name="T4" fmla="*/ 350 w 350"/>
                <a:gd name="T5" fmla="*/ 439 h 526"/>
                <a:gd name="T6" fmla="*/ 350 w 350"/>
                <a:gd name="T7" fmla="*/ 88 h 526"/>
                <a:gd name="T8" fmla="*/ 263 w 350"/>
                <a:gd name="T9" fmla="*/ 0 h 526"/>
                <a:gd name="T10" fmla="*/ 0 w 350"/>
                <a:gd name="T11" fmla="*/ 0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0" h="526">
                  <a:moveTo>
                    <a:pt x="0" y="526"/>
                  </a:moveTo>
                  <a:lnTo>
                    <a:pt x="263" y="526"/>
                  </a:lnTo>
                  <a:lnTo>
                    <a:pt x="350" y="439"/>
                  </a:lnTo>
                  <a:lnTo>
                    <a:pt x="350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38" name="Line 450">
              <a:extLst>
                <a:ext uri="{FF2B5EF4-FFF2-40B4-BE49-F238E27FC236}">
                  <a16:creationId xmlns:a16="http://schemas.microsoft.com/office/drawing/2014/main" id="{8A1D3558-B22D-4B93-B99B-F6D2C251A74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0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9" name="Freeform 451">
              <a:extLst>
                <a:ext uri="{FF2B5EF4-FFF2-40B4-BE49-F238E27FC236}">
                  <a16:creationId xmlns:a16="http://schemas.microsoft.com/office/drawing/2014/main" id="{1075B56F-8B14-4DAA-8415-D094762008E2}"/>
                </a:ext>
              </a:extLst>
            </xdr:cNvPr>
            <xdr:cNvSpPr>
              <a:spLocks/>
            </xdr:cNvSpPr>
          </xdr:nvSpPr>
          <xdr:spPr bwMode="auto">
            <a:xfrm>
              <a:off x="1190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40" name="Freeform 452">
              <a:extLst>
                <a:ext uri="{FF2B5EF4-FFF2-40B4-BE49-F238E27FC236}">
                  <a16:creationId xmlns:a16="http://schemas.microsoft.com/office/drawing/2014/main" id="{14E57704-3FA3-4B97-A766-2D5719D72600}"/>
                </a:ext>
              </a:extLst>
            </xdr:cNvPr>
            <xdr:cNvSpPr>
              <a:spLocks/>
            </xdr:cNvSpPr>
          </xdr:nvSpPr>
          <xdr:spPr bwMode="auto">
            <a:xfrm>
              <a:off x="1190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6" name="Freeform 454">
            <a:extLst>
              <a:ext uri="{FF2B5EF4-FFF2-40B4-BE49-F238E27FC236}">
                <a16:creationId xmlns:a16="http://schemas.microsoft.com/office/drawing/2014/main" id="{4D48BADA-C38F-447D-BB9F-1D15A484A281}"/>
              </a:ext>
            </a:extLst>
          </xdr:cNvPr>
          <xdr:cNvSpPr>
            <a:spLocks/>
          </xdr:cNvSpPr>
        </xdr:nvSpPr>
        <xdr:spPr bwMode="auto">
          <a:xfrm>
            <a:off x="1190" y="200"/>
            <a:ext cx="1" cy="2"/>
          </a:xfrm>
          <a:custGeom>
            <a:avLst/>
            <a:gdLst>
              <a:gd name="T0" fmla="*/ 53 w 53"/>
              <a:gd name="T1" fmla="*/ 14 h 106"/>
              <a:gd name="T2" fmla="*/ 0 w 53"/>
              <a:gd name="T3" fmla="*/ 0 h 106"/>
              <a:gd name="T4" fmla="*/ 0 w 53"/>
              <a:gd name="T5" fmla="*/ 106 h 106"/>
              <a:gd name="T6" fmla="*/ 53 w 53"/>
              <a:gd name="T7" fmla="*/ 14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14"/>
                </a:moveTo>
                <a:lnTo>
                  <a:pt x="0" y="0"/>
                </a:lnTo>
                <a:lnTo>
                  <a:pt x="0" y="106"/>
                </a:lnTo>
                <a:lnTo>
                  <a:pt x="53" y="14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Freeform 455">
            <a:extLst>
              <a:ext uri="{FF2B5EF4-FFF2-40B4-BE49-F238E27FC236}">
                <a16:creationId xmlns:a16="http://schemas.microsoft.com/office/drawing/2014/main" id="{1907ACE5-3D53-4C19-8592-9BA0FDC1E953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53 w 53"/>
              <a:gd name="T1" fmla="*/ 0 h 106"/>
              <a:gd name="T2" fmla="*/ 0 w 53"/>
              <a:gd name="T3" fmla="*/ 14 h 106"/>
              <a:gd name="T4" fmla="*/ 53 w 53"/>
              <a:gd name="T5" fmla="*/ 106 h 106"/>
              <a:gd name="T6" fmla="*/ 53 w 53"/>
              <a:gd name="T7" fmla="*/ 0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0"/>
                </a:moveTo>
                <a:lnTo>
                  <a:pt x="0" y="14"/>
                </a:lnTo>
                <a:lnTo>
                  <a:pt x="53" y="106"/>
                </a:lnTo>
                <a:lnTo>
                  <a:pt x="53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" name="Freeform 456">
            <a:extLst>
              <a:ext uri="{FF2B5EF4-FFF2-40B4-BE49-F238E27FC236}">
                <a16:creationId xmlns:a16="http://schemas.microsoft.com/office/drawing/2014/main" id="{36062815-0043-432D-B5B2-5B3925585BB6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38 w 91"/>
              <a:gd name="T1" fmla="*/ 0 h 92"/>
              <a:gd name="T2" fmla="*/ 0 w 91"/>
              <a:gd name="T3" fmla="*/ 39 h 92"/>
              <a:gd name="T4" fmla="*/ 91 w 91"/>
              <a:gd name="T5" fmla="*/ 92 h 92"/>
              <a:gd name="T6" fmla="*/ 38 w 91"/>
              <a:gd name="T7" fmla="*/ 0 h 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2">
                <a:moveTo>
                  <a:pt x="38" y="0"/>
                </a:moveTo>
                <a:lnTo>
                  <a:pt x="0" y="39"/>
                </a:lnTo>
                <a:lnTo>
                  <a:pt x="91" y="92"/>
                </a:lnTo>
                <a:lnTo>
                  <a:pt x="38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Freeform 457">
            <a:extLst>
              <a:ext uri="{FF2B5EF4-FFF2-40B4-BE49-F238E27FC236}">
                <a16:creationId xmlns:a16="http://schemas.microsoft.com/office/drawing/2014/main" id="{0E757D2E-3F75-4AE3-8C7B-A561EE6B29D6}"/>
              </a:ext>
            </a:extLst>
          </xdr:cNvPr>
          <xdr:cNvSpPr>
            <a:spLocks/>
          </xdr:cNvSpPr>
        </xdr:nvSpPr>
        <xdr:spPr bwMode="auto">
          <a:xfrm>
            <a:off x="1188" y="201"/>
            <a:ext cx="2" cy="1"/>
          </a:xfrm>
          <a:custGeom>
            <a:avLst/>
            <a:gdLst>
              <a:gd name="T0" fmla="*/ 15 w 106"/>
              <a:gd name="T1" fmla="*/ 0 h 53"/>
              <a:gd name="T2" fmla="*/ 0 w 106"/>
              <a:gd name="T3" fmla="*/ 53 h 53"/>
              <a:gd name="T4" fmla="*/ 106 w 106"/>
              <a:gd name="T5" fmla="*/ 53 h 53"/>
              <a:gd name="T6" fmla="*/ 15 w 106"/>
              <a:gd name="T7" fmla="*/ 0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3">
                <a:moveTo>
                  <a:pt x="15" y="0"/>
                </a:moveTo>
                <a:lnTo>
                  <a:pt x="0" y="53"/>
                </a:lnTo>
                <a:lnTo>
                  <a:pt x="106" y="53"/>
                </a:lnTo>
                <a:lnTo>
                  <a:pt x="15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" name="Freeform 458">
            <a:extLst>
              <a:ext uri="{FF2B5EF4-FFF2-40B4-BE49-F238E27FC236}">
                <a16:creationId xmlns:a16="http://schemas.microsoft.com/office/drawing/2014/main" id="{0DD245D7-C4A3-4CE9-8D06-7CA3A11C3E6F}"/>
              </a:ext>
            </a:extLst>
          </xdr:cNvPr>
          <xdr:cNvSpPr>
            <a:spLocks/>
          </xdr:cNvSpPr>
        </xdr:nvSpPr>
        <xdr:spPr bwMode="auto">
          <a:xfrm>
            <a:off x="1188" y="202"/>
            <a:ext cx="2" cy="1"/>
          </a:xfrm>
          <a:custGeom>
            <a:avLst/>
            <a:gdLst>
              <a:gd name="T0" fmla="*/ 0 w 106"/>
              <a:gd name="T1" fmla="*/ 0 h 52"/>
              <a:gd name="T2" fmla="*/ 15 w 106"/>
              <a:gd name="T3" fmla="*/ 52 h 52"/>
              <a:gd name="T4" fmla="*/ 106 w 106"/>
              <a:gd name="T5" fmla="*/ 0 h 52"/>
              <a:gd name="T6" fmla="*/ 0 w 106"/>
              <a:gd name="T7" fmla="*/ 0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2">
                <a:moveTo>
                  <a:pt x="0" y="0"/>
                </a:moveTo>
                <a:lnTo>
                  <a:pt x="15" y="52"/>
                </a:lnTo>
                <a:lnTo>
                  <a:pt x="106" y="0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" name="Freeform 459">
            <a:extLst>
              <a:ext uri="{FF2B5EF4-FFF2-40B4-BE49-F238E27FC236}">
                <a16:creationId xmlns:a16="http://schemas.microsoft.com/office/drawing/2014/main" id="{7B01CB26-F44D-4920-9E3C-F288F6C4FE58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1"/>
          </a:xfrm>
          <a:custGeom>
            <a:avLst/>
            <a:gdLst>
              <a:gd name="T0" fmla="*/ 0 w 91"/>
              <a:gd name="T1" fmla="*/ 52 h 91"/>
              <a:gd name="T2" fmla="*/ 38 w 91"/>
              <a:gd name="T3" fmla="*/ 91 h 91"/>
              <a:gd name="T4" fmla="*/ 91 w 91"/>
              <a:gd name="T5" fmla="*/ 0 h 91"/>
              <a:gd name="T6" fmla="*/ 0 w 91"/>
              <a:gd name="T7" fmla="*/ 52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0" y="52"/>
                </a:moveTo>
                <a:lnTo>
                  <a:pt x="38" y="91"/>
                </a:lnTo>
                <a:lnTo>
                  <a:pt x="91" y="0"/>
                </a:lnTo>
                <a:lnTo>
                  <a:pt x="0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" name="Freeform 460">
            <a:extLst>
              <a:ext uri="{FF2B5EF4-FFF2-40B4-BE49-F238E27FC236}">
                <a16:creationId xmlns:a16="http://schemas.microsoft.com/office/drawing/2014/main" id="{F7260279-4981-4844-BAD6-5A2327A6C8CE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2"/>
          </a:xfrm>
          <a:custGeom>
            <a:avLst/>
            <a:gdLst>
              <a:gd name="T0" fmla="*/ 0 w 53"/>
              <a:gd name="T1" fmla="*/ 91 h 105"/>
              <a:gd name="T2" fmla="*/ 53 w 53"/>
              <a:gd name="T3" fmla="*/ 105 h 105"/>
              <a:gd name="T4" fmla="*/ 53 w 53"/>
              <a:gd name="T5" fmla="*/ 0 h 105"/>
              <a:gd name="T6" fmla="*/ 0 w 53"/>
              <a:gd name="T7" fmla="*/ 9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91"/>
                </a:moveTo>
                <a:lnTo>
                  <a:pt x="53" y="105"/>
                </a:lnTo>
                <a:lnTo>
                  <a:pt x="53" y="0"/>
                </a:lnTo>
                <a:lnTo>
                  <a:pt x="0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" name="Freeform 461">
            <a:extLst>
              <a:ext uri="{FF2B5EF4-FFF2-40B4-BE49-F238E27FC236}">
                <a16:creationId xmlns:a16="http://schemas.microsoft.com/office/drawing/2014/main" id="{B68F4A57-DA0F-4D56-982A-B05BEA495A3C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1" cy="2"/>
          </a:xfrm>
          <a:custGeom>
            <a:avLst/>
            <a:gdLst>
              <a:gd name="T0" fmla="*/ 0 w 53"/>
              <a:gd name="T1" fmla="*/ 105 h 105"/>
              <a:gd name="T2" fmla="*/ 53 w 53"/>
              <a:gd name="T3" fmla="*/ 91 h 105"/>
              <a:gd name="T4" fmla="*/ 0 w 53"/>
              <a:gd name="T5" fmla="*/ 0 h 105"/>
              <a:gd name="T6" fmla="*/ 0 w 53"/>
              <a:gd name="T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105"/>
                </a:moveTo>
                <a:lnTo>
                  <a:pt x="53" y="91"/>
                </a:lnTo>
                <a:lnTo>
                  <a:pt x="0" y="0"/>
                </a:lnTo>
                <a:lnTo>
                  <a:pt x="0" y="105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4" name="Freeform 462">
            <a:extLst>
              <a:ext uri="{FF2B5EF4-FFF2-40B4-BE49-F238E27FC236}">
                <a16:creationId xmlns:a16="http://schemas.microsoft.com/office/drawing/2014/main" id="{FA60240D-25CF-4BBB-A232-BD1545898408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53 w 91"/>
              <a:gd name="T1" fmla="*/ 91 h 91"/>
              <a:gd name="T2" fmla="*/ 91 w 91"/>
              <a:gd name="T3" fmla="*/ 52 h 91"/>
              <a:gd name="T4" fmla="*/ 0 w 91"/>
              <a:gd name="T5" fmla="*/ 0 h 91"/>
              <a:gd name="T6" fmla="*/ 53 w 91"/>
              <a:gd name="T7" fmla="*/ 91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53" y="91"/>
                </a:moveTo>
                <a:lnTo>
                  <a:pt x="91" y="52"/>
                </a:lnTo>
                <a:lnTo>
                  <a:pt x="0" y="0"/>
                </a:lnTo>
                <a:lnTo>
                  <a:pt x="53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" name="Freeform 463">
            <a:extLst>
              <a:ext uri="{FF2B5EF4-FFF2-40B4-BE49-F238E27FC236}">
                <a16:creationId xmlns:a16="http://schemas.microsoft.com/office/drawing/2014/main" id="{94611CA8-B390-4378-9B23-AE7DC6BDAE81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91 w 105"/>
              <a:gd name="T1" fmla="*/ 52 h 52"/>
              <a:gd name="T2" fmla="*/ 105 w 105"/>
              <a:gd name="T3" fmla="*/ 0 h 52"/>
              <a:gd name="T4" fmla="*/ 0 w 105"/>
              <a:gd name="T5" fmla="*/ 0 h 52"/>
              <a:gd name="T6" fmla="*/ 91 w 105"/>
              <a:gd name="T7" fmla="*/ 52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5" h="52">
                <a:moveTo>
                  <a:pt x="91" y="52"/>
                </a:moveTo>
                <a:lnTo>
                  <a:pt x="105" y="0"/>
                </a:lnTo>
                <a:lnTo>
                  <a:pt x="0" y="0"/>
                </a:lnTo>
                <a:lnTo>
                  <a:pt x="91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" name="Line 464">
            <a:extLst>
              <a:ext uri="{FF2B5EF4-FFF2-40B4-BE49-F238E27FC236}">
                <a16:creationId xmlns:a16="http://schemas.microsoft.com/office/drawing/2014/main" id="{E7C4EF83-1A99-484C-988B-28800C0A34C8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465">
            <a:extLst>
              <a:ext uri="{FF2B5EF4-FFF2-40B4-BE49-F238E27FC236}">
                <a16:creationId xmlns:a16="http://schemas.microsoft.com/office/drawing/2014/main" id="{B02B81CF-C6E7-4853-9AEA-9BFEF929FCFF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466">
            <a:extLst>
              <a:ext uri="{FF2B5EF4-FFF2-40B4-BE49-F238E27FC236}">
                <a16:creationId xmlns:a16="http://schemas.microsoft.com/office/drawing/2014/main" id="{3DC8E555-AF6A-4532-81B6-02E1A53782CA}"/>
              </a:ext>
            </a:extLst>
          </xdr:cNvPr>
          <xdr:cNvSpPr>
            <a:spLocks noChangeShapeType="1"/>
          </xdr:cNvSpPr>
        </xdr:nvSpPr>
        <xdr:spPr bwMode="auto">
          <a:xfrm>
            <a:off x="842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Freeform 467">
            <a:extLst>
              <a:ext uri="{FF2B5EF4-FFF2-40B4-BE49-F238E27FC236}">
                <a16:creationId xmlns:a16="http://schemas.microsoft.com/office/drawing/2014/main" id="{D3BA79DE-6CE7-4F30-9139-5BC273E8A49A}"/>
              </a:ext>
            </a:extLst>
          </xdr:cNvPr>
          <xdr:cNvSpPr>
            <a:spLocks/>
          </xdr:cNvSpPr>
        </xdr:nvSpPr>
        <xdr:spPr bwMode="auto">
          <a:xfrm>
            <a:off x="833" y="268"/>
            <a:ext cx="9" cy="2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" name="Freeform 468">
            <a:extLst>
              <a:ext uri="{FF2B5EF4-FFF2-40B4-BE49-F238E27FC236}">
                <a16:creationId xmlns:a16="http://schemas.microsoft.com/office/drawing/2014/main" id="{AA33A4AD-2438-4FFC-A1EA-AF8D3F253A9B}"/>
              </a:ext>
            </a:extLst>
          </xdr:cNvPr>
          <xdr:cNvSpPr>
            <a:spLocks/>
          </xdr:cNvSpPr>
        </xdr:nvSpPr>
        <xdr:spPr bwMode="auto">
          <a:xfrm>
            <a:off x="922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1" name="Line 474">
            <a:extLst>
              <a:ext uri="{FF2B5EF4-FFF2-40B4-BE49-F238E27FC236}">
                <a16:creationId xmlns:a16="http://schemas.microsoft.com/office/drawing/2014/main" id="{86F8C309-CC90-42B2-877E-83E31363B0DB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75">
            <a:extLst>
              <a:ext uri="{FF2B5EF4-FFF2-40B4-BE49-F238E27FC236}">
                <a16:creationId xmlns:a16="http://schemas.microsoft.com/office/drawing/2014/main" id="{3AF4C25F-5537-4A9B-9F06-50452D25AA0E}"/>
              </a:ext>
            </a:extLst>
          </xdr:cNvPr>
          <xdr:cNvSpPr>
            <a:spLocks noChangeShapeType="1"/>
          </xdr:cNvSpPr>
        </xdr:nvSpPr>
        <xdr:spPr bwMode="auto">
          <a:xfrm>
            <a:off x="1029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76">
            <a:extLst>
              <a:ext uri="{FF2B5EF4-FFF2-40B4-BE49-F238E27FC236}">
                <a16:creationId xmlns:a16="http://schemas.microsoft.com/office/drawing/2014/main" id="{D5CB9B86-7256-426D-A6C0-C17E6FE000E9}"/>
              </a:ext>
            </a:extLst>
          </xdr:cNvPr>
          <xdr:cNvSpPr>
            <a:spLocks noChangeShapeType="1"/>
          </xdr:cNvSpPr>
        </xdr:nvSpPr>
        <xdr:spPr bwMode="auto">
          <a:xfrm>
            <a:off x="940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Freeform 477">
            <a:extLst>
              <a:ext uri="{FF2B5EF4-FFF2-40B4-BE49-F238E27FC236}">
                <a16:creationId xmlns:a16="http://schemas.microsoft.com/office/drawing/2014/main" id="{AC377C01-9D88-4CC0-993C-0D71D145D87C}"/>
              </a:ext>
            </a:extLst>
          </xdr:cNvPr>
          <xdr:cNvSpPr>
            <a:spLocks/>
          </xdr:cNvSpPr>
        </xdr:nvSpPr>
        <xdr:spPr bwMode="auto">
          <a:xfrm>
            <a:off x="931" y="268"/>
            <a:ext cx="9" cy="2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8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8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5" name="Freeform 478">
            <a:extLst>
              <a:ext uri="{FF2B5EF4-FFF2-40B4-BE49-F238E27FC236}">
                <a16:creationId xmlns:a16="http://schemas.microsoft.com/office/drawing/2014/main" id="{DE50E92C-3D0F-4132-B991-EB94DC4A8702}"/>
              </a:ext>
            </a:extLst>
          </xdr:cNvPr>
          <xdr:cNvSpPr>
            <a:spLocks/>
          </xdr:cNvSpPr>
        </xdr:nvSpPr>
        <xdr:spPr bwMode="auto">
          <a:xfrm>
            <a:off x="1020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6" name="Line 484">
            <a:extLst>
              <a:ext uri="{FF2B5EF4-FFF2-40B4-BE49-F238E27FC236}">
                <a16:creationId xmlns:a16="http://schemas.microsoft.com/office/drawing/2014/main" id="{2844DBFA-C1D7-4E24-8F02-333F75489EA2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89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485">
            <a:extLst>
              <a:ext uri="{FF2B5EF4-FFF2-40B4-BE49-F238E27FC236}">
                <a16:creationId xmlns:a16="http://schemas.microsoft.com/office/drawing/2014/main" id="{6486D1A6-CC5A-4183-B0DE-79D0DD47871C}"/>
              </a:ext>
            </a:extLst>
          </xdr:cNvPr>
          <xdr:cNvSpPr>
            <a:spLocks noChangeShapeType="1"/>
          </xdr:cNvSpPr>
        </xdr:nvSpPr>
        <xdr:spPr bwMode="auto">
          <a:xfrm>
            <a:off x="1190" y="299"/>
            <a:ext cx="0" cy="3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86">
            <a:extLst>
              <a:ext uri="{FF2B5EF4-FFF2-40B4-BE49-F238E27FC236}">
                <a16:creationId xmlns:a16="http://schemas.microsoft.com/office/drawing/2014/main" id="{C7D70167-7EEB-44CF-8F5A-B7BCF7E6E5ED}"/>
              </a:ext>
            </a:extLst>
          </xdr:cNvPr>
          <xdr:cNvSpPr>
            <a:spLocks noChangeShapeType="1"/>
          </xdr:cNvSpPr>
        </xdr:nvSpPr>
        <xdr:spPr bwMode="auto">
          <a:xfrm>
            <a:off x="842" y="325"/>
            <a:ext cx="339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Freeform 487">
            <a:extLst>
              <a:ext uri="{FF2B5EF4-FFF2-40B4-BE49-F238E27FC236}">
                <a16:creationId xmlns:a16="http://schemas.microsoft.com/office/drawing/2014/main" id="{0D616BBF-2956-441A-9C00-B09510E24DBC}"/>
              </a:ext>
            </a:extLst>
          </xdr:cNvPr>
          <xdr:cNvSpPr>
            <a:spLocks/>
          </xdr:cNvSpPr>
        </xdr:nvSpPr>
        <xdr:spPr bwMode="auto">
          <a:xfrm>
            <a:off x="833" y="323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" name="Freeform 488">
            <a:extLst>
              <a:ext uri="{FF2B5EF4-FFF2-40B4-BE49-F238E27FC236}">
                <a16:creationId xmlns:a16="http://schemas.microsoft.com/office/drawing/2014/main" id="{9EA769BE-FBE9-4DA1-9979-1B4BF99036AE}"/>
              </a:ext>
            </a:extLst>
          </xdr:cNvPr>
          <xdr:cNvSpPr>
            <a:spLocks/>
          </xdr:cNvSpPr>
        </xdr:nvSpPr>
        <xdr:spPr bwMode="auto">
          <a:xfrm>
            <a:off x="1181" y="323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" name="Line 494">
            <a:extLst>
              <a:ext uri="{FF2B5EF4-FFF2-40B4-BE49-F238E27FC236}">
                <a16:creationId xmlns:a16="http://schemas.microsoft.com/office/drawing/2014/main" id="{FF00B4CA-A843-4B96-94A2-8DECE09FB6CB}"/>
              </a:ext>
            </a:extLst>
          </xdr:cNvPr>
          <xdr:cNvSpPr>
            <a:spLocks noChangeShapeType="1"/>
          </xdr:cNvSpPr>
        </xdr:nvSpPr>
        <xdr:spPr bwMode="auto">
          <a:xfrm flipV="1">
            <a:off x="1029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495">
            <a:extLst>
              <a:ext uri="{FF2B5EF4-FFF2-40B4-BE49-F238E27FC236}">
                <a16:creationId xmlns:a16="http://schemas.microsoft.com/office/drawing/2014/main" id="{1F0CA13F-A132-4707-8E92-B0494827E8EF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496">
            <a:extLst>
              <a:ext uri="{FF2B5EF4-FFF2-40B4-BE49-F238E27FC236}">
                <a16:creationId xmlns:a16="http://schemas.microsoft.com/office/drawing/2014/main" id="{90E0C509-5581-4F8C-A47D-198F36258076}"/>
              </a:ext>
            </a:extLst>
          </xdr:cNvPr>
          <xdr:cNvSpPr>
            <a:spLocks noChangeShapeType="1"/>
          </xdr:cNvSpPr>
        </xdr:nvSpPr>
        <xdr:spPr bwMode="auto">
          <a:xfrm>
            <a:off x="1038" y="86"/>
            <a:ext cx="6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Freeform 497">
            <a:extLst>
              <a:ext uri="{FF2B5EF4-FFF2-40B4-BE49-F238E27FC236}">
                <a16:creationId xmlns:a16="http://schemas.microsoft.com/office/drawing/2014/main" id="{89A380D1-0CBB-48CD-B7E7-F41877FBE141}"/>
              </a:ext>
            </a:extLst>
          </xdr:cNvPr>
          <xdr:cNvSpPr>
            <a:spLocks/>
          </xdr:cNvSpPr>
        </xdr:nvSpPr>
        <xdr:spPr bwMode="auto">
          <a:xfrm>
            <a:off x="1029" y="84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7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7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" name="Freeform 498">
            <a:extLst>
              <a:ext uri="{FF2B5EF4-FFF2-40B4-BE49-F238E27FC236}">
                <a16:creationId xmlns:a16="http://schemas.microsoft.com/office/drawing/2014/main" id="{730F6878-6268-4EC8-A625-80AF5A8A1DD2}"/>
              </a:ext>
            </a:extLst>
          </xdr:cNvPr>
          <xdr:cNvSpPr>
            <a:spLocks/>
          </xdr:cNvSpPr>
        </xdr:nvSpPr>
        <xdr:spPr bwMode="auto">
          <a:xfrm>
            <a:off x="1103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" name="Line 504">
            <a:extLst>
              <a:ext uri="{FF2B5EF4-FFF2-40B4-BE49-F238E27FC236}">
                <a16:creationId xmlns:a16="http://schemas.microsoft.com/office/drawing/2014/main" id="{62D2E4C0-546C-4922-A1AB-00E5AEA40D61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505">
            <a:extLst>
              <a:ext uri="{FF2B5EF4-FFF2-40B4-BE49-F238E27FC236}">
                <a16:creationId xmlns:a16="http://schemas.microsoft.com/office/drawing/2014/main" id="{2370B614-2F33-46EA-8B6C-74F4080BC802}"/>
              </a:ext>
            </a:extLst>
          </xdr:cNvPr>
          <xdr:cNvSpPr>
            <a:spLocks noChangeShapeType="1"/>
          </xdr:cNvSpPr>
        </xdr:nvSpPr>
        <xdr:spPr bwMode="auto">
          <a:xfrm flipV="1">
            <a:off x="1190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506">
            <a:extLst>
              <a:ext uri="{FF2B5EF4-FFF2-40B4-BE49-F238E27FC236}">
                <a16:creationId xmlns:a16="http://schemas.microsoft.com/office/drawing/2014/main" id="{957D8756-8622-4A2D-AB26-004B778C853B}"/>
              </a:ext>
            </a:extLst>
          </xdr:cNvPr>
          <xdr:cNvSpPr>
            <a:spLocks noChangeShapeType="1"/>
          </xdr:cNvSpPr>
        </xdr:nvSpPr>
        <xdr:spPr bwMode="auto">
          <a:xfrm>
            <a:off x="1121" y="86"/>
            <a:ext cx="6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Freeform 507">
            <a:extLst>
              <a:ext uri="{FF2B5EF4-FFF2-40B4-BE49-F238E27FC236}">
                <a16:creationId xmlns:a16="http://schemas.microsoft.com/office/drawing/2014/main" id="{B2543D1B-1948-4481-91F3-83AA02D1253B}"/>
              </a:ext>
            </a:extLst>
          </xdr:cNvPr>
          <xdr:cNvSpPr>
            <a:spLocks/>
          </xdr:cNvSpPr>
        </xdr:nvSpPr>
        <xdr:spPr bwMode="auto">
          <a:xfrm>
            <a:off x="1112" y="84"/>
            <a:ext cx="9" cy="3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7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7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" name="Freeform 508">
            <a:extLst>
              <a:ext uri="{FF2B5EF4-FFF2-40B4-BE49-F238E27FC236}">
                <a16:creationId xmlns:a16="http://schemas.microsoft.com/office/drawing/2014/main" id="{B104E8C2-6FBD-4325-AB0A-99D9773C1752}"/>
              </a:ext>
            </a:extLst>
          </xdr:cNvPr>
          <xdr:cNvSpPr>
            <a:spLocks/>
          </xdr:cNvSpPr>
        </xdr:nvSpPr>
        <xdr:spPr bwMode="auto">
          <a:xfrm>
            <a:off x="1181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" name="Line 514">
            <a:extLst>
              <a:ext uri="{FF2B5EF4-FFF2-40B4-BE49-F238E27FC236}">
                <a16:creationId xmlns:a16="http://schemas.microsoft.com/office/drawing/2014/main" id="{056980A6-F3CA-4F16-A4AB-E59FD21DEEFA}"/>
              </a:ext>
            </a:extLst>
          </xdr:cNvPr>
          <xdr:cNvSpPr>
            <a:spLocks noChangeShapeType="1"/>
          </xdr:cNvSpPr>
        </xdr:nvSpPr>
        <xdr:spPr bwMode="auto">
          <a:xfrm>
            <a:off x="1226" y="107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15">
            <a:extLst>
              <a:ext uri="{FF2B5EF4-FFF2-40B4-BE49-F238E27FC236}">
                <a16:creationId xmlns:a16="http://schemas.microsoft.com/office/drawing/2014/main" id="{118829EF-BF82-4A1A-837E-E45080578102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516">
            <a:extLst>
              <a:ext uri="{FF2B5EF4-FFF2-40B4-BE49-F238E27FC236}">
                <a16:creationId xmlns:a16="http://schemas.microsoft.com/office/drawing/2014/main" id="{5AA7E25B-757A-4ABC-9C17-E2D8F127E632}"/>
              </a:ext>
            </a:extLst>
          </xdr:cNvPr>
          <xdr:cNvSpPr>
            <a:spLocks noChangeShapeType="1"/>
          </xdr:cNvSpPr>
        </xdr:nvSpPr>
        <xdr:spPr bwMode="auto">
          <a:xfrm>
            <a:off x="1240" y="116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517">
            <a:extLst>
              <a:ext uri="{FF2B5EF4-FFF2-40B4-BE49-F238E27FC236}">
                <a16:creationId xmlns:a16="http://schemas.microsoft.com/office/drawing/2014/main" id="{A5544059-4766-435B-9FB4-363DE56E4DD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16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518">
            <a:extLst>
              <a:ext uri="{FF2B5EF4-FFF2-40B4-BE49-F238E27FC236}">
                <a16:creationId xmlns:a16="http://schemas.microsoft.com/office/drawing/2014/main" id="{C9E5858E-2A91-4240-9D01-6354BCF439B0}"/>
              </a:ext>
            </a:extLst>
          </xdr:cNvPr>
          <xdr:cNvSpPr>
            <a:spLocks/>
          </xdr:cNvSpPr>
        </xdr:nvSpPr>
        <xdr:spPr bwMode="auto">
          <a:xfrm>
            <a:off x="1238" y="107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" name="Freeform 519">
            <a:extLst>
              <a:ext uri="{FF2B5EF4-FFF2-40B4-BE49-F238E27FC236}">
                <a16:creationId xmlns:a16="http://schemas.microsoft.com/office/drawing/2014/main" id="{99C35896-2582-4BCF-99DC-EBDA43961596}"/>
              </a:ext>
            </a:extLst>
          </xdr:cNvPr>
          <xdr:cNvSpPr>
            <a:spLocks/>
          </xdr:cNvSpPr>
        </xdr:nvSpPr>
        <xdr:spPr bwMode="auto">
          <a:xfrm>
            <a:off x="1238" y="193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7" name="Freeform 520">
            <a:extLst>
              <a:ext uri="{FF2B5EF4-FFF2-40B4-BE49-F238E27FC236}">
                <a16:creationId xmlns:a16="http://schemas.microsoft.com/office/drawing/2014/main" id="{4B69902D-7001-4EAF-AACF-A52BCE0F9DDB}"/>
              </a:ext>
            </a:extLst>
          </xdr:cNvPr>
          <xdr:cNvSpPr>
            <a:spLocks/>
          </xdr:cNvSpPr>
        </xdr:nvSpPr>
        <xdr:spPr bwMode="auto">
          <a:xfrm>
            <a:off x="1208" y="153"/>
            <a:ext cx="3" cy="5"/>
          </a:xfrm>
          <a:custGeom>
            <a:avLst/>
            <a:gdLst>
              <a:gd name="T0" fmla="*/ 140 w 210"/>
              <a:gd name="T1" fmla="*/ 280 h 280"/>
              <a:gd name="T2" fmla="*/ 70 w 210"/>
              <a:gd name="T3" fmla="*/ 280 h 280"/>
              <a:gd name="T4" fmla="*/ 0 w 210"/>
              <a:gd name="T5" fmla="*/ 210 h 280"/>
              <a:gd name="T6" fmla="*/ 0 w 210"/>
              <a:gd name="T7" fmla="*/ 70 h 280"/>
              <a:gd name="T8" fmla="*/ 70 w 210"/>
              <a:gd name="T9" fmla="*/ 0 h 280"/>
              <a:gd name="T10" fmla="*/ 140 w 210"/>
              <a:gd name="T11" fmla="*/ 0 h 280"/>
              <a:gd name="T12" fmla="*/ 210 w 210"/>
              <a:gd name="T13" fmla="*/ 70 h 280"/>
              <a:gd name="T14" fmla="*/ 210 w 210"/>
              <a:gd name="T15" fmla="*/ 210 h 280"/>
              <a:gd name="T16" fmla="*/ 140 w 21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0">
                <a:moveTo>
                  <a:pt x="14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10" y="70"/>
                </a:lnTo>
                <a:lnTo>
                  <a:pt x="210" y="210"/>
                </a:lnTo>
                <a:lnTo>
                  <a:pt x="140" y="28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Line 521">
            <a:extLst>
              <a:ext uri="{FF2B5EF4-FFF2-40B4-BE49-F238E27FC236}">
                <a16:creationId xmlns:a16="http://schemas.microsoft.com/office/drawing/2014/main" id="{DA6BAECF-2DE8-451C-B17C-E46B5E768084}"/>
              </a:ext>
            </a:extLst>
          </xdr:cNvPr>
          <xdr:cNvSpPr>
            <a:spLocks noChangeShapeType="1"/>
          </xdr:cNvSpPr>
        </xdr:nvSpPr>
        <xdr:spPr bwMode="auto">
          <a:xfrm>
            <a:off x="1211" y="157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522">
            <a:extLst>
              <a:ext uri="{FF2B5EF4-FFF2-40B4-BE49-F238E27FC236}">
                <a16:creationId xmlns:a16="http://schemas.microsoft.com/office/drawing/2014/main" id="{C4848434-60CA-4DD2-BCF9-228AE564318D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157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Freeform 523">
            <a:extLst>
              <a:ext uri="{FF2B5EF4-FFF2-40B4-BE49-F238E27FC236}">
                <a16:creationId xmlns:a16="http://schemas.microsoft.com/office/drawing/2014/main" id="{63AD5BF2-3C14-4954-889C-33140DB01FD0}"/>
              </a:ext>
            </a:extLst>
          </xdr:cNvPr>
          <xdr:cNvSpPr>
            <a:spLocks/>
          </xdr:cNvSpPr>
        </xdr:nvSpPr>
        <xdr:spPr bwMode="auto">
          <a:xfrm>
            <a:off x="1217" y="151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1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1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Line 524">
            <a:extLst>
              <a:ext uri="{FF2B5EF4-FFF2-40B4-BE49-F238E27FC236}">
                <a16:creationId xmlns:a16="http://schemas.microsoft.com/office/drawing/2014/main" id="{54EE8EEB-0403-44FB-B3EF-D46BA22AA2AC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151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Freeform 525">
            <a:extLst>
              <a:ext uri="{FF2B5EF4-FFF2-40B4-BE49-F238E27FC236}">
                <a16:creationId xmlns:a16="http://schemas.microsoft.com/office/drawing/2014/main" id="{6D991CF8-185B-485E-83D0-7D958278D0CA}"/>
              </a:ext>
            </a:extLst>
          </xdr:cNvPr>
          <xdr:cNvSpPr>
            <a:spLocks/>
          </xdr:cNvSpPr>
        </xdr:nvSpPr>
        <xdr:spPr bwMode="auto">
          <a:xfrm>
            <a:off x="1231" y="151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1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1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Line 526">
            <a:extLst>
              <a:ext uri="{FF2B5EF4-FFF2-40B4-BE49-F238E27FC236}">
                <a16:creationId xmlns:a16="http://schemas.microsoft.com/office/drawing/2014/main" id="{1BA2E20A-805D-4156-A15B-78825ABD347A}"/>
              </a:ext>
            </a:extLst>
          </xdr:cNvPr>
          <xdr:cNvSpPr>
            <a:spLocks noChangeShapeType="1"/>
          </xdr:cNvSpPr>
        </xdr:nvSpPr>
        <xdr:spPr bwMode="auto">
          <a:xfrm>
            <a:off x="1239" y="153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527">
            <a:extLst>
              <a:ext uri="{FF2B5EF4-FFF2-40B4-BE49-F238E27FC236}">
                <a16:creationId xmlns:a16="http://schemas.microsoft.com/office/drawing/2014/main" id="{7B1098F1-0DAA-461E-90B1-B89AC8AFEB02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156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534">
            <a:extLst>
              <a:ext uri="{FF2B5EF4-FFF2-40B4-BE49-F238E27FC236}">
                <a16:creationId xmlns:a16="http://schemas.microsoft.com/office/drawing/2014/main" id="{47242FA8-63D7-4155-A710-1CEEBB7F6A30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535">
            <a:extLst>
              <a:ext uri="{FF2B5EF4-FFF2-40B4-BE49-F238E27FC236}">
                <a16:creationId xmlns:a16="http://schemas.microsoft.com/office/drawing/2014/main" id="{F40F50C8-E70F-47E6-BBE4-E052DFBD12B3}"/>
              </a:ext>
            </a:extLst>
          </xdr:cNvPr>
          <xdr:cNvSpPr>
            <a:spLocks noChangeShapeType="1"/>
          </xdr:cNvSpPr>
        </xdr:nvSpPr>
        <xdr:spPr bwMode="auto">
          <a:xfrm>
            <a:off x="1226" y="296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536">
            <a:extLst>
              <a:ext uri="{FF2B5EF4-FFF2-40B4-BE49-F238E27FC236}">
                <a16:creationId xmlns:a16="http://schemas.microsoft.com/office/drawing/2014/main" id="{9E1BC599-6E3F-4F88-AFB7-F879BD9B38C1}"/>
              </a:ext>
            </a:extLst>
          </xdr:cNvPr>
          <xdr:cNvSpPr>
            <a:spLocks noChangeShapeType="1"/>
          </xdr:cNvSpPr>
        </xdr:nvSpPr>
        <xdr:spPr bwMode="auto">
          <a:xfrm>
            <a:off x="1240" y="211"/>
            <a:ext cx="0" cy="3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537">
            <a:extLst>
              <a:ext uri="{FF2B5EF4-FFF2-40B4-BE49-F238E27FC236}">
                <a16:creationId xmlns:a16="http://schemas.microsoft.com/office/drawing/2014/main" id="{F84629A9-E79D-48B7-AA88-E61949A6005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255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Freeform 538">
            <a:extLst>
              <a:ext uri="{FF2B5EF4-FFF2-40B4-BE49-F238E27FC236}">
                <a16:creationId xmlns:a16="http://schemas.microsoft.com/office/drawing/2014/main" id="{37427F1F-5E02-49CF-BD8C-67929B0D49A8}"/>
              </a:ext>
            </a:extLst>
          </xdr:cNvPr>
          <xdr:cNvSpPr>
            <a:spLocks/>
          </xdr:cNvSpPr>
        </xdr:nvSpPr>
        <xdr:spPr bwMode="auto">
          <a:xfrm>
            <a:off x="123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0" name="Freeform 539">
            <a:extLst>
              <a:ext uri="{FF2B5EF4-FFF2-40B4-BE49-F238E27FC236}">
                <a16:creationId xmlns:a16="http://schemas.microsoft.com/office/drawing/2014/main" id="{B560727A-C469-41FD-9C55-6D7B0293B909}"/>
              </a:ext>
            </a:extLst>
          </xdr:cNvPr>
          <xdr:cNvSpPr>
            <a:spLocks/>
          </xdr:cNvSpPr>
        </xdr:nvSpPr>
        <xdr:spPr bwMode="auto">
          <a:xfrm>
            <a:off x="1238" y="288"/>
            <a:ext cx="3" cy="8"/>
          </a:xfrm>
          <a:custGeom>
            <a:avLst/>
            <a:gdLst>
              <a:gd name="T0" fmla="*/ 0 w 175"/>
              <a:gd name="T1" fmla="*/ 0 h 526"/>
              <a:gd name="T2" fmla="*/ 175 w 175"/>
              <a:gd name="T3" fmla="*/ 0 h 526"/>
              <a:gd name="T4" fmla="*/ 88 w 175"/>
              <a:gd name="T5" fmla="*/ 526 h 526"/>
              <a:gd name="T6" fmla="*/ 0 w 175"/>
              <a:gd name="T7" fmla="*/ 0 h 5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6">
                <a:moveTo>
                  <a:pt x="0" y="0"/>
                </a:moveTo>
                <a:lnTo>
                  <a:pt x="175" y="0"/>
                </a:lnTo>
                <a:lnTo>
                  <a:pt x="88" y="526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" name="Freeform 540">
            <a:extLst>
              <a:ext uri="{FF2B5EF4-FFF2-40B4-BE49-F238E27FC236}">
                <a16:creationId xmlns:a16="http://schemas.microsoft.com/office/drawing/2014/main" id="{74BAEC59-FF0C-4AD4-A742-8691CBF5F7F8}"/>
              </a:ext>
            </a:extLst>
          </xdr:cNvPr>
          <xdr:cNvSpPr>
            <a:spLocks/>
          </xdr:cNvSpPr>
        </xdr:nvSpPr>
        <xdr:spPr bwMode="auto">
          <a:xfrm>
            <a:off x="1208" y="248"/>
            <a:ext cx="3" cy="5"/>
          </a:xfrm>
          <a:custGeom>
            <a:avLst/>
            <a:gdLst>
              <a:gd name="T0" fmla="*/ 140 w 210"/>
              <a:gd name="T1" fmla="*/ 281 h 281"/>
              <a:gd name="T2" fmla="*/ 70 w 210"/>
              <a:gd name="T3" fmla="*/ 281 h 281"/>
              <a:gd name="T4" fmla="*/ 0 w 210"/>
              <a:gd name="T5" fmla="*/ 211 h 281"/>
              <a:gd name="T6" fmla="*/ 0 w 210"/>
              <a:gd name="T7" fmla="*/ 71 h 281"/>
              <a:gd name="T8" fmla="*/ 70 w 210"/>
              <a:gd name="T9" fmla="*/ 0 h 281"/>
              <a:gd name="T10" fmla="*/ 140 w 210"/>
              <a:gd name="T11" fmla="*/ 0 h 281"/>
              <a:gd name="T12" fmla="*/ 210 w 210"/>
              <a:gd name="T13" fmla="*/ 71 h 281"/>
              <a:gd name="T14" fmla="*/ 210 w 210"/>
              <a:gd name="T15" fmla="*/ 211 h 281"/>
              <a:gd name="T16" fmla="*/ 140 w 210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1">
                <a:moveTo>
                  <a:pt x="140" y="281"/>
                </a:moveTo>
                <a:lnTo>
                  <a:pt x="70" y="281"/>
                </a:lnTo>
                <a:lnTo>
                  <a:pt x="0" y="211"/>
                </a:lnTo>
                <a:lnTo>
                  <a:pt x="0" y="71"/>
                </a:lnTo>
                <a:lnTo>
                  <a:pt x="70" y="0"/>
                </a:lnTo>
                <a:lnTo>
                  <a:pt x="140" y="0"/>
                </a:lnTo>
                <a:lnTo>
                  <a:pt x="210" y="71"/>
                </a:lnTo>
                <a:lnTo>
                  <a:pt x="210" y="211"/>
                </a:lnTo>
                <a:lnTo>
                  <a:pt x="140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Line 541">
            <a:extLst>
              <a:ext uri="{FF2B5EF4-FFF2-40B4-BE49-F238E27FC236}">
                <a16:creationId xmlns:a16="http://schemas.microsoft.com/office/drawing/2014/main" id="{88991006-2979-405C-B6C3-CC8CD031036B}"/>
              </a:ext>
            </a:extLst>
          </xdr:cNvPr>
          <xdr:cNvSpPr>
            <a:spLocks noChangeShapeType="1"/>
          </xdr:cNvSpPr>
        </xdr:nvSpPr>
        <xdr:spPr bwMode="auto">
          <a:xfrm>
            <a:off x="1211" y="252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542">
            <a:extLst>
              <a:ext uri="{FF2B5EF4-FFF2-40B4-BE49-F238E27FC236}">
                <a16:creationId xmlns:a16="http://schemas.microsoft.com/office/drawing/2014/main" id="{CB295DCD-3C8D-44AC-A546-1D1554AB937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252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Freeform 543">
            <a:extLst>
              <a:ext uri="{FF2B5EF4-FFF2-40B4-BE49-F238E27FC236}">
                <a16:creationId xmlns:a16="http://schemas.microsoft.com/office/drawing/2014/main" id="{FDB72E6D-7973-462F-9CAA-D4978B5C4ADA}"/>
              </a:ext>
            </a:extLst>
          </xdr:cNvPr>
          <xdr:cNvSpPr>
            <a:spLocks/>
          </xdr:cNvSpPr>
        </xdr:nvSpPr>
        <xdr:spPr bwMode="auto">
          <a:xfrm>
            <a:off x="1217" y="246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0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0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544">
            <a:extLst>
              <a:ext uri="{FF2B5EF4-FFF2-40B4-BE49-F238E27FC236}">
                <a16:creationId xmlns:a16="http://schemas.microsoft.com/office/drawing/2014/main" id="{A6698F59-40EF-4B77-A3C4-A44892E8115C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246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Freeform 545">
            <a:extLst>
              <a:ext uri="{FF2B5EF4-FFF2-40B4-BE49-F238E27FC236}">
                <a16:creationId xmlns:a16="http://schemas.microsoft.com/office/drawing/2014/main" id="{44DEDCA4-7C6A-49A3-BE7E-7F12DD9D0758}"/>
              </a:ext>
            </a:extLst>
          </xdr:cNvPr>
          <xdr:cNvSpPr>
            <a:spLocks/>
          </xdr:cNvSpPr>
        </xdr:nvSpPr>
        <xdr:spPr bwMode="auto">
          <a:xfrm>
            <a:off x="1231" y="246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0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0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7" name="Line 546">
            <a:extLst>
              <a:ext uri="{FF2B5EF4-FFF2-40B4-BE49-F238E27FC236}">
                <a16:creationId xmlns:a16="http://schemas.microsoft.com/office/drawing/2014/main" id="{AC5C96C4-53C9-4A22-BB43-5B5A708D7D79}"/>
              </a:ext>
            </a:extLst>
          </xdr:cNvPr>
          <xdr:cNvSpPr>
            <a:spLocks noChangeShapeType="1"/>
          </xdr:cNvSpPr>
        </xdr:nvSpPr>
        <xdr:spPr bwMode="auto">
          <a:xfrm>
            <a:off x="1239" y="248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547">
            <a:extLst>
              <a:ext uri="{FF2B5EF4-FFF2-40B4-BE49-F238E27FC236}">
                <a16:creationId xmlns:a16="http://schemas.microsoft.com/office/drawing/2014/main" id="{34B80350-0B46-4D7A-BA24-40DAD31B5185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250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554">
            <a:extLst>
              <a:ext uri="{FF2B5EF4-FFF2-40B4-BE49-F238E27FC236}">
                <a16:creationId xmlns:a16="http://schemas.microsoft.com/office/drawing/2014/main" id="{B8336FA7-CAC1-448C-9599-5FEEC91B8E5A}"/>
              </a:ext>
            </a:extLst>
          </xdr:cNvPr>
          <xdr:cNvSpPr>
            <a:spLocks noChangeShapeType="1"/>
          </xdr:cNvSpPr>
        </xdr:nvSpPr>
        <xdr:spPr bwMode="auto">
          <a:xfrm>
            <a:off x="1192" y="238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555">
            <a:extLst>
              <a:ext uri="{FF2B5EF4-FFF2-40B4-BE49-F238E27FC236}">
                <a16:creationId xmlns:a16="http://schemas.microsoft.com/office/drawing/2014/main" id="{1D8E5594-F0CF-470B-BB5B-4061A25DEDF1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56">
            <a:extLst>
              <a:ext uri="{FF2B5EF4-FFF2-40B4-BE49-F238E27FC236}">
                <a16:creationId xmlns:a16="http://schemas.microsoft.com/office/drawing/2014/main" id="{41B7FA1B-AB4D-4EB7-9166-5912D312F8FB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9" y="226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57">
            <a:extLst>
              <a:ext uri="{FF2B5EF4-FFF2-40B4-BE49-F238E27FC236}">
                <a16:creationId xmlns:a16="http://schemas.microsoft.com/office/drawing/2014/main" id="{7B1C06E4-98B9-462B-8313-D4E2105B68CC}"/>
              </a:ext>
            </a:extLst>
          </xdr:cNvPr>
          <xdr:cNvSpPr>
            <a:spLocks noChangeShapeType="1"/>
          </xdr:cNvSpPr>
        </xdr:nvSpPr>
        <xdr:spPr bwMode="auto">
          <a:xfrm>
            <a:off x="1209" y="211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558">
            <a:extLst>
              <a:ext uri="{FF2B5EF4-FFF2-40B4-BE49-F238E27FC236}">
                <a16:creationId xmlns:a16="http://schemas.microsoft.com/office/drawing/2014/main" id="{82E4DB5C-59AB-4393-83A2-3A3BE90C2F11}"/>
              </a:ext>
            </a:extLst>
          </xdr:cNvPr>
          <xdr:cNvSpPr>
            <a:spLocks/>
          </xdr:cNvSpPr>
        </xdr:nvSpPr>
        <xdr:spPr bwMode="auto">
          <a:xfrm>
            <a:off x="1208" y="229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4" name="Freeform 559">
            <a:extLst>
              <a:ext uri="{FF2B5EF4-FFF2-40B4-BE49-F238E27FC236}">
                <a16:creationId xmlns:a16="http://schemas.microsoft.com/office/drawing/2014/main" id="{C87BC4E5-73BB-4CC8-9EF1-1D64A3B5F3F1}"/>
              </a:ext>
            </a:extLst>
          </xdr:cNvPr>
          <xdr:cNvSpPr>
            <a:spLocks/>
          </xdr:cNvSpPr>
        </xdr:nvSpPr>
        <xdr:spPr bwMode="auto">
          <a:xfrm>
            <a:off x="120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" name="Line 564">
            <a:extLst>
              <a:ext uri="{FF2B5EF4-FFF2-40B4-BE49-F238E27FC236}">
                <a16:creationId xmlns:a16="http://schemas.microsoft.com/office/drawing/2014/main" id="{7573442C-A587-4F5D-8855-7095ED897A05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38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65">
            <a:extLst>
              <a:ext uri="{FF2B5EF4-FFF2-40B4-BE49-F238E27FC236}">
                <a16:creationId xmlns:a16="http://schemas.microsoft.com/office/drawing/2014/main" id="{A25BB02F-CDA6-42E1-AA65-E09FBFA74967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02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66">
            <a:extLst>
              <a:ext uri="{FF2B5EF4-FFF2-40B4-BE49-F238E27FC236}">
                <a16:creationId xmlns:a16="http://schemas.microsoft.com/office/drawing/2014/main" id="{765F7DAF-952E-4EC8-B940-489942FD4203}"/>
              </a:ext>
            </a:extLst>
          </xdr:cNvPr>
          <xdr:cNvSpPr>
            <a:spLocks noChangeShapeType="1"/>
          </xdr:cNvSpPr>
        </xdr:nvSpPr>
        <xdr:spPr bwMode="auto">
          <a:xfrm flipV="1">
            <a:off x="793" y="228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567">
            <a:extLst>
              <a:ext uri="{FF2B5EF4-FFF2-40B4-BE49-F238E27FC236}">
                <a16:creationId xmlns:a16="http://schemas.microsoft.com/office/drawing/2014/main" id="{C09449E9-BFD8-4968-B030-97E94E82003F}"/>
              </a:ext>
            </a:extLst>
          </xdr:cNvPr>
          <xdr:cNvSpPr>
            <a:spLocks noChangeShapeType="1"/>
          </xdr:cNvSpPr>
        </xdr:nvSpPr>
        <xdr:spPr bwMode="auto">
          <a:xfrm>
            <a:off x="793" y="211"/>
            <a:ext cx="0" cy="5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Freeform 568">
            <a:extLst>
              <a:ext uri="{FF2B5EF4-FFF2-40B4-BE49-F238E27FC236}">
                <a16:creationId xmlns:a16="http://schemas.microsoft.com/office/drawing/2014/main" id="{269DEE60-41CC-4EFF-9D6A-7C4C15976424}"/>
              </a:ext>
            </a:extLst>
          </xdr:cNvPr>
          <xdr:cNvSpPr>
            <a:spLocks/>
          </xdr:cNvSpPr>
        </xdr:nvSpPr>
        <xdr:spPr bwMode="auto">
          <a:xfrm>
            <a:off x="791" y="229"/>
            <a:ext cx="3" cy="9"/>
          </a:xfrm>
          <a:custGeom>
            <a:avLst/>
            <a:gdLst>
              <a:gd name="T0" fmla="*/ 0 w 176"/>
              <a:gd name="T1" fmla="*/ 0 h 527"/>
              <a:gd name="T2" fmla="*/ 176 w 176"/>
              <a:gd name="T3" fmla="*/ 0 h 527"/>
              <a:gd name="T4" fmla="*/ 89 w 176"/>
              <a:gd name="T5" fmla="*/ 527 h 527"/>
              <a:gd name="T6" fmla="*/ 0 w 176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0"/>
                </a:moveTo>
                <a:lnTo>
                  <a:pt x="176" y="0"/>
                </a:lnTo>
                <a:lnTo>
                  <a:pt x="89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0" name="Freeform 569">
            <a:extLst>
              <a:ext uri="{FF2B5EF4-FFF2-40B4-BE49-F238E27FC236}">
                <a16:creationId xmlns:a16="http://schemas.microsoft.com/office/drawing/2014/main" id="{7012CCE3-9786-4091-9768-A56DFFA173FA}"/>
              </a:ext>
            </a:extLst>
          </xdr:cNvPr>
          <xdr:cNvSpPr>
            <a:spLocks/>
          </xdr:cNvSpPr>
        </xdr:nvSpPr>
        <xdr:spPr bwMode="auto">
          <a:xfrm>
            <a:off x="791" y="202"/>
            <a:ext cx="3" cy="9"/>
          </a:xfrm>
          <a:custGeom>
            <a:avLst/>
            <a:gdLst>
              <a:gd name="T0" fmla="*/ 0 w 176"/>
              <a:gd name="T1" fmla="*/ 527 h 527"/>
              <a:gd name="T2" fmla="*/ 176 w 176"/>
              <a:gd name="T3" fmla="*/ 527 h 527"/>
              <a:gd name="T4" fmla="*/ 89 w 176"/>
              <a:gd name="T5" fmla="*/ 0 h 527"/>
              <a:gd name="T6" fmla="*/ 0 w 176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527"/>
                </a:moveTo>
                <a:lnTo>
                  <a:pt x="176" y="527"/>
                </a:lnTo>
                <a:lnTo>
                  <a:pt x="89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1" name="Freeform 570">
            <a:extLst>
              <a:ext uri="{FF2B5EF4-FFF2-40B4-BE49-F238E27FC236}">
                <a16:creationId xmlns:a16="http://schemas.microsoft.com/office/drawing/2014/main" id="{EAEF3F1B-5469-4B0E-A253-7C124BAC9034}"/>
              </a:ext>
            </a:extLst>
          </xdr:cNvPr>
          <xdr:cNvSpPr>
            <a:spLocks/>
          </xdr:cNvSpPr>
        </xdr:nvSpPr>
        <xdr:spPr bwMode="auto">
          <a:xfrm>
            <a:off x="760" y="221"/>
            <a:ext cx="4" cy="5"/>
          </a:xfrm>
          <a:custGeom>
            <a:avLst/>
            <a:gdLst>
              <a:gd name="T0" fmla="*/ 141 w 211"/>
              <a:gd name="T1" fmla="*/ 281 h 281"/>
              <a:gd name="T2" fmla="*/ 71 w 211"/>
              <a:gd name="T3" fmla="*/ 281 h 281"/>
              <a:gd name="T4" fmla="*/ 0 w 211"/>
              <a:gd name="T5" fmla="*/ 210 h 281"/>
              <a:gd name="T6" fmla="*/ 0 w 211"/>
              <a:gd name="T7" fmla="*/ 70 h 281"/>
              <a:gd name="T8" fmla="*/ 71 w 211"/>
              <a:gd name="T9" fmla="*/ 0 h 281"/>
              <a:gd name="T10" fmla="*/ 141 w 211"/>
              <a:gd name="T11" fmla="*/ 0 h 281"/>
              <a:gd name="T12" fmla="*/ 211 w 211"/>
              <a:gd name="T13" fmla="*/ 70 h 281"/>
              <a:gd name="T14" fmla="*/ 211 w 211"/>
              <a:gd name="T15" fmla="*/ 210 h 281"/>
              <a:gd name="T16" fmla="*/ 141 w 21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1" h="281">
                <a:moveTo>
                  <a:pt x="141" y="281"/>
                </a:moveTo>
                <a:lnTo>
                  <a:pt x="71" y="281"/>
                </a:lnTo>
                <a:lnTo>
                  <a:pt x="0" y="210"/>
                </a:lnTo>
                <a:lnTo>
                  <a:pt x="0" y="70"/>
                </a:lnTo>
                <a:lnTo>
                  <a:pt x="71" y="0"/>
                </a:lnTo>
                <a:lnTo>
                  <a:pt x="141" y="0"/>
                </a:lnTo>
                <a:lnTo>
                  <a:pt x="211" y="70"/>
                </a:lnTo>
                <a:lnTo>
                  <a:pt x="211" y="210"/>
                </a:lnTo>
                <a:lnTo>
                  <a:pt x="141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2" name="Line 571">
            <a:extLst>
              <a:ext uri="{FF2B5EF4-FFF2-40B4-BE49-F238E27FC236}">
                <a16:creationId xmlns:a16="http://schemas.microsoft.com/office/drawing/2014/main" id="{6846C90E-58AF-4647-89CA-CC50EAF0F146}"/>
              </a:ext>
            </a:extLst>
          </xdr:cNvPr>
          <xdr:cNvSpPr>
            <a:spLocks noChangeShapeType="1"/>
          </xdr:cNvSpPr>
        </xdr:nvSpPr>
        <xdr:spPr bwMode="auto">
          <a:xfrm>
            <a:off x="764" y="224"/>
            <a:ext cx="1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572">
            <a:extLst>
              <a:ext uri="{FF2B5EF4-FFF2-40B4-BE49-F238E27FC236}">
                <a16:creationId xmlns:a16="http://schemas.microsoft.com/office/drawing/2014/main" id="{40DA508A-E305-4ED9-8A2F-C165E993F4CE}"/>
              </a:ext>
            </a:extLst>
          </xdr:cNvPr>
          <xdr:cNvSpPr>
            <a:spLocks noChangeShapeType="1"/>
          </xdr:cNvSpPr>
        </xdr:nvSpPr>
        <xdr:spPr bwMode="auto">
          <a:xfrm flipV="1">
            <a:off x="768" y="224"/>
            <a:ext cx="0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573">
            <a:extLst>
              <a:ext uri="{FF2B5EF4-FFF2-40B4-BE49-F238E27FC236}">
                <a16:creationId xmlns:a16="http://schemas.microsoft.com/office/drawing/2014/main" id="{F4188C4F-C148-446F-AC8C-5B09D04B954D}"/>
              </a:ext>
            </a:extLst>
          </xdr:cNvPr>
          <xdr:cNvSpPr>
            <a:spLocks noChangeShapeType="1"/>
          </xdr:cNvSpPr>
        </xdr:nvSpPr>
        <xdr:spPr bwMode="auto">
          <a:xfrm flipV="1">
            <a:off x="770" y="219"/>
            <a:ext cx="0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Freeform 574">
            <a:extLst>
              <a:ext uri="{FF2B5EF4-FFF2-40B4-BE49-F238E27FC236}">
                <a16:creationId xmlns:a16="http://schemas.microsoft.com/office/drawing/2014/main" id="{A7014ED2-3184-42C7-9679-EB60012AA9F4}"/>
              </a:ext>
            </a:extLst>
          </xdr:cNvPr>
          <xdr:cNvSpPr>
            <a:spLocks/>
          </xdr:cNvSpPr>
        </xdr:nvSpPr>
        <xdr:spPr bwMode="auto">
          <a:xfrm>
            <a:off x="770" y="221"/>
            <a:ext cx="5" cy="5"/>
          </a:xfrm>
          <a:custGeom>
            <a:avLst/>
            <a:gdLst>
              <a:gd name="T0" fmla="*/ 0 w 281"/>
              <a:gd name="T1" fmla="*/ 140 h 281"/>
              <a:gd name="T2" fmla="*/ 140 w 281"/>
              <a:gd name="T3" fmla="*/ 0 h 281"/>
              <a:gd name="T4" fmla="*/ 210 w 281"/>
              <a:gd name="T5" fmla="*/ 0 h 281"/>
              <a:gd name="T6" fmla="*/ 281 w 281"/>
              <a:gd name="T7" fmla="*/ 70 h 281"/>
              <a:gd name="T8" fmla="*/ 281 w 281"/>
              <a:gd name="T9" fmla="*/ 210 h 281"/>
              <a:gd name="T10" fmla="*/ 210 w 281"/>
              <a:gd name="T11" fmla="*/ 281 h 281"/>
              <a:gd name="T12" fmla="*/ 140 w 281"/>
              <a:gd name="T13" fmla="*/ 281 h 281"/>
              <a:gd name="T14" fmla="*/ 0 w 281"/>
              <a:gd name="T15" fmla="*/ 140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1"/>
                </a:lnTo>
                <a:lnTo>
                  <a:pt x="140" y="281"/>
                </a:lnTo>
                <a:lnTo>
                  <a:pt x="0" y="14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Line 575">
            <a:extLst>
              <a:ext uri="{FF2B5EF4-FFF2-40B4-BE49-F238E27FC236}">
                <a16:creationId xmlns:a16="http://schemas.microsoft.com/office/drawing/2014/main" id="{8520929D-2F48-4483-B7B1-43BBB4EC5616}"/>
              </a:ext>
            </a:extLst>
          </xdr:cNvPr>
          <xdr:cNvSpPr>
            <a:spLocks noChangeShapeType="1"/>
          </xdr:cNvSpPr>
        </xdr:nvSpPr>
        <xdr:spPr bwMode="auto">
          <a:xfrm flipV="1">
            <a:off x="777" y="219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Freeform 576">
            <a:extLst>
              <a:ext uri="{FF2B5EF4-FFF2-40B4-BE49-F238E27FC236}">
                <a16:creationId xmlns:a16="http://schemas.microsoft.com/office/drawing/2014/main" id="{E40097AB-8B0A-47E4-8FFE-58B9E68CDAC2}"/>
              </a:ext>
            </a:extLst>
          </xdr:cNvPr>
          <xdr:cNvSpPr>
            <a:spLocks/>
          </xdr:cNvSpPr>
        </xdr:nvSpPr>
        <xdr:spPr bwMode="auto">
          <a:xfrm>
            <a:off x="784" y="219"/>
            <a:ext cx="5" cy="7"/>
          </a:xfrm>
          <a:custGeom>
            <a:avLst/>
            <a:gdLst>
              <a:gd name="T0" fmla="*/ 0 w 280"/>
              <a:gd name="T1" fmla="*/ 71 h 422"/>
              <a:gd name="T2" fmla="*/ 70 w 280"/>
              <a:gd name="T3" fmla="*/ 0 h 422"/>
              <a:gd name="T4" fmla="*/ 210 w 280"/>
              <a:gd name="T5" fmla="*/ 0 h 422"/>
              <a:gd name="T6" fmla="*/ 280 w 280"/>
              <a:gd name="T7" fmla="*/ 71 h 422"/>
              <a:gd name="T8" fmla="*/ 280 w 280"/>
              <a:gd name="T9" fmla="*/ 141 h 422"/>
              <a:gd name="T10" fmla="*/ 210 w 280"/>
              <a:gd name="T11" fmla="*/ 211 h 422"/>
              <a:gd name="T12" fmla="*/ 70 w 280"/>
              <a:gd name="T13" fmla="*/ 211 h 422"/>
              <a:gd name="T14" fmla="*/ 0 w 280"/>
              <a:gd name="T15" fmla="*/ 281 h 422"/>
              <a:gd name="T16" fmla="*/ 0 w 280"/>
              <a:gd name="T17" fmla="*/ 422 h 422"/>
              <a:gd name="T18" fmla="*/ 280 w 280"/>
              <a:gd name="T19" fmla="*/ 42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0" h="422">
                <a:moveTo>
                  <a:pt x="0" y="71"/>
                </a:move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141"/>
                </a:lnTo>
                <a:lnTo>
                  <a:pt x="210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2"/>
                </a:lnTo>
                <a:lnTo>
                  <a:pt x="280" y="422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Line 577">
            <a:extLst>
              <a:ext uri="{FF2B5EF4-FFF2-40B4-BE49-F238E27FC236}">
                <a16:creationId xmlns:a16="http://schemas.microsoft.com/office/drawing/2014/main" id="{B79B2C96-7961-415E-9D33-AED9562598F8}"/>
              </a:ext>
            </a:extLst>
          </xdr:cNvPr>
          <xdr:cNvSpPr>
            <a:spLocks noChangeShapeType="1"/>
          </xdr:cNvSpPr>
        </xdr:nvSpPr>
        <xdr:spPr bwMode="auto">
          <a:xfrm>
            <a:off x="791" y="221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578">
            <a:extLst>
              <a:ext uri="{FF2B5EF4-FFF2-40B4-BE49-F238E27FC236}">
                <a16:creationId xmlns:a16="http://schemas.microsoft.com/office/drawing/2014/main" id="{C65DF5E1-381E-47CD-8ED5-960A29B6006D}"/>
              </a:ext>
            </a:extLst>
          </xdr:cNvPr>
          <xdr:cNvSpPr>
            <a:spLocks noChangeShapeType="1"/>
          </xdr:cNvSpPr>
        </xdr:nvSpPr>
        <xdr:spPr bwMode="auto">
          <a:xfrm flipH="1">
            <a:off x="791" y="223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Freeform 586">
            <a:extLst>
              <a:ext uri="{FF2B5EF4-FFF2-40B4-BE49-F238E27FC236}">
                <a16:creationId xmlns:a16="http://schemas.microsoft.com/office/drawing/2014/main" id="{CC5D7008-475E-4EA5-B0F9-B14E9EFDC987}"/>
              </a:ext>
            </a:extLst>
          </xdr:cNvPr>
          <xdr:cNvSpPr>
            <a:spLocks/>
          </xdr:cNvSpPr>
        </xdr:nvSpPr>
        <xdr:spPr bwMode="auto">
          <a:xfrm>
            <a:off x="1201" y="96"/>
            <a:ext cx="4" cy="4"/>
          </a:xfrm>
          <a:custGeom>
            <a:avLst/>
            <a:gdLst>
              <a:gd name="T0" fmla="*/ 0 w 282"/>
              <a:gd name="T1" fmla="*/ 210 h 210"/>
              <a:gd name="T2" fmla="*/ 212 w 282"/>
              <a:gd name="T3" fmla="*/ 210 h 210"/>
              <a:gd name="T4" fmla="*/ 282 w 282"/>
              <a:gd name="T5" fmla="*/ 140 h 210"/>
              <a:gd name="T6" fmla="*/ 282 w 282"/>
              <a:gd name="T7" fmla="*/ 70 h 210"/>
              <a:gd name="T8" fmla="*/ 212 w 282"/>
              <a:gd name="T9" fmla="*/ 0 h 210"/>
              <a:gd name="T10" fmla="*/ 70 w 282"/>
              <a:gd name="T11" fmla="*/ 0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2" h="210">
                <a:moveTo>
                  <a:pt x="0" y="210"/>
                </a:moveTo>
                <a:lnTo>
                  <a:pt x="212" y="210"/>
                </a:lnTo>
                <a:lnTo>
                  <a:pt x="282" y="140"/>
                </a:lnTo>
                <a:lnTo>
                  <a:pt x="282" y="70"/>
                </a:lnTo>
                <a:lnTo>
                  <a:pt x="212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Freeform 587">
            <a:extLst>
              <a:ext uri="{FF2B5EF4-FFF2-40B4-BE49-F238E27FC236}">
                <a16:creationId xmlns:a16="http://schemas.microsoft.com/office/drawing/2014/main" id="{44FC65D9-BCD4-43D5-B336-79383AE70A2F}"/>
              </a:ext>
            </a:extLst>
          </xdr:cNvPr>
          <xdr:cNvSpPr>
            <a:spLocks/>
          </xdr:cNvSpPr>
        </xdr:nvSpPr>
        <xdr:spPr bwMode="auto">
          <a:xfrm>
            <a:off x="1201" y="93"/>
            <a:ext cx="4" cy="3"/>
          </a:xfrm>
          <a:custGeom>
            <a:avLst/>
            <a:gdLst>
              <a:gd name="T0" fmla="*/ 212 w 282"/>
              <a:gd name="T1" fmla="*/ 211 h 211"/>
              <a:gd name="T2" fmla="*/ 282 w 282"/>
              <a:gd name="T3" fmla="*/ 141 h 211"/>
              <a:gd name="T4" fmla="*/ 282 w 282"/>
              <a:gd name="T5" fmla="*/ 70 h 211"/>
              <a:gd name="T6" fmla="*/ 212 w 282"/>
              <a:gd name="T7" fmla="*/ 0 h 211"/>
              <a:gd name="T8" fmla="*/ 0 w 282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2" h="211">
                <a:moveTo>
                  <a:pt x="212" y="211"/>
                </a:moveTo>
                <a:lnTo>
                  <a:pt x="282" y="141"/>
                </a:lnTo>
                <a:lnTo>
                  <a:pt x="282" y="70"/>
                </a:lnTo>
                <a:lnTo>
                  <a:pt x="212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Line 588">
            <a:extLst>
              <a:ext uri="{FF2B5EF4-FFF2-40B4-BE49-F238E27FC236}">
                <a16:creationId xmlns:a16="http://schemas.microsoft.com/office/drawing/2014/main" id="{5402DE96-B577-4088-AD43-7459AB3D2138}"/>
              </a:ext>
            </a:extLst>
          </xdr:cNvPr>
          <xdr:cNvSpPr>
            <a:spLocks noChangeShapeType="1"/>
          </xdr:cNvSpPr>
        </xdr:nvSpPr>
        <xdr:spPr bwMode="auto">
          <a:xfrm>
            <a:off x="1202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Freeform 589">
            <a:extLst>
              <a:ext uri="{FF2B5EF4-FFF2-40B4-BE49-F238E27FC236}">
                <a16:creationId xmlns:a16="http://schemas.microsoft.com/office/drawing/2014/main" id="{ADE249E4-AED7-4832-A59F-6A6DA16222D6}"/>
              </a:ext>
            </a:extLst>
          </xdr:cNvPr>
          <xdr:cNvSpPr>
            <a:spLocks/>
          </xdr:cNvSpPr>
        </xdr:nvSpPr>
        <xdr:spPr bwMode="auto">
          <a:xfrm>
            <a:off x="1208" y="95"/>
            <a:ext cx="5" cy="5"/>
          </a:xfrm>
          <a:custGeom>
            <a:avLst/>
            <a:gdLst>
              <a:gd name="T0" fmla="*/ 210 w 281"/>
              <a:gd name="T1" fmla="*/ 280 h 280"/>
              <a:gd name="T2" fmla="*/ 70 w 281"/>
              <a:gd name="T3" fmla="*/ 280 h 280"/>
              <a:gd name="T4" fmla="*/ 0 w 281"/>
              <a:gd name="T5" fmla="*/ 210 h 280"/>
              <a:gd name="T6" fmla="*/ 0 w 281"/>
              <a:gd name="T7" fmla="*/ 70 h 280"/>
              <a:gd name="T8" fmla="*/ 70 w 281"/>
              <a:gd name="T9" fmla="*/ 0 h 280"/>
              <a:gd name="T10" fmla="*/ 210 w 281"/>
              <a:gd name="T11" fmla="*/ 0 h 280"/>
              <a:gd name="T12" fmla="*/ 281 w 281"/>
              <a:gd name="T13" fmla="*/ 70 h 280"/>
              <a:gd name="T14" fmla="*/ 281 w 281"/>
              <a:gd name="T15" fmla="*/ 210 h 280"/>
              <a:gd name="T16" fmla="*/ 210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Line 590">
            <a:extLst>
              <a:ext uri="{FF2B5EF4-FFF2-40B4-BE49-F238E27FC236}">
                <a16:creationId xmlns:a16="http://schemas.microsoft.com/office/drawing/2014/main" id="{B37E9147-BAB5-4A64-BF36-DC8B78168EE4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Freeform 591">
            <a:extLst>
              <a:ext uri="{FF2B5EF4-FFF2-40B4-BE49-F238E27FC236}">
                <a16:creationId xmlns:a16="http://schemas.microsoft.com/office/drawing/2014/main" id="{B70D63D4-DE8E-473B-BAFC-EC77E8358E72}"/>
              </a:ext>
            </a:extLst>
          </xdr:cNvPr>
          <xdr:cNvSpPr>
            <a:spLocks/>
          </xdr:cNvSpPr>
        </xdr:nvSpPr>
        <xdr:spPr bwMode="auto">
          <a:xfrm>
            <a:off x="1215" y="95"/>
            <a:ext cx="5" cy="3"/>
          </a:xfrm>
          <a:custGeom>
            <a:avLst/>
            <a:gdLst>
              <a:gd name="T0" fmla="*/ 0 w 281"/>
              <a:gd name="T1" fmla="*/ 140 h 140"/>
              <a:gd name="T2" fmla="*/ 140 w 281"/>
              <a:gd name="T3" fmla="*/ 0 h 140"/>
              <a:gd name="T4" fmla="*/ 210 w 281"/>
              <a:gd name="T5" fmla="*/ 0 h 140"/>
              <a:gd name="T6" fmla="*/ 281 w 281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1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6" name="Freeform 592">
            <a:extLst>
              <a:ext uri="{FF2B5EF4-FFF2-40B4-BE49-F238E27FC236}">
                <a16:creationId xmlns:a16="http://schemas.microsoft.com/office/drawing/2014/main" id="{54092606-952C-46C0-AC1B-47AB6A74A74B}"/>
              </a:ext>
            </a:extLst>
          </xdr:cNvPr>
          <xdr:cNvSpPr>
            <a:spLocks/>
          </xdr:cNvSpPr>
        </xdr:nvSpPr>
        <xdr:spPr bwMode="auto">
          <a:xfrm>
            <a:off x="1222" y="95"/>
            <a:ext cx="5" cy="5"/>
          </a:xfrm>
          <a:custGeom>
            <a:avLst/>
            <a:gdLst>
              <a:gd name="T0" fmla="*/ 280 w 280"/>
              <a:gd name="T1" fmla="*/ 140 h 280"/>
              <a:gd name="T2" fmla="*/ 140 w 280"/>
              <a:gd name="T3" fmla="*/ 280 h 280"/>
              <a:gd name="T4" fmla="*/ 70 w 280"/>
              <a:gd name="T5" fmla="*/ 280 h 280"/>
              <a:gd name="T6" fmla="*/ 0 w 280"/>
              <a:gd name="T7" fmla="*/ 210 h 280"/>
              <a:gd name="T8" fmla="*/ 0 w 280"/>
              <a:gd name="T9" fmla="*/ 70 h 280"/>
              <a:gd name="T10" fmla="*/ 70 w 280"/>
              <a:gd name="T11" fmla="*/ 0 h 280"/>
              <a:gd name="T12" fmla="*/ 140 w 280"/>
              <a:gd name="T13" fmla="*/ 0 h 280"/>
              <a:gd name="T14" fmla="*/ 280 w 280"/>
              <a:gd name="T15" fmla="*/ 14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0" h="280">
                <a:moveTo>
                  <a:pt x="280" y="140"/>
                </a:moveTo>
                <a:lnTo>
                  <a:pt x="140" y="280"/>
                </a:ln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80" y="14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593">
            <a:extLst>
              <a:ext uri="{FF2B5EF4-FFF2-40B4-BE49-F238E27FC236}">
                <a16:creationId xmlns:a16="http://schemas.microsoft.com/office/drawing/2014/main" id="{EA746E1D-F479-4341-8E62-852A2AF234F6}"/>
              </a:ext>
            </a:extLst>
          </xdr:cNvPr>
          <xdr:cNvSpPr>
            <a:spLocks noChangeShapeType="1"/>
          </xdr:cNvSpPr>
        </xdr:nvSpPr>
        <xdr:spPr bwMode="auto">
          <a:xfrm>
            <a:off x="1227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Freeform 594">
            <a:extLst>
              <a:ext uri="{FF2B5EF4-FFF2-40B4-BE49-F238E27FC236}">
                <a16:creationId xmlns:a16="http://schemas.microsoft.com/office/drawing/2014/main" id="{4ABAA3F4-3E56-4A90-960C-B69778EEC7BB}"/>
              </a:ext>
            </a:extLst>
          </xdr:cNvPr>
          <xdr:cNvSpPr>
            <a:spLocks/>
          </xdr:cNvSpPr>
        </xdr:nvSpPr>
        <xdr:spPr bwMode="auto">
          <a:xfrm>
            <a:off x="1229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" name="Freeform 595">
            <a:extLst>
              <a:ext uri="{FF2B5EF4-FFF2-40B4-BE49-F238E27FC236}">
                <a16:creationId xmlns:a16="http://schemas.microsoft.com/office/drawing/2014/main" id="{1AC00164-25C5-4D0F-8BB7-779E0F35A3B7}"/>
              </a:ext>
            </a:extLst>
          </xdr:cNvPr>
          <xdr:cNvSpPr>
            <a:spLocks/>
          </xdr:cNvSpPr>
        </xdr:nvSpPr>
        <xdr:spPr bwMode="auto">
          <a:xfrm>
            <a:off x="1244" y="95"/>
            <a:ext cx="4" cy="5"/>
          </a:xfrm>
          <a:custGeom>
            <a:avLst/>
            <a:gdLst>
              <a:gd name="T0" fmla="*/ 0 w 281"/>
              <a:gd name="T1" fmla="*/ 140 h 280"/>
              <a:gd name="T2" fmla="*/ 211 w 281"/>
              <a:gd name="T3" fmla="*/ 140 h 280"/>
              <a:gd name="T4" fmla="*/ 281 w 281"/>
              <a:gd name="T5" fmla="*/ 70 h 280"/>
              <a:gd name="T6" fmla="*/ 211 w 281"/>
              <a:gd name="T7" fmla="*/ 0 h 280"/>
              <a:gd name="T8" fmla="*/ 70 w 281"/>
              <a:gd name="T9" fmla="*/ 0 h 280"/>
              <a:gd name="T10" fmla="*/ 0 w 281"/>
              <a:gd name="T11" fmla="*/ 70 h 280"/>
              <a:gd name="T12" fmla="*/ 0 w 281"/>
              <a:gd name="T13" fmla="*/ 210 h 280"/>
              <a:gd name="T14" fmla="*/ 70 w 281"/>
              <a:gd name="T15" fmla="*/ 280 h 280"/>
              <a:gd name="T16" fmla="*/ 211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0" y="140"/>
                </a:moveTo>
                <a:lnTo>
                  <a:pt x="211" y="140"/>
                </a:lnTo>
                <a:lnTo>
                  <a:pt x="281" y="70"/>
                </a:lnTo>
                <a:lnTo>
                  <a:pt x="211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1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0" name="Line 596">
            <a:extLst>
              <a:ext uri="{FF2B5EF4-FFF2-40B4-BE49-F238E27FC236}">
                <a16:creationId xmlns:a16="http://schemas.microsoft.com/office/drawing/2014/main" id="{CE0829EF-72C7-48FB-B9FD-D3DCCF3D2A7F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597">
            <a:extLst>
              <a:ext uri="{FF2B5EF4-FFF2-40B4-BE49-F238E27FC236}">
                <a16:creationId xmlns:a16="http://schemas.microsoft.com/office/drawing/2014/main" id="{2B9D86C0-6981-41B9-9D98-986B08A7C5B0}"/>
              </a:ext>
            </a:extLst>
          </xdr:cNvPr>
          <xdr:cNvSpPr>
            <a:spLocks noChangeShapeType="1"/>
          </xdr:cNvSpPr>
        </xdr:nvSpPr>
        <xdr:spPr bwMode="auto">
          <a:xfrm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598">
            <a:extLst>
              <a:ext uri="{FF2B5EF4-FFF2-40B4-BE49-F238E27FC236}">
                <a16:creationId xmlns:a16="http://schemas.microsoft.com/office/drawing/2014/main" id="{11FBD957-35D9-42B0-B9D5-F81D075B642E}"/>
              </a:ext>
            </a:extLst>
          </xdr:cNvPr>
          <xdr:cNvSpPr>
            <a:spLocks noChangeShapeType="1"/>
          </xdr:cNvSpPr>
        </xdr:nvSpPr>
        <xdr:spPr bwMode="auto">
          <a:xfrm>
            <a:off x="1258" y="95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Freeform 599">
            <a:extLst>
              <a:ext uri="{FF2B5EF4-FFF2-40B4-BE49-F238E27FC236}">
                <a16:creationId xmlns:a16="http://schemas.microsoft.com/office/drawing/2014/main" id="{833CFBBA-EEAC-4731-8BFB-35012AC312D6}"/>
              </a:ext>
            </a:extLst>
          </xdr:cNvPr>
          <xdr:cNvSpPr>
            <a:spLocks/>
          </xdr:cNvSpPr>
        </xdr:nvSpPr>
        <xdr:spPr bwMode="auto">
          <a:xfrm>
            <a:off x="1260" y="93"/>
            <a:ext cx="3" cy="7"/>
          </a:xfrm>
          <a:custGeom>
            <a:avLst/>
            <a:gdLst>
              <a:gd name="T0" fmla="*/ 0 w 141"/>
              <a:gd name="T1" fmla="*/ 0 h 421"/>
              <a:gd name="T2" fmla="*/ 0 w 141"/>
              <a:gd name="T3" fmla="*/ 351 h 421"/>
              <a:gd name="T4" fmla="*/ 70 w 141"/>
              <a:gd name="T5" fmla="*/ 421 h 421"/>
              <a:gd name="T6" fmla="*/ 141 w 141"/>
              <a:gd name="T7" fmla="*/ 35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1">
                <a:moveTo>
                  <a:pt x="0" y="0"/>
                </a:moveTo>
                <a:lnTo>
                  <a:pt x="0" y="351"/>
                </a:lnTo>
                <a:lnTo>
                  <a:pt x="70" y="421"/>
                </a:lnTo>
                <a:lnTo>
                  <a:pt x="141" y="35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4" name="Freeform 600">
            <a:extLst>
              <a:ext uri="{FF2B5EF4-FFF2-40B4-BE49-F238E27FC236}">
                <a16:creationId xmlns:a16="http://schemas.microsoft.com/office/drawing/2014/main" id="{7B6395B0-EAB8-4CCF-8497-8196CECEECDB}"/>
              </a:ext>
            </a:extLst>
          </xdr:cNvPr>
          <xdr:cNvSpPr>
            <a:spLocks/>
          </xdr:cNvSpPr>
        </xdr:nvSpPr>
        <xdr:spPr bwMode="auto">
          <a:xfrm>
            <a:off x="1265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" name="Line 601">
            <a:extLst>
              <a:ext uri="{FF2B5EF4-FFF2-40B4-BE49-F238E27FC236}">
                <a16:creationId xmlns:a16="http://schemas.microsoft.com/office/drawing/2014/main" id="{2AE4314F-C654-45F0-B70E-51AD9BBE854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2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Freeform 602">
            <a:extLst>
              <a:ext uri="{FF2B5EF4-FFF2-40B4-BE49-F238E27FC236}">
                <a16:creationId xmlns:a16="http://schemas.microsoft.com/office/drawing/2014/main" id="{A8471AA2-2AD5-4717-9D0C-36FA0F0F44E2}"/>
              </a:ext>
            </a:extLst>
          </xdr:cNvPr>
          <xdr:cNvSpPr>
            <a:spLocks/>
          </xdr:cNvSpPr>
        </xdr:nvSpPr>
        <xdr:spPr bwMode="auto">
          <a:xfrm>
            <a:off x="1272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" name="Line 603">
            <a:extLst>
              <a:ext uri="{FF2B5EF4-FFF2-40B4-BE49-F238E27FC236}">
                <a16:creationId xmlns:a16="http://schemas.microsoft.com/office/drawing/2014/main" id="{6B1C61D7-0DA1-48E8-A84B-D2E4916E0E7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604">
            <a:extLst>
              <a:ext uri="{FF2B5EF4-FFF2-40B4-BE49-F238E27FC236}">
                <a16:creationId xmlns:a16="http://schemas.microsoft.com/office/drawing/2014/main" id="{480A8931-5B5C-403A-965F-6EBD29CB8EA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Freeform 605">
            <a:extLst>
              <a:ext uri="{FF2B5EF4-FFF2-40B4-BE49-F238E27FC236}">
                <a16:creationId xmlns:a16="http://schemas.microsoft.com/office/drawing/2014/main" id="{A997B9E9-5CAC-455B-A590-DA467DC39361}"/>
              </a:ext>
            </a:extLst>
          </xdr:cNvPr>
          <xdr:cNvSpPr>
            <a:spLocks/>
          </xdr:cNvSpPr>
        </xdr:nvSpPr>
        <xdr:spPr bwMode="auto">
          <a:xfrm>
            <a:off x="1282" y="95"/>
            <a:ext cx="4" cy="5"/>
          </a:xfrm>
          <a:custGeom>
            <a:avLst/>
            <a:gdLst>
              <a:gd name="T0" fmla="*/ 210 w 280"/>
              <a:gd name="T1" fmla="*/ 280 h 280"/>
              <a:gd name="T2" fmla="*/ 70 w 280"/>
              <a:gd name="T3" fmla="*/ 280 h 280"/>
              <a:gd name="T4" fmla="*/ 0 w 280"/>
              <a:gd name="T5" fmla="*/ 210 h 280"/>
              <a:gd name="T6" fmla="*/ 0 w 280"/>
              <a:gd name="T7" fmla="*/ 70 h 280"/>
              <a:gd name="T8" fmla="*/ 70 w 280"/>
              <a:gd name="T9" fmla="*/ 0 h 280"/>
              <a:gd name="T10" fmla="*/ 210 w 280"/>
              <a:gd name="T11" fmla="*/ 0 h 280"/>
              <a:gd name="T12" fmla="*/ 280 w 280"/>
              <a:gd name="T13" fmla="*/ 70 h 280"/>
              <a:gd name="T14" fmla="*/ 280 w 280"/>
              <a:gd name="T15" fmla="*/ 21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0" y="70"/>
                </a:lnTo>
                <a:lnTo>
                  <a:pt x="280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" name="Line 606">
            <a:extLst>
              <a:ext uri="{FF2B5EF4-FFF2-40B4-BE49-F238E27FC236}">
                <a16:creationId xmlns:a16="http://schemas.microsoft.com/office/drawing/2014/main" id="{FFFBB562-5504-4F01-9532-5A7DE23AB46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Freeform 607">
            <a:extLst>
              <a:ext uri="{FF2B5EF4-FFF2-40B4-BE49-F238E27FC236}">
                <a16:creationId xmlns:a16="http://schemas.microsoft.com/office/drawing/2014/main" id="{D8DFF1F0-FECF-4A53-8E55-9C236089079F}"/>
              </a:ext>
            </a:extLst>
          </xdr:cNvPr>
          <xdr:cNvSpPr>
            <a:spLocks/>
          </xdr:cNvSpPr>
        </xdr:nvSpPr>
        <xdr:spPr bwMode="auto">
          <a:xfrm>
            <a:off x="1289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" name="Freeform 608">
            <a:extLst>
              <a:ext uri="{FF2B5EF4-FFF2-40B4-BE49-F238E27FC236}">
                <a16:creationId xmlns:a16="http://schemas.microsoft.com/office/drawing/2014/main" id="{A04603C4-148E-4F7C-BF45-C7D397F3916B}"/>
              </a:ext>
            </a:extLst>
          </xdr:cNvPr>
          <xdr:cNvSpPr>
            <a:spLocks/>
          </xdr:cNvSpPr>
        </xdr:nvSpPr>
        <xdr:spPr bwMode="auto">
          <a:xfrm>
            <a:off x="1206" y="307"/>
            <a:ext cx="5" cy="3"/>
          </a:xfrm>
          <a:custGeom>
            <a:avLst/>
            <a:gdLst>
              <a:gd name="T0" fmla="*/ 0 w 280"/>
              <a:gd name="T1" fmla="*/ 211 h 211"/>
              <a:gd name="T2" fmla="*/ 210 w 280"/>
              <a:gd name="T3" fmla="*/ 211 h 211"/>
              <a:gd name="T4" fmla="*/ 280 w 280"/>
              <a:gd name="T5" fmla="*/ 141 h 211"/>
              <a:gd name="T6" fmla="*/ 280 w 280"/>
              <a:gd name="T7" fmla="*/ 70 h 211"/>
              <a:gd name="T8" fmla="*/ 210 w 280"/>
              <a:gd name="T9" fmla="*/ 0 h 211"/>
              <a:gd name="T10" fmla="*/ 70 w 280"/>
              <a:gd name="T11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0" h="211">
                <a:moveTo>
                  <a:pt x="0" y="211"/>
                </a:moveTo>
                <a:lnTo>
                  <a:pt x="210" y="211"/>
                </a:lnTo>
                <a:lnTo>
                  <a:pt x="280" y="141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" name="Freeform 609">
            <a:extLst>
              <a:ext uri="{FF2B5EF4-FFF2-40B4-BE49-F238E27FC236}">
                <a16:creationId xmlns:a16="http://schemas.microsoft.com/office/drawing/2014/main" id="{C5DAC268-F7C3-4F77-B335-F63BFBA1AA98}"/>
              </a:ext>
            </a:extLst>
          </xdr:cNvPr>
          <xdr:cNvSpPr>
            <a:spLocks/>
          </xdr:cNvSpPr>
        </xdr:nvSpPr>
        <xdr:spPr bwMode="auto">
          <a:xfrm>
            <a:off x="1206" y="303"/>
            <a:ext cx="5" cy="4"/>
          </a:xfrm>
          <a:custGeom>
            <a:avLst/>
            <a:gdLst>
              <a:gd name="T0" fmla="*/ 210 w 280"/>
              <a:gd name="T1" fmla="*/ 211 h 211"/>
              <a:gd name="T2" fmla="*/ 280 w 280"/>
              <a:gd name="T3" fmla="*/ 140 h 211"/>
              <a:gd name="T4" fmla="*/ 280 w 280"/>
              <a:gd name="T5" fmla="*/ 70 h 211"/>
              <a:gd name="T6" fmla="*/ 210 w 280"/>
              <a:gd name="T7" fmla="*/ 0 h 211"/>
              <a:gd name="T8" fmla="*/ 0 w 280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0" h="211">
                <a:moveTo>
                  <a:pt x="210" y="211"/>
                </a:moveTo>
                <a:lnTo>
                  <a:pt x="280" y="140"/>
                </a:lnTo>
                <a:lnTo>
                  <a:pt x="280" y="70"/>
                </a:lnTo>
                <a:lnTo>
                  <a:pt x="210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" name="Line 610">
            <a:extLst>
              <a:ext uri="{FF2B5EF4-FFF2-40B4-BE49-F238E27FC236}">
                <a16:creationId xmlns:a16="http://schemas.microsoft.com/office/drawing/2014/main" id="{0BCC6792-6A63-401A-9784-1428DEF358CC}"/>
              </a:ext>
            </a:extLst>
          </xdr:cNvPr>
          <xdr:cNvSpPr>
            <a:spLocks noChangeShapeType="1"/>
          </xdr:cNvSpPr>
        </xdr:nvSpPr>
        <xdr:spPr bwMode="auto">
          <a:xfrm>
            <a:off x="1208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Freeform 611">
            <a:extLst>
              <a:ext uri="{FF2B5EF4-FFF2-40B4-BE49-F238E27FC236}">
                <a16:creationId xmlns:a16="http://schemas.microsoft.com/office/drawing/2014/main" id="{8C775348-F00F-4BCB-96CC-488C1E146930}"/>
              </a:ext>
            </a:extLst>
          </xdr:cNvPr>
          <xdr:cNvSpPr>
            <a:spLocks/>
          </xdr:cNvSpPr>
        </xdr:nvSpPr>
        <xdr:spPr bwMode="auto">
          <a:xfrm>
            <a:off x="1213" y="305"/>
            <a:ext cx="5" cy="5"/>
          </a:xfrm>
          <a:custGeom>
            <a:avLst/>
            <a:gdLst>
              <a:gd name="T0" fmla="*/ 210 w 280"/>
              <a:gd name="T1" fmla="*/ 282 h 282"/>
              <a:gd name="T2" fmla="*/ 70 w 280"/>
              <a:gd name="T3" fmla="*/ 282 h 282"/>
              <a:gd name="T4" fmla="*/ 0 w 280"/>
              <a:gd name="T5" fmla="*/ 212 h 282"/>
              <a:gd name="T6" fmla="*/ 0 w 280"/>
              <a:gd name="T7" fmla="*/ 71 h 282"/>
              <a:gd name="T8" fmla="*/ 70 w 280"/>
              <a:gd name="T9" fmla="*/ 0 h 282"/>
              <a:gd name="T10" fmla="*/ 210 w 280"/>
              <a:gd name="T11" fmla="*/ 0 h 282"/>
              <a:gd name="T12" fmla="*/ 280 w 280"/>
              <a:gd name="T13" fmla="*/ 71 h 282"/>
              <a:gd name="T14" fmla="*/ 280 w 280"/>
              <a:gd name="T15" fmla="*/ 212 h 282"/>
              <a:gd name="T16" fmla="*/ 210 w 280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" name="Line 612">
            <a:extLst>
              <a:ext uri="{FF2B5EF4-FFF2-40B4-BE49-F238E27FC236}">
                <a16:creationId xmlns:a16="http://schemas.microsoft.com/office/drawing/2014/main" id="{2F961047-6860-4F9D-AD08-DD9776F9819A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1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Freeform 613">
            <a:extLst>
              <a:ext uri="{FF2B5EF4-FFF2-40B4-BE49-F238E27FC236}">
                <a16:creationId xmlns:a16="http://schemas.microsoft.com/office/drawing/2014/main" id="{CE86D679-5B9F-493A-9BB5-E45BA4358CFB}"/>
              </a:ext>
            </a:extLst>
          </xdr:cNvPr>
          <xdr:cNvSpPr>
            <a:spLocks/>
          </xdr:cNvSpPr>
        </xdr:nvSpPr>
        <xdr:spPr bwMode="auto">
          <a:xfrm>
            <a:off x="1221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" name="Freeform 614">
            <a:extLst>
              <a:ext uri="{FF2B5EF4-FFF2-40B4-BE49-F238E27FC236}">
                <a16:creationId xmlns:a16="http://schemas.microsoft.com/office/drawing/2014/main" id="{C594E285-2106-424D-BC0C-AE39002E8AD8}"/>
              </a:ext>
            </a:extLst>
          </xdr:cNvPr>
          <xdr:cNvSpPr>
            <a:spLocks/>
          </xdr:cNvSpPr>
        </xdr:nvSpPr>
        <xdr:spPr bwMode="auto">
          <a:xfrm>
            <a:off x="1228" y="305"/>
            <a:ext cx="5" cy="5"/>
          </a:xfrm>
          <a:custGeom>
            <a:avLst/>
            <a:gdLst>
              <a:gd name="T0" fmla="*/ 281 w 281"/>
              <a:gd name="T1" fmla="*/ 141 h 282"/>
              <a:gd name="T2" fmla="*/ 141 w 281"/>
              <a:gd name="T3" fmla="*/ 282 h 282"/>
              <a:gd name="T4" fmla="*/ 71 w 281"/>
              <a:gd name="T5" fmla="*/ 282 h 282"/>
              <a:gd name="T6" fmla="*/ 0 w 281"/>
              <a:gd name="T7" fmla="*/ 212 h 282"/>
              <a:gd name="T8" fmla="*/ 0 w 281"/>
              <a:gd name="T9" fmla="*/ 71 h 282"/>
              <a:gd name="T10" fmla="*/ 71 w 281"/>
              <a:gd name="T11" fmla="*/ 0 h 282"/>
              <a:gd name="T12" fmla="*/ 141 w 281"/>
              <a:gd name="T13" fmla="*/ 0 h 282"/>
              <a:gd name="T14" fmla="*/ 281 w 281"/>
              <a:gd name="T15" fmla="*/ 141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2">
                <a:moveTo>
                  <a:pt x="281" y="141"/>
                </a:moveTo>
                <a:lnTo>
                  <a:pt x="141" y="282"/>
                </a:lnTo>
                <a:lnTo>
                  <a:pt x="71" y="282"/>
                </a:lnTo>
                <a:lnTo>
                  <a:pt x="0" y="212"/>
                </a:lnTo>
                <a:lnTo>
                  <a:pt x="0" y="71"/>
                </a:lnTo>
                <a:lnTo>
                  <a:pt x="71" y="0"/>
                </a:lnTo>
                <a:lnTo>
                  <a:pt x="141" y="0"/>
                </a:lnTo>
                <a:lnTo>
                  <a:pt x="281" y="141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" name="Line 615">
            <a:extLst>
              <a:ext uri="{FF2B5EF4-FFF2-40B4-BE49-F238E27FC236}">
                <a16:creationId xmlns:a16="http://schemas.microsoft.com/office/drawing/2014/main" id="{4827739B-27D6-46EB-900B-622C163FAE91}"/>
              </a:ext>
            </a:extLst>
          </xdr:cNvPr>
          <xdr:cNvSpPr>
            <a:spLocks noChangeShapeType="1"/>
          </xdr:cNvSpPr>
        </xdr:nvSpPr>
        <xdr:spPr bwMode="auto">
          <a:xfrm>
            <a:off x="1233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Freeform 616">
            <a:extLst>
              <a:ext uri="{FF2B5EF4-FFF2-40B4-BE49-F238E27FC236}">
                <a16:creationId xmlns:a16="http://schemas.microsoft.com/office/drawing/2014/main" id="{1C33641D-8BE6-4994-AE4F-2627DE7F8B51}"/>
              </a:ext>
            </a:extLst>
          </xdr:cNvPr>
          <xdr:cNvSpPr>
            <a:spLocks/>
          </xdr:cNvSpPr>
        </xdr:nvSpPr>
        <xdr:spPr bwMode="auto">
          <a:xfrm>
            <a:off x="1235" y="305"/>
            <a:ext cx="5" cy="5"/>
          </a:xfrm>
          <a:custGeom>
            <a:avLst/>
            <a:gdLst>
              <a:gd name="T0" fmla="*/ 0 w 281"/>
              <a:gd name="T1" fmla="*/ 141 h 282"/>
              <a:gd name="T2" fmla="*/ 211 w 281"/>
              <a:gd name="T3" fmla="*/ 141 h 282"/>
              <a:gd name="T4" fmla="*/ 281 w 281"/>
              <a:gd name="T5" fmla="*/ 71 h 282"/>
              <a:gd name="T6" fmla="*/ 211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1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1" y="141"/>
                </a:lnTo>
                <a:lnTo>
                  <a:pt x="281" y="71"/>
                </a:lnTo>
                <a:lnTo>
                  <a:pt x="211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1" name="Line 617">
            <a:extLst>
              <a:ext uri="{FF2B5EF4-FFF2-40B4-BE49-F238E27FC236}">
                <a16:creationId xmlns:a16="http://schemas.microsoft.com/office/drawing/2014/main" id="{D3AC894F-0FD0-4775-858D-62CEAEBDF6B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Line 618">
            <a:extLst>
              <a:ext uri="{FF2B5EF4-FFF2-40B4-BE49-F238E27FC236}">
                <a16:creationId xmlns:a16="http://schemas.microsoft.com/office/drawing/2014/main" id="{E0FD4EFC-214D-4BAE-94CC-63326597BC1A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619">
            <a:extLst>
              <a:ext uri="{FF2B5EF4-FFF2-40B4-BE49-F238E27FC236}">
                <a16:creationId xmlns:a16="http://schemas.microsoft.com/office/drawing/2014/main" id="{901D2855-E198-4662-B34A-C6387FBE5284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2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Freeform 620">
            <a:extLst>
              <a:ext uri="{FF2B5EF4-FFF2-40B4-BE49-F238E27FC236}">
                <a16:creationId xmlns:a16="http://schemas.microsoft.com/office/drawing/2014/main" id="{0130F4DF-7627-4A5E-9509-C5924A934D8C}"/>
              </a:ext>
            </a:extLst>
          </xdr:cNvPr>
          <xdr:cNvSpPr>
            <a:spLocks/>
          </xdr:cNvSpPr>
        </xdr:nvSpPr>
        <xdr:spPr bwMode="auto">
          <a:xfrm>
            <a:off x="1252" y="305"/>
            <a:ext cx="4" cy="5"/>
          </a:xfrm>
          <a:custGeom>
            <a:avLst/>
            <a:gdLst>
              <a:gd name="T0" fmla="*/ 0 w 281"/>
              <a:gd name="T1" fmla="*/ 141 h 282"/>
              <a:gd name="T2" fmla="*/ 141 w 281"/>
              <a:gd name="T3" fmla="*/ 0 h 282"/>
              <a:gd name="T4" fmla="*/ 211 w 281"/>
              <a:gd name="T5" fmla="*/ 0 h 282"/>
              <a:gd name="T6" fmla="*/ 281 w 281"/>
              <a:gd name="T7" fmla="*/ 71 h 282"/>
              <a:gd name="T8" fmla="*/ 281 w 281"/>
              <a:gd name="T9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141" y="0"/>
                </a:lnTo>
                <a:lnTo>
                  <a:pt x="211" y="0"/>
                </a:lnTo>
                <a:lnTo>
                  <a:pt x="281" y="71"/>
                </a:lnTo>
                <a:lnTo>
                  <a:pt x="28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" name="Line 621">
            <a:extLst>
              <a:ext uri="{FF2B5EF4-FFF2-40B4-BE49-F238E27FC236}">
                <a16:creationId xmlns:a16="http://schemas.microsoft.com/office/drawing/2014/main" id="{7BC93B0C-DEE4-4254-9576-33A8E609E248}"/>
              </a:ext>
            </a:extLst>
          </xdr:cNvPr>
          <xdr:cNvSpPr>
            <a:spLocks noChangeShapeType="1"/>
          </xdr:cNvSpPr>
        </xdr:nvSpPr>
        <xdr:spPr bwMode="auto">
          <a:xfrm>
            <a:off x="1259" y="305"/>
            <a:ext cx="4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Freeform 622">
            <a:extLst>
              <a:ext uri="{FF2B5EF4-FFF2-40B4-BE49-F238E27FC236}">
                <a16:creationId xmlns:a16="http://schemas.microsoft.com/office/drawing/2014/main" id="{21D5E844-4035-4DCF-8023-4D1B0CEDEB18}"/>
              </a:ext>
            </a:extLst>
          </xdr:cNvPr>
          <xdr:cNvSpPr>
            <a:spLocks/>
          </xdr:cNvSpPr>
        </xdr:nvSpPr>
        <xdr:spPr bwMode="auto">
          <a:xfrm>
            <a:off x="1261" y="303"/>
            <a:ext cx="2" cy="7"/>
          </a:xfrm>
          <a:custGeom>
            <a:avLst/>
            <a:gdLst>
              <a:gd name="T0" fmla="*/ 0 w 141"/>
              <a:gd name="T1" fmla="*/ 0 h 422"/>
              <a:gd name="T2" fmla="*/ 0 w 141"/>
              <a:gd name="T3" fmla="*/ 352 h 422"/>
              <a:gd name="T4" fmla="*/ 71 w 141"/>
              <a:gd name="T5" fmla="*/ 422 h 422"/>
              <a:gd name="T6" fmla="*/ 141 w 141"/>
              <a:gd name="T7" fmla="*/ 35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2">
                <a:moveTo>
                  <a:pt x="0" y="0"/>
                </a:moveTo>
                <a:lnTo>
                  <a:pt x="0" y="352"/>
                </a:lnTo>
                <a:lnTo>
                  <a:pt x="71" y="422"/>
                </a:lnTo>
                <a:lnTo>
                  <a:pt x="141" y="35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7" name="Freeform 623">
            <a:extLst>
              <a:ext uri="{FF2B5EF4-FFF2-40B4-BE49-F238E27FC236}">
                <a16:creationId xmlns:a16="http://schemas.microsoft.com/office/drawing/2014/main" id="{F540F162-57A0-4143-AFFD-F417FBE90626}"/>
              </a:ext>
            </a:extLst>
          </xdr:cNvPr>
          <xdr:cNvSpPr>
            <a:spLocks/>
          </xdr:cNvSpPr>
        </xdr:nvSpPr>
        <xdr:spPr bwMode="auto">
          <a:xfrm>
            <a:off x="1266" y="305"/>
            <a:ext cx="5" cy="5"/>
          </a:xfrm>
          <a:custGeom>
            <a:avLst/>
            <a:gdLst>
              <a:gd name="T0" fmla="*/ 0 w 281"/>
              <a:gd name="T1" fmla="*/ 141 h 282"/>
              <a:gd name="T2" fmla="*/ 210 w 281"/>
              <a:gd name="T3" fmla="*/ 141 h 282"/>
              <a:gd name="T4" fmla="*/ 281 w 281"/>
              <a:gd name="T5" fmla="*/ 71 h 282"/>
              <a:gd name="T6" fmla="*/ 210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0" y="141"/>
                </a:lnTo>
                <a:lnTo>
                  <a:pt x="281" y="71"/>
                </a:lnTo>
                <a:lnTo>
                  <a:pt x="210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0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" name="Line 624">
            <a:extLst>
              <a:ext uri="{FF2B5EF4-FFF2-40B4-BE49-F238E27FC236}">
                <a16:creationId xmlns:a16="http://schemas.microsoft.com/office/drawing/2014/main" id="{58DF3AA7-8B25-49E8-9522-631EF72DDEC9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3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Freeform 625">
            <a:extLst>
              <a:ext uri="{FF2B5EF4-FFF2-40B4-BE49-F238E27FC236}">
                <a16:creationId xmlns:a16="http://schemas.microsoft.com/office/drawing/2014/main" id="{575A3868-76A8-43A7-A413-E52FB9CD99ED}"/>
              </a:ext>
            </a:extLst>
          </xdr:cNvPr>
          <xdr:cNvSpPr>
            <a:spLocks/>
          </xdr:cNvSpPr>
        </xdr:nvSpPr>
        <xdr:spPr bwMode="auto">
          <a:xfrm>
            <a:off x="1273" y="305"/>
            <a:ext cx="5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0" name="Line 626">
            <a:extLst>
              <a:ext uri="{FF2B5EF4-FFF2-40B4-BE49-F238E27FC236}">
                <a16:creationId xmlns:a16="http://schemas.microsoft.com/office/drawing/2014/main" id="{6D18798C-416F-4F3E-866F-4003A0687AB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627">
            <a:extLst>
              <a:ext uri="{FF2B5EF4-FFF2-40B4-BE49-F238E27FC236}">
                <a16:creationId xmlns:a16="http://schemas.microsoft.com/office/drawing/2014/main" id="{B6884AF3-49CA-4F7A-B6CE-1A8DD243FEE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Freeform 628">
            <a:extLst>
              <a:ext uri="{FF2B5EF4-FFF2-40B4-BE49-F238E27FC236}">
                <a16:creationId xmlns:a16="http://schemas.microsoft.com/office/drawing/2014/main" id="{463B197F-722C-41B0-9CFE-9D0AC6D1E271}"/>
              </a:ext>
            </a:extLst>
          </xdr:cNvPr>
          <xdr:cNvSpPr>
            <a:spLocks/>
          </xdr:cNvSpPr>
        </xdr:nvSpPr>
        <xdr:spPr bwMode="auto">
          <a:xfrm>
            <a:off x="1283" y="305"/>
            <a:ext cx="4" cy="5"/>
          </a:xfrm>
          <a:custGeom>
            <a:avLst/>
            <a:gdLst>
              <a:gd name="T0" fmla="*/ 210 w 281"/>
              <a:gd name="T1" fmla="*/ 282 h 282"/>
              <a:gd name="T2" fmla="*/ 70 w 281"/>
              <a:gd name="T3" fmla="*/ 282 h 282"/>
              <a:gd name="T4" fmla="*/ 0 w 281"/>
              <a:gd name="T5" fmla="*/ 212 h 282"/>
              <a:gd name="T6" fmla="*/ 0 w 281"/>
              <a:gd name="T7" fmla="*/ 71 h 282"/>
              <a:gd name="T8" fmla="*/ 70 w 281"/>
              <a:gd name="T9" fmla="*/ 0 h 282"/>
              <a:gd name="T10" fmla="*/ 210 w 281"/>
              <a:gd name="T11" fmla="*/ 0 h 282"/>
              <a:gd name="T12" fmla="*/ 281 w 281"/>
              <a:gd name="T13" fmla="*/ 71 h 282"/>
              <a:gd name="T14" fmla="*/ 281 w 281"/>
              <a:gd name="T15" fmla="*/ 21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1" y="71"/>
                </a:lnTo>
                <a:lnTo>
                  <a:pt x="281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" name="Line 629">
            <a:extLst>
              <a:ext uri="{FF2B5EF4-FFF2-40B4-BE49-F238E27FC236}">
                <a16:creationId xmlns:a16="http://schemas.microsoft.com/office/drawing/2014/main" id="{99E1EBAB-1127-4224-BB63-071B944B18FD}"/>
              </a:ext>
            </a:extLst>
          </xdr:cNvPr>
          <xdr:cNvSpPr>
            <a:spLocks noChangeShapeType="1"/>
          </xdr:cNvSpPr>
        </xdr:nvSpPr>
        <xdr:spPr bwMode="auto">
          <a:xfrm flipV="1">
            <a:off x="129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Freeform 630">
            <a:extLst>
              <a:ext uri="{FF2B5EF4-FFF2-40B4-BE49-F238E27FC236}">
                <a16:creationId xmlns:a16="http://schemas.microsoft.com/office/drawing/2014/main" id="{11324D8F-E06C-4F9D-9983-336571BFC53E}"/>
              </a:ext>
            </a:extLst>
          </xdr:cNvPr>
          <xdr:cNvSpPr>
            <a:spLocks/>
          </xdr:cNvSpPr>
        </xdr:nvSpPr>
        <xdr:spPr bwMode="auto">
          <a:xfrm>
            <a:off x="1290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5" name="Freeform 631">
            <a:extLst>
              <a:ext uri="{FF2B5EF4-FFF2-40B4-BE49-F238E27FC236}">
                <a16:creationId xmlns:a16="http://schemas.microsoft.com/office/drawing/2014/main" id="{61E91333-D326-45D6-BA4D-E77F9649E856}"/>
              </a:ext>
            </a:extLst>
          </xdr:cNvPr>
          <xdr:cNvSpPr>
            <a:spLocks/>
          </xdr:cNvSpPr>
        </xdr:nvSpPr>
        <xdr:spPr bwMode="auto">
          <a:xfrm>
            <a:off x="864" y="189"/>
            <a:ext cx="5" cy="7"/>
          </a:xfrm>
          <a:custGeom>
            <a:avLst/>
            <a:gdLst>
              <a:gd name="T0" fmla="*/ 0 w 282"/>
              <a:gd name="T1" fmla="*/ 422 h 422"/>
              <a:gd name="T2" fmla="*/ 0 w 282"/>
              <a:gd name="T3" fmla="*/ 0 h 422"/>
              <a:gd name="T4" fmla="*/ 282 w 282"/>
              <a:gd name="T5" fmla="*/ 0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82" h="422">
                <a:moveTo>
                  <a:pt x="0" y="422"/>
                </a:moveTo>
                <a:lnTo>
                  <a:pt x="0" y="0"/>
                </a:lnTo>
                <a:lnTo>
                  <a:pt x="282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6" name="Line 632">
            <a:extLst>
              <a:ext uri="{FF2B5EF4-FFF2-40B4-BE49-F238E27FC236}">
                <a16:creationId xmlns:a16="http://schemas.microsoft.com/office/drawing/2014/main" id="{BECA6FDC-9BF4-4607-9248-51FF5DA5AA59}"/>
              </a:ext>
            </a:extLst>
          </xdr:cNvPr>
          <xdr:cNvSpPr>
            <a:spLocks noChangeShapeType="1"/>
          </xdr:cNvSpPr>
        </xdr:nvSpPr>
        <xdr:spPr bwMode="auto">
          <a:xfrm>
            <a:off x="864" y="193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633">
            <a:extLst>
              <a:ext uri="{FF2B5EF4-FFF2-40B4-BE49-F238E27FC236}">
                <a16:creationId xmlns:a16="http://schemas.microsoft.com/office/drawing/2014/main" id="{A8B79460-E5F2-43EA-84DA-2F4759FFB206}"/>
              </a:ext>
            </a:extLst>
          </xdr:cNvPr>
          <xdr:cNvSpPr>
            <a:spLocks noChangeShapeType="1"/>
          </xdr:cNvSpPr>
        </xdr:nvSpPr>
        <xdr:spPr bwMode="auto">
          <a:xfrm>
            <a:off x="864" y="196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Freeform 634">
            <a:extLst>
              <a:ext uri="{FF2B5EF4-FFF2-40B4-BE49-F238E27FC236}">
                <a16:creationId xmlns:a16="http://schemas.microsoft.com/office/drawing/2014/main" id="{BA179278-7DC6-4809-90E3-D370B50A97D5}"/>
              </a:ext>
            </a:extLst>
          </xdr:cNvPr>
          <xdr:cNvSpPr>
            <a:spLocks/>
          </xdr:cNvSpPr>
        </xdr:nvSpPr>
        <xdr:spPr bwMode="auto">
          <a:xfrm>
            <a:off x="871" y="192"/>
            <a:ext cx="4" cy="7"/>
          </a:xfrm>
          <a:custGeom>
            <a:avLst/>
            <a:gdLst>
              <a:gd name="T0" fmla="*/ 0 w 211"/>
              <a:gd name="T1" fmla="*/ 351 h 421"/>
              <a:gd name="T2" fmla="*/ 70 w 211"/>
              <a:gd name="T3" fmla="*/ 421 h 421"/>
              <a:gd name="T4" fmla="*/ 141 w 211"/>
              <a:gd name="T5" fmla="*/ 421 h 421"/>
              <a:gd name="T6" fmla="*/ 211 w 211"/>
              <a:gd name="T7" fmla="*/ 351 h 421"/>
              <a:gd name="T8" fmla="*/ 211 w 211"/>
              <a:gd name="T9" fmla="*/ 0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11" h="421">
                <a:moveTo>
                  <a:pt x="0" y="351"/>
                </a:moveTo>
                <a:lnTo>
                  <a:pt x="70" y="421"/>
                </a:lnTo>
                <a:lnTo>
                  <a:pt x="141" y="421"/>
                </a:lnTo>
                <a:lnTo>
                  <a:pt x="211" y="351"/>
                </a:lnTo>
                <a:lnTo>
                  <a:pt x="211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9" name="Line 635">
            <a:extLst>
              <a:ext uri="{FF2B5EF4-FFF2-40B4-BE49-F238E27FC236}">
                <a16:creationId xmlns:a16="http://schemas.microsoft.com/office/drawing/2014/main" id="{19996A09-DDAE-47C4-80FA-295E89D8DDA5}"/>
              </a:ext>
            </a:extLst>
          </xdr:cNvPr>
          <xdr:cNvSpPr>
            <a:spLocks noChangeShapeType="1"/>
          </xdr:cNvSpPr>
        </xdr:nvSpPr>
        <xdr:spPr bwMode="auto">
          <a:xfrm flipV="1">
            <a:off x="875" y="189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Freeform 636">
            <a:extLst>
              <a:ext uri="{FF2B5EF4-FFF2-40B4-BE49-F238E27FC236}">
                <a16:creationId xmlns:a16="http://schemas.microsoft.com/office/drawing/2014/main" id="{9310FC13-748E-4996-9164-39ED64D30DD7}"/>
              </a:ext>
            </a:extLst>
          </xdr:cNvPr>
          <xdr:cNvSpPr>
            <a:spLocks/>
          </xdr:cNvSpPr>
        </xdr:nvSpPr>
        <xdr:spPr bwMode="auto">
          <a:xfrm>
            <a:off x="877" y="192"/>
            <a:ext cx="5" cy="4"/>
          </a:xfrm>
          <a:custGeom>
            <a:avLst/>
            <a:gdLst>
              <a:gd name="T0" fmla="*/ 0 w 281"/>
              <a:gd name="T1" fmla="*/ 140 h 281"/>
              <a:gd name="T2" fmla="*/ 210 w 281"/>
              <a:gd name="T3" fmla="*/ 140 h 281"/>
              <a:gd name="T4" fmla="*/ 281 w 281"/>
              <a:gd name="T5" fmla="*/ 70 h 281"/>
              <a:gd name="T6" fmla="*/ 210 w 281"/>
              <a:gd name="T7" fmla="*/ 0 h 281"/>
              <a:gd name="T8" fmla="*/ 70 w 281"/>
              <a:gd name="T9" fmla="*/ 0 h 281"/>
              <a:gd name="T10" fmla="*/ 0 w 281"/>
              <a:gd name="T11" fmla="*/ 70 h 281"/>
              <a:gd name="T12" fmla="*/ 0 w 281"/>
              <a:gd name="T13" fmla="*/ 210 h 281"/>
              <a:gd name="T14" fmla="*/ 70 w 281"/>
              <a:gd name="T15" fmla="*/ 281 h 281"/>
              <a:gd name="T16" fmla="*/ 210 w 28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210" y="140"/>
                </a:lnTo>
                <a:lnTo>
                  <a:pt x="281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1"/>
                </a:lnTo>
                <a:lnTo>
                  <a:pt x="210" y="28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</xdr:col>
      <xdr:colOff>236604</xdr:colOff>
      <xdr:row>11</xdr:row>
      <xdr:rowOff>109497</xdr:rowOff>
    </xdr:from>
    <xdr:to>
      <xdr:col>2</xdr:col>
      <xdr:colOff>236606</xdr:colOff>
      <xdr:row>14</xdr:row>
      <xdr:rowOff>144876</xdr:rowOff>
    </xdr:to>
    <xdr:cxnSp macro="">
      <xdr:nvCxnSpPr>
        <xdr:cNvPr id="541" name="Conector recto de flecha 540">
          <a:extLst>
            <a:ext uri="{FF2B5EF4-FFF2-40B4-BE49-F238E27FC236}">
              <a16:creationId xmlns:a16="http://schemas.microsoft.com/office/drawing/2014/main" id="{0AA97974-0A4B-487F-8F31-2FC46CA9AF41}"/>
            </a:ext>
          </a:extLst>
        </xdr:cNvPr>
        <xdr:cNvCxnSpPr/>
      </xdr:nvCxnSpPr>
      <xdr:spPr>
        <a:xfrm>
          <a:off x="2446404" y="2224047"/>
          <a:ext cx="2" cy="7307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</xdr:colOff>
      <xdr:row>11</xdr:row>
      <xdr:rowOff>108857</xdr:rowOff>
    </xdr:from>
    <xdr:to>
      <xdr:col>2</xdr:col>
      <xdr:colOff>228600</xdr:colOff>
      <xdr:row>11</xdr:row>
      <xdr:rowOff>108857</xdr:rowOff>
    </xdr:to>
    <xdr:cxnSp macro="">
      <xdr:nvCxnSpPr>
        <xdr:cNvPr id="542" name="Conector recto de flecha 541">
          <a:extLst>
            <a:ext uri="{FF2B5EF4-FFF2-40B4-BE49-F238E27FC236}">
              <a16:creationId xmlns:a16="http://schemas.microsoft.com/office/drawing/2014/main" id="{1607C69C-E5E0-4767-A7A3-3C9ACDA74C78}"/>
            </a:ext>
          </a:extLst>
        </xdr:cNvPr>
        <xdr:cNvCxnSpPr/>
      </xdr:nvCxnSpPr>
      <xdr:spPr>
        <a:xfrm flipH="1">
          <a:off x="2231571" y="2223407"/>
          <a:ext cx="2068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621907</xdr:colOff>
      <xdr:row>39</xdr:row>
      <xdr:rowOff>11350</xdr:rowOff>
    </xdr:from>
    <xdr:to>
      <xdr:col>7</xdr:col>
      <xdr:colOff>565367</xdr:colOff>
      <xdr:row>57</xdr:row>
      <xdr:rowOff>180078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id="{84994781-1CC5-4007-B690-7E59874014C5}"/>
            </a:ext>
          </a:extLst>
        </xdr:cNvPr>
        <xdr:cNvGrpSpPr>
          <a:grpSpLocks noChangeAspect="1"/>
        </xdr:cNvGrpSpPr>
      </xdr:nvGrpSpPr>
      <xdr:grpSpPr bwMode="auto">
        <a:xfrm>
          <a:off x="621907" y="7767421"/>
          <a:ext cx="6698434" cy="3667708"/>
          <a:chOff x="753" y="57"/>
          <a:chExt cx="550" cy="299"/>
        </a:xfrm>
      </xdr:grpSpPr>
      <xdr:sp macro="" textlink="">
        <xdr:nvSpPr>
          <xdr:cNvPr id="3" name="AutoShape 50">
            <a:extLst>
              <a:ext uri="{FF2B5EF4-FFF2-40B4-BE49-F238E27FC236}">
                <a16:creationId xmlns:a16="http://schemas.microsoft.com/office/drawing/2014/main" id="{AEEAB817-A0F1-46F4-860C-59E3CF31BD58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753" y="57"/>
            <a:ext cx="550" cy="2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grpSp>
        <xdr:nvGrpSpPr>
          <xdr:cNvPr id="4" name="Group 252">
            <a:extLst>
              <a:ext uri="{FF2B5EF4-FFF2-40B4-BE49-F238E27FC236}">
                <a16:creationId xmlns:a16="http://schemas.microsoft.com/office/drawing/2014/main" id="{E378F07F-3D4B-4684-B1E9-BD89D6111BF3}"/>
              </a:ext>
            </a:extLst>
          </xdr:cNvPr>
          <xdr:cNvGrpSpPr>
            <a:grpSpLocks/>
          </xdr:cNvGrpSpPr>
        </xdr:nvGrpSpPr>
        <xdr:grpSpPr bwMode="auto">
          <a:xfrm>
            <a:off x="821" y="106"/>
            <a:ext cx="402" cy="191"/>
            <a:chOff x="821" y="106"/>
            <a:chExt cx="402" cy="191"/>
          </a:xfrm>
        </xdr:grpSpPr>
        <xdr:sp macro="" textlink="">
          <xdr:nvSpPr>
            <xdr:cNvPr id="341" name="Line 52">
              <a:extLst>
                <a:ext uri="{FF2B5EF4-FFF2-40B4-BE49-F238E27FC236}">
                  <a16:creationId xmlns:a16="http://schemas.microsoft.com/office/drawing/2014/main" id="{6F425848-B764-4C0B-B678-2E0D84BA045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23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2" name="Line 53">
              <a:extLst>
                <a:ext uri="{FF2B5EF4-FFF2-40B4-BE49-F238E27FC236}">
                  <a16:creationId xmlns:a16="http://schemas.microsoft.com/office/drawing/2014/main" id="{44AEA5A8-776A-42ED-AA8F-2DD7A01D0A6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32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3" name="Line 54">
              <a:extLst>
                <a:ext uri="{FF2B5EF4-FFF2-40B4-BE49-F238E27FC236}">
                  <a16:creationId xmlns:a16="http://schemas.microsoft.com/office/drawing/2014/main" id="{9A0ACC5F-21B3-480A-BAAC-779C6C075E8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0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4" name="Line 55">
              <a:extLst>
                <a:ext uri="{FF2B5EF4-FFF2-40B4-BE49-F238E27FC236}">
                  <a16:creationId xmlns:a16="http://schemas.microsoft.com/office/drawing/2014/main" id="{2355EF4B-EC08-4CB2-80DD-479DE254B95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9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5" name="Line 56">
              <a:extLst>
                <a:ext uri="{FF2B5EF4-FFF2-40B4-BE49-F238E27FC236}">
                  <a16:creationId xmlns:a16="http://schemas.microsoft.com/office/drawing/2014/main" id="{1F35206E-595D-434A-96E5-C566472216A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57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6" name="Line 57">
              <a:extLst>
                <a:ext uri="{FF2B5EF4-FFF2-40B4-BE49-F238E27FC236}">
                  <a16:creationId xmlns:a16="http://schemas.microsoft.com/office/drawing/2014/main" id="{319C0ECA-75BD-4F5F-892F-DA3FCA5111A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66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7" name="Line 58">
              <a:extLst>
                <a:ext uri="{FF2B5EF4-FFF2-40B4-BE49-F238E27FC236}">
                  <a16:creationId xmlns:a16="http://schemas.microsoft.com/office/drawing/2014/main" id="{CB3FBC6E-BAA7-4594-9478-84F8679F32D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74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8" name="Line 59">
              <a:extLst>
                <a:ext uri="{FF2B5EF4-FFF2-40B4-BE49-F238E27FC236}">
                  <a16:creationId xmlns:a16="http://schemas.microsoft.com/office/drawing/2014/main" id="{65435396-A4FF-4EF3-A4C2-89C37DDE05B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83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9" name="Line 60">
              <a:extLst>
                <a:ext uri="{FF2B5EF4-FFF2-40B4-BE49-F238E27FC236}">
                  <a16:creationId xmlns:a16="http://schemas.microsoft.com/office/drawing/2014/main" id="{DC2B7061-4849-4CE2-97ED-C2D65F4E966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91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0" name="Line 61">
              <a:extLst>
                <a:ext uri="{FF2B5EF4-FFF2-40B4-BE49-F238E27FC236}">
                  <a16:creationId xmlns:a16="http://schemas.microsoft.com/office/drawing/2014/main" id="{A190AC63-69EF-48AB-83D9-B884F87D024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0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1" name="Line 62">
              <a:extLst>
                <a:ext uri="{FF2B5EF4-FFF2-40B4-BE49-F238E27FC236}">
                  <a16:creationId xmlns:a16="http://schemas.microsoft.com/office/drawing/2014/main" id="{B9E09D49-7588-40A2-990B-7502A19B9E9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8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2" name="Line 63">
              <a:extLst>
                <a:ext uri="{FF2B5EF4-FFF2-40B4-BE49-F238E27FC236}">
                  <a16:creationId xmlns:a16="http://schemas.microsoft.com/office/drawing/2014/main" id="{9C7F3C71-8235-4153-AA95-5E8B69425AD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17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3" name="Line 64">
              <a:extLst>
                <a:ext uri="{FF2B5EF4-FFF2-40B4-BE49-F238E27FC236}">
                  <a16:creationId xmlns:a16="http://schemas.microsoft.com/office/drawing/2014/main" id="{7DAF4734-64E7-4871-BE80-C26A1C8A460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25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4" name="Line 65">
              <a:extLst>
                <a:ext uri="{FF2B5EF4-FFF2-40B4-BE49-F238E27FC236}">
                  <a16:creationId xmlns:a16="http://schemas.microsoft.com/office/drawing/2014/main" id="{205CB0E9-47D9-4C7F-B3F6-BCD83A2E4CA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34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5" name="Line 66">
              <a:extLst>
                <a:ext uri="{FF2B5EF4-FFF2-40B4-BE49-F238E27FC236}">
                  <a16:creationId xmlns:a16="http://schemas.microsoft.com/office/drawing/2014/main" id="{5CABD534-E240-47D8-BB22-EA0C8F58292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42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6" name="Line 67">
              <a:extLst>
                <a:ext uri="{FF2B5EF4-FFF2-40B4-BE49-F238E27FC236}">
                  <a16:creationId xmlns:a16="http://schemas.microsoft.com/office/drawing/2014/main" id="{5A6D989B-CA83-4D27-A100-EBEEA5D27BB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1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7" name="Line 68">
              <a:extLst>
                <a:ext uri="{FF2B5EF4-FFF2-40B4-BE49-F238E27FC236}">
                  <a16:creationId xmlns:a16="http://schemas.microsoft.com/office/drawing/2014/main" id="{DA337306-2248-4DB0-8CDC-921DD581BB9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9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8" name="Line 69">
              <a:extLst>
                <a:ext uri="{FF2B5EF4-FFF2-40B4-BE49-F238E27FC236}">
                  <a16:creationId xmlns:a16="http://schemas.microsoft.com/office/drawing/2014/main" id="{89462B3E-A3A6-4679-885C-5863D6C36FC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68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9" name="Line 70">
              <a:extLst>
                <a:ext uri="{FF2B5EF4-FFF2-40B4-BE49-F238E27FC236}">
                  <a16:creationId xmlns:a16="http://schemas.microsoft.com/office/drawing/2014/main" id="{22260A7E-2EAD-45EF-8A95-27F981DF2A1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76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0" name="Line 71">
              <a:extLst>
                <a:ext uri="{FF2B5EF4-FFF2-40B4-BE49-F238E27FC236}">
                  <a16:creationId xmlns:a16="http://schemas.microsoft.com/office/drawing/2014/main" id="{5A4D2C5D-F383-4215-BD28-B64EE635A9C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5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1" name="Line 72">
              <a:extLst>
                <a:ext uri="{FF2B5EF4-FFF2-40B4-BE49-F238E27FC236}">
                  <a16:creationId xmlns:a16="http://schemas.microsoft.com/office/drawing/2014/main" id="{F0147073-525F-4F40-A60E-D6E5FE40C4A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8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2" name="Line 73">
              <a:extLst>
                <a:ext uri="{FF2B5EF4-FFF2-40B4-BE49-F238E27FC236}">
                  <a16:creationId xmlns:a16="http://schemas.microsoft.com/office/drawing/2014/main" id="{FD7E3395-86DA-460A-8F89-D99F212C43D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3" name="Line 74">
              <a:extLst>
                <a:ext uri="{FF2B5EF4-FFF2-40B4-BE49-F238E27FC236}">
                  <a16:creationId xmlns:a16="http://schemas.microsoft.com/office/drawing/2014/main" id="{9883A2B6-6F03-4A5A-BFCD-7A1756EACA3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8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4" name="Line 75">
              <a:extLst>
                <a:ext uri="{FF2B5EF4-FFF2-40B4-BE49-F238E27FC236}">
                  <a16:creationId xmlns:a16="http://schemas.microsoft.com/office/drawing/2014/main" id="{F59526A2-F4CE-474D-930F-3F0E7272ED6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7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5" name="Line 76">
              <a:extLst>
                <a:ext uri="{FF2B5EF4-FFF2-40B4-BE49-F238E27FC236}">
                  <a16:creationId xmlns:a16="http://schemas.microsoft.com/office/drawing/2014/main" id="{5C8C8E07-6A82-4B51-B5B4-077CC2598A9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6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6" name="Line 77">
              <a:extLst>
                <a:ext uri="{FF2B5EF4-FFF2-40B4-BE49-F238E27FC236}">
                  <a16:creationId xmlns:a16="http://schemas.microsoft.com/office/drawing/2014/main" id="{684ECFDF-A33A-4FF4-8FEC-64BF39E36CB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5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7" name="Line 78">
              <a:extLst>
                <a:ext uri="{FF2B5EF4-FFF2-40B4-BE49-F238E27FC236}">
                  <a16:creationId xmlns:a16="http://schemas.microsoft.com/office/drawing/2014/main" id="{3C1E5FED-FAB1-4FAA-90E7-98E60AC1CD7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47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8" name="Line 79">
              <a:extLst>
                <a:ext uri="{FF2B5EF4-FFF2-40B4-BE49-F238E27FC236}">
                  <a16:creationId xmlns:a16="http://schemas.microsoft.com/office/drawing/2014/main" id="{5B2B860D-CD4E-4952-83EB-97198298DF6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9" name="Line 80">
              <a:extLst>
                <a:ext uri="{FF2B5EF4-FFF2-40B4-BE49-F238E27FC236}">
                  <a16:creationId xmlns:a16="http://schemas.microsoft.com/office/drawing/2014/main" id="{E7ABC521-74AC-4105-B378-E811BBE5814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0" name="Line 81">
              <a:extLst>
                <a:ext uri="{FF2B5EF4-FFF2-40B4-BE49-F238E27FC236}">
                  <a16:creationId xmlns:a16="http://schemas.microsoft.com/office/drawing/2014/main" id="{9D8E877C-1B8D-4BFA-876B-8B498644415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2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1" name="Line 82">
              <a:extLst>
                <a:ext uri="{FF2B5EF4-FFF2-40B4-BE49-F238E27FC236}">
                  <a16:creationId xmlns:a16="http://schemas.microsoft.com/office/drawing/2014/main" id="{30618603-FDB1-45B5-A160-41BEB46D8FC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1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2" name="Line 83">
              <a:extLst>
                <a:ext uri="{FF2B5EF4-FFF2-40B4-BE49-F238E27FC236}">
                  <a16:creationId xmlns:a16="http://schemas.microsoft.com/office/drawing/2014/main" id="{469BAF0C-1075-4FD8-864B-613B5BC7AB4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3" name="Freeform 84">
              <a:extLst>
                <a:ext uri="{FF2B5EF4-FFF2-40B4-BE49-F238E27FC236}">
                  <a16:creationId xmlns:a16="http://schemas.microsoft.com/office/drawing/2014/main" id="{72DBCFAD-264A-4DCB-8E41-E9147BB05BBD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105 h 105"/>
                <a:gd name="T2" fmla="*/ 1979 w 1979"/>
                <a:gd name="T3" fmla="*/ 0 h 105"/>
                <a:gd name="T4" fmla="*/ 0 w 1979"/>
                <a:gd name="T5" fmla="*/ 105 h 105"/>
                <a:gd name="T6" fmla="*/ 1979 w 197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105"/>
                  </a:moveTo>
                  <a:lnTo>
                    <a:pt x="1979" y="0"/>
                  </a:lnTo>
                  <a:lnTo>
                    <a:pt x="0" y="105"/>
                  </a:lnTo>
                  <a:lnTo>
                    <a:pt x="1979" y="10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4" name="Freeform 85">
              <a:extLst>
                <a:ext uri="{FF2B5EF4-FFF2-40B4-BE49-F238E27FC236}">
                  <a16:creationId xmlns:a16="http://schemas.microsoft.com/office/drawing/2014/main" id="{93FE149E-38C4-4591-AB04-F84629EE4FB8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0 h 105"/>
                <a:gd name="T2" fmla="*/ 0 w 1979"/>
                <a:gd name="T3" fmla="*/ 105 h 105"/>
                <a:gd name="T4" fmla="*/ 18 w 1979"/>
                <a:gd name="T5" fmla="*/ 0 h 105"/>
                <a:gd name="T6" fmla="*/ 1979 w 1979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0"/>
                  </a:moveTo>
                  <a:lnTo>
                    <a:pt x="0" y="105"/>
                  </a:lnTo>
                  <a:lnTo>
                    <a:pt x="18" y="0"/>
                  </a:lnTo>
                  <a:lnTo>
                    <a:pt x="197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5" name="Freeform 86">
              <a:extLst>
                <a:ext uri="{FF2B5EF4-FFF2-40B4-BE49-F238E27FC236}">
                  <a16:creationId xmlns:a16="http://schemas.microsoft.com/office/drawing/2014/main" id="{965BF2E9-3BF2-49D1-AB87-C33D92458DDD}"/>
                </a:ext>
              </a:extLst>
            </xdr:cNvPr>
            <xdr:cNvSpPr>
              <a:spLocks/>
            </xdr:cNvSpPr>
          </xdr:nvSpPr>
          <xdr:spPr bwMode="auto">
            <a:xfrm>
              <a:off x="1028" y="238"/>
              <a:ext cx="162" cy="59"/>
            </a:xfrm>
            <a:custGeom>
              <a:avLst/>
              <a:gdLst>
                <a:gd name="T0" fmla="*/ 9523 w 9541"/>
                <a:gd name="T1" fmla="*/ 3477 h 3477"/>
                <a:gd name="T2" fmla="*/ 9541 w 9541"/>
                <a:gd name="T3" fmla="*/ 3372 h 3477"/>
                <a:gd name="T4" fmla="*/ 0 w 9541"/>
                <a:gd name="T5" fmla="*/ 0 h 3477"/>
                <a:gd name="T6" fmla="*/ 9523 w 9541"/>
                <a:gd name="T7" fmla="*/ 3477 h 34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7">
                  <a:moveTo>
                    <a:pt x="9523" y="3477"/>
                  </a:moveTo>
                  <a:lnTo>
                    <a:pt x="9541" y="3372"/>
                  </a:lnTo>
                  <a:lnTo>
                    <a:pt x="0" y="0"/>
                  </a:lnTo>
                  <a:lnTo>
                    <a:pt x="9523" y="347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6" name="Freeform 87">
              <a:extLst>
                <a:ext uri="{FF2B5EF4-FFF2-40B4-BE49-F238E27FC236}">
                  <a16:creationId xmlns:a16="http://schemas.microsoft.com/office/drawing/2014/main" id="{66FD000F-0837-4B1F-A269-17DBE626F487}"/>
                </a:ext>
              </a:extLst>
            </xdr:cNvPr>
            <xdr:cNvSpPr>
              <a:spLocks/>
            </xdr:cNvSpPr>
          </xdr:nvSpPr>
          <xdr:spPr bwMode="auto">
            <a:xfrm>
              <a:off x="1028" y="237"/>
              <a:ext cx="162" cy="59"/>
            </a:xfrm>
            <a:custGeom>
              <a:avLst/>
              <a:gdLst>
                <a:gd name="T0" fmla="*/ 9541 w 9541"/>
                <a:gd name="T1" fmla="*/ 3478 h 3478"/>
                <a:gd name="T2" fmla="*/ 0 w 9541"/>
                <a:gd name="T3" fmla="*/ 106 h 3478"/>
                <a:gd name="T4" fmla="*/ 18 w 9541"/>
                <a:gd name="T5" fmla="*/ 0 h 3478"/>
                <a:gd name="T6" fmla="*/ 9541 w 9541"/>
                <a:gd name="T7" fmla="*/ 3478 h 34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8">
                  <a:moveTo>
                    <a:pt x="9541" y="3478"/>
                  </a:moveTo>
                  <a:lnTo>
                    <a:pt x="0" y="106"/>
                  </a:lnTo>
                  <a:lnTo>
                    <a:pt x="18" y="0"/>
                  </a:lnTo>
                  <a:lnTo>
                    <a:pt x="9541" y="3478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7" name="Freeform 88">
              <a:extLst>
                <a:ext uri="{FF2B5EF4-FFF2-40B4-BE49-F238E27FC236}">
                  <a16:creationId xmlns:a16="http://schemas.microsoft.com/office/drawing/2014/main" id="{8BF07EFF-CB88-4D6F-9F52-DBFE262C2908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35 w 11553"/>
                <a:gd name="T1" fmla="*/ 106 h 106"/>
                <a:gd name="T2" fmla="*/ 11553 w 11553"/>
                <a:gd name="T3" fmla="*/ 0 h 106"/>
                <a:gd name="T4" fmla="*/ 0 w 11553"/>
                <a:gd name="T5" fmla="*/ 106 h 106"/>
                <a:gd name="T6" fmla="*/ 11535 w 11553"/>
                <a:gd name="T7" fmla="*/ 106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35" y="106"/>
                  </a:moveTo>
                  <a:lnTo>
                    <a:pt x="11553" y="0"/>
                  </a:lnTo>
                  <a:lnTo>
                    <a:pt x="0" y="106"/>
                  </a:lnTo>
                  <a:lnTo>
                    <a:pt x="11535" y="10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8" name="Freeform 89">
              <a:extLst>
                <a:ext uri="{FF2B5EF4-FFF2-40B4-BE49-F238E27FC236}">
                  <a16:creationId xmlns:a16="http://schemas.microsoft.com/office/drawing/2014/main" id="{BBB0E8B1-78C5-44BA-B976-331621C3E178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53 w 11553"/>
                <a:gd name="T1" fmla="*/ 0 h 106"/>
                <a:gd name="T2" fmla="*/ 0 w 11553"/>
                <a:gd name="T3" fmla="*/ 106 h 106"/>
                <a:gd name="T4" fmla="*/ 0 w 11553"/>
                <a:gd name="T5" fmla="*/ 0 h 106"/>
                <a:gd name="T6" fmla="*/ 11553 w 115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53" y="0"/>
                  </a:moveTo>
                  <a:lnTo>
                    <a:pt x="0" y="106"/>
                  </a:lnTo>
                  <a:lnTo>
                    <a:pt x="0" y="0"/>
                  </a:lnTo>
                  <a:lnTo>
                    <a:pt x="1155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9" name="Freeform 90">
              <a:extLst>
                <a:ext uri="{FF2B5EF4-FFF2-40B4-BE49-F238E27FC236}">
                  <a16:creationId xmlns:a16="http://schemas.microsoft.com/office/drawing/2014/main" id="{4C945F68-15B0-4D68-AC5C-CDF277A3D55E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76"/>
                <a:gd name="T1" fmla="*/ 7696 h 7794"/>
                <a:gd name="T2" fmla="*/ 36 w 21076"/>
                <a:gd name="T3" fmla="*/ 7794 h 7794"/>
                <a:gd name="T4" fmla="*/ 21076 w 21076"/>
                <a:gd name="T5" fmla="*/ 0 h 7794"/>
                <a:gd name="T6" fmla="*/ 0 w 21076"/>
                <a:gd name="T7" fmla="*/ 7696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76" h="7794">
                  <a:moveTo>
                    <a:pt x="0" y="7696"/>
                  </a:moveTo>
                  <a:lnTo>
                    <a:pt x="36" y="7794"/>
                  </a:lnTo>
                  <a:lnTo>
                    <a:pt x="21076" y="0"/>
                  </a:lnTo>
                  <a:lnTo>
                    <a:pt x="0" y="769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0" name="Freeform 91">
              <a:extLst>
                <a:ext uri="{FF2B5EF4-FFF2-40B4-BE49-F238E27FC236}">
                  <a16:creationId xmlns:a16="http://schemas.microsoft.com/office/drawing/2014/main" id="{BD43B8FF-1F05-4165-8748-5DAF134BEF4E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58"/>
                <a:gd name="T1" fmla="*/ 7794 h 7794"/>
                <a:gd name="T2" fmla="*/ 21040 w 21058"/>
                <a:gd name="T3" fmla="*/ 0 h 7794"/>
                <a:gd name="T4" fmla="*/ 21058 w 21058"/>
                <a:gd name="T5" fmla="*/ 107 h 7794"/>
                <a:gd name="T6" fmla="*/ 0 w 21058"/>
                <a:gd name="T7" fmla="*/ 7794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58" h="7794">
                  <a:moveTo>
                    <a:pt x="0" y="7794"/>
                  </a:moveTo>
                  <a:lnTo>
                    <a:pt x="21040" y="0"/>
                  </a:lnTo>
                  <a:lnTo>
                    <a:pt x="21058" y="107"/>
                  </a:lnTo>
                  <a:lnTo>
                    <a:pt x="0" y="779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1" name="Freeform 92">
              <a:extLst>
                <a:ext uri="{FF2B5EF4-FFF2-40B4-BE49-F238E27FC236}">
                  <a16:creationId xmlns:a16="http://schemas.microsoft.com/office/drawing/2014/main" id="{A2CD8988-3232-48C5-A569-5435D606ADD5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79"/>
                <a:gd name="T1" fmla="*/ 0 h 107"/>
                <a:gd name="T2" fmla="*/ 18 w 1979"/>
                <a:gd name="T3" fmla="*/ 107 h 107"/>
                <a:gd name="T4" fmla="*/ 1979 w 1979"/>
                <a:gd name="T5" fmla="*/ 0 h 107"/>
                <a:gd name="T6" fmla="*/ 0 w 1979"/>
                <a:gd name="T7" fmla="*/ 0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7">
                  <a:moveTo>
                    <a:pt x="0" y="0"/>
                  </a:moveTo>
                  <a:lnTo>
                    <a:pt x="18" y="107"/>
                  </a:lnTo>
                  <a:lnTo>
                    <a:pt x="1979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2" name="Freeform 93">
              <a:extLst>
                <a:ext uri="{FF2B5EF4-FFF2-40B4-BE49-F238E27FC236}">
                  <a16:creationId xmlns:a16="http://schemas.microsoft.com/office/drawing/2014/main" id="{6ED4715B-7DCE-4C18-B3A5-4DC2E2227F1B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61"/>
                <a:gd name="T1" fmla="*/ 107 h 107"/>
                <a:gd name="T2" fmla="*/ 1961 w 1961"/>
                <a:gd name="T3" fmla="*/ 0 h 107"/>
                <a:gd name="T4" fmla="*/ 1961 w 1961"/>
                <a:gd name="T5" fmla="*/ 107 h 107"/>
                <a:gd name="T6" fmla="*/ 0 w 1961"/>
                <a:gd name="T7" fmla="*/ 107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61" h="107">
                  <a:moveTo>
                    <a:pt x="0" y="107"/>
                  </a:moveTo>
                  <a:lnTo>
                    <a:pt x="1961" y="0"/>
                  </a:lnTo>
                  <a:lnTo>
                    <a:pt x="1961" y="107"/>
                  </a:lnTo>
                  <a:lnTo>
                    <a:pt x="0" y="10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3" name="Line 94">
              <a:extLst>
                <a:ext uri="{FF2B5EF4-FFF2-40B4-BE49-F238E27FC236}">
                  <a16:creationId xmlns:a16="http://schemas.microsoft.com/office/drawing/2014/main" id="{9D25E4D5-C635-4734-9E8E-861E9953E65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928" y="202"/>
              <a:ext cx="262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4" name="Line 95">
              <a:extLst>
                <a:ext uri="{FF2B5EF4-FFF2-40B4-BE49-F238E27FC236}">
                  <a16:creationId xmlns:a16="http://schemas.microsoft.com/office/drawing/2014/main" id="{63121ED8-D745-4DB8-959E-0A24E430244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93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5" name="Line 96">
              <a:extLst>
                <a:ext uri="{FF2B5EF4-FFF2-40B4-BE49-F238E27FC236}">
                  <a16:creationId xmlns:a16="http://schemas.microsoft.com/office/drawing/2014/main" id="{A22A0B9A-1DF0-4BB1-BFC7-B6D4391B581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8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6" name="Line 97">
              <a:extLst>
                <a:ext uri="{FF2B5EF4-FFF2-40B4-BE49-F238E27FC236}">
                  <a16:creationId xmlns:a16="http://schemas.microsoft.com/office/drawing/2014/main" id="{CA82D550-74F8-4A1D-B045-8BEA3896BDF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7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7" name="Line 98">
              <a:extLst>
                <a:ext uri="{FF2B5EF4-FFF2-40B4-BE49-F238E27FC236}">
                  <a16:creationId xmlns:a16="http://schemas.microsoft.com/office/drawing/2014/main" id="{7DF16EE7-D0DF-4190-AB74-48BFFD35899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6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8" name="Line 99">
              <a:extLst>
                <a:ext uri="{FF2B5EF4-FFF2-40B4-BE49-F238E27FC236}">
                  <a16:creationId xmlns:a16="http://schemas.microsoft.com/office/drawing/2014/main" id="{D3F058D2-CE5A-45D3-BDA4-7EF31FEDE40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9" name="Line 100">
              <a:extLst>
                <a:ext uri="{FF2B5EF4-FFF2-40B4-BE49-F238E27FC236}">
                  <a16:creationId xmlns:a16="http://schemas.microsoft.com/office/drawing/2014/main" id="{8C855770-1BD2-4546-B6E1-303B0F5877C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0" name="Line 101">
              <a:extLst>
                <a:ext uri="{FF2B5EF4-FFF2-40B4-BE49-F238E27FC236}">
                  <a16:creationId xmlns:a16="http://schemas.microsoft.com/office/drawing/2014/main" id="{64475E4D-CDD7-4728-925E-362F895767E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4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1" name="Line 102">
              <a:extLst>
                <a:ext uri="{FF2B5EF4-FFF2-40B4-BE49-F238E27FC236}">
                  <a16:creationId xmlns:a16="http://schemas.microsoft.com/office/drawing/2014/main" id="{D46A158B-EF51-4470-859B-9C9D8E29965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3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2" name="Line 103">
              <a:extLst>
                <a:ext uri="{FF2B5EF4-FFF2-40B4-BE49-F238E27FC236}">
                  <a16:creationId xmlns:a16="http://schemas.microsoft.com/office/drawing/2014/main" id="{04EA86BC-D52E-4470-A50B-6429B0659C3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2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3" name="Line 104">
              <a:extLst>
                <a:ext uri="{FF2B5EF4-FFF2-40B4-BE49-F238E27FC236}">
                  <a16:creationId xmlns:a16="http://schemas.microsoft.com/office/drawing/2014/main" id="{6828FA29-1B0E-4B53-8482-DA8D8FFB621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1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4" name="Line 105">
              <a:extLst>
                <a:ext uri="{FF2B5EF4-FFF2-40B4-BE49-F238E27FC236}">
                  <a16:creationId xmlns:a16="http://schemas.microsoft.com/office/drawing/2014/main" id="{46373227-BC74-4797-BB4B-CD901FEFAAD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5" name="Line 106">
              <a:extLst>
                <a:ext uri="{FF2B5EF4-FFF2-40B4-BE49-F238E27FC236}">
                  <a16:creationId xmlns:a16="http://schemas.microsoft.com/office/drawing/2014/main" id="{6F3C7ABB-BDD1-455A-938C-0C0983C4184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2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6" name="Line 107">
              <a:extLst>
                <a:ext uri="{FF2B5EF4-FFF2-40B4-BE49-F238E27FC236}">
                  <a16:creationId xmlns:a16="http://schemas.microsoft.com/office/drawing/2014/main" id="{CAECF709-0F03-4164-A0FA-A45A4B1106D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7" name="Line 108">
              <a:extLst>
                <a:ext uri="{FF2B5EF4-FFF2-40B4-BE49-F238E27FC236}">
                  <a16:creationId xmlns:a16="http://schemas.microsoft.com/office/drawing/2014/main" id="{5D075EF8-CBB0-4A48-AC2E-3C863D72F36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8" name="Line 109">
              <a:extLst>
                <a:ext uri="{FF2B5EF4-FFF2-40B4-BE49-F238E27FC236}">
                  <a16:creationId xmlns:a16="http://schemas.microsoft.com/office/drawing/2014/main" id="{FA0DE985-BEC1-478F-86FF-F7981335DCE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9" name="Line 110">
              <a:extLst>
                <a:ext uri="{FF2B5EF4-FFF2-40B4-BE49-F238E27FC236}">
                  <a16:creationId xmlns:a16="http://schemas.microsoft.com/office/drawing/2014/main" id="{6FEA8D24-AAA7-4158-93BF-5733F0B3DD4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0" name="Line 111">
              <a:extLst>
                <a:ext uri="{FF2B5EF4-FFF2-40B4-BE49-F238E27FC236}">
                  <a16:creationId xmlns:a16="http://schemas.microsoft.com/office/drawing/2014/main" id="{B3AA0486-3F31-43CF-B09F-6F30CFDC292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1" name="Line 112">
              <a:extLst>
                <a:ext uri="{FF2B5EF4-FFF2-40B4-BE49-F238E27FC236}">
                  <a16:creationId xmlns:a16="http://schemas.microsoft.com/office/drawing/2014/main" id="{143CBA1E-21C6-4AF9-A92A-233B48C95D0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2" name="Line 113">
              <a:extLst>
                <a:ext uri="{FF2B5EF4-FFF2-40B4-BE49-F238E27FC236}">
                  <a16:creationId xmlns:a16="http://schemas.microsoft.com/office/drawing/2014/main" id="{C0027459-3F8F-4B74-B765-6AB1A787CEB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3" name="Line 114">
              <a:extLst>
                <a:ext uri="{FF2B5EF4-FFF2-40B4-BE49-F238E27FC236}">
                  <a16:creationId xmlns:a16="http://schemas.microsoft.com/office/drawing/2014/main" id="{90D6D799-5B3F-49D2-890F-B3FC37A8557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4" name="Line 115">
              <a:extLst>
                <a:ext uri="{FF2B5EF4-FFF2-40B4-BE49-F238E27FC236}">
                  <a16:creationId xmlns:a16="http://schemas.microsoft.com/office/drawing/2014/main" id="{2B463A8D-6836-4E56-B5AF-C774F96DAAC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5" name="Line 116">
              <a:extLst>
                <a:ext uri="{FF2B5EF4-FFF2-40B4-BE49-F238E27FC236}">
                  <a16:creationId xmlns:a16="http://schemas.microsoft.com/office/drawing/2014/main" id="{9CC14D33-65DA-4061-9C47-1416CE14B17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6" name="Line 117">
              <a:extLst>
                <a:ext uri="{FF2B5EF4-FFF2-40B4-BE49-F238E27FC236}">
                  <a16:creationId xmlns:a16="http://schemas.microsoft.com/office/drawing/2014/main" id="{7FE1F4E7-B310-4EBD-BE14-F99DD914DB5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7" name="Line 118">
              <a:extLst>
                <a:ext uri="{FF2B5EF4-FFF2-40B4-BE49-F238E27FC236}">
                  <a16:creationId xmlns:a16="http://schemas.microsoft.com/office/drawing/2014/main" id="{C1497F5C-E089-46D7-AF45-7DCD1112F0C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8" name="Line 119">
              <a:extLst>
                <a:ext uri="{FF2B5EF4-FFF2-40B4-BE49-F238E27FC236}">
                  <a16:creationId xmlns:a16="http://schemas.microsoft.com/office/drawing/2014/main" id="{6ECE451C-D206-4649-9E6A-3209B26E5E4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9" name="Line 120">
              <a:extLst>
                <a:ext uri="{FF2B5EF4-FFF2-40B4-BE49-F238E27FC236}">
                  <a16:creationId xmlns:a16="http://schemas.microsoft.com/office/drawing/2014/main" id="{7E3B924C-DCF8-4446-9996-97976A524D5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0" name="Line 121">
              <a:extLst>
                <a:ext uri="{FF2B5EF4-FFF2-40B4-BE49-F238E27FC236}">
                  <a16:creationId xmlns:a16="http://schemas.microsoft.com/office/drawing/2014/main" id="{38D8A4A0-7FE1-4E3E-92E8-4763B1E31F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1" name="Line 122">
              <a:extLst>
                <a:ext uri="{FF2B5EF4-FFF2-40B4-BE49-F238E27FC236}">
                  <a16:creationId xmlns:a16="http://schemas.microsoft.com/office/drawing/2014/main" id="{9F0040AC-6C7E-41C0-9B2A-FD94ACB1244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2" name="Line 123">
              <a:extLst>
                <a:ext uri="{FF2B5EF4-FFF2-40B4-BE49-F238E27FC236}">
                  <a16:creationId xmlns:a16="http://schemas.microsoft.com/office/drawing/2014/main" id="{19F3ADF7-1DA0-4269-BFBF-BAEE3F9C657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3" name="Line 124">
              <a:extLst>
                <a:ext uri="{FF2B5EF4-FFF2-40B4-BE49-F238E27FC236}">
                  <a16:creationId xmlns:a16="http://schemas.microsoft.com/office/drawing/2014/main" id="{4464B917-09AA-4773-A6E3-C4C4522A0F1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4" name="Line 125">
              <a:extLst>
                <a:ext uri="{FF2B5EF4-FFF2-40B4-BE49-F238E27FC236}">
                  <a16:creationId xmlns:a16="http://schemas.microsoft.com/office/drawing/2014/main" id="{B04D4FD5-02D3-456F-A54C-D9E675586D9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5" name="Line 126">
              <a:extLst>
                <a:ext uri="{FF2B5EF4-FFF2-40B4-BE49-F238E27FC236}">
                  <a16:creationId xmlns:a16="http://schemas.microsoft.com/office/drawing/2014/main" id="{6066C1CA-8EEB-4C0F-893D-3F8FB6B3321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6" name="Line 127">
              <a:extLst>
                <a:ext uri="{FF2B5EF4-FFF2-40B4-BE49-F238E27FC236}">
                  <a16:creationId xmlns:a16="http://schemas.microsoft.com/office/drawing/2014/main" id="{903A12DE-5360-420F-B717-EDA52099767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7" name="Line 128">
              <a:extLst>
                <a:ext uri="{FF2B5EF4-FFF2-40B4-BE49-F238E27FC236}">
                  <a16:creationId xmlns:a16="http://schemas.microsoft.com/office/drawing/2014/main" id="{788B25A3-1C37-49D5-99E6-F0D5CE7BD1D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8" name="Line 129">
              <a:extLst>
                <a:ext uri="{FF2B5EF4-FFF2-40B4-BE49-F238E27FC236}">
                  <a16:creationId xmlns:a16="http://schemas.microsoft.com/office/drawing/2014/main" id="{3590EE86-B8FA-44D1-95A6-B3C4ABD6DED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9" name="Line 130">
              <a:extLst>
                <a:ext uri="{FF2B5EF4-FFF2-40B4-BE49-F238E27FC236}">
                  <a16:creationId xmlns:a16="http://schemas.microsoft.com/office/drawing/2014/main" id="{0AC700B1-1865-440A-B337-73078F45AD1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0" name="Line 131">
              <a:extLst>
                <a:ext uri="{FF2B5EF4-FFF2-40B4-BE49-F238E27FC236}">
                  <a16:creationId xmlns:a16="http://schemas.microsoft.com/office/drawing/2014/main" id="{54DEA8FF-C588-4F97-AEE3-41F25D58E2F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1" name="Line 132">
              <a:extLst>
                <a:ext uri="{FF2B5EF4-FFF2-40B4-BE49-F238E27FC236}">
                  <a16:creationId xmlns:a16="http://schemas.microsoft.com/office/drawing/2014/main" id="{D2E1E39C-EC0C-44AC-9802-66992DBC9E5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2" name="Line 133">
              <a:extLst>
                <a:ext uri="{FF2B5EF4-FFF2-40B4-BE49-F238E27FC236}">
                  <a16:creationId xmlns:a16="http://schemas.microsoft.com/office/drawing/2014/main" id="{2485036C-A10D-47D7-A632-91A15FB3052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3" name="Line 134">
              <a:extLst>
                <a:ext uri="{FF2B5EF4-FFF2-40B4-BE49-F238E27FC236}">
                  <a16:creationId xmlns:a16="http://schemas.microsoft.com/office/drawing/2014/main" id="{A0BA9162-BE8F-4344-9C1C-8A8B4BADB2E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4" name="Line 135">
              <a:extLst>
                <a:ext uri="{FF2B5EF4-FFF2-40B4-BE49-F238E27FC236}">
                  <a16:creationId xmlns:a16="http://schemas.microsoft.com/office/drawing/2014/main" id="{7D0826B3-A3E1-43C0-8798-3FC8D08974F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5" name="Line 136">
              <a:extLst>
                <a:ext uri="{FF2B5EF4-FFF2-40B4-BE49-F238E27FC236}">
                  <a16:creationId xmlns:a16="http://schemas.microsoft.com/office/drawing/2014/main" id="{002DBAC5-DC43-4A23-9DD7-2661CA801D6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6" name="Line 137">
              <a:extLst>
                <a:ext uri="{FF2B5EF4-FFF2-40B4-BE49-F238E27FC236}">
                  <a16:creationId xmlns:a16="http://schemas.microsoft.com/office/drawing/2014/main" id="{DEAC8A55-BEAA-4B15-9522-3307B8644D6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7" name="Line 138">
              <a:extLst>
                <a:ext uri="{FF2B5EF4-FFF2-40B4-BE49-F238E27FC236}">
                  <a16:creationId xmlns:a16="http://schemas.microsoft.com/office/drawing/2014/main" id="{B55B6733-8F91-4CA0-B94C-A96FB41BC8C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8" name="Line 139">
              <a:extLst>
                <a:ext uri="{FF2B5EF4-FFF2-40B4-BE49-F238E27FC236}">
                  <a16:creationId xmlns:a16="http://schemas.microsoft.com/office/drawing/2014/main" id="{2E7A5CB4-B554-41B2-A1C0-2278961D631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9" name="Line 140">
              <a:extLst>
                <a:ext uri="{FF2B5EF4-FFF2-40B4-BE49-F238E27FC236}">
                  <a16:creationId xmlns:a16="http://schemas.microsoft.com/office/drawing/2014/main" id="{D0AF0675-283F-4F7A-9AB6-AF9342EAFAA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0" name="Line 141">
              <a:extLst>
                <a:ext uri="{FF2B5EF4-FFF2-40B4-BE49-F238E27FC236}">
                  <a16:creationId xmlns:a16="http://schemas.microsoft.com/office/drawing/2014/main" id="{1F461202-D375-4E70-9822-4A088F73004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1" name="Line 142">
              <a:extLst>
                <a:ext uri="{FF2B5EF4-FFF2-40B4-BE49-F238E27FC236}">
                  <a16:creationId xmlns:a16="http://schemas.microsoft.com/office/drawing/2014/main" id="{5BA0D96E-E0F0-45D9-8034-C14776C08BA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2" name="Line 143">
              <a:extLst>
                <a:ext uri="{FF2B5EF4-FFF2-40B4-BE49-F238E27FC236}">
                  <a16:creationId xmlns:a16="http://schemas.microsoft.com/office/drawing/2014/main" id="{A1F66930-50FF-4D54-B7AB-C9B62615E7A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3" name="Line 144">
              <a:extLst>
                <a:ext uri="{FF2B5EF4-FFF2-40B4-BE49-F238E27FC236}">
                  <a16:creationId xmlns:a16="http://schemas.microsoft.com/office/drawing/2014/main" id="{97846A93-76E2-4D8A-8704-8634DC3FCB8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4" name="Line 145">
              <a:extLst>
                <a:ext uri="{FF2B5EF4-FFF2-40B4-BE49-F238E27FC236}">
                  <a16:creationId xmlns:a16="http://schemas.microsoft.com/office/drawing/2014/main" id="{B8EA81DB-5F9B-4640-AD79-0452A1D0979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5" name="Line 146">
              <a:extLst>
                <a:ext uri="{FF2B5EF4-FFF2-40B4-BE49-F238E27FC236}">
                  <a16:creationId xmlns:a16="http://schemas.microsoft.com/office/drawing/2014/main" id="{51FAD4DB-464F-4FB5-93BC-5B4E3618840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6" name="Line 147">
              <a:extLst>
                <a:ext uri="{FF2B5EF4-FFF2-40B4-BE49-F238E27FC236}">
                  <a16:creationId xmlns:a16="http://schemas.microsoft.com/office/drawing/2014/main" id="{E1E5C3F6-E015-465F-9A1F-4E2C35ECB1A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7" name="Line 148">
              <a:extLst>
                <a:ext uri="{FF2B5EF4-FFF2-40B4-BE49-F238E27FC236}">
                  <a16:creationId xmlns:a16="http://schemas.microsoft.com/office/drawing/2014/main" id="{964CC6C1-CBD3-434E-B563-FDF256FB7DF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8" name="Line 149">
              <a:extLst>
                <a:ext uri="{FF2B5EF4-FFF2-40B4-BE49-F238E27FC236}">
                  <a16:creationId xmlns:a16="http://schemas.microsoft.com/office/drawing/2014/main" id="{5C47EB1D-E3A7-4FE3-A6F7-C6B5BFA3BED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9" name="Line 150">
              <a:extLst>
                <a:ext uri="{FF2B5EF4-FFF2-40B4-BE49-F238E27FC236}">
                  <a16:creationId xmlns:a16="http://schemas.microsoft.com/office/drawing/2014/main" id="{D0E9FA3C-9C38-4AA0-AE6F-2905E30BCAE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0" name="Line 151">
              <a:extLst>
                <a:ext uri="{FF2B5EF4-FFF2-40B4-BE49-F238E27FC236}">
                  <a16:creationId xmlns:a16="http://schemas.microsoft.com/office/drawing/2014/main" id="{2AB73413-3B86-408C-9816-B1FBCDC44CF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1" name="Line 152">
              <a:extLst>
                <a:ext uri="{FF2B5EF4-FFF2-40B4-BE49-F238E27FC236}">
                  <a16:creationId xmlns:a16="http://schemas.microsoft.com/office/drawing/2014/main" id="{8E21DD1B-C549-4BD0-854D-2C3E64B1E22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2" name="Line 153">
              <a:extLst>
                <a:ext uri="{FF2B5EF4-FFF2-40B4-BE49-F238E27FC236}">
                  <a16:creationId xmlns:a16="http://schemas.microsoft.com/office/drawing/2014/main" id="{3AFDE63D-63EE-4BEA-97F2-8B34B21DA13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3" name="Line 154">
              <a:extLst>
                <a:ext uri="{FF2B5EF4-FFF2-40B4-BE49-F238E27FC236}">
                  <a16:creationId xmlns:a16="http://schemas.microsoft.com/office/drawing/2014/main" id="{7BB1CE56-747B-4F20-BF1B-E9D926F59FB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4" name="Line 155">
              <a:extLst>
                <a:ext uri="{FF2B5EF4-FFF2-40B4-BE49-F238E27FC236}">
                  <a16:creationId xmlns:a16="http://schemas.microsoft.com/office/drawing/2014/main" id="{12084B4E-BA32-4BC8-8F64-54772529205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5" name="Line 156">
              <a:extLst>
                <a:ext uri="{FF2B5EF4-FFF2-40B4-BE49-F238E27FC236}">
                  <a16:creationId xmlns:a16="http://schemas.microsoft.com/office/drawing/2014/main" id="{CFFC41F8-A802-42D3-8EAD-7B62658A130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6" name="Line 157">
              <a:extLst>
                <a:ext uri="{FF2B5EF4-FFF2-40B4-BE49-F238E27FC236}">
                  <a16:creationId xmlns:a16="http://schemas.microsoft.com/office/drawing/2014/main" id="{05E8ADA3-3334-4492-9B23-79D42A4AC6B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7" name="Line 158">
              <a:extLst>
                <a:ext uri="{FF2B5EF4-FFF2-40B4-BE49-F238E27FC236}">
                  <a16:creationId xmlns:a16="http://schemas.microsoft.com/office/drawing/2014/main" id="{C1B6B12F-8162-440C-B6D2-1C5070D07DC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8" name="Line 159">
              <a:extLst>
                <a:ext uri="{FF2B5EF4-FFF2-40B4-BE49-F238E27FC236}">
                  <a16:creationId xmlns:a16="http://schemas.microsoft.com/office/drawing/2014/main" id="{340A3DBB-EF15-4F4E-AA6E-5EA412D6F7C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9" name="Line 160">
              <a:extLst>
                <a:ext uri="{FF2B5EF4-FFF2-40B4-BE49-F238E27FC236}">
                  <a16:creationId xmlns:a16="http://schemas.microsoft.com/office/drawing/2014/main" id="{FCECD902-50CF-47E1-BDF8-366E39AAD48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0" name="Line 161">
              <a:extLst>
                <a:ext uri="{FF2B5EF4-FFF2-40B4-BE49-F238E27FC236}">
                  <a16:creationId xmlns:a16="http://schemas.microsoft.com/office/drawing/2014/main" id="{E9F16A5A-77A8-48BB-BE3D-449DFAB74C0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1" name="Line 162">
              <a:extLst>
                <a:ext uri="{FF2B5EF4-FFF2-40B4-BE49-F238E27FC236}">
                  <a16:creationId xmlns:a16="http://schemas.microsoft.com/office/drawing/2014/main" id="{A41C3883-A8BE-4E73-B9D4-6D66A764AFD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2" name="Line 163">
              <a:extLst>
                <a:ext uri="{FF2B5EF4-FFF2-40B4-BE49-F238E27FC236}">
                  <a16:creationId xmlns:a16="http://schemas.microsoft.com/office/drawing/2014/main" id="{DB54227D-3E2F-4BFF-B934-F52659D6CD8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3" name="Line 164">
              <a:extLst>
                <a:ext uri="{FF2B5EF4-FFF2-40B4-BE49-F238E27FC236}">
                  <a16:creationId xmlns:a16="http://schemas.microsoft.com/office/drawing/2014/main" id="{3CA603B5-F0C3-4007-9517-D13EC02A5FA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4" name="Line 165">
              <a:extLst>
                <a:ext uri="{FF2B5EF4-FFF2-40B4-BE49-F238E27FC236}">
                  <a16:creationId xmlns:a16="http://schemas.microsoft.com/office/drawing/2014/main" id="{93764089-A689-48F1-A4BF-7355FA786C2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5" name="Line 166">
              <a:extLst>
                <a:ext uri="{FF2B5EF4-FFF2-40B4-BE49-F238E27FC236}">
                  <a16:creationId xmlns:a16="http://schemas.microsoft.com/office/drawing/2014/main" id="{21582B02-5789-4B2B-A229-6E100A171AD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6" name="Line 167">
              <a:extLst>
                <a:ext uri="{FF2B5EF4-FFF2-40B4-BE49-F238E27FC236}">
                  <a16:creationId xmlns:a16="http://schemas.microsoft.com/office/drawing/2014/main" id="{FEB557DC-3E71-400D-A789-E2D82C3100D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7" name="Line 168">
              <a:extLst>
                <a:ext uri="{FF2B5EF4-FFF2-40B4-BE49-F238E27FC236}">
                  <a16:creationId xmlns:a16="http://schemas.microsoft.com/office/drawing/2014/main" id="{F844332F-1738-48E9-8E6B-505632C0662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8" name="Line 169">
              <a:extLst>
                <a:ext uri="{FF2B5EF4-FFF2-40B4-BE49-F238E27FC236}">
                  <a16:creationId xmlns:a16="http://schemas.microsoft.com/office/drawing/2014/main" id="{6F068292-8E7C-4E3D-A1E8-BCD76B23611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9" name="Line 170">
              <a:extLst>
                <a:ext uri="{FF2B5EF4-FFF2-40B4-BE49-F238E27FC236}">
                  <a16:creationId xmlns:a16="http://schemas.microsoft.com/office/drawing/2014/main" id="{9F311855-238E-4A13-BAF0-57A78227E64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0" name="Line 171">
              <a:extLst>
                <a:ext uri="{FF2B5EF4-FFF2-40B4-BE49-F238E27FC236}">
                  <a16:creationId xmlns:a16="http://schemas.microsoft.com/office/drawing/2014/main" id="{FA0FC922-B913-45AD-A82F-DFDED56EF76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33" y="202"/>
              <a:ext cx="95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1" name="Freeform 172">
              <a:extLst>
                <a:ext uri="{FF2B5EF4-FFF2-40B4-BE49-F238E27FC236}">
                  <a16:creationId xmlns:a16="http://schemas.microsoft.com/office/drawing/2014/main" id="{52C57776-3F63-4A4C-8693-9B2044C7A1D3}"/>
                </a:ext>
              </a:extLst>
            </xdr:cNvPr>
            <xdr:cNvSpPr>
              <a:spLocks/>
            </xdr:cNvSpPr>
          </xdr:nvSpPr>
          <xdr:spPr bwMode="auto">
            <a:xfrm>
              <a:off x="821" y="188"/>
              <a:ext cx="6" cy="9"/>
            </a:xfrm>
            <a:custGeom>
              <a:avLst/>
              <a:gdLst>
                <a:gd name="T0" fmla="*/ 0 w 351"/>
                <a:gd name="T1" fmla="*/ 526 h 526"/>
                <a:gd name="T2" fmla="*/ 0 w 351"/>
                <a:gd name="T3" fmla="*/ 351 h 526"/>
                <a:gd name="T4" fmla="*/ 176 w 351"/>
                <a:gd name="T5" fmla="*/ 0 h 526"/>
                <a:gd name="T6" fmla="*/ 351 w 351"/>
                <a:gd name="T7" fmla="*/ 351 h 526"/>
                <a:gd name="T8" fmla="*/ 351 w 351"/>
                <a:gd name="T9" fmla="*/ 526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526">
                  <a:moveTo>
                    <a:pt x="0" y="526"/>
                  </a:moveTo>
                  <a:lnTo>
                    <a:pt x="0" y="351"/>
                  </a:lnTo>
                  <a:lnTo>
                    <a:pt x="176" y="0"/>
                  </a:lnTo>
                  <a:lnTo>
                    <a:pt x="351" y="351"/>
                  </a:lnTo>
                  <a:lnTo>
                    <a:pt x="351" y="526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62" name="Line 173">
              <a:extLst>
                <a:ext uri="{FF2B5EF4-FFF2-40B4-BE49-F238E27FC236}">
                  <a16:creationId xmlns:a16="http://schemas.microsoft.com/office/drawing/2014/main" id="{ED9BABD7-0B76-47DE-BC77-C7DB29374D7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1" y="194"/>
              <a:ext cx="6" cy="0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3" name="Freeform 174">
              <a:extLst>
                <a:ext uri="{FF2B5EF4-FFF2-40B4-BE49-F238E27FC236}">
                  <a16:creationId xmlns:a16="http://schemas.microsoft.com/office/drawing/2014/main" id="{6D1867AB-D2C3-48A3-B5AC-414A9EF20718}"/>
                </a:ext>
              </a:extLst>
            </xdr:cNvPr>
            <xdr:cNvSpPr>
              <a:spLocks/>
            </xdr:cNvSpPr>
          </xdr:nvSpPr>
          <xdr:spPr bwMode="auto">
            <a:xfrm>
              <a:off x="833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4" name="Freeform 175">
              <a:extLst>
                <a:ext uri="{FF2B5EF4-FFF2-40B4-BE49-F238E27FC236}">
                  <a16:creationId xmlns:a16="http://schemas.microsoft.com/office/drawing/2014/main" id="{082BE063-0A49-44C3-BC20-F27164044159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5" name="Freeform 176">
              <a:extLst>
                <a:ext uri="{FF2B5EF4-FFF2-40B4-BE49-F238E27FC236}">
                  <a16:creationId xmlns:a16="http://schemas.microsoft.com/office/drawing/2014/main" id="{E341C778-A22D-4565-8498-DDEDC7E3B3E4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1" cy="2"/>
            </a:xfrm>
            <a:custGeom>
              <a:avLst/>
              <a:gdLst>
                <a:gd name="T0" fmla="*/ 53 w 53"/>
                <a:gd name="T1" fmla="*/ 14 h 106"/>
                <a:gd name="T2" fmla="*/ 0 w 53"/>
                <a:gd name="T3" fmla="*/ 0 h 106"/>
                <a:gd name="T4" fmla="*/ 0 w 53"/>
                <a:gd name="T5" fmla="*/ 106 h 106"/>
                <a:gd name="T6" fmla="*/ 53 w 53"/>
                <a:gd name="T7" fmla="*/ 14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14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53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6" name="Freeform 177">
              <a:extLst>
                <a:ext uri="{FF2B5EF4-FFF2-40B4-BE49-F238E27FC236}">
                  <a16:creationId xmlns:a16="http://schemas.microsoft.com/office/drawing/2014/main" id="{12E82497-1C26-4305-B1A0-31840451AECE}"/>
                </a:ext>
              </a:extLst>
            </xdr:cNvPr>
            <xdr:cNvSpPr>
              <a:spLocks/>
            </xdr:cNvSpPr>
          </xdr:nvSpPr>
          <xdr:spPr bwMode="auto">
            <a:xfrm>
              <a:off x="832" y="200"/>
              <a:ext cx="1" cy="2"/>
            </a:xfrm>
            <a:custGeom>
              <a:avLst/>
              <a:gdLst>
                <a:gd name="T0" fmla="*/ 53 w 53"/>
                <a:gd name="T1" fmla="*/ 0 h 106"/>
                <a:gd name="T2" fmla="*/ 0 w 53"/>
                <a:gd name="T3" fmla="*/ 14 h 106"/>
                <a:gd name="T4" fmla="*/ 53 w 53"/>
                <a:gd name="T5" fmla="*/ 106 h 106"/>
                <a:gd name="T6" fmla="*/ 53 w 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0"/>
                  </a:moveTo>
                  <a:lnTo>
                    <a:pt x="0" y="14"/>
                  </a:lnTo>
                  <a:lnTo>
                    <a:pt x="53" y="106"/>
                  </a:lnTo>
                  <a:lnTo>
                    <a:pt x="5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7" name="Freeform 178">
              <a:extLst>
                <a:ext uri="{FF2B5EF4-FFF2-40B4-BE49-F238E27FC236}">
                  <a16:creationId xmlns:a16="http://schemas.microsoft.com/office/drawing/2014/main" id="{1E54F595-D92C-42B9-A4E5-632BFB7339CC}"/>
                </a:ext>
              </a:extLst>
            </xdr:cNvPr>
            <xdr:cNvSpPr>
              <a:spLocks/>
            </xdr:cNvSpPr>
          </xdr:nvSpPr>
          <xdr:spPr bwMode="auto">
            <a:xfrm>
              <a:off x="831" y="200"/>
              <a:ext cx="2" cy="2"/>
            </a:xfrm>
            <a:custGeom>
              <a:avLst/>
              <a:gdLst>
                <a:gd name="T0" fmla="*/ 38 w 91"/>
                <a:gd name="T1" fmla="*/ 0 h 92"/>
                <a:gd name="T2" fmla="*/ 0 w 91"/>
                <a:gd name="T3" fmla="*/ 39 h 92"/>
                <a:gd name="T4" fmla="*/ 91 w 91"/>
                <a:gd name="T5" fmla="*/ 92 h 92"/>
                <a:gd name="T6" fmla="*/ 38 w 91"/>
                <a:gd name="T7" fmla="*/ 0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38" y="0"/>
                  </a:moveTo>
                  <a:lnTo>
                    <a:pt x="0" y="39"/>
                  </a:lnTo>
                  <a:lnTo>
                    <a:pt x="91" y="92"/>
                  </a:lnTo>
                  <a:lnTo>
                    <a:pt x="3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8" name="Freeform 179">
              <a:extLst>
                <a:ext uri="{FF2B5EF4-FFF2-40B4-BE49-F238E27FC236}">
                  <a16:creationId xmlns:a16="http://schemas.microsoft.com/office/drawing/2014/main" id="{4F025C1D-896E-45A5-B6A3-40CB49BC2D66}"/>
                </a:ext>
              </a:extLst>
            </xdr:cNvPr>
            <xdr:cNvSpPr>
              <a:spLocks/>
            </xdr:cNvSpPr>
          </xdr:nvSpPr>
          <xdr:spPr bwMode="auto">
            <a:xfrm>
              <a:off x="831" y="201"/>
              <a:ext cx="2" cy="1"/>
            </a:xfrm>
            <a:custGeom>
              <a:avLst/>
              <a:gdLst>
                <a:gd name="T0" fmla="*/ 14 w 105"/>
                <a:gd name="T1" fmla="*/ 0 h 53"/>
                <a:gd name="T2" fmla="*/ 0 w 105"/>
                <a:gd name="T3" fmla="*/ 53 h 53"/>
                <a:gd name="T4" fmla="*/ 105 w 105"/>
                <a:gd name="T5" fmla="*/ 53 h 53"/>
                <a:gd name="T6" fmla="*/ 14 w 105"/>
                <a:gd name="T7" fmla="*/ 0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4" y="0"/>
                  </a:moveTo>
                  <a:lnTo>
                    <a:pt x="0" y="53"/>
                  </a:lnTo>
                  <a:lnTo>
                    <a:pt x="105" y="53"/>
                  </a:lnTo>
                  <a:lnTo>
                    <a:pt x="1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9" name="Freeform 180">
              <a:extLst>
                <a:ext uri="{FF2B5EF4-FFF2-40B4-BE49-F238E27FC236}">
                  <a16:creationId xmlns:a16="http://schemas.microsoft.com/office/drawing/2014/main" id="{B75B73F5-E3A6-4A08-AA16-A1C555FE4625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105"/>
                <a:gd name="T1" fmla="*/ 0 h 52"/>
                <a:gd name="T2" fmla="*/ 14 w 105"/>
                <a:gd name="T3" fmla="*/ 52 h 52"/>
                <a:gd name="T4" fmla="*/ 105 w 105"/>
                <a:gd name="T5" fmla="*/ 0 h 52"/>
                <a:gd name="T6" fmla="*/ 0 w 105"/>
                <a:gd name="T7" fmla="*/ 0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0" y="0"/>
                  </a:moveTo>
                  <a:lnTo>
                    <a:pt x="14" y="52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0" name="Freeform 181">
              <a:extLst>
                <a:ext uri="{FF2B5EF4-FFF2-40B4-BE49-F238E27FC236}">
                  <a16:creationId xmlns:a16="http://schemas.microsoft.com/office/drawing/2014/main" id="{AD5FC6A9-56F9-43CC-A77E-181380740E89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91"/>
                <a:gd name="T1" fmla="*/ 52 h 91"/>
                <a:gd name="T2" fmla="*/ 38 w 91"/>
                <a:gd name="T3" fmla="*/ 91 h 91"/>
                <a:gd name="T4" fmla="*/ 91 w 91"/>
                <a:gd name="T5" fmla="*/ 0 h 91"/>
                <a:gd name="T6" fmla="*/ 0 w 91"/>
                <a:gd name="T7" fmla="*/ 52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0" y="52"/>
                  </a:moveTo>
                  <a:lnTo>
                    <a:pt x="38" y="91"/>
                  </a:lnTo>
                  <a:lnTo>
                    <a:pt x="91" y="0"/>
                  </a:lnTo>
                  <a:lnTo>
                    <a:pt x="0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1" name="Freeform 182">
              <a:extLst>
                <a:ext uri="{FF2B5EF4-FFF2-40B4-BE49-F238E27FC236}">
                  <a16:creationId xmlns:a16="http://schemas.microsoft.com/office/drawing/2014/main" id="{29869D19-D7CD-445F-90C1-DF4A2156E97A}"/>
                </a:ext>
              </a:extLst>
            </xdr:cNvPr>
            <xdr:cNvSpPr>
              <a:spLocks/>
            </xdr:cNvSpPr>
          </xdr:nvSpPr>
          <xdr:spPr bwMode="auto">
            <a:xfrm>
              <a:off x="832" y="202"/>
              <a:ext cx="1" cy="2"/>
            </a:xfrm>
            <a:custGeom>
              <a:avLst/>
              <a:gdLst>
                <a:gd name="T0" fmla="*/ 0 w 53"/>
                <a:gd name="T1" fmla="*/ 91 h 105"/>
                <a:gd name="T2" fmla="*/ 53 w 53"/>
                <a:gd name="T3" fmla="*/ 105 h 105"/>
                <a:gd name="T4" fmla="*/ 53 w 53"/>
                <a:gd name="T5" fmla="*/ 0 h 105"/>
                <a:gd name="T6" fmla="*/ 0 w 53"/>
                <a:gd name="T7" fmla="*/ 9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91"/>
                  </a:moveTo>
                  <a:lnTo>
                    <a:pt x="53" y="105"/>
                  </a:lnTo>
                  <a:lnTo>
                    <a:pt x="53" y="0"/>
                  </a:lnTo>
                  <a:lnTo>
                    <a:pt x="0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2" name="Freeform 183">
              <a:extLst>
                <a:ext uri="{FF2B5EF4-FFF2-40B4-BE49-F238E27FC236}">
                  <a16:creationId xmlns:a16="http://schemas.microsoft.com/office/drawing/2014/main" id="{F7EBE84E-08D1-4DC3-985E-A7064B7EA4CD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1" cy="2"/>
            </a:xfrm>
            <a:custGeom>
              <a:avLst/>
              <a:gdLst>
                <a:gd name="T0" fmla="*/ 0 w 53"/>
                <a:gd name="T1" fmla="*/ 105 h 105"/>
                <a:gd name="T2" fmla="*/ 53 w 53"/>
                <a:gd name="T3" fmla="*/ 91 h 105"/>
                <a:gd name="T4" fmla="*/ 0 w 53"/>
                <a:gd name="T5" fmla="*/ 0 h 105"/>
                <a:gd name="T6" fmla="*/ 0 w 53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105"/>
                  </a:moveTo>
                  <a:lnTo>
                    <a:pt x="53" y="91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3" name="Freeform 184">
              <a:extLst>
                <a:ext uri="{FF2B5EF4-FFF2-40B4-BE49-F238E27FC236}">
                  <a16:creationId xmlns:a16="http://schemas.microsoft.com/office/drawing/2014/main" id="{58EB5723-1839-4317-8EF6-EF9C335D94D0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53 w 91"/>
                <a:gd name="T1" fmla="*/ 91 h 91"/>
                <a:gd name="T2" fmla="*/ 91 w 91"/>
                <a:gd name="T3" fmla="*/ 52 h 91"/>
                <a:gd name="T4" fmla="*/ 0 w 91"/>
                <a:gd name="T5" fmla="*/ 0 h 91"/>
                <a:gd name="T6" fmla="*/ 53 w 91"/>
                <a:gd name="T7" fmla="*/ 91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53" y="91"/>
                  </a:moveTo>
                  <a:lnTo>
                    <a:pt x="91" y="52"/>
                  </a:lnTo>
                  <a:lnTo>
                    <a:pt x="0" y="0"/>
                  </a:lnTo>
                  <a:lnTo>
                    <a:pt x="53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4" name="Freeform 185">
              <a:extLst>
                <a:ext uri="{FF2B5EF4-FFF2-40B4-BE49-F238E27FC236}">
                  <a16:creationId xmlns:a16="http://schemas.microsoft.com/office/drawing/2014/main" id="{17C7C3AC-78AC-4FE3-B3C4-CD577ED1195A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91 w 105"/>
                <a:gd name="T1" fmla="*/ 52 h 52"/>
                <a:gd name="T2" fmla="*/ 105 w 105"/>
                <a:gd name="T3" fmla="*/ 0 h 52"/>
                <a:gd name="T4" fmla="*/ 0 w 105"/>
                <a:gd name="T5" fmla="*/ 0 h 52"/>
                <a:gd name="T6" fmla="*/ 91 w 105"/>
                <a:gd name="T7" fmla="*/ 52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91" y="52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91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5" name="Freeform 186">
              <a:extLst>
                <a:ext uri="{FF2B5EF4-FFF2-40B4-BE49-F238E27FC236}">
                  <a16:creationId xmlns:a16="http://schemas.microsoft.com/office/drawing/2014/main" id="{B817534A-4B20-45EF-9A6C-B7F45FCF7AC8}"/>
                </a:ext>
              </a:extLst>
            </xdr:cNvPr>
            <xdr:cNvSpPr>
              <a:spLocks/>
            </xdr:cNvSpPr>
          </xdr:nvSpPr>
          <xdr:spPr bwMode="auto">
            <a:xfrm>
              <a:off x="916" y="192"/>
              <a:ext cx="6" cy="5"/>
            </a:xfrm>
            <a:custGeom>
              <a:avLst/>
              <a:gdLst>
                <a:gd name="T0" fmla="*/ 0 w 351"/>
                <a:gd name="T1" fmla="*/ 263 h 263"/>
                <a:gd name="T2" fmla="*/ 263 w 351"/>
                <a:gd name="T3" fmla="*/ 263 h 263"/>
                <a:gd name="T4" fmla="*/ 351 w 351"/>
                <a:gd name="T5" fmla="*/ 176 h 263"/>
                <a:gd name="T6" fmla="*/ 351 w 351"/>
                <a:gd name="T7" fmla="*/ 88 h 263"/>
                <a:gd name="T8" fmla="*/ 263 w 351"/>
                <a:gd name="T9" fmla="*/ 0 h 263"/>
                <a:gd name="T10" fmla="*/ 88 w 351"/>
                <a:gd name="T11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263">
                  <a:moveTo>
                    <a:pt x="0" y="263"/>
                  </a:moveTo>
                  <a:lnTo>
                    <a:pt x="263" y="263"/>
                  </a:lnTo>
                  <a:lnTo>
                    <a:pt x="351" y="176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88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6" name="Freeform 187">
              <a:extLst>
                <a:ext uri="{FF2B5EF4-FFF2-40B4-BE49-F238E27FC236}">
                  <a16:creationId xmlns:a16="http://schemas.microsoft.com/office/drawing/2014/main" id="{29CE96A5-279C-42B7-AD65-296769423A4A}"/>
                </a:ext>
              </a:extLst>
            </xdr:cNvPr>
            <xdr:cNvSpPr>
              <a:spLocks/>
            </xdr:cNvSpPr>
          </xdr:nvSpPr>
          <xdr:spPr bwMode="auto">
            <a:xfrm>
              <a:off x="916" y="188"/>
              <a:ext cx="6" cy="4"/>
            </a:xfrm>
            <a:custGeom>
              <a:avLst/>
              <a:gdLst>
                <a:gd name="T0" fmla="*/ 263 w 351"/>
                <a:gd name="T1" fmla="*/ 263 h 263"/>
                <a:gd name="T2" fmla="*/ 351 w 351"/>
                <a:gd name="T3" fmla="*/ 175 h 263"/>
                <a:gd name="T4" fmla="*/ 351 w 351"/>
                <a:gd name="T5" fmla="*/ 88 h 263"/>
                <a:gd name="T6" fmla="*/ 263 w 351"/>
                <a:gd name="T7" fmla="*/ 0 h 263"/>
                <a:gd name="T8" fmla="*/ 0 w 351"/>
                <a:gd name="T9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263">
                  <a:moveTo>
                    <a:pt x="263" y="263"/>
                  </a:moveTo>
                  <a:lnTo>
                    <a:pt x="351" y="175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7" name="Line 188">
              <a:extLst>
                <a:ext uri="{FF2B5EF4-FFF2-40B4-BE49-F238E27FC236}">
                  <a16:creationId xmlns:a16="http://schemas.microsoft.com/office/drawing/2014/main" id="{3B7E4F58-A96E-42D8-A320-4C63FC4508D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18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8" name="Freeform 189">
              <a:extLst>
                <a:ext uri="{FF2B5EF4-FFF2-40B4-BE49-F238E27FC236}">
                  <a16:creationId xmlns:a16="http://schemas.microsoft.com/office/drawing/2014/main" id="{03346A11-587F-4357-ABF9-AF6EE9C1198C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7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7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9" name="Freeform 190">
              <a:extLst>
                <a:ext uri="{FF2B5EF4-FFF2-40B4-BE49-F238E27FC236}">
                  <a16:creationId xmlns:a16="http://schemas.microsoft.com/office/drawing/2014/main" id="{4436320F-4A1E-48B3-ABB7-A7880D4B881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8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8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8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0" name="Freeform 191">
              <a:extLst>
                <a:ext uri="{FF2B5EF4-FFF2-40B4-BE49-F238E27FC236}">
                  <a16:creationId xmlns:a16="http://schemas.microsoft.com/office/drawing/2014/main" id="{058442ED-DAD5-4C24-93C3-945A32265087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4 w 104"/>
                <a:gd name="T1" fmla="*/ 7 h 22"/>
                <a:gd name="T2" fmla="*/ 103 w 104"/>
                <a:gd name="T3" fmla="*/ 0 h 22"/>
                <a:gd name="T4" fmla="*/ 0 w 104"/>
                <a:gd name="T5" fmla="*/ 22 h 22"/>
                <a:gd name="T6" fmla="*/ 104 w 104"/>
                <a:gd name="T7" fmla="*/ 7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4" y="7"/>
                  </a:moveTo>
                  <a:lnTo>
                    <a:pt x="103" y="0"/>
                  </a:lnTo>
                  <a:lnTo>
                    <a:pt x="0" y="22"/>
                  </a:lnTo>
                  <a:lnTo>
                    <a:pt x="104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1" name="Freeform 192">
              <a:extLst>
                <a:ext uri="{FF2B5EF4-FFF2-40B4-BE49-F238E27FC236}">
                  <a16:creationId xmlns:a16="http://schemas.microsoft.com/office/drawing/2014/main" id="{F0BDCEC4-8AE0-4A2D-915A-7B4D7FDADFBE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3 w 103"/>
                <a:gd name="T1" fmla="*/ 7 h 29"/>
                <a:gd name="T2" fmla="*/ 102 w 103"/>
                <a:gd name="T3" fmla="*/ 0 h 29"/>
                <a:gd name="T4" fmla="*/ 0 w 103"/>
                <a:gd name="T5" fmla="*/ 29 h 29"/>
                <a:gd name="T6" fmla="*/ 103 w 103"/>
                <a:gd name="T7" fmla="*/ 7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3" y="7"/>
                  </a:moveTo>
                  <a:lnTo>
                    <a:pt x="102" y="0"/>
                  </a:lnTo>
                  <a:lnTo>
                    <a:pt x="0" y="29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2" name="Freeform 193">
              <a:extLst>
                <a:ext uri="{FF2B5EF4-FFF2-40B4-BE49-F238E27FC236}">
                  <a16:creationId xmlns:a16="http://schemas.microsoft.com/office/drawing/2014/main" id="{B89E421F-94EA-461D-8678-348D058BEFF7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2 w 102"/>
                <a:gd name="T1" fmla="*/ 7 h 36"/>
                <a:gd name="T2" fmla="*/ 99 w 102"/>
                <a:gd name="T3" fmla="*/ 0 h 36"/>
                <a:gd name="T4" fmla="*/ 0 w 102"/>
                <a:gd name="T5" fmla="*/ 36 h 36"/>
                <a:gd name="T6" fmla="*/ 102 w 102"/>
                <a:gd name="T7" fmla="*/ 7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6">
                  <a:moveTo>
                    <a:pt x="102" y="7"/>
                  </a:moveTo>
                  <a:lnTo>
                    <a:pt x="99" y="0"/>
                  </a:lnTo>
                  <a:lnTo>
                    <a:pt x="0" y="36"/>
                  </a:lnTo>
                  <a:lnTo>
                    <a:pt x="102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3" name="Freeform 194">
              <a:extLst>
                <a:ext uri="{FF2B5EF4-FFF2-40B4-BE49-F238E27FC236}">
                  <a16:creationId xmlns:a16="http://schemas.microsoft.com/office/drawing/2014/main" id="{CC2AD14A-261B-4A20-BA3B-9AF98A093B9B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9 w 99"/>
                <a:gd name="T1" fmla="*/ 6 h 42"/>
                <a:gd name="T2" fmla="*/ 97 w 99"/>
                <a:gd name="T3" fmla="*/ 0 h 42"/>
                <a:gd name="T4" fmla="*/ 0 w 99"/>
                <a:gd name="T5" fmla="*/ 42 h 42"/>
                <a:gd name="T6" fmla="*/ 99 w 99"/>
                <a:gd name="T7" fmla="*/ 6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9" y="6"/>
                  </a:moveTo>
                  <a:lnTo>
                    <a:pt x="97" y="0"/>
                  </a:lnTo>
                  <a:lnTo>
                    <a:pt x="0" y="42"/>
                  </a:lnTo>
                  <a:lnTo>
                    <a:pt x="9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4" name="Freeform 195">
              <a:extLst>
                <a:ext uri="{FF2B5EF4-FFF2-40B4-BE49-F238E27FC236}">
                  <a16:creationId xmlns:a16="http://schemas.microsoft.com/office/drawing/2014/main" id="{C213D73E-CCA2-477C-8A24-0932E6932C2C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7 w 97"/>
                <a:gd name="T1" fmla="*/ 7 h 49"/>
                <a:gd name="T2" fmla="*/ 94 w 97"/>
                <a:gd name="T3" fmla="*/ 0 h 49"/>
                <a:gd name="T4" fmla="*/ 0 w 97"/>
                <a:gd name="T5" fmla="*/ 49 h 49"/>
                <a:gd name="T6" fmla="*/ 97 w 97"/>
                <a:gd name="T7" fmla="*/ 7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9">
                  <a:moveTo>
                    <a:pt x="97" y="7"/>
                  </a:moveTo>
                  <a:lnTo>
                    <a:pt x="94" y="0"/>
                  </a:lnTo>
                  <a:lnTo>
                    <a:pt x="0" y="49"/>
                  </a:lnTo>
                  <a:lnTo>
                    <a:pt x="97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5" name="Freeform 196">
              <a:extLst>
                <a:ext uri="{FF2B5EF4-FFF2-40B4-BE49-F238E27FC236}">
                  <a16:creationId xmlns:a16="http://schemas.microsoft.com/office/drawing/2014/main" id="{96FDA290-8A01-4C2C-A358-4327BEC1D565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4 w 94"/>
                <a:gd name="T1" fmla="*/ 6 h 55"/>
                <a:gd name="T2" fmla="*/ 90 w 94"/>
                <a:gd name="T3" fmla="*/ 0 h 55"/>
                <a:gd name="T4" fmla="*/ 0 w 94"/>
                <a:gd name="T5" fmla="*/ 55 h 55"/>
                <a:gd name="T6" fmla="*/ 94 w 94"/>
                <a:gd name="T7" fmla="*/ 6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5">
                  <a:moveTo>
                    <a:pt x="94" y="6"/>
                  </a:moveTo>
                  <a:lnTo>
                    <a:pt x="90" y="0"/>
                  </a:lnTo>
                  <a:lnTo>
                    <a:pt x="0" y="55"/>
                  </a:lnTo>
                  <a:lnTo>
                    <a:pt x="9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6" name="Freeform 197">
              <a:extLst>
                <a:ext uri="{FF2B5EF4-FFF2-40B4-BE49-F238E27FC236}">
                  <a16:creationId xmlns:a16="http://schemas.microsoft.com/office/drawing/2014/main" id="{EBF64BDC-3333-4126-B1A1-70765C2349FB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0 w 90"/>
                <a:gd name="T1" fmla="*/ 6 h 61"/>
                <a:gd name="T2" fmla="*/ 86 w 90"/>
                <a:gd name="T3" fmla="*/ 0 h 61"/>
                <a:gd name="T4" fmla="*/ 0 w 90"/>
                <a:gd name="T5" fmla="*/ 61 h 61"/>
                <a:gd name="T6" fmla="*/ 90 w 90"/>
                <a:gd name="T7" fmla="*/ 6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90" y="6"/>
                  </a:moveTo>
                  <a:lnTo>
                    <a:pt x="86" y="0"/>
                  </a:lnTo>
                  <a:lnTo>
                    <a:pt x="0" y="61"/>
                  </a:lnTo>
                  <a:lnTo>
                    <a:pt x="90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7" name="Freeform 198">
              <a:extLst>
                <a:ext uri="{FF2B5EF4-FFF2-40B4-BE49-F238E27FC236}">
                  <a16:creationId xmlns:a16="http://schemas.microsoft.com/office/drawing/2014/main" id="{561C50CB-EE3C-471A-AE92-A47F5AAB9876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6 w 86"/>
                <a:gd name="T1" fmla="*/ 6 h 67"/>
                <a:gd name="T2" fmla="*/ 82 w 86"/>
                <a:gd name="T3" fmla="*/ 0 h 67"/>
                <a:gd name="T4" fmla="*/ 0 w 86"/>
                <a:gd name="T5" fmla="*/ 67 h 67"/>
                <a:gd name="T6" fmla="*/ 86 w 86"/>
                <a:gd name="T7" fmla="*/ 6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86" y="6"/>
                  </a:moveTo>
                  <a:lnTo>
                    <a:pt x="82" y="0"/>
                  </a:lnTo>
                  <a:lnTo>
                    <a:pt x="0" y="67"/>
                  </a:lnTo>
                  <a:lnTo>
                    <a:pt x="86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8" name="Freeform 199">
              <a:extLst>
                <a:ext uri="{FF2B5EF4-FFF2-40B4-BE49-F238E27FC236}">
                  <a16:creationId xmlns:a16="http://schemas.microsoft.com/office/drawing/2014/main" id="{38797661-0191-4E41-8520-FB47D0FBFC76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2 w 82"/>
                <a:gd name="T1" fmla="*/ 5 h 72"/>
                <a:gd name="T2" fmla="*/ 77 w 82"/>
                <a:gd name="T3" fmla="*/ 0 h 72"/>
                <a:gd name="T4" fmla="*/ 0 w 82"/>
                <a:gd name="T5" fmla="*/ 72 h 72"/>
                <a:gd name="T6" fmla="*/ 82 w 82"/>
                <a:gd name="T7" fmla="*/ 5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82" y="5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9" name="Freeform 200">
              <a:extLst>
                <a:ext uri="{FF2B5EF4-FFF2-40B4-BE49-F238E27FC236}">
                  <a16:creationId xmlns:a16="http://schemas.microsoft.com/office/drawing/2014/main" id="{D273628D-BB51-43A4-A897-B1700AAA58DE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77 w 77"/>
                <a:gd name="T1" fmla="*/ 5 h 77"/>
                <a:gd name="T2" fmla="*/ 72 w 77"/>
                <a:gd name="T3" fmla="*/ 0 h 77"/>
                <a:gd name="T4" fmla="*/ 0 w 77"/>
                <a:gd name="T5" fmla="*/ 77 h 77"/>
                <a:gd name="T6" fmla="*/ 77 w 77"/>
                <a:gd name="T7" fmla="*/ 5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7" y="5"/>
                  </a:moveTo>
                  <a:lnTo>
                    <a:pt x="72" y="0"/>
                  </a:lnTo>
                  <a:lnTo>
                    <a:pt x="0" y="77"/>
                  </a:lnTo>
                  <a:lnTo>
                    <a:pt x="77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0" name="Freeform 201">
              <a:extLst>
                <a:ext uri="{FF2B5EF4-FFF2-40B4-BE49-F238E27FC236}">
                  <a16:creationId xmlns:a16="http://schemas.microsoft.com/office/drawing/2014/main" id="{DE1A8ADB-23B1-425D-AD92-9A8D532A198D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72 w 72"/>
                <a:gd name="T1" fmla="*/ 5 h 82"/>
                <a:gd name="T2" fmla="*/ 67 w 72"/>
                <a:gd name="T3" fmla="*/ 0 h 82"/>
                <a:gd name="T4" fmla="*/ 0 w 72"/>
                <a:gd name="T5" fmla="*/ 82 h 82"/>
                <a:gd name="T6" fmla="*/ 72 w 72"/>
                <a:gd name="T7" fmla="*/ 5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72" y="5"/>
                  </a:moveTo>
                  <a:lnTo>
                    <a:pt x="67" y="0"/>
                  </a:lnTo>
                  <a:lnTo>
                    <a:pt x="0" y="82"/>
                  </a:lnTo>
                  <a:lnTo>
                    <a:pt x="7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1" name="Freeform 202">
              <a:extLst>
                <a:ext uri="{FF2B5EF4-FFF2-40B4-BE49-F238E27FC236}">
                  <a16:creationId xmlns:a16="http://schemas.microsoft.com/office/drawing/2014/main" id="{79443432-1255-426A-B1D0-945C381B1F03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7 w 67"/>
                <a:gd name="T1" fmla="*/ 4 h 86"/>
                <a:gd name="T2" fmla="*/ 61 w 67"/>
                <a:gd name="T3" fmla="*/ 0 h 86"/>
                <a:gd name="T4" fmla="*/ 0 w 67"/>
                <a:gd name="T5" fmla="*/ 86 h 86"/>
                <a:gd name="T6" fmla="*/ 67 w 67"/>
                <a:gd name="T7" fmla="*/ 4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7" y="4"/>
                  </a:moveTo>
                  <a:lnTo>
                    <a:pt x="61" y="0"/>
                  </a:lnTo>
                  <a:lnTo>
                    <a:pt x="0" y="86"/>
                  </a:lnTo>
                  <a:lnTo>
                    <a:pt x="6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2" name="Freeform 203">
              <a:extLst>
                <a:ext uri="{FF2B5EF4-FFF2-40B4-BE49-F238E27FC236}">
                  <a16:creationId xmlns:a16="http://schemas.microsoft.com/office/drawing/2014/main" id="{C396787A-34AA-48CF-8A5D-867A5E16C0FE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1 w 61"/>
                <a:gd name="T1" fmla="*/ 4 h 90"/>
                <a:gd name="T2" fmla="*/ 55 w 61"/>
                <a:gd name="T3" fmla="*/ 0 h 90"/>
                <a:gd name="T4" fmla="*/ 0 w 61"/>
                <a:gd name="T5" fmla="*/ 90 h 90"/>
                <a:gd name="T6" fmla="*/ 61 w 61"/>
                <a:gd name="T7" fmla="*/ 4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61" y="4"/>
                  </a:moveTo>
                  <a:lnTo>
                    <a:pt x="55" y="0"/>
                  </a:lnTo>
                  <a:lnTo>
                    <a:pt x="0" y="90"/>
                  </a:lnTo>
                  <a:lnTo>
                    <a:pt x="61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3" name="Freeform 204">
              <a:extLst>
                <a:ext uri="{FF2B5EF4-FFF2-40B4-BE49-F238E27FC236}">
                  <a16:creationId xmlns:a16="http://schemas.microsoft.com/office/drawing/2014/main" id="{6D5ADC10-86B8-4FAB-98A5-A877D6B9904B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55 w 55"/>
                <a:gd name="T1" fmla="*/ 4 h 94"/>
                <a:gd name="T2" fmla="*/ 49 w 55"/>
                <a:gd name="T3" fmla="*/ 0 h 94"/>
                <a:gd name="T4" fmla="*/ 0 w 55"/>
                <a:gd name="T5" fmla="*/ 94 h 94"/>
                <a:gd name="T6" fmla="*/ 55 w 55"/>
                <a:gd name="T7" fmla="*/ 4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4">
                  <a:moveTo>
                    <a:pt x="55" y="4"/>
                  </a:moveTo>
                  <a:lnTo>
                    <a:pt x="49" y="0"/>
                  </a:lnTo>
                  <a:lnTo>
                    <a:pt x="0" y="94"/>
                  </a:lnTo>
                  <a:lnTo>
                    <a:pt x="55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4" name="Freeform 205">
              <a:extLst>
                <a:ext uri="{FF2B5EF4-FFF2-40B4-BE49-F238E27FC236}">
                  <a16:creationId xmlns:a16="http://schemas.microsoft.com/office/drawing/2014/main" id="{FE9410FE-3607-4A44-91FB-5A8BEAA7AEB7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9 w 49"/>
                <a:gd name="T1" fmla="*/ 3 h 97"/>
                <a:gd name="T2" fmla="*/ 42 w 49"/>
                <a:gd name="T3" fmla="*/ 0 h 97"/>
                <a:gd name="T4" fmla="*/ 0 w 49"/>
                <a:gd name="T5" fmla="*/ 97 h 97"/>
                <a:gd name="T6" fmla="*/ 49 w 49"/>
                <a:gd name="T7" fmla="*/ 3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7">
                  <a:moveTo>
                    <a:pt x="49" y="3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49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5" name="Freeform 206">
              <a:extLst>
                <a:ext uri="{FF2B5EF4-FFF2-40B4-BE49-F238E27FC236}">
                  <a16:creationId xmlns:a16="http://schemas.microsoft.com/office/drawing/2014/main" id="{4CA978E0-A506-41EC-913F-3B2CB6E9D9C3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5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5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6" name="Freeform 207">
              <a:extLst>
                <a:ext uri="{FF2B5EF4-FFF2-40B4-BE49-F238E27FC236}">
                  <a16:creationId xmlns:a16="http://schemas.microsoft.com/office/drawing/2014/main" id="{C885D642-0EAA-4E7C-B84A-E8B59B7F528B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35 w 35"/>
                <a:gd name="T1" fmla="*/ 2 h 102"/>
                <a:gd name="T2" fmla="*/ 29 w 35"/>
                <a:gd name="T3" fmla="*/ 0 h 102"/>
                <a:gd name="T4" fmla="*/ 0 w 35"/>
                <a:gd name="T5" fmla="*/ 102 h 102"/>
                <a:gd name="T6" fmla="*/ 35 w 35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35" y="2"/>
                  </a:moveTo>
                  <a:lnTo>
                    <a:pt x="29" y="0"/>
                  </a:lnTo>
                  <a:lnTo>
                    <a:pt x="0" y="102"/>
                  </a:lnTo>
                  <a:lnTo>
                    <a:pt x="35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7" name="Freeform 208">
              <a:extLst>
                <a:ext uri="{FF2B5EF4-FFF2-40B4-BE49-F238E27FC236}">
                  <a16:creationId xmlns:a16="http://schemas.microsoft.com/office/drawing/2014/main" id="{BACBE730-977B-4632-8DAF-3DC92F77BD14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9 w 29"/>
                <a:gd name="T1" fmla="*/ 1 h 103"/>
                <a:gd name="T2" fmla="*/ 22 w 29"/>
                <a:gd name="T3" fmla="*/ 0 h 103"/>
                <a:gd name="T4" fmla="*/ 0 w 29"/>
                <a:gd name="T5" fmla="*/ 103 h 103"/>
                <a:gd name="T6" fmla="*/ 29 w 29"/>
                <a:gd name="T7" fmla="*/ 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9" y="1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2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8" name="Freeform 209">
              <a:extLst>
                <a:ext uri="{FF2B5EF4-FFF2-40B4-BE49-F238E27FC236}">
                  <a16:creationId xmlns:a16="http://schemas.microsoft.com/office/drawing/2014/main" id="{FCCAA42C-D1D4-4B33-9BE5-F1033B60B81B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9" name="Freeform 210">
              <a:extLst>
                <a:ext uri="{FF2B5EF4-FFF2-40B4-BE49-F238E27FC236}">
                  <a16:creationId xmlns:a16="http://schemas.microsoft.com/office/drawing/2014/main" id="{29134674-E93B-4F50-8C45-544C5D4C799A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0" name="Freeform 211">
              <a:extLst>
                <a:ext uri="{FF2B5EF4-FFF2-40B4-BE49-F238E27FC236}">
                  <a16:creationId xmlns:a16="http://schemas.microsoft.com/office/drawing/2014/main" id="{A4378BA5-160F-415A-947E-94DFA65E7569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1" name="Freeform 212">
              <a:extLst>
                <a:ext uri="{FF2B5EF4-FFF2-40B4-BE49-F238E27FC236}">
                  <a16:creationId xmlns:a16="http://schemas.microsoft.com/office/drawing/2014/main" id="{CBA997B5-985F-4EFC-9580-465B3D5FFA9B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0 h 106"/>
                <a:gd name="T2" fmla="*/ 0 w 7"/>
                <a:gd name="T3" fmla="*/ 1 h 106"/>
                <a:gd name="T4" fmla="*/ 7 w 7"/>
                <a:gd name="T5" fmla="*/ 106 h 106"/>
                <a:gd name="T6" fmla="*/ 7 w 7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0"/>
                  </a:moveTo>
                  <a:lnTo>
                    <a:pt x="0" y="1"/>
                  </a:lnTo>
                  <a:lnTo>
                    <a:pt x="7" y="106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2" name="Freeform 213">
              <a:extLst>
                <a:ext uri="{FF2B5EF4-FFF2-40B4-BE49-F238E27FC236}">
                  <a16:creationId xmlns:a16="http://schemas.microsoft.com/office/drawing/2014/main" id="{893661AD-2917-4DBF-A389-E601644900A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14"/>
                <a:gd name="T1" fmla="*/ 0 h 105"/>
                <a:gd name="T2" fmla="*/ 0 w 14"/>
                <a:gd name="T3" fmla="*/ 0 h 105"/>
                <a:gd name="T4" fmla="*/ 14 w 14"/>
                <a:gd name="T5" fmla="*/ 105 h 105"/>
                <a:gd name="T6" fmla="*/ 7 w 14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7" y="0"/>
                  </a:moveTo>
                  <a:lnTo>
                    <a:pt x="0" y="0"/>
                  </a:lnTo>
                  <a:lnTo>
                    <a:pt x="14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3" name="Freeform 214">
              <a:extLst>
                <a:ext uri="{FF2B5EF4-FFF2-40B4-BE49-F238E27FC236}">
                  <a16:creationId xmlns:a16="http://schemas.microsoft.com/office/drawing/2014/main" id="{81BC8255-E659-4EFE-8783-63E17B41F680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1"/>
                <a:gd name="T1" fmla="*/ 0 h 105"/>
                <a:gd name="T2" fmla="*/ 0 w 21"/>
                <a:gd name="T3" fmla="*/ 2 h 105"/>
                <a:gd name="T4" fmla="*/ 21 w 21"/>
                <a:gd name="T5" fmla="*/ 105 h 105"/>
                <a:gd name="T6" fmla="*/ 7 w 21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5">
                  <a:moveTo>
                    <a:pt x="7" y="0"/>
                  </a:moveTo>
                  <a:lnTo>
                    <a:pt x="0" y="2"/>
                  </a:lnTo>
                  <a:lnTo>
                    <a:pt x="21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4" name="Freeform 215">
              <a:extLst>
                <a:ext uri="{FF2B5EF4-FFF2-40B4-BE49-F238E27FC236}">
                  <a16:creationId xmlns:a16="http://schemas.microsoft.com/office/drawing/2014/main" id="{CFDB2313-41C5-4FC7-95E7-493C9FF4776D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8"/>
                <a:gd name="T1" fmla="*/ 0 h 103"/>
                <a:gd name="T2" fmla="*/ 0 w 28"/>
                <a:gd name="T3" fmla="*/ 1 h 103"/>
                <a:gd name="T4" fmla="*/ 28 w 28"/>
                <a:gd name="T5" fmla="*/ 103 h 103"/>
                <a:gd name="T6" fmla="*/ 7 w 28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7" y="0"/>
                  </a:moveTo>
                  <a:lnTo>
                    <a:pt x="0" y="1"/>
                  </a:lnTo>
                  <a:lnTo>
                    <a:pt x="28" y="10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5" name="Freeform 216">
              <a:extLst>
                <a:ext uri="{FF2B5EF4-FFF2-40B4-BE49-F238E27FC236}">
                  <a16:creationId xmlns:a16="http://schemas.microsoft.com/office/drawing/2014/main" id="{C8D598E8-A4A9-43C1-9C05-8FD69DDB4115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7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7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6" name="Freeform 217">
              <a:extLst>
                <a:ext uri="{FF2B5EF4-FFF2-40B4-BE49-F238E27FC236}">
                  <a16:creationId xmlns:a16="http://schemas.microsoft.com/office/drawing/2014/main" id="{4ACADE5D-C530-47C1-B0A3-C36E470B1120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42"/>
                <a:gd name="T1" fmla="*/ 0 h 100"/>
                <a:gd name="T2" fmla="*/ 0 w 42"/>
                <a:gd name="T3" fmla="*/ 3 h 100"/>
                <a:gd name="T4" fmla="*/ 42 w 42"/>
                <a:gd name="T5" fmla="*/ 100 h 100"/>
                <a:gd name="T6" fmla="*/ 7 w 42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7" y="0"/>
                  </a:moveTo>
                  <a:lnTo>
                    <a:pt x="0" y="3"/>
                  </a:lnTo>
                  <a:lnTo>
                    <a:pt x="42" y="10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7" name="Freeform 218">
              <a:extLst>
                <a:ext uri="{FF2B5EF4-FFF2-40B4-BE49-F238E27FC236}">
                  <a16:creationId xmlns:a16="http://schemas.microsoft.com/office/drawing/2014/main" id="{5CAF54C2-FDCB-4D34-9723-EE19BF5FCDE2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48"/>
                <a:gd name="T1" fmla="*/ 0 h 97"/>
                <a:gd name="T2" fmla="*/ 0 w 48"/>
                <a:gd name="T3" fmla="*/ 3 h 97"/>
                <a:gd name="T4" fmla="*/ 48 w 48"/>
                <a:gd name="T5" fmla="*/ 97 h 97"/>
                <a:gd name="T6" fmla="*/ 6 w 48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7">
                  <a:moveTo>
                    <a:pt x="6" y="0"/>
                  </a:moveTo>
                  <a:lnTo>
                    <a:pt x="0" y="3"/>
                  </a:lnTo>
                  <a:lnTo>
                    <a:pt x="48" y="97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8" name="Freeform 219">
              <a:extLst>
                <a:ext uri="{FF2B5EF4-FFF2-40B4-BE49-F238E27FC236}">
                  <a16:creationId xmlns:a16="http://schemas.microsoft.com/office/drawing/2014/main" id="{72CD5C63-DE55-44B6-AD8A-536918C1E1C2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54"/>
                <a:gd name="T1" fmla="*/ 0 h 94"/>
                <a:gd name="T2" fmla="*/ 0 w 54"/>
                <a:gd name="T3" fmla="*/ 4 h 94"/>
                <a:gd name="T4" fmla="*/ 54 w 54"/>
                <a:gd name="T5" fmla="*/ 94 h 94"/>
                <a:gd name="T6" fmla="*/ 6 w 54"/>
                <a:gd name="T7" fmla="*/ 0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4">
                  <a:moveTo>
                    <a:pt x="6" y="0"/>
                  </a:moveTo>
                  <a:lnTo>
                    <a:pt x="0" y="4"/>
                  </a:lnTo>
                  <a:lnTo>
                    <a:pt x="54" y="94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9" name="Freeform 220">
              <a:extLst>
                <a:ext uri="{FF2B5EF4-FFF2-40B4-BE49-F238E27FC236}">
                  <a16:creationId xmlns:a16="http://schemas.microsoft.com/office/drawing/2014/main" id="{6A6307A4-D2F6-4DC1-8E09-04D59165FD30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0"/>
                <a:gd name="T1" fmla="*/ 0 h 90"/>
                <a:gd name="T2" fmla="*/ 0 w 60"/>
                <a:gd name="T3" fmla="*/ 4 h 90"/>
                <a:gd name="T4" fmla="*/ 60 w 60"/>
                <a:gd name="T5" fmla="*/ 90 h 90"/>
                <a:gd name="T6" fmla="*/ 6 w 60"/>
                <a:gd name="T7" fmla="*/ 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6" y="0"/>
                  </a:moveTo>
                  <a:lnTo>
                    <a:pt x="0" y="4"/>
                  </a:lnTo>
                  <a:lnTo>
                    <a:pt x="60" y="9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0" name="Freeform 221">
              <a:extLst>
                <a:ext uri="{FF2B5EF4-FFF2-40B4-BE49-F238E27FC236}">
                  <a16:creationId xmlns:a16="http://schemas.microsoft.com/office/drawing/2014/main" id="{1676B594-9C12-4DE0-88DC-27B0F2BCE732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6"/>
                <a:gd name="T1" fmla="*/ 0 h 86"/>
                <a:gd name="T2" fmla="*/ 0 w 66"/>
                <a:gd name="T3" fmla="*/ 4 h 86"/>
                <a:gd name="T4" fmla="*/ 66 w 66"/>
                <a:gd name="T5" fmla="*/ 86 h 86"/>
                <a:gd name="T6" fmla="*/ 6 w 66"/>
                <a:gd name="T7" fmla="*/ 0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6" y="0"/>
                  </a:moveTo>
                  <a:lnTo>
                    <a:pt x="0" y="4"/>
                  </a:lnTo>
                  <a:lnTo>
                    <a:pt x="66" y="8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1" name="Freeform 222">
              <a:extLst>
                <a:ext uri="{FF2B5EF4-FFF2-40B4-BE49-F238E27FC236}">
                  <a16:creationId xmlns:a16="http://schemas.microsoft.com/office/drawing/2014/main" id="{B30B8C65-2847-4C20-A446-B6774966D27A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72"/>
                <a:gd name="T1" fmla="*/ 0 h 82"/>
                <a:gd name="T2" fmla="*/ 0 w 72"/>
                <a:gd name="T3" fmla="*/ 5 h 82"/>
                <a:gd name="T4" fmla="*/ 72 w 72"/>
                <a:gd name="T5" fmla="*/ 82 h 82"/>
                <a:gd name="T6" fmla="*/ 6 w 72"/>
                <a:gd name="T7" fmla="*/ 0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6" y="0"/>
                  </a:moveTo>
                  <a:lnTo>
                    <a:pt x="0" y="5"/>
                  </a:lnTo>
                  <a:lnTo>
                    <a:pt x="72" y="8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2" name="Freeform 223">
              <a:extLst>
                <a:ext uri="{FF2B5EF4-FFF2-40B4-BE49-F238E27FC236}">
                  <a16:creationId xmlns:a16="http://schemas.microsoft.com/office/drawing/2014/main" id="{1661B2AA-2B91-4E48-B547-379973706D7F}"/>
                </a:ext>
              </a:extLst>
            </xdr:cNvPr>
            <xdr:cNvSpPr>
              <a:spLocks/>
            </xdr:cNvSpPr>
          </xdr:nvSpPr>
          <xdr:spPr bwMode="auto">
            <a:xfrm>
              <a:off x="930" y="201"/>
              <a:ext cx="1" cy="1"/>
            </a:xfrm>
            <a:custGeom>
              <a:avLst/>
              <a:gdLst>
                <a:gd name="T0" fmla="*/ 5 w 77"/>
                <a:gd name="T1" fmla="*/ 0 h 77"/>
                <a:gd name="T2" fmla="*/ 0 w 77"/>
                <a:gd name="T3" fmla="*/ 5 h 77"/>
                <a:gd name="T4" fmla="*/ 77 w 77"/>
                <a:gd name="T5" fmla="*/ 77 h 77"/>
                <a:gd name="T6" fmla="*/ 5 w 77"/>
                <a:gd name="T7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5" y="0"/>
                  </a:moveTo>
                  <a:lnTo>
                    <a:pt x="0" y="5"/>
                  </a:lnTo>
                  <a:lnTo>
                    <a:pt x="77" y="7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3" name="Freeform 224">
              <a:extLst>
                <a:ext uri="{FF2B5EF4-FFF2-40B4-BE49-F238E27FC236}">
                  <a16:creationId xmlns:a16="http://schemas.microsoft.com/office/drawing/2014/main" id="{B4C076CA-E4D6-4C7C-BE83-A724E0FEE7C8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81"/>
                <a:gd name="T1" fmla="*/ 0 h 72"/>
                <a:gd name="T2" fmla="*/ 0 w 81"/>
                <a:gd name="T3" fmla="*/ 5 h 72"/>
                <a:gd name="T4" fmla="*/ 81 w 81"/>
                <a:gd name="T5" fmla="*/ 72 h 72"/>
                <a:gd name="T6" fmla="*/ 4 w 81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4" y="0"/>
                  </a:moveTo>
                  <a:lnTo>
                    <a:pt x="0" y="5"/>
                  </a:lnTo>
                  <a:lnTo>
                    <a:pt x="81" y="7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4" name="Freeform 225">
              <a:extLst>
                <a:ext uri="{FF2B5EF4-FFF2-40B4-BE49-F238E27FC236}">
                  <a16:creationId xmlns:a16="http://schemas.microsoft.com/office/drawing/2014/main" id="{CB482CE2-7566-426B-9EF2-1B04F4644B96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5 w 86"/>
                <a:gd name="T1" fmla="*/ 0 h 67"/>
                <a:gd name="T2" fmla="*/ 0 w 86"/>
                <a:gd name="T3" fmla="*/ 6 h 67"/>
                <a:gd name="T4" fmla="*/ 86 w 86"/>
                <a:gd name="T5" fmla="*/ 67 h 67"/>
                <a:gd name="T6" fmla="*/ 5 w 86"/>
                <a:gd name="T7" fmla="*/ 0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5" y="0"/>
                  </a:moveTo>
                  <a:lnTo>
                    <a:pt x="0" y="6"/>
                  </a:lnTo>
                  <a:lnTo>
                    <a:pt x="86" y="6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5" name="Freeform 226">
              <a:extLst>
                <a:ext uri="{FF2B5EF4-FFF2-40B4-BE49-F238E27FC236}">
                  <a16:creationId xmlns:a16="http://schemas.microsoft.com/office/drawing/2014/main" id="{F07B0531-29BE-4034-8527-85C9CAC1503E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90"/>
                <a:gd name="T1" fmla="*/ 0 h 61"/>
                <a:gd name="T2" fmla="*/ 0 w 90"/>
                <a:gd name="T3" fmla="*/ 6 h 61"/>
                <a:gd name="T4" fmla="*/ 90 w 90"/>
                <a:gd name="T5" fmla="*/ 61 h 61"/>
                <a:gd name="T6" fmla="*/ 4 w 90"/>
                <a:gd name="T7" fmla="*/ 0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4" y="0"/>
                  </a:moveTo>
                  <a:lnTo>
                    <a:pt x="0" y="6"/>
                  </a:lnTo>
                  <a:lnTo>
                    <a:pt x="90" y="6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6" name="Freeform 227">
              <a:extLst>
                <a:ext uri="{FF2B5EF4-FFF2-40B4-BE49-F238E27FC236}">
                  <a16:creationId xmlns:a16="http://schemas.microsoft.com/office/drawing/2014/main" id="{6810EA2D-6B62-4F36-BF70-A1047E8774A4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3"/>
                <a:gd name="T1" fmla="*/ 0 h 55"/>
                <a:gd name="T2" fmla="*/ 0 w 93"/>
                <a:gd name="T3" fmla="*/ 6 h 55"/>
                <a:gd name="T4" fmla="*/ 93 w 93"/>
                <a:gd name="T5" fmla="*/ 55 h 55"/>
                <a:gd name="T6" fmla="*/ 3 w 93"/>
                <a:gd name="T7" fmla="*/ 0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5">
                  <a:moveTo>
                    <a:pt x="3" y="0"/>
                  </a:moveTo>
                  <a:lnTo>
                    <a:pt x="0" y="6"/>
                  </a:lnTo>
                  <a:lnTo>
                    <a:pt x="93" y="55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7" name="Freeform 228">
              <a:extLst>
                <a:ext uri="{FF2B5EF4-FFF2-40B4-BE49-F238E27FC236}">
                  <a16:creationId xmlns:a16="http://schemas.microsoft.com/office/drawing/2014/main" id="{682927B7-96DD-4957-B544-92CD1580B0D8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6"/>
                <a:gd name="T1" fmla="*/ 0 h 49"/>
                <a:gd name="T2" fmla="*/ 0 w 96"/>
                <a:gd name="T3" fmla="*/ 7 h 49"/>
                <a:gd name="T4" fmla="*/ 96 w 96"/>
                <a:gd name="T5" fmla="*/ 49 h 49"/>
                <a:gd name="T6" fmla="*/ 3 w 96"/>
                <a:gd name="T7" fmla="*/ 0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9">
                  <a:moveTo>
                    <a:pt x="3" y="0"/>
                  </a:moveTo>
                  <a:lnTo>
                    <a:pt x="0" y="7"/>
                  </a:lnTo>
                  <a:lnTo>
                    <a:pt x="96" y="49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8" name="Freeform 229">
              <a:extLst>
                <a:ext uri="{FF2B5EF4-FFF2-40B4-BE49-F238E27FC236}">
                  <a16:creationId xmlns:a16="http://schemas.microsoft.com/office/drawing/2014/main" id="{76532627-3240-4BE1-A3F8-CECA91DBF280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9"/>
                <a:gd name="T1" fmla="*/ 0 h 42"/>
                <a:gd name="T2" fmla="*/ 0 w 99"/>
                <a:gd name="T3" fmla="*/ 6 h 42"/>
                <a:gd name="T4" fmla="*/ 99 w 99"/>
                <a:gd name="T5" fmla="*/ 42 h 42"/>
                <a:gd name="T6" fmla="*/ 3 w 99"/>
                <a:gd name="T7" fmla="*/ 0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3" y="0"/>
                  </a:moveTo>
                  <a:lnTo>
                    <a:pt x="0" y="6"/>
                  </a:lnTo>
                  <a:lnTo>
                    <a:pt x="99" y="4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9" name="Freeform 230">
              <a:extLst>
                <a:ext uri="{FF2B5EF4-FFF2-40B4-BE49-F238E27FC236}">
                  <a16:creationId xmlns:a16="http://schemas.microsoft.com/office/drawing/2014/main" id="{CC0AEB61-21C3-4BCC-AF81-48B0139DC59D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1"/>
                <a:gd name="T1" fmla="*/ 0 h 36"/>
                <a:gd name="T2" fmla="*/ 0 w 101"/>
                <a:gd name="T3" fmla="*/ 7 h 36"/>
                <a:gd name="T4" fmla="*/ 101 w 101"/>
                <a:gd name="T5" fmla="*/ 36 h 36"/>
                <a:gd name="T6" fmla="*/ 2 w 101"/>
                <a:gd name="T7" fmla="*/ 0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2" y="0"/>
                  </a:moveTo>
                  <a:lnTo>
                    <a:pt x="0" y="7"/>
                  </a:lnTo>
                  <a:lnTo>
                    <a:pt x="101" y="3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0" name="Freeform 231">
              <a:extLst>
                <a:ext uri="{FF2B5EF4-FFF2-40B4-BE49-F238E27FC236}">
                  <a16:creationId xmlns:a16="http://schemas.microsoft.com/office/drawing/2014/main" id="{0DC1318C-093C-4EBF-8B55-F63B95AFF00F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3"/>
                <a:gd name="T1" fmla="*/ 0 h 29"/>
                <a:gd name="T2" fmla="*/ 0 w 103"/>
                <a:gd name="T3" fmla="*/ 7 h 29"/>
                <a:gd name="T4" fmla="*/ 103 w 103"/>
                <a:gd name="T5" fmla="*/ 29 h 29"/>
                <a:gd name="T6" fmla="*/ 2 w 103"/>
                <a:gd name="T7" fmla="*/ 0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2" y="0"/>
                  </a:moveTo>
                  <a:lnTo>
                    <a:pt x="0" y="7"/>
                  </a:lnTo>
                  <a:lnTo>
                    <a:pt x="103" y="29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1" name="Freeform 232">
              <a:extLst>
                <a:ext uri="{FF2B5EF4-FFF2-40B4-BE49-F238E27FC236}">
                  <a16:creationId xmlns:a16="http://schemas.microsoft.com/office/drawing/2014/main" id="{75ED8778-FDBF-473B-AA0F-6E4791707195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1 w 104"/>
                <a:gd name="T1" fmla="*/ 0 h 22"/>
                <a:gd name="T2" fmla="*/ 0 w 104"/>
                <a:gd name="T3" fmla="*/ 7 h 22"/>
                <a:gd name="T4" fmla="*/ 104 w 104"/>
                <a:gd name="T5" fmla="*/ 22 h 22"/>
                <a:gd name="T6" fmla="*/ 1 w 104"/>
                <a:gd name="T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" y="0"/>
                  </a:moveTo>
                  <a:lnTo>
                    <a:pt x="0" y="7"/>
                  </a:lnTo>
                  <a:lnTo>
                    <a:pt x="104" y="2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2" name="Freeform 233">
              <a:extLst>
                <a:ext uri="{FF2B5EF4-FFF2-40B4-BE49-F238E27FC236}">
                  <a16:creationId xmlns:a16="http://schemas.microsoft.com/office/drawing/2014/main" id="{AAD823F6-53C4-4422-A5A7-243839C9DD7F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8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8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3" name="Freeform 234">
              <a:extLst>
                <a:ext uri="{FF2B5EF4-FFF2-40B4-BE49-F238E27FC236}">
                  <a16:creationId xmlns:a16="http://schemas.microsoft.com/office/drawing/2014/main" id="{D8788FA9-B27F-44E5-8A0D-55697E1E1112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7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4" name="Freeform 235">
              <a:extLst>
                <a:ext uri="{FF2B5EF4-FFF2-40B4-BE49-F238E27FC236}">
                  <a16:creationId xmlns:a16="http://schemas.microsoft.com/office/drawing/2014/main" id="{61B66464-0D0C-4D80-8A9B-667B4218EA8C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5" name="Freeform 236">
              <a:extLst>
                <a:ext uri="{FF2B5EF4-FFF2-40B4-BE49-F238E27FC236}">
                  <a16:creationId xmlns:a16="http://schemas.microsoft.com/office/drawing/2014/main" id="{85C2CF41-9F08-400E-B6A2-9A975EA6AEFC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7 h 14"/>
                <a:gd name="T2" fmla="*/ 1 w 105"/>
                <a:gd name="T3" fmla="*/ 14 h 14"/>
                <a:gd name="T4" fmla="*/ 105 w 105"/>
                <a:gd name="T5" fmla="*/ 0 h 14"/>
                <a:gd name="T6" fmla="*/ 0 w 105"/>
                <a:gd name="T7" fmla="*/ 7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0" y="7"/>
                  </a:moveTo>
                  <a:lnTo>
                    <a:pt x="1" y="14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6" name="Freeform 237">
              <a:extLst>
                <a:ext uri="{FF2B5EF4-FFF2-40B4-BE49-F238E27FC236}">
                  <a16:creationId xmlns:a16="http://schemas.microsoft.com/office/drawing/2014/main" id="{4C00DF3C-6CE7-4AF8-89A0-12251DCF05E2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4"/>
                <a:gd name="T1" fmla="*/ 14 h 21"/>
                <a:gd name="T2" fmla="*/ 1 w 104"/>
                <a:gd name="T3" fmla="*/ 21 h 21"/>
                <a:gd name="T4" fmla="*/ 104 w 104"/>
                <a:gd name="T5" fmla="*/ 0 h 21"/>
                <a:gd name="T6" fmla="*/ 0 w 104"/>
                <a:gd name="T7" fmla="*/ 14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0" y="14"/>
                  </a:moveTo>
                  <a:lnTo>
                    <a:pt x="1" y="21"/>
                  </a:lnTo>
                  <a:lnTo>
                    <a:pt x="104" y="0"/>
                  </a:lnTo>
                  <a:lnTo>
                    <a:pt x="0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7" name="Freeform 238">
              <a:extLst>
                <a:ext uri="{FF2B5EF4-FFF2-40B4-BE49-F238E27FC236}">
                  <a16:creationId xmlns:a16="http://schemas.microsoft.com/office/drawing/2014/main" id="{F5328E53-BE7B-44E8-AE87-88FFF6D2F40D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3"/>
                <a:gd name="T1" fmla="*/ 21 h 28"/>
                <a:gd name="T2" fmla="*/ 2 w 103"/>
                <a:gd name="T3" fmla="*/ 28 h 28"/>
                <a:gd name="T4" fmla="*/ 103 w 103"/>
                <a:gd name="T5" fmla="*/ 0 h 28"/>
                <a:gd name="T6" fmla="*/ 0 w 103"/>
                <a:gd name="T7" fmla="*/ 21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0" y="21"/>
                  </a:moveTo>
                  <a:lnTo>
                    <a:pt x="2" y="28"/>
                  </a:lnTo>
                  <a:lnTo>
                    <a:pt x="103" y="0"/>
                  </a:lnTo>
                  <a:lnTo>
                    <a:pt x="0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8" name="Freeform 239">
              <a:extLst>
                <a:ext uri="{FF2B5EF4-FFF2-40B4-BE49-F238E27FC236}">
                  <a16:creationId xmlns:a16="http://schemas.microsoft.com/office/drawing/2014/main" id="{1DC25C12-6AA7-47BA-883B-AC1F3EDA06F9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1"/>
                <a:gd name="T1" fmla="*/ 28 h 35"/>
                <a:gd name="T2" fmla="*/ 2 w 101"/>
                <a:gd name="T3" fmla="*/ 35 h 35"/>
                <a:gd name="T4" fmla="*/ 101 w 101"/>
                <a:gd name="T5" fmla="*/ 0 h 35"/>
                <a:gd name="T6" fmla="*/ 0 w 101"/>
                <a:gd name="T7" fmla="*/ 28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5">
                  <a:moveTo>
                    <a:pt x="0" y="28"/>
                  </a:moveTo>
                  <a:lnTo>
                    <a:pt x="2" y="35"/>
                  </a:lnTo>
                  <a:lnTo>
                    <a:pt x="101" y="0"/>
                  </a:lnTo>
                  <a:lnTo>
                    <a:pt x="0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9" name="Freeform 240">
              <a:extLst>
                <a:ext uri="{FF2B5EF4-FFF2-40B4-BE49-F238E27FC236}">
                  <a16:creationId xmlns:a16="http://schemas.microsoft.com/office/drawing/2014/main" id="{EEB9DEA4-C9B1-4977-A8DF-24C447BA5B8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9"/>
                <a:gd name="T1" fmla="*/ 35 h 42"/>
                <a:gd name="T2" fmla="*/ 3 w 99"/>
                <a:gd name="T3" fmla="*/ 42 h 42"/>
                <a:gd name="T4" fmla="*/ 99 w 99"/>
                <a:gd name="T5" fmla="*/ 0 h 42"/>
                <a:gd name="T6" fmla="*/ 0 w 99"/>
                <a:gd name="T7" fmla="*/ 35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0" y="35"/>
                  </a:moveTo>
                  <a:lnTo>
                    <a:pt x="3" y="42"/>
                  </a:lnTo>
                  <a:lnTo>
                    <a:pt x="99" y="0"/>
                  </a:lnTo>
                  <a:lnTo>
                    <a:pt x="0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0" name="Freeform 241">
              <a:extLst>
                <a:ext uri="{FF2B5EF4-FFF2-40B4-BE49-F238E27FC236}">
                  <a16:creationId xmlns:a16="http://schemas.microsoft.com/office/drawing/2014/main" id="{A9FE15D2-C440-47A4-A408-BF406D63ACDD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6"/>
                <a:gd name="T1" fmla="*/ 42 h 48"/>
                <a:gd name="T2" fmla="*/ 3 w 96"/>
                <a:gd name="T3" fmla="*/ 48 h 48"/>
                <a:gd name="T4" fmla="*/ 96 w 96"/>
                <a:gd name="T5" fmla="*/ 0 h 48"/>
                <a:gd name="T6" fmla="*/ 0 w 96"/>
                <a:gd name="T7" fmla="*/ 42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8">
                  <a:moveTo>
                    <a:pt x="0" y="42"/>
                  </a:moveTo>
                  <a:lnTo>
                    <a:pt x="3" y="48"/>
                  </a:lnTo>
                  <a:lnTo>
                    <a:pt x="96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1" name="Freeform 242">
              <a:extLst>
                <a:ext uri="{FF2B5EF4-FFF2-40B4-BE49-F238E27FC236}">
                  <a16:creationId xmlns:a16="http://schemas.microsoft.com/office/drawing/2014/main" id="{809F9013-6B39-4EAC-907E-3078A9AAC00B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3"/>
                <a:gd name="T1" fmla="*/ 48 h 54"/>
                <a:gd name="T2" fmla="*/ 3 w 93"/>
                <a:gd name="T3" fmla="*/ 54 h 54"/>
                <a:gd name="T4" fmla="*/ 93 w 93"/>
                <a:gd name="T5" fmla="*/ 0 h 54"/>
                <a:gd name="T6" fmla="*/ 0 w 93"/>
                <a:gd name="T7" fmla="*/ 48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4">
                  <a:moveTo>
                    <a:pt x="0" y="48"/>
                  </a:moveTo>
                  <a:lnTo>
                    <a:pt x="3" y="54"/>
                  </a:lnTo>
                  <a:lnTo>
                    <a:pt x="93" y="0"/>
                  </a:lnTo>
                  <a:lnTo>
                    <a:pt x="0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2" name="Freeform 243">
              <a:extLst>
                <a:ext uri="{FF2B5EF4-FFF2-40B4-BE49-F238E27FC236}">
                  <a16:creationId xmlns:a16="http://schemas.microsoft.com/office/drawing/2014/main" id="{CDC28617-C5E1-4CD1-9FF9-9DCA62CEE9A8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0"/>
                <a:gd name="T1" fmla="*/ 54 h 60"/>
                <a:gd name="T2" fmla="*/ 4 w 90"/>
                <a:gd name="T3" fmla="*/ 60 h 60"/>
                <a:gd name="T4" fmla="*/ 90 w 90"/>
                <a:gd name="T5" fmla="*/ 0 h 60"/>
                <a:gd name="T6" fmla="*/ 0 w 90"/>
                <a:gd name="T7" fmla="*/ 54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0" y="54"/>
                  </a:moveTo>
                  <a:lnTo>
                    <a:pt x="4" y="60"/>
                  </a:lnTo>
                  <a:lnTo>
                    <a:pt x="90" y="0"/>
                  </a:lnTo>
                  <a:lnTo>
                    <a:pt x="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3" name="Freeform 244">
              <a:extLst>
                <a:ext uri="{FF2B5EF4-FFF2-40B4-BE49-F238E27FC236}">
                  <a16:creationId xmlns:a16="http://schemas.microsoft.com/office/drawing/2014/main" id="{AF15C4EA-B8C0-4364-AA20-F31232357912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6"/>
                <a:gd name="T1" fmla="*/ 60 h 66"/>
                <a:gd name="T2" fmla="*/ 5 w 86"/>
                <a:gd name="T3" fmla="*/ 66 h 66"/>
                <a:gd name="T4" fmla="*/ 86 w 86"/>
                <a:gd name="T5" fmla="*/ 0 h 66"/>
                <a:gd name="T6" fmla="*/ 0 w 86"/>
                <a:gd name="T7" fmla="*/ 60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0" y="60"/>
                  </a:moveTo>
                  <a:lnTo>
                    <a:pt x="5" y="66"/>
                  </a:lnTo>
                  <a:lnTo>
                    <a:pt x="86" y="0"/>
                  </a:lnTo>
                  <a:lnTo>
                    <a:pt x="0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4" name="Freeform 245">
              <a:extLst>
                <a:ext uri="{FF2B5EF4-FFF2-40B4-BE49-F238E27FC236}">
                  <a16:creationId xmlns:a16="http://schemas.microsoft.com/office/drawing/2014/main" id="{25DD765E-6B6D-40C8-B4E8-195C3529510E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1"/>
                <a:gd name="T1" fmla="*/ 66 h 72"/>
                <a:gd name="T2" fmla="*/ 4 w 81"/>
                <a:gd name="T3" fmla="*/ 72 h 72"/>
                <a:gd name="T4" fmla="*/ 81 w 81"/>
                <a:gd name="T5" fmla="*/ 0 h 72"/>
                <a:gd name="T6" fmla="*/ 0 w 81"/>
                <a:gd name="T7" fmla="*/ 66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0" y="66"/>
                  </a:moveTo>
                  <a:lnTo>
                    <a:pt x="4" y="72"/>
                  </a:lnTo>
                  <a:lnTo>
                    <a:pt x="81" y="0"/>
                  </a:lnTo>
                  <a:lnTo>
                    <a:pt x="0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5" name="Freeform 246">
              <a:extLst>
                <a:ext uri="{FF2B5EF4-FFF2-40B4-BE49-F238E27FC236}">
                  <a16:creationId xmlns:a16="http://schemas.microsoft.com/office/drawing/2014/main" id="{082C4AFB-30F7-4F3D-A986-3CC4AD7B0906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7"/>
                <a:gd name="T1" fmla="*/ 72 h 77"/>
                <a:gd name="T2" fmla="*/ 5 w 77"/>
                <a:gd name="T3" fmla="*/ 77 h 77"/>
                <a:gd name="T4" fmla="*/ 77 w 77"/>
                <a:gd name="T5" fmla="*/ 0 h 77"/>
                <a:gd name="T6" fmla="*/ 0 w 77"/>
                <a:gd name="T7" fmla="*/ 72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0" y="72"/>
                  </a:moveTo>
                  <a:lnTo>
                    <a:pt x="5" y="77"/>
                  </a:lnTo>
                  <a:lnTo>
                    <a:pt x="77" y="0"/>
                  </a:lnTo>
                  <a:lnTo>
                    <a:pt x="0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6" name="Freeform 247">
              <a:extLst>
                <a:ext uri="{FF2B5EF4-FFF2-40B4-BE49-F238E27FC236}">
                  <a16:creationId xmlns:a16="http://schemas.microsoft.com/office/drawing/2014/main" id="{FE0A8FB5-DEFE-4F79-B2C2-FC047878B54C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2"/>
                <a:gd name="T1" fmla="*/ 77 h 81"/>
                <a:gd name="T2" fmla="*/ 6 w 72"/>
                <a:gd name="T3" fmla="*/ 81 h 81"/>
                <a:gd name="T4" fmla="*/ 72 w 72"/>
                <a:gd name="T5" fmla="*/ 0 h 81"/>
                <a:gd name="T6" fmla="*/ 0 w 72"/>
                <a:gd name="T7" fmla="*/ 77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0" y="77"/>
                  </a:moveTo>
                  <a:lnTo>
                    <a:pt x="6" y="81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7" name="Freeform 248">
              <a:extLst>
                <a:ext uri="{FF2B5EF4-FFF2-40B4-BE49-F238E27FC236}">
                  <a16:creationId xmlns:a16="http://schemas.microsoft.com/office/drawing/2014/main" id="{3D57828E-1DC1-4BF8-AE5F-621A532E149A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6"/>
                <a:gd name="T1" fmla="*/ 81 h 86"/>
                <a:gd name="T2" fmla="*/ 6 w 66"/>
                <a:gd name="T3" fmla="*/ 86 h 86"/>
                <a:gd name="T4" fmla="*/ 66 w 66"/>
                <a:gd name="T5" fmla="*/ 0 h 86"/>
                <a:gd name="T6" fmla="*/ 0 w 66"/>
                <a:gd name="T7" fmla="*/ 81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0" y="81"/>
                  </a:moveTo>
                  <a:lnTo>
                    <a:pt x="6" y="86"/>
                  </a:lnTo>
                  <a:lnTo>
                    <a:pt x="66" y="0"/>
                  </a:lnTo>
                  <a:lnTo>
                    <a:pt x="0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8" name="Freeform 249">
              <a:extLst>
                <a:ext uri="{FF2B5EF4-FFF2-40B4-BE49-F238E27FC236}">
                  <a16:creationId xmlns:a16="http://schemas.microsoft.com/office/drawing/2014/main" id="{E38D44F4-431D-432A-B5E0-B212340CE22B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0"/>
                <a:gd name="T1" fmla="*/ 86 h 90"/>
                <a:gd name="T2" fmla="*/ 6 w 60"/>
                <a:gd name="T3" fmla="*/ 90 h 90"/>
                <a:gd name="T4" fmla="*/ 60 w 60"/>
                <a:gd name="T5" fmla="*/ 0 h 90"/>
                <a:gd name="T6" fmla="*/ 0 w 60"/>
                <a:gd name="T7" fmla="*/ 86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0" y="86"/>
                  </a:moveTo>
                  <a:lnTo>
                    <a:pt x="6" y="90"/>
                  </a:lnTo>
                  <a:lnTo>
                    <a:pt x="60" y="0"/>
                  </a:lnTo>
                  <a:lnTo>
                    <a:pt x="0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9" name="Freeform 250">
              <a:extLst>
                <a:ext uri="{FF2B5EF4-FFF2-40B4-BE49-F238E27FC236}">
                  <a16:creationId xmlns:a16="http://schemas.microsoft.com/office/drawing/2014/main" id="{CB385ED3-F0D9-4404-A316-8EF412AF3F64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54"/>
                <a:gd name="T1" fmla="*/ 90 h 93"/>
                <a:gd name="T2" fmla="*/ 6 w 54"/>
                <a:gd name="T3" fmla="*/ 93 h 93"/>
                <a:gd name="T4" fmla="*/ 54 w 54"/>
                <a:gd name="T5" fmla="*/ 0 h 93"/>
                <a:gd name="T6" fmla="*/ 0 w 54"/>
                <a:gd name="T7" fmla="*/ 9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3">
                  <a:moveTo>
                    <a:pt x="0" y="90"/>
                  </a:moveTo>
                  <a:lnTo>
                    <a:pt x="6" y="93"/>
                  </a:lnTo>
                  <a:lnTo>
                    <a:pt x="54" y="0"/>
                  </a:lnTo>
                  <a:lnTo>
                    <a:pt x="0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" name="Freeform 251">
              <a:extLst>
                <a:ext uri="{FF2B5EF4-FFF2-40B4-BE49-F238E27FC236}">
                  <a16:creationId xmlns:a16="http://schemas.microsoft.com/office/drawing/2014/main" id="{6D056795-F4DF-4DB2-9DD7-12F95445CDF1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48"/>
                <a:gd name="T1" fmla="*/ 93 h 96"/>
                <a:gd name="T2" fmla="*/ 6 w 48"/>
                <a:gd name="T3" fmla="*/ 96 h 96"/>
                <a:gd name="T4" fmla="*/ 48 w 48"/>
                <a:gd name="T5" fmla="*/ 0 h 96"/>
                <a:gd name="T6" fmla="*/ 0 w 48"/>
                <a:gd name="T7" fmla="*/ 9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6">
                  <a:moveTo>
                    <a:pt x="0" y="93"/>
                  </a:moveTo>
                  <a:lnTo>
                    <a:pt x="6" y="96"/>
                  </a:lnTo>
                  <a:lnTo>
                    <a:pt x="48" y="0"/>
                  </a:lnTo>
                  <a:lnTo>
                    <a:pt x="0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5" name="Group 453">
            <a:extLst>
              <a:ext uri="{FF2B5EF4-FFF2-40B4-BE49-F238E27FC236}">
                <a16:creationId xmlns:a16="http://schemas.microsoft.com/office/drawing/2014/main" id="{844F7089-3451-4748-88C4-38A4488F4A38}"/>
              </a:ext>
            </a:extLst>
          </xdr:cNvPr>
          <xdr:cNvGrpSpPr>
            <a:grpSpLocks/>
          </xdr:cNvGrpSpPr>
        </xdr:nvGrpSpPr>
        <xdr:grpSpPr bwMode="auto">
          <a:xfrm>
            <a:off x="930" y="188"/>
            <a:ext cx="262" cy="16"/>
            <a:chOff x="930" y="188"/>
            <a:chExt cx="262" cy="16"/>
          </a:xfrm>
        </xdr:grpSpPr>
        <xdr:sp macro="" textlink="">
          <xdr:nvSpPr>
            <xdr:cNvPr id="141" name="Freeform 253">
              <a:extLst>
                <a:ext uri="{FF2B5EF4-FFF2-40B4-BE49-F238E27FC236}">
                  <a16:creationId xmlns:a16="http://schemas.microsoft.com/office/drawing/2014/main" id="{7A05F923-0696-483B-873E-E6EC26AEA1CE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42"/>
                <a:gd name="T1" fmla="*/ 96 h 99"/>
                <a:gd name="T2" fmla="*/ 7 w 42"/>
                <a:gd name="T3" fmla="*/ 99 h 99"/>
                <a:gd name="T4" fmla="*/ 42 w 42"/>
                <a:gd name="T5" fmla="*/ 0 h 99"/>
                <a:gd name="T6" fmla="*/ 0 w 42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0" y="96"/>
                  </a:moveTo>
                  <a:lnTo>
                    <a:pt x="7" y="99"/>
                  </a:lnTo>
                  <a:lnTo>
                    <a:pt x="42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2" name="Freeform 254">
              <a:extLst>
                <a:ext uri="{FF2B5EF4-FFF2-40B4-BE49-F238E27FC236}">
                  <a16:creationId xmlns:a16="http://schemas.microsoft.com/office/drawing/2014/main" id="{0D0DD552-89E8-4728-8675-39EC6D544A03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35"/>
                <a:gd name="T1" fmla="*/ 99 h 101"/>
                <a:gd name="T2" fmla="*/ 7 w 35"/>
                <a:gd name="T3" fmla="*/ 101 h 101"/>
                <a:gd name="T4" fmla="*/ 35 w 35"/>
                <a:gd name="T5" fmla="*/ 0 h 101"/>
                <a:gd name="T6" fmla="*/ 0 w 35"/>
                <a:gd name="T7" fmla="*/ 99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0" y="99"/>
                  </a:moveTo>
                  <a:lnTo>
                    <a:pt x="7" y="101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3" name="Freeform 255">
              <a:extLst>
                <a:ext uri="{FF2B5EF4-FFF2-40B4-BE49-F238E27FC236}">
                  <a16:creationId xmlns:a16="http://schemas.microsoft.com/office/drawing/2014/main" id="{99C909AE-0842-44E6-87AB-3521EC826B21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8"/>
                <a:gd name="T1" fmla="*/ 101 h 103"/>
                <a:gd name="T2" fmla="*/ 7 w 28"/>
                <a:gd name="T3" fmla="*/ 103 h 103"/>
                <a:gd name="T4" fmla="*/ 28 w 28"/>
                <a:gd name="T5" fmla="*/ 0 h 103"/>
                <a:gd name="T6" fmla="*/ 0 w 28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0" y="101"/>
                  </a:moveTo>
                  <a:lnTo>
                    <a:pt x="7" y="103"/>
                  </a:lnTo>
                  <a:lnTo>
                    <a:pt x="28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4" name="Freeform 256">
              <a:extLst>
                <a:ext uri="{FF2B5EF4-FFF2-40B4-BE49-F238E27FC236}">
                  <a16:creationId xmlns:a16="http://schemas.microsoft.com/office/drawing/2014/main" id="{FB53E934-982D-4B3B-99DC-9206A380E71B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1"/>
                <a:gd name="T1" fmla="*/ 103 h 104"/>
                <a:gd name="T2" fmla="*/ 7 w 21"/>
                <a:gd name="T3" fmla="*/ 104 h 104"/>
                <a:gd name="T4" fmla="*/ 21 w 21"/>
                <a:gd name="T5" fmla="*/ 0 h 104"/>
                <a:gd name="T6" fmla="*/ 0 w 21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4">
                  <a:moveTo>
                    <a:pt x="0" y="103"/>
                  </a:moveTo>
                  <a:lnTo>
                    <a:pt x="7" y="104"/>
                  </a:lnTo>
                  <a:lnTo>
                    <a:pt x="21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5" name="Freeform 257">
              <a:extLst>
                <a:ext uri="{FF2B5EF4-FFF2-40B4-BE49-F238E27FC236}">
                  <a16:creationId xmlns:a16="http://schemas.microsoft.com/office/drawing/2014/main" id="{383F2845-923A-4183-ADF7-B97E6DBF2391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14"/>
                <a:gd name="T1" fmla="*/ 104 h 105"/>
                <a:gd name="T2" fmla="*/ 7 w 14"/>
                <a:gd name="T3" fmla="*/ 105 h 105"/>
                <a:gd name="T4" fmla="*/ 14 w 14"/>
                <a:gd name="T5" fmla="*/ 0 h 105"/>
                <a:gd name="T6" fmla="*/ 0 w 14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0" y="104"/>
                  </a:moveTo>
                  <a:lnTo>
                    <a:pt x="7" y="105"/>
                  </a:lnTo>
                  <a:lnTo>
                    <a:pt x="14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6" name="Freeform 258">
              <a:extLst>
                <a:ext uri="{FF2B5EF4-FFF2-40B4-BE49-F238E27FC236}">
                  <a16:creationId xmlns:a16="http://schemas.microsoft.com/office/drawing/2014/main" id="{8A7DF8B8-C29A-40E4-B456-AADA4DA2E32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7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7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7" name="Freeform 259">
              <a:extLst>
                <a:ext uri="{FF2B5EF4-FFF2-40B4-BE49-F238E27FC236}">
                  <a16:creationId xmlns:a16="http://schemas.microsoft.com/office/drawing/2014/main" id="{8769B6F2-130D-4E5F-8ED3-B6676176CE7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8" name="Freeform 260">
              <a:extLst>
                <a:ext uri="{FF2B5EF4-FFF2-40B4-BE49-F238E27FC236}">
                  <a16:creationId xmlns:a16="http://schemas.microsoft.com/office/drawing/2014/main" id="{584E4C9F-5478-4A64-9C52-36FAA70F368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9" name="Freeform 261">
              <a:extLst>
                <a:ext uri="{FF2B5EF4-FFF2-40B4-BE49-F238E27FC236}">
                  <a16:creationId xmlns:a16="http://schemas.microsoft.com/office/drawing/2014/main" id="{546F9C44-FF05-4171-953F-6EEBB7DB724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0" name="Freeform 262">
              <a:extLst>
                <a:ext uri="{FF2B5EF4-FFF2-40B4-BE49-F238E27FC236}">
                  <a16:creationId xmlns:a16="http://schemas.microsoft.com/office/drawing/2014/main" id="{CFF18F7D-5B4D-442E-A3A2-75A8F8F962A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2 w 29"/>
                <a:gd name="T1" fmla="*/ 103 h 103"/>
                <a:gd name="T2" fmla="*/ 29 w 29"/>
                <a:gd name="T3" fmla="*/ 101 h 103"/>
                <a:gd name="T4" fmla="*/ 0 w 29"/>
                <a:gd name="T5" fmla="*/ 0 h 103"/>
                <a:gd name="T6" fmla="*/ 22 w 29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2" y="103"/>
                  </a:moveTo>
                  <a:lnTo>
                    <a:pt x="29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1" name="Freeform 263">
              <a:extLst>
                <a:ext uri="{FF2B5EF4-FFF2-40B4-BE49-F238E27FC236}">
                  <a16:creationId xmlns:a16="http://schemas.microsoft.com/office/drawing/2014/main" id="{E3DFBB72-C854-4DF0-AAB2-CAC87A22AFF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9 w 35"/>
                <a:gd name="T1" fmla="*/ 101 h 101"/>
                <a:gd name="T2" fmla="*/ 35 w 35"/>
                <a:gd name="T3" fmla="*/ 99 h 101"/>
                <a:gd name="T4" fmla="*/ 0 w 35"/>
                <a:gd name="T5" fmla="*/ 0 h 101"/>
                <a:gd name="T6" fmla="*/ 29 w 35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29" y="101"/>
                  </a:moveTo>
                  <a:lnTo>
                    <a:pt x="35" y="99"/>
                  </a:lnTo>
                  <a:lnTo>
                    <a:pt x="0" y="0"/>
                  </a:lnTo>
                  <a:lnTo>
                    <a:pt x="29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2" name="Freeform 264">
              <a:extLst>
                <a:ext uri="{FF2B5EF4-FFF2-40B4-BE49-F238E27FC236}">
                  <a16:creationId xmlns:a16="http://schemas.microsoft.com/office/drawing/2014/main" id="{93B3AA8F-4677-4D9F-A75F-CDBF9EB3DF2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2"/>
            </a:xfrm>
            <a:custGeom>
              <a:avLst/>
              <a:gdLst>
                <a:gd name="T0" fmla="*/ 35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5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5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5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3" name="Freeform 265">
              <a:extLst>
                <a:ext uri="{FF2B5EF4-FFF2-40B4-BE49-F238E27FC236}">
                  <a16:creationId xmlns:a16="http://schemas.microsoft.com/office/drawing/2014/main" id="{B187F711-614B-4A8F-81BC-8E388F97813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2 w 49"/>
                <a:gd name="T1" fmla="*/ 96 h 96"/>
                <a:gd name="T2" fmla="*/ 49 w 49"/>
                <a:gd name="T3" fmla="*/ 93 h 96"/>
                <a:gd name="T4" fmla="*/ 0 w 49"/>
                <a:gd name="T5" fmla="*/ 0 h 96"/>
                <a:gd name="T6" fmla="*/ 42 w 49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6">
                  <a:moveTo>
                    <a:pt x="42" y="96"/>
                  </a:moveTo>
                  <a:lnTo>
                    <a:pt x="49" y="93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4" name="Freeform 266">
              <a:extLst>
                <a:ext uri="{FF2B5EF4-FFF2-40B4-BE49-F238E27FC236}">
                  <a16:creationId xmlns:a16="http://schemas.microsoft.com/office/drawing/2014/main" id="{2C1DAA12-2CBF-4BBC-AD92-D1AC283E94F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9 w 55"/>
                <a:gd name="T1" fmla="*/ 93 h 93"/>
                <a:gd name="T2" fmla="*/ 55 w 55"/>
                <a:gd name="T3" fmla="*/ 90 h 93"/>
                <a:gd name="T4" fmla="*/ 0 w 55"/>
                <a:gd name="T5" fmla="*/ 0 h 93"/>
                <a:gd name="T6" fmla="*/ 49 w 55"/>
                <a:gd name="T7" fmla="*/ 93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3">
                  <a:moveTo>
                    <a:pt x="49" y="93"/>
                  </a:moveTo>
                  <a:lnTo>
                    <a:pt x="55" y="90"/>
                  </a:lnTo>
                  <a:lnTo>
                    <a:pt x="0" y="0"/>
                  </a:lnTo>
                  <a:lnTo>
                    <a:pt x="49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5" name="Freeform 267">
              <a:extLst>
                <a:ext uri="{FF2B5EF4-FFF2-40B4-BE49-F238E27FC236}">
                  <a16:creationId xmlns:a16="http://schemas.microsoft.com/office/drawing/2014/main" id="{ABDF4474-5296-4985-BE42-27F94A26983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55 w 61"/>
                <a:gd name="T1" fmla="*/ 90 h 90"/>
                <a:gd name="T2" fmla="*/ 61 w 61"/>
                <a:gd name="T3" fmla="*/ 86 h 90"/>
                <a:gd name="T4" fmla="*/ 0 w 61"/>
                <a:gd name="T5" fmla="*/ 0 h 90"/>
                <a:gd name="T6" fmla="*/ 55 w 61"/>
                <a:gd name="T7" fmla="*/ 9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55" y="90"/>
                  </a:moveTo>
                  <a:lnTo>
                    <a:pt x="61" y="86"/>
                  </a:lnTo>
                  <a:lnTo>
                    <a:pt x="0" y="0"/>
                  </a:lnTo>
                  <a:lnTo>
                    <a:pt x="55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6" name="Freeform 268">
              <a:extLst>
                <a:ext uri="{FF2B5EF4-FFF2-40B4-BE49-F238E27FC236}">
                  <a16:creationId xmlns:a16="http://schemas.microsoft.com/office/drawing/2014/main" id="{524E6982-B81C-43B2-942C-8F47F189A4E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1 w 67"/>
                <a:gd name="T1" fmla="*/ 86 h 86"/>
                <a:gd name="T2" fmla="*/ 67 w 67"/>
                <a:gd name="T3" fmla="*/ 81 h 86"/>
                <a:gd name="T4" fmla="*/ 0 w 67"/>
                <a:gd name="T5" fmla="*/ 0 h 86"/>
                <a:gd name="T6" fmla="*/ 61 w 67"/>
                <a:gd name="T7" fmla="*/ 86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1" y="86"/>
                  </a:moveTo>
                  <a:lnTo>
                    <a:pt x="67" y="81"/>
                  </a:lnTo>
                  <a:lnTo>
                    <a:pt x="0" y="0"/>
                  </a:lnTo>
                  <a:lnTo>
                    <a:pt x="61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7" name="Freeform 269">
              <a:extLst>
                <a:ext uri="{FF2B5EF4-FFF2-40B4-BE49-F238E27FC236}">
                  <a16:creationId xmlns:a16="http://schemas.microsoft.com/office/drawing/2014/main" id="{010DAB8E-C21A-433D-97AC-64626417456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7 w 72"/>
                <a:gd name="T1" fmla="*/ 81 h 81"/>
                <a:gd name="T2" fmla="*/ 72 w 72"/>
                <a:gd name="T3" fmla="*/ 77 h 81"/>
                <a:gd name="T4" fmla="*/ 0 w 72"/>
                <a:gd name="T5" fmla="*/ 0 h 81"/>
                <a:gd name="T6" fmla="*/ 67 w 72"/>
                <a:gd name="T7" fmla="*/ 81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67" y="81"/>
                  </a:moveTo>
                  <a:lnTo>
                    <a:pt x="72" y="77"/>
                  </a:lnTo>
                  <a:lnTo>
                    <a:pt x="0" y="0"/>
                  </a:lnTo>
                  <a:lnTo>
                    <a:pt x="67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8" name="Freeform 270">
              <a:extLst>
                <a:ext uri="{FF2B5EF4-FFF2-40B4-BE49-F238E27FC236}">
                  <a16:creationId xmlns:a16="http://schemas.microsoft.com/office/drawing/2014/main" id="{959C30CC-62F7-4DBB-90A6-78E1A275794D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2 w 77"/>
                <a:gd name="T1" fmla="*/ 77 h 77"/>
                <a:gd name="T2" fmla="*/ 77 w 77"/>
                <a:gd name="T3" fmla="*/ 72 h 77"/>
                <a:gd name="T4" fmla="*/ 0 w 77"/>
                <a:gd name="T5" fmla="*/ 0 h 77"/>
                <a:gd name="T6" fmla="*/ 72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2" y="77"/>
                  </a:moveTo>
                  <a:lnTo>
                    <a:pt x="77" y="72"/>
                  </a:lnTo>
                  <a:lnTo>
                    <a:pt x="0" y="0"/>
                  </a:lnTo>
                  <a:lnTo>
                    <a:pt x="72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9" name="Freeform 271">
              <a:extLst>
                <a:ext uri="{FF2B5EF4-FFF2-40B4-BE49-F238E27FC236}">
                  <a16:creationId xmlns:a16="http://schemas.microsoft.com/office/drawing/2014/main" id="{6DBC3268-6488-4701-9C59-FC5C06AFDD13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7 w 82"/>
                <a:gd name="T1" fmla="*/ 72 h 72"/>
                <a:gd name="T2" fmla="*/ 82 w 82"/>
                <a:gd name="T3" fmla="*/ 66 h 72"/>
                <a:gd name="T4" fmla="*/ 0 w 82"/>
                <a:gd name="T5" fmla="*/ 0 h 72"/>
                <a:gd name="T6" fmla="*/ 77 w 82"/>
                <a:gd name="T7" fmla="*/ 72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77" y="72"/>
                  </a:moveTo>
                  <a:lnTo>
                    <a:pt x="82" y="66"/>
                  </a:lnTo>
                  <a:lnTo>
                    <a:pt x="0" y="0"/>
                  </a:lnTo>
                  <a:lnTo>
                    <a:pt x="77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0" name="Freeform 272">
              <a:extLst>
                <a:ext uri="{FF2B5EF4-FFF2-40B4-BE49-F238E27FC236}">
                  <a16:creationId xmlns:a16="http://schemas.microsoft.com/office/drawing/2014/main" id="{F343E37B-C5F1-431C-8607-16ECD720B13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2 w 86"/>
                <a:gd name="T1" fmla="*/ 66 h 66"/>
                <a:gd name="T2" fmla="*/ 86 w 86"/>
                <a:gd name="T3" fmla="*/ 60 h 66"/>
                <a:gd name="T4" fmla="*/ 0 w 86"/>
                <a:gd name="T5" fmla="*/ 0 h 66"/>
                <a:gd name="T6" fmla="*/ 82 w 86"/>
                <a:gd name="T7" fmla="*/ 66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82" y="66"/>
                  </a:moveTo>
                  <a:lnTo>
                    <a:pt x="86" y="60"/>
                  </a:lnTo>
                  <a:lnTo>
                    <a:pt x="0" y="0"/>
                  </a:lnTo>
                  <a:lnTo>
                    <a:pt x="82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1" name="Freeform 273">
              <a:extLst>
                <a:ext uri="{FF2B5EF4-FFF2-40B4-BE49-F238E27FC236}">
                  <a16:creationId xmlns:a16="http://schemas.microsoft.com/office/drawing/2014/main" id="{CB197D61-DFD4-4640-A2B9-76734E441DB9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6 w 90"/>
                <a:gd name="T1" fmla="*/ 60 h 60"/>
                <a:gd name="T2" fmla="*/ 90 w 90"/>
                <a:gd name="T3" fmla="*/ 54 h 60"/>
                <a:gd name="T4" fmla="*/ 0 w 90"/>
                <a:gd name="T5" fmla="*/ 0 h 60"/>
                <a:gd name="T6" fmla="*/ 86 w 90"/>
                <a:gd name="T7" fmla="*/ 60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86" y="60"/>
                  </a:moveTo>
                  <a:lnTo>
                    <a:pt x="90" y="54"/>
                  </a:lnTo>
                  <a:lnTo>
                    <a:pt x="0" y="0"/>
                  </a:lnTo>
                  <a:lnTo>
                    <a:pt x="86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2" name="Freeform 274">
              <a:extLst>
                <a:ext uri="{FF2B5EF4-FFF2-40B4-BE49-F238E27FC236}">
                  <a16:creationId xmlns:a16="http://schemas.microsoft.com/office/drawing/2014/main" id="{43098478-E8B9-4CCF-B912-17A9CF423DD9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0 w 94"/>
                <a:gd name="T1" fmla="*/ 54 h 54"/>
                <a:gd name="T2" fmla="*/ 94 w 94"/>
                <a:gd name="T3" fmla="*/ 48 h 54"/>
                <a:gd name="T4" fmla="*/ 0 w 94"/>
                <a:gd name="T5" fmla="*/ 0 h 54"/>
                <a:gd name="T6" fmla="*/ 90 w 94"/>
                <a:gd name="T7" fmla="*/ 54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4">
                  <a:moveTo>
                    <a:pt x="90" y="54"/>
                  </a:moveTo>
                  <a:lnTo>
                    <a:pt x="94" y="48"/>
                  </a:lnTo>
                  <a:lnTo>
                    <a:pt x="0" y="0"/>
                  </a:lnTo>
                  <a:lnTo>
                    <a:pt x="9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3" name="Freeform 275">
              <a:extLst>
                <a:ext uri="{FF2B5EF4-FFF2-40B4-BE49-F238E27FC236}">
                  <a16:creationId xmlns:a16="http://schemas.microsoft.com/office/drawing/2014/main" id="{8EE68D08-6B2D-450B-B7F7-2091F4BF724D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4 w 97"/>
                <a:gd name="T1" fmla="*/ 48 h 48"/>
                <a:gd name="T2" fmla="*/ 97 w 97"/>
                <a:gd name="T3" fmla="*/ 42 h 48"/>
                <a:gd name="T4" fmla="*/ 0 w 97"/>
                <a:gd name="T5" fmla="*/ 0 h 48"/>
                <a:gd name="T6" fmla="*/ 94 w 97"/>
                <a:gd name="T7" fmla="*/ 48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8">
                  <a:moveTo>
                    <a:pt x="94" y="48"/>
                  </a:moveTo>
                  <a:lnTo>
                    <a:pt x="97" y="42"/>
                  </a:lnTo>
                  <a:lnTo>
                    <a:pt x="0" y="0"/>
                  </a:lnTo>
                  <a:lnTo>
                    <a:pt x="94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4" name="Freeform 276">
              <a:extLst>
                <a:ext uri="{FF2B5EF4-FFF2-40B4-BE49-F238E27FC236}">
                  <a16:creationId xmlns:a16="http://schemas.microsoft.com/office/drawing/2014/main" id="{2128569E-C93F-45BE-BF53-A04A5B053F36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7 w 99"/>
                <a:gd name="T1" fmla="*/ 42 h 42"/>
                <a:gd name="T2" fmla="*/ 99 w 99"/>
                <a:gd name="T3" fmla="*/ 35 h 42"/>
                <a:gd name="T4" fmla="*/ 0 w 99"/>
                <a:gd name="T5" fmla="*/ 0 h 42"/>
                <a:gd name="T6" fmla="*/ 97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7" y="42"/>
                  </a:moveTo>
                  <a:lnTo>
                    <a:pt x="99" y="35"/>
                  </a:lnTo>
                  <a:lnTo>
                    <a:pt x="0" y="0"/>
                  </a:lnTo>
                  <a:lnTo>
                    <a:pt x="97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5" name="Freeform 277">
              <a:extLst>
                <a:ext uri="{FF2B5EF4-FFF2-40B4-BE49-F238E27FC236}">
                  <a16:creationId xmlns:a16="http://schemas.microsoft.com/office/drawing/2014/main" id="{66F37C33-A1AB-409A-97E0-8ACD4C3DF546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99 w 102"/>
                <a:gd name="T1" fmla="*/ 35 h 35"/>
                <a:gd name="T2" fmla="*/ 102 w 102"/>
                <a:gd name="T3" fmla="*/ 28 h 35"/>
                <a:gd name="T4" fmla="*/ 0 w 102"/>
                <a:gd name="T5" fmla="*/ 0 h 35"/>
                <a:gd name="T6" fmla="*/ 99 w 102"/>
                <a:gd name="T7" fmla="*/ 35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99" y="35"/>
                  </a:moveTo>
                  <a:lnTo>
                    <a:pt x="102" y="28"/>
                  </a:lnTo>
                  <a:lnTo>
                    <a:pt x="0" y="0"/>
                  </a:lnTo>
                  <a:lnTo>
                    <a:pt x="99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6" name="Freeform 278">
              <a:extLst>
                <a:ext uri="{FF2B5EF4-FFF2-40B4-BE49-F238E27FC236}">
                  <a16:creationId xmlns:a16="http://schemas.microsoft.com/office/drawing/2014/main" id="{11BE4197-D8C1-4C68-AB79-8E02983742A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2 w 103"/>
                <a:gd name="T1" fmla="*/ 28 h 28"/>
                <a:gd name="T2" fmla="*/ 103 w 103"/>
                <a:gd name="T3" fmla="*/ 21 h 28"/>
                <a:gd name="T4" fmla="*/ 0 w 103"/>
                <a:gd name="T5" fmla="*/ 0 h 28"/>
                <a:gd name="T6" fmla="*/ 102 w 103"/>
                <a:gd name="T7" fmla="*/ 28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102" y="28"/>
                  </a:moveTo>
                  <a:lnTo>
                    <a:pt x="103" y="21"/>
                  </a:lnTo>
                  <a:lnTo>
                    <a:pt x="0" y="0"/>
                  </a:lnTo>
                  <a:lnTo>
                    <a:pt x="102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7" name="Freeform 279">
              <a:extLst>
                <a:ext uri="{FF2B5EF4-FFF2-40B4-BE49-F238E27FC236}">
                  <a16:creationId xmlns:a16="http://schemas.microsoft.com/office/drawing/2014/main" id="{76A29EB7-390F-4CD6-BB8A-5CC90C22272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3 w 104"/>
                <a:gd name="T1" fmla="*/ 21 h 21"/>
                <a:gd name="T2" fmla="*/ 104 w 104"/>
                <a:gd name="T3" fmla="*/ 14 h 21"/>
                <a:gd name="T4" fmla="*/ 0 w 104"/>
                <a:gd name="T5" fmla="*/ 0 h 21"/>
                <a:gd name="T6" fmla="*/ 103 w 104"/>
                <a:gd name="T7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103" y="21"/>
                  </a:moveTo>
                  <a:lnTo>
                    <a:pt x="104" y="14"/>
                  </a:lnTo>
                  <a:lnTo>
                    <a:pt x="0" y="0"/>
                  </a:lnTo>
                  <a:lnTo>
                    <a:pt x="103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8" name="Freeform 280">
              <a:extLst>
                <a:ext uri="{FF2B5EF4-FFF2-40B4-BE49-F238E27FC236}">
                  <a16:creationId xmlns:a16="http://schemas.microsoft.com/office/drawing/2014/main" id="{FBB1F765-23CB-45B0-8C56-E41344A55EF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4 w 105"/>
                <a:gd name="T1" fmla="*/ 14 h 14"/>
                <a:gd name="T2" fmla="*/ 105 w 105"/>
                <a:gd name="T3" fmla="*/ 7 h 14"/>
                <a:gd name="T4" fmla="*/ 0 w 105"/>
                <a:gd name="T5" fmla="*/ 0 h 14"/>
                <a:gd name="T6" fmla="*/ 104 w 105"/>
                <a:gd name="T7" fmla="*/ 14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104" y="14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9" name="Freeform 281">
              <a:extLst>
                <a:ext uri="{FF2B5EF4-FFF2-40B4-BE49-F238E27FC236}">
                  <a16:creationId xmlns:a16="http://schemas.microsoft.com/office/drawing/2014/main" id="{67825FE3-F172-499D-A0A0-99A92363E3B3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0" name="Freeform 282">
              <a:extLst>
                <a:ext uri="{FF2B5EF4-FFF2-40B4-BE49-F238E27FC236}">
                  <a16:creationId xmlns:a16="http://schemas.microsoft.com/office/drawing/2014/main" id="{98B19B83-7185-4182-BEB0-A45D64120E81}"/>
                </a:ext>
              </a:extLst>
            </xdr:cNvPr>
            <xdr:cNvSpPr>
              <a:spLocks/>
            </xdr:cNvSpPr>
          </xdr:nvSpPr>
          <xdr:spPr bwMode="auto">
            <a:xfrm>
              <a:off x="1017" y="188"/>
              <a:ext cx="6" cy="9"/>
            </a:xfrm>
            <a:custGeom>
              <a:avLst/>
              <a:gdLst>
                <a:gd name="T0" fmla="*/ 351 w 351"/>
                <a:gd name="T1" fmla="*/ 439 h 526"/>
                <a:gd name="T2" fmla="*/ 264 w 351"/>
                <a:gd name="T3" fmla="*/ 526 h 526"/>
                <a:gd name="T4" fmla="*/ 87 w 351"/>
                <a:gd name="T5" fmla="*/ 526 h 526"/>
                <a:gd name="T6" fmla="*/ 0 w 351"/>
                <a:gd name="T7" fmla="*/ 439 h 526"/>
                <a:gd name="T8" fmla="*/ 0 w 351"/>
                <a:gd name="T9" fmla="*/ 88 h 526"/>
                <a:gd name="T10" fmla="*/ 87 w 351"/>
                <a:gd name="T11" fmla="*/ 0 h 526"/>
                <a:gd name="T12" fmla="*/ 264 w 351"/>
                <a:gd name="T13" fmla="*/ 0 h 526"/>
                <a:gd name="T14" fmla="*/ 351 w 351"/>
                <a:gd name="T15" fmla="*/ 88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351" h="526">
                  <a:moveTo>
                    <a:pt x="351" y="439"/>
                  </a:moveTo>
                  <a:lnTo>
                    <a:pt x="264" y="526"/>
                  </a:lnTo>
                  <a:lnTo>
                    <a:pt x="87" y="526"/>
                  </a:lnTo>
                  <a:lnTo>
                    <a:pt x="0" y="439"/>
                  </a:lnTo>
                  <a:lnTo>
                    <a:pt x="0" y="88"/>
                  </a:lnTo>
                  <a:lnTo>
                    <a:pt x="87" y="0"/>
                  </a:lnTo>
                  <a:lnTo>
                    <a:pt x="264" y="0"/>
                  </a:lnTo>
                  <a:lnTo>
                    <a:pt x="351" y="88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71" name="Freeform 283">
              <a:extLst>
                <a:ext uri="{FF2B5EF4-FFF2-40B4-BE49-F238E27FC236}">
                  <a16:creationId xmlns:a16="http://schemas.microsoft.com/office/drawing/2014/main" id="{0356EEFB-32A1-47C5-996F-39EE0F3D8DD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8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8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2" name="Freeform 284">
              <a:extLst>
                <a:ext uri="{FF2B5EF4-FFF2-40B4-BE49-F238E27FC236}">
                  <a16:creationId xmlns:a16="http://schemas.microsoft.com/office/drawing/2014/main" id="{2324480D-0F8B-433A-AEFB-D42EA28097D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7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3" name="Freeform 285">
              <a:extLst>
                <a:ext uri="{FF2B5EF4-FFF2-40B4-BE49-F238E27FC236}">
                  <a16:creationId xmlns:a16="http://schemas.microsoft.com/office/drawing/2014/main" id="{A296272D-77CB-448A-95AB-1C0C61539464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4 w 104"/>
                <a:gd name="T1" fmla="*/ 8 h 23"/>
                <a:gd name="T2" fmla="*/ 103 w 104"/>
                <a:gd name="T3" fmla="*/ 0 h 23"/>
                <a:gd name="T4" fmla="*/ 0 w 104"/>
                <a:gd name="T5" fmla="*/ 23 h 23"/>
                <a:gd name="T6" fmla="*/ 104 w 104"/>
                <a:gd name="T7" fmla="*/ 8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04" y="8"/>
                  </a:moveTo>
                  <a:lnTo>
                    <a:pt x="103" y="0"/>
                  </a:lnTo>
                  <a:lnTo>
                    <a:pt x="0" y="23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4" name="Freeform 286">
              <a:extLst>
                <a:ext uri="{FF2B5EF4-FFF2-40B4-BE49-F238E27FC236}">
                  <a16:creationId xmlns:a16="http://schemas.microsoft.com/office/drawing/2014/main" id="{2A4FE1E2-4920-4F9D-BB50-68D24A42BAD6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3 w 103"/>
                <a:gd name="T1" fmla="*/ 7 h 30"/>
                <a:gd name="T2" fmla="*/ 101 w 103"/>
                <a:gd name="T3" fmla="*/ 0 h 30"/>
                <a:gd name="T4" fmla="*/ 0 w 103"/>
                <a:gd name="T5" fmla="*/ 30 h 30"/>
                <a:gd name="T6" fmla="*/ 103 w 103"/>
                <a:gd name="T7" fmla="*/ 7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103" y="7"/>
                  </a:moveTo>
                  <a:lnTo>
                    <a:pt x="101" y="0"/>
                  </a:lnTo>
                  <a:lnTo>
                    <a:pt x="0" y="30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5" name="Freeform 287">
              <a:extLst>
                <a:ext uri="{FF2B5EF4-FFF2-40B4-BE49-F238E27FC236}">
                  <a16:creationId xmlns:a16="http://schemas.microsoft.com/office/drawing/2014/main" id="{091BFA1B-335B-4CEE-B63E-85A21B3B8F41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1 w 101"/>
                <a:gd name="T1" fmla="*/ 7 h 37"/>
                <a:gd name="T2" fmla="*/ 99 w 101"/>
                <a:gd name="T3" fmla="*/ 0 h 37"/>
                <a:gd name="T4" fmla="*/ 0 w 101"/>
                <a:gd name="T5" fmla="*/ 37 h 37"/>
                <a:gd name="T6" fmla="*/ 101 w 101"/>
                <a:gd name="T7" fmla="*/ 7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101" y="7"/>
                  </a:moveTo>
                  <a:lnTo>
                    <a:pt x="99" y="0"/>
                  </a:lnTo>
                  <a:lnTo>
                    <a:pt x="0" y="37"/>
                  </a:lnTo>
                  <a:lnTo>
                    <a:pt x="101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6" name="Freeform 288">
              <a:extLst>
                <a:ext uri="{FF2B5EF4-FFF2-40B4-BE49-F238E27FC236}">
                  <a16:creationId xmlns:a16="http://schemas.microsoft.com/office/drawing/2014/main" id="{F4AC968E-81B1-44BC-86CF-271F7E132868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9 w 99"/>
                <a:gd name="T1" fmla="*/ 7 h 44"/>
                <a:gd name="T2" fmla="*/ 96 w 99"/>
                <a:gd name="T3" fmla="*/ 0 h 44"/>
                <a:gd name="T4" fmla="*/ 0 w 99"/>
                <a:gd name="T5" fmla="*/ 44 h 44"/>
                <a:gd name="T6" fmla="*/ 99 w 99"/>
                <a:gd name="T7" fmla="*/ 7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99" y="7"/>
                  </a:moveTo>
                  <a:lnTo>
                    <a:pt x="96" y="0"/>
                  </a:lnTo>
                  <a:lnTo>
                    <a:pt x="0" y="44"/>
                  </a:lnTo>
                  <a:lnTo>
                    <a:pt x="99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7" name="Freeform 289">
              <a:extLst>
                <a:ext uri="{FF2B5EF4-FFF2-40B4-BE49-F238E27FC236}">
                  <a16:creationId xmlns:a16="http://schemas.microsoft.com/office/drawing/2014/main" id="{3E1556A4-760E-45A2-8998-E63C5CB71A95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6 w 96"/>
                <a:gd name="T1" fmla="*/ 7 h 51"/>
                <a:gd name="T2" fmla="*/ 92 w 96"/>
                <a:gd name="T3" fmla="*/ 0 h 51"/>
                <a:gd name="T4" fmla="*/ 0 w 96"/>
                <a:gd name="T5" fmla="*/ 51 h 51"/>
                <a:gd name="T6" fmla="*/ 96 w 96"/>
                <a:gd name="T7" fmla="*/ 7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96" y="7"/>
                  </a:moveTo>
                  <a:lnTo>
                    <a:pt x="92" y="0"/>
                  </a:lnTo>
                  <a:lnTo>
                    <a:pt x="0" y="51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8" name="Freeform 290">
              <a:extLst>
                <a:ext uri="{FF2B5EF4-FFF2-40B4-BE49-F238E27FC236}">
                  <a16:creationId xmlns:a16="http://schemas.microsoft.com/office/drawing/2014/main" id="{88DA926A-AD66-4C3F-B36E-8D72248A1E5B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2 w 92"/>
                <a:gd name="T1" fmla="*/ 6 h 57"/>
                <a:gd name="T2" fmla="*/ 88 w 92"/>
                <a:gd name="T3" fmla="*/ 0 h 57"/>
                <a:gd name="T4" fmla="*/ 0 w 92"/>
                <a:gd name="T5" fmla="*/ 57 h 57"/>
                <a:gd name="T6" fmla="*/ 92 w 92"/>
                <a:gd name="T7" fmla="*/ 6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92" y="6"/>
                  </a:moveTo>
                  <a:lnTo>
                    <a:pt x="88" y="0"/>
                  </a:lnTo>
                  <a:lnTo>
                    <a:pt x="0" y="57"/>
                  </a:lnTo>
                  <a:lnTo>
                    <a:pt x="92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9" name="Freeform 291">
              <a:extLst>
                <a:ext uri="{FF2B5EF4-FFF2-40B4-BE49-F238E27FC236}">
                  <a16:creationId xmlns:a16="http://schemas.microsoft.com/office/drawing/2014/main" id="{790B9230-D04E-4E55-BF48-12C2B5ED18F3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8 w 88"/>
                <a:gd name="T1" fmla="*/ 6 h 63"/>
                <a:gd name="T2" fmla="*/ 84 w 88"/>
                <a:gd name="T3" fmla="*/ 0 h 63"/>
                <a:gd name="T4" fmla="*/ 0 w 88"/>
                <a:gd name="T5" fmla="*/ 63 h 63"/>
                <a:gd name="T6" fmla="*/ 88 w 88"/>
                <a:gd name="T7" fmla="*/ 6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8" y="6"/>
                  </a:moveTo>
                  <a:lnTo>
                    <a:pt x="84" y="0"/>
                  </a:lnTo>
                  <a:lnTo>
                    <a:pt x="0" y="63"/>
                  </a:lnTo>
                  <a:lnTo>
                    <a:pt x="88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0" name="Freeform 292">
              <a:extLst>
                <a:ext uri="{FF2B5EF4-FFF2-40B4-BE49-F238E27FC236}">
                  <a16:creationId xmlns:a16="http://schemas.microsoft.com/office/drawing/2014/main" id="{DBC53AA5-D435-4BA9-9F8B-8953FECEF0FA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4 w 84"/>
                <a:gd name="T1" fmla="*/ 6 h 69"/>
                <a:gd name="T2" fmla="*/ 79 w 84"/>
                <a:gd name="T3" fmla="*/ 0 h 69"/>
                <a:gd name="T4" fmla="*/ 0 w 84"/>
                <a:gd name="T5" fmla="*/ 69 h 69"/>
                <a:gd name="T6" fmla="*/ 84 w 84"/>
                <a:gd name="T7" fmla="*/ 6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84" y="6"/>
                  </a:moveTo>
                  <a:lnTo>
                    <a:pt x="79" y="0"/>
                  </a:lnTo>
                  <a:lnTo>
                    <a:pt x="0" y="69"/>
                  </a:lnTo>
                  <a:lnTo>
                    <a:pt x="8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1" name="Freeform 293">
              <a:extLst>
                <a:ext uri="{FF2B5EF4-FFF2-40B4-BE49-F238E27FC236}">
                  <a16:creationId xmlns:a16="http://schemas.microsoft.com/office/drawing/2014/main" id="{0199CBC2-B64A-4F70-A330-00D3B494042A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79 w 79"/>
                <a:gd name="T1" fmla="*/ 6 h 75"/>
                <a:gd name="T2" fmla="*/ 74 w 79"/>
                <a:gd name="T3" fmla="*/ 0 h 75"/>
                <a:gd name="T4" fmla="*/ 0 w 79"/>
                <a:gd name="T5" fmla="*/ 75 h 75"/>
                <a:gd name="T6" fmla="*/ 79 w 79"/>
                <a:gd name="T7" fmla="*/ 6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5">
                  <a:moveTo>
                    <a:pt x="79" y="6"/>
                  </a:moveTo>
                  <a:lnTo>
                    <a:pt x="74" y="0"/>
                  </a:lnTo>
                  <a:lnTo>
                    <a:pt x="0" y="75"/>
                  </a:lnTo>
                  <a:lnTo>
                    <a:pt x="7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2" name="Freeform 294">
              <a:extLst>
                <a:ext uri="{FF2B5EF4-FFF2-40B4-BE49-F238E27FC236}">
                  <a16:creationId xmlns:a16="http://schemas.microsoft.com/office/drawing/2014/main" id="{5822D51C-3100-45BB-A60F-6372ED685331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74 w 74"/>
                <a:gd name="T1" fmla="*/ 5 h 80"/>
                <a:gd name="T2" fmla="*/ 69 w 74"/>
                <a:gd name="T3" fmla="*/ 0 h 80"/>
                <a:gd name="T4" fmla="*/ 0 w 74"/>
                <a:gd name="T5" fmla="*/ 80 h 80"/>
                <a:gd name="T6" fmla="*/ 74 w 74"/>
                <a:gd name="T7" fmla="*/ 5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74" y="5"/>
                  </a:moveTo>
                  <a:lnTo>
                    <a:pt x="69" y="0"/>
                  </a:lnTo>
                  <a:lnTo>
                    <a:pt x="0" y="80"/>
                  </a:lnTo>
                  <a:lnTo>
                    <a:pt x="74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3" name="Freeform 295">
              <a:extLst>
                <a:ext uri="{FF2B5EF4-FFF2-40B4-BE49-F238E27FC236}">
                  <a16:creationId xmlns:a16="http://schemas.microsoft.com/office/drawing/2014/main" id="{852DAD35-F7B1-4C23-81D2-C99FDCC615DE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9 w 69"/>
                <a:gd name="T1" fmla="*/ 5 h 85"/>
                <a:gd name="T2" fmla="*/ 63 w 69"/>
                <a:gd name="T3" fmla="*/ 0 h 85"/>
                <a:gd name="T4" fmla="*/ 0 w 69"/>
                <a:gd name="T5" fmla="*/ 85 h 85"/>
                <a:gd name="T6" fmla="*/ 69 w 69"/>
                <a:gd name="T7" fmla="*/ 5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9" y="5"/>
                  </a:moveTo>
                  <a:lnTo>
                    <a:pt x="63" y="0"/>
                  </a:lnTo>
                  <a:lnTo>
                    <a:pt x="0" y="85"/>
                  </a:lnTo>
                  <a:lnTo>
                    <a:pt x="69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4" name="Freeform 296">
              <a:extLst>
                <a:ext uri="{FF2B5EF4-FFF2-40B4-BE49-F238E27FC236}">
                  <a16:creationId xmlns:a16="http://schemas.microsoft.com/office/drawing/2014/main" id="{D47BF864-B981-41D7-BF18-05D691BEBC0F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3 w 63"/>
                <a:gd name="T1" fmla="*/ 4 h 89"/>
                <a:gd name="T2" fmla="*/ 57 w 63"/>
                <a:gd name="T3" fmla="*/ 0 h 89"/>
                <a:gd name="T4" fmla="*/ 0 w 63"/>
                <a:gd name="T5" fmla="*/ 89 h 89"/>
                <a:gd name="T6" fmla="*/ 63 w 63"/>
                <a:gd name="T7" fmla="*/ 4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3" y="4"/>
                  </a:moveTo>
                  <a:lnTo>
                    <a:pt x="57" y="0"/>
                  </a:lnTo>
                  <a:lnTo>
                    <a:pt x="0" y="89"/>
                  </a:lnTo>
                  <a:lnTo>
                    <a:pt x="63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5" name="Freeform 297">
              <a:extLst>
                <a:ext uri="{FF2B5EF4-FFF2-40B4-BE49-F238E27FC236}">
                  <a16:creationId xmlns:a16="http://schemas.microsoft.com/office/drawing/2014/main" id="{9BA17C1E-2CD8-449A-A9BA-EAFB1F1E7CD2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57 w 57"/>
                <a:gd name="T1" fmla="*/ 4 h 93"/>
                <a:gd name="T2" fmla="*/ 50 w 57"/>
                <a:gd name="T3" fmla="*/ 0 h 93"/>
                <a:gd name="T4" fmla="*/ 0 w 57"/>
                <a:gd name="T5" fmla="*/ 93 h 93"/>
                <a:gd name="T6" fmla="*/ 57 w 57"/>
                <a:gd name="T7" fmla="*/ 4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57" y="4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6" name="Freeform 298">
              <a:extLst>
                <a:ext uri="{FF2B5EF4-FFF2-40B4-BE49-F238E27FC236}">
                  <a16:creationId xmlns:a16="http://schemas.microsoft.com/office/drawing/2014/main" id="{8BCDE7AD-AD6B-428C-9ABA-36D3A90F5824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50 w 50"/>
                <a:gd name="T1" fmla="*/ 3 h 96"/>
                <a:gd name="T2" fmla="*/ 44 w 50"/>
                <a:gd name="T3" fmla="*/ 0 h 96"/>
                <a:gd name="T4" fmla="*/ 0 w 50"/>
                <a:gd name="T5" fmla="*/ 96 h 96"/>
                <a:gd name="T6" fmla="*/ 50 w 50"/>
                <a:gd name="T7" fmla="*/ 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50" y="3"/>
                  </a:moveTo>
                  <a:lnTo>
                    <a:pt x="44" y="0"/>
                  </a:lnTo>
                  <a:lnTo>
                    <a:pt x="0" y="96"/>
                  </a:lnTo>
                  <a:lnTo>
                    <a:pt x="50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7" name="Freeform 299">
              <a:extLst>
                <a:ext uri="{FF2B5EF4-FFF2-40B4-BE49-F238E27FC236}">
                  <a16:creationId xmlns:a16="http://schemas.microsoft.com/office/drawing/2014/main" id="{BC8FE805-6428-4696-A51B-426D8EA2F10D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44 w 44"/>
                <a:gd name="T1" fmla="*/ 3 h 99"/>
                <a:gd name="T2" fmla="*/ 37 w 44"/>
                <a:gd name="T3" fmla="*/ 0 h 99"/>
                <a:gd name="T4" fmla="*/ 0 w 44"/>
                <a:gd name="T5" fmla="*/ 99 h 99"/>
                <a:gd name="T6" fmla="*/ 44 w 44"/>
                <a:gd name="T7" fmla="*/ 3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44" y="3"/>
                  </a:moveTo>
                  <a:lnTo>
                    <a:pt x="37" y="0"/>
                  </a:lnTo>
                  <a:lnTo>
                    <a:pt x="0" y="99"/>
                  </a:lnTo>
                  <a:lnTo>
                    <a:pt x="44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8" name="Freeform 300">
              <a:extLst>
                <a:ext uri="{FF2B5EF4-FFF2-40B4-BE49-F238E27FC236}">
                  <a16:creationId xmlns:a16="http://schemas.microsoft.com/office/drawing/2014/main" id="{CD7F4917-524A-4791-BE7B-F0E576E74A15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7 w 37"/>
                <a:gd name="T1" fmla="*/ 2 h 101"/>
                <a:gd name="T2" fmla="*/ 30 w 37"/>
                <a:gd name="T3" fmla="*/ 0 h 101"/>
                <a:gd name="T4" fmla="*/ 0 w 37"/>
                <a:gd name="T5" fmla="*/ 101 h 101"/>
                <a:gd name="T6" fmla="*/ 37 w 37"/>
                <a:gd name="T7" fmla="*/ 2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7" y="2"/>
                  </a:moveTo>
                  <a:lnTo>
                    <a:pt x="30" y="0"/>
                  </a:lnTo>
                  <a:lnTo>
                    <a:pt x="0" y="101"/>
                  </a:lnTo>
                  <a:lnTo>
                    <a:pt x="37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9" name="Freeform 301">
              <a:extLst>
                <a:ext uri="{FF2B5EF4-FFF2-40B4-BE49-F238E27FC236}">
                  <a16:creationId xmlns:a16="http://schemas.microsoft.com/office/drawing/2014/main" id="{3A1BACE8-4E30-466D-9BD3-D00FD6EE094D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0 w 30"/>
                <a:gd name="T1" fmla="*/ 2 h 103"/>
                <a:gd name="T2" fmla="*/ 22 w 30"/>
                <a:gd name="T3" fmla="*/ 0 h 103"/>
                <a:gd name="T4" fmla="*/ 0 w 30"/>
                <a:gd name="T5" fmla="*/ 103 h 103"/>
                <a:gd name="T6" fmla="*/ 30 w 30"/>
                <a:gd name="T7" fmla="*/ 2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30" y="2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30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0" name="Freeform 302">
              <a:extLst>
                <a:ext uri="{FF2B5EF4-FFF2-40B4-BE49-F238E27FC236}">
                  <a16:creationId xmlns:a16="http://schemas.microsoft.com/office/drawing/2014/main" id="{B20BA378-3239-4A7C-8207-AC715D283CB2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1" name="Freeform 303">
              <a:extLst>
                <a:ext uri="{FF2B5EF4-FFF2-40B4-BE49-F238E27FC236}">
                  <a16:creationId xmlns:a16="http://schemas.microsoft.com/office/drawing/2014/main" id="{9B790834-F1DF-4A38-9DB2-C8250EA6E16C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2" name="Freeform 304">
              <a:extLst>
                <a:ext uri="{FF2B5EF4-FFF2-40B4-BE49-F238E27FC236}">
                  <a16:creationId xmlns:a16="http://schemas.microsoft.com/office/drawing/2014/main" id="{0F3CD0B0-4AD5-4071-9C0F-7406B9C618AC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3" name="Freeform 305">
              <a:extLst>
                <a:ext uri="{FF2B5EF4-FFF2-40B4-BE49-F238E27FC236}">
                  <a16:creationId xmlns:a16="http://schemas.microsoft.com/office/drawing/2014/main" id="{3196BB12-7755-4EF4-943C-B151353CF92E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8 w 8"/>
                <a:gd name="T1" fmla="*/ 0 h 106"/>
                <a:gd name="T2" fmla="*/ 0 w 8"/>
                <a:gd name="T3" fmla="*/ 1 h 106"/>
                <a:gd name="T4" fmla="*/ 8 w 8"/>
                <a:gd name="T5" fmla="*/ 106 h 106"/>
                <a:gd name="T6" fmla="*/ 8 w 8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6">
                  <a:moveTo>
                    <a:pt x="8" y="0"/>
                  </a:moveTo>
                  <a:lnTo>
                    <a:pt x="0" y="1"/>
                  </a:lnTo>
                  <a:lnTo>
                    <a:pt x="8" y="106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4" name="Freeform 306">
              <a:extLst>
                <a:ext uri="{FF2B5EF4-FFF2-40B4-BE49-F238E27FC236}">
                  <a16:creationId xmlns:a16="http://schemas.microsoft.com/office/drawing/2014/main" id="{4590E383-C8CC-4E77-BFD8-D744B2209C1C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15"/>
                <a:gd name="T1" fmla="*/ 0 h 105"/>
                <a:gd name="T2" fmla="*/ 0 w 15"/>
                <a:gd name="T3" fmla="*/ 0 h 105"/>
                <a:gd name="T4" fmla="*/ 15 w 15"/>
                <a:gd name="T5" fmla="*/ 105 h 105"/>
                <a:gd name="T6" fmla="*/ 7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0"/>
                  </a:moveTo>
                  <a:lnTo>
                    <a:pt x="0" y="0"/>
                  </a:lnTo>
                  <a:lnTo>
                    <a:pt x="15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5" name="Freeform 307">
              <a:extLst>
                <a:ext uri="{FF2B5EF4-FFF2-40B4-BE49-F238E27FC236}">
                  <a16:creationId xmlns:a16="http://schemas.microsoft.com/office/drawing/2014/main" id="{EF0EBD8B-F954-4C97-B300-648C7FE71FC2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22"/>
                <a:gd name="T1" fmla="*/ 0 h 105"/>
                <a:gd name="T2" fmla="*/ 0 w 22"/>
                <a:gd name="T3" fmla="*/ 2 h 105"/>
                <a:gd name="T4" fmla="*/ 22 w 22"/>
                <a:gd name="T5" fmla="*/ 105 h 105"/>
                <a:gd name="T6" fmla="*/ 7 w 22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7" y="0"/>
                  </a:moveTo>
                  <a:lnTo>
                    <a:pt x="0" y="2"/>
                  </a:lnTo>
                  <a:lnTo>
                    <a:pt x="22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6" name="Freeform 308">
              <a:extLst>
                <a:ext uri="{FF2B5EF4-FFF2-40B4-BE49-F238E27FC236}">
                  <a16:creationId xmlns:a16="http://schemas.microsoft.com/office/drawing/2014/main" id="{A74F4501-40C1-4B2D-AEBC-47C5A7BE1093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8 w 30"/>
                <a:gd name="T1" fmla="*/ 0 h 103"/>
                <a:gd name="T2" fmla="*/ 0 w 30"/>
                <a:gd name="T3" fmla="*/ 2 h 103"/>
                <a:gd name="T4" fmla="*/ 30 w 30"/>
                <a:gd name="T5" fmla="*/ 103 h 103"/>
                <a:gd name="T6" fmla="*/ 8 w 30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8" y="0"/>
                  </a:moveTo>
                  <a:lnTo>
                    <a:pt x="0" y="2"/>
                  </a:lnTo>
                  <a:lnTo>
                    <a:pt x="30" y="10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7" name="Freeform 309">
              <a:extLst>
                <a:ext uri="{FF2B5EF4-FFF2-40B4-BE49-F238E27FC236}">
                  <a16:creationId xmlns:a16="http://schemas.microsoft.com/office/drawing/2014/main" id="{1196C825-E7A5-4A29-B5AE-388F7C9D1A24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37"/>
                <a:gd name="T1" fmla="*/ 0 h 101"/>
                <a:gd name="T2" fmla="*/ 0 w 37"/>
                <a:gd name="T3" fmla="*/ 2 h 101"/>
                <a:gd name="T4" fmla="*/ 37 w 37"/>
                <a:gd name="T5" fmla="*/ 101 h 101"/>
                <a:gd name="T6" fmla="*/ 7 w 37"/>
                <a:gd name="T7" fmla="*/ 0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7" y="0"/>
                  </a:moveTo>
                  <a:lnTo>
                    <a:pt x="0" y="2"/>
                  </a:lnTo>
                  <a:lnTo>
                    <a:pt x="37" y="10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8" name="Freeform 310">
              <a:extLst>
                <a:ext uri="{FF2B5EF4-FFF2-40B4-BE49-F238E27FC236}">
                  <a16:creationId xmlns:a16="http://schemas.microsoft.com/office/drawing/2014/main" id="{E5D82328-13ED-45E4-9843-82032B50DBA0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44"/>
                <a:gd name="T1" fmla="*/ 0 h 99"/>
                <a:gd name="T2" fmla="*/ 0 w 44"/>
                <a:gd name="T3" fmla="*/ 3 h 99"/>
                <a:gd name="T4" fmla="*/ 44 w 44"/>
                <a:gd name="T5" fmla="*/ 99 h 99"/>
                <a:gd name="T6" fmla="*/ 7 w 44"/>
                <a:gd name="T7" fmla="*/ 0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7" y="0"/>
                  </a:moveTo>
                  <a:lnTo>
                    <a:pt x="0" y="3"/>
                  </a:lnTo>
                  <a:lnTo>
                    <a:pt x="44" y="99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9" name="Freeform 311">
              <a:extLst>
                <a:ext uri="{FF2B5EF4-FFF2-40B4-BE49-F238E27FC236}">
                  <a16:creationId xmlns:a16="http://schemas.microsoft.com/office/drawing/2014/main" id="{FE836859-412B-4FDE-8548-F0A19371E0AC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50"/>
                <a:gd name="T1" fmla="*/ 0 h 96"/>
                <a:gd name="T2" fmla="*/ 0 w 50"/>
                <a:gd name="T3" fmla="*/ 3 h 96"/>
                <a:gd name="T4" fmla="*/ 50 w 50"/>
                <a:gd name="T5" fmla="*/ 96 h 96"/>
                <a:gd name="T6" fmla="*/ 6 w 50"/>
                <a:gd name="T7" fmla="*/ 0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6" y="0"/>
                  </a:moveTo>
                  <a:lnTo>
                    <a:pt x="0" y="3"/>
                  </a:lnTo>
                  <a:lnTo>
                    <a:pt x="50" y="9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0" name="Freeform 312">
              <a:extLst>
                <a:ext uri="{FF2B5EF4-FFF2-40B4-BE49-F238E27FC236}">
                  <a16:creationId xmlns:a16="http://schemas.microsoft.com/office/drawing/2014/main" id="{6E18DD35-2FEB-44B8-9560-FE831A5451F3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57"/>
                <a:gd name="T1" fmla="*/ 0 h 93"/>
                <a:gd name="T2" fmla="*/ 0 w 57"/>
                <a:gd name="T3" fmla="*/ 4 h 93"/>
                <a:gd name="T4" fmla="*/ 57 w 57"/>
                <a:gd name="T5" fmla="*/ 93 h 93"/>
                <a:gd name="T6" fmla="*/ 7 w 57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7" y="0"/>
                  </a:moveTo>
                  <a:lnTo>
                    <a:pt x="0" y="4"/>
                  </a:lnTo>
                  <a:lnTo>
                    <a:pt x="57" y="9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1" name="Freeform 313">
              <a:extLst>
                <a:ext uri="{FF2B5EF4-FFF2-40B4-BE49-F238E27FC236}">
                  <a16:creationId xmlns:a16="http://schemas.microsoft.com/office/drawing/2014/main" id="{37E6C742-01C2-4C24-B021-43A8D3AE5449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63"/>
                <a:gd name="T1" fmla="*/ 0 h 89"/>
                <a:gd name="T2" fmla="*/ 0 w 63"/>
                <a:gd name="T3" fmla="*/ 4 h 89"/>
                <a:gd name="T4" fmla="*/ 63 w 63"/>
                <a:gd name="T5" fmla="*/ 89 h 89"/>
                <a:gd name="T6" fmla="*/ 6 w 63"/>
                <a:gd name="T7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" y="0"/>
                  </a:moveTo>
                  <a:lnTo>
                    <a:pt x="0" y="4"/>
                  </a:lnTo>
                  <a:lnTo>
                    <a:pt x="63" y="89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2" name="Freeform 314">
              <a:extLst>
                <a:ext uri="{FF2B5EF4-FFF2-40B4-BE49-F238E27FC236}">
                  <a16:creationId xmlns:a16="http://schemas.microsoft.com/office/drawing/2014/main" id="{CFAAB493-ACC0-43F1-A3F5-60EF965836DC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6 w 69"/>
                <a:gd name="T1" fmla="*/ 0 h 85"/>
                <a:gd name="T2" fmla="*/ 0 w 69"/>
                <a:gd name="T3" fmla="*/ 5 h 85"/>
                <a:gd name="T4" fmla="*/ 69 w 69"/>
                <a:gd name="T5" fmla="*/ 85 h 85"/>
                <a:gd name="T6" fmla="*/ 6 w 69"/>
                <a:gd name="T7" fmla="*/ 0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" y="0"/>
                  </a:moveTo>
                  <a:lnTo>
                    <a:pt x="0" y="5"/>
                  </a:lnTo>
                  <a:lnTo>
                    <a:pt x="69" y="8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3" name="Freeform 315">
              <a:extLst>
                <a:ext uri="{FF2B5EF4-FFF2-40B4-BE49-F238E27FC236}">
                  <a16:creationId xmlns:a16="http://schemas.microsoft.com/office/drawing/2014/main" id="{88691A02-A813-4CB7-AF94-9721297F3CCD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5 w 74"/>
                <a:gd name="T1" fmla="*/ 0 h 80"/>
                <a:gd name="T2" fmla="*/ 0 w 74"/>
                <a:gd name="T3" fmla="*/ 5 h 80"/>
                <a:gd name="T4" fmla="*/ 74 w 74"/>
                <a:gd name="T5" fmla="*/ 80 h 80"/>
                <a:gd name="T6" fmla="*/ 5 w 74"/>
                <a:gd name="T7" fmla="*/ 0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5" y="0"/>
                  </a:moveTo>
                  <a:lnTo>
                    <a:pt x="0" y="5"/>
                  </a:lnTo>
                  <a:lnTo>
                    <a:pt x="74" y="8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4" name="Freeform 316">
              <a:extLst>
                <a:ext uri="{FF2B5EF4-FFF2-40B4-BE49-F238E27FC236}">
                  <a16:creationId xmlns:a16="http://schemas.microsoft.com/office/drawing/2014/main" id="{AB8ED3AC-621A-46AA-9520-981F8B630A4F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6 w 80"/>
                <a:gd name="T1" fmla="*/ 0 h 75"/>
                <a:gd name="T2" fmla="*/ 0 w 80"/>
                <a:gd name="T3" fmla="*/ 6 h 75"/>
                <a:gd name="T4" fmla="*/ 80 w 80"/>
                <a:gd name="T5" fmla="*/ 75 h 75"/>
                <a:gd name="T6" fmla="*/ 6 w 80"/>
                <a:gd name="T7" fmla="*/ 0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5">
                  <a:moveTo>
                    <a:pt x="6" y="0"/>
                  </a:moveTo>
                  <a:lnTo>
                    <a:pt x="0" y="6"/>
                  </a:lnTo>
                  <a:lnTo>
                    <a:pt x="80" y="7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5" name="Freeform 317">
              <a:extLst>
                <a:ext uri="{FF2B5EF4-FFF2-40B4-BE49-F238E27FC236}">
                  <a16:creationId xmlns:a16="http://schemas.microsoft.com/office/drawing/2014/main" id="{346636C3-C799-4BCF-931C-0E89EF9C9483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84"/>
                <a:gd name="T1" fmla="*/ 0 h 69"/>
                <a:gd name="T2" fmla="*/ 0 w 84"/>
                <a:gd name="T3" fmla="*/ 6 h 69"/>
                <a:gd name="T4" fmla="*/ 84 w 84"/>
                <a:gd name="T5" fmla="*/ 69 h 69"/>
                <a:gd name="T6" fmla="*/ 4 w 84"/>
                <a:gd name="T7" fmla="*/ 0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4" y="0"/>
                  </a:moveTo>
                  <a:lnTo>
                    <a:pt x="0" y="6"/>
                  </a:lnTo>
                  <a:lnTo>
                    <a:pt x="84" y="69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6" name="Freeform 318">
              <a:extLst>
                <a:ext uri="{FF2B5EF4-FFF2-40B4-BE49-F238E27FC236}">
                  <a16:creationId xmlns:a16="http://schemas.microsoft.com/office/drawing/2014/main" id="{81E93084-B2F3-4A2B-9C9D-D27D9B00A0BD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5 w 89"/>
                <a:gd name="T1" fmla="*/ 0 h 63"/>
                <a:gd name="T2" fmla="*/ 0 w 89"/>
                <a:gd name="T3" fmla="*/ 6 h 63"/>
                <a:gd name="T4" fmla="*/ 89 w 89"/>
                <a:gd name="T5" fmla="*/ 63 h 63"/>
                <a:gd name="T6" fmla="*/ 5 w 89"/>
                <a:gd name="T7" fmla="*/ 0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5" y="0"/>
                  </a:moveTo>
                  <a:lnTo>
                    <a:pt x="0" y="6"/>
                  </a:lnTo>
                  <a:lnTo>
                    <a:pt x="89" y="63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7" name="Freeform 319">
              <a:extLst>
                <a:ext uri="{FF2B5EF4-FFF2-40B4-BE49-F238E27FC236}">
                  <a16:creationId xmlns:a16="http://schemas.microsoft.com/office/drawing/2014/main" id="{AA95C892-550B-4B6B-813D-A103C399A831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2"/>
                <a:gd name="T1" fmla="*/ 0 h 57"/>
                <a:gd name="T2" fmla="*/ 0 w 92"/>
                <a:gd name="T3" fmla="*/ 6 h 57"/>
                <a:gd name="T4" fmla="*/ 92 w 92"/>
                <a:gd name="T5" fmla="*/ 57 h 57"/>
                <a:gd name="T6" fmla="*/ 3 w 92"/>
                <a:gd name="T7" fmla="*/ 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3" y="0"/>
                  </a:moveTo>
                  <a:lnTo>
                    <a:pt x="0" y="6"/>
                  </a:lnTo>
                  <a:lnTo>
                    <a:pt x="92" y="57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8" name="Freeform 320">
              <a:extLst>
                <a:ext uri="{FF2B5EF4-FFF2-40B4-BE49-F238E27FC236}">
                  <a16:creationId xmlns:a16="http://schemas.microsoft.com/office/drawing/2014/main" id="{AD3F4363-391B-4899-BFD0-A19ED2883B04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96"/>
                <a:gd name="T1" fmla="*/ 0 h 51"/>
                <a:gd name="T2" fmla="*/ 0 w 96"/>
                <a:gd name="T3" fmla="*/ 7 h 51"/>
                <a:gd name="T4" fmla="*/ 96 w 96"/>
                <a:gd name="T5" fmla="*/ 51 h 51"/>
                <a:gd name="T6" fmla="*/ 4 w 96"/>
                <a:gd name="T7" fmla="*/ 0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4" y="0"/>
                  </a:moveTo>
                  <a:lnTo>
                    <a:pt x="0" y="7"/>
                  </a:lnTo>
                  <a:lnTo>
                    <a:pt x="96" y="5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9" name="Freeform 321">
              <a:extLst>
                <a:ext uri="{FF2B5EF4-FFF2-40B4-BE49-F238E27FC236}">
                  <a16:creationId xmlns:a16="http://schemas.microsoft.com/office/drawing/2014/main" id="{121BB82C-5297-4484-8F53-BC083B78B2F7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9"/>
                <a:gd name="T1" fmla="*/ 0 h 44"/>
                <a:gd name="T2" fmla="*/ 0 w 99"/>
                <a:gd name="T3" fmla="*/ 7 h 44"/>
                <a:gd name="T4" fmla="*/ 99 w 99"/>
                <a:gd name="T5" fmla="*/ 44 h 44"/>
                <a:gd name="T6" fmla="*/ 3 w 99"/>
                <a:gd name="T7" fmla="*/ 0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3" y="0"/>
                  </a:moveTo>
                  <a:lnTo>
                    <a:pt x="0" y="7"/>
                  </a:lnTo>
                  <a:lnTo>
                    <a:pt x="99" y="44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0" name="Freeform 322">
              <a:extLst>
                <a:ext uri="{FF2B5EF4-FFF2-40B4-BE49-F238E27FC236}">
                  <a16:creationId xmlns:a16="http://schemas.microsoft.com/office/drawing/2014/main" id="{7E1CED82-4146-4201-B204-2E911721AAF8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1"/>
                <a:gd name="T1" fmla="*/ 0 h 37"/>
                <a:gd name="T2" fmla="*/ 0 w 101"/>
                <a:gd name="T3" fmla="*/ 7 h 37"/>
                <a:gd name="T4" fmla="*/ 101 w 101"/>
                <a:gd name="T5" fmla="*/ 37 h 37"/>
                <a:gd name="T6" fmla="*/ 2 w 101"/>
                <a:gd name="T7" fmla="*/ 0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2" y="0"/>
                  </a:moveTo>
                  <a:lnTo>
                    <a:pt x="0" y="7"/>
                  </a:lnTo>
                  <a:lnTo>
                    <a:pt x="101" y="37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1" name="Freeform 323">
              <a:extLst>
                <a:ext uri="{FF2B5EF4-FFF2-40B4-BE49-F238E27FC236}">
                  <a16:creationId xmlns:a16="http://schemas.microsoft.com/office/drawing/2014/main" id="{61CAB69C-6048-4A47-9F0E-B9C32327A41C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3"/>
                <a:gd name="T1" fmla="*/ 0 h 30"/>
                <a:gd name="T2" fmla="*/ 0 w 103"/>
                <a:gd name="T3" fmla="*/ 7 h 30"/>
                <a:gd name="T4" fmla="*/ 103 w 103"/>
                <a:gd name="T5" fmla="*/ 30 h 30"/>
                <a:gd name="T6" fmla="*/ 2 w 103"/>
                <a:gd name="T7" fmla="*/ 0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2" y="0"/>
                  </a:moveTo>
                  <a:lnTo>
                    <a:pt x="0" y="7"/>
                  </a:lnTo>
                  <a:lnTo>
                    <a:pt x="103" y="3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2" name="Freeform 324">
              <a:extLst>
                <a:ext uri="{FF2B5EF4-FFF2-40B4-BE49-F238E27FC236}">
                  <a16:creationId xmlns:a16="http://schemas.microsoft.com/office/drawing/2014/main" id="{12905578-3C70-4935-A8F8-8280711948B3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1 w 104"/>
                <a:gd name="T1" fmla="*/ 0 h 23"/>
                <a:gd name="T2" fmla="*/ 0 w 104"/>
                <a:gd name="T3" fmla="*/ 8 h 23"/>
                <a:gd name="T4" fmla="*/ 104 w 104"/>
                <a:gd name="T5" fmla="*/ 23 h 23"/>
                <a:gd name="T6" fmla="*/ 1 w 104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" y="0"/>
                  </a:moveTo>
                  <a:lnTo>
                    <a:pt x="0" y="8"/>
                  </a:lnTo>
                  <a:lnTo>
                    <a:pt x="104" y="2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3" name="Freeform 325">
              <a:extLst>
                <a:ext uri="{FF2B5EF4-FFF2-40B4-BE49-F238E27FC236}">
                  <a16:creationId xmlns:a16="http://schemas.microsoft.com/office/drawing/2014/main" id="{357F789B-DD9B-41E5-BE37-0C547813CE7F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7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7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4" name="Freeform 326">
              <a:extLst>
                <a:ext uri="{FF2B5EF4-FFF2-40B4-BE49-F238E27FC236}">
                  <a16:creationId xmlns:a16="http://schemas.microsoft.com/office/drawing/2014/main" id="{B3D7B897-702C-476E-B8E9-83CBF31306AA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8"/>
                <a:gd name="T2" fmla="*/ 0 w 105"/>
                <a:gd name="T3" fmla="*/ 8 h 8"/>
                <a:gd name="T4" fmla="*/ 105 w 105"/>
                <a:gd name="T5" fmla="*/ 8 h 8"/>
                <a:gd name="T6" fmla="*/ 0 w 105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0" y="0"/>
                  </a:moveTo>
                  <a:lnTo>
                    <a:pt x="0" y="8"/>
                  </a:lnTo>
                  <a:lnTo>
                    <a:pt x="105" y="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5" name="Freeform 327">
              <a:extLst>
                <a:ext uri="{FF2B5EF4-FFF2-40B4-BE49-F238E27FC236}">
                  <a16:creationId xmlns:a16="http://schemas.microsoft.com/office/drawing/2014/main" id="{6430DE7E-DA42-4D57-93C4-8EE4E4B116F6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6" name="Freeform 328">
              <a:extLst>
                <a:ext uri="{FF2B5EF4-FFF2-40B4-BE49-F238E27FC236}">
                  <a16:creationId xmlns:a16="http://schemas.microsoft.com/office/drawing/2014/main" id="{F24735C3-5F9C-46AF-B1DF-351D5427243C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7 h 15"/>
                <a:gd name="T2" fmla="*/ 1 w 105"/>
                <a:gd name="T3" fmla="*/ 15 h 15"/>
                <a:gd name="T4" fmla="*/ 105 w 105"/>
                <a:gd name="T5" fmla="*/ 0 h 15"/>
                <a:gd name="T6" fmla="*/ 0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0" y="7"/>
                  </a:moveTo>
                  <a:lnTo>
                    <a:pt x="1" y="15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7" name="Freeform 329">
              <a:extLst>
                <a:ext uri="{FF2B5EF4-FFF2-40B4-BE49-F238E27FC236}">
                  <a16:creationId xmlns:a16="http://schemas.microsoft.com/office/drawing/2014/main" id="{9E428C98-7305-45A6-9B85-AAE303D44289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4"/>
                <a:gd name="T1" fmla="*/ 15 h 22"/>
                <a:gd name="T2" fmla="*/ 1 w 104"/>
                <a:gd name="T3" fmla="*/ 22 h 22"/>
                <a:gd name="T4" fmla="*/ 104 w 104"/>
                <a:gd name="T5" fmla="*/ 0 h 22"/>
                <a:gd name="T6" fmla="*/ 0 w 104"/>
                <a:gd name="T7" fmla="*/ 15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0" y="15"/>
                  </a:moveTo>
                  <a:lnTo>
                    <a:pt x="1" y="22"/>
                  </a:lnTo>
                  <a:lnTo>
                    <a:pt x="104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8" name="Freeform 330">
              <a:extLst>
                <a:ext uri="{FF2B5EF4-FFF2-40B4-BE49-F238E27FC236}">
                  <a16:creationId xmlns:a16="http://schemas.microsoft.com/office/drawing/2014/main" id="{126239D4-504B-48BA-B955-0A547843A37C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3"/>
                <a:gd name="T1" fmla="*/ 22 h 29"/>
                <a:gd name="T2" fmla="*/ 2 w 103"/>
                <a:gd name="T3" fmla="*/ 29 h 29"/>
                <a:gd name="T4" fmla="*/ 103 w 103"/>
                <a:gd name="T5" fmla="*/ 0 h 29"/>
                <a:gd name="T6" fmla="*/ 0 w 103"/>
                <a:gd name="T7" fmla="*/ 22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0" y="22"/>
                  </a:moveTo>
                  <a:lnTo>
                    <a:pt x="2" y="29"/>
                  </a:lnTo>
                  <a:lnTo>
                    <a:pt x="103" y="0"/>
                  </a:lnTo>
                  <a:lnTo>
                    <a:pt x="0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9" name="Freeform 331">
              <a:extLst>
                <a:ext uri="{FF2B5EF4-FFF2-40B4-BE49-F238E27FC236}">
                  <a16:creationId xmlns:a16="http://schemas.microsoft.com/office/drawing/2014/main" id="{57604BF5-2309-461E-84C8-163727C1E36D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1"/>
                <a:gd name="T1" fmla="*/ 29 h 36"/>
                <a:gd name="T2" fmla="*/ 2 w 101"/>
                <a:gd name="T3" fmla="*/ 36 h 36"/>
                <a:gd name="T4" fmla="*/ 101 w 101"/>
                <a:gd name="T5" fmla="*/ 0 h 36"/>
                <a:gd name="T6" fmla="*/ 0 w 101"/>
                <a:gd name="T7" fmla="*/ 29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0" y="29"/>
                  </a:moveTo>
                  <a:lnTo>
                    <a:pt x="2" y="36"/>
                  </a:lnTo>
                  <a:lnTo>
                    <a:pt x="101" y="0"/>
                  </a:lnTo>
                  <a:lnTo>
                    <a:pt x="0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0" name="Freeform 332">
              <a:extLst>
                <a:ext uri="{FF2B5EF4-FFF2-40B4-BE49-F238E27FC236}">
                  <a16:creationId xmlns:a16="http://schemas.microsoft.com/office/drawing/2014/main" id="{5C151ABE-042F-4299-883B-6ECF0F513223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9"/>
                <a:gd name="T1" fmla="*/ 36 h 43"/>
                <a:gd name="T2" fmla="*/ 3 w 99"/>
                <a:gd name="T3" fmla="*/ 43 h 43"/>
                <a:gd name="T4" fmla="*/ 99 w 99"/>
                <a:gd name="T5" fmla="*/ 0 h 43"/>
                <a:gd name="T6" fmla="*/ 0 w 99"/>
                <a:gd name="T7" fmla="*/ 36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0" y="36"/>
                  </a:moveTo>
                  <a:lnTo>
                    <a:pt x="3" y="43"/>
                  </a:lnTo>
                  <a:lnTo>
                    <a:pt x="99" y="0"/>
                  </a:lnTo>
                  <a:lnTo>
                    <a:pt x="0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1" name="Freeform 333">
              <a:extLst>
                <a:ext uri="{FF2B5EF4-FFF2-40B4-BE49-F238E27FC236}">
                  <a16:creationId xmlns:a16="http://schemas.microsoft.com/office/drawing/2014/main" id="{0D1A7710-324B-4B22-9705-EDCF6A8C33A2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6"/>
                <a:gd name="T1" fmla="*/ 43 h 50"/>
                <a:gd name="T2" fmla="*/ 4 w 96"/>
                <a:gd name="T3" fmla="*/ 50 h 50"/>
                <a:gd name="T4" fmla="*/ 96 w 96"/>
                <a:gd name="T5" fmla="*/ 0 h 50"/>
                <a:gd name="T6" fmla="*/ 0 w 96"/>
                <a:gd name="T7" fmla="*/ 43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0" y="43"/>
                  </a:moveTo>
                  <a:lnTo>
                    <a:pt x="4" y="50"/>
                  </a:lnTo>
                  <a:lnTo>
                    <a:pt x="96" y="0"/>
                  </a:lnTo>
                  <a:lnTo>
                    <a:pt x="0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2" name="Freeform 334">
              <a:extLst>
                <a:ext uri="{FF2B5EF4-FFF2-40B4-BE49-F238E27FC236}">
                  <a16:creationId xmlns:a16="http://schemas.microsoft.com/office/drawing/2014/main" id="{5F1EC573-B584-4D86-95E3-48C98551690C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2"/>
                <a:gd name="T1" fmla="*/ 50 h 57"/>
                <a:gd name="T2" fmla="*/ 3 w 92"/>
                <a:gd name="T3" fmla="*/ 57 h 57"/>
                <a:gd name="T4" fmla="*/ 92 w 92"/>
                <a:gd name="T5" fmla="*/ 0 h 57"/>
                <a:gd name="T6" fmla="*/ 0 w 92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0" y="50"/>
                  </a:moveTo>
                  <a:lnTo>
                    <a:pt x="3" y="57"/>
                  </a:lnTo>
                  <a:lnTo>
                    <a:pt x="92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3" name="Freeform 335">
              <a:extLst>
                <a:ext uri="{FF2B5EF4-FFF2-40B4-BE49-F238E27FC236}">
                  <a16:creationId xmlns:a16="http://schemas.microsoft.com/office/drawing/2014/main" id="{6B4047DD-DEDB-4F92-A633-3DEA086438D4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9"/>
                <a:gd name="T1" fmla="*/ 57 h 63"/>
                <a:gd name="T2" fmla="*/ 5 w 89"/>
                <a:gd name="T3" fmla="*/ 63 h 63"/>
                <a:gd name="T4" fmla="*/ 89 w 89"/>
                <a:gd name="T5" fmla="*/ 0 h 63"/>
                <a:gd name="T6" fmla="*/ 0 w 89"/>
                <a:gd name="T7" fmla="*/ 57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0" y="57"/>
                  </a:moveTo>
                  <a:lnTo>
                    <a:pt x="5" y="63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4" name="Freeform 336">
              <a:extLst>
                <a:ext uri="{FF2B5EF4-FFF2-40B4-BE49-F238E27FC236}">
                  <a16:creationId xmlns:a16="http://schemas.microsoft.com/office/drawing/2014/main" id="{B3102000-9485-447A-AF5E-47B64CCF0024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4"/>
                <a:gd name="T1" fmla="*/ 63 h 69"/>
                <a:gd name="T2" fmla="*/ 4 w 84"/>
                <a:gd name="T3" fmla="*/ 69 h 69"/>
                <a:gd name="T4" fmla="*/ 84 w 84"/>
                <a:gd name="T5" fmla="*/ 0 h 69"/>
                <a:gd name="T6" fmla="*/ 0 w 84"/>
                <a:gd name="T7" fmla="*/ 63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0" y="63"/>
                  </a:moveTo>
                  <a:lnTo>
                    <a:pt x="4" y="69"/>
                  </a:lnTo>
                  <a:lnTo>
                    <a:pt x="84" y="0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5" name="Freeform 337">
              <a:extLst>
                <a:ext uri="{FF2B5EF4-FFF2-40B4-BE49-F238E27FC236}">
                  <a16:creationId xmlns:a16="http://schemas.microsoft.com/office/drawing/2014/main" id="{DA4102DB-855C-4043-AB76-EE5D0663AF6C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0"/>
                <a:gd name="T1" fmla="*/ 69 h 74"/>
                <a:gd name="T2" fmla="*/ 6 w 80"/>
                <a:gd name="T3" fmla="*/ 74 h 74"/>
                <a:gd name="T4" fmla="*/ 80 w 80"/>
                <a:gd name="T5" fmla="*/ 0 h 74"/>
                <a:gd name="T6" fmla="*/ 0 w 80"/>
                <a:gd name="T7" fmla="*/ 69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4">
                  <a:moveTo>
                    <a:pt x="0" y="69"/>
                  </a:moveTo>
                  <a:lnTo>
                    <a:pt x="6" y="74"/>
                  </a:lnTo>
                  <a:lnTo>
                    <a:pt x="80" y="0"/>
                  </a:lnTo>
                  <a:lnTo>
                    <a:pt x="0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6" name="Freeform 338">
              <a:extLst>
                <a:ext uri="{FF2B5EF4-FFF2-40B4-BE49-F238E27FC236}">
                  <a16:creationId xmlns:a16="http://schemas.microsoft.com/office/drawing/2014/main" id="{F2ED76A5-01DC-42FE-8AB6-F62AB740B226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74"/>
                <a:gd name="T1" fmla="*/ 74 h 79"/>
                <a:gd name="T2" fmla="*/ 5 w 74"/>
                <a:gd name="T3" fmla="*/ 79 h 79"/>
                <a:gd name="T4" fmla="*/ 74 w 74"/>
                <a:gd name="T5" fmla="*/ 0 h 79"/>
                <a:gd name="T6" fmla="*/ 0 w 74"/>
                <a:gd name="T7" fmla="*/ 74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0" y="74"/>
                  </a:moveTo>
                  <a:lnTo>
                    <a:pt x="5" y="79"/>
                  </a:lnTo>
                  <a:lnTo>
                    <a:pt x="74" y="0"/>
                  </a:lnTo>
                  <a:lnTo>
                    <a:pt x="0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7" name="Freeform 339">
              <a:extLst>
                <a:ext uri="{FF2B5EF4-FFF2-40B4-BE49-F238E27FC236}">
                  <a16:creationId xmlns:a16="http://schemas.microsoft.com/office/drawing/2014/main" id="{DBE13F4B-CEE9-472B-B939-C4FD126374C7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69"/>
                <a:gd name="T1" fmla="*/ 79 h 84"/>
                <a:gd name="T2" fmla="*/ 6 w 69"/>
                <a:gd name="T3" fmla="*/ 84 h 84"/>
                <a:gd name="T4" fmla="*/ 69 w 69"/>
                <a:gd name="T5" fmla="*/ 0 h 84"/>
                <a:gd name="T6" fmla="*/ 0 w 69"/>
                <a:gd name="T7" fmla="*/ 79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0" y="79"/>
                  </a:moveTo>
                  <a:lnTo>
                    <a:pt x="6" y="84"/>
                  </a:lnTo>
                  <a:lnTo>
                    <a:pt x="69" y="0"/>
                  </a:lnTo>
                  <a:lnTo>
                    <a:pt x="0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8" name="Freeform 340">
              <a:extLst>
                <a:ext uri="{FF2B5EF4-FFF2-40B4-BE49-F238E27FC236}">
                  <a16:creationId xmlns:a16="http://schemas.microsoft.com/office/drawing/2014/main" id="{6EAABAE5-E1D7-4E2B-9CBA-0E7800D9248E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63"/>
                <a:gd name="T1" fmla="*/ 84 h 88"/>
                <a:gd name="T2" fmla="*/ 6 w 63"/>
                <a:gd name="T3" fmla="*/ 88 h 88"/>
                <a:gd name="T4" fmla="*/ 63 w 63"/>
                <a:gd name="T5" fmla="*/ 0 h 88"/>
                <a:gd name="T6" fmla="*/ 0 w 63"/>
                <a:gd name="T7" fmla="*/ 84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0" y="84"/>
                  </a:moveTo>
                  <a:lnTo>
                    <a:pt x="6" y="88"/>
                  </a:lnTo>
                  <a:lnTo>
                    <a:pt x="63" y="0"/>
                  </a:lnTo>
                  <a:lnTo>
                    <a:pt x="0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9" name="Freeform 341">
              <a:extLst>
                <a:ext uri="{FF2B5EF4-FFF2-40B4-BE49-F238E27FC236}">
                  <a16:creationId xmlns:a16="http://schemas.microsoft.com/office/drawing/2014/main" id="{7FCB11FB-CB95-44CF-9BB0-0AB313ABB3B9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7"/>
                <a:gd name="T1" fmla="*/ 88 h 92"/>
                <a:gd name="T2" fmla="*/ 7 w 57"/>
                <a:gd name="T3" fmla="*/ 92 h 92"/>
                <a:gd name="T4" fmla="*/ 57 w 57"/>
                <a:gd name="T5" fmla="*/ 0 h 92"/>
                <a:gd name="T6" fmla="*/ 0 w 57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0" y="88"/>
                  </a:moveTo>
                  <a:lnTo>
                    <a:pt x="7" y="92"/>
                  </a:lnTo>
                  <a:lnTo>
                    <a:pt x="57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0" name="Freeform 342">
              <a:extLst>
                <a:ext uri="{FF2B5EF4-FFF2-40B4-BE49-F238E27FC236}">
                  <a16:creationId xmlns:a16="http://schemas.microsoft.com/office/drawing/2014/main" id="{636E487A-DB3F-4543-ADFC-68FA06434599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0"/>
                <a:gd name="T1" fmla="*/ 92 h 95"/>
                <a:gd name="T2" fmla="*/ 6 w 50"/>
                <a:gd name="T3" fmla="*/ 95 h 95"/>
                <a:gd name="T4" fmla="*/ 50 w 50"/>
                <a:gd name="T5" fmla="*/ 0 h 95"/>
                <a:gd name="T6" fmla="*/ 0 w 50"/>
                <a:gd name="T7" fmla="*/ 92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0" y="92"/>
                  </a:moveTo>
                  <a:lnTo>
                    <a:pt x="6" y="95"/>
                  </a:lnTo>
                  <a:lnTo>
                    <a:pt x="50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1" name="Freeform 343">
              <a:extLst>
                <a:ext uri="{FF2B5EF4-FFF2-40B4-BE49-F238E27FC236}">
                  <a16:creationId xmlns:a16="http://schemas.microsoft.com/office/drawing/2014/main" id="{B6AE43E9-38E3-41AC-85DD-201EA1E5BC53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44"/>
                <a:gd name="T1" fmla="*/ 95 h 98"/>
                <a:gd name="T2" fmla="*/ 7 w 44"/>
                <a:gd name="T3" fmla="*/ 98 h 98"/>
                <a:gd name="T4" fmla="*/ 44 w 44"/>
                <a:gd name="T5" fmla="*/ 0 h 98"/>
                <a:gd name="T6" fmla="*/ 0 w 44"/>
                <a:gd name="T7" fmla="*/ 95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0" y="95"/>
                  </a:moveTo>
                  <a:lnTo>
                    <a:pt x="7" y="98"/>
                  </a:lnTo>
                  <a:lnTo>
                    <a:pt x="44" y="0"/>
                  </a:lnTo>
                  <a:lnTo>
                    <a:pt x="0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2" name="Freeform 344">
              <a:extLst>
                <a:ext uri="{FF2B5EF4-FFF2-40B4-BE49-F238E27FC236}">
                  <a16:creationId xmlns:a16="http://schemas.microsoft.com/office/drawing/2014/main" id="{A079C262-3A73-4C73-9D6F-B0BA6A2DCA88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7"/>
                <a:gd name="T1" fmla="*/ 98 h 101"/>
                <a:gd name="T2" fmla="*/ 7 w 37"/>
                <a:gd name="T3" fmla="*/ 101 h 101"/>
                <a:gd name="T4" fmla="*/ 37 w 37"/>
                <a:gd name="T5" fmla="*/ 0 h 101"/>
                <a:gd name="T6" fmla="*/ 0 w 37"/>
                <a:gd name="T7" fmla="*/ 98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0" y="98"/>
                  </a:moveTo>
                  <a:lnTo>
                    <a:pt x="7" y="101"/>
                  </a:lnTo>
                  <a:lnTo>
                    <a:pt x="37" y="0"/>
                  </a:lnTo>
                  <a:lnTo>
                    <a:pt x="0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3" name="Freeform 345">
              <a:extLst>
                <a:ext uri="{FF2B5EF4-FFF2-40B4-BE49-F238E27FC236}">
                  <a16:creationId xmlns:a16="http://schemas.microsoft.com/office/drawing/2014/main" id="{25F613B6-E575-4039-985C-BF2B6FCF6FB0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0"/>
                <a:gd name="T1" fmla="*/ 101 h 103"/>
                <a:gd name="T2" fmla="*/ 8 w 30"/>
                <a:gd name="T3" fmla="*/ 103 h 103"/>
                <a:gd name="T4" fmla="*/ 30 w 30"/>
                <a:gd name="T5" fmla="*/ 0 h 103"/>
                <a:gd name="T6" fmla="*/ 0 w 30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0" y="101"/>
                  </a:moveTo>
                  <a:lnTo>
                    <a:pt x="8" y="103"/>
                  </a:lnTo>
                  <a:lnTo>
                    <a:pt x="30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4" name="Freeform 346">
              <a:extLst>
                <a:ext uri="{FF2B5EF4-FFF2-40B4-BE49-F238E27FC236}">
                  <a16:creationId xmlns:a16="http://schemas.microsoft.com/office/drawing/2014/main" id="{D1FD9912-AFB0-4E82-85D0-C7836CEFEDB4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22"/>
                <a:gd name="T1" fmla="*/ 103 h 104"/>
                <a:gd name="T2" fmla="*/ 7 w 22"/>
                <a:gd name="T3" fmla="*/ 104 h 104"/>
                <a:gd name="T4" fmla="*/ 22 w 22"/>
                <a:gd name="T5" fmla="*/ 0 h 104"/>
                <a:gd name="T6" fmla="*/ 0 w 22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0" y="103"/>
                  </a:moveTo>
                  <a:lnTo>
                    <a:pt x="7" y="104"/>
                  </a:lnTo>
                  <a:lnTo>
                    <a:pt x="22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5" name="Freeform 347">
              <a:extLst>
                <a:ext uri="{FF2B5EF4-FFF2-40B4-BE49-F238E27FC236}">
                  <a16:creationId xmlns:a16="http://schemas.microsoft.com/office/drawing/2014/main" id="{F82D83CB-8A33-4919-9BA4-ABD1DA94D358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15"/>
                <a:gd name="T1" fmla="*/ 104 h 105"/>
                <a:gd name="T2" fmla="*/ 7 w 15"/>
                <a:gd name="T3" fmla="*/ 105 h 105"/>
                <a:gd name="T4" fmla="*/ 15 w 15"/>
                <a:gd name="T5" fmla="*/ 0 h 105"/>
                <a:gd name="T6" fmla="*/ 0 w 15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0" y="104"/>
                  </a:moveTo>
                  <a:lnTo>
                    <a:pt x="7" y="105"/>
                  </a:lnTo>
                  <a:lnTo>
                    <a:pt x="15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6" name="Freeform 348">
              <a:extLst>
                <a:ext uri="{FF2B5EF4-FFF2-40B4-BE49-F238E27FC236}">
                  <a16:creationId xmlns:a16="http://schemas.microsoft.com/office/drawing/2014/main" id="{91392490-BFE6-4BC1-829F-5ADF7AAA4A3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8"/>
                <a:gd name="T1" fmla="*/ 105 h 105"/>
                <a:gd name="T2" fmla="*/ 8 w 8"/>
                <a:gd name="T3" fmla="*/ 105 h 105"/>
                <a:gd name="T4" fmla="*/ 8 w 8"/>
                <a:gd name="T5" fmla="*/ 0 h 105"/>
                <a:gd name="T6" fmla="*/ 0 w 8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5">
                  <a:moveTo>
                    <a:pt x="0" y="105"/>
                  </a:moveTo>
                  <a:lnTo>
                    <a:pt x="8" y="105"/>
                  </a:lnTo>
                  <a:lnTo>
                    <a:pt x="8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7" name="Freeform 349">
              <a:extLst>
                <a:ext uri="{FF2B5EF4-FFF2-40B4-BE49-F238E27FC236}">
                  <a16:creationId xmlns:a16="http://schemas.microsoft.com/office/drawing/2014/main" id="{2C67EC47-D41B-4744-9D12-EA6F81989966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8" name="Freeform 350">
              <a:extLst>
                <a:ext uri="{FF2B5EF4-FFF2-40B4-BE49-F238E27FC236}">
                  <a16:creationId xmlns:a16="http://schemas.microsoft.com/office/drawing/2014/main" id="{CE12F9C6-171F-4E39-9E32-85B8FEEBFBC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9" name="Freeform 351">
              <a:extLst>
                <a:ext uri="{FF2B5EF4-FFF2-40B4-BE49-F238E27FC236}">
                  <a16:creationId xmlns:a16="http://schemas.microsoft.com/office/drawing/2014/main" id="{08BBAECE-67B6-4635-AF57-606137E69E6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0" name="Freeform 352">
              <a:extLst>
                <a:ext uri="{FF2B5EF4-FFF2-40B4-BE49-F238E27FC236}">
                  <a16:creationId xmlns:a16="http://schemas.microsoft.com/office/drawing/2014/main" id="{85B7D6E5-6032-412B-9C63-CAC485C8B65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22 w 30"/>
                <a:gd name="T1" fmla="*/ 103 h 103"/>
                <a:gd name="T2" fmla="*/ 30 w 30"/>
                <a:gd name="T3" fmla="*/ 101 h 103"/>
                <a:gd name="T4" fmla="*/ 0 w 30"/>
                <a:gd name="T5" fmla="*/ 0 h 103"/>
                <a:gd name="T6" fmla="*/ 22 w 30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22" y="103"/>
                  </a:moveTo>
                  <a:lnTo>
                    <a:pt x="30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1" name="Freeform 353">
              <a:extLst>
                <a:ext uri="{FF2B5EF4-FFF2-40B4-BE49-F238E27FC236}">
                  <a16:creationId xmlns:a16="http://schemas.microsoft.com/office/drawing/2014/main" id="{C83EB279-806F-4478-B0C4-8BB2347D909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0 w 37"/>
                <a:gd name="T1" fmla="*/ 101 h 101"/>
                <a:gd name="T2" fmla="*/ 37 w 37"/>
                <a:gd name="T3" fmla="*/ 98 h 101"/>
                <a:gd name="T4" fmla="*/ 0 w 37"/>
                <a:gd name="T5" fmla="*/ 0 h 101"/>
                <a:gd name="T6" fmla="*/ 30 w 37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0" y="101"/>
                  </a:moveTo>
                  <a:lnTo>
                    <a:pt x="37" y="98"/>
                  </a:lnTo>
                  <a:lnTo>
                    <a:pt x="0" y="0"/>
                  </a:lnTo>
                  <a:lnTo>
                    <a:pt x="3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2" name="Freeform 354">
              <a:extLst>
                <a:ext uri="{FF2B5EF4-FFF2-40B4-BE49-F238E27FC236}">
                  <a16:creationId xmlns:a16="http://schemas.microsoft.com/office/drawing/2014/main" id="{481890E1-B79E-4101-9F4A-3F086DC0E86A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7 w 44"/>
                <a:gd name="T1" fmla="*/ 98 h 98"/>
                <a:gd name="T2" fmla="*/ 44 w 44"/>
                <a:gd name="T3" fmla="*/ 95 h 98"/>
                <a:gd name="T4" fmla="*/ 0 w 44"/>
                <a:gd name="T5" fmla="*/ 0 h 98"/>
                <a:gd name="T6" fmla="*/ 37 w 44"/>
                <a:gd name="T7" fmla="*/ 98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37" y="98"/>
                  </a:moveTo>
                  <a:lnTo>
                    <a:pt x="44" y="95"/>
                  </a:lnTo>
                  <a:lnTo>
                    <a:pt x="0" y="0"/>
                  </a:lnTo>
                  <a:lnTo>
                    <a:pt x="37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3" name="Freeform 355">
              <a:extLst>
                <a:ext uri="{FF2B5EF4-FFF2-40B4-BE49-F238E27FC236}">
                  <a16:creationId xmlns:a16="http://schemas.microsoft.com/office/drawing/2014/main" id="{2FF4FC6D-4F27-4793-849A-27B272F56A5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1"/>
            </a:xfrm>
            <a:custGeom>
              <a:avLst/>
              <a:gdLst>
                <a:gd name="T0" fmla="*/ 44 w 50"/>
                <a:gd name="T1" fmla="*/ 95 h 95"/>
                <a:gd name="T2" fmla="*/ 50 w 50"/>
                <a:gd name="T3" fmla="*/ 92 h 95"/>
                <a:gd name="T4" fmla="*/ 0 w 50"/>
                <a:gd name="T5" fmla="*/ 0 h 95"/>
                <a:gd name="T6" fmla="*/ 44 w 50"/>
                <a:gd name="T7" fmla="*/ 95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44" y="95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4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4" name="Freeform 356">
              <a:extLst>
                <a:ext uri="{FF2B5EF4-FFF2-40B4-BE49-F238E27FC236}">
                  <a16:creationId xmlns:a16="http://schemas.microsoft.com/office/drawing/2014/main" id="{FD078F0E-2A2B-4ED1-8EE0-579C1B9D0DD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0 w 57"/>
                <a:gd name="T1" fmla="*/ 92 h 92"/>
                <a:gd name="T2" fmla="*/ 57 w 57"/>
                <a:gd name="T3" fmla="*/ 88 h 92"/>
                <a:gd name="T4" fmla="*/ 0 w 57"/>
                <a:gd name="T5" fmla="*/ 0 h 92"/>
                <a:gd name="T6" fmla="*/ 50 w 57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50" y="92"/>
                  </a:moveTo>
                  <a:lnTo>
                    <a:pt x="57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5" name="Freeform 357">
              <a:extLst>
                <a:ext uri="{FF2B5EF4-FFF2-40B4-BE49-F238E27FC236}">
                  <a16:creationId xmlns:a16="http://schemas.microsoft.com/office/drawing/2014/main" id="{F700DFF6-3F37-40BC-9321-C2541F20E599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7 w 63"/>
                <a:gd name="T1" fmla="*/ 88 h 88"/>
                <a:gd name="T2" fmla="*/ 63 w 63"/>
                <a:gd name="T3" fmla="*/ 84 h 88"/>
                <a:gd name="T4" fmla="*/ 0 w 63"/>
                <a:gd name="T5" fmla="*/ 0 h 88"/>
                <a:gd name="T6" fmla="*/ 57 w 63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57" y="88"/>
                  </a:moveTo>
                  <a:lnTo>
                    <a:pt x="63" y="84"/>
                  </a:lnTo>
                  <a:lnTo>
                    <a:pt x="0" y="0"/>
                  </a:lnTo>
                  <a:lnTo>
                    <a:pt x="57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6" name="Freeform 358">
              <a:extLst>
                <a:ext uri="{FF2B5EF4-FFF2-40B4-BE49-F238E27FC236}">
                  <a16:creationId xmlns:a16="http://schemas.microsoft.com/office/drawing/2014/main" id="{0FBB9933-FCCA-44B3-B8EC-50B17C8CF48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3 w 69"/>
                <a:gd name="T1" fmla="*/ 84 h 84"/>
                <a:gd name="T2" fmla="*/ 69 w 69"/>
                <a:gd name="T3" fmla="*/ 79 h 84"/>
                <a:gd name="T4" fmla="*/ 0 w 69"/>
                <a:gd name="T5" fmla="*/ 0 h 84"/>
                <a:gd name="T6" fmla="*/ 63 w 69"/>
                <a:gd name="T7" fmla="*/ 84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63" y="84"/>
                  </a:moveTo>
                  <a:lnTo>
                    <a:pt x="69" y="79"/>
                  </a:lnTo>
                  <a:lnTo>
                    <a:pt x="0" y="0"/>
                  </a:lnTo>
                  <a:lnTo>
                    <a:pt x="63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7" name="Freeform 359">
              <a:extLst>
                <a:ext uri="{FF2B5EF4-FFF2-40B4-BE49-F238E27FC236}">
                  <a16:creationId xmlns:a16="http://schemas.microsoft.com/office/drawing/2014/main" id="{852B49D8-12FA-4F71-ACBC-F2F58E69011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9 w 74"/>
                <a:gd name="T1" fmla="*/ 79 h 79"/>
                <a:gd name="T2" fmla="*/ 74 w 74"/>
                <a:gd name="T3" fmla="*/ 74 h 79"/>
                <a:gd name="T4" fmla="*/ 0 w 74"/>
                <a:gd name="T5" fmla="*/ 0 h 79"/>
                <a:gd name="T6" fmla="*/ 69 w 74"/>
                <a:gd name="T7" fmla="*/ 79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69" y="79"/>
                  </a:moveTo>
                  <a:lnTo>
                    <a:pt x="74" y="74"/>
                  </a:lnTo>
                  <a:lnTo>
                    <a:pt x="0" y="0"/>
                  </a:lnTo>
                  <a:lnTo>
                    <a:pt x="69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8" name="Freeform 360">
              <a:extLst>
                <a:ext uri="{FF2B5EF4-FFF2-40B4-BE49-F238E27FC236}">
                  <a16:creationId xmlns:a16="http://schemas.microsoft.com/office/drawing/2014/main" id="{80CC03F9-6D4B-48F8-BCCF-B5C01CD85EF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4 w 79"/>
                <a:gd name="T1" fmla="*/ 74 h 74"/>
                <a:gd name="T2" fmla="*/ 79 w 79"/>
                <a:gd name="T3" fmla="*/ 69 h 74"/>
                <a:gd name="T4" fmla="*/ 0 w 79"/>
                <a:gd name="T5" fmla="*/ 0 h 74"/>
                <a:gd name="T6" fmla="*/ 74 w 79"/>
                <a:gd name="T7" fmla="*/ 74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4">
                  <a:moveTo>
                    <a:pt x="74" y="74"/>
                  </a:moveTo>
                  <a:lnTo>
                    <a:pt x="79" y="69"/>
                  </a:lnTo>
                  <a:lnTo>
                    <a:pt x="0" y="0"/>
                  </a:lnTo>
                  <a:lnTo>
                    <a:pt x="74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9" name="Freeform 361">
              <a:extLst>
                <a:ext uri="{FF2B5EF4-FFF2-40B4-BE49-F238E27FC236}">
                  <a16:creationId xmlns:a16="http://schemas.microsoft.com/office/drawing/2014/main" id="{DBABAA0C-A695-4B6C-BA9B-951B53BD456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9 w 84"/>
                <a:gd name="T1" fmla="*/ 69 h 69"/>
                <a:gd name="T2" fmla="*/ 84 w 84"/>
                <a:gd name="T3" fmla="*/ 63 h 69"/>
                <a:gd name="T4" fmla="*/ 0 w 84"/>
                <a:gd name="T5" fmla="*/ 0 h 69"/>
                <a:gd name="T6" fmla="*/ 79 w 84"/>
                <a:gd name="T7" fmla="*/ 69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79" y="69"/>
                  </a:moveTo>
                  <a:lnTo>
                    <a:pt x="84" y="63"/>
                  </a:lnTo>
                  <a:lnTo>
                    <a:pt x="0" y="0"/>
                  </a:lnTo>
                  <a:lnTo>
                    <a:pt x="79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0" name="Freeform 362">
              <a:extLst>
                <a:ext uri="{FF2B5EF4-FFF2-40B4-BE49-F238E27FC236}">
                  <a16:creationId xmlns:a16="http://schemas.microsoft.com/office/drawing/2014/main" id="{3EECB9FC-B2D4-4D83-90DC-FED7B8F249CA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4 w 88"/>
                <a:gd name="T1" fmla="*/ 63 h 63"/>
                <a:gd name="T2" fmla="*/ 88 w 88"/>
                <a:gd name="T3" fmla="*/ 57 h 63"/>
                <a:gd name="T4" fmla="*/ 0 w 88"/>
                <a:gd name="T5" fmla="*/ 0 h 63"/>
                <a:gd name="T6" fmla="*/ 84 w 88"/>
                <a:gd name="T7" fmla="*/ 63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4" y="63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4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1" name="Freeform 363">
              <a:extLst>
                <a:ext uri="{FF2B5EF4-FFF2-40B4-BE49-F238E27FC236}">
                  <a16:creationId xmlns:a16="http://schemas.microsoft.com/office/drawing/2014/main" id="{34FA6808-305C-4AFB-97B0-148441B7881A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8 w 92"/>
                <a:gd name="T1" fmla="*/ 57 h 57"/>
                <a:gd name="T2" fmla="*/ 92 w 92"/>
                <a:gd name="T3" fmla="*/ 50 h 57"/>
                <a:gd name="T4" fmla="*/ 0 w 92"/>
                <a:gd name="T5" fmla="*/ 0 h 57"/>
                <a:gd name="T6" fmla="*/ 88 w 92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88" y="57"/>
                  </a:moveTo>
                  <a:lnTo>
                    <a:pt x="92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2" name="Freeform 364">
              <a:extLst>
                <a:ext uri="{FF2B5EF4-FFF2-40B4-BE49-F238E27FC236}">
                  <a16:creationId xmlns:a16="http://schemas.microsoft.com/office/drawing/2014/main" id="{E8C9C8EA-F4F7-4279-BF20-5E7CD087508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2 w 96"/>
                <a:gd name="T1" fmla="*/ 50 h 50"/>
                <a:gd name="T2" fmla="*/ 96 w 96"/>
                <a:gd name="T3" fmla="*/ 43 h 50"/>
                <a:gd name="T4" fmla="*/ 0 w 96"/>
                <a:gd name="T5" fmla="*/ 0 h 50"/>
                <a:gd name="T6" fmla="*/ 92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2" y="50"/>
                  </a:moveTo>
                  <a:lnTo>
                    <a:pt x="96" y="43"/>
                  </a:lnTo>
                  <a:lnTo>
                    <a:pt x="0" y="0"/>
                  </a:lnTo>
                  <a:lnTo>
                    <a:pt x="92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3" name="Freeform 365">
              <a:extLst>
                <a:ext uri="{FF2B5EF4-FFF2-40B4-BE49-F238E27FC236}">
                  <a16:creationId xmlns:a16="http://schemas.microsoft.com/office/drawing/2014/main" id="{E803DCFC-F048-4BBD-B122-5DD88E9776B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6 w 99"/>
                <a:gd name="T1" fmla="*/ 43 h 43"/>
                <a:gd name="T2" fmla="*/ 99 w 99"/>
                <a:gd name="T3" fmla="*/ 36 h 43"/>
                <a:gd name="T4" fmla="*/ 0 w 99"/>
                <a:gd name="T5" fmla="*/ 0 h 43"/>
                <a:gd name="T6" fmla="*/ 96 w 99"/>
                <a:gd name="T7" fmla="*/ 43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6" y="43"/>
                  </a:moveTo>
                  <a:lnTo>
                    <a:pt x="99" y="36"/>
                  </a:lnTo>
                  <a:lnTo>
                    <a:pt x="0" y="0"/>
                  </a:lnTo>
                  <a:lnTo>
                    <a:pt x="96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4" name="Freeform 366">
              <a:extLst>
                <a:ext uri="{FF2B5EF4-FFF2-40B4-BE49-F238E27FC236}">
                  <a16:creationId xmlns:a16="http://schemas.microsoft.com/office/drawing/2014/main" id="{5DA188E7-3F58-4410-B617-86CA6F8292C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99 w 101"/>
                <a:gd name="T1" fmla="*/ 36 h 36"/>
                <a:gd name="T2" fmla="*/ 101 w 101"/>
                <a:gd name="T3" fmla="*/ 29 h 36"/>
                <a:gd name="T4" fmla="*/ 0 w 101"/>
                <a:gd name="T5" fmla="*/ 0 h 36"/>
                <a:gd name="T6" fmla="*/ 99 w 101"/>
                <a:gd name="T7" fmla="*/ 36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99" y="36"/>
                  </a:moveTo>
                  <a:lnTo>
                    <a:pt x="101" y="29"/>
                  </a:lnTo>
                  <a:lnTo>
                    <a:pt x="0" y="0"/>
                  </a:lnTo>
                  <a:lnTo>
                    <a:pt x="99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5" name="Freeform 367">
              <a:extLst>
                <a:ext uri="{FF2B5EF4-FFF2-40B4-BE49-F238E27FC236}">
                  <a16:creationId xmlns:a16="http://schemas.microsoft.com/office/drawing/2014/main" id="{F9007BDF-73EB-4E53-8C9A-3961028A9BB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1 w 103"/>
                <a:gd name="T1" fmla="*/ 29 h 29"/>
                <a:gd name="T2" fmla="*/ 103 w 103"/>
                <a:gd name="T3" fmla="*/ 22 h 29"/>
                <a:gd name="T4" fmla="*/ 0 w 103"/>
                <a:gd name="T5" fmla="*/ 0 h 29"/>
                <a:gd name="T6" fmla="*/ 101 w 103"/>
                <a:gd name="T7" fmla="*/ 29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1" y="29"/>
                  </a:moveTo>
                  <a:lnTo>
                    <a:pt x="103" y="22"/>
                  </a:lnTo>
                  <a:lnTo>
                    <a:pt x="0" y="0"/>
                  </a:lnTo>
                  <a:lnTo>
                    <a:pt x="101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6" name="Freeform 368">
              <a:extLst>
                <a:ext uri="{FF2B5EF4-FFF2-40B4-BE49-F238E27FC236}">
                  <a16:creationId xmlns:a16="http://schemas.microsoft.com/office/drawing/2014/main" id="{41A99D2D-7C56-42C4-8663-8B1FE34A1458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3 w 104"/>
                <a:gd name="T1" fmla="*/ 22 h 22"/>
                <a:gd name="T2" fmla="*/ 104 w 104"/>
                <a:gd name="T3" fmla="*/ 15 h 22"/>
                <a:gd name="T4" fmla="*/ 0 w 104"/>
                <a:gd name="T5" fmla="*/ 0 h 22"/>
                <a:gd name="T6" fmla="*/ 103 w 104"/>
                <a:gd name="T7" fmla="*/ 22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3" y="22"/>
                  </a:moveTo>
                  <a:lnTo>
                    <a:pt x="104" y="15"/>
                  </a:lnTo>
                  <a:lnTo>
                    <a:pt x="0" y="0"/>
                  </a:lnTo>
                  <a:lnTo>
                    <a:pt x="103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7" name="Freeform 369">
              <a:extLst>
                <a:ext uri="{FF2B5EF4-FFF2-40B4-BE49-F238E27FC236}">
                  <a16:creationId xmlns:a16="http://schemas.microsoft.com/office/drawing/2014/main" id="{AA9B903F-5B05-43C0-8F1E-1EB23F83E439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4 w 105"/>
                <a:gd name="T1" fmla="*/ 15 h 15"/>
                <a:gd name="T2" fmla="*/ 105 w 105"/>
                <a:gd name="T3" fmla="*/ 7 h 15"/>
                <a:gd name="T4" fmla="*/ 0 w 105"/>
                <a:gd name="T5" fmla="*/ 0 h 15"/>
                <a:gd name="T6" fmla="*/ 104 w 105"/>
                <a:gd name="T7" fmla="*/ 15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4" y="15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8" name="Freeform 370">
              <a:extLst>
                <a:ext uri="{FF2B5EF4-FFF2-40B4-BE49-F238E27FC236}">
                  <a16:creationId xmlns:a16="http://schemas.microsoft.com/office/drawing/2014/main" id="{8B478961-DDC2-4D3E-81DE-528596046889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9" name="Freeform 371">
              <a:extLst>
                <a:ext uri="{FF2B5EF4-FFF2-40B4-BE49-F238E27FC236}">
                  <a16:creationId xmlns:a16="http://schemas.microsoft.com/office/drawing/2014/main" id="{E21B73AA-D135-4351-AD1E-DAA55DA247D6}"/>
                </a:ext>
              </a:extLst>
            </xdr:cNvPr>
            <xdr:cNvSpPr>
              <a:spLocks/>
            </xdr:cNvSpPr>
          </xdr:nvSpPr>
          <xdr:spPr bwMode="auto">
            <a:xfrm>
              <a:off x="1095" y="188"/>
              <a:ext cx="6" cy="9"/>
            </a:xfrm>
            <a:custGeom>
              <a:avLst/>
              <a:gdLst>
                <a:gd name="T0" fmla="*/ 0 w 352"/>
                <a:gd name="T1" fmla="*/ 526 h 526"/>
                <a:gd name="T2" fmla="*/ 0 w 352"/>
                <a:gd name="T3" fmla="*/ 0 h 526"/>
                <a:gd name="T4" fmla="*/ 264 w 352"/>
                <a:gd name="T5" fmla="*/ 0 h 526"/>
                <a:gd name="T6" fmla="*/ 352 w 352"/>
                <a:gd name="T7" fmla="*/ 88 h 526"/>
                <a:gd name="T8" fmla="*/ 352 w 352"/>
                <a:gd name="T9" fmla="*/ 175 h 526"/>
                <a:gd name="T10" fmla="*/ 264 w 352"/>
                <a:gd name="T11" fmla="*/ 263 h 526"/>
                <a:gd name="T12" fmla="*/ 0 w 352"/>
                <a:gd name="T13" fmla="*/ 263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352" h="526">
                  <a:moveTo>
                    <a:pt x="0" y="526"/>
                  </a:moveTo>
                  <a:lnTo>
                    <a:pt x="0" y="0"/>
                  </a:lnTo>
                  <a:lnTo>
                    <a:pt x="264" y="0"/>
                  </a:lnTo>
                  <a:lnTo>
                    <a:pt x="352" y="88"/>
                  </a:lnTo>
                  <a:lnTo>
                    <a:pt x="352" y="175"/>
                  </a:lnTo>
                  <a:lnTo>
                    <a:pt x="264" y="263"/>
                  </a:lnTo>
                  <a:lnTo>
                    <a:pt x="0" y="263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0" name="Freeform 372">
              <a:extLst>
                <a:ext uri="{FF2B5EF4-FFF2-40B4-BE49-F238E27FC236}">
                  <a16:creationId xmlns:a16="http://schemas.microsoft.com/office/drawing/2014/main" id="{2381E145-EEFE-4F96-BD85-02E112EFC72B}"/>
                </a:ext>
              </a:extLst>
            </xdr:cNvPr>
            <xdr:cNvSpPr>
              <a:spLocks/>
            </xdr:cNvSpPr>
          </xdr:nvSpPr>
          <xdr:spPr bwMode="auto">
            <a:xfrm>
              <a:off x="1104" y="191"/>
              <a:ext cx="6" cy="6"/>
            </a:xfrm>
            <a:custGeom>
              <a:avLst/>
              <a:gdLst>
                <a:gd name="T0" fmla="*/ 351 w 351"/>
                <a:gd name="T1" fmla="*/ 0 h 351"/>
                <a:gd name="T2" fmla="*/ 88 w 351"/>
                <a:gd name="T3" fmla="*/ 0 h 351"/>
                <a:gd name="T4" fmla="*/ 0 w 351"/>
                <a:gd name="T5" fmla="*/ 88 h 351"/>
                <a:gd name="T6" fmla="*/ 0 w 351"/>
                <a:gd name="T7" fmla="*/ 264 h 351"/>
                <a:gd name="T8" fmla="*/ 88 w 351"/>
                <a:gd name="T9" fmla="*/ 351 h 351"/>
                <a:gd name="T10" fmla="*/ 351 w 351"/>
                <a:gd name="T11" fmla="*/ 351 h 3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351">
                  <a:moveTo>
                    <a:pt x="351" y="0"/>
                  </a:moveTo>
                  <a:lnTo>
                    <a:pt x="88" y="0"/>
                  </a:lnTo>
                  <a:lnTo>
                    <a:pt x="0" y="88"/>
                  </a:lnTo>
                  <a:lnTo>
                    <a:pt x="0" y="264"/>
                  </a:lnTo>
                  <a:lnTo>
                    <a:pt x="88" y="351"/>
                  </a:lnTo>
                  <a:lnTo>
                    <a:pt x="351" y="351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1" name="Freeform 373">
              <a:extLst>
                <a:ext uri="{FF2B5EF4-FFF2-40B4-BE49-F238E27FC236}">
                  <a16:creationId xmlns:a16="http://schemas.microsoft.com/office/drawing/2014/main" id="{054ADA33-C52F-4360-8CF6-4450D7690A1D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9"/>
                <a:gd name="T2" fmla="*/ 105 w 105"/>
                <a:gd name="T3" fmla="*/ 0 h 9"/>
                <a:gd name="T4" fmla="*/ 0 w 105"/>
                <a:gd name="T5" fmla="*/ 9 h 9"/>
                <a:gd name="T6" fmla="*/ 105 w 105"/>
                <a:gd name="T7" fmla="*/ 9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9">
                  <a:moveTo>
                    <a:pt x="105" y="9"/>
                  </a:moveTo>
                  <a:lnTo>
                    <a:pt x="105" y="0"/>
                  </a:lnTo>
                  <a:lnTo>
                    <a:pt x="0" y="9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2" name="Freeform 374">
              <a:extLst>
                <a:ext uri="{FF2B5EF4-FFF2-40B4-BE49-F238E27FC236}">
                  <a16:creationId xmlns:a16="http://schemas.microsoft.com/office/drawing/2014/main" id="{64385760-E7B4-46F3-929C-B760BECF2D0F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18"/>
                <a:gd name="T2" fmla="*/ 104 w 105"/>
                <a:gd name="T3" fmla="*/ 0 h 18"/>
                <a:gd name="T4" fmla="*/ 0 w 105"/>
                <a:gd name="T5" fmla="*/ 18 h 18"/>
                <a:gd name="T6" fmla="*/ 105 w 105"/>
                <a:gd name="T7" fmla="*/ 9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8">
                  <a:moveTo>
                    <a:pt x="105" y="9"/>
                  </a:moveTo>
                  <a:lnTo>
                    <a:pt x="104" y="0"/>
                  </a:lnTo>
                  <a:lnTo>
                    <a:pt x="0" y="18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3" name="Freeform 375">
              <a:extLst>
                <a:ext uri="{FF2B5EF4-FFF2-40B4-BE49-F238E27FC236}">
                  <a16:creationId xmlns:a16="http://schemas.microsoft.com/office/drawing/2014/main" id="{3E3D5CE5-0D3E-4E46-A527-D630084ACF13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4 w 104"/>
                <a:gd name="T1" fmla="*/ 8 h 26"/>
                <a:gd name="T2" fmla="*/ 102 w 104"/>
                <a:gd name="T3" fmla="*/ 0 h 26"/>
                <a:gd name="T4" fmla="*/ 0 w 104"/>
                <a:gd name="T5" fmla="*/ 26 h 26"/>
                <a:gd name="T6" fmla="*/ 104 w 104"/>
                <a:gd name="T7" fmla="*/ 8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4" y="8"/>
                  </a:moveTo>
                  <a:lnTo>
                    <a:pt x="102" y="0"/>
                  </a:lnTo>
                  <a:lnTo>
                    <a:pt x="0" y="26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4" name="Freeform 376">
              <a:extLst>
                <a:ext uri="{FF2B5EF4-FFF2-40B4-BE49-F238E27FC236}">
                  <a16:creationId xmlns:a16="http://schemas.microsoft.com/office/drawing/2014/main" id="{65A4D579-14F3-4842-9001-814B3FAC9F7E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2 w 102"/>
                <a:gd name="T1" fmla="*/ 9 h 35"/>
                <a:gd name="T2" fmla="*/ 99 w 102"/>
                <a:gd name="T3" fmla="*/ 0 h 35"/>
                <a:gd name="T4" fmla="*/ 0 w 102"/>
                <a:gd name="T5" fmla="*/ 35 h 35"/>
                <a:gd name="T6" fmla="*/ 102 w 102"/>
                <a:gd name="T7" fmla="*/ 9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102" y="9"/>
                  </a:moveTo>
                  <a:lnTo>
                    <a:pt x="99" y="0"/>
                  </a:lnTo>
                  <a:lnTo>
                    <a:pt x="0" y="35"/>
                  </a:lnTo>
                  <a:lnTo>
                    <a:pt x="102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5" name="Freeform 377">
              <a:extLst>
                <a:ext uri="{FF2B5EF4-FFF2-40B4-BE49-F238E27FC236}">
                  <a16:creationId xmlns:a16="http://schemas.microsoft.com/office/drawing/2014/main" id="{ABE49933-B12B-4CD4-980F-C9DDFA510403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9 w 99"/>
                <a:gd name="T1" fmla="*/ 8 h 43"/>
                <a:gd name="T2" fmla="*/ 96 w 99"/>
                <a:gd name="T3" fmla="*/ 0 h 43"/>
                <a:gd name="T4" fmla="*/ 0 w 99"/>
                <a:gd name="T5" fmla="*/ 43 h 43"/>
                <a:gd name="T6" fmla="*/ 99 w 99"/>
                <a:gd name="T7" fmla="*/ 8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9" y="8"/>
                  </a:moveTo>
                  <a:lnTo>
                    <a:pt x="96" y="0"/>
                  </a:lnTo>
                  <a:lnTo>
                    <a:pt x="0" y="43"/>
                  </a:lnTo>
                  <a:lnTo>
                    <a:pt x="99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6" name="Freeform 378">
              <a:extLst>
                <a:ext uri="{FF2B5EF4-FFF2-40B4-BE49-F238E27FC236}">
                  <a16:creationId xmlns:a16="http://schemas.microsoft.com/office/drawing/2014/main" id="{72AFBDCA-3CFB-4B13-8D7F-965175D9C6C5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6 w 96"/>
                <a:gd name="T1" fmla="*/ 7 h 50"/>
                <a:gd name="T2" fmla="*/ 93 w 96"/>
                <a:gd name="T3" fmla="*/ 0 h 50"/>
                <a:gd name="T4" fmla="*/ 0 w 96"/>
                <a:gd name="T5" fmla="*/ 50 h 50"/>
                <a:gd name="T6" fmla="*/ 96 w 96"/>
                <a:gd name="T7" fmla="*/ 7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6" y="7"/>
                  </a:moveTo>
                  <a:lnTo>
                    <a:pt x="93" y="0"/>
                  </a:lnTo>
                  <a:lnTo>
                    <a:pt x="0" y="50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7" name="Freeform 379">
              <a:extLst>
                <a:ext uri="{FF2B5EF4-FFF2-40B4-BE49-F238E27FC236}">
                  <a16:creationId xmlns:a16="http://schemas.microsoft.com/office/drawing/2014/main" id="{2B300A82-FFE4-469D-83EC-7037E0745048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3 w 93"/>
                <a:gd name="T1" fmla="*/ 8 h 58"/>
                <a:gd name="T2" fmla="*/ 88 w 93"/>
                <a:gd name="T3" fmla="*/ 0 h 58"/>
                <a:gd name="T4" fmla="*/ 0 w 93"/>
                <a:gd name="T5" fmla="*/ 58 h 58"/>
                <a:gd name="T6" fmla="*/ 93 w 93"/>
                <a:gd name="T7" fmla="*/ 8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8">
                  <a:moveTo>
                    <a:pt x="93" y="8"/>
                  </a:moveTo>
                  <a:lnTo>
                    <a:pt x="88" y="0"/>
                  </a:lnTo>
                  <a:lnTo>
                    <a:pt x="0" y="58"/>
                  </a:lnTo>
                  <a:lnTo>
                    <a:pt x="93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8" name="Freeform 380">
              <a:extLst>
                <a:ext uri="{FF2B5EF4-FFF2-40B4-BE49-F238E27FC236}">
                  <a16:creationId xmlns:a16="http://schemas.microsoft.com/office/drawing/2014/main" id="{F5D33943-5ECF-4058-9F99-DAA63ADD8B1F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8 w 88"/>
                <a:gd name="T1" fmla="*/ 7 h 65"/>
                <a:gd name="T2" fmla="*/ 83 w 88"/>
                <a:gd name="T3" fmla="*/ 0 h 65"/>
                <a:gd name="T4" fmla="*/ 0 w 88"/>
                <a:gd name="T5" fmla="*/ 65 h 65"/>
                <a:gd name="T6" fmla="*/ 88 w 88"/>
                <a:gd name="T7" fmla="*/ 7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5">
                  <a:moveTo>
                    <a:pt x="88" y="7"/>
                  </a:moveTo>
                  <a:lnTo>
                    <a:pt x="83" y="0"/>
                  </a:lnTo>
                  <a:lnTo>
                    <a:pt x="0" y="65"/>
                  </a:lnTo>
                  <a:lnTo>
                    <a:pt x="88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9" name="Freeform 381">
              <a:extLst>
                <a:ext uri="{FF2B5EF4-FFF2-40B4-BE49-F238E27FC236}">
                  <a16:creationId xmlns:a16="http://schemas.microsoft.com/office/drawing/2014/main" id="{DFBA7C0E-0779-4D25-AE19-E3653DD1D4D2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3 w 83"/>
                <a:gd name="T1" fmla="*/ 7 h 72"/>
                <a:gd name="T2" fmla="*/ 77 w 83"/>
                <a:gd name="T3" fmla="*/ 0 h 72"/>
                <a:gd name="T4" fmla="*/ 0 w 83"/>
                <a:gd name="T5" fmla="*/ 72 h 72"/>
                <a:gd name="T6" fmla="*/ 83 w 83"/>
                <a:gd name="T7" fmla="*/ 7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2">
                  <a:moveTo>
                    <a:pt x="83" y="7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0" name="Freeform 382">
              <a:extLst>
                <a:ext uri="{FF2B5EF4-FFF2-40B4-BE49-F238E27FC236}">
                  <a16:creationId xmlns:a16="http://schemas.microsoft.com/office/drawing/2014/main" id="{BCB88D87-D3F6-44A3-99B1-CF9480D0C137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77 w 77"/>
                <a:gd name="T1" fmla="*/ 6 h 78"/>
                <a:gd name="T2" fmla="*/ 71 w 77"/>
                <a:gd name="T3" fmla="*/ 0 h 78"/>
                <a:gd name="T4" fmla="*/ 0 w 77"/>
                <a:gd name="T5" fmla="*/ 78 h 78"/>
                <a:gd name="T6" fmla="*/ 77 w 77"/>
                <a:gd name="T7" fmla="*/ 6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8">
                  <a:moveTo>
                    <a:pt x="77" y="6"/>
                  </a:moveTo>
                  <a:lnTo>
                    <a:pt x="71" y="0"/>
                  </a:lnTo>
                  <a:lnTo>
                    <a:pt x="0" y="78"/>
                  </a:lnTo>
                  <a:lnTo>
                    <a:pt x="77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1" name="Freeform 383">
              <a:extLst>
                <a:ext uri="{FF2B5EF4-FFF2-40B4-BE49-F238E27FC236}">
                  <a16:creationId xmlns:a16="http://schemas.microsoft.com/office/drawing/2014/main" id="{73055809-3654-499B-A0B8-EC6887625F74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71 w 71"/>
                <a:gd name="T1" fmla="*/ 5 h 83"/>
                <a:gd name="T2" fmla="*/ 65 w 71"/>
                <a:gd name="T3" fmla="*/ 0 h 83"/>
                <a:gd name="T4" fmla="*/ 0 w 71"/>
                <a:gd name="T5" fmla="*/ 83 h 83"/>
                <a:gd name="T6" fmla="*/ 71 w 71"/>
                <a:gd name="T7" fmla="*/ 5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71" y="5"/>
                  </a:moveTo>
                  <a:lnTo>
                    <a:pt x="65" y="0"/>
                  </a:lnTo>
                  <a:lnTo>
                    <a:pt x="0" y="83"/>
                  </a:lnTo>
                  <a:lnTo>
                    <a:pt x="71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2" name="Freeform 384">
              <a:extLst>
                <a:ext uri="{FF2B5EF4-FFF2-40B4-BE49-F238E27FC236}">
                  <a16:creationId xmlns:a16="http://schemas.microsoft.com/office/drawing/2014/main" id="{E1E7ED3D-C9D7-46F5-8A85-FD664BCFE12B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65 w 65"/>
                <a:gd name="T1" fmla="*/ 5 h 88"/>
                <a:gd name="T2" fmla="*/ 58 w 65"/>
                <a:gd name="T3" fmla="*/ 0 h 88"/>
                <a:gd name="T4" fmla="*/ 0 w 65"/>
                <a:gd name="T5" fmla="*/ 88 h 88"/>
                <a:gd name="T6" fmla="*/ 65 w 65"/>
                <a:gd name="T7" fmla="*/ 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65" y="5"/>
                  </a:moveTo>
                  <a:lnTo>
                    <a:pt x="58" y="0"/>
                  </a:lnTo>
                  <a:lnTo>
                    <a:pt x="0" y="88"/>
                  </a:lnTo>
                  <a:lnTo>
                    <a:pt x="65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3" name="Freeform 385">
              <a:extLst>
                <a:ext uri="{FF2B5EF4-FFF2-40B4-BE49-F238E27FC236}">
                  <a16:creationId xmlns:a16="http://schemas.microsoft.com/office/drawing/2014/main" id="{36DF4A24-6AC4-4969-8D6C-F7A677FBD357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8 w 58"/>
                <a:gd name="T1" fmla="*/ 5 h 93"/>
                <a:gd name="T2" fmla="*/ 50 w 58"/>
                <a:gd name="T3" fmla="*/ 0 h 93"/>
                <a:gd name="T4" fmla="*/ 0 w 58"/>
                <a:gd name="T5" fmla="*/ 93 h 93"/>
                <a:gd name="T6" fmla="*/ 58 w 58"/>
                <a:gd name="T7" fmla="*/ 5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3">
                  <a:moveTo>
                    <a:pt x="58" y="5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8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4" name="Freeform 386">
              <a:extLst>
                <a:ext uri="{FF2B5EF4-FFF2-40B4-BE49-F238E27FC236}">
                  <a16:creationId xmlns:a16="http://schemas.microsoft.com/office/drawing/2014/main" id="{52B092FB-1F79-4ED3-BADE-D1158E11DF3F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0 w 50"/>
                <a:gd name="T1" fmla="*/ 4 h 97"/>
                <a:gd name="T2" fmla="*/ 42 w 50"/>
                <a:gd name="T3" fmla="*/ 0 h 97"/>
                <a:gd name="T4" fmla="*/ 0 w 50"/>
                <a:gd name="T5" fmla="*/ 97 h 97"/>
                <a:gd name="T6" fmla="*/ 50 w 50"/>
                <a:gd name="T7" fmla="*/ 4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7">
                  <a:moveTo>
                    <a:pt x="50" y="4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50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5" name="Freeform 387">
              <a:extLst>
                <a:ext uri="{FF2B5EF4-FFF2-40B4-BE49-F238E27FC236}">
                  <a16:creationId xmlns:a16="http://schemas.microsoft.com/office/drawing/2014/main" id="{A863A37B-BFBD-47DE-831C-9839925C3A06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4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4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6" name="Freeform 388">
              <a:extLst>
                <a:ext uri="{FF2B5EF4-FFF2-40B4-BE49-F238E27FC236}">
                  <a16:creationId xmlns:a16="http://schemas.microsoft.com/office/drawing/2014/main" id="{07DB8831-34A2-4274-8609-115E91644C47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34 w 34"/>
                <a:gd name="T1" fmla="*/ 2 h 102"/>
                <a:gd name="T2" fmla="*/ 26 w 34"/>
                <a:gd name="T3" fmla="*/ 0 h 102"/>
                <a:gd name="T4" fmla="*/ 0 w 34"/>
                <a:gd name="T5" fmla="*/ 102 h 102"/>
                <a:gd name="T6" fmla="*/ 34 w 34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34" y="2"/>
                  </a:moveTo>
                  <a:lnTo>
                    <a:pt x="26" y="0"/>
                  </a:lnTo>
                  <a:lnTo>
                    <a:pt x="0" y="102"/>
                  </a:lnTo>
                  <a:lnTo>
                    <a:pt x="34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7" name="Freeform 389">
              <a:extLst>
                <a:ext uri="{FF2B5EF4-FFF2-40B4-BE49-F238E27FC236}">
                  <a16:creationId xmlns:a16="http://schemas.microsoft.com/office/drawing/2014/main" id="{45884E32-6BEB-46D4-8EED-E387416B128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26 w 26"/>
                <a:gd name="T1" fmla="*/ 2 h 104"/>
                <a:gd name="T2" fmla="*/ 17 w 26"/>
                <a:gd name="T3" fmla="*/ 0 h 104"/>
                <a:gd name="T4" fmla="*/ 0 w 26"/>
                <a:gd name="T5" fmla="*/ 104 h 104"/>
                <a:gd name="T6" fmla="*/ 26 w 26"/>
                <a:gd name="T7" fmla="*/ 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26" y="2"/>
                  </a:moveTo>
                  <a:lnTo>
                    <a:pt x="17" y="0"/>
                  </a:lnTo>
                  <a:lnTo>
                    <a:pt x="0" y="104"/>
                  </a:lnTo>
                  <a:lnTo>
                    <a:pt x="26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8" name="Freeform 390">
              <a:extLst>
                <a:ext uri="{FF2B5EF4-FFF2-40B4-BE49-F238E27FC236}">
                  <a16:creationId xmlns:a16="http://schemas.microsoft.com/office/drawing/2014/main" id="{D6A3EB29-E18A-4D21-894E-83492CCC151F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17 w 17"/>
                <a:gd name="T1" fmla="*/ 1 h 105"/>
                <a:gd name="T2" fmla="*/ 9 w 17"/>
                <a:gd name="T3" fmla="*/ 0 h 105"/>
                <a:gd name="T4" fmla="*/ 0 w 17"/>
                <a:gd name="T5" fmla="*/ 105 h 105"/>
                <a:gd name="T6" fmla="*/ 17 w 17"/>
                <a:gd name="T7" fmla="*/ 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17" y="1"/>
                  </a:moveTo>
                  <a:lnTo>
                    <a:pt x="9" y="0"/>
                  </a:lnTo>
                  <a:lnTo>
                    <a:pt x="0" y="105"/>
                  </a:lnTo>
                  <a:lnTo>
                    <a:pt x="1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9" name="Freeform 391">
              <a:extLst>
                <a:ext uri="{FF2B5EF4-FFF2-40B4-BE49-F238E27FC236}">
                  <a16:creationId xmlns:a16="http://schemas.microsoft.com/office/drawing/2014/main" id="{CE1C5EF1-8D8E-4CC7-A7B1-BDC3065CA579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1 h 106"/>
                <a:gd name="T2" fmla="*/ 0 w 9"/>
                <a:gd name="T3" fmla="*/ 0 h 106"/>
                <a:gd name="T4" fmla="*/ 0 w 9"/>
                <a:gd name="T5" fmla="*/ 106 h 106"/>
                <a:gd name="T6" fmla="*/ 9 w 9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0" name="Freeform 392">
              <a:extLst>
                <a:ext uri="{FF2B5EF4-FFF2-40B4-BE49-F238E27FC236}">
                  <a16:creationId xmlns:a16="http://schemas.microsoft.com/office/drawing/2014/main" id="{5FF86A53-1439-41E7-A088-FF95F52A0FEE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0 h 106"/>
                <a:gd name="T2" fmla="*/ 0 w 9"/>
                <a:gd name="T3" fmla="*/ 1 h 106"/>
                <a:gd name="T4" fmla="*/ 9 w 9"/>
                <a:gd name="T5" fmla="*/ 106 h 106"/>
                <a:gd name="T6" fmla="*/ 9 w 9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0"/>
                  </a:moveTo>
                  <a:lnTo>
                    <a:pt x="0" y="1"/>
                  </a:lnTo>
                  <a:lnTo>
                    <a:pt x="9" y="106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1" name="Freeform 393">
              <a:extLst>
                <a:ext uri="{FF2B5EF4-FFF2-40B4-BE49-F238E27FC236}">
                  <a16:creationId xmlns:a16="http://schemas.microsoft.com/office/drawing/2014/main" id="{FFA6FA9D-725B-4AD8-A391-B0E787E4DA9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18"/>
                <a:gd name="T1" fmla="*/ 0 h 105"/>
                <a:gd name="T2" fmla="*/ 0 w 18"/>
                <a:gd name="T3" fmla="*/ 1 h 105"/>
                <a:gd name="T4" fmla="*/ 18 w 18"/>
                <a:gd name="T5" fmla="*/ 105 h 105"/>
                <a:gd name="T6" fmla="*/ 9 w 18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9" y="0"/>
                  </a:moveTo>
                  <a:lnTo>
                    <a:pt x="0" y="1"/>
                  </a:lnTo>
                  <a:lnTo>
                    <a:pt x="18" y="105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2" name="Freeform 394">
              <a:extLst>
                <a:ext uri="{FF2B5EF4-FFF2-40B4-BE49-F238E27FC236}">
                  <a16:creationId xmlns:a16="http://schemas.microsoft.com/office/drawing/2014/main" id="{22E5B30D-1AE5-44ED-9271-D83A11C50289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27"/>
                <a:gd name="T1" fmla="*/ 0 h 104"/>
                <a:gd name="T2" fmla="*/ 0 w 27"/>
                <a:gd name="T3" fmla="*/ 2 h 104"/>
                <a:gd name="T4" fmla="*/ 27 w 27"/>
                <a:gd name="T5" fmla="*/ 104 h 104"/>
                <a:gd name="T6" fmla="*/ 9 w 27"/>
                <a:gd name="T7" fmla="*/ 0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9" y="0"/>
                  </a:moveTo>
                  <a:lnTo>
                    <a:pt x="0" y="2"/>
                  </a:lnTo>
                  <a:lnTo>
                    <a:pt x="27" y="104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3" name="Freeform 395">
              <a:extLst>
                <a:ext uri="{FF2B5EF4-FFF2-40B4-BE49-F238E27FC236}">
                  <a16:creationId xmlns:a16="http://schemas.microsoft.com/office/drawing/2014/main" id="{7B12F950-1154-429A-B37A-6C5F59A94C82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8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8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8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4" name="Freeform 396">
              <a:extLst>
                <a:ext uri="{FF2B5EF4-FFF2-40B4-BE49-F238E27FC236}">
                  <a16:creationId xmlns:a16="http://schemas.microsoft.com/office/drawing/2014/main" id="{37A95F52-7940-4008-A59F-92B3B5DA6E55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43"/>
                <a:gd name="T1" fmla="*/ 0 h 100"/>
                <a:gd name="T2" fmla="*/ 0 w 43"/>
                <a:gd name="T3" fmla="*/ 3 h 100"/>
                <a:gd name="T4" fmla="*/ 43 w 43"/>
                <a:gd name="T5" fmla="*/ 100 h 100"/>
                <a:gd name="T6" fmla="*/ 8 w 43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100">
                  <a:moveTo>
                    <a:pt x="8" y="0"/>
                  </a:moveTo>
                  <a:lnTo>
                    <a:pt x="0" y="3"/>
                  </a:lnTo>
                  <a:lnTo>
                    <a:pt x="43" y="100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5" name="Freeform 397">
              <a:extLst>
                <a:ext uri="{FF2B5EF4-FFF2-40B4-BE49-F238E27FC236}">
                  <a16:creationId xmlns:a16="http://schemas.microsoft.com/office/drawing/2014/main" id="{9EFC13DA-AB87-4F14-A857-E5065B9AFE10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1"/>
                <a:gd name="T1" fmla="*/ 0 h 97"/>
                <a:gd name="T2" fmla="*/ 0 w 51"/>
                <a:gd name="T3" fmla="*/ 4 h 97"/>
                <a:gd name="T4" fmla="*/ 51 w 51"/>
                <a:gd name="T5" fmla="*/ 97 h 97"/>
                <a:gd name="T6" fmla="*/ 8 w 51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7">
                  <a:moveTo>
                    <a:pt x="8" y="0"/>
                  </a:moveTo>
                  <a:lnTo>
                    <a:pt x="0" y="4"/>
                  </a:lnTo>
                  <a:lnTo>
                    <a:pt x="51" y="97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6" name="Freeform 398">
              <a:extLst>
                <a:ext uri="{FF2B5EF4-FFF2-40B4-BE49-F238E27FC236}">
                  <a16:creationId xmlns:a16="http://schemas.microsoft.com/office/drawing/2014/main" id="{62514554-932D-4E28-A645-229902AC2DC8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9"/>
                <a:gd name="T1" fmla="*/ 0 h 93"/>
                <a:gd name="T2" fmla="*/ 0 w 59"/>
                <a:gd name="T3" fmla="*/ 5 h 93"/>
                <a:gd name="T4" fmla="*/ 59 w 59"/>
                <a:gd name="T5" fmla="*/ 93 h 93"/>
                <a:gd name="T6" fmla="*/ 8 w 59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3">
                  <a:moveTo>
                    <a:pt x="8" y="0"/>
                  </a:moveTo>
                  <a:lnTo>
                    <a:pt x="0" y="5"/>
                  </a:lnTo>
                  <a:lnTo>
                    <a:pt x="59" y="9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7" name="Freeform 399">
              <a:extLst>
                <a:ext uri="{FF2B5EF4-FFF2-40B4-BE49-F238E27FC236}">
                  <a16:creationId xmlns:a16="http://schemas.microsoft.com/office/drawing/2014/main" id="{442F6FE5-305D-4EC0-B6B1-011C9553E722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7 w 66"/>
                <a:gd name="T1" fmla="*/ 0 h 88"/>
                <a:gd name="T2" fmla="*/ 0 w 66"/>
                <a:gd name="T3" fmla="*/ 5 h 88"/>
                <a:gd name="T4" fmla="*/ 66 w 66"/>
                <a:gd name="T5" fmla="*/ 88 h 88"/>
                <a:gd name="T6" fmla="*/ 7 w 66"/>
                <a:gd name="T7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7" y="0"/>
                  </a:moveTo>
                  <a:lnTo>
                    <a:pt x="0" y="5"/>
                  </a:lnTo>
                  <a:lnTo>
                    <a:pt x="66" y="88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8" name="Freeform 400">
              <a:extLst>
                <a:ext uri="{FF2B5EF4-FFF2-40B4-BE49-F238E27FC236}">
                  <a16:creationId xmlns:a16="http://schemas.microsoft.com/office/drawing/2014/main" id="{3F0B5331-8DE2-4DD3-AA6B-E28602BA5018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6 w 72"/>
                <a:gd name="T1" fmla="*/ 0 h 83"/>
                <a:gd name="T2" fmla="*/ 0 w 72"/>
                <a:gd name="T3" fmla="*/ 5 h 83"/>
                <a:gd name="T4" fmla="*/ 72 w 72"/>
                <a:gd name="T5" fmla="*/ 83 h 83"/>
                <a:gd name="T6" fmla="*/ 6 w 72"/>
                <a:gd name="T7" fmla="*/ 0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6" y="0"/>
                  </a:moveTo>
                  <a:lnTo>
                    <a:pt x="0" y="5"/>
                  </a:lnTo>
                  <a:lnTo>
                    <a:pt x="72" y="83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9" name="Freeform 401">
              <a:extLst>
                <a:ext uri="{FF2B5EF4-FFF2-40B4-BE49-F238E27FC236}">
                  <a16:creationId xmlns:a16="http://schemas.microsoft.com/office/drawing/2014/main" id="{B2F7CC73-BA7A-4D8E-B6A4-4234F9B70B49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78"/>
                <a:gd name="T1" fmla="*/ 0 h 78"/>
                <a:gd name="T2" fmla="*/ 0 w 78"/>
                <a:gd name="T3" fmla="*/ 6 h 78"/>
                <a:gd name="T4" fmla="*/ 78 w 78"/>
                <a:gd name="T5" fmla="*/ 78 h 78"/>
                <a:gd name="T6" fmla="*/ 6 w 78"/>
                <a:gd name="T7" fmla="*/ 0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8">
                  <a:moveTo>
                    <a:pt x="6" y="0"/>
                  </a:moveTo>
                  <a:lnTo>
                    <a:pt x="0" y="6"/>
                  </a:lnTo>
                  <a:lnTo>
                    <a:pt x="78" y="78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0" name="Freeform 402">
              <a:extLst>
                <a:ext uri="{FF2B5EF4-FFF2-40B4-BE49-F238E27FC236}">
                  <a16:creationId xmlns:a16="http://schemas.microsoft.com/office/drawing/2014/main" id="{2755EF06-3243-4AFF-A089-C1FBA7E03E62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84"/>
                <a:gd name="T1" fmla="*/ 0 h 72"/>
                <a:gd name="T2" fmla="*/ 0 w 84"/>
                <a:gd name="T3" fmla="*/ 7 h 72"/>
                <a:gd name="T4" fmla="*/ 84 w 84"/>
                <a:gd name="T5" fmla="*/ 72 h 72"/>
                <a:gd name="T6" fmla="*/ 6 w 84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2">
                  <a:moveTo>
                    <a:pt x="6" y="0"/>
                  </a:moveTo>
                  <a:lnTo>
                    <a:pt x="0" y="7"/>
                  </a:lnTo>
                  <a:lnTo>
                    <a:pt x="84" y="7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1" name="Freeform 403">
              <a:extLst>
                <a:ext uri="{FF2B5EF4-FFF2-40B4-BE49-F238E27FC236}">
                  <a16:creationId xmlns:a16="http://schemas.microsoft.com/office/drawing/2014/main" id="{07C60F7D-51E3-4851-857A-2083F33B2F4E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89"/>
                <a:gd name="T1" fmla="*/ 0 h 65"/>
                <a:gd name="T2" fmla="*/ 0 w 89"/>
                <a:gd name="T3" fmla="*/ 7 h 65"/>
                <a:gd name="T4" fmla="*/ 89 w 89"/>
                <a:gd name="T5" fmla="*/ 65 h 65"/>
                <a:gd name="T6" fmla="*/ 5 w 89"/>
                <a:gd name="T7" fmla="*/ 0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5">
                  <a:moveTo>
                    <a:pt x="5" y="0"/>
                  </a:moveTo>
                  <a:lnTo>
                    <a:pt x="0" y="7"/>
                  </a:lnTo>
                  <a:lnTo>
                    <a:pt x="89" y="65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2" name="Freeform 404">
              <a:extLst>
                <a:ext uri="{FF2B5EF4-FFF2-40B4-BE49-F238E27FC236}">
                  <a16:creationId xmlns:a16="http://schemas.microsoft.com/office/drawing/2014/main" id="{645970A6-951A-49A8-B131-D2142061669C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94"/>
                <a:gd name="T1" fmla="*/ 0 h 58"/>
                <a:gd name="T2" fmla="*/ 0 w 94"/>
                <a:gd name="T3" fmla="*/ 8 h 58"/>
                <a:gd name="T4" fmla="*/ 94 w 94"/>
                <a:gd name="T5" fmla="*/ 58 h 58"/>
                <a:gd name="T6" fmla="*/ 5 w 94"/>
                <a:gd name="T7" fmla="*/ 0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8">
                  <a:moveTo>
                    <a:pt x="5" y="0"/>
                  </a:moveTo>
                  <a:lnTo>
                    <a:pt x="0" y="8"/>
                  </a:lnTo>
                  <a:lnTo>
                    <a:pt x="94" y="58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3" name="Freeform 405">
              <a:extLst>
                <a:ext uri="{FF2B5EF4-FFF2-40B4-BE49-F238E27FC236}">
                  <a16:creationId xmlns:a16="http://schemas.microsoft.com/office/drawing/2014/main" id="{4604CAEC-E81D-48C2-9848-BA36AC2D6CB0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3 w 97"/>
                <a:gd name="T1" fmla="*/ 0 h 50"/>
                <a:gd name="T2" fmla="*/ 0 w 97"/>
                <a:gd name="T3" fmla="*/ 7 h 50"/>
                <a:gd name="T4" fmla="*/ 97 w 97"/>
                <a:gd name="T5" fmla="*/ 50 h 50"/>
                <a:gd name="T6" fmla="*/ 3 w 97"/>
                <a:gd name="T7" fmla="*/ 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3" y="0"/>
                  </a:moveTo>
                  <a:lnTo>
                    <a:pt x="0" y="7"/>
                  </a:lnTo>
                  <a:lnTo>
                    <a:pt x="97" y="5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4" name="Freeform 406">
              <a:extLst>
                <a:ext uri="{FF2B5EF4-FFF2-40B4-BE49-F238E27FC236}">
                  <a16:creationId xmlns:a16="http://schemas.microsoft.com/office/drawing/2014/main" id="{B6A87873-EE6B-4553-8C3E-B1D8EF4170E2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4 w 101"/>
                <a:gd name="T1" fmla="*/ 0 h 43"/>
                <a:gd name="T2" fmla="*/ 0 w 101"/>
                <a:gd name="T3" fmla="*/ 8 h 43"/>
                <a:gd name="T4" fmla="*/ 101 w 101"/>
                <a:gd name="T5" fmla="*/ 43 h 43"/>
                <a:gd name="T6" fmla="*/ 4 w 101"/>
                <a:gd name="T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3">
                  <a:moveTo>
                    <a:pt x="4" y="0"/>
                  </a:moveTo>
                  <a:lnTo>
                    <a:pt x="0" y="8"/>
                  </a:lnTo>
                  <a:lnTo>
                    <a:pt x="101" y="43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5" name="Freeform 407">
              <a:extLst>
                <a:ext uri="{FF2B5EF4-FFF2-40B4-BE49-F238E27FC236}">
                  <a16:creationId xmlns:a16="http://schemas.microsoft.com/office/drawing/2014/main" id="{F885F72B-49B1-4007-8849-8281B48549A6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3"/>
                <a:gd name="T1" fmla="*/ 0 h 35"/>
                <a:gd name="T2" fmla="*/ 0 w 103"/>
                <a:gd name="T3" fmla="*/ 9 h 35"/>
                <a:gd name="T4" fmla="*/ 103 w 103"/>
                <a:gd name="T5" fmla="*/ 35 h 35"/>
                <a:gd name="T6" fmla="*/ 2 w 103"/>
                <a:gd name="T7" fmla="*/ 0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5">
                  <a:moveTo>
                    <a:pt x="2" y="0"/>
                  </a:moveTo>
                  <a:lnTo>
                    <a:pt x="0" y="9"/>
                  </a:lnTo>
                  <a:lnTo>
                    <a:pt x="103" y="35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6" name="Freeform 408">
              <a:extLst>
                <a:ext uri="{FF2B5EF4-FFF2-40B4-BE49-F238E27FC236}">
                  <a16:creationId xmlns:a16="http://schemas.microsoft.com/office/drawing/2014/main" id="{7915E234-3FA9-4A20-878A-CAF3E49AA727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5"/>
                <a:gd name="T1" fmla="*/ 0 h 26"/>
                <a:gd name="T2" fmla="*/ 0 w 105"/>
                <a:gd name="T3" fmla="*/ 8 h 26"/>
                <a:gd name="T4" fmla="*/ 105 w 105"/>
                <a:gd name="T5" fmla="*/ 26 h 26"/>
                <a:gd name="T6" fmla="*/ 2 w 105"/>
                <a:gd name="T7" fmla="*/ 0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2" y="0"/>
                  </a:moveTo>
                  <a:lnTo>
                    <a:pt x="0" y="8"/>
                  </a:lnTo>
                  <a:lnTo>
                    <a:pt x="105" y="2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7" name="Freeform 409">
              <a:extLst>
                <a:ext uri="{FF2B5EF4-FFF2-40B4-BE49-F238E27FC236}">
                  <a16:creationId xmlns:a16="http://schemas.microsoft.com/office/drawing/2014/main" id="{8D4960AF-E0DB-4232-A159-1BDE8E2AF4EC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1 w 106"/>
                <a:gd name="T1" fmla="*/ 0 h 18"/>
                <a:gd name="T2" fmla="*/ 0 w 106"/>
                <a:gd name="T3" fmla="*/ 9 h 18"/>
                <a:gd name="T4" fmla="*/ 106 w 106"/>
                <a:gd name="T5" fmla="*/ 18 h 18"/>
                <a:gd name="T6" fmla="*/ 1 w 106"/>
                <a:gd name="T7" fmla="*/ 0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8">
                  <a:moveTo>
                    <a:pt x="1" y="0"/>
                  </a:moveTo>
                  <a:lnTo>
                    <a:pt x="0" y="9"/>
                  </a:lnTo>
                  <a:lnTo>
                    <a:pt x="106" y="18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8" name="Freeform 410">
              <a:extLst>
                <a:ext uri="{FF2B5EF4-FFF2-40B4-BE49-F238E27FC236}">
                  <a16:creationId xmlns:a16="http://schemas.microsoft.com/office/drawing/2014/main" id="{4CA3EE1F-612C-4A9E-9B13-4E22DA57BCB9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9"/>
                <a:gd name="T2" fmla="*/ 0 w 106"/>
                <a:gd name="T3" fmla="*/ 9 h 9"/>
                <a:gd name="T4" fmla="*/ 106 w 106"/>
                <a:gd name="T5" fmla="*/ 9 h 9"/>
                <a:gd name="T6" fmla="*/ 0 w 106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9">
                  <a:moveTo>
                    <a:pt x="0" y="0"/>
                  </a:moveTo>
                  <a:lnTo>
                    <a:pt x="0" y="9"/>
                  </a:lnTo>
                  <a:lnTo>
                    <a:pt x="106" y="9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9" name="Freeform 411">
              <a:extLst>
                <a:ext uri="{FF2B5EF4-FFF2-40B4-BE49-F238E27FC236}">
                  <a16:creationId xmlns:a16="http://schemas.microsoft.com/office/drawing/2014/main" id="{5210B2EB-74FB-46DF-9A57-4942106056A4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8"/>
                <a:gd name="T2" fmla="*/ 0 w 106"/>
                <a:gd name="T3" fmla="*/ 8 h 8"/>
                <a:gd name="T4" fmla="*/ 106 w 106"/>
                <a:gd name="T5" fmla="*/ 0 h 8"/>
                <a:gd name="T6" fmla="*/ 0 w 106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8">
                  <a:moveTo>
                    <a:pt x="0" y="0"/>
                  </a:moveTo>
                  <a:lnTo>
                    <a:pt x="0" y="8"/>
                  </a:lnTo>
                  <a:lnTo>
                    <a:pt x="10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0" name="Freeform 412">
              <a:extLst>
                <a:ext uri="{FF2B5EF4-FFF2-40B4-BE49-F238E27FC236}">
                  <a16:creationId xmlns:a16="http://schemas.microsoft.com/office/drawing/2014/main" id="{9D2486C8-1667-42A2-B994-32285FD472AA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8 h 17"/>
                <a:gd name="T2" fmla="*/ 1 w 106"/>
                <a:gd name="T3" fmla="*/ 17 h 17"/>
                <a:gd name="T4" fmla="*/ 106 w 106"/>
                <a:gd name="T5" fmla="*/ 0 h 17"/>
                <a:gd name="T6" fmla="*/ 0 w 106"/>
                <a:gd name="T7" fmla="*/ 8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7">
                  <a:moveTo>
                    <a:pt x="0" y="8"/>
                  </a:moveTo>
                  <a:lnTo>
                    <a:pt x="1" y="17"/>
                  </a:lnTo>
                  <a:lnTo>
                    <a:pt x="106" y="0"/>
                  </a:lnTo>
                  <a:lnTo>
                    <a:pt x="0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1" name="Freeform 413">
              <a:extLst>
                <a:ext uri="{FF2B5EF4-FFF2-40B4-BE49-F238E27FC236}">
                  <a16:creationId xmlns:a16="http://schemas.microsoft.com/office/drawing/2014/main" id="{E9CF9B6E-7E1D-4C24-9F85-73688FF55F01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5"/>
                <a:gd name="T1" fmla="*/ 17 h 26"/>
                <a:gd name="T2" fmla="*/ 2 w 105"/>
                <a:gd name="T3" fmla="*/ 26 h 26"/>
                <a:gd name="T4" fmla="*/ 105 w 105"/>
                <a:gd name="T5" fmla="*/ 0 h 26"/>
                <a:gd name="T6" fmla="*/ 0 w 105"/>
                <a:gd name="T7" fmla="*/ 17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0" y="17"/>
                  </a:moveTo>
                  <a:lnTo>
                    <a:pt x="2" y="26"/>
                  </a:lnTo>
                  <a:lnTo>
                    <a:pt x="105" y="0"/>
                  </a:lnTo>
                  <a:lnTo>
                    <a:pt x="0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2" name="Freeform 414">
              <a:extLst>
                <a:ext uri="{FF2B5EF4-FFF2-40B4-BE49-F238E27FC236}">
                  <a16:creationId xmlns:a16="http://schemas.microsoft.com/office/drawing/2014/main" id="{93640A96-F35E-45D6-9ECB-A808DA7D7BE9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3"/>
                <a:gd name="T1" fmla="*/ 26 h 34"/>
                <a:gd name="T2" fmla="*/ 2 w 103"/>
                <a:gd name="T3" fmla="*/ 34 h 34"/>
                <a:gd name="T4" fmla="*/ 103 w 103"/>
                <a:gd name="T5" fmla="*/ 0 h 34"/>
                <a:gd name="T6" fmla="*/ 0 w 103"/>
                <a:gd name="T7" fmla="*/ 26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4">
                  <a:moveTo>
                    <a:pt x="0" y="26"/>
                  </a:moveTo>
                  <a:lnTo>
                    <a:pt x="2" y="34"/>
                  </a:lnTo>
                  <a:lnTo>
                    <a:pt x="103" y="0"/>
                  </a:lnTo>
                  <a:lnTo>
                    <a:pt x="0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3" name="Freeform 415">
              <a:extLst>
                <a:ext uri="{FF2B5EF4-FFF2-40B4-BE49-F238E27FC236}">
                  <a16:creationId xmlns:a16="http://schemas.microsoft.com/office/drawing/2014/main" id="{C8B2D51E-FB09-463E-A1BF-F97B1220B2A5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1"/>
            </a:xfrm>
            <a:custGeom>
              <a:avLst/>
              <a:gdLst>
                <a:gd name="T0" fmla="*/ 0 w 101"/>
                <a:gd name="T1" fmla="*/ 34 h 42"/>
                <a:gd name="T2" fmla="*/ 4 w 101"/>
                <a:gd name="T3" fmla="*/ 42 h 42"/>
                <a:gd name="T4" fmla="*/ 101 w 101"/>
                <a:gd name="T5" fmla="*/ 0 h 42"/>
                <a:gd name="T6" fmla="*/ 0 w 101"/>
                <a:gd name="T7" fmla="*/ 34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2">
                  <a:moveTo>
                    <a:pt x="0" y="34"/>
                  </a:moveTo>
                  <a:lnTo>
                    <a:pt x="4" y="42"/>
                  </a:lnTo>
                  <a:lnTo>
                    <a:pt x="101" y="0"/>
                  </a:lnTo>
                  <a:lnTo>
                    <a:pt x="0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4" name="Freeform 416">
              <a:extLst>
                <a:ext uri="{FF2B5EF4-FFF2-40B4-BE49-F238E27FC236}">
                  <a16:creationId xmlns:a16="http://schemas.microsoft.com/office/drawing/2014/main" id="{B8A5F051-0A53-47D0-A387-927C5C4B1D37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7"/>
                <a:gd name="T1" fmla="*/ 42 h 50"/>
                <a:gd name="T2" fmla="*/ 3 w 97"/>
                <a:gd name="T3" fmla="*/ 50 h 50"/>
                <a:gd name="T4" fmla="*/ 97 w 97"/>
                <a:gd name="T5" fmla="*/ 0 h 50"/>
                <a:gd name="T6" fmla="*/ 0 w 97"/>
                <a:gd name="T7" fmla="*/ 42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0" y="42"/>
                  </a:moveTo>
                  <a:lnTo>
                    <a:pt x="3" y="50"/>
                  </a:lnTo>
                  <a:lnTo>
                    <a:pt x="97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5" name="Freeform 417">
              <a:extLst>
                <a:ext uri="{FF2B5EF4-FFF2-40B4-BE49-F238E27FC236}">
                  <a16:creationId xmlns:a16="http://schemas.microsoft.com/office/drawing/2014/main" id="{AD5234D1-F481-45BB-834F-8451160D769E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4"/>
                <a:gd name="T1" fmla="*/ 50 h 57"/>
                <a:gd name="T2" fmla="*/ 5 w 94"/>
                <a:gd name="T3" fmla="*/ 57 h 57"/>
                <a:gd name="T4" fmla="*/ 94 w 94"/>
                <a:gd name="T5" fmla="*/ 0 h 57"/>
                <a:gd name="T6" fmla="*/ 0 w 94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7">
                  <a:moveTo>
                    <a:pt x="0" y="50"/>
                  </a:moveTo>
                  <a:lnTo>
                    <a:pt x="5" y="57"/>
                  </a:lnTo>
                  <a:lnTo>
                    <a:pt x="94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6" name="Freeform 418">
              <a:extLst>
                <a:ext uri="{FF2B5EF4-FFF2-40B4-BE49-F238E27FC236}">
                  <a16:creationId xmlns:a16="http://schemas.microsoft.com/office/drawing/2014/main" id="{2C5A5D07-3150-4C71-B7B8-3B6DE09C3E2C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9"/>
                <a:gd name="T1" fmla="*/ 57 h 64"/>
                <a:gd name="T2" fmla="*/ 5 w 89"/>
                <a:gd name="T3" fmla="*/ 64 h 64"/>
                <a:gd name="T4" fmla="*/ 89 w 89"/>
                <a:gd name="T5" fmla="*/ 0 h 64"/>
                <a:gd name="T6" fmla="*/ 0 w 89"/>
                <a:gd name="T7" fmla="*/ 57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4">
                  <a:moveTo>
                    <a:pt x="0" y="57"/>
                  </a:moveTo>
                  <a:lnTo>
                    <a:pt x="5" y="64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7" name="Freeform 419">
              <a:extLst>
                <a:ext uri="{FF2B5EF4-FFF2-40B4-BE49-F238E27FC236}">
                  <a16:creationId xmlns:a16="http://schemas.microsoft.com/office/drawing/2014/main" id="{C8DD68A9-8EB3-4348-A0D5-3D88BCF9386C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4"/>
                <a:gd name="T1" fmla="*/ 64 h 71"/>
                <a:gd name="T2" fmla="*/ 6 w 84"/>
                <a:gd name="T3" fmla="*/ 71 h 71"/>
                <a:gd name="T4" fmla="*/ 84 w 84"/>
                <a:gd name="T5" fmla="*/ 0 h 71"/>
                <a:gd name="T6" fmla="*/ 0 w 84"/>
                <a:gd name="T7" fmla="*/ 64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1">
                  <a:moveTo>
                    <a:pt x="0" y="64"/>
                  </a:moveTo>
                  <a:lnTo>
                    <a:pt x="6" y="71"/>
                  </a:lnTo>
                  <a:lnTo>
                    <a:pt x="84" y="0"/>
                  </a:lnTo>
                  <a:lnTo>
                    <a:pt x="0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8" name="Freeform 420">
              <a:extLst>
                <a:ext uri="{FF2B5EF4-FFF2-40B4-BE49-F238E27FC236}">
                  <a16:creationId xmlns:a16="http://schemas.microsoft.com/office/drawing/2014/main" id="{F6B23E93-21F7-498C-8953-4AD93602F0ED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8"/>
                <a:gd name="T1" fmla="*/ 71 h 77"/>
                <a:gd name="T2" fmla="*/ 6 w 78"/>
                <a:gd name="T3" fmla="*/ 77 h 77"/>
                <a:gd name="T4" fmla="*/ 78 w 78"/>
                <a:gd name="T5" fmla="*/ 0 h 77"/>
                <a:gd name="T6" fmla="*/ 0 w 78"/>
                <a:gd name="T7" fmla="*/ 71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7">
                  <a:moveTo>
                    <a:pt x="0" y="71"/>
                  </a:moveTo>
                  <a:lnTo>
                    <a:pt x="6" y="77"/>
                  </a:lnTo>
                  <a:lnTo>
                    <a:pt x="78" y="0"/>
                  </a:lnTo>
                  <a:lnTo>
                    <a:pt x="0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9" name="Freeform 421">
              <a:extLst>
                <a:ext uri="{FF2B5EF4-FFF2-40B4-BE49-F238E27FC236}">
                  <a16:creationId xmlns:a16="http://schemas.microsoft.com/office/drawing/2014/main" id="{58585B1F-D8E6-439D-BC9C-4D4A9A0D7448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2"/>
                <a:gd name="T1" fmla="*/ 77 h 83"/>
                <a:gd name="T2" fmla="*/ 6 w 72"/>
                <a:gd name="T3" fmla="*/ 83 h 83"/>
                <a:gd name="T4" fmla="*/ 72 w 72"/>
                <a:gd name="T5" fmla="*/ 0 h 83"/>
                <a:gd name="T6" fmla="*/ 0 w 72"/>
                <a:gd name="T7" fmla="*/ 77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0" y="77"/>
                  </a:moveTo>
                  <a:lnTo>
                    <a:pt x="6" y="83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0" name="Freeform 422">
              <a:extLst>
                <a:ext uri="{FF2B5EF4-FFF2-40B4-BE49-F238E27FC236}">
                  <a16:creationId xmlns:a16="http://schemas.microsoft.com/office/drawing/2014/main" id="{DC3C02F2-D855-4542-85CD-0CFAC717AAD5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66"/>
                <a:gd name="T1" fmla="*/ 83 h 88"/>
                <a:gd name="T2" fmla="*/ 7 w 66"/>
                <a:gd name="T3" fmla="*/ 88 h 88"/>
                <a:gd name="T4" fmla="*/ 66 w 66"/>
                <a:gd name="T5" fmla="*/ 0 h 88"/>
                <a:gd name="T6" fmla="*/ 0 w 66"/>
                <a:gd name="T7" fmla="*/ 83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0" y="83"/>
                  </a:moveTo>
                  <a:lnTo>
                    <a:pt x="7" y="88"/>
                  </a:lnTo>
                  <a:lnTo>
                    <a:pt x="66" y="0"/>
                  </a:lnTo>
                  <a:lnTo>
                    <a:pt x="0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1" name="Freeform 423">
              <a:extLst>
                <a:ext uri="{FF2B5EF4-FFF2-40B4-BE49-F238E27FC236}">
                  <a16:creationId xmlns:a16="http://schemas.microsoft.com/office/drawing/2014/main" id="{43FE345C-7E43-4F99-9C99-A00626347AD8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9"/>
                <a:gd name="T1" fmla="*/ 88 h 92"/>
                <a:gd name="T2" fmla="*/ 8 w 59"/>
                <a:gd name="T3" fmla="*/ 92 h 92"/>
                <a:gd name="T4" fmla="*/ 59 w 59"/>
                <a:gd name="T5" fmla="*/ 0 h 92"/>
                <a:gd name="T6" fmla="*/ 0 w 59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2">
                  <a:moveTo>
                    <a:pt x="0" y="88"/>
                  </a:moveTo>
                  <a:lnTo>
                    <a:pt x="8" y="92"/>
                  </a:lnTo>
                  <a:lnTo>
                    <a:pt x="59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2" name="Freeform 424">
              <a:extLst>
                <a:ext uri="{FF2B5EF4-FFF2-40B4-BE49-F238E27FC236}">
                  <a16:creationId xmlns:a16="http://schemas.microsoft.com/office/drawing/2014/main" id="{5D3F51F5-A64B-457E-8BAA-C1629DC30AD8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1"/>
                <a:gd name="T1" fmla="*/ 92 h 96"/>
                <a:gd name="T2" fmla="*/ 8 w 51"/>
                <a:gd name="T3" fmla="*/ 96 h 96"/>
                <a:gd name="T4" fmla="*/ 51 w 51"/>
                <a:gd name="T5" fmla="*/ 0 h 96"/>
                <a:gd name="T6" fmla="*/ 0 w 51"/>
                <a:gd name="T7" fmla="*/ 92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6">
                  <a:moveTo>
                    <a:pt x="0" y="92"/>
                  </a:moveTo>
                  <a:lnTo>
                    <a:pt x="8" y="96"/>
                  </a:lnTo>
                  <a:lnTo>
                    <a:pt x="51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3" name="Freeform 425">
              <a:extLst>
                <a:ext uri="{FF2B5EF4-FFF2-40B4-BE49-F238E27FC236}">
                  <a16:creationId xmlns:a16="http://schemas.microsoft.com/office/drawing/2014/main" id="{7AAD48FE-1ECA-4DE1-9EF5-AAAF23D5FD33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2"/>
            </a:xfrm>
            <a:custGeom>
              <a:avLst/>
              <a:gdLst>
                <a:gd name="T0" fmla="*/ 0 w 43"/>
                <a:gd name="T1" fmla="*/ 96 h 99"/>
                <a:gd name="T2" fmla="*/ 8 w 43"/>
                <a:gd name="T3" fmla="*/ 99 h 99"/>
                <a:gd name="T4" fmla="*/ 43 w 43"/>
                <a:gd name="T5" fmla="*/ 0 h 99"/>
                <a:gd name="T6" fmla="*/ 0 w 43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99">
                  <a:moveTo>
                    <a:pt x="0" y="96"/>
                  </a:moveTo>
                  <a:lnTo>
                    <a:pt x="8" y="99"/>
                  </a:lnTo>
                  <a:lnTo>
                    <a:pt x="43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4" name="Freeform 426">
              <a:extLst>
                <a:ext uri="{FF2B5EF4-FFF2-40B4-BE49-F238E27FC236}">
                  <a16:creationId xmlns:a16="http://schemas.microsoft.com/office/drawing/2014/main" id="{3EB21E80-EBBC-4223-8D22-CBF0C515A88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35"/>
                <a:gd name="T1" fmla="*/ 99 h 102"/>
                <a:gd name="T2" fmla="*/ 8 w 35"/>
                <a:gd name="T3" fmla="*/ 102 h 102"/>
                <a:gd name="T4" fmla="*/ 35 w 35"/>
                <a:gd name="T5" fmla="*/ 0 h 102"/>
                <a:gd name="T6" fmla="*/ 0 w 35"/>
                <a:gd name="T7" fmla="*/ 99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0" y="99"/>
                  </a:moveTo>
                  <a:lnTo>
                    <a:pt x="8" y="102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5" name="Freeform 427">
              <a:extLst>
                <a:ext uri="{FF2B5EF4-FFF2-40B4-BE49-F238E27FC236}">
                  <a16:creationId xmlns:a16="http://schemas.microsoft.com/office/drawing/2014/main" id="{A3C75BBD-FD53-4033-895D-A98ED0480F7F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27"/>
                <a:gd name="T1" fmla="*/ 102 h 104"/>
                <a:gd name="T2" fmla="*/ 9 w 27"/>
                <a:gd name="T3" fmla="*/ 104 h 104"/>
                <a:gd name="T4" fmla="*/ 27 w 27"/>
                <a:gd name="T5" fmla="*/ 0 h 104"/>
                <a:gd name="T6" fmla="*/ 0 w 27"/>
                <a:gd name="T7" fmla="*/ 10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0" y="102"/>
                  </a:moveTo>
                  <a:lnTo>
                    <a:pt x="9" y="104"/>
                  </a:lnTo>
                  <a:lnTo>
                    <a:pt x="27" y="0"/>
                  </a:lnTo>
                  <a:lnTo>
                    <a:pt x="0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6" name="Freeform 428">
              <a:extLst>
                <a:ext uri="{FF2B5EF4-FFF2-40B4-BE49-F238E27FC236}">
                  <a16:creationId xmlns:a16="http://schemas.microsoft.com/office/drawing/2014/main" id="{6346A0E6-6E7D-4481-AE44-761C9E90B1E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18"/>
                <a:gd name="T1" fmla="*/ 104 h 105"/>
                <a:gd name="T2" fmla="*/ 9 w 18"/>
                <a:gd name="T3" fmla="*/ 105 h 105"/>
                <a:gd name="T4" fmla="*/ 18 w 18"/>
                <a:gd name="T5" fmla="*/ 0 h 105"/>
                <a:gd name="T6" fmla="*/ 0 w 18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0" y="104"/>
                  </a:moveTo>
                  <a:lnTo>
                    <a:pt x="9" y="105"/>
                  </a:lnTo>
                  <a:lnTo>
                    <a:pt x="18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7" name="Freeform 429">
              <a:extLst>
                <a:ext uri="{FF2B5EF4-FFF2-40B4-BE49-F238E27FC236}">
                  <a16:creationId xmlns:a16="http://schemas.microsoft.com/office/drawing/2014/main" id="{D65AA3D2-8E78-4395-BB89-A9C4860B6953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9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9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8" name="Freeform 430">
              <a:extLst>
                <a:ext uri="{FF2B5EF4-FFF2-40B4-BE49-F238E27FC236}">
                  <a16:creationId xmlns:a16="http://schemas.microsoft.com/office/drawing/2014/main" id="{0811B111-F77E-4CA4-B746-40FDB2B8F5C6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0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9" name="Freeform 431">
              <a:extLst>
                <a:ext uri="{FF2B5EF4-FFF2-40B4-BE49-F238E27FC236}">
                  <a16:creationId xmlns:a16="http://schemas.microsoft.com/office/drawing/2014/main" id="{D8022BF0-2B8C-439A-A743-C0FA1371CB2D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9 w 17"/>
                <a:gd name="T1" fmla="*/ 105 h 105"/>
                <a:gd name="T2" fmla="*/ 17 w 17"/>
                <a:gd name="T3" fmla="*/ 104 h 105"/>
                <a:gd name="T4" fmla="*/ 0 w 17"/>
                <a:gd name="T5" fmla="*/ 0 h 105"/>
                <a:gd name="T6" fmla="*/ 9 w 1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9" y="105"/>
                  </a:moveTo>
                  <a:lnTo>
                    <a:pt x="17" y="104"/>
                  </a:lnTo>
                  <a:lnTo>
                    <a:pt x="0" y="0"/>
                  </a:lnTo>
                  <a:lnTo>
                    <a:pt x="9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0" name="Freeform 432">
              <a:extLst>
                <a:ext uri="{FF2B5EF4-FFF2-40B4-BE49-F238E27FC236}">
                  <a16:creationId xmlns:a16="http://schemas.microsoft.com/office/drawing/2014/main" id="{6E543EC6-CEFE-4E1D-8B9B-96D88FB1BFF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17 w 26"/>
                <a:gd name="T1" fmla="*/ 104 h 104"/>
                <a:gd name="T2" fmla="*/ 26 w 26"/>
                <a:gd name="T3" fmla="*/ 102 h 104"/>
                <a:gd name="T4" fmla="*/ 0 w 26"/>
                <a:gd name="T5" fmla="*/ 0 h 104"/>
                <a:gd name="T6" fmla="*/ 17 w 26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17" y="104"/>
                  </a:moveTo>
                  <a:lnTo>
                    <a:pt x="26" y="102"/>
                  </a:lnTo>
                  <a:lnTo>
                    <a:pt x="0" y="0"/>
                  </a:lnTo>
                  <a:lnTo>
                    <a:pt x="17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1" name="Freeform 433">
              <a:extLst>
                <a:ext uri="{FF2B5EF4-FFF2-40B4-BE49-F238E27FC236}">
                  <a16:creationId xmlns:a16="http://schemas.microsoft.com/office/drawing/2014/main" id="{BD116533-EC02-4D20-91F4-FBAE169A0A4D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26 w 34"/>
                <a:gd name="T1" fmla="*/ 102 h 102"/>
                <a:gd name="T2" fmla="*/ 34 w 34"/>
                <a:gd name="T3" fmla="*/ 99 h 102"/>
                <a:gd name="T4" fmla="*/ 0 w 34"/>
                <a:gd name="T5" fmla="*/ 0 h 102"/>
                <a:gd name="T6" fmla="*/ 26 w 34"/>
                <a:gd name="T7" fmla="*/ 10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26" y="102"/>
                  </a:moveTo>
                  <a:lnTo>
                    <a:pt x="34" y="99"/>
                  </a:lnTo>
                  <a:lnTo>
                    <a:pt x="0" y="0"/>
                  </a:lnTo>
                  <a:lnTo>
                    <a:pt x="26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2" name="Freeform 434">
              <a:extLst>
                <a:ext uri="{FF2B5EF4-FFF2-40B4-BE49-F238E27FC236}">
                  <a16:creationId xmlns:a16="http://schemas.microsoft.com/office/drawing/2014/main" id="{319CEC3E-476B-46B5-9B29-B5069E63D4E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34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4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4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4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3" name="Freeform 435">
              <a:extLst>
                <a:ext uri="{FF2B5EF4-FFF2-40B4-BE49-F238E27FC236}">
                  <a16:creationId xmlns:a16="http://schemas.microsoft.com/office/drawing/2014/main" id="{6D31E502-17EA-4E7F-A46D-603615F5A5E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42 w 50"/>
                <a:gd name="T1" fmla="*/ 96 h 96"/>
                <a:gd name="T2" fmla="*/ 50 w 50"/>
                <a:gd name="T3" fmla="*/ 92 h 96"/>
                <a:gd name="T4" fmla="*/ 0 w 50"/>
                <a:gd name="T5" fmla="*/ 0 h 96"/>
                <a:gd name="T6" fmla="*/ 42 w 50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42" y="96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4" name="Freeform 436">
              <a:extLst>
                <a:ext uri="{FF2B5EF4-FFF2-40B4-BE49-F238E27FC236}">
                  <a16:creationId xmlns:a16="http://schemas.microsoft.com/office/drawing/2014/main" id="{1CA43952-FBBD-41EF-BC27-52DA436512C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0 w 58"/>
                <a:gd name="T1" fmla="*/ 92 h 92"/>
                <a:gd name="T2" fmla="*/ 58 w 58"/>
                <a:gd name="T3" fmla="*/ 88 h 92"/>
                <a:gd name="T4" fmla="*/ 0 w 58"/>
                <a:gd name="T5" fmla="*/ 0 h 92"/>
                <a:gd name="T6" fmla="*/ 50 w 58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2">
                  <a:moveTo>
                    <a:pt x="50" y="92"/>
                  </a:moveTo>
                  <a:lnTo>
                    <a:pt x="58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5" name="Freeform 437">
              <a:extLst>
                <a:ext uri="{FF2B5EF4-FFF2-40B4-BE49-F238E27FC236}">
                  <a16:creationId xmlns:a16="http://schemas.microsoft.com/office/drawing/2014/main" id="{3C87971D-C7F9-4AE8-9E6B-CE4717314414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8 w 65"/>
                <a:gd name="T1" fmla="*/ 88 h 88"/>
                <a:gd name="T2" fmla="*/ 65 w 65"/>
                <a:gd name="T3" fmla="*/ 83 h 88"/>
                <a:gd name="T4" fmla="*/ 0 w 65"/>
                <a:gd name="T5" fmla="*/ 0 h 88"/>
                <a:gd name="T6" fmla="*/ 58 w 65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58" y="88"/>
                  </a:moveTo>
                  <a:lnTo>
                    <a:pt x="65" y="83"/>
                  </a:lnTo>
                  <a:lnTo>
                    <a:pt x="0" y="0"/>
                  </a:lnTo>
                  <a:lnTo>
                    <a:pt x="58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6" name="Freeform 438">
              <a:extLst>
                <a:ext uri="{FF2B5EF4-FFF2-40B4-BE49-F238E27FC236}">
                  <a16:creationId xmlns:a16="http://schemas.microsoft.com/office/drawing/2014/main" id="{F07D38E3-2BD7-46A5-B941-97165446D786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65 w 71"/>
                <a:gd name="T1" fmla="*/ 83 h 83"/>
                <a:gd name="T2" fmla="*/ 71 w 71"/>
                <a:gd name="T3" fmla="*/ 77 h 83"/>
                <a:gd name="T4" fmla="*/ 0 w 71"/>
                <a:gd name="T5" fmla="*/ 0 h 83"/>
                <a:gd name="T6" fmla="*/ 65 w 71"/>
                <a:gd name="T7" fmla="*/ 83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65" y="83"/>
                  </a:moveTo>
                  <a:lnTo>
                    <a:pt x="71" y="77"/>
                  </a:lnTo>
                  <a:lnTo>
                    <a:pt x="0" y="0"/>
                  </a:lnTo>
                  <a:lnTo>
                    <a:pt x="65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7" name="Freeform 439">
              <a:extLst>
                <a:ext uri="{FF2B5EF4-FFF2-40B4-BE49-F238E27FC236}">
                  <a16:creationId xmlns:a16="http://schemas.microsoft.com/office/drawing/2014/main" id="{80835E3A-D779-4BF7-9737-6D290787871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1 w 77"/>
                <a:gd name="T1" fmla="*/ 77 h 77"/>
                <a:gd name="T2" fmla="*/ 77 w 77"/>
                <a:gd name="T3" fmla="*/ 71 h 77"/>
                <a:gd name="T4" fmla="*/ 0 w 77"/>
                <a:gd name="T5" fmla="*/ 0 h 77"/>
                <a:gd name="T6" fmla="*/ 71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1" y="77"/>
                  </a:moveTo>
                  <a:lnTo>
                    <a:pt x="77" y="71"/>
                  </a:lnTo>
                  <a:lnTo>
                    <a:pt x="0" y="0"/>
                  </a:lnTo>
                  <a:lnTo>
                    <a:pt x="71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8" name="Freeform 440">
              <a:extLst>
                <a:ext uri="{FF2B5EF4-FFF2-40B4-BE49-F238E27FC236}">
                  <a16:creationId xmlns:a16="http://schemas.microsoft.com/office/drawing/2014/main" id="{1A4D8D66-EF42-4ECD-8809-7F1E49B6D05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7 w 83"/>
                <a:gd name="T1" fmla="*/ 71 h 71"/>
                <a:gd name="T2" fmla="*/ 83 w 83"/>
                <a:gd name="T3" fmla="*/ 64 h 71"/>
                <a:gd name="T4" fmla="*/ 0 w 83"/>
                <a:gd name="T5" fmla="*/ 0 h 71"/>
                <a:gd name="T6" fmla="*/ 77 w 83"/>
                <a:gd name="T7" fmla="*/ 71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1">
                  <a:moveTo>
                    <a:pt x="77" y="71"/>
                  </a:moveTo>
                  <a:lnTo>
                    <a:pt x="83" y="64"/>
                  </a:lnTo>
                  <a:lnTo>
                    <a:pt x="0" y="0"/>
                  </a:lnTo>
                  <a:lnTo>
                    <a:pt x="77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9" name="Freeform 441">
              <a:extLst>
                <a:ext uri="{FF2B5EF4-FFF2-40B4-BE49-F238E27FC236}">
                  <a16:creationId xmlns:a16="http://schemas.microsoft.com/office/drawing/2014/main" id="{E495ABEF-07B1-4819-A157-3B400B2529EC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3 w 88"/>
                <a:gd name="T1" fmla="*/ 64 h 64"/>
                <a:gd name="T2" fmla="*/ 88 w 88"/>
                <a:gd name="T3" fmla="*/ 57 h 64"/>
                <a:gd name="T4" fmla="*/ 0 w 88"/>
                <a:gd name="T5" fmla="*/ 0 h 64"/>
                <a:gd name="T6" fmla="*/ 83 w 88"/>
                <a:gd name="T7" fmla="*/ 64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4">
                  <a:moveTo>
                    <a:pt x="83" y="64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3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0" name="Freeform 442">
              <a:extLst>
                <a:ext uri="{FF2B5EF4-FFF2-40B4-BE49-F238E27FC236}">
                  <a16:creationId xmlns:a16="http://schemas.microsoft.com/office/drawing/2014/main" id="{44EE5FBF-96E8-4ACB-9E30-4B5668FF496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8 w 93"/>
                <a:gd name="T1" fmla="*/ 57 h 57"/>
                <a:gd name="T2" fmla="*/ 93 w 93"/>
                <a:gd name="T3" fmla="*/ 50 h 57"/>
                <a:gd name="T4" fmla="*/ 0 w 93"/>
                <a:gd name="T5" fmla="*/ 0 h 57"/>
                <a:gd name="T6" fmla="*/ 88 w 93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7">
                  <a:moveTo>
                    <a:pt x="88" y="57"/>
                  </a:moveTo>
                  <a:lnTo>
                    <a:pt x="93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1" name="Freeform 443">
              <a:extLst>
                <a:ext uri="{FF2B5EF4-FFF2-40B4-BE49-F238E27FC236}">
                  <a16:creationId xmlns:a16="http://schemas.microsoft.com/office/drawing/2014/main" id="{E13F7322-9C69-4CD0-A406-E620E6B36B63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3 w 96"/>
                <a:gd name="T1" fmla="*/ 50 h 50"/>
                <a:gd name="T2" fmla="*/ 96 w 96"/>
                <a:gd name="T3" fmla="*/ 42 h 50"/>
                <a:gd name="T4" fmla="*/ 0 w 96"/>
                <a:gd name="T5" fmla="*/ 0 h 50"/>
                <a:gd name="T6" fmla="*/ 93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3" y="50"/>
                  </a:moveTo>
                  <a:lnTo>
                    <a:pt x="96" y="42"/>
                  </a:lnTo>
                  <a:lnTo>
                    <a:pt x="0" y="0"/>
                  </a:lnTo>
                  <a:lnTo>
                    <a:pt x="93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2" name="Freeform 444">
              <a:extLst>
                <a:ext uri="{FF2B5EF4-FFF2-40B4-BE49-F238E27FC236}">
                  <a16:creationId xmlns:a16="http://schemas.microsoft.com/office/drawing/2014/main" id="{80423ED3-FBBF-4AFB-AF1A-44668B26BA4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6 w 99"/>
                <a:gd name="T1" fmla="*/ 42 h 42"/>
                <a:gd name="T2" fmla="*/ 99 w 99"/>
                <a:gd name="T3" fmla="*/ 34 h 42"/>
                <a:gd name="T4" fmla="*/ 0 w 99"/>
                <a:gd name="T5" fmla="*/ 0 h 42"/>
                <a:gd name="T6" fmla="*/ 96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6" y="42"/>
                  </a:moveTo>
                  <a:lnTo>
                    <a:pt x="99" y="34"/>
                  </a:lnTo>
                  <a:lnTo>
                    <a:pt x="0" y="0"/>
                  </a:lnTo>
                  <a:lnTo>
                    <a:pt x="96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3" name="Freeform 445">
              <a:extLst>
                <a:ext uri="{FF2B5EF4-FFF2-40B4-BE49-F238E27FC236}">
                  <a16:creationId xmlns:a16="http://schemas.microsoft.com/office/drawing/2014/main" id="{15FEA15D-AE23-4A44-9FBD-7FCA7707679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99 w 102"/>
                <a:gd name="T1" fmla="*/ 34 h 34"/>
                <a:gd name="T2" fmla="*/ 102 w 102"/>
                <a:gd name="T3" fmla="*/ 26 h 34"/>
                <a:gd name="T4" fmla="*/ 0 w 102"/>
                <a:gd name="T5" fmla="*/ 0 h 34"/>
                <a:gd name="T6" fmla="*/ 99 w 102"/>
                <a:gd name="T7" fmla="*/ 34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4">
                  <a:moveTo>
                    <a:pt x="99" y="34"/>
                  </a:moveTo>
                  <a:lnTo>
                    <a:pt x="102" y="26"/>
                  </a:lnTo>
                  <a:lnTo>
                    <a:pt x="0" y="0"/>
                  </a:lnTo>
                  <a:lnTo>
                    <a:pt x="99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4" name="Freeform 446">
              <a:extLst>
                <a:ext uri="{FF2B5EF4-FFF2-40B4-BE49-F238E27FC236}">
                  <a16:creationId xmlns:a16="http://schemas.microsoft.com/office/drawing/2014/main" id="{2D63D214-4445-4F03-8D93-56A0FAF413F5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2 w 104"/>
                <a:gd name="T1" fmla="*/ 26 h 26"/>
                <a:gd name="T2" fmla="*/ 104 w 104"/>
                <a:gd name="T3" fmla="*/ 17 h 26"/>
                <a:gd name="T4" fmla="*/ 0 w 104"/>
                <a:gd name="T5" fmla="*/ 0 h 26"/>
                <a:gd name="T6" fmla="*/ 102 w 104"/>
                <a:gd name="T7" fmla="*/ 26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2" y="26"/>
                  </a:moveTo>
                  <a:lnTo>
                    <a:pt x="104" y="17"/>
                  </a:lnTo>
                  <a:lnTo>
                    <a:pt x="0" y="0"/>
                  </a:lnTo>
                  <a:lnTo>
                    <a:pt x="102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5" name="Freeform 447">
              <a:extLst>
                <a:ext uri="{FF2B5EF4-FFF2-40B4-BE49-F238E27FC236}">
                  <a16:creationId xmlns:a16="http://schemas.microsoft.com/office/drawing/2014/main" id="{2F3C0E5D-891C-4599-879A-F5F13CE3BBB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4 w 105"/>
                <a:gd name="T1" fmla="*/ 17 h 17"/>
                <a:gd name="T2" fmla="*/ 105 w 105"/>
                <a:gd name="T3" fmla="*/ 8 h 17"/>
                <a:gd name="T4" fmla="*/ 0 w 105"/>
                <a:gd name="T5" fmla="*/ 0 h 17"/>
                <a:gd name="T6" fmla="*/ 104 w 105"/>
                <a:gd name="T7" fmla="*/ 17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7">
                  <a:moveTo>
                    <a:pt x="104" y="17"/>
                  </a:moveTo>
                  <a:lnTo>
                    <a:pt x="105" y="8"/>
                  </a:lnTo>
                  <a:lnTo>
                    <a:pt x="0" y="0"/>
                  </a:lnTo>
                  <a:lnTo>
                    <a:pt x="104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6" name="Freeform 448">
              <a:extLst>
                <a:ext uri="{FF2B5EF4-FFF2-40B4-BE49-F238E27FC236}">
                  <a16:creationId xmlns:a16="http://schemas.microsoft.com/office/drawing/2014/main" id="{D4A3BB43-0295-49E2-8EB1-E39684236693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0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7" name="Freeform 449">
              <a:extLst>
                <a:ext uri="{FF2B5EF4-FFF2-40B4-BE49-F238E27FC236}">
                  <a16:creationId xmlns:a16="http://schemas.microsoft.com/office/drawing/2014/main" id="{4E49FB93-0A06-4D68-99B7-12F3962F0301}"/>
                </a:ext>
              </a:extLst>
            </xdr:cNvPr>
            <xdr:cNvSpPr>
              <a:spLocks/>
            </xdr:cNvSpPr>
          </xdr:nvSpPr>
          <xdr:spPr bwMode="auto">
            <a:xfrm>
              <a:off x="1178" y="188"/>
              <a:ext cx="6" cy="9"/>
            </a:xfrm>
            <a:custGeom>
              <a:avLst/>
              <a:gdLst>
                <a:gd name="T0" fmla="*/ 0 w 350"/>
                <a:gd name="T1" fmla="*/ 526 h 526"/>
                <a:gd name="T2" fmla="*/ 263 w 350"/>
                <a:gd name="T3" fmla="*/ 526 h 526"/>
                <a:gd name="T4" fmla="*/ 350 w 350"/>
                <a:gd name="T5" fmla="*/ 439 h 526"/>
                <a:gd name="T6" fmla="*/ 350 w 350"/>
                <a:gd name="T7" fmla="*/ 88 h 526"/>
                <a:gd name="T8" fmla="*/ 263 w 350"/>
                <a:gd name="T9" fmla="*/ 0 h 526"/>
                <a:gd name="T10" fmla="*/ 0 w 350"/>
                <a:gd name="T11" fmla="*/ 0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0" h="526">
                  <a:moveTo>
                    <a:pt x="0" y="526"/>
                  </a:moveTo>
                  <a:lnTo>
                    <a:pt x="263" y="526"/>
                  </a:lnTo>
                  <a:lnTo>
                    <a:pt x="350" y="439"/>
                  </a:lnTo>
                  <a:lnTo>
                    <a:pt x="350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38" name="Line 450">
              <a:extLst>
                <a:ext uri="{FF2B5EF4-FFF2-40B4-BE49-F238E27FC236}">
                  <a16:creationId xmlns:a16="http://schemas.microsoft.com/office/drawing/2014/main" id="{7E93D567-94B0-497B-8058-27CA29345A7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0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9" name="Freeform 451">
              <a:extLst>
                <a:ext uri="{FF2B5EF4-FFF2-40B4-BE49-F238E27FC236}">
                  <a16:creationId xmlns:a16="http://schemas.microsoft.com/office/drawing/2014/main" id="{C241F894-BBFA-4875-9A4C-39BF5785407D}"/>
                </a:ext>
              </a:extLst>
            </xdr:cNvPr>
            <xdr:cNvSpPr>
              <a:spLocks/>
            </xdr:cNvSpPr>
          </xdr:nvSpPr>
          <xdr:spPr bwMode="auto">
            <a:xfrm>
              <a:off x="1190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40" name="Freeform 452">
              <a:extLst>
                <a:ext uri="{FF2B5EF4-FFF2-40B4-BE49-F238E27FC236}">
                  <a16:creationId xmlns:a16="http://schemas.microsoft.com/office/drawing/2014/main" id="{DA43DD93-BB07-4A5D-999E-4B9236ED559B}"/>
                </a:ext>
              </a:extLst>
            </xdr:cNvPr>
            <xdr:cNvSpPr>
              <a:spLocks/>
            </xdr:cNvSpPr>
          </xdr:nvSpPr>
          <xdr:spPr bwMode="auto">
            <a:xfrm>
              <a:off x="1190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6" name="Freeform 454">
            <a:extLst>
              <a:ext uri="{FF2B5EF4-FFF2-40B4-BE49-F238E27FC236}">
                <a16:creationId xmlns:a16="http://schemas.microsoft.com/office/drawing/2014/main" id="{6D5CC025-14E3-4DDE-B79E-C3DBD13242E4}"/>
              </a:ext>
            </a:extLst>
          </xdr:cNvPr>
          <xdr:cNvSpPr>
            <a:spLocks/>
          </xdr:cNvSpPr>
        </xdr:nvSpPr>
        <xdr:spPr bwMode="auto">
          <a:xfrm>
            <a:off x="1190" y="200"/>
            <a:ext cx="1" cy="2"/>
          </a:xfrm>
          <a:custGeom>
            <a:avLst/>
            <a:gdLst>
              <a:gd name="T0" fmla="*/ 53 w 53"/>
              <a:gd name="T1" fmla="*/ 14 h 106"/>
              <a:gd name="T2" fmla="*/ 0 w 53"/>
              <a:gd name="T3" fmla="*/ 0 h 106"/>
              <a:gd name="T4" fmla="*/ 0 w 53"/>
              <a:gd name="T5" fmla="*/ 106 h 106"/>
              <a:gd name="T6" fmla="*/ 53 w 53"/>
              <a:gd name="T7" fmla="*/ 14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14"/>
                </a:moveTo>
                <a:lnTo>
                  <a:pt x="0" y="0"/>
                </a:lnTo>
                <a:lnTo>
                  <a:pt x="0" y="106"/>
                </a:lnTo>
                <a:lnTo>
                  <a:pt x="53" y="14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Freeform 455">
            <a:extLst>
              <a:ext uri="{FF2B5EF4-FFF2-40B4-BE49-F238E27FC236}">
                <a16:creationId xmlns:a16="http://schemas.microsoft.com/office/drawing/2014/main" id="{E4F111F0-1BFC-4676-81E3-8A448A3465FA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53 w 53"/>
              <a:gd name="T1" fmla="*/ 0 h 106"/>
              <a:gd name="T2" fmla="*/ 0 w 53"/>
              <a:gd name="T3" fmla="*/ 14 h 106"/>
              <a:gd name="T4" fmla="*/ 53 w 53"/>
              <a:gd name="T5" fmla="*/ 106 h 106"/>
              <a:gd name="T6" fmla="*/ 53 w 53"/>
              <a:gd name="T7" fmla="*/ 0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0"/>
                </a:moveTo>
                <a:lnTo>
                  <a:pt x="0" y="14"/>
                </a:lnTo>
                <a:lnTo>
                  <a:pt x="53" y="106"/>
                </a:lnTo>
                <a:lnTo>
                  <a:pt x="53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" name="Freeform 456">
            <a:extLst>
              <a:ext uri="{FF2B5EF4-FFF2-40B4-BE49-F238E27FC236}">
                <a16:creationId xmlns:a16="http://schemas.microsoft.com/office/drawing/2014/main" id="{58CA9FD1-E0CF-4E88-8A4B-9944C4F2A4FF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38 w 91"/>
              <a:gd name="T1" fmla="*/ 0 h 92"/>
              <a:gd name="T2" fmla="*/ 0 w 91"/>
              <a:gd name="T3" fmla="*/ 39 h 92"/>
              <a:gd name="T4" fmla="*/ 91 w 91"/>
              <a:gd name="T5" fmla="*/ 92 h 92"/>
              <a:gd name="T6" fmla="*/ 38 w 91"/>
              <a:gd name="T7" fmla="*/ 0 h 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2">
                <a:moveTo>
                  <a:pt x="38" y="0"/>
                </a:moveTo>
                <a:lnTo>
                  <a:pt x="0" y="39"/>
                </a:lnTo>
                <a:lnTo>
                  <a:pt x="91" y="92"/>
                </a:lnTo>
                <a:lnTo>
                  <a:pt x="38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Freeform 457">
            <a:extLst>
              <a:ext uri="{FF2B5EF4-FFF2-40B4-BE49-F238E27FC236}">
                <a16:creationId xmlns:a16="http://schemas.microsoft.com/office/drawing/2014/main" id="{FD132ADC-D274-426E-9656-D8375E118C59}"/>
              </a:ext>
            </a:extLst>
          </xdr:cNvPr>
          <xdr:cNvSpPr>
            <a:spLocks/>
          </xdr:cNvSpPr>
        </xdr:nvSpPr>
        <xdr:spPr bwMode="auto">
          <a:xfrm>
            <a:off x="1188" y="201"/>
            <a:ext cx="2" cy="1"/>
          </a:xfrm>
          <a:custGeom>
            <a:avLst/>
            <a:gdLst>
              <a:gd name="T0" fmla="*/ 15 w 106"/>
              <a:gd name="T1" fmla="*/ 0 h 53"/>
              <a:gd name="T2" fmla="*/ 0 w 106"/>
              <a:gd name="T3" fmla="*/ 53 h 53"/>
              <a:gd name="T4" fmla="*/ 106 w 106"/>
              <a:gd name="T5" fmla="*/ 53 h 53"/>
              <a:gd name="T6" fmla="*/ 15 w 106"/>
              <a:gd name="T7" fmla="*/ 0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3">
                <a:moveTo>
                  <a:pt x="15" y="0"/>
                </a:moveTo>
                <a:lnTo>
                  <a:pt x="0" y="53"/>
                </a:lnTo>
                <a:lnTo>
                  <a:pt x="106" y="53"/>
                </a:lnTo>
                <a:lnTo>
                  <a:pt x="15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" name="Freeform 458">
            <a:extLst>
              <a:ext uri="{FF2B5EF4-FFF2-40B4-BE49-F238E27FC236}">
                <a16:creationId xmlns:a16="http://schemas.microsoft.com/office/drawing/2014/main" id="{D04E814B-6939-4156-8C9A-197D0961040F}"/>
              </a:ext>
            </a:extLst>
          </xdr:cNvPr>
          <xdr:cNvSpPr>
            <a:spLocks/>
          </xdr:cNvSpPr>
        </xdr:nvSpPr>
        <xdr:spPr bwMode="auto">
          <a:xfrm>
            <a:off x="1188" y="202"/>
            <a:ext cx="2" cy="1"/>
          </a:xfrm>
          <a:custGeom>
            <a:avLst/>
            <a:gdLst>
              <a:gd name="T0" fmla="*/ 0 w 106"/>
              <a:gd name="T1" fmla="*/ 0 h 52"/>
              <a:gd name="T2" fmla="*/ 15 w 106"/>
              <a:gd name="T3" fmla="*/ 52 h 52"/>
              <a:gd name="T4" fmla="*/ 106 w 106"/>
              <a:gd name="T5" fmla="*/ 0 h 52"/>
              <a:gd name="T6" fmla="*/ 0 w 106"/>
              <a:gd name="T7" fmla="*/ 0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2">
                <a:moveTo>
                  <a:pt x="0" y="0"/>
                </a:moveTo>
                <a:lnTo>
                  <a:pt x="15" y="52"/>
                </a:lnTo>
                <a:lnTo>
                  <a:pt x="106" y="0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" name="Freeform 459">
            <a:extLst>
              <a:ext uri="{FF2B5EF4-FFF2-40B4-BE49-F238E27FC236}">
                <a16:creationId xmlns:a16="http://schemas.microsoft.com/office/drawing/2014/main" id="{9161846B-719C-4C89-8087-45D532F808BF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1"/>
          </a:xfrm>
          <a:custGeom>
            <a:avLst/>
            <a:gdLst>
              <a:gd name="T0" fmla="*/ 0 w 91"/>
              <a:gd name="T1" fmla="*/ 52 h 91"/>
              <a:gd name="T2" fmla="*/ 38 w 91"/>
              <a:gd name="T3" fmla="*/ 91 h 91"/>
              <a:gd name="T4" fmla="*/ 91 w 91"/>
              <a:gd name="T5" fmla="*/ 0 h 91"/>
              <a:gd name="T6" fmla="*/ 0 w 91"/>
              <a:gd name="T7" fmla="*/ 52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0" y="52"/>
                </a:moveTo>
                <a:lnTo>
                  <a:pt x="38" y="91"/>
                </a:lnTo>
                <a:lnTo>
                  <a:pt x="91" y="0"/>
                </a:lnTo>
                <a:lnTo>
                  <a:pt x="0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" name="Freeform 460">
            <a:extLst>
              <a:ext uri="{FF2B5EF4-FFF2-40B4-BE49-F238E27FC236}">
                <a16:creationId xmlns:a16="http://schemas.microsoft.com/office/drawing/2014/main" id="{36AA4862-3038-4662-96D6-17FF718CE111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2"/>
          </a:xfrm>
          <a:custGeom>
            <a:avLst/>
            <a:gdLst>
              <a:gd name="T0" fmla="*/ 0 w 53"/>
              <a:gd name="T1" fmla="*/ 91 h 105"/>
              <a:gd name="T2" fmla="*/ 53 w 53"/>
              <a:gd name="T3" fmla="*/ 105 h 105"/>
              <a:gd name="T4" fmla="*/ 53 w 53"/>
              <a:gd name="T5" fmla="*/ 0 h 105"/>
              <a:gd name="T6" fmla="*/ 0 w 53"/>
              <a:gd name="T7" fmla="*/ 9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91"/>
                </a:moveTo>
                <a:lnTo>
                  <a:pt x="53" y="105"/>
                </a:lnTo>
                <a:lnTo>
                  <a:pt x="53" y="0"/>
                </a:lnTo>
                <a:lnTo>
                  <a:pt x="0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" name="Freeform 461">
            <a:extLst>
              <a:ext uri="{FF2B5EF4-FFF2-40B4-BE49-F238E27FC236}">
                <a16:creationId xmlns:a16="http://schemas.microsoft.com/office/drawing/2014/main" id="{1A528032-DF99-4197-AE74-958AD7DEC2C1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1" cy="2"/>
          </a:xfrm>
          <a:custGeom>
            <a:avLst/>
            <a:gdLst>
              <a:gd name="T0" fmla="*/ 0 w 53"/>
              <a:gd name="T1" fmla="*/ 105 h 105"/>
              <a:gd name="T2" fmla="*/ 53 w 53"/>
              <a:gd name="T3" fmla="*/ 91 h 105"/>
              <a:gd name="T4" fmla="*/ 0 w 53"/>
              <a:gd name="T5" fmla="*/ 0 h 105"/>
              <a:gd name="T6" fmla="*/ 0 w 53"/>
              <a:gd name="T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105"/>
                </a:moveTo>
                <a:lnTo>
                  <a:pt x="53" y="91"/>
                </a:lnTo>
                <a:lnTo>
                  <a:pt x="0" y="0"/>
                </a:lnTo>
                <a:lnTo>
                  <a:pt x="0" y="105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4" name="Freeform 462">
            <a:extLst>
              <a:ext uri="{FF2B5EF4-FFF2-40B4-BE49-F238E27FC236}">
                <a16:creationId xmlns:a16="http://schemas.microsoft.com/office/drawing/2014/main" id="{D4728DA0-7E8D-4DB8-A383-17C4A52F664E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53 w 91"/>
              <a:gd name="T1" fmla="*/ 91 h 91"/>
              <a:gd name="T2" fmla="*/ 91 w 91"/>
              <a:gd name="T3" fmla="*/ 52 h 91"/>
              <a:gd name="T4" fmla="*/ 0 w 91"/>
              <a:gd name="T5" fmla="*/ 0 h 91"/>
              <a:gd name="T6" fmla="*/ 53 w 91"/>
              <a:gd name="T7" fmla="*/ 91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53" y="91"/>
                </a:moveTo>
                <a:lnTo>
                  <a:pt x="91" y="52"/>
                </a:lnTo>
                <a:lnTo>
                  <a:pt x="0" y="0"/>
                </a:lnTo>
                <a:lnTo>
                  <a:pt x="53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" name="Freeform 463">
            <a:extLst>
              <a:ext uri="{FF2B5EF4-FFF2-40B4-BE49-F238E27FC236}">
                <a16:creationId xmlns:a16="http://schemas.microsoft.com/office/drawing/2014/main" id="{4428B09F-2E97-4D51-A1B2-56FECE996B0F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91 w 105"/>
              <a:gd name="T1" fmla="*/ 52 h 52"/>
              <a:gd name="T2" fmla="*/ 105 w 105"/>
              <a:gd name="T3" fmla="*/ 0 h 52"/>
              <a:gd name="T4" fmla="*/ 0 w 105"/>
              <a:gd name="T5" fmla="*/ 0 h 52"/>
              <a:gd name="T6" fmla="*/ 91 w 105"/>
              <a:gd name="T7" fmla="*/ 52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5" h="52">
                <a:moveTo>
                  <a:pt x="91" y="52"/>
                </a:moveTo>
                <a:lnTo>
                  <a:pt x="105" y="0"/>
                </a:lnTo>
                <a:lnTo>
                  <a:pt x="0" y="0"/>
                </a:lnTo>
                <a:lnTo>
                  <a:pt x="91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" name="Line 464">
            <a:extLst>
              <a:ext uri="{FF2B5EF4-FFF2-40B4-BE49-F238E27FC236}">
                <a16:creationId xmlns:a16="http://schemas.microsoft.com/office/drawing/2014/main" id="{D5484E17-DDCC-4AA9-9EF6-0221CC439505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465">
            <a:extLst>
              <a:ext uri="{FF2B5EF4-FFF2-40B4-BE49-F238E27FC236}">
                <a16:creationId xmlns:a16="http://schemas.microsoft.com/office/drawing/2014/main" id="{C139FF59-FD8D-45B4-8285-E5AA91868DF9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466">
            <a:extLst>
              <a:ext uri="{FF2B5EF4-FFF2-40B4-BE49-F238E27FC236}">
                <a16:creationId xmlns:a16="http://schemas.microsoft.com/office/drawing/2014/main" id="{84FC7595-808F-41C5-8880-165531192A94}"/>
              </a:ext>
            </a:extLst>
          </xdr:cNvPr>
          <xdr:cNvSpPr>
            <a:spLocks noChangeShapeType="1"/>
          </xdr:cNvSpPr>
        </xdr:nvSpPr>
        <xdr:spPr bwMode="auto">
          <a:xfrm>
            <a:off x="842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Freeform 467">
            <a:extLst>
              <a:ext uri="{FF2B5EF4-FFF2-40B4-BE49-F238E27FC236}">
                <a16:creationId xmlns:a16="http://schemas.microsoft.com/office/drawing/2014/main" id="{721E8A92-FBF1-49B0-A7DB-BB1294117CB5}"/>
              </a:ext>
            </a:extLst>
          </xdr:cNvPr>
          <xdr:cNvSpPr>
            <a:spLocks/>
          </xdr:cNvSpPr>
        </xdr:nvSpPr>
        <xdr:spPr bwMode="auto">
          <a:xfrm>
            <a:off x="833" y="268"/>
            <a:ext cx="9" cy="2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" name="Freeform 468">
            <a:extLst>
              <a:ext uri="{FF2B5EF4-FFF2-40B4-BE49-F238E27FC236}">
                <a16:creationId xmlns:a16="http://schemas.microsoft.com/office/drawing/2014/main" id="{AB22E344-1BBB-4784-95D7-BF86325DCEBC}"/>
              </a:ext>
            </a:extLst>
          </xdr:cNvPr>
          <xdr:cNvSpPr>
            <a:spLocks/>
          </xdr:cNvSpPr>
        </xdr:nvSpPr>
        <xdr:spPr bwMode="auto">
          <a:xfrm>
            <a:off x="922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1" name="Line 474">
            <a:extLst>
              <a:ext uri="{FF2B5EF4-FFF2-40B4-BE49-F238E27FC236}">
                <a16:creationId xmlns:a16="http://schemas.microsoft.com/office/drawing/2014/main" id="{B99E5432-FEAA-46C4-9801-BFC3F0C8771E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75">
            <a:extLst>
              <a:ext uri="{FF2B5EF4-FFF2-40B4-BE49-F238E27FC236}">
                <a16:creationId xmlns:a16="http://schemas.microsoft.com/office/drawing/2014/main" id="{AD1069C7-634F-4F3B-BCB9-3B18021BD64F}"/>
              </a:ext>
            </a:extLst>
          </xdr:cNvPr>
          <xdr:cNvSpPr>
            <a:spLocks noChangeShapeType="1"/>
          </xdr:cNvSpPr>
        </xdr:nvSpPr>
        <xdr:spPr bwMode="auto">
          <a:xfrm>
            <a:off x="1029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76">
            <a:extLst>
              <a:ext uri="{FF2B5EF4-FFF2-40B4-BE49-F238E27FC236}">
                <a16:creationId xmlns:a16="http://schemas.microsoft.com/office/drawing/2014/main" id="{0193F6C2-F158-44D5-9C4F-765982078BD8}"/>
              </a:ext>
            </a:extLst>
          </xdr:cNvPr>
          <xdr:cNvSpPr>
            <a:spLocks noChangeShapeType="1"/>
          </xdr:cNvSpPr>
        </xdr:nvSpPr>
        <xdr:spPr bwMode="auto">
          <a:xfrm>
            <a:off x="940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Freeform 477">
            <a:extLst>
              <a:ext uri="{FF2B5EF4-FFF2-40B4-BE49-F238E27FC236}">
                <a16:creationId xmlns:a16="http://schemas.microsoft.com/office/drawing/2014/main" id="{DF067E78-240E-42F8-A84B-8DB2BAB68381}"/>
              </a:ext>
            </a:extLst>
          </xdr:cNvPr>
          <xdr:cNvSpPr>
            <a:spLocks/>
          </xdr:cNvSpPr>
        </xdr:nvSpPr>
        <xdr:spPr bwMode="auto">
          <a:xfrm>
            <a:off x="931" y="268"/>
            <a:ext cx="9" cy="2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8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8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5" name="Freeform 478">
            <a:extLst>
              <a:ext uri="{FF2B5EF4-FFF2-40B4-BE49-F238E27FC236}">
                <a16:creationId xmlns:a16="http://schemas.microsoft.com/office/drawing/2014/main" id="{9996E123-A08A-4DCF-9B6E-F3EABB7FD360}"/>
              </a:ext>
            </a:extLst>
          </xdr:cNvPr>
          <xdr:cNvSpPr>
            <a:spLocks/>
          </xdr:cNvSpPr>
        </xdr:nvSpPr>
        <xdr:spPr bwMode="auto">
          <a:xfrm>
            <a:off x="1020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6" name="Line 484">
            <a:extLst>
              <a:ext uri="{FF2B5EF4-FFF2-40B4-BE49-F238E27FC236}">
                <a16:creationId xmlns:a16="http://schemas.microsoft.com/office/drawing/2014/main" id="{E3133B6C-C3B7-46EA-BE57-51CCAC1A7D3A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89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485">
            <a:extLst>
              <a:ext uri="{FF2B5EF4-FFF2-40B4-BE49-F238E27FC236}">
                <a16:creationId xmlns:a16="http://schemas.microsoft.com/office/drawing/2014/main" id="{507CA00C-074C-46A6-81E0-D87935A25273}"/>
              </a:ext>
            </a:extLst>
          </xdr:cNvPr>
          <xdr:cNvSpPr>
            <a:spLocks noChangeShapeType="1"/>
          </xdr:cNvSpPr>
        </xdr:nvSpPr>
        <xdr:spPr bwMode="auto">
          <a:xfrm>
            <a:off x="1190" y="299"/>
            <a:ext cx="0" cy="3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86">
            <a:extLst>
              <a:ext uri="{FF2B5EF4-FFF2-40B4-BE49-F238E27FC236}">
                <a16:creationId xmlns:a16="http://schemas.microsoft.com/office/drawing/2014/main" id="{B4A8E2ED-651C-474A-9736-820B100DD109}"/>
              </a:ext>
            </a:extLst>
          </xdr:cNvPr>
          <xdr:cNvSpPr>
            <a:spLocks noChangeShapeType="1"/>
          </xdr:cNvSpPr>
        </xdr:nvSpPr>
        <xdr:spPr bwMode="auto">
          <a:xfrm>
            <a:off x="842" y="325"/>
            <a:ext cx="339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Freeform 487">
            <a:extLst>
              <a:ext uri="{FF2B5EF4-FFF2-40B4-BE49-F238E27FC236}">
                <a16:creationId xmlns:a16="http://schemas.microsoft.com/office/drawing/2014/main" id="{768D686B-213B-4ABC-B107-99FBDB3B247D}"/>
              </a:ext>
            </a:extLst>
          </xdr:cNvPr>
          <xdr:cNvSpPr>
            <a:spLocks/>
          </xdr:cNvSpPr>
        </xdr:nvSpPr>
        <xdr:spPr bwMode="auto">
          <a:xfrm>
            <a:off x="833" y="323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" name="Freeform 488">
            <a:extLst>
              <a:ext uri="{FF2B5EF4-FFF2-40B4-BE49-F238E27FC236}">
                <a16:creationId xmlns:a16="http://schemas.microsoft.com/office/drawing/2014/main" id="{8AB84880-E841-4E22-85F2-C49BC1D11ABA}"/>
              </a:ext>
            </a:extLst>
          </xdr:cNvPr>
          <xdr:cNvSpPr>
            <a:spLocks/>
          </xdr:cNvSpPr>
        </xdr:nvSpPr>
        <xdr:spPr bwMode="auto">
          <a:xfrm>
            <a:off x="1181" y="323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" name="Line 494">
            <a:extLst>
              <a:ext uri="{FF2B5EF4-FFF2-40B4-BE49-F238E27FC236}">
                <a16:creationId xmlns:a16="http://schemas.microsoft.com/office/drawing/2014/main" id="{682B3013-C925-488B-BB02-8FE17A365734}"/>
              </a:ext>
            </a:extLst>
          </xdr:cNvPr>
          <xdr:cNvSpPr>
            <a:spLocks noChangeShapeType="1"/>
          </xdr:cNvSpPr>
        </xdr:nvSpPr>
        <xdr:spPr bwMode="auto">
          <a:xfrm flipV="1">
            <a:off x="1029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495">
            <a:extLst>
              <a:ext uri="{FF2B5EF4-FFF2-40B4-BE49-F238E27FC236}">
                <a16:creationId xmlns:a16="http://schemas.microsoft.com/office/drawing/2014/main" id="{11B17402-A5BC-499E-80A6-43C88D422E9F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496">
            <a:extLst>
              <a:ext uri="{FF2B5EF4-FFF2-40B4-BE49-F238E27FC236}">
                <a16:creationId xmlns:a16="http://schemas.microsoft.com/office/drawing/2014/main" id="{24A3CCD5-CC12-4C40-8C21-F060F70B82DB}"/>
              </a:ext>
            </a:extLst>
          </xdr:cNvPr>
          <xdr:cNvSpPr>
            <a:spLocks noChangeShapeType="1"/>
          </xdr:cNvSpPr>
        </xdr:nvSpPr>
        <xdr:spPr bwMode="auto">
          <a:xfrm>
            <a:off x="1038" y="86"/>
            <a:ext cx="6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Freeform 497">
            <a:extLst>
              <a:ext uri="{FF2B5EF4-FFF2-40B4-BE49-F238E27FC236}">
                <a16:creationId xmlns:a16="http://schemas.microsoft.com/office/drawing/2014/main" id="{CD4A65E7-8D8D-4439-BD0F-0299F5985AB0}"/>
              </a:ext>
            </a:extLst>
          </xdr:cNvPr>
          <xdr:cNvSpPr>
            <a:spLocks/>
          </xdr:cNvSpPr>
        </xdr:nvSpPr>
        <xdr:spPr bwMode="auto">
          <a:xfrm>
            <a:off x="1029" y="84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7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7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" name="Freeform 498">
            <a:extLst>
              <a:ext uri="{FF2B5EF4-FFF2-40B4-BE49-F238E27FC236}">
                <a16:creationId xmlns:a16="http://schemas.microsoft.com/office/drawing/2014/main" id="{DB01805B-E10A-4829-8818-72AD8A28AB0D}"/>
              </a:ext>
            </a:extLst>
          </xdr:cNvPr>
          <xdr:cNvSpPr>
            <a:spLocks/>
          </xdr:cNvSpPr>
        </xdr:nvSpPr>
        <xdr:spPr bwMode="auto">
          <a:xfrm>
            <a:off x="1103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" name="Line 504">
            <a:extLst>
              <a:ext uri="{FF2B5EF4-FFF2-40B4-BE49-F238E27FC236}">
                <a16:creationId xmlns:a16="http://schemas.microsoft.com/office/drawing/2014/main" id="{F780ECB6-D669-40F2-8673-A7E3DC1E4F7F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505">
            <a:extLst>
              <a:ext uri="{FF2B5EF4-FFF2-40B4-BE49-F238E27FC236}">
                <a16:creationId xmlns:a16="http://schemas.microsoft.com/office/drawing/2014/main" id="{20267CFA-5D9A-42CF-AF3F-3C16966EB8F6}"/>
              </a:ext>
            </a:extLst>
          </xdr:cNvPr>
          <xdr:cNvSpPr>
            <a:spLocks noChangeShapeType="1"/>
          </xdr:cNvSpPr>
        </xdr:nvSpPr>
        <xdr:spPr bwMode="auto">
          <a:xfrm flipV="1">
            <a:off x="1190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506">
            <a:extLst>
              <a:ext uri="{FF2B5EF4-FFF2-40B4-BE49-F238E27FC236}">
                <a16:creationId xmlns:a16="http://schemas.microsoft.com/office/drawing/2014/main" id="{ACA03FEE-43AA-442F-B569-B3B1D4157855}"/>
              </a:ext>
            </a:extLst>
          </xdr:cNvPr>
          <xdr:cNvSpPr>
            <a:spLocks noChangeShapeType="1"/>
          </xdr:cNvSpPr>
        </xdr:nvSpPr>
        <xdr:spPr bwMode="auto">
          <a:xfrm>
            <a:off x="1121" y="86"/>
            <a:ext cx="6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Freeform 507">
            <a:extLst>
              <a:ext uri="{FF2B5EF4-FFF2-40B4-BE49-F238E27FC236}">
                <a16:creationId xmlns:a16="http://schemas.microsoft.com/office/drawing/2014/main" id="{C91EED1A-4C94-4F11-91BD-3C94E4E20D10}"/>
              </a:ext>
            </a:extLst>
          </xdr:cNvPr>
          <xdr:cNvSpPr>
            <a:spLocks/>
          </xdr:cNvSpPr>
        </xdr:nvSpPr>
        <xdr:spPr bwMode="auto">
          <a:xfrm>
            <a:off x="1112" y="84"/>
            <a:ext cx="9" cy="3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7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7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" name="Freeform 508">
            <a:extLst>
              <a:ext uri="{FF2B5EF4-FFF2-40B4-BE49-F238E27FC236}">
                <a16:creationId xmlns:a16="http://schemas.microsoft.com/office/drawing/2014/main" id="{F847D27D-2268-41FA-A0DC-95A964F370C9}"/>
              </a:ext>
            </a:extLst>
          </xdr:cNvPr>
          <xdr:cNvSpPr>
            <a:spLocks/>
          </xdr:cNvSpPr>
        </xdr:nvSpPr>
        <xdr:spPr bwMode="auto">
          <a:xfrm>
            <a:off x="1181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" name="Line 514">
            <a:extLst>
              <a:ext uri="{FF2B5EF4-FFF2-40B4-BE49-F238E27FC236}">
                <a16:creationId xmlns:a16="http://schemas.microsoft.com/office/drawing/2014/main" id="{FA4DBF37-93C7-4447-B3CE-071E97D025E9}"/>
              </a:ext>
            </a:extLst>
          </xdr:cNvPr>
          <xdr:cNvSpPr>
            <a:spLocks noChangeShapeType="1"/>
          </xdr:cNvSpPr>
        </xdr:nvSpPr>
        <xdr:spPr bwMode="auto">
          <a:xfrm>
            <a:off x="1226" y="107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15">
            <a:extLst>
              <a:ext uri="{FF2B5EF4-FFF2-40B4-BE49-F238E27FC236}">
                <a16:creationId xmlns:a16="http://schemas.microsoft.com/office/drawing/2014/main" id="{8C6290A3-1488-4358-97DD-173DC0368FA0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516">
            <a:extLst>
              <a:ext uri="{FF2B5EF4-FFF2-40B4-BE49-F238E27FC236}">
                <a16:creationId xmlns:a16="http://schemas.microsoft.com/office/drawing/2014/main" id="{952403E7-4FFC-4CBF-BFB2-EC0E19CDEE32}"/>
              </a:ext>
            </a:extLst>
          </xdr:cNvPr>
          <xdr:cNvSpPr>
            <a:spLocks noChangeShapeType="1"/>
          </xdr:cNvSpPr>
        </xdr:nvSpPr>
        <xdr:spPr bwMode="auto">
          <a:xfrm>
            <a:off x="1240" y="116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517">
            <a:extLst>
              <a:ext uri="{FF2B5EF4-FFF2-40B4-BE49-F238E27FC236}">
                <a16:creationId xmlns:a16="http://schemas.microsoft.com/office/drawing/2014/main" id="{250C4962-E90B-4F15-91F5-FAABA543D53F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16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518">
            <a:extLst>
              <a:ext uri="{FF2B5EF4-FFF2-40B4-BE49-F238E27FC236}">
                <a16:creationId xmlns:a16="http://schemas.microsoft.com/office/drawing/2014/main" id="{7834D9C5-BA65-4CD1-81BA-7236AB9647ED}"/>
              </a:ext>
            </a:extLst>
          </xdr:cNvPr>
          <xdr:cNvSpPr>
            <a:spLocks/>
          </xdr:cNvSpPr>
        </xdr:nvSpPr>
        <xdr:spPr bwMode="auto">
          <a:xfrm>
            <a:off x="1238" y="107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" name="Freeform 519">
            <a:extLst>
              <a:ext uri="{FF2B5EF4-FFF2-40B4-BE49-F238E27FC236}">
                <a16:creationId xmlns:a16="http://schemas.microsoft.com/office/drawing/2014/main" id="{877954F6-A536-45C4-909D-88572BBBC3AF}"/>
              </a:ext>
            </a:extLst>
          </xdr:cNvPr>
          <xdr:cNvSpPr>
            <a:spLocks/>
          </xdr:cNvSpPr>
        </xdr:nvSpPr>
        <xdr:spPr bwMode="auto">
          <a:xfrm>
            <a:off x="1238" y="193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7" name="Freeform 520">
            <a:extLst>
              <a:ext uri="{FF2B5EF4-FFF2-40B4-BE49-F238E27FC236}">
                <a16:creationId xmlns:a16="http://schemas.microsoft.com/office/drawing/2014/main" id="{08CB04FB-2768-4C9D-BF12-98C7ADFEC57A}"/>
              </a:ext>
            </a:extLst>
          </xdr:cNvPr>
          <xdr:cNvSpPr>
            <a:spLocks/>
          </xdr:cNvSpPr>
        </xdr:nvSpPr>
        <xdr:spPr bwMode="auto">
          <a:xfrm>
            <a:off x="1208" y="153"/>
            <a:ext cx="3" cy="5"/>
          </a:xfrm>
          <a:custGeom>
            <a:avLst/>
            <a:gdLst>
              <a:gd name="T0" fmla="*/ 140 w 210"/>
              <a:gd name="T1" fmla="*/ 280 h 280"/>
              <a:gd name="T2" fmla="*/ 70 w 210"/>
              <a:gd name="T3" fmla="*/ 280 h 280"/>
              <a:gd name="T4" fmla="*/ 0 w 210"/>
              <a:gd name="T5" fmla="*/ 210 h 280"/>
              <a:gd name="T6" fmla="*/ 0 w 210"/>
              <a:gd name="T7" fmla="*/ 70 h 280"/>
              <a:gd name="T8" fmla="*/ 70 w 210"/>
              <a:gd name="T9" fmla="*/ 0 h 280"/>
              <a:gd name="T10" fmla="*/ 140 w 210"/>
              <a:gd name="T11" fmla="*/ 0 h 280"/>
              <a:gd name="T12" fmla="*/ 210 w 210"/>
              <a:gd name="T13" fmla="*/ 70 h 280"/>
              <a:gd name="T14" fmla="*/ 210 w 210"/>
              <a:gd name="T15" fmla="*/ 210 h 280"/>
              <a:gd name="T16" fmla="*/ 140 w 21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0">
                <a:moveTo>
                  <a:pt x="14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10" y="70"/>
                </a:lnTo>
                <a:lnTo>
                  <a:pt x="210" y="210"/>
                </a:lnTo>
                <a:lnTo>
                  <a:pt x="140" y="28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Line 521">
            <a:extLst>
              <a:ext uri="{FF2B5EF4-FFF2-40B4-BE49-F238E27FC236}">
                <a16:creationId xmlns:a16="http://schemas.microsoft.com/office/drawing/2014/main" id="{FFD6D0ED-A74E-4064-856C-2F927B486647}"/>
              </a:ext>
            </a:extLst>
          </xdr:cNvPr>
          <xdr:cNvSpPr>
            <a:spLocks noChangeShapeType="1"/>
          </xdr:cNvSpPr>
        </xdr:nvSpPr>
        <xdr:spPr bwMode="auto">
          <a:xfrm>
            <a:off x="1211" y="157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522">
            <a:extLst>
              <a:ext uri="{FF2B5EF4-FFF2-40B4-BE49-F238E27FC236}">
                <a16:creationId xmlns:a16="http://schemas.microsoft.com/office/drawing/2014/main" id="{6C82ABC4-003E-415D-B680-EE779DEE34B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157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Freeform 523">
            <a:extLst>
              <a:ext uri="{FF2B5EF4-FFF2-40B4-BE49-F238E27FC236}">
                <a16:creationId xmlns:a16="http://schemas.microsoft.com/office/drawing/2014/main" id="{5B39D953-A9CC-4144-913A-F0EE07179525}"/>
              </a:ext>
            </a:extLst>
          </xdr:cNvPr>
          <xdr:cNvSpPr>
            <a:spLocks/>
          </xdr:cNvSpPr>
        </xdr:nvSpPr>
        <xdr:spPr bwMode="auto">
          <a:xfrm>
            <a:off x="1217" y="151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1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1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Line 524">
            <a:extLst>
              <a:ext uri="{FF2B5EF4-FFF2-40B4-BE49-F238E27FC236}">
                <a16:creationId xmlns:a16="http://schemas.microsoft.com/office/drawing/2014/main" id="{E1F9B4A0-782F-4E74-97D4-50C599854044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151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Freeform 525">
            <a:extLst>
              <a:ext uri="{FF2B5EF4-FFF2-40B4-BE49-F238E27FC236}">
                <a16:creationId xmlns:a16="http://schemas.microsoft.com/office/drawing/2014/main" id="{34095E67-3AF0-41D4-898E-135F12BE7017}"/>
              </a:ext>
            </a:extLst>
          </xdr:cNvPr>
          <xdr:cNvSpPr>
            <a:spLocks/>
          </xdr:cNvSpPr>
        </xdr:nvSpPr>
        <xdr:spPr bwMode="auto">
          <a:xfrm>
            <a:off x="1231" y="151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1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1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Line 526">
            <a:extLst>
              <a:ext uri="{FF2B5EF4-FFF2-40B4-BE49-F238E27FC236}">
                <a16:creationId xmlns:a16="http://schemas.microsoft.com/office/drawing/2014/main" id="{39C3A752-83DA-458C-9D73-2027FFFE76F6}"/>
              </a:ext>
            </a:extLst>
          </xdr:cNvPr>
          <xdr:cNvSpPr>
            <a:spLocks noChangeShapeType="1"/>
          </xdr:cNvSpPr>
        </xdr:nvSpPr>
        <xdr:spPr bwMode="auto">
          <a:xfrm>
            <a:off x="1239" y="153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527">
            <a:extLst>
              <a:ext uri="{FF2B5EF4-FFF2-40B4-BE49-F238E27FC236}">
                <a16:creationId xmlns:a16="http://schemas.microsoft.com/office/drawing/2014/main" id="{AD8DA250-4029-4187-9D20-EE4F2C18D819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156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534">
            <a:extLst>
              <a:ext uri="{FF2B5EF4-FFF2-40B4-BE49-F238E27FC236}">
                <a16:creationId xmlns:a16="http://schemas.microsoft.com/office/drawing/2014/main" id="{0BA5E279-1E04-4C1E-A1F9-1941D4FF00E9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535">
            <a:extLst>
              <a:ext uri="{FF2B5EF4-FFF2-40B4-BE49-F238E27FC236}">
                <a16:creationId xmlns:a16="http://schemas.microsoft.com/office/drawing/2014/main" id="{925664D5-838B-4413-BB10-A7AD57B05F0D}"/>
              </a:ext>
            </a:extLst>
          </xdr:cNvPr>
          <xdr:cNvSpPr>
            <a:spLocks noChangeShapeType="1"/>
          </xdr:cNvSpPr>
        </xdr:nvSpPr>
        <xdr:spPr bwMode="auto">
          <a:xfrm>
            <a:off x="1226" y="296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536">
            <a:extLst>
              <a:ext uri="{FF2B5EF4-FFF2-40B4-BE49-F238E27FC236}">
                <a16:creationId xmlns:a16="http://schemas.microsoft.com/office/drawing/2014/main" id="{03CC5BA7-A0DC-4451-9CAF-B736BE15CA44}"/>
              </a:ext>
            </a:extLst>
          </xdr:cNvPr>
          <xdr:cNvSpPr>
            <a:spLocks noChangeShapeType="1"/>
          </xdr:cNvSpPr>
        </xdr:nvSpPr>
        <xdr:spPr bwMode="auto">
          <a:xfrm>
            <a:off x="1240" y="211"/>
            <a:ext cx="0" cy="3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537">
            <a:extLst>
              <a:ext uri="{FF2B5EF4-FFF2-40B4-BE49-F238E27FC236}">
                <a16:creationId xmlns:a16="http://schemas.microsoft.com/office/drawing/2014/main" id="{C77E76D5-E631-4349-9619-44A803023EE4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255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Freeform 538">
            <a:extLst>
              <a:ext uri="{FF2B5EF4-FFF2-40B4-BE49-F238E27FC236}">
                <a16:creationId xmlns:a16="http://schemas.microsoft.com/office/drawing/2014/main" id="{7A83569B-4994-4A70-8C46-958BC47E813D}"/>
              </a:ext>
            </a:extLst>
          </xdr:cNvPr>
          <xdr:cNvSpPr>
            <a:spLocks/>
          </xdr:cNvSpPr>
        </xdr:nvSpPr>
        <xdr:spPr bwMode="auto">
          <a:xfrm>
            <a:off x="123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0" name="Freeform 539">
            <a:extLst>
              <a:ext uri="{FF2B5EF4-FFF2-40B4-BE49-F238E27FC236}">
                <a16:creationId xmlns:a16="http://schemas.microsoft.com/office/drawing/2014/main" id="{76CE89AC-04B6-4FF8-B7E3-A42D8AA4588D}"/>
              </a:ext>
            </a:extLst>
          </xdr:cNvPr>
          <xdr:cNvSpPr>
            <a:spLocks/>
          </xdr:cNvSpPr>
        </xdr:nvSpPr>
        <xdr:spPr bwMode="auto">
          <a:xfrm>
            <a:off x="1238" y="288"/>
            <a:ext cx="3" cy="8"/>
          </a:xfrm>
          <a:custGeom>
            <a:avLst/>
            <a:gdLst>
              <a:gd name="T0" fmla="*/ 0 w 175"/>
              <a:gd name="T1" fmla="*/ 0 h 526"/>
              <a:gd name="T2" fmla="*/ 175 w 175"/>
              <a:gd name="T3" fmla="*/ 0 h 526"/>
              <a:gd name="T4" fmla="*/ 88 w 175"/>
              <a:gd name="T5" fmla="*/ 526 h 526"/>
              <a:gd name="T6" fmla="*/ 0 w 175"/>
              <a:gd name="T7" fmla="*/ 0 h 5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6">
                <a:moveTo>
                  <a:pt x="0" y="0"/>
                </a:moveTo>
                <a:lnTo>
                  <a:pt x="175" y="0"/>
                </a:lnTo>
                <a:lnTo>
                  <a:pt x="88" y="526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" name="Freeform 540">
            <a:extLst>
              <a:ext uri="{FF2B5EF4-FFF2-40B4-BE49-F238E27FC236}">
                <a16:creationId xmlns:a16="http://schemas.microsoft.com/office/drawing/2014/main" id="{D919EC49-D8A9-4A7E-A7C4-8ACE0966AACF}"/>
              </a:ext>
            </a:extLst>
          </xdr:cNvPr>
          <xdr:cNvSpPr>
            <a:spLocks/>
          </xdr:cNvSpPr>
        </xdr:nvSpPr>
        <xdr:spPr bwMode="auto">
          <a:xfrm>
            <a:off x="1208" y="248"/>
            <a:ext cx="3" cy="5"/>
          </a:xfrm>
          <a:custGeom>
            <a:avLst/>
            <a:gdLst>
              <a:gd name="T0" fmla="*/ 140 w 210"/>
              <a:gd name="T1" fmla="*/ 281 h 281"/>
              <a:gd name="T2" fmla="*/ 70 w 210"/>
              <a:gd name="T3" fmla="*/ 281 h 281"/>
              <a:gd name="T4" fmla="*/ 0 w 210"/>
              <a:gd name="T5" fmla="*/ 211 h 281"/>
              <a:gd name="T6" fmla="*/ 0 w 210"/>
              <a:gd name="T7" fmla="*/ 71 h 281"/>
              <a:gd name="T8" fmla="*/ 70 w 210"/>
              <a:gd name="T9" fmla="*/ 0 h 281"/>
              <a:gd name="T10" fmla="*/ 140 w 210"/>
              <a:gd name="T11" fmla="*/ 0 h 281"/>
              <a:gd name="T12" fmla="*/ 210 w 210"/>
              <a:gd name="T13" fmla="*/ 71 h 281"/>
              <a:gd name="T14" fmla="*/ 210 w 210"/>
              <a:gd name="T15" fmla="*/ 211 h 281"/>
              <a:gd name="T16" fmla="*/ 140 w 210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1">
                <a:moveTo>
                  <a:pt x="140" y="281"/>
                </a:moveTo>
                <a:lnTo>
                  <a:pt x="70" y="281"/>
                </a:lnTo>
                <a:lnTo>
                  <a:pt x="0" y="211"/>
                </a:lnTo>
                <a:lnTo>
                  <a:pt x="0" y="71"/>
                </a:lnTo>
                <a:lnTo>
                  <a:pt x="70" y="0"/>
                </a:lnTo>
                <a:lnTo>
                  <a:pt x="140" y="0"/>
                </a:lnTo>
                <a:lnTo>
                  <a:pt x="210" y="71"/>
                </a:lnTo>
                <a:lnTo>
                  <a:pt x="210" y="211"/>
                </a:lnTo>
                <a:lnTo>
                  <a:pt x="140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Line 541">
            <a:extLst>
              <a:ext uri="{FF2B5EF4-FFF2-40B4-BE49-F238E27FC236}">
                <a16:creationId xmlns:a16="http://schemas.microsoft.com/office/drawing/2014/main" id="{CE9691D5-EEA3-413D-A277-A78F04C15263}"/>
              </a:ext>
            </a:extLst>
          </xdr:cNvPr>
          <xdr:cNvSpPr>
            <a:spLocks noChangeShapeType="1"/>
          </xdr:cNvSpPr>
        </xdr:nvSpPr>
        <xdr:spPr bwMode="auto">
          <a:xfrm>
            <a:off x="1211" y="252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542">
            <a:extLst>
              <a:ext uri="{FF2B5EF4-FFF2-40B4-BE49-F238E27FC236}">
                <a16:creationId xmlns:a16="http://schemas.microsoft.com/office/drawing/2014/main" id="{95A1BE81-EDF9-45E9-96C3-B3A237C4D2AD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252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Freeform 543">
            <a:extLst>
              <a:ext uri="{FF2B5EF4-FFF2-40B4-BE49-F238E27FC236}">
                <a16:creationId xmlns:a16="http://schemas.microsoft.com/office/drawing/2014/main" id="{4CE9A5B6-7A9D-4E45-B2A1-C64F188B0225}"/>
              </a:ext>
            </a:extLst>
          </xdr:cNvPr>
          <xdr:cNvSpPr>
            <a:spLocks/>
          </xdr:cNvSpPr>
        </xdr:nvSpPr>
        <xdr:spPr bwMode="auto">
          <a:xfrm>
            <a:off x="1217" y="246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0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0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544">
            <a:extLst>
              <a:ext uri="{FF2B5EF4-FFF2-40B4-BE49-F238E27FC236}">
                <a16:creationId xmlns:a16="http://schemas.microsoft.com/office/drawing/2014/main" id="{674D5FF7-EF1F-4625-8E3F-592903DC36CE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246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Freeform 545">
            <a:extLst>
              <a:ext uri="{FF2B5EF4-FFF2-40B4-BE49-F238E27FC236}">
                <a16:creationId xmlns:a16="http://schemas.microsoft.com/office/drawing/2014/main" id="{2A68F476-F13C-4212-89B1-53823D7240D5}"/>
              </a:ext>
            </a:extLst>
          </xdr:cNvPr>
          <xdr:cNvSpPr>
            <a:spLocks/>
          </xdr:cNvSpPr>
        </xdr:nvSpPr>
        <xdr:spPr bwMode="auto">
          <a:xfrm>
            <a:off x="1231" y="246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0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0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7" name="Line 546">
            <a:extLst>
              <a:ext uri="{FF2B5EF4-FFF2-40B4-BE49-F238E27FC236}">
                <a16:creationId xmlns:a16="http://schemas.microsoft.com/office/drawing/2014/main" id="{74123FDF-E218-4D40-9282-9583162A5F9D}"/>
              </a:ext>
            </a:extLst>
          </xdr:cNvPr>
          <xdr:cNvSpPr>
            <a:spLocks noChangeShapeType="1"/>
          </xdr:cNvSpPr>
        </xdr:nvSpPr>
        <xdr:spPr bwMode="auto">
          <a:xfrm>
            <a:off x="1239" y="248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547">
            <a:extLst>
              <a:ext uri="{FF2B5EF4-FFF2-40B4-BE49-F238E27FC236}">
                <a16:creationId xmlns:a16="http://schemas.microsoft.com/office/drawing/2014/main" id="{F1CE2C49-DEBF-42C5-AF32-F8EF01EF3205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250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554">
            <a:extLst>
              <a:ext uri="{FF2B5EF4-FFF2-40B4-BE49-F238E27FC236}">
                <a16:creationId xmlns:a16="http://schemas.microsoft.com/office/drawing/2014/main" id="{D3D4F164-8E7A-40F2-AD23-CA768FF2B3B7}"/>
              </a:ext>
            </a:extLst>
          </xdr:cNvPr>
          <xdr:cNvSpPr>
            <a:spLocks noChangeShapeType="1"/>
          </xdr:cNvSpPr>
        </xdr:nvSpPr>
        <xdr:spPr bwMode="auto">
          <a:xfrm>
            <a:off x="1192" y="238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555">
            <a:extLst>
              <a:ext uri="{FF2B5EF4-FFF2-40B4-BE49-F238E27FC236}">
                <a16:creationId xmlns:a16="http://schemas.microsoft.com/office/drawing/2014/main" id="{C6701786-B4D6-4E07-9C07-E3FB394C178D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56">
            <a:extLst>
              <a:ext uri="{FF2B5EF4-FFF2-40B4-BE49-F238E27FC236}">
                <a16:creationId xmlns:a16="http://schemas.microsoft.com/office/drawing/2014/main" id="{E91552EB-1025-4817-9407-BDBEEE026AAE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9" y="226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57">
            <a:extLst>
              <a:ext uri="{FF2B5EF4-FFF2-40B4-BE49-F238E27FC236}">
                <a16:creationId xmlns:a16="http://schemas.microsoft.com/office/drawing/2014/main" id="{012A9488-C279-4435-AB2C-A5C70F0086D5}"/>
              </a:ext>
            </a:extLst>
          </xdr:cNvPr>
          <xdr:cNvSpPr>
            <a:spLocks noChangeShapeType="1"/>
          </xdr:cNvSpPr>
        </xdr:nvSpPr>
        <xdr:spPr bwMode="auto">
          <a:xfrm>
            <a:off x="1209" y="211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558">
            <a:extLst>
              <a:ext uri="{FF2B5EF4-FFF2-40B4-BE49-F238E27FC236}">
                <a16:creationId xmlns:a16="http://schemas.microsoft.com/office/drawing/2014/main" id="{261FEE94-D569-44E5-83D4-E25989086167}"/>
              </a:ext>
            </a:extLst>
          </xdr:cNvPr>
          <xdr:cNvSpPr>
            <a:spLocks/>
          </xdr:cNvSpPr>
        </xdr:nvSpPr>
        <xdr:spPr bwMode="auto">
          <a:xfrm>
            <a:off x="1208" y="229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4" name="Freeform 559">
            <a:extLst>
              <a:ext uri="{FF2B5EF4-FFF2-40B4-BE49-F238E27FC236}">
                <a16:creationId xmlns:a16="http://schemas.microsoft.com/office/drawing/2014/main" id="{DC83327E-2CD1-4645-9AF6-5DAFD65A05E5}"/>
              </a:ext>
            </a:extLst>
          </xdr:cNvPr>
          <xdr:cNvSpPr>
            <a:spLocks/>
          </xdr:cNvSpPr>
        </xdr:nvSpPr>
        <xdr:spPr bwMode="auto">
          <a:xfrm>
            <a:off x="120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" name="Line 564">
            <a:extLst>
              <a:ext uri="{FF2B5EF4-FFF2-40B4-BE49-F238E27FC236}">
                <a16:creationId xmlns:a16="http://schemas.microsoft.com/office/drawing/2014/main" id="{0F07C828-76E9-4383-9B68-E1849A8CB806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38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65">
            <a:extLst>
              <a:ext uri="{FF2B5EF4-FFF2-40B4-BE49-F238E27FC236}">
                <a16:creationId xmlns:a16="http://schemas.microsoft.com/office/drawing/2014/main" id="{A5627C18-2EBE-4765-8FF6-231EBB001FDD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02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66">
            <a:extLst>
              <a:ext uri="{FF2B5EF4-FFF2-40B4-BE49-F238E27FC236}">
                <a16:creationId xmlns:a16="http://schemas.microsoft.com/office/drawing/2014/main" id="{D3624ADC-26DE-4B1D-83DC-731401EB1758}"/>
              </a:ext>
            </a:extLst>
          </xdr:cNvPr>
          <xdr:cNvSpPr>
            <a:spLocks noChangeShapeType="1"/>
          </xdr:cNvSpPr>
        </xdr:nvSpPr>
        <xdr:spPr bwMode="auto">
          <a:xfrm flipV="1">
            <a:off x="793" y="228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567">
            <a:extLst>
              <a:ext uri="{FF2B5EF4-FFF2-40B4-BE49-F238E27FC236}">
                <a16:creationId xmlns:a16="http://schemas.microsoft.com/office/drawing/2014/main" id="{1439A588-1BD3-4A44-9511-45649B79E886}"/>
              </a:ext>
            </a:extLst>
          </xdr:cNvPr>
          <xdr:cNvSpPr>
            <a:spLocks noChangeShapeType="1"/>
          </xdr:cNvSpPr>
        </xdr:nvSpPr>
        <xdr:spPr bwMode="auto">
          <a:xfrm>
            <a:off x="793" y="211"/>
            <a:ext cx="0" cy="5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Freeform 568">
            <a:extLst>
              <a:ext uri="{FF2B5EF4-FFF2-40B4-BE49-F238E27FC236}">
                <a16:creationId xmlns:a16="http://schemas.microsoft.com/office/drawing/2014/main" id="{DE06DD4B-FD50-4552-B21F-965AB32C55DA}"/>
              </a:ext>
            </a:extLst>
          </xdr:cNvPr>
          <xdr:cNvSpPr>
            <a:spLocks/>
          </xdr:cNvSpPr>
        </xdr:nvSpPr>
        <xdr:spPr bwMode="auto">
          <a:xfrm>
            <a:off x="791" y="229"/>
            <a:ext cx="3" cy="9"/>
          </a:xfrm>
          <a:custGeom>
            <a:avLst/>
            <a:gdLst>
              <a:gd name="T0" fmla="*/ 0 w 176"/>
              <a:gd name="T1" fmla="*/ 0 h 527"/>
              <a:gd name="T2" fmla="*/ 176 w 176"/>
              <a:gd name="T3" fmla="*/ 0 h 527"/>
              <a:gd name="T4" fmla="*/ 89 w 176"/>
              <a:gd name="T5" fmla="*/ 527 h 527"/>
              <a:gd name="T6" fmla="*/ 0 w 176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0"/>
                </a:moveTo>
                <a:lnTo>
                  <a:pt x="176" y="0"/>
                </a:lnTo>
                <a:lnTo>
                  <a:pt x="89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0" name="Freeform 569">
            <a:extLst>
              <a:ext uri="{FF2B5EF4-FFF2-40B4-BE49-F238E27FC236}">
                <a16:creationId xmlns:a16="http://schemas.microsoft.com/office/drawing/2014/main" id="{3E32304D-27BA-4F69-A1B5-BD653CABD8CB}"/>
              </a:ext>
            </a:extLst>
          </xdr:cNvPr>
          <xdr:cNvSpPr>
            <a:spLocks/>
          </xdr:cNvSpPr>
        </xdr:nvSpPr>
        <xdr:spPr bwMode="auto">
          <a:xfrm>
            <a:off x="791" y="202"/>
            <a:ext cx="3" cy="9"/>
          </a:xfrm>
          <a:custGeom>
            <a:avLst/>
            <a:gdLst>
              <a:gd name="T0" fmla="*/ 0 w 176"/>
              <a:gd name="T1" fmla="*/ 527 h 527"/>
              <a:gd name="T2" fmla="*/ 176 w 176"/>
              <a:gd name="T3" fmla="*/ 527 h 527"/>
              <a:gd name="T4" fmla="*/ 89 w 176"/>
              <a:gd name="T5" fmla="*/ 0 h 527"/>
              <a:gd name="T6" fmla="*/ 0 w 176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527"/>
                </a:moveTo>
                <a:lnTo>
                  <a:pt x="176" y="527"/>
                </a:lnTo>
                <a:lnTo>
                  <a:pt x="89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1" name="Freeform 570">
            <a:extLst>
              <a:ext uri="{FF2B5EF4-FFF2-40B4-BE49-F238E27FC236}">
                <a16:creationId xmlns:a16="http://schemas.microsoft.com/office/drawing/2014/main" id="{507D5E9E-86A3-4995-98C9-FF8B0890464A}"/>
              </a:ext>
            </a:extLst>
          </xdr:cNvPr>
          <xdr:cNvSpPr>
            <a:spLocks/>
          </xdr:cNvSpPr>
        </xdr:nvSpPr>
        <xdr:spPr bwMode="auto">
          <a:xfrm>
            <a:off x="760" y="221"/>
            <a:ext cx="4" cy="5"/>
          </a:xfrm>
          <a:custGeom>
            <a:avLst/>
            <a:gdLst>
              <a:gd name="T0" fmla="*/ 141 w 211"/>
              <a:gd name="T1" fmla="*/ 281 h 281"/>
              <a:gd name="T2" fmla="*/ 71 w 211"/>
              <a:gd name="T3" fmla="*/ 281 h 281"/>
              <a:gd name="T4" fmla="*/ 0 w 211"/>
              <a:gd name="T5" fmla="*/ 210 h 281"/>
              <a:gd name="T6" fmla="*/ 0 w 211"/>
              <a:gd name="T7" fmla="*/ 70 h 281"/>
              <a:gd name="T8" fmla="*/ 71 w 211"/>
              <a:gd name="T9" fmla="*/ 0 h 281"/>
              <a:gd name="T10" fmla="*/ 141 w 211"/>
              <a:gd name="T11" fmla="*/ 0 h 281"/>
              <a:gd name="T12" fmla="*/ 211 w 211"/>
              <a:gd name="T13" fmla="*/ 70 h 281"/>
              <a:gd name="T14" fmla="*/ 211 w 211"/>
              <a:gd name="T15" fmla="*/ 210 h 281"/>
              <a:gd name="T16" fmla="*/ 141 w 21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1" h="281">
                <a:moveTo>
                  <a:pt x="141" y="281"/>
                </a:moveTo>
                <a:lnTo>
                  <a:pt x="71" y="281"/>
                </a:lnTo>
                <a:lnTo>
                  <a:pt x="0" y="210"/>
                </a:lnTo>
                <a:lnTo>
                  <a:pt x="0" y="70"/>
                </a:lnTo>
                <a:lnTo>
                  <a:pt x="71" y="0"/>
                </a:lnTo>
                <a:lnTo>
                  <a:pt x="141" y="0"/>
                </a:lnTo>
                <a:lnTo>
                  <a:pt x="211" y="70"/>
                </a:lnTo>
                <a:lnTo>
                  <a:pt x="211" y="210"/>
                </a:lnTo>
                <a:lnTo>
                  <a:pt x="141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2" name="Line 571">
            <a:extLst>
              <a:ext uri="{FF2B5EF4-FFF2-40B4-BE49-F238E27FC236}">
                <a16:creationId xmlns:a16="http://schemas.microsoft.com/office/drawing/2014/main" id="{8ECA21BB-9847-4E20-9D56-C1EF8A8F58DB}"/>
              </a:ext>
            </a:extLst>
          </xdr:cNvPr>
          <xdr:cNvSpPr>
            <a:spLocks noChangeShapeType="1"/>
          </xdr:cNvSpPr>
        </xdr:nvSpPr>
        <xdr:spPr bwMode="auto">
          <a:xfrm>
            <a:off x="764" y="224"/>
            <a:ext cx="1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572">
            <a:extLst>
              <a:ext uri="{FF2B5EF4-FFF2-40B4-BE49-F238E27FC236}">
                <a16:creationId xmlns:a16="http://schemas.microsoft.com/office/drawing/2014/main" id="{BBF2B72A-FA83-458C-A7AA-BEA68AF67E2E}"/>
              </a:ext>
            </a:extLst>
          </xdr:cNvPr>
          <xdr:cNvSpPr>
            <a:spLocks noChangeShapeType="1"/>
          </xdr:cNvSpPr>
        </xdr:nvSpPr>
        <xdr:spPr bwMode="auto">
          <a:xfrm flipV="1">
            <a:off x="768" y="224"/>
            <a:ext cx="0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573">
            <a:extLst>
              <a:ext uri="{FF2B5EF4-FFF2-40B4-BE49-F238E27FC236}">
                <a16:creationId xmlns:a16="http://schemas.microsoft.com/office/drawing/2014/main" id="{DFFFDDD5-ADBE-4120-AD0A-2C55EA0F75CB}"/>
              </a:ext>
            </a:extLst>
          </xdr:cNvPr>
          <xdr:cNvSpPr>
            <a:spLocks noChangeShapeType="1"/>
          </xdr:cNvSpPr>
        </xdr:nvSpPr>
        <xdr:spPr bwMode="auto">
          <a:xfrm flipV="1">
            <a:off x="770" y="219"/>
            <a:ext cx="0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Freeform 574">
            <a:extLst>
              <a:ext uri="{FF2B5EF4-FFF2-40B4-BE49-F238E27FC236}">
                <a16:creationId xmlns:a16="http://schemas.microsoft.com/office/drawing/2014/main" id="{B0DE86EE-9CCA-4B1B-9734-457B554A43F3}"/>
              </a:ext>
            </a:extLst>
          </xdr:cNvPr>
          <xdr:cNvSpPr>
            <a:spLocks/>
          </xdr:cNvSpPr>
        </xdr:nvSpPr>
        <xdr:spPr bwMode="auto">
          <a:xfrm>
            <a:off x="770" y="221"/>
            <a:ext cx="5" cy="5"/>
          </a:xfrm>
          <a:custGeom>
            <a:avLst/>
            <a:gdLst>
              <a:gd name="T0" fmla="*/ 0 w 281"/>
              <a:gd name="T1" fmla="*/ 140 h 281"/>
              <a:gd name="T2" fmla="*/ 140 w 281"/>
              <a:gd name="T3" fmla="*/ 0 h 281"/>
              <a:gd name="T4" fmla="*/ 210 w 281"/>
              <a:gd name="T5" fmla="*/ 0 h 281"/>
              <a:gd name="T6" fmla="*/ 281 w 281"/>
              <a:gd name="T7" fmla="*/ 70 h 281"/>
              <a:gd name="T8" fmla="*/ 281 w 281"/>
              <a:gd name="T9" fmla="*/ 210 h 281"/>
              <a:gd name="T10" fmla="*/ 210 w 281"/>
              <a:gd name="T11" fmla="*/ 281 h 281"/>
              <a:gd name="T12" fmla="*/ 140 w 281"/>
              <a:gd name="T13" fmla="*/ 281 h 281"/>
              <a:gd name="T14" fmla="*/ 0 w 281"/>
              <a:gd name="T15" fmla="*/ 140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1"/>
                </a:lnTo>
                <a:lnTo>
                  <a:pt x="140" y="281"/>
                </a:lnTo>
                <a:lnTo>
                  <a:pt x="0" y="14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Line 575">
            <a:extLst>
              <a:ext uri="{FF2B5EF4-FFF2-40B4-BE49-F238E27FC236}">
                <a16:creationId xmlns:a16="http://schemas.microsoft.com/office/drawing/2014/main" id="{4A7076D5-4807-47E9-9E0D-DDABC2141F2D}"/>
              </a:ext>
            </a:extLst>
          </xdr:cNvPr>
          <xdr:cNvSpPr>
            <a:spLocks noChangeShapeType="1"/>
          </xdr:cNvSpPr>
        </xdr:nvSpPr>
        <xdr:spPr bwMode="auto">
          <a:xfrm flipV="1">
            <a:off x="777" y="219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Freeform 576">
            <a:extLst>
              <a:ext uri="{FF2B5EF4-FFF2-40B4-BE49-F238E27FC236}">
                <a16:creationId xmlns:a16="http://schemas.microsoft.com/office/drawing/2014/main" id="{98FF5349-AF22-47A6-9DA8-67B33FFE427C}"/>
              </a:ext>
            </a:extLst>
          </xdr:cNvPr>
          <xdr:cNvSpPr>
            <a:spLocks/>
          </xdr:cNvSpPr>
        </xdr:nvSpPr>
        <xdr:spPr bwMode="auto">
          <a:xfrm>
            <a:off x="784" y="219"/>
            <a:ext cx="5" cy="7"/>
          </a:xfrm>
          <a:custGeom>
            <a:avLst/>
            <a:gdLst>
              <a:gd name="T0" fmla="*/ 0 w 280"/>
              <a:gd name="T1" fmla="*/ 71 h 422"/>
              <a:gd name="T2" fmla="*/ 70 w 280"/>
              <a:gd name="T3" fmla="*/ 0 h 422"/>
              <a:gd name="T4" fmla="*/ 210 w 280"/>
              <a:gd name="T5" fmla="*/ 0 h 422"/>
              <a:gd name="T6" fmla="*/ 280 w 280"/>
              <a:gd name="T7" fmla="*/ 71 h 422"/>
              <a:gd name="T8" fmla="*/ 280 w 280"/>
              <a:gd name="T9" fmla="*/ 141 h 422"/>
              <a:gd name="T10" fmla="*/ 210 w 280"/>
              <a:gd name="T11" fmla="*/ 211 h 422"/>
              <a:gd name="T12" fmla="*/ 70 w 280"/>
              <a:gd name="T13" fmla="*/ 211 h 422"/>
              <a:gd name="T14" fmla="*/ 0 w 280"/>
              <a:gd name="T15" fmla="*/ 281 h 422"/>
              <a:gd name="T16" fmla="*/ 0 w 280"/>
              <a:gd name="T17" fmla="*/ 422 h 422"/>
              <a:gd name="T18" fmla="*/ 280 w 280"/>
              <a:gd name="T19" fmla="*/ 42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0" h="422">
                <a:moveTo>
                  <a:pt x="0" y="71"/>
                </a:move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141"/>
                </a:lnTo>
                <a:lnTo>
                  <a:pt x="210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2"/>
                </a:lnTo>
                <a:lnTo>
                  <a:pt x="280" y="422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Line 577">
            <a:extLst>
              <a:ext uri="{FF2B5EF4-FFF2-40B4-BE49-F238E27FC236}">
                <a16:creationId xmlns:a16="http://schemas.microsoft.com/office/drawing/2014/main" id="{77EEADFE-0605-49D8-85F1-8197E870BF4F}"/>
              </a:ext>
            </a:extLst>
          </xdr:cNvPr>
          <xdr:cNvSpPr>
            <a:spLocks noChangeShapeType="1"/>
          </xdr:cNvSpPr>
        </xdr:nvSpPr>
        <xdr:spPr bwMode="auto">
          <a:xfrm>
            <a:off x="791" y="221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578">
            <a:extLst>
              <a:ext uri="{FF2B5EF4-FFF2-40B4-BE49-F238E27FC236}">
                <a16:creationId xmlns:a16="http://schemas.microsoft.com/office/drawing/2014/main" id="{A9A08AF3-3835-4E02-ACD3-C1B3D593460D}"/>
              </a:ext>
            </a:extLst>
          </xdr:cNvPr>
          <xdr:cNvSpPr>
            <a:spLocks noChangeShapeType="1"/>
          </xdr:cNvSpPr>
        </xdr:nvSpPr>
        <xdr:spPr bwMode="auto">
          <a:xfrm flipH="1">
            <a:off x="791" y="223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Freeform 586">
            <a:extLst>
              <a:ext uri="{FF2B5EF4-FFF2-40B4-BE49-F238E27FC236}">
                <a16:creationId xmlns:a16="http://schemas.microsoft.com/office/drawing/2014/main" id="{7B711681-B13F-49D5-8146-4B0645AA149E}"/>
              </a:ext>
            </a:extLst>
          </xdr:cNvPr>
          <xdr:cNvSpPr>
            <a:spLocks/>
          </xdr:cNvSpPr>
        </xdr:nvSpPr>
        <xdr:spPr bwMode="auto">
          <a:xfrm>
            <a:off x="1201" y="96"/>
            <a:ext cx="4" cy="4"/>
          </a:xfrm>
          <a:custGeom>
            <a:avLst/>
            <a:gdLst>
              <a:gd name="T0" fmla="*/ 0 w 282"/>
              <a:gd name="T1" fmla="*/ 210 h 210"/>
              <a:gd name="T2" fmla="*/ 212 w 282"/>
              <a:gd name="T3" fmla="*/ 210 h 210"/>
              <a:gd name="T4" fmla="*/ 282 w 282"/>
              <a:gd name="T5" fmla="*/ 140 h 210"/>
              <a:gd name="T6" fmla="*/ 282 w 282"/>
              <a:gd name="T7" fmla="*/ 70 h 210"/>
              <a:gd name="T8" fmla="*/ 212 w 282"/>
              <a:gd name="T9" fmla="*/ 0 h 210"/>
              <a:gd name="T10" fmla="*/ 70 w 282"/>
              <a:gd name="T11" fmla="*/ 0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2" h="210">
                <a:moveTo>
                  <a:pt x="0" y="210"/>
                </a:moveTo>
                <a:lnTo>
                  <a:pt x="212" y="210"/>
                </a:lnTo>
                <a:lnTo>
                  <a:pt x="282" y="140"/>
                </a:lnTo>
                <a:lnTo>
                  <a:pt x="282" y="70"/>
                </a:lnTo>
                <a:lnTo>
                  <a:pt x="212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Freeform 587">
            <a:extLst>
              <a:ext uri="{FF2B5EF4-FFF2-40B4-BE49-F238E27FC236}">
                <a16:creationId xmlns:a16="http://schemas.microsoft.com/office/drawing/2014/main" id="{C49C0B70-334B-4E9D-BCC7-BD2085736A11}"/>
              </a:ext>
            </a:extLst>
          </xdr:cNvPr>
          <xdr:cNvSpPr>
            <a:spLocks/>
          </xdr:cNvSpPr>
        </xdr:nvSpPr>
        <xdr:spPr bwMode="auto">
          <a:xfrm>
            <a:off x="1201" y="93"/>
            <a:ext cx="4" cy="3"/>
          </a:xfrm>
          <a:custGeom>
            <a:avLst/>
            <a:gdLst>
              <a:gd name="T0" fmla="*/ 212 w 282"/>
              <a:gd name="T1" fmla="*/ 211 h 211"/>
              <a:gd name="T2" fmla="*/ 282 w 282"/>
              <a:gd name="T3" fmla="*/ 141 h 211"/>
              <a:gd name="T4" fmla="*/ 282 w 282"/>
              <a:gd name="T5" fmla="*/ 70 h 211"/>
              <a:gd name="T6" fmla="*/ 212 w 282"/>
              <a:gd name="T7" fmla="*/ 0 h 211"/>
              <a:gd name="T8" fmla="*/ 0 w 282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2" h="211">
                <a:moveTo>
                  <a:pt x="212" y="211"/>
                </a:moveTo>
                <a:lnTo>
                  <a:pt x="282" y="141"/>
                </a:lnTo>
                <a:lnTo>
                  <a:pt x="282" y="70"/>
                </a:lnTo>
                <a:lnTo>
                  <a:pt x="212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Line 588">
            <a:extLst>
              <a:ext uri="{FF2B5EF4-FFF2-40B4-BE49-F238E27FC236}">
                <a16:creationId xmlns:a16="http://schemas.microsoft.com/office/drawing/2014/main" id="{B1D9C64C-5B9E-436F-B474-BFB6B07B3AB1}"/>
              </a:ext>
            </a:extLst>
          </xdr:cNvPr>
          <xdr:cNvSpPr>
            <a:spLocks noChangeShapeType="1"/>
          </xdr:cNvSpPr>
        </xdr:nvSpPr>
        <xdr:spPr bwMode="auto">
          <a:xfrm>
            <a:off x="1202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Freeform 589">
            <a:extLst>
              <a:ext uri="{FF2B5EF4-FFF2-40B4-BE49-F238E27FC236}">
                <a16:creationId xmlns:a16="http://schemas.microsoft.com/office/drawing/2014/main" id="{C45CB3BC-72B3-4C6F-865C-B2C8AB350878}"/>
              </a:ext>
            </a:extLst>
          </xdr:cNvPr>
          <xdr:cNvSpPr>
            <a:spLocks/>
          </xdr:cNvSpPr>
        </xdr:nvSpPr>
        <xdr:spPr bwMode="auto">
          <a:xfrm>
            <a:off x="1208" y="95"/>
            <a:ext cx="5" cy="5"/>
          </a:xfrm>
          <a:custGeom>
            <a:avLst/>
            <a:gdLst>
              <a:gd name="T0" fmla="*/ 210 w 281"/>
              <a:gd name="T1" fmla="*/ 280 h 280"/>
              <a:gd name="T2" fmla="*/ 70 w 281"/>
              <a:gd name="T3" fmla="*/ 280 h 280"/>
              <a:gd name="T4" fmla="*/ 0 w 281"/>
              <a:gd name="T5" fmla="*/ 210 h 280"/>
              <a:gd name="T6" fmla="*/ 0 w 281"/>
              <a:gd name="T7" fmla="*/ 70 h 280"/>
              <a:gd name="T8" fmla="*/ 70 w 281"/>
              <a:gd name="T9" fmla="*/ 0 h 280"/>
              <a:gd name="T10" fmla="*/ 210 w 281"/>
              <a:gd name="T11" fmla="*/ 0 h 280"/>
              <a:gd name="T12" fmla="*/ 281 w 281"/>
              <a:gd name="T13" fmla="*/ 70 h 280"/>
              <a:gd name="T14" fmla="*/ 281 w 281"/>
              <a:gd name="T15" fmla="*/ 210 h 280"/>
              <a:gd name="T16" fmla="*/ 210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Line 590">
            <a:extLst>
              <a:ext uri="{FF2B5EF4-FFF2-40B4-BE49-F238E27FC236}">
                <a16:creationId xmlns:a16="http://schemas.microsoft.com/office/drawing/2014/main" id="{814EA826-24FA-4097-A0FF-4B5B79B92A68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Freeform 591">
            <a:extLst>
              <a:ext uri="{FF2B5EF4-FFF2-40B4-BE49-F238E27FC236}">
                <a16:creationId xmlns:a16="http://schemas.microsoft.com/office/drawing/2014/main" id="{212166D9-9980-4828-BC1F-03081790CDFF}"/>
              </a:ext>
            </a:extLst>
          </xdr:cNvPr>
          <xdr:cNvSpPr>
            <a:spLocks/>
          </xdr:cNvSpPr>
        </xdr:nvSpPr>
        <xdr:spPr bwMode="auto">
          <a:xfrm>
            <a:off x="1215" y="95"/>
            <a:ext cx="5" cy="3"/>
          </a:xfrm>
          <a:custGeom>
            <a:avLst/>
            <a:gdLst>
              <a:gd name="T0" fmla="*/ 0 w 281"/>
              <a:gd name="T1" fmla="*/ 140 h 140"/>
              <a:gd name="T2" fmla="*/ 140 w 281"/>
              <a:gd name="T3" fmla="*/ 0 h 140"/>
              <a:gd name="T4" fmla="*/ 210 w 281"/>
              <a:gd name="T5" fmla="*/ 0 h 140"/>
              <a:gd name="T6" fmla="*/ 281 w 281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1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6" name="Freeform 592">
            <a:extLst>
              <a:ext uri="{FF2B5EF4-FFF2-40B4-BE49-F238E27FC236}">
                <a16:creationId xmlns:a16="http://schemas.microsoft.com/office/drawing/2014/main" id="{689150D7-D3CB-430D-8F60-48657D89BF65}"/>
              </a:ext>
            </a:extLst>
          </xdr:cNvPr>
          <xdr:cNvSpPr>
            <a:spLocks/>
          </xdr:cNvSpPr>
        </xdr:nvSpPr>
        <xdr:spPr bwMode="auto">
          <a:xfrm>
            <a:off x="1222" y="95"/>
            <a:ext cx="5" cy="5"/>
          </a:xfrm>
          <a:custGeom>
            <a:avLst/>
            <a:gdLst>
              <a:gd name="T0" fmla="*/ 280 w 280"/>
              <a:gd name="T1" fmla="*/ 140 h 280"/>
              <a:gd name="T2" fmla="*/ 140 w 280"/>
              <a:gd name="T3" fmla="*/ 280 h 280"/>
              <a:gd name="T4" fmla="*/ 70 w 280"/>
              <a:gd name="T5" fmla="*/ 280 h 280"/>
              <a:gd name="T6" fmla="*/ 0 w 280"/>
              <a:gd name="T7" fmla="*/ 210 h 280"/>
              <a:gd name="T8" fmla="*/ 0 w 280"/>
              <a:gd name="T9" fmla="*/ 70 h 280"/>
              <a:gd name="T10" fmla="*/ 70 w 280"/>
              <a:gd name="T11" fmla="*/ 0 h 280"/>
              <a:gd name="T12" fmla="*/ 140 w 280"/>
              <a:gd name="T13" fmla="*/ 0 h 280"/>
              <a:gd name="T14" fmla="*/ 280 w 280"/>
              <a:gd name="T15" fmla="*/ 14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0" h="280">
                <a:moveTo>
                  <a:pt x="280" y="140"/>
                </a:moveTo>
                <a:lnTo>
                  <a:pt x="140" y="280"/>
                </a:ln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80" y="14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593">
            <a:extLst>
              <a:ext uri="{FF2B5EF4-FFF2-40B4-BE49-F238E27FC236}">
                <a16:creationId xmlns:a16="http://schemas.microsoft.com/office/drawing/2014/main" id="{D7374E3C-E5B6-4460-8419-879B0ACF4DAB}"/>
              </a:ext>
            </a:extLst>
          </xdr:cNvPr>
          <xdr:cNvSpPr>
            <a:spLocks noChangeShapeType="1"/>
          </xdr:cNvSpPr>
        </xdr:nvSpPr>
        <xdr:spPr bwMode="auto">
          <a:xfrm>
            <a:off x="1227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Freeform 594">
            <a:extLst>
              <a:ext uri="{FF2B5EF4-FFF2-40B4-BE49-F238E27FC236}">
                <a16:creationId xmlns:a16="http://schemas.microsoft.com/office/drawing/2014/main" id="{958D5C0C-38BC-4AE6-9905-A47DF8F6A061}"/>
              </a:ext>
            </a:extLst>
          </xdr:cNvPr>
          <xdr:cNvSpPr>
            <a:spLocks/>
          </xdr:cNvSpPr>
        </xdr:nvSpPr>
        <xdr:spPr bwMode="auto">
          <a:xfrm>
            <a:off x="1229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" name="Freeform 595">
            <a:extLst>
              <a:ext uri="{FF2B5EF4-FFF2-40B4-BE49-F238E27FC236}">
                <a16:creationId xmlns:a16="http://schemas.microsoft.com/office/drawing/2014/main" id="{BE91F889-565E-48C7-8CA5-D26D067661BA}"/>
              </a:ext>
            </a:extLst>
          </xdr:cNvPr>
          <xdr:cNvSpPr>
            <a:spLocks/>
          </xdr:cNvSpPr>
        </xdr:nvSpPr>
        <xdr:spPr bwMode="auto">
          <a:xfrm>
            <a:off x="1244" y="95"/>
            <a:ext cx="4" cy="5"/>
          </a:xfrm>
          <a:custGeom>
            <a:avLst/>
            <a:gdLst>
              <a:gd name="T0" fmla="*/ 0 w 281"/>
              <a:gd name="T1" fmla="*/ 140 h 280"/>
              <a:gd name="T2" fmla="*/ 211 w 281"/>
              <a:gd name="T3" fmla="*/ 140 h 280"/>
              <a:gd name="T4" fmla="*/ 281 w 281"/>
              <a:gd name="T5" fmla="*/ 70 h 280"/>
              <a:gd name="T6" fmla="*/ 211 w 281"/>
              <a:gd name="T7" fmla="*/ 0 h 280"/>
              <a:gd name="T8" fmla="*/ 70 w 281"/>
              <a:gd name="T9" fmla="*/ 0 h 280"/>
              <a:gd name="T10" fmla="*/ 0 w 281"/>
              <a:gd name="T11" fmla="*/ 70 h 280"/>
              <a:gd name="T12" fmla="*/ 0 w 281"/>
              <a:gd name="T13" fmla="*/ 210 h 280"/>
              <a:gd name="T14" fmla="*/ 70 w 281"/>
              <a:gd name="T15" fmla="*/ 280 h 280"/>
              <a:gd name="T16" fmla="*/ 211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0" y="140"/>
                </a:moveTo>
                <a:lnTo>
                  <a:pt x="211" y="140"/>
                </a:lnTo>
                <a:lnTo>
                  <a:pt x="281" y="70"/>
                </a:lnTo>
                <a:lnTo>
                  <a:pt x="211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1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0" name="Line 596">
            <a:extLst>
              <a:ext uri="{FF2B5EF4-FFF2-40B4-BE49-F238E27FC236}">
                <a16:creationId xmlns:a16="http://schemas.microsoft.com/office/drawing/2014/main" id="{6D1DF2D4-ACF0-4AF6-B29B-9F936E83E688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597">
            <a:extLst>
              <a:ext uri="{FF2B5EF4-FFF2-40B4-BE49-F238E27FC236}">
                <a16:creationId xmlns:a16="http://schemas.microsoft.com/office/drawing/2014/main" id="{98B8CF64-E662-4B9B-A813-0415CD72DC01}"/>
              </a:ext>
            </a:extLst>
          </xdr:cNvPr>
          <xdr:cNvSpPr>
            <a:spLocks noChangeShapeType="1"/>
          </xdr:cNvSpPr>
        </xdr:nvSpPr>
        <xdr:spPr bwMode="auto">
          <a:xfrm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598">
            <a:extLst>
              <a:ext uri="{FF2B5EF4-FFF2-40B4-BE49-F238E27FC236}">
                <a16:creationId xmlns:a16="http://schemas.microsoft.com/office/drawing/2014/main" id="{17C1005D-3FC3-4F2D-9281-C92AF95D789B}"/>
              </a:ext>
            </a:extLst>
          </xdr:cNvPr>
          <xdr:cNvSpPr>
            <a:spLocks noChangeShapeType="1"/>
          </xdr:cNvSpPr>
        </xdr:nvSpPr>
        <xdr:spPr bwMode="auto">
          <a:xfrm>
            <a:off x="1258" y="95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Freeform 599">
            <a:extLst>
              <a:ext uri="{FF2B5EF4-FFF2-40B4-BE49-F238E27FC236}">
                <a16:creationId xmlns:a16="http://schemas.microsoft.com/office/drawing/2014/main" id="{89BC0E54-335D-4FCE-9143-B523D2803B03}"/>
              </a:ext>
            </a:extLst>
          </xdr:cNvPr>
          <xdr:cNvSpPr>
            <a:spLocks/>
          </xdr:cNvSpPr>
        </xdr:nvSpPr>
        <xdr:spPr bwMode="auto">
          <a:xfrm>
            <a:off x="1260" y="93"/>
            <a:ext cx="3" cy="7"/>
          </a:xfrm>
          <a:custGeom>
            <a:avLst/>
            <a:gdLst>
              <a:gd name="T0" fmla="*/ 0 w 141"/>
              <a:gd name="T1" fmla="*/ 0 h 421"/>
              <a:gd name="T2" fmla="*/ 0 w 141"/>
              <a:gd name="T3" fmla="*/ 351 h 421"/>
              <a:gd name="T4" fmla="*/ 70 w 141"/>
              <a:gd name="T5" fmla="*/ 421 h 421"/>
              <a:gd name="T6" fmla="*/ 141 w 141"/>
              <a:gd name="T7" fmla="*/ 35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1">
                <a:moveTo>
                  <a:pt x="0" y="0"/>
                </a:moveTo>
                <a:lnTo>
                  <a:pt x="0" y="351"/>
                </a:lnTo>
                <a:lnTo>
                  <a:pt x="70" y="421"/>
                </a:lnTo>
                <a:lnTo>
                  <a:pt x="141" y="35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4" name="Freeform 600">
            <a:extLst>
              <a:ext uri="{FF2B5EF4-FFF2-40B4-BE49-F238E27FC236}">
                <a16:creationId xmlns:a16="http://schemas.microsoft.com/office/drawing/2014/main" id="{66E9F000-96E5-4AE9-9875-4ADCC806CA8E}"/>
              </a:ext>
            </a:extLst>
          </xdr:cNvPr>
          <xdr:cNvSpPr>
            <a:spLocks/>
          </xdr:cNvSpPr>
        </xdr:nvSpPr>
        <xdr:spPr bwMode="auto">
          <a:xfrm>
            <a:off x="1265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" name="Line 601">
            <a:extLst>
              <a:ext uri="{FF2B5EF4-FFF2-40B4-BE49-F238E27FC236}">
                <a16:creationId xmlns:a16="http://schemas.microsoft.com/office/drawing/2014/main" id="{31A8EEB6-F25F-498B-B980-F1F53768D1C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2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Freeform 602">
            <a:extLst>
              <a:ext uri="{FF2B5EF4-FFF2-40B4-BE49-F238E27FC236}">
                <a16:creationId xmlns:a16="http://schemas.microsoft.com/office/drawing/2014/main" id="{28EC348A-EB57-452C-8C97-4AA188D109E2}"/>
              </a:ext>
            </a:extLst>
          </xdr:cNvPr>
          <xdr:cNvSpPr>
            <a:spLocks/>
          </xdr:cNvSpPr>
        </xdr:nvSpPr>
        <xdr:spPr bwMode="auto">
          <a:xfrm>
            <a:off x="1272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" name="Line 603">
            <a:extLst>
              <a:ext uri="{FF2B5EF4-FFF2-40B4-BE49-F238E27FC236}">
                <a16:creationId xmlns:a16="http://schemas.microsoft.com/office/drawing/2014/main" id="{0B305E18-7538-4083-BD32-CD008D80F75E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604">
            <a:extLst>
              <a:ext uri="{FF2B5EF4-FFF2-40B4-BE49-F238E27FC236}">
                <a16:creationId xmlns:a16="http://schemas.microsoft.com/office/drawing/2014/main" id="{2D98556A-4352-43F9-A124-9BB626E156CB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Freeform 605">
            <a:extLst>
              <a:ext uri="{FF2B5EF4-FFF2-40B4-BE49-F238E27FC236}">
                <a16:creationId xmlns:a16="http://schemas.microsoft.com/office/drawing/2014/main" id="{9E18EE5B-14AB-4CDB-A5DE-718E43505957}"/>
              </a:ext>
            </a:extLst>
          </xdr:cNvPr>
          <xdr:cNvSpPr>
            <a:spLocks/>
          </xdr:cNvSpPr>
        </xdr:nvSpPr>
        <xdr:spPr bwMode="auto">
          <a:xfrm>
            <a:off x="1282" y="95"/>
            <a:ext cx="4" cy="5"/>
          </a:xfrm>
          <a:custGeom>
            <a:avLst/>
            <a:gdLst>
              <a:gd name="T0" fmla="*/ 210 w 280"/>
              <a:gd name="T1" fmla="*/ 280 h 280"/>
              <a:gd name="T2" fmla="*/ 70 w 280"/>
              <a:gd name="T3" fmla="*/ 280 h 280"/>
              <a:gd name="T4" fmla="*/ 0 w 280"/>
              <a:gd name="T5" fmla="*/ 210 h 280"/>
              <a:gd name="T6" fmla="*/ 0 w 280"/>
              <a:gd name="T7" fmla="*/ 70 h 280"/>
              <a:gd name="T8" fmla="*/ 70 w 280"/>
              <a:gd name="T9" fmla="*/ 0 h 280"/>
              <a:gd name="T10" fmla="*/ 210 w 280"/>
              <a:gd name="T11" fmla="*/ 0 h 280"/>
              <a:gd name="T12" fmla="*/ 280 w 280"/>
              <a:gd name="T13" fmla="*/ 70 h 280"/>
              <a:gd name="T14" fmla="*/ 280 w 280"/>
              <a:gd name="T15" fmla="*/ 21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0" y="70"/>
                </a:lnTo>
                <a:lnTo>
                  <a:pt x="280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" name="Line 606">
            <a:extLst>
              <a:ext uri="{FF2B5EF4-FFF2-40B4-BE49-F238E27FC236}">
                <a16:creationId xmlns:a16="http://schemas.microsoft.com/office/drawing/2014/main" id="{5233A083-CD75-477D-BFEB-0A6E9DCDC7A8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Freeform 607">
            <a:extLst>
              <a:ext uri="{FF2B5EF4-FFF2-40B4-BE49-F238E27FC236}">
                <a16:creationId xmlns:a16="http://schemas.microsoft.com/office/drawing/2014/main" id="{DC2E0C05-57FA-484F-9D3F-213F104D04A1}"/>
              </a:ext>
            </a:extLst>
          </xdr:cNvPr>
          <xdr:cNvSpPr>
            <a:spLocks/>
          </xdr:cNvSpPr>
        </xdr:nvSpPr>
        <xdr:spPr bwMode="auto">
          <a:xfrm>
            <a:off x="1289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" name="Freeform 608">
            <a:extLst>
              <a:ext uri="{FF2B5EF4-FFF2-40B4-BE49-F238E27FC236}">
                <a16:creationId xmlns:a16="http://schemas.microsoft.com/office/drawing/2014/main" id="{ECEB8CB3-76FC-495B-9D76-0FFE899EE145}"/>
              </a:ext>
            </a:extLst>
          </xdr:cNvPr>
          <xdr:cNvSpPr>
            <a:spLocks/>
          </xdr:cNvSpPr>
        </xdr:nvSpPr>
        <xdr:spPr bwMode="auto">
          <a:xfrm>
            <a:off x="1206" y="307"/>
            <a:ext cx="5" cy="3"/>
          </a:xfrm>
          <a:custGeom>
            <a:avLst/>
            <a:gdLst>
              <a:gd name="T0" fmla="*/ 0 w 280"/>
              <a:gd name="T1" fmla="*/ 211 h 211"/>
              <a:gd name="T2" fmla="*/ 210 w 280"/>
              <a:gd name="T3" fmla="*/ 211 h 211"/>
              <a:gd name="T4" fmla="*/ 280 w 280"/>
              <a:gd name="T5" fmla="*/ 141 h 211"/>
              <a:gd name="T6" fmla="*/ 280 w 280"/>
              <a:gd name="T7" fmla="*/ 70 h 211"/>
              <a:gd name="T8" fmla="*/ 210 w 280"/>
              <a:gd name="T9" fmla="*/ 0 h 211"/>
              <a:gd name="T10" fmla="*/ 70 w 280"/>
              <a:gd name="T11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0" h="211">
                <a:moveTo>
                  <a:pt x="0" y="211"/>
                </a:moveTo>
                <a:lnTo>
                  <a:pt x="210" y="211"/>
                </a:lnTo>
                <a:lnTo>
                  <a:pt x="280" y="141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" name="Freeform 609">
            <a:extLst>
              <a:ext uri="{FF2B5EF4-FFF2-40B4-BE49-F238E27FC236}">
                <a16:creationId xmlns:a16="http://schemas.microsoft.com/office/drawing/2014/main" id="{203FB9CE-F510-4D91-8546-40872AC2C5B4}"/>
              </a:ext>
            </a:extLst>
          </xdr:cNvPr>
          <xdr:cNvSpPr>
            <a:spLocks/>
          </xdr:cNvSpPr>
        </xdr:nvSpPr>
        <xdr:spPr bwMode="auto">
          <a:xfrm>
            <a:off x="1206" y="303"/>
            <a:ext cx="5" cy="4"/>
          </a:xfrm>
          <a:custGeom>
            <a:avLst/>
            <a:gdLst>
              <a:gd name="T0" fmla="*/ 210 w 280"/>
              <a:gd name="T1" fmla="*/ 211 h 211"/>
              <a:gd name="T2" fmla="*/ 280 w 280"/>
              <a:gd name="T3" fmla="*/ 140 h 211"/>
              <a:gd name="T4" fmla="*/ 280 w 280"/>
              <a:gd name="T5" fmla="*/ 70 h 211"/>
              <a:gd name="T6" fmla="*/ 210 w 280"/>
              <a:gd name="T7" fmla="*/ 0 h 211"/>
              <a:gd name="T8" fmla="*/ 0 w 280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0" h="211">
                <a:moveTo>
                  <a:pt x="210" y="211"/>
                </a:moveTo>
                <a:lnTo>
                  <a:pt x="280" y="140"/>
                </a:lnTo>
                <a:lnTo>
                  <a:pt x="280" y="70"/>
                </a:lnTo>
                <a:lnTo>
                  <a:pt x="210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" name="Line 610">
            <a:extLst>
              <a:ext uri="{FF2B5EF4-FFF2-40B4-BE49-F238E27FC236}">
                <a16:creationId xmlns:a16="http://schemas.microsoft.com/office/drawing/2014/main" id="{B1D43C27-3ED7-4AC3-BE98-550ADF48A587}"/>
              </a:ext>
            </a:extLst>
          </xdr:cNvPr>
          <xdr:cNvSpPr>
            <a:spLocks noChangeShapeType="1"/>
          </xdr:cNvSpPr>
        </xdr:nvSpPr>
        <xdr:spPr bwMode="auto">
          <a:xfrm>
            <a:off x="1208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Freeform 611">
            <a:extLst>
              <a:ext uri="{FF2B5EF4-FFF2-40B4-BE49-F238E27FC236}">
                <a16:creationId xmlns:a16="http://schemas.microsoft.com/office/drawing/2014/main" id="{500FAED3-F237-4422-B699-F205FACDD393}"/>
              </a:ext>
            </a:extLst>
          </xdr:cNvPr>
          <xdr:cNvSpPr>
            <a:spLocks/>
          </xdr:cNvSpPr>
        </xdr:nvSpPr>
        <xdr:spPr bwMode="auto">
          <a:xfrm>
            <a:off x="1213" y="305"/>
            <a:ext cx="5" cy="5"/>
          </a:xfrm>
          <a:custGeom>
            <a:avLst/>
            <a:gdLst>
              <a:gd name="T0" fmla="*/ 210 w 280"/>
              <a:gd name="T1" fmla="*/ 282 h 282"/>
              <a:gd name="T2" fmla="*/ 70 w 280"/>
              <a:gd name="T3" fmla="*/ 282 h 282"/>
              <a:gd name="T4" fmla="*/ 0 w 280"/>
              <a:gd name="T5" fmla="*/ 212 h 282"/>
              <a:gd name="T6" fmla="*/ 0 w 280"/>
              <a:gd name="T7" fmla="*/ 71 h 282"/>
              <a:gd name="T8" fmla="*/ 70 w 280"/>
              <a:gd name="T9" fmla="*/ 0 h 282"/>
              <a:gd name="T10" fmla="*/ 210 w 280"/>
              <a:gd name="T11" fmla="*/ 0 h 282"/>
              <a:gd name="T12" fmla="*/ 280 w 280"/>
              <a:gd name="T13" fmla="*/ 71 h 282"/>
              <a:gd name="T14" fmla="*/ 280 w 280"/>
              <a:gd name="T15" fmla="*/ 212 h 282"/>
              <a:gd name="T16" fmla="*/ 210 w 280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" name="Line 612">
            <a:extLst>
              <a:ext uri="{FF2B5EF4-FFF2-40B4-BE49-F238E27FC236}">
                <a16:creationId xmlns:a16="http://schemas.microsoft.com/office/drawing/2014/main" id="{722D1422-1360-4658-9C93-2A586A0EB70F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1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Freeform 613">
            <a:extLst>
              <a:ext uri="{FF2B5EF4-FFF2-40B4-BE49-F238E27FC236}">
                <a16:creationId xmlns:a16="http://schemas.microsoft.com/office/drawing/2014/main" id="{A2C5BC61-C4B9-4A62-8C19-5E8EA5F11D0F}"/>
              </a:ext>
            </a:extLst>
          </xdr:cNvPr>
          <xdr:cNvSpPr>
            <a:spLocks/>
          </xdr:cNvSpPr>
        </xdr:nvSpPr>
        <xdr:spPr bwMode="auto">
          <a:xfrm>
            <a:off x="1221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" name="Freeform 614">
            <a:extLst>
              <a:ext uri="{FF2B5EF4-FFF2-40B4-BE49-F238E27FC236}">
                <a16:creationId xmlns:a16="http://schemas.microsoft.com/office/drawing/2014/main" id="{523440CE-C6BB-479A-8289-224EF67DF6FE}"/>
              </a:ext>
            </a:extLst>
          </xdr:cNvPr>
          <xdr:cNvSpPr>
            <a:spLocks/>
          </xdr:cNvSpPr>
        </xdr:nvSpPr>
        <xdr:spPr bwMode="auto">
          <a:xfrm>
            <a:off x="1228" y="305"/>
            <a:ext cx="5" cy="5"/>
          </a:xfrm>
          <a:custGeom>
            <a:avLst/>
            <a:gdLst>
              <a:gd name="T0" fmla="*/ 281 w 281"/>
              <a:gd name="T1" fmla="*/ 141 h 282"/>
              <a:gd name="T2" fmla="*/ 141 w 281"/>
              <a:gd name="T3" fmla="*/ 282 h 282"/>
              <a:gd name="T4" fmla="*/ 71 w 281"/>
              <a:gd name="T5" fmla="*/ 282 h 282"/>
              <a:gd name="T6" fmla="*/ 0 w 281"/>
              <a:gd name="T7" fmla="*/ 212 h 282"/>
              <a:gd name="T8" fmla="*/ 0 w 281"/>
              <a:gd name="T9" fmla="*/ 71 h 282"/>
              <a:gd name="T10" fmla="*/ 71 w 281"/>
              <a:gd name="T11" fmla="*/ 0 h 282"/>
              <a:gd name="T12" fmla="*/ 141 w 281"/>
              <a:gd name="T13" fmla="*/ 0 h 282"/>
              <a:gd name="T14" fmla="*/ 281 w 281"/>
              <a:gd name="T15" fmla="*/ 141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2">
                <a:moveTo>
                  <a:pt x="281" y="141"/>
                </a:moveTo>
                <a:lnTo>
                  <a:pt x="141" y="282"/>
                </a:lnTo>
                <a:lnTo>
                  <a:pt x="71" y="282"/>
                </a:lnTo>
                <a:lnTo>
                  <a:pt x="0" y="212"/>
                </a:lnTo>
                <a:lnTo>
                  <a:pt x="0" y="71"/>
                </a:lnTo>
                <a:lnTo>
                  <a:pt x="71" y="0"/>
                </a:lnTo>
                <a:lnTo>
                  <a:pt x="141" y="0"/>
                </a:lnTo>
                <a:lnTo>
                  <a:pt x="281" y="141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" name="Line 615">
            <a:extLst>
              <a:ext uri="{FF2B5EF4-FFF2-40B4-BE49-F238E27FC236}">
                <a16:creationId xmlns:a16="http://schemas.microsoft.com/office/drawing/2014/main" id="{464673BB-51B9-4C08-AA33-8F513686E0D1}"/>
              </a:ext>
            </a:extLst>
          </xdr:cNvPr>
          <xdr:cNvSpPr>
            <a:spLocks noChangeShapeType="1"/>
          </xdr:cNvSpPr>
        </xdr:nvSpPr>
        <xdr:spPr bwMode="auto">
          <a:xfrm>
            <a:off x="1233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Freeform 616">
            <a:extLst>
              <a:ext uri="{FF2B5EF4-FFF2-40B4-BE49-F238E27FC236}">
                <a16:creationId xmlns:a16="http://schemas.microsoft.com/office/drawing/2014/main" id="{80E3F864-69CD-4AFF-BCBD-57685D701D45}"/>
              </a:ext>
            </a:extLst>
          </xdr:cNvPr>
          <xdr:cNvSpPr>
            <a:spLocks/>
          </xdr:cNvSpPr>
        </xdr:nvSpPr>
        <xdr:spPr bwMode="auto">
          <a:xfrm>
            <a:off x="1235" y="305"/>
            <a:ext cx="5" cy="5"/>
          </a:xfrm>
          <a:custGeom>
            <a:avLst/>
            <a:gdLst>
              <a:gd name="T0" fmla="*/ 0 w 281"/>
              <a:gd name="T1" fmla="*/ 141 h 282"/>
              <a:gd name="T2" fmla="*/ 211 w 281"/>
              <a:gd name="T3" fmla="*/ 141 h 282"/>
              <a:gd name="T4" fmla="*/ 281 w 281"/>
              <a:gd name="T5" fmla="*/ 71 h 282"/>
              <a:gd name="T6" fmla="*/ 211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1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1" y="141"/>
                </a:lnTo>
                <a:lnTo>
                  <a:pt x="281" y="71"/>
                </a:lnTo>
                <a:lnTo>
                  <a:pt x="211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1" name="Line 617">
            <a:extLst>
              <a:ext uri="{FF2B5EF4-FFF2-40B4-BE49-F238E27FC236}">
                <a16:creationId xmlns:a16="http://schemas.microsoft.com/office/drawing/2014/main" id="{7EF9261C-D2BA-4265-A45A-112A9464C4DF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Line 618">
            <a:extLst>
              <a:ext uri="{FF2B5EF4-FFF2-40B4-BE49-F238E27FC236}">
                <a16:creationId xmlns:a16="http://schemas.microsoft.com/office/drawing/2014/main" id="{BE80FB73-65DC-4BDD-8E5E-2BA72E8BC89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619">
            <a:extLst>
              <a:ext uri="{FF2B5EF4-FFF2-40B4-BE49-F238E27FC236}">
                <a16:creationId xmlns:a16="http://schemas.microsoft.com/office/drawing/2014/main" id="{ACA6D5D4-5FBD-437D-BDA8-D3C46907354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2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Freeform 620">
            <a:extLst>
              <a:ext uri="{FF2B5EF4-FFF2-40B4-BE49-F238E27FC236}">
                <a16:creationId xmlns:a16="http://schemas.microsoft.com/office/drawing/2014/main" id="{7E7CC5BD-7B3B-4C18-A37D-6F0FCEB63297}"/>
              </a:ext>
            </a:extLst>
          </xdr:cNvPr>
          <xdr:cNvSpPr>
            <a:spLocks/>
          </xdr:cNvSpPr>
        </xdr:nvSpPr>
        <xdr:spPr bwMode="auto">
          <a:xfrm>
            <a:off x="1252" y="305"/>
            <a:ext cx="4" cy="5"/>
          </a:xfrm>
          <a:custGeom>
            <a:avLst/>
            <a:gdLst>
              <a:gd name="T0" fmla="*/ 0 w 281"/>
              <a:gd name="T1" fmla="*/ 141 h 282"/>
              <a:gd name="T2" fmla="*/ 141 w 281"/>
              <a:gd name="T3" fmla="*/ 0 h 282"/>
              <a:gd name="T4" fmla="*/ 211 w 281"/>
              <a:gd name="T5" fmla="*/ 0 h 282"/>
              <a:gd name="T6" fmla="*/ 281 w 281"/>
              <a:gd name="T7" fmla="*/ 71 h 282"/>
              <a:gd name="T8" fmla="*/ 281 w 281"/>
              <a:gd name="T9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141" y="0"/>
                </a:lnTo>
                <a:lnTo>
                  <a:pt x="211" y="0"/>
                </a:lnTo>
                <a:lnTo>
                  <a:pt x="281" y="71"/>
                </a:lnTo>
                <a:lnTo>
                  <a:pt x="28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" name="Line 621">
            <a:extLst>
              <a:ext uri="{FF2B5EF4-FFF2-40B4-BE49-F238E27FC236}">
                <a16:creationId xmlns:a16="http://schemas.microsoft.com/office/drawing/2014/main" id="{E709CAFA-8EB3-4E6A-ACE8-1FDECC6E4787}"/>
              </a:ext>
            </a:extLst>
          </xdr:cNvPr>
          <xdr:cNvSpPr>
            <a:spLocks noChangeShapeType="1"/>
          </xdr:cNvSpPr>
        </xdr:nvSpPr>
        <xdr:spPr bwMode="auto">
          <a:xfrm>
            <a:off x="1259" y="305"/>
            <a:ext cx="4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Freeform 622">
            <a:extLst>
              <a:ext uri="{FF2B5EF4-FFF2-40B4-BE49-F238E27FC236}">
                <a16:creationId xmlns:a16="http://schemas.microsoft.com/office/drawing/2014/main" id="{3939242E-741B-442B-B67C-59BAA07DD32E}"/>
              </a:ext>
            </a:extLst>
          </xdr:cNvPr>
          <xdr:cNvSpPr>
            <a:spLocks/>
          </xdr:cNvSpPr>
        </xdr:nvSpPr>
        <xdr:spPr bwMode="auto">
          <a:xfrm>
            <a:off x="1261" y="303"/>
            <a:ext cx="2" cy="7"/>
          </a:xfrm>
          <a:custGeom>
            <a:avLst/>
            <a:gdLst>
              <a:gd name="T0" fmla="*/ 0 w 141"/>
              <a:gd name="T1" fmla="*/ 0 h 422"/>
              <a:gd name="T2" fmla="*/ 0 w 141"/>
              <a:gd name="T3" fmla="*/ 352 h 422"/>
              <a:gd name="T4" fmla="*/ 71 w 141"/>
              <a:gd name="T5" fmla="*/ 422 h 422"/>
              <a:gd name="T6" fmla="*/ 141 w 141"/>
              <a:gd name="T7" fmla="*/ 35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2">
                <a:moveTo>
                  <a:pt x="0" y="0"/>
                </a:moveTo>
                <a:lnTo>
                  <a:pt x="0" y="352"/>
                </a:lnTo>
                <a:lnTo>
                  <a:pt x="71" y="422"/>
                </a:lnTo>
                <a:lnTo>
                  <a:pt x="141" y="35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7" name="Freeform 623">
            <a:extLst>
              <a:ext uri="{FF2B5EF4-FFF2-40B4-BE49-F238E27FC236}">
                <a16:creationId xmlns:a16="http://schemas.microsoft.com/office/drawing/2014/main" id="{C53FA6C5-CA45-4E36-885A-D51A5379AF95}"/>
              </a:ext>
            </a:extLst>
          </xdr:cNvPr>
          <xdr:cNvSpPr>
            <a:spLocks/>
          </xdr:cNvSpPr>
        </xdr:nvSpPr>
        <xdr:spPr bwMode="auto">
          <a:xfrm>
            <a:off x="1266" y="305"/>
            <a:ext cx="5" cy="5"/>
          </a:xfrm>
          <a:custGeom>
            <a:avLst/>
            <a:gdLst>
              <a:gd name="T0" fmla="*/ 0 w 281"/>
              <a:gd name="T1" fmla="*/ 141 h 282"/>
              <a:gd name="T2" fmla="*/ 210 w 281"/>
              <a:gd name="T3" fmla="*/ 141 h 282"/>
              <a:gd name="T4" fmla="*/ 281 w 281"/>
              <a:gd name="T5" fmla="*/ 71 h 282"/>
              <a:gd name="T6" fmla="*/ 210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0" y="141"/>
                </a:lnTo>
                <a:lnTo>
                  <a:pt x="281" y="71"/>
                </a:lnTo>
                <a:lnTo>
                  <a:pt x="210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0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" name="Line 624">
            <a:extLst>
              <a:ext uri="{FF2B5EF4-FFF2-40B4-BE49-F238E27FC236}">
                <a16:creationId xmlns:a16="http://schemas.microsoft.com/office/drawing/2014/main" id="{A5CF1F4F-A60A-4E2E-817A-6CC1C8F7FA94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3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Freeform 625">
            <a:extLst>
              <a:ext uri="{FF2B5EF4-FFF2-40B4-BE49-F238E27FC236}">
                <a16:creationId xmlns:a16="http://schemas.microsoft.com/office/drawing/2014/main" id="{87DBCF13-D3C3-4AA8-9CDE-454FCD7831F8}"/>
              </a:ext>
            </a:extLst>
          </xdr:cNvPr>
          <xdr:cNvSpPr>
            <a:spLocks/>
          </xdr:cNvSpPr>
        </xdr:nvSpPr>
        <xdr:spPr bwMode="auto">
          <a:xfrm>
            <a:off x="1273" y="305"/>
            <a:ext cx="5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0" name="Line 626">
            <a:extLst>
              <a:ext uri="{FF2B5EF4-FFF2-40B4-BE49-F238E27FC236}">
                <a16:creationId xmlns:a16="http://schemas.microsoft.com/office/drawing/2014/main" id="{70925D16-FE0A-4F65-AE2A-04C0FBF3845E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627">
            <a:extLst>
              <a:ext uri="{FF2B5EF4-FFF2-40B4-BE49-F238E27FC236}">
                <a16:creationId xmlns:a16="http://schemas.microsoft.com/office/drawing/2014/main" id="{F5B26EE9-9239-4EAC-A11D-6E53F0D19C4E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Freeform 628">
            <a:extLst>
              <a:ext uri="{FF2B5EF4-FFF2-40B4-BE49-F238E27FC236}">
                <a16:creationId xmlns:a16="http://schemas.microsoft.com/office/drawing/2014/main" id="{92A8D285-42CD-4350-A8E2-2C7D14323138}"/>
              </a:ext>
            </a:extLst>
          </xdr:cNvPr>
          <xdr:cNvSpPr>
            <a:spLocks/>
          </xdr:cNvSpPr>
        </xdr:nvSpPr>
        <xdr:spPr bwMode="auto">
          <a:xfrm>
            <a:off x="1283" y="305"/>
            <a:ext cx="4" cy="5"/>
          </a:xfrm>
          <a:custGeom>
            <a:avLst/>
            <a:gdLst>
              <a:gd name="T0" fmla="*/ 210 w 281"/>
              <a:gd name="T1" fmla="*/ 282 h 282"/>
              <a:gd name="T2" fmla="*/ 70 w 281"/>
              <a:gd name="T3" fmla="*/ 282 h 282"/>
              <a:gd name="T4" fmla="*/ 0 w 281"/>
              <a:gd name="T5" fmla="*/ 212 h 282"/>
              <a:gd name="T6" fmla="*/ 0 w 281"/>
              <a:gd name="T7" fmla="*/ 71 h 282"/>
              <a:gd name="T8" fmla="*/ 70 w 281"/>
              <a:gd name="T9" fmla="*/ 0 h 282"/>
              <a:gd name="T10" fmla="*/ 210 w 281"/>
              <a:gd name="T11" fmla="*/ 0 h 282"/>
              <a:gd name="T12" fmla="*/ 281 w 281"/>
              <a:gd name="T13" fmla="*/ 71 h 282"/>
              <a:gd name="T14" fmla="*/ 281 w 281"/>
              <a:gd name="T15" fmla="*/ 21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1" y="71"/>
                </a:lnTo>
                <a:lnTo>
                  <a:pt x="281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" name="Line 629">
            <a:extLst>
              <a:ext uri="{FF2B5EF4-FFF2-40B4-BE49-F238E27FC236}">
                <a16:creationId xmlns:a16="http://schemas.microsoft.com/office/drawing/2014/main" id="{F020DEDC-8F30-4033-B6D9-1C4AA220D299}"/>
              </a:ext>
            </a:extLst>
          </xdr:cNvPr>
          <xdr:cNvSpPr>
            <a:spLocks noChangeShapeType="1"/>
          </xdr:cNvSpPr>
        </xdr:nvSpPr>
        <xdr:spPr bwMode="auto">
          <a:xfrm flipV="1">
            <a:off x="129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Freeform 630">
            <a:extLst>
              <a:ext uri="{FF2B5EF4-FFF2-40B4-BE49-F238E27FC236}">
                <a16:creationId xmlns:a16="http://schemas.microsoft.com/office/drawing/2014/main" id="{14331A30-8D2D-40F3-8008-90089CA3B252}"/>
              </a:ext>
            </a:extLst>
          </xdr:cNvPr>
          <xdr:cNvSpPr>
            <a:spLocks/>
          </xdr:cNvSpPr>
        </xdr:nvSpPr>
        <xdr:spPr bwMode="auto">
          <a:xfrm>
            <a:off x="1290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5" name="Freeform 631">
            <a:extLst>
              <a:ext uri="{FF2B5EF4-FFF2-40B4-BE49-F238E27FC236}">
                <a16:creationId xmlns:a16="http://schemas.microsoft.com/office/drawing/2014/main" id="{AECC5E66-CE03-4FD2-A9B0-21DC9FE04354}"/>
              </a:ext>
            </a:extLst>
          </xdr:cNvPr>
          <xdr:cNvSpPr>
            <a:spLocks/>
          </xdr:cNvSpPr>
        </xdr:nvSpPr>
        <xdr:spPr bwMode="auto">
          <a:xfrm>
            <a:off x="864" y="189"/>
            <a:ext cx="5" cy="7"/>
          </a:xfrm>
          <a:custGeom>
            <a:avLst/>
            <a:gdLst>
              <a:gd name="T0" fmla="*/ 0 w 282"/>
              <a:gd name="T1" fmla="*/ 422 h 422"/>
              <a:gd name="T2" fmla="*/ 0 w 282"/>
              <a:gd name="T3" fmla="*/ 0 h 422"/>
              <a:gd name="T4" fmla="*/ 282 w 282"/>
              <a:gd name="T5" fmla="*/ 0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82" h="422">
                <a:moveTo>
                  <a:pt x="0" y="422"/>
                </a:moveTo>
                <a:lnTo>
                  <a:pt x="0" y="0"/>
                </a:lnTo>
                <a:lnTo>
                  <a:pt x="282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6" name="Line 632">
            <a:extLst>
              <a:ext uri="{FF2B5EF4-FFF2-40B4-BE49-F238E27FC236}">
                <a16:creationId xmlns:a16="http://schemas.microsoft.com/office/drawing/2014/main" id="{6F844733-7BC0-4263-90F0-65F68EA72267}"/>
              </a:ext>
            </a:extLst>
          </xdr:cNvPr>
          <xdr:cNvSpPr>
            <a:spLocks noChangeShapeType="1"/>
          </xdr:cNvSpPr>
        </xdr:nvSpPr>
        <xdr:spPr bwMode="auto">
          <a:xfrm>
            <a:off x="864" y="193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633">
            <a:extLst>
              <a:ext uri="{FF2B5EF4-FFF2-40B4-BE49-F238E27FC236}">
                <a16:creationId xmlns:a16="http://schemas.microsoft.com/office/drawing/2014/main" id="{C16A795A-C5BB-403B-A845-2C94F7F743E9}"/>
              </a:ext>
            </a:extLst>
          </xdr:cNvPr>
          <xdr:cNvSpPr>
            <a:spLocks noChangeShapeType="1"/>
          </xdr:cNvSpPr>
        </xdr:nvSpPr>
        <xdr:spPr bwMode="auto">
          <a:xfrm>
            <a:off x="864" y="196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Freeform 634">
            <a:extLst>
              <a:ext uri="{FF2B5EF4-FFF2-40B4-BE49-F238E27FC236}">
                <a16:creationId xmlns:a16="http://schemas.microsoft.com/office/drawing/2014/main" id="{3C343C90-9966-4990-ABA4-7C435DCAA718}"/>
              </a:ext>
            </a:extLst>
          </xdr:cNvPr>
          <xdr:cNvSpPr>
            <a:spLocks/>
          </xdr:cNvSpPr>
        </xdr:nvSpPr>
        <xdr:spPr bwMode="auto">
          <a:xfrm>
            <a:off x="871" y="192"/>
            <a:ext cx="4" cy="7"/>
          </a:xfrm>
          <a:custGeom>
            <a:avLst/>
            <a:gdLst>
              <a:gd name="T0" fmla="*/ 0 w 211"/>
              <a:gd name="T1" fmla="*/ 351 h 421"/>
              <a:gd name="T2" fmla="*/ 70 w 211"/>
              <a:gd name="T3" fmla="*/ 421 h 421"/>
              <a:gd name="T4" fmla="*/ 141 w 211"/>
              <a:gd name="T5" fmla="*/ 421 h 421"/>
              <a:gd name="T6" fmla="*/ 211 w 211"/>
              <a:gd name="T7" fmla="*/ 351 h 421"/>
              <a:gd name="T8" fmla="*/ 211 w 211"/>
              <a:gd name="T9" fmla="*/ 0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11" h="421">
                <a:moveTo>
                  <a:pt x="0" y="351"/>
                </a:moveTo>
                <a:lnTo>
                  <a:pt x="70" y="421"/>
                </a:lnTo>
                <a:lnTo>
                  <a:pt x="141" y="421"/>
                </a:lnTo>
                <a:lnTo>
                  <a:pt x="211" y="351"/>
                </a:lnTo>
                <a:lnTo>
                  <a:pt x="211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9" name="Line 635">
            <a:extLst>
              <a:ext uri="{FF2B5EF4-FFF2-40B4-BE49-F238E27FC236}">
                <a16:creationId xmlns:a16="http://schemas.microsoft.com/office/drawing/2014/main" id="{B04E2D7E-2139-4786-A47B-8CEB4B66531E}"/>
              </a:ext>
            </a:extLst>
          </xdr:cNvPr>
          <xdr:cNvSpPr>
            <a:spLocks noChangeShapeType="1"/>
          </xdr:cNvSpPr>
        </xdr:nvSpPr>
        <xdr:spPr bwMode="auto">
          <a:xfrm flipV="1">
            <a:off x="875" y="189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Freeform 636">
            <a:extLst>
              <a:ext uri="{FF2B5EF4-FFF2-40B4-BE49-F238E27FC236}">
                <a16:creationId xmlns:a16="http://schemas.microsoft.com/office/drawing/2014/main" id="{9F874337-609B-4E33-8DE6-F9AC75A5DF77}"/>
              </a:ext>
            </a:extLst>
          </xdr:cNvPr>
          <xdr:cNvSpPr>
            <a:spLocks/>
          </xdr:cNvSpPr>
        </xdr:nvSpPr>
        <xdr:spPr bwMode="auto">
          <a:xfrm>
            <a:off x="877" y="192"/>
            <a:ext cx="5" cy="4"/>
          </a:xfrm>
          <a:custGeom>
            <a:avLst/>
            <a:gdLst>
              <a:gd name="T0" fmla="*/ 0 w 281"/>
              <a:gd name="T1" fmla="*/ 140 h 281"/>
              <a:gd name="T2" fmla="*/ 210 w 281"/>
              <a:gd name="T3" fmla="*/ 140 h 281"/>
              <a:gd name="T4" fmla="*/ 281 w 281"/>
              <a:gd name="T5" fmla="*/ 70 h 281"/>
              <a:gd name="T6" fmla="*/ 210 w 281"/>
              <a:gd name="T7" fmla="*/ 0 h 281"/>
              <a:gd name="T8" fmla="*/ 70 w 281"/>
              <a:gd name="T9" fmla="*/ 0 h 281"/>
              <a:gd name="T10" fmla="*/ 0 w 281"/>
              <a:gd name="T11" fmla="*/ 70 h 281"/>
              <a:gd name="T12" fmla="*/ 0 w 281"/>
              <a:gd name="T13" fmla="*/ 210 h 281"/>
              <a:gd name="T14" fmla="*/ 70 w 281"/>
              <a:gd name="T15" fmla="*/ 281 h 281"/>
              <a:gd name="T16" fmla="*/ 210 w 28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210" y="140"/>
                </a:lnTo>
                <a:lnTo>
                  <a:pt x="281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1"/>
                </a:lnTo>
                <a:lnTo>
                  <a:pt x="210" y="28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</xdr:col>
      <xdr:colOff>236604</xdr:colOff>
      <xdr:row>11</xdr:row>
      <xdr:rowOff>109497</xdr:rowOff>
    </xdr:from>
    <xdr:to>
      <xdr:col>2</xdr:col>
      <xdr:colOff>236606</xdr:colOff>
      <xdr:row>14</xdr:row>
      <xdr:rowOff>144876</xdr:rowOff>
    </xdr:to>
    <xdr:cxnSp macro="">
      <xdr:nvCxnSpPr>
        <xdr:cNvPr id="541" name="Conector recto de flecha 540">
          <a:extLst>
            <a:ext uri="{FF2B5EF4-FFF2-40B4-BE49-F238E27FC236}">
              <a16:creationId xmlns:a16="http://schemas.microsoft.com/office/drawing/2014/main" id="{BE085615-FDAA-4416-AABF-553B505AACC8}"/>
            </a:ext>
          </a:extLst>
        </xdr:cNvPr>
        <xdr:cNvCxnSpPr/>
      </xdr:nvCxnSpPr>
      <xdr:spPr>
        <a:xfrm>
          <a:off x="2446404" y="2224047"/>
          <a:ext cx="2" cy="7307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</xdr:colOff>
      <xdr:row>11</xdr:row>
      <xdr:rowOff>108857</xdr:rowOff>
    </xdr:from>
    <xdr:to>
      <xdr:col>2</xdr:col>
      <xdr:colOff>228600</xdr:colOff>
      <xdr:row>11</xdr:row>
      <xdr:rowOff>108857</xdr:rowOff>
    </xdr:to>
    <xdr:cxnSp macro="">
      <xdr:nvCxnSpPr>
        <xdr:cNvPr id="542" name="Conector recto de flecha 541">
          <a:extLst>
            <a:ext uri="{FF2B5EF4-FFF2-40B4-BE49-F238E27FC236}">
              <a16:creationId xmlns:a16="http://schemas.microsoft.com/office/drawing/2014/main" id="{80EF2210-698D-4E06-9D91-CCD6DC017F1F}"/>
            </a:ext>
          </a:extLst>
        </xdr:cNvPr>
        <xdr:cNvCxnSpPr/>
      </xdr:nvCxnSpPr>
      <xdr:spPr>
        <a:xfrm flipH="1">
          <a:off x="2231571" y="2223407"/>
          <a:ext cx="2068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621907</xdr:colOff>
      <xdr:row>39</xdr:row>
      <xdr:rowOff>11350</xdr:rowOff>
    </xdr:from>
    <xdr:to>
      <xdr:col>7</xdr:col>
      <xdr:colOff>565367</xdr:colOff>
      <xdr:row>57</xdr:row>
      <xdr:rowOff>180078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id="{C2D2CDCD-39BB-4A2D-8D4D-F2EEE89651CB}"/>
            </a:ext>
          </a:extLst>
        </xdr:cNvPr>
        <xdr:cNvGrpSpPr>
          <a:grpSpLocks noChangeAspect="1"/>
        </xdr:cNvGrpSpPr>
      </xdr:nvGrpSpPr>
      <xdr:grpSpPr bwMode="auto">
        <a:xfrm>
          <a:off x="621907" y="7767421"/>
          <a:ext cx="6698434" cy="3667708"/>
          <a:chOff x="753" y="57"/>
          <a:chExt cx="550" cy="299"/>
        </a:xfrm>
      </xdr:grpSpPr>
      <xdr:sp macro="" textlink="">
        <xdr:nvSpPr>
          <xdr:cNvPr id="3" name="AutoShape 50">
            <a:extLst>
              <a:ext uri="{FF2B5EF4-FFF2-40B4-BE49-F238E27FC236}">
                <a16:creationId xmlns:a16="http://schemas.microsoft.com/office/drawing/2014/main" id="{D535DF1D-8783-4966-82A1-227EA8514A19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753" y="57"/>
            <a:ext cx="550" cy="2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grpSp>
        <xdr:nvGrpSpPr>
          <xdr:cNvPr id="4" name="Group 252">
            <a:extLst>
              <a:ext uri="{FF2B5EF4-FFF2-40B4-BE49-F238E27FC236}">
                <a16:creationId xmlns:a16="http://schemas.microsoft.com/office/drawing/2014/main" id="{59643D54-B00E-42A7-BD85-EE447BF74B8E}"/>
              </a:ext>
            </a:extLst>
          </xdr:cNvPr>
          <xdr:cNvGrpSpPr>
            <a:grpSpLocks/>
          </xdr:cNvGrpSpPr>
        </xdr:nvGrpSpPr>
        <xdr:grpSpPr bwMode="auto">
          <a:xfrm>
            <a:off x="821" y="106"/>
            <a:ext cx="402" cy="191"/>
            <a:chOff x="821" y="106"/>
            <a:chExt cx="402" cy="191"/>
          </a:xfrm>
        </xdr:grpSpPr>
        <xdr:sp macro="" textlink="">
          <xdr:nvSpPr>
            <xdr:cNvPr id="341" name="Line 52">
              <a:extLst>
                <a:ext uri="{FF2B5EF4-FFF2-40B4-BE49-F238E27FC236}">
                  <a16:creationId xmlns:a16="http://schemas.microsoft.com/office/drawing/2014/main" id="{E46137A9-E4F3-4C41-80D7-F568D2C0FE5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23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2" name="Line 53">
              <a:extLst>
                <a:ext uri="{FF2B5EF4-FFF2-40B4-BE49-F238E27FC236}">
                  <a16:creationId xmlns:a16="http://schemas.microsoft.com/office/drawing/2014/main" id="{E69585BF-0349-4F9F-BBED-E4F75091068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32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3" name="Line 54">
              <a:extLst>
                <a:ext uri="{FF2B5EF4-FFF2-40B4-BE49-F238E27FC236}">
                  <a16:creationId xmlns:a16="http://schemas.microsoft.com/office/drawing/2014/main" id="{36741F86-80CF-4F82-98BE-690AE8C4012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0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4" name="Line 55">
              <a:extLst>
                <a:ext uri="{FF2B5EF4-FFF2-40B4-BE49-F238E27FC236}">
                  <a16:creationId xmlns:a16="http://schemas.microsoft.com/office/drawing/2014/main" id="{DC838623-8AFC-47E2-8FA2-5E3AFEAABA8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9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5" name="Line 56">
              <a:extLst>
                <a:ext uri="{FF2B5EF4-FFF2-40B4-BE49-F238E27FC236}">
                  <a16:creationId xmlns:a16="http://schemas.microsoft.com/office/drawing/2014/main" id="{BE79351C-0261-45DA-A1EB-F1A594AD193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57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6" name="Line 57">
              <a:extLst>
                <a:ext uri="{FF2B5EF4-FFF2-40B4-BE49-F238E27FC236}">
                  <a16:creationId xmlns:a16="http://schemas.microsoft.com/office/drawing/2014/main" id="{33A60A0D-475A-4D62-B518-964C3BA4443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66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7" name="Line 58">
              <a:extLst>
                <a:ext uri="{FF2B5EF4-FFF2-40B4-BE49-F238E27FC236}">
                  <a16:creationId xmlns:a16="http://schemas.microsoft.com/office/drawing/2014/main" id="{61CE5C01-0AAB-4F0E-B591-94C148A5955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74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8" name="Line 59">
              <a:extLst>
                <a:ext uri="{FF2B5EF4-FFF2-40B4-BE49-F238E27FC236}">
                  <a16:creationId xmlns:a16="http://schemas.microsoft.com/office/drawing/2014/main" id="{F3743EAA-EF1B-4E79-8C43-FD5131A1954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83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9" name="Line 60">
              <a:extLst>
                <a:ext uri="{FF2B5EF4-FFF2-40B4-BE49-F238E27FC236}">
                  <a16:creationId xmlns:a16="http://schemas.microsoft.com/office/drawing/2014/main" id="{07F5A5F6-11AF-4241-9510-9DF06F12C3C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91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0" name="Line 61">
              <a:extLst>
                <a:ext uri="{FF2B5EF4-FFF2-40B4-BE49-F238E27FC236}">
                  <a16:creationId xmlns:a16="http://schemas.microsoft.com/office/drawing/2014/main" id="{FCE9D872-E1D3-4FE3-8605-39CF1F4F5DA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0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1" name="Line 62">
              <a:extLst>
                <a:ext uri="{FF2B5EF4-FFF2-40B4-BE49-F238E27FC236}">
                  <a16:creationId xmlns:a16="http://schemas.microsoft.com/office/drawing/2014/main" id="{D49418ED-2B77-4BD9-B8F1-B030AF22511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8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2" name="Line 63">
              <a:extLst>
                <a:ext uri="{FF2B5EF4-FFF2-40B4-BE49-F238E27FC236}">
                  <a16:creationId xmlns:a16="http://schemas.microsoft.com/office/drawing/2014/main" id="{39D5C6F6-6300-4A10-82DD-B349B802502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17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3" name="Line 64">
              <a:extLst>
                <a:ext uri="{FF2B5EF4-FFF2-40B4-BE49-F238E27FC236}">
                  <a16:creationId xmlns:a16="http://schemas.microsoft.com/office/drawing/2014/main" id="{1C10A89E-5656-4F98-BAE3-C7C833E7B26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25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4" name="Line 65">
              <a:extLst>
                <a:ext uri="{FF2B5EF4-FFF2-40B4-BE49-F238E27FC236}">
                  <a16:creationId xmlns:a16="http://schemas.microsoft.com/office/drawing/2014/main" id="{5DFE0F6E-FDBC-4219-902F-B2C7AF3FE91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34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5" name="Line 66">
              <a:extLst>
                <a:ext uri="{FF2B5EF4-FFF2-40B4-BE49-F238E27FC236}">
                  <a16:creationId xmlns:a16="http://schemas.microsoft.com/office/drawing/2014/main" id="{EE5AA0E0-E0B5-4950-B540-4A438726E96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42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6" name="Line 67">
              <a:extLst>
                <a:ext uri="{FF2B5EF4-FFF2-40B4-BE49-F238E27FC236}">
                  <a16:creationId xmlns:a16="http://schemas.microsoft.com/office/drawing/2014/main" id="{1158E560-E132-4B87-A8D5-8390021E4D1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1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7" name="Line 68">
              <a:extLst>
                <a:ext uri="{FF2B5EF4-FFF2-40B4-BE49-F238E27FC236}">
                  <a16:creationId xmlns:a16="http://schemas.microsoft.com/office/drawing/2014/main" id="{57FB9B7A-1927-4B3D-9E71-E7692AE660A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9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8" name="Line 69">
              <a:extLst>
                <a:ext uri="{FF2B5EF4-FFF2-40B4-BE49-F238E27FC236}">
                  <a16:creationId xmlns:a16="http://schemas.microsoft.com/office/drawing/2014/main" id="{3C972265-0382-4CCB-81A2-1C97F44515B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68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9" name="Line 70">
              <a:extLst>
                <a:ext uri="{FF2B5EF4-FFF2-40B4-BE49-F238E27FC236}">
                  <a16:creationId xmlns:a16="http://schemas.microsoft.com/office/drawing/2014/main" id="{309991AB-6437-4C69-8734-1BA7AFFFEC9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76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0" name="Line 71">
              <a:extLst>
                <a:ext uri="{FF2B5EF4-FFF2-40B4-BE49-F238E27FC236}">
                  <a16:creationId xmlns:a16="http://schemas.microsoft.com/office/drawing/2014/main" id="{D5A2095D-680B-481E-B90F-8446AA1CC06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5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1" name="Line 72">
              <a:extLst>
                <a:ext uri="{FF2B5EF4-FFF2-40B4-BE49-F238E27FC236}">
                  <a16:creationId xmlns:a16="http://schemas.microsoft.com/office/drawing/2014/main" id="{A5C349D0-4CD6-437C-9A9C-0E66EA15960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8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2" name="Line 73">
              <a:extLst>
                <a:ext uri="{FF2B5EF4-FFF2-40B4-BE49-F238E27FC236}">
                  <a16:creationId xmlns:a16="http://schemas.microsoft.com/office/drawing/2014/main" id="{6D824B35-5099-4EBF-A84C-2CA34540148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3" name="Line 74">
              <a:extLst>
                <a:ext uri="{FF2B5EF4-FFF2-40B4-BE49-F238E27FC236}">
                  <a16:creationId xmlns:a16="http://schemas.microsoft.com/office/drawing/2014/main" id="{B3F94CC6-4A8C-4B35-BB23-3ED7696A8D2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8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4" name="Line 75">
              <a:extLst>
                <a:ext uri="{FF2B5EF4-FFF2-40B4-BE49-F238E27FC236}">
                  <a16:creationId xmlns:a16="http://schemas.microsoft.com/office/drawing/2014/main" id="{13BF4040-AAAC-4B20-B78A-22588BA839A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7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5" name="Line 76">
              <a:extLst>
                <a:ext uri="{FF2B5EF4-FFF2-40B4-BE49-F238E27FC236}">
                  <a16:creationId xmlns:a16="http://schemas.microsoft.com/office/drawing/2014/main" id="{125B66BF-278E-4AEF-83A1-B0ECCF94D39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6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6" name="Line 77">
              <a:extLst>
                <a:ext uri="{FF2B5EF4-FFF2-40B4-BE49-F238E27FC236}">
                  <a16:creationId xmlns:a16="http://schemas.microsoft.com/office/drawing/2014/main" id="{E5A287B0-DFB0-47E0-BC1E-6BB2B43083F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5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7" name="Line 78">
              <a:extLst>
                <a:ext uri="{FF2B5EF4-FFF2-40B4-BE49-F238E27FC236}">
                  <a16:creationId xmlns:a16="http://schemas.microsoft.com/office/drawing/2014/main" id="{801F640C-192E-4D6A-A0FC-8D9504D4DAE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47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8" name="Line 79">
              <a:extLst>
                <a:ext uri="{FF2B5EF4-FFF2-40B4-BE49-F238E27FC236}">
                  <a16:creationId xmlns:a16="http://schemas.microsoft.com/office/drawing/2014/main" id="{D2CFE4E2-92DA-4A2B-A63C-B31CA5EE15F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9" name="Line 80">
              <a:extLst>
                <a:ext uri="{FF2B5EF4-FFF2-40B4-BE49-F238E27FC236}">
                  <a16:creationId xmlns:a16="http://schemas.microsoft.com/office/drawing/2014/main" id="{C78032FB-E18F-423F-AD42-127F1C5B5FC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0" name="Line 81">
              <a:extLst>
                <a:ext uri="{FF2B5EF4-FFF2-40B4-BE49-F238E27FC236}">
                  <a16:creationId xmlns:a16="http://schemas.microsoft.com/office/drawing/2014/main" id="{B47402AF-4787-4348-BC2E-B78C9A2EC09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2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1" name="Line 82">
              <a:extLst>
                <a:ext uri="{FF2B5EF4-FFF2-40B4-BE49-F238E27FC236}">
                  <a16:creationId xmlns:a16="http://schemas.microsoft.com/office/drawing/2014/main" id="{D0126AD8-9B22-4250-A061-3962FF8721C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1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2" name="Line 83">
              <a:extLst>
                <a:ext uri="{FF2B5EF4-FFF2-40B4-BE49-F238E27FC236}">
                  <a16:creationId xmlns:a16="http://schemas.microsoft.com/office/drawing/2014/main" id="{6F5E09A6-87AF-4E5B-A7DC-4052EB17686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3" name="Freeform 84">
              <a:extLst>
                <a:ext uri="{FF2B5EF4-FFF2-40B4-BE49-F238E27FC236}">
                  <a16:creationId xmlns:a16="http://schemas.microsoft.com/office/drawing/2014/main" id="{3D98AB5A-E2D1-411B-9291-4931E3BEAFC8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105 h 105"/>
                <a:gd name="T2" fmla="*/ 1979 w 1979"/>
                <a:gd name="T3" fmla="*/ 0 h 105"/>
                <a:gd name="T4" fmla="*/ 0 w 1979"/>
                <a:gd name="T5" fmla="*/ 105 h 105"/>
                <a:gd name="T6" fmla="*/ 1979 w 197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105"/>
                  </a:moveTo>
                  <a:lnTo>
                    <a:pt x="1979" y="0"/>
                  </a:lnTo>
                  <a:lnTo>
                    <a:pt x="0" y="105"/>
                  </a:lnTo>
                  <a:lnTo>
                    <a:pt x="1979" y="10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4" name="Freeform 85">
              <a:extLst>
                <a:ext uri="{FF2B5EF4-FFF2-40B4-BE49-F238E27FC236}">
                  <a16:creationId xmlns:a16="http://schemas.microsoft.com/office/drawing/2014/main" id="{08D3C192-FE73-4E35-B49B-D3BE8257671E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0 h 105"/>
                <a:gd name="T2" fmla="*/ 0 w 1979"/>
                <a:gd name="T3" fmla="*/ 105 h 105"/>
                <a:gd name="T4" fmla="*/ 18 w 1979"/>
                <a:gd name="T5" fmla="*/ 0 h 105"/>
                <a:gd name="T6" fmla="*/ 1979 w 1979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0"/>
                  </a:moveTo>
                  <a:lnTo>
                    <a:pt x="0" y="105"/>
                  </a:lnTo>
                  <a:lnTo>
                    <a:pt x="18" y="0"/>
                  </a:lnTo>
                  <a:lnTo>
                    <a:pt x="197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5" name="Freeform 86">
              <a:extLst>
                <a:ext uri="{FF2B5EF4-FFF2-40B4-BE49-F238E27FC236}">
                  <a16:creationId xmlns:a16="http://schemas.microsoft.com/office/drawing/2014/main" id="{1E221970-708A-43C6-98B4-EFD7701364B0}"/>
                </a:ext>
              </a:extLst>
            </xdr:cNvPr>
            <xdr:cNvSpPr>
              <a:spLocks/>
            </xdr:cNvSpPr>
          </xdr:nvSpPr>
          <xdr:spPr bwMode="auto">
            <a:xfrm>
              <a:off x="1028" y="238"/>
              <a:ext cx="162" cy="59"/>
            </a:xfrm>
            <a:custGeom>
              <a:avLst/>
              <a:gdLst>
                <a:gd name="T0" fmla="*/ 9523 w 9541"/>
                <a:gd name="T1" fmla="*/ 3477 h 3477"/>
                <a:gd name="T2" fmla="*/ 9541 w 9541"/>
                <a:gd name="T3" fmla="*/ 3372 h 3477"/>
                <a:gd name="T4" fmla="*/ 0 w 9541"/>
                <a:gd name="T5" fmla="*/ 0 h 3477"/>
                <a:gd name="T6" fmla="*/ 9523 w 9541"/>
                <a:gd name="T7" fmla="*/ 3477 h 34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7">
                  <a:moveTo>
                    <a:pt x="9523" y="3477"/>
                  </a:moveTo>
                  <a:lnTo>
                    <a:pt x="9541" y="3372"/>
                  </a:lnTo>
                  <a:lnTo>
                    <a:pt x="0" y="0"/>
                  </a:lnTo>
                  <a:lnTo>
                    <a:pt x="9523" y="347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6" name="Freeform 87">
              <a:extLst>
                <a:ext uri="{FF2B5EF4-FFF2-40B4-BE49-F238E27FC236}">
                  <a16:creationId xmlns:a16="http://schemas.microsoft.com/office/drawing/2014/main" id="{FE7BB1E2-B156-4DDC-A485-175A0DB36BCD}"/>
                </a:ext>
              </a:extLst>
            </xdr:cNvPr>
            <xdr:cNvSpPr>
              <a:spLocks/>
            </xdr:cNvSpPr>
          </xdr:nvSpPr>
          <xdr:spPr bwMode="auto">
            <a:xfrm>
              <a:off x="1028" y="237"/>
              <a:ext cx="162" cy="59"/>
            </a:xfrm>
            <a:custGeom>
              <a:avLst/>
              <a:gdLst>
                <a:gd name="T0" fmla="*/ 9541 w 9541"/>
                <a:gd name="T1" fmla="*/ 3478 h 3478"/>
                <a:gd name="T2" fmla="*/ 0 w 9541"/>
                <a:gd name="T3" fmla="*/ 106 h 3478"/>
                <a:gd name="T4" fmla="*/ 18 w 9541"/>
                <a:gd name="T5" fmla="*/ 0 h 3478"/>
                <a:gd name="T6" fmla="*/ 9541 w 9541"/>
                <a:gd name="T7" fmla="*/ 3478 h 34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8">
                  <a:moveTo>
                    <a:pt x="9541" y="3478"/>
                  </a:moveTo>
                  <a:lnTo>
                    <a:pt x="0" y="106"/>
                  </a:lnTo>
                  <a:lnTo>
                    <a:pt x="18" y="0"/>
                  </a:lnTo>
                  <a:lnTo>
                    <a:pt x="9541" y="3478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7" name="Freeform 88">
              <a:extLst>
                <a:ext uri="{FF2B5EF4-FFF2-40B4-BE49-F238E27FC236}">
                  <a16:creationId xmlns:a16="http://schemas.microsoft.com/office/drawing/2014/main" id="{7252113F-DC3F-4A99-BBD4-F67E271DA3E7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35 w 11553"/>
                <a:gd name="T1" fmla="*/ 106 h 106"/>
                <a:gd name="T2" fmla="*/ 11553 w 11553"/>
                <a:gd name="T3" fmla="*/ 0 h 106"/>
                <a:gd name="T4" fmla="*/ 0 w 11553"/>
                <a:gd name="T5" fmla="*/ 106 h 106"/>
                <a:gd name="T6" fmla="*/ 11535 w 11553"/>
                <a:gd name="T7" fmla="*/ 106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35" y="106"/>
                  </a:moveTo>
                  <a:lnTo>
                    <a:pt x="11553" y="0"/>
                  </a:lnTo>
                  <a:lnTo>
                    <a:pt x="0" y="106"/>
                  </a:lnTo>
                  <a:lnTo>
                    <a:pt x="11535" y="10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8" name="Freeform 89">
              <a:extLst>
                <a:ext uri="{FF2B5EF4-FFF2-40B4-BE49-F238E27FC236}">
                  <a16:creationId xmlns:a16="http://schemas.microsoft.com/office/drawing/2014/main" id="{159B28F2-D1D5-4049-9D46-C637A32DF734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53 w 11553"/>
                <a:gd name="T1" fmla="*/ 0 h 106"/>
                <a:gd name="T2" fmla="*/ 0 w 11553"/>
                <a:gd name="T3" fmla="*/ 106 h 106"/>
                <a:gd name="T4" fmla="*/ 0 w 11553"/>
                <a:gd name="T5" fmla="*/ 0 h 106"/>
                <a:gd name="T6" fmla="*/ 11553 w 115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53" y="0"/>
                  </a:moveTo>
                  <a:lnTo>
                    <a:pt x="0" y="106"/>
                  </a:lnTo>
                  <a:lnTo>
                    <a:pt x="0" y="0"/>
                  </a:lnTo>
                  <a:lnTo>
                    <a:pt x="1155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9" name="Freeform 90">
              <a:extLst>
                <a:ext uri="{FF2B5EF4-FFF2-40B4-BE49-F238E27FC236}">
                  <a16:creationId xmlns:a16="http://schemas.microsoft.com/office/drawing/2014/main" id="{374638D1-EFB5-4A93-9133-2B42FA8EF210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76"/>
                <a:gd name="T1" fmla="*/ 7696 h 7794"/>
                <a:gd name="T2" fmla="*/ 36 w 21076"/>
                <a:gd name="T3" fmla="*/ 7794 h 7794"/>
                <a:gd name="T4" fmla="*/ 21076 w 21076"/>
                <a:gd name="T5" fmla="*/ 0 h 7794"/>
                <a:gd name="T6" fmla="*/ 0 w 21076"/>
                <a:gd name="T7" fmla="*/ 7696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76" h="7794">
                  <a:moveTo>
                    <a:pt x="0" y="7696"/>
                  </a:moveTo>
                  <a:lnTo>
                    <a:pt x="36" y="7794"/>
                  </a:lnTo>
                  <a:lnTo>
                    <a:pt x="21076" y="0"/>
                  </a:lnTo>
                  <a:lnTo>
                    <a:pt x="0" y="769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0" name="Freeform 91">
              <a:extLst>
                <a:ext uri="{FF2B5EF4-FFF2-40B4-BE49-F238E27FC236}">
                  <a16:creationId xmlns:a16="http://schemas.microsoft.com/office/drawing/2014/main" id="{A0B40672-E265-4475-926D-4B7EA1DC460A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58"/>
                <a:gd name="T1" fmla="*/ 7794 h 7794"/>
                <a:gd name="T2" fmla="*/ 21040 w 21058"/>
                <a:gd name="T3" fmla="*/ 0 h 7794"/>
                <a:gd name="T4" fmla="*/ 21058 w 21058"/>
                <a:gd name="T5" fmla="*/ 107 h 7794"/>
                <a:gd name="T6" fmla="*/ 0 w 21058"/>
                <a:gd name="T7" fmla="*/ 7794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58" h="7794">
                  <a:moveTo>
                    <a:pt x="0" y="7794"/>
                  </a:moveTo>
                  <a:lnTo>
                    <a:pt x="21040" y="0"/>
                  </a:lnTo>
                  <a:lnTo>
                    <a:pt x="21058" y="107"/>
                  </a:lnTo>
                  <a:lnTo>
                    <a:pt x="0" y="779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1" name="Freeform 92">
              <a:extLst>
                <a:ext uri="{FF2B5EF4-FFF2-40B4-BE49-F238E27FC236}">
                  <a16:creationId xmlns:a16="http://schemas.microsoft.com/office/drawing/2014/main" id="{1B62BFA1-EF19-49C1-9DCD-C7316F42864A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79"/>
                <a:gd name="T1" fmla="*/ 0 h 107"/>
                <a:gd name="T2" fmla="*/ 18 w 1979"/>
                <a:gd name="T3" fmla="*/ 107 h 107"/>
                <a:gd name="T4" fmla="*/ 1979 w 1979"/>
                <a:gd name="T5" fmla="*/ 0 h 107"/>
                <a:gd name="T6" fmla="*/ 0 w 1979"/>
                <a:gd name="T7" fmla="*/ 0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7">
                  <a:moveTo>
                    <a:pt x="0" y="0"/>
                  </a:moveTo>
                  <a:lnTo>
                    <a:pt x="18" y="107"/>
                  </a:lnTo>
                  <a:lnTo>
                    <a:pt x="1979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2" name="Freeform 93">
              <a:extLst>
                <a:ext uri="{FF2B5EF4-FFF2-40B4-BE49-F238E27FC236}">
                  <a16:creationId xmlns:a16="http://schemas.microsoft.com/office/drawing/2014/main" id="{0D2A36FA-7032-4924-8CA4-8FD0514559B0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61"/>
                <a:gd name="T1" fmla="*/ 107 h 107"/>
                <a:gd name="T2" fmla="*/ 1961 w 1961"/>
                <a:gd name="T3" fmla="*/ 0 h 107"/>
                <a:gd name="T4" fmla="*/ 1961 w 1961"/>
                <a:gd name="T5" fmla="*/ 107 h 107"/>
                <a:gd name="T6" fmla="*/ 0 w 1961"/>
                <a:gd name="T7" fmla="*/ 107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61" h="107">
                  <a:moveTo>
                    <a:pt x="0" y="107"/>
                  </a:moveTo>
                  <a:lnTo>
                    <a:pt x="1961" y="0"/>
                  </a:lnTo>
                  <a:lnTo>
                    <a:pt x="1961" y="107"/>
                  </a:lnTo>
                  <a:lnTo>
                    <a:pt x="0" y="10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3" name="Line 94">
              <a:extLst>
                <a:ext uri="{FF2B5EF4-FFF2-40B4-BE49-F238E27FC236}">
                  <a16:creationId xmlns:a16="http://schemas.microsoft.com/office/drawing/2014/main" id="{8F90D32D-BB8D-4AC8-B0C4-8D568034A86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928" y="202"/>
              <a:ext cx="262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4" name="Line 95">
              <a:extLst>
                <a:ext uri="{FF2B5EF4-FFF2-40B4-BE49-F238E27FC236}">
                  <a16:creationId xmlns:a16="http://schemas.microsoft.com/office/drawing/2014/main" id="{212734FD-EE94-492D-A714-EF2D05E5BD0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93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5" name="Line 96">
              <a:extLst>
                <a:ext uri="{FF2B5EF4-FFF2-40B4-BE49-F238E27FC236}">
                  <a16:creationId xmlns:a16="http://schemas.microsoft.com/office/drawing/2014/main" id="{B9F3DCC1-8CEF-47F3-9939-CD167F3AEA5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8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6" name="Line 97">
              <a:extLst>
                <a:ext uri="{FF2B5EF4-FFF2-40B4-BE49-F238E27FC236}">
                  <a16:creationId xmlns:a16="http://schemas.microsoft.com/office/drawing/2014/main" id="{0AF85900-6843-4F28-ACB5-44D97949315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7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7" name="Line 98">
              <a:extLst>
                <a:ext uri="{FF2B5EF4-FFF2-40B4-BE49-F238E27FC236}">
                  <a16:creationId xmlns:a16="http://schemas.microsoft.com/office/drawing/2014/main" id="{F63AE1B7-0A3D-4026-A851-DB9BF9138B9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6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8" name="Line 99">
              <a:extLst>
                <a:ext uri="{FF2B5EF4-FFF2-40B4-BE49-F238E27FC236}">
                  <a16:creationId xmlns:a16="http://schemas.microsoft.com/office/drawing/2014/main" id="{F74583D1-99D3-473B-B0C7-6141F162703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9" name="Line 100">
              <a:extLst>
                <a:ext uri="{FF2B5EF4-FFF2-40B4-BE49-F238E27FC236}">
                  <a16:creationId xmlns:a16="http://schemas.microsoft.com/office/drawing/2014/main" id="{2A563871-BBD6-49CF-8574-F7B68166E9A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0" name="Line 101">
              <a:extLst>
                <a:ext uri="{FF2B5EF4-FFF2-40B4-BE49-F238E27FC236}">
                  <a16:creationId xmlns:a16="http://schemas.microsoft.com/office/drawing/2014/main" id="{B4FB93F4-5AB3-4AA8-9743-1CF3988459B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4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1" name="Line 102">
              <a:extLst>
                <a:ext uri="{FF2B5EF4-FFF2-40B4-BE49-F238E27FC236}">
                  <a16:creationId xmlns:a16="http://schemas.microsoft.com/office/drawing/2014/main" id="{4823D61D-C7B8-433B-9075-A82D3D214E3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3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2" name="Line 103">
              <a:extLst>
                <a:ext uri="{FF2B5EF4-FFF2-40B4-BE49-F238E27FC236}">
                  <a16:creationId xmlns:a16="http://schemas.microsoft.com/office/drawing/2014/main" id="{A24FED01-86AC-4327-A921-1CC7796916B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2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3" name="Line 104">
              <a:extLst>
                <a:ext uri="{FF2B5EF4-FFF2-40B4-BE49-F238E27FC236}">
                  <a16:creationId xmlns:a16="http://schemas.microsoft.com/office/drawing/2014/main" id="{B7EDE2D6-CBC2-43E7-BABB-6B3EBDB53E3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1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4" name="Line 105">
              <a:extLst>
                <a:ext uri="{FF2B5EF4-FFF2-40B4-BE49-F238E27FC236}">
                  <a16:creationId xmlns:a16="http://schemas.microsoft.com/office/drawing/2014/main" id="{702B2E1E-5C3C-4EF6-8AA3-DE40CB9795F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5" name="Line 106">
              <a:extLst>
                <a:ext uri="{FF2B5EF4-FFF2-40B4-BE49-F238E27FC236}">
                  <a16:creationId xmlns:a16="http://schemas.microsoft.com/office/drawing/2014/main" id="{CE0290D1-7E5C-4E30-AA1C-D3BE3926712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2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6" name="Line 107">
              <a:extLst>
                <a:ext uri="{FF2B5EF4-FFF2-40B4-BE49-F238E27FC236}">
                  <a16:creationId xmlns:a16="http://schemas.microsoft.com/office/drawing/2014/main" id="{E25C7449-004A-4854-BEDA-46D2332A5F1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7" name="Line 108">
              <a:extLst>
                <a:ext uri="{FF2B5EF4-FFF2-40B4-BE49-F238E27FC236}">
                  <a16:creationId xmlns:a16="http://schemas.microsoft.com/office/drawing/2014/main" id="{47355F33-43C5-4628-8EC0-79CD41E04CA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8" name="Line 109">
              <a:extLst>
                <a:ext uri="{FF2B5EF4-FFF2-40B4-BE49-F238E27FC236}">
                  <a16:creationId xmlns:a16="http://schemas.microsoft.com/office/drawing/2014/main" id="{78AE0A4A-00E9-4267-9DE4-77FE760CAD4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9" name="Line 110">
              <a:extLst>
                <a:ext uri="{FF2B5EF4-FFF2-40B4-BE49-F238E27FC236}">
                  <a16:creationId xmlns:a16="http://schemas.microsoft.com/office/drawing/2014/main" id="{1B985E3E-ECE7-49AE-8B96-8B15F7E0356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0" name="Line 111">
              <a:extLst>
                <a:ext uri="{FF2B5EF4-FFF2-40B4-BE49-F238E27FC236}">
                  <a16:creationId xmlns:a16="http://schemas.microsoft.com/office/drawing/2014/main" id="{46FCD1C8-3C8B-4460-89E4-5BB914A9F53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1" name="Line 112">
              <a:extLst>
                <a:ext uri="{FF2B5EF4-FFF2-40B4-BE49-F238E27FC236}">
                  <a16:creationId xmlns:a16="http://schemas.microsoft.com/office/drawing/2014/main" id="{CE927EDE-34F9-4718-9C69-9650518057F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2" name="Line 113">
              <a:extLst>
                <a:ext uri="{FF2B5EF4-FFF2-40B4-BE49-F238E27FC236}">
                  <a16:creationId xmlns:a16="http://schemas.microsoft.com/office/drawing/2014/main" id="{2B84A72E-1670-44C8-9FBD-FF4155422B3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3" name="Line 114">
              <a:extLst>
                <a:ext uri="{FF2B5EF4-FFF2-40B4-BE49-F238E27FC236}">
                  <a16:creationId xmlns:a16="http://schemas.microsoft.com/office/drawing/2014/main" id="{302FDBD6-C063-4A3A-9DF3-CE5F29AA182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4" name="Line 115">
              <a:extLst>
                <a:ext uri="{FF2B5EF4-FFF2-40B4-BE49-F238E27FC236}">
                  <a16:creationId xmlns:a16="http://schemas.microsoft.com/office/drawing/2014/main" id="{3A6C76F2-A286-405D-95A7-F81595F1AB1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5" name="Line 116">
              <a:extLst>
                <a:ext uri="{FF2B5EF4-FFF2-40B4-BE49-F238E27FC236}">
                  <a16:creationId xmlns:a16="http://schemas.microsoft.com/office/drawing/2014/main" id="{8F2FAE46-5BAC-4D49-B99D-4BC186EBCFB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6" name="Line 117">
              <a:extLst>
                <a:ext uri="{FF2B5EF4-FFF2-40B4-BE49-F238E27FC236}">
                  <a16:creationId xmlns:a16="http://schemas.microsoft.com/office/drawing/2014/main" id="{1CC67B5A-D800-4598-A446-1A0304BC682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7" name="Line 118">
              <a:extLst>
                <a:ext uri="{FF2B5EF4-FFF2-40B4-BE49-F238E27FC236}">
                  <a16:creationId xmlns:a16="http://schemas.microsoft.com/office/drawing/2014/main" id="{0383A27A-6CA1-4AA2-86D1-8CD14165017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8" name="Line 119">
              <a:extLst>
                <a:ext uri="{FF2B5EF4-FFF2-40B4-BE49-F238E27FC236}">
                  <a16:creationId xmlns:a16="http://schemas.microsoft.com/office/drawing/2014/main" id="{2B1E88EC-EA13-4646-90CC-F04AFA51517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9" name="Line 120">
              <a:extLst>
                <a:ext uri="{FF2B5EF4-FFF2-40B4-BE49-F238E27FC236}">
                  <a16:creationId xmlns:a16="http://schemas.microsoft.com/office/drawing/2014/main" id="{E28459D8-F9DE-4F55-8C85-C56F6CC4FEE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0" name="Line 121">
              <a:extLst>
                <a:ext uri="{FF2B5EF4-FFF2-40B4-BE49-F238E27FC236}">
                  <a16:creationId xmlns:a16="http://schemas.microsoft.com/office/drawing/2014/main" id="{C1B6C8B6-B7B6-466C-AB79-D6058763B78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1" name="Line 122">
              <a:extLst>
                <a:ext uri="{FF2B5EF4-FFF2-40B4-BE49-F238E27FC236}">
                  <a16:creationId xmlns:a16="http://schemas.microsoft.com/office/drawing/2014/main" id="{963D7FED-C1C7-49DD-AD63-BE045DBCE83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2" name="Line 123">
              <a:extLst>
                <a:ext uri="{FF2B5EF4-FFF2-40B4-BE49-F238E27FC236}">
                  <a16:creationId xmlns:a16="http://schemas.microsoft.com/office/drawing/2014/main" id="{4CC994D4-A6F9-49F6-A23D-AF455050CDE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3" name="Line 124">
              <a:extLst>
                <a:ext uri="{FF2B5EF4-FFF2-40B4-BE49-F238E27FC236}">
                  <a16:creationId xmlns:a16="http://schemas.microsoft.com/office/drawing/2014/main" id="{A4E7EC19-13E7-47A7-A6A1-58F18A8B60D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4" name="Line 125">
              <a:extLst>
                <a:ext uri="{FF2B5EF4-FFF2-40B4-BE49-F238E27FC236}">
                  <a16:creationId xmlns:a16="http://schemas.microsoft.com/office/drawing/2014/main" id="{7851C62B-24AE-4880-A75B-4AE9DAEBF5B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5" name="Line 126">
              <a:extLst>
                <a:ext uri="{FF2B5EF4-FFF2-40B4-BE49-F238E27FC236}">
                  <a16:creationId xmlns:a16="http://schemas.microsoft.com/office/drawing/2014/main" id="{975712EA-6138-4904-9EFC-CD22B687E78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6" name="Line 127">
              <a:extLst>
                <a:ext uri="{FF2B5EF4-FFF2-40B4-BE49-F238E27FC236}">
                  <a16:creationId xmlns:a16="http://schemas.microsoft.com/office/drawing/2014/main" id="{A1D51788-5DC3-4C20-9263-655E39CA651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7" name="Line 128">
              <a:extLst>
                <a:ext uri="{FF2B5EF4-FFF2-40B4-BE49-F238E27FC236}">
                  <a16:creationId xmlns:a16="http://schemas.microsoft.com/office/drawing/2014/main" id="{5E6171CE-4096-4556-9FD7-73981560594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8" name="Line 129">
              <a:extLst>
                <a:ext uri="{FF2B5EF4-FFF2-40B4-BE49-F238E27FC236}">
                  <a16:creationId xmlns:a16="http://schemas.microsoft.com/office/drawing/2014/main" id="{4BDC6CF8-AF26-47AE-AFEA-34ED1285273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9" name="Line 130">
              <a:extLst>
                <a:ext uri="{FF2B5EF4-FFF2-40B4-BE49-F238E27FC236}">
                  <a16:creationId xmlns:a16="http://schemas.microsoft.com/office/drawing/2014/main" id="{0C11EB1C-CE58-4423-885B-2C075E0ED23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0" name="Line 131">
              <a:extLst>
                <a:ext uri="{FF2B5EF4-FFF2-40B4-BE49-F238E27FC236}">
                  <a16:creationId xmlns:a16="http://schemas.microsoft.com/office/drawing/2014/main" id="{6057DB3B-FC3C-4B82-9CAD-71569F1E130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1" name="Line 132">
              <a:extLst>
                <a:ext uri="{FF2B5EF4-FFF2-40B4-BE49-F238E27FC236}">
                  <a16:creationId xmlns:a16="http://schemas.microsoft.com/office/drawing/2014/main" id="{782B7379-47B8-46D2-89F4-03AFF3D5123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2" name="Line 133">
              <a:extLst>
                <a:ext uri="{FF2B5EF4-FFF2-40B4-BE49-F238E27FC236}">
                  <a16:creationId xmlns:a16="http://schemas.microsoft.com/office/drawing/2014/main" id="{DE68A9A0-74E5-4785-8C38-04091036A1D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3" name="Line 134">
              <a:extLst>
                <a:ext uri="{FF2B5EF4-FFF2-40B4-BE49-F238E27FC236}">
                  <a16:creationId xmlns:a16="http://schemas.microsoft.com/office/drawing/2014/main" id="{6CB1F64F-A8DB-4E69-B250-7075A1B06F6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4" name="Line 135">
              <a:extLst>
                <a:ext uri="{FF2B5EF4-FFF2-40B4-BE49-F238E27FC236}">
                  <a16:creationId xmlns:a16="http://schemas.microsoft.com/office/drawing/2014/main" id="{65BB5D9A-B323-4064-AD63-554425C4104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5" name="Line 136">
              <a:extLst>
                <a:ext uri="{FF2B5EF4-FFF2-40B4-BE49-F238E27FC236}">
                  <a16:creationId xmlns:a16="http://schemas.microsoft.com/office/drawing/2014/main" id="{6C4948F2-8295-40A9-9FEF-12FF1EF0D93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6" name="Line 137">
              <a:extLst>
                <a:ext uri="{FF2B5EF4-FFF2-40B4-BE49-F238E27FC236}">
                  <a16:creationId xmlns:a16="http://schemas.microsoft.com/office/drawing/2014/main" id="{31A66B6B-2309-4FBC-B7E9-FBFF986D77A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7" name="Line 138">
              <a:extLst>
                <a:ext uri="{FF2B5EF4-FFF2-40B4-BE49-F238E27FC236}">
                  <a16:creationId xmlns:a16="http://schemas.microsoft.com/office/drawing/2014/main" id="{8762027E-C1D6-4AC3-B82A-C58DB32CE3A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8" name="Line 139">
              <a:extLst>
                <a:ext uri="{FF2B5EF4-FFF2-40B4-BE49-F238E27FC236}">
                  <a16:creationId xmlns:a16="http://schemas.microsoft.com/office/drawing/2014/main" id="{32C855EC-62CB-48F6-9954-210F6BA8D3C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9" name="Line 140">
              <a:extLst>
                <a:ext uri="{FF2B5EF4-FFF2-40B4-BE49-F238E27FC236}">
                  <a16:creationId xmlns:a16="http://schemas.microsoft.com/office/drawing/2014/main" id="{FAF0C9AF-0004-49A1-B17F-804B4B1AEFC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0" name="Line 141">
              <a:extLst>
                <a:ext uri="{FF2B5EF4-FFF2-40B4-BE49-F238E27FC236}">
                  <a16:creationId xmlns:a16="http://schemas.microsoft.com/office/drawing/2014/main" id="{017C61F7-C26D-43C8-A01D-06CC1EF76C0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1" name="Line 142">
              <a:extLst>
                <a:ext uri="{FF2B5EF4-FFF2-40B4-BE49-F238E27FC236}">
                  <a16:creationId xmlns:a16="http://schemas.microsoft.com/office/drawing/2014/main" id="{091BB4A6-338B-4432-83BE-196C302AA78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2" name="Line 143">
              <a:extLst>
                <a:ext uri="{FF2B5EF4-FFF2-40B4-BE49-F238E27FC236}">
                  <a16:creationId xmlns:a16="http://schemas.microsoft.com/office/drawing/2014/main" id="{1C6832EF-A408-4C7F-80E6-216FB43677A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3" name="Line 144">
              <a:extLst>
                <a:ext uri="{FF2B5EF4-FFF2-40B4-BE49-F238E27FC236}">
                  <a16:creationId xmlns:a16="http://schemas.microsoft.com/office/drawing/2014/main" id="{86E68AF3-B000-4FDB-B8D7-D9B2324EE9F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4" name="Line 145">
              <a:extLst>
                <a:ext uri="{FF2B5EF4-FFF2-40B4-BE49-F238E27FC236}">
                  <a16:creationId xmlns:a16="http://schemas.microsoft.com/office/drawing/2014/main" id="{B115F3C6-0B8C-4C7C-A6AB-98C698B2AE3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5" name="Line 146">
              <a:extLst>
                <a:ext uri="{FF2B5EF4-FFF2-40B4-BE49-F238E27FC236}">
                  <a16:creationId xmlns:a16="http://schemas.microsoft.com/office/drawing/2014/main" id="{5107D9F1-15E9-49F5-8856-453F5D9734D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6" name="Line 147">
              <a:extLst>
                <a:ext uri="{FF2B5EF4-FFF2-40B4-BE49-F238E27FC236}">
                  <a16:creationId xmlns:a16="http://schemas.microsoft.com/office/drawing/2014/main" id="{620F0AA0-226A-4487-93D8-73DF6CADBCD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7" name="Line 148">
              <a:extLst>
                <a:ext uri="{FF2B5EF4-FFF2-40B4-BE49-F238E27FC236}">
                  <a16:creationId xmlns:a16="http://schemas.microsoft.com/office/drawing/2014/main" id="{29999FFA-DE0E-445C-BE33-C95070F207E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8" name="Line 149">
              <a:extLst>
                <a:ext uri="{FF2B5EF4-FFF2-40B4-BE49-F238E27FC236}">
                  <a16:creationId xmlns:a16="http://schemas.microsoft.com/office/drawing/2014/main" id="{EDD12F15-3BF1-4A33-97EC-F785C077865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9" name="Line 150">
              <a:extLst>
                <a:ext uri="{FF2B5EF4-FFF2-40B4-BE49-F238E27FC236}">
                  <a16:creationId xmlns:a16="http://schemas.microsoft.com/office/drawing/2014/main" id="{628A47D2-EFF9-4E7B-A2EF-39308144D1E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0" name="Line 151">
              <a:extLst>
                <a:ext uri="{FF2B5EF4-FFF2-40B4-BE49-F238E27FC236}">
                  <a16:creationId xmlns:a16="http://schemas.microsoft.com/office/drawing/2014/main" id="{DEE877A0-E52E-4F62-B98F-6109D212D76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1" name="Line 152">
              <a:extLst>
                <a:ext uri="{FF2B5EF4-FFF2-40B4-BE49-F238E27FC236}">
                  <a16:creationId xmlns:a16="http://schemas.microsoft.com/office/drawing/2014/main" id="{79E8499C-CE2D-451D-AA7B-1E6C319B3B7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2" name="Line 153">
              <a:extLst>
                <a:ext uri="{FF2B5EF4-FFF2-40B4-BE49-F238E27FC236}">
                  <a16:creationId xmlns:a16="http://schemas.microsoft.com/office/drawing/2014/main" id="{2EC61E03-96D4-4943-82FC-7CE28D4D311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3" name="Line 154">
              <a:extLst>
                <a:ext uri="{FF2B5EF4-FFF2-40B4-BE49-F238E27FC236}">
                  <a16:creationId xmlns:a16="http://schemas.microsoft.com/office/drawing/2014/main" id="{374FAC73-F5A0-4743-94F9-76BB2C332C4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4" name="Line 155">
              <a:extLst>
                <a:ext uri="{FF2B5EF4-FFF2-40B4-BE49-F238E27FC236}">
                  <a16:creationId xmlns:a16="http://schemas.microsoft.com/office/drawing/2014/main" id="{7DE7841C-E324-4E5D-BB12-3D2C4227FD4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5" name="Line 156">
              <a:extLst>
                <a:ext uri="{FF2B5EF4-FFF2-40B4-BE49-F238E27FC236}">
                  <a16:creationId xmlns:a16="http://schemas.microsoft.com/office/drawing/2014/main" id="{1880D06B-80FF-4424-B871-C6B0D40C3E0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6" name="Line 157">
              <a:extLst>
                <a:ext uri="{FF2B5EF4-FFF2-40B4-BE49-F238E27FC236}">
                  <a16:creationId xmlns:a16="http://schemas.microsoft.com/office/drawing/2014/main" id="{3F1D914B-9151-4BA2-9018-47B39973FE2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7" name="Line 158">
              <a:extLst>
                <a:ext uri="{FF2B5EF4-FFF2-40B4-BE49-F238E27FC236}">
                  <a16:creationId xmlns:a16="http://schemas.microsoft.com/office/drawing/2014/main" id="{E720F565-21B6-4DB8-B523-1E1CA8AFA03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8" name="Line 159">
              <a:extLst>
                <a:ext uri="{FF2B5EF4-FFF2-40B4-BE49-F238E27FC236}">
                  <a16:creationId xmlns:a16="http://schemas.microsoft.com/office/drawing/2014/main" id="{B586565E-1775-4EDC-BC3B-DEAC81F824F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9" name="Line 160">
              <a:extLst>
                <a:ext uri="{FF2B5EF4-FFF2-40B4-BE49-F238E27FC236}">
                  <a16:creationId xmlns:a16="http://schemas.microsoft.com/office/drawing/2014/main" id="{BAE70FBD-5AB2-42BA-AEEE-7B16B601929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0" name="Line 161">
              <a:extLst>
                <a:ext uri="{FF2B5EF4-FFF2-40B4-BE49-F238E27FC236}">
                  <a16:creationId xmlns:a16="http://schemas.microsoft.com/office/drawing/2014/main" id="{F2381600-F363-4022-A1A9-C6065A1DBA9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1" name="Line 162">
              <a:extLst>
                <a:ext uri="{FF2B5EF4-FFF2-40B4-BE49-F238E27FC236}">
                  <a16:creationId xmlns:a16="http://schemas.microsoft.com/office/drawing/2014/main" id="{5B9A27F7-AB4A-46A3-BCEC-B8F261091A3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2" name="Line 163">
              <a:extLst>
                <a:ext uri="{FF2B5EF4-FFF2-40B4-BE49-F238E27FC236}">
                  <a16:creationId xmlns:a16="http://schemas.microsoft.com/office/drawing/2014/main" id="{0BD4F779-FB3C-4748-9F7F-439B4014D6F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3" name="Line 164">
              <a:extLst>
                <a:ext uri="{FF2B5EF4-FFF2-40B4-BE49-F238E27FC236}">
                  <a16:creationId xmlns:a16="http://schemas.microsoft.com/office/drawing/2014/main" id="{82C7E0F2-F7F8-45F5-804C-16DB01527F7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4" name="Line 165">
              <a:extLst>
                <a:ext uri="{FF2B5EF4-FFF2-40B4-BE49-F238E27FC236}">
                  <a16:creationId xmlns:a16="http://schemas.microsoft.com/office/drawing/2014/main" id="{7D92DD3C-34A3-406A-9F73-B314E176B91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5" name="Line 166">
              <a:extLst>
                <a:ext uri="{FF2B5EF4-FFF2-40B4-BE49-F238E27FC236}">
                  <a16:creationId xmlns:a16="http://schemas.microsoft.com/office/drawing/2014/main" id="{7B982AF4-5536-4851-94FE-2C13DE555DF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6" name="Line 167">
              <a:extLst>
                <a:ext uri="{FF2B5EF4-FFF2-40B4-BE49-F238E27FC236}">
                  <a16:creationId xmlns:a16="http://schemas.microsoft.com/office/drawing/2014/main" id="{A1D0B67B-2547-487A-954E-4BFB8063DA0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7" name="Line 168">
              <a:extLst>
                <a:ext uri="{FF2B5EF4-FFF2-40B4-BE49-F238E27FC236}">
                  <a16:creationId xmlns:a16="http://schemas.microsoft.com/office/drawing/2014/main" id="{ED323945-BB1C-4D37-B0F5-139B310DA9F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8" name="Line 169">
              <a:extLst>
                <a:ext uri="{FF2B5EF4-FFF2-40B4-BE49-F238E27FC236}">
                  <a16:creationId xmlns:a16="http://schemas.microsoft.com/office/drawing/2014/main" id="{FBE4E08E-4BB6-4FE5-9FD0-97066629BB1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9" name="Line 170">
              <a:extLst>
                <a:ext uri="{FF2B5EF4-FFF2-40B4-BE49-F238E27FC236}">
                  <a16:creationId xmlns:a16="http://schemas.microsoft.com/office/drawing/2014/main" id="{F4FE11BE-4465-4BEC-9AD3-2B3B06C34B1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0" name="Line 171">
              <a:extLst>
                <a:ext uri="{FF2B5EF4-FFF2-40B4-BE49-F238E27FC236}">
                  <a16:creationId xmlns:a16="http://schemas.microsoft.com/office/drawing/2014/main" id="{F6EE8299-C8BF-4960-800B-08E586E7708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33" y="202"/>
              <a:ext cx="95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1" name="Freeform 172">
              <a:extLst>
                <a:ext uri="{FF2B5EF4-FFF2-40B4-BE49-F238E27FC236}">
                  <a16:creationId xmlns:a16="http://schemas.microsoft.com/office/drawing/2014/main" id="{ECE950A4-05AC-410F-9081-3EB58B3AF5C3}"/>
                </a:ext>
              </a:extLst>
            </xdr:cNvPr>
            <xdr:cNvSpPr>
              <a:spLocks/>
            </xdr:cNvSpPr>
          </xdr:nvSpPr>
          <xdr:spPr bwMode="auto">
            <a:xfrm>
              <a:off x="821" y="188"/>
              <a:ext cx="6" cy="9"/>
            </a:xfrm>
            <a:custGeom>
              <a:avLst/>
              <a:gdLst>
                <a:gd name="T0" fmla="*/ 0 w 351"/>
                <a:gd name="T1" fmla="*/ 526 h 526"/>
                <a:gd name="T2" fmla="*/ 0 w 351"/>
                <a:gd name="T3" fmla="*/ 351 h 526"/>
                <a:gd name="T4" fmla="*/ 176 w 351"/>
                <a:gd name="T5" fmla="*/ 0 h 526"/>
                <a:gd name="T6" fmla="*/ 351 w 351"/>
                <a:gd name="T7" fmla="*/ 351 h 526"/>
                <a:gd name="T8" fmla="*/ 351 w 351"/>
                <a:gd name="T9" fmla="*/ 526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526">
                  <a:moveTo>
                    <a:pt x="0" y="526"/>
                  </a:moveTo>
                  <a:lnTo>
                    <a:pt x="0" y="351"/>
                  </a:lnTo>
                  <a:lnTo>
                    <a:pt x="176" y="0"/>
                  </a:lnTo>
                  <a:lnTo>
                    <a:pt x="351" y="351"/>
                  </a:lnTo>
                  <a:lnTo>
                    <a:pt x="351" y="526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62" name="Line 173">
              <a:extLst>
                <a:ext uri="{FF2B5EF4-FFF2-40B4-BE49-F238E27FC236}">
                  <a16:creationId xmlns:a16="http://schemas.microsoft.com/office/drawing/2014/main" id="{8FB707DF-12FC-4BD9-A2B9-AA61A059B99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1" y="194"/>
              <a:ext cx="6" cy="0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3" name="Freeform 174">
              <a:extLst>
                <a:ext uri="{FF2B5EF4-FFF2-40B4-BE49-F238E27FC236}">
                  <a16:creationId xmlns:a16="http://schemas.microsoft.com/office/drawing/2014/main" id="{3FAD30DF-4B24-4241-BA62-11E5F0A6AA12}"/>
                </a:ext>
              </a:extLst>
            </xdr:cNvPr>
            <xdr:cNvSpPr>
              <a:spLocks/>
            </xdr:cNvSpPr>
          </xdr:nvSpPr>
          <xdr:spPr bwMode="auto">
            <a:xfrm>
              <a:off x="833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4" name="Freeform 175">
              <a:extLst>
                <a:ext uri="{FF2B5EF4-FFF2-40B4-BE49-F238E27FC236}">
                  <a16:creationId xmlns:a16="http://schemas.microsoft.com/office/drawing/2014/main" id="{8C8CA37F-B02A-4251-BD94-BB9313D4E083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5" name="Freeform 176">
              <a:extLst>
                <a:ext uri="{FF2B5EF4-FFF2-40B4-BE49-F238E27FC236}">
                  <a16:creationId xmlns:a16="http://schemas.microsoft.com/office/drawing/2014/main" id="{A436CEF1-F814-43A7-893F-715E077945CC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1" cy="2"/>
            </a:xfrm>
            <a:custGeom>
              <a:avLst/>
              <a:gdLst>
                <a:gd name="T0" fmla="*/ 53 w 53"/>
                <a:gd name="T1" fmla="*/ 14 h 106"/>
                <a:gd name="T2" fmla="*/ 0 w 53"/>
                <a:gd name="T3" fmla="*/ 0 h 106"/>
                <a:gd name="T4" fmla="*/ 0 w 53"/>
                <a:gd name="T5" fmla="*/ 106 h 106"/>
                <a:gd name="T6" fmla="*/ 53 w 53"/>
                <a:gd name="T7" fmla="*/ 14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14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53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6" name="Freeform 177">
              <a:extLst>
                <a:ext uri="{FF2B5EF4-FFF2-40B4-BE49-F238E27FC236}">
                  <a16:creationId xmlns:a16="http://schemas.microsoft.com/office/drawing/2014/main" id="{DE547BE7-F100-4250-B7DC-37B4F4670750}"/>
                </a:ext>
              </a:extLst>
            </xdr:cNvPr>
            <xdr:cNvSpPr>
              <a:spLocks/>
            </xdr:cNvSpPr>
          </xdr:nvSpPr>
          <xdr:spPr bwMode="auto">
            <a:xfrm>
              <a:off x="832" y="200"/>
              <a:ext cx="1" cy="2"/>
            </a:xfrm>
            <a:custGeom>
              <a:avLst/>
              <a:gdLst>
                <a:gd name="T0" fmla="*/ 53 w 53"/>
                <a:gd name="T1" fmla="*/ 0 h 106"/>
                <a:gd name="T2" fmla="*/ 0 w 53"/>
                <a:gd name="T3" fmla="*/ 14 h 106"/>
                <a:gd name="T4" fmla="*/ 53 w 53"/>
                <a:gd name="T5" fmla="*/ 106 h 106"/>
                <a:gd name="T6" fmla="*/ 53 w 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0"/>
                  </a:moveTo>
                  <a:lnTo>
                    <a:pt x="0" y="14"/>
                  </a:lnTo>
                  <a:lnTo>
                    <a:pt x="53" y="106"/>
                  </a:lnTo>
                  <a:lnTo>
                    <a:pt x="5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7" name="Freeform 178">
              <a:extLst>
                <a:ext uri="{FF2B5EF4-FFF2-40B4-BE49-F238E27FC236}">
                  <a16:creationId xmlns:a16="http://schemas.microsoft.com/office/drawing/2014/main" id="{960B85E1-6013-4AB8-8B1B-854F413A0312}"/>
                </a:ext>
              </a:extLst>
            </xdr:cNvPr>
            <xdr:cNvSpPr>
              <a:spLocks/>
            </xdr:cNvSpPr>
          </xdr:nvSpPr>
          <xdr:spPr bwMode="auto">
            <a:xfrm>
              <a:off x="831" y="200"/>
              <a:ext cx="2" cy="2"/>
            </a:xfrm>
            <a:custGeom>
              <a:avLst/>
              <a:gdLst>
                <a:gd name="T0" fmla="*/ 38 w 91"/>
                <a:gd name="T1" fmla="*/ 0 h 92"/>
                <a:gd name="T2" fmla="*/ 0 w 91"/>
                <a:gd name="T3" fmla="*/ 39 h 92"/>
                <a:gd name="T4" fmla="*/ 91 w 91"/>
                <a:gd name="T5" fmla="*/ 92 h 92"/>
                <a:gd name="T6" fmla="*/ 38 w 91"/>
                <a:gd name="T7" fmla="*/ 0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38" y="0"/>
                  </a:moveTo>
                  <a:lnTo>
                    <a:pt x="0" y="39"/>
                  </a:lnTo>
                  <a:lnTo>
                    <a:pt x="91" y="92"/>
                  </a:lnTo>
                  <a:lnTo>
                    <a:pt x="3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8" name="Freeform 179">
              <a:extLst>
                <a:ext uri="{FF2B5EF4-FFF2-40B4-BE49-F238E27FC236}">
                  <a16:creationId xmlns:a16="http://schemas.microsoft.com/office/drawing/2014/main" id="{68FDC6B7-FF08-45F7-BF50-646E47A4B5D1}"/>
                </a:ext>
              </a:extLst>
            </xdr:cNvPr>
            <xdr:cNvSpPr>
              <a:spLocks/>
            </xdr:cNvSpPr>
          </xdr:nvSpPr>
          <xdr:spPr bwMode="auto">
            <a:xfrm>
              <a:off x="831" y="201"/>
              <a:ext cx="2" cy="1"/>
            </a:xfrm>
            <a:custGeom>
              <a:avLst/>
              <a:gdLst>
                <a:gd name="T0" fmla="*/ 14 w 105"/>
                <a:gd name="T1" fmla="*/ 0 h 53"/>
                <a:gd name="T2" fmla="*/ 0 w 105"/>
                <a:gd name="T3" fmla="*/ 53 h 53"/>
                <a:gd name="T4" fmla="*/ 105 w 105"/>
                <a:gd name="T5" fmla="*/ 53 h 53"/>
                <a:gd name="T6" fmla="*/ 14 w 105"/>
                <a:gd name="T7" fmla="*/ 0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4" y="0"/>
                  </a:moveTo>
                  <a:lnTo>
                    <a:pt x="0" y="53"/>
                  </a:lnTo>
                  <a:lnTo>
                    <a:pt x="105" y="53"/>
                  </a:lnTo>
                  <a:lnTo>
                    <a:pt x="1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9" name="Freeform 180">
              <a:extLst>
                <a:ext uri="{FF2B5EF4-FFF2-40B4-BE49-F238E27FC236}">
                  <a16:creationId xmlns:a16="http://schemas.microsoft.com/office/drawing/2014/main" id="{4F03E959-52CA-4F5E-BA81-1E61C88CAA68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105"/>
                <a:gd name="T1" fmla="*/ 0 h 52"/>
                <a:gd name="T2" fmla="*/ 14 w 105"/>
                <a:gd name="T3" fmla="*/ 52 h 52"/>
                <a:gd name="T4" fmla="*/ 105 w 105"/>
                <a:gd name="T5" fmla="*/ 0 h 52"/>
                <a:gd name="T6" fmla="*/ 0 w 105"/>
                <a:gd name="T7" fmla="*/ 0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0" y="0"/>
                  </a:moveTo>
                  <a:lnTo>
                    <a:pt x="14" y="52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0" name="Freeform 181">
              <a:extLst>
                <a:ext uri="{FF2B5EF4-FFF2-40B4-BE49-F238E27FC236}">
                  <a16:creationId xmlns:a16="http://schemas.microsoft.com/office/drawing/2014/main" id="{4F761021-A1D2-4B68-813F-2BEBEB897689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91"/>
                <a:gd name="T1" fmla="*/ 52 h 91"/>
                <a:gd name="T2" fmla="*/ 38 w 91"/>
                <a:gd name="T3" fmla="*/ 91 h 91"/>
                <a:gd name="T4" fmla="*/ 91 w 91"/>
                <a:gd name="T5" fmla="*/ 0 h 91"/>
                <a:gd name="T6" fmla="*/ 0 w 91"/>
                <a:gd name="T7" fmla="*/ 52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0" y="52"/>
                  </a:moveTo>
                  <a:lnTo>
                    <a:pt x="38" y="91"/>
                  </a:lnTo>
                  <a:lnTo>
                    <a:pt x="91" y="0"/>
                  </a:lnTo>
                  <a:lnTo>
                    <a:pt x="0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1" name="Freeform 182">
              <a:extLst>
                <a:ext uri="{FF2B5EF4-FFF2-40B4-BE49-F238E27FC236}">
                  <a16:creationId xmlns:a16="http://schemas.microsoft.com/office/drawing/2014/main" id="{48124A45-C8F7-4BEC-B374-1AD0384EB53A}"/>
                </a:ext>
              </a:extLst>
            </xdr:cNvPr>
            <xdr:cNvSpPr>
              <a:spLocks/>
            </xdr:cNvSpPr>
          </xdr:nvSpPr>
          <xdr:spPr bwMode="auto">
            <a:xfrm>
              <a:off x="832" y="202"/>
              <a:ext cx="1" cy="2"/>
            </a:xfrm>
            <a:custGeom>
              <a:avLst/>
              <a:gdLst>
                <a:gd name="T0" fmla="*/ 0 w 53"/>
                <a:gd name="T1" fmla="*/ 91 h 105"/>
                <a:gd name="T2" fmla="*/ 53 w 53"/>
                <a:gd name="T3" fmla="*/ 105 h 105"/>
                <a:gd name="T4" fmla="*/ 53 w 53"/>
                <a:gd name="T5" fmla="*/ 0 h 105"/>
                <a:gd name="T6" fmla="*/ 0 w 53"/>
                <a:gd name="T7" fmla="*/ 9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91"/>
                  </a:moveTo>
                  <a:lnTo>
                    <a:pt x="53" y="105"/>
                  </a:lnTo>
                  <a:lnTo>
                    <a:pt x="53" y="0"/>
                  </a:lnTo>
                  <a:lnTo>
                    <a:pt x="0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2" name="Freeform 183">
              <a:extLst>
                <a:ext uri="{FF2B5EF4-FFF2-40B4-BE49-F238E27FC236}">
                  <a16:creationId xmlns:a16="http://schemas.microsoft.com/office/drawing/2014/main" id="{135616EA-8872-49BD-BA05-18481A5A8F49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1" cy="2"/>
            </a:xfrm>
            <a:custGeom>
              <a:avLst/>
              <a:gdLst>
                <a:gd name="T0" fmla="*/ 0 w 53"/>
                <a:gd name="T1" fmla="*/ 105 h 105"/>
                <a:gd name="T2" fmla="*/ 53 w 53"/>
                <a:gd name="T3" fmla="*/ 91 h 105"/>
                <a:gd name="T4" fmla="*/ 0 w 53"/>
                <a:gd name="T5" fmla="*/ 0 h 105"/>
                <a:gd name="T6" fmla="*/ 0 w 53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105"/>
                  </a:moveTo>
                  <a:lnTo>
                    <a:pt x="53" y="91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3" name="Freeform 184">
              <a:extLst>
                <a:ext uri="{FF2B5EF4-FFF2-40B4-BE49-F238E27FC236}">
                  <a16:creationId xmlns:a16="http://schemas.microsoft.com/office/drawing/2014/main" id="{BB29FF27-3CF4-4F4C-B636-1C20EB5986E6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53 w 91"/>
                <a:gd name="T1" fmla="*/ 91 h 91"/>
                <a:gd name="T2" fmla="*/ 91 w 91"/>
                <a:gd name="T3" fmla="*/ 52 h 91"/>
                <a:gd name="T4" fmla="*/ 0 w 91"/>
                <a:gd name="T5" fmla="*/ 0 h 91"/>
                <a:gd name="T6" fmla="*/ 53 w 91"/>
                <a:gd name="T7" fmla="*/ 91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53" y="91"/>
                  </a:moveTo>
                  <a:lnTo>
                    <a:pt x="91" y="52"/>
                  </a:lnTo>
                  <a:lnTo>
                    <a:pt x="0" y="0"/>
                  </a:lnTo>
                  <a:lnTo>
                    <a:pt x="53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4" name="Freeform 185">
              <a:extLst>
                <a:ext uri="{FF2B5EF4-FFF2-40B4-BE49-F238E27FC236}">
                  <a16:creationId xmlns:a16="http://schemas.microsoft.com/office/drawing/2014/main" id="{9D0FCDDB-7804-4F10-A1BC-27AADF7AB7A6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91 w 105"/>
                <a:gd name="T1" fmla="*/ 52 h 52"/>
                <a:gd name="T2" fmla="*/ 105 w 105"/>
                <a:gd name="T3" fmla="*/ 0 h 52"/>
                <a:gd name="T4" fmla="*/ 0 w 105"/>
                <a:gd name="T5" fmla="*/ 0 h 52"/>
                <a:gd name="T6" fmla="*/ 91 w 105"/>
                <a:gd name="T7" fmla="*/ 52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91" y="52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91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5" name="Freeform 186">
              <a:extLst>
                <a:ext uri="{FF2B5EF4-FFF2-40B4-BE49-F238E27FC236}">
                  <a16:creationId xmlns:a16="http://schemas.microsoft.com/office/drawing/2014/main" id="{F707445F-132C-4C4E-B5E7-95327C019E52}"/>
                </a:ext>
              </a:extLst>
            </xdr:cNvPr>
            <xdr:cNvSpPr>
              <a:spLocks/>
            </xdr:cNvSpPr>
          </xdr:nvSpPr>
          <xdr:spPr bwMode="auto">
            <a:xfrm>
              <a:off x="916" y="192"/>
              <a:ext cx="6" cy="5"/>
            </a:xfrm>
            <a:custGeom>
              <a:avLst/>
              <a:gdLst>
                <a:gd name="T0" fmla="*/ 0 w 351"/>
                <a:gd name="T1" fmla="*/ 263 h 263"/>
                <a:gd name="T2" fmla="*/ 263 w 351"/>
                <a:gd name="T3" fmla="*/ 263 h 263"/>
                <a:gd name="T4" fmla="*/ 351 w 351"/>
                <a:gd name="T5" fmla="*/ 176 h 263"/>
                <a:gd name="T6" fmla="*/ 351 w 351"/>
                <a:gd name="T7" fmla="*/ 88 h 263"/>
                <a:gd name="T8" fmla="*/ 263 w 351"/>
                <a:gd name="T9" fmla="*/ 0 h 263"/>
                <a:gd name="T10" fmla="*/ 88 w 351"/>
                <a:gd name="T11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263">
                  <a:moveTo>
                    <a:pt x="0" y="263"/>
                  </a:moveTo>
                  <a:lnTo>
                    <a:pt x="263" y="263"/>
                  </a:lnTo>
                  <a:lnTo>
                    <a:pt x="351" y="176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88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6" name="Freeform 187">
              <a:extLst>
                <a:ext uri="{FF2B5EF4-FFF2-40B4-BE49-F238E27FC236}">
                  <a16:creationId xmlns:a16="http://schemas.microsoft.com/office/drawing/2014/main" id="{3B85024F-BC00-45BC-90A6-179205833F9A}"/>
                </a:ext>
              </a:extLst>
            </xdr:cNvPr>
            <xdr:cNvSpPr>
              <a:spLocks/>
            </xdr:cNvSpPr>
          </xdr:nvSpPr>
          <xdr:spPr bwMode="auto">
            <a:xfrm>
              <a:off x="916" y="188"/>
              <a:ext cx="6" cy="4"/>
            </a:xfrm>
            <a:custGeom>
              <a:avLst/>
              <a:gdLst>
                <a:gd name="T0" fmla="*/ 263 w 351"/>
                <a:gd name="T1" fmla="*/ 263 h 263"/>
                <a:gd name="T2" fmla="*/ 351 w 351"/>
                <a:gd name="T3" fmla="*/ 175 h 263"/>
                <a:gd name="T4" fmla="*/ 351 w 351"/>
                <a:gd name="T5" fmla="*/ 88 h 263"/>
                <a:gd name="T6" fmla="*/ 263 w 351"/>
                <a:gd name="T7" fmla="*/ 0 h 263"/>
                <a:gd name="T8" fmla="*/ 0 w 351"/>
                <a:gd name="T9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263">
                  <a:moveTo>
                    <a:pt x="263" y="263"/>
                  </a:moveTo>
                  <a:lnTo>
                    <a:pt x="351" y="175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7" name="Line 188">
              <a:extLst>
                <a:ext uri="{FF2B5EF4-FFF2-40B4-BE49-F238E27FC236}">
                  <a16:creationId xmlns:a16="http://schemas.microsoft.com/office/drawing/2014/main" id="{F1119540-4202-442E-BB3A-EC64EB05272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18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8" name="Freeform 189">
              <a:extLst>
                <a:ext uri="{FF2B5EF4-FFF2-40B4-BE49-F238E27FC236}">
                  <a16:creationId xmlns:a16="http://schemas.microsoft.com/office/drawing/2014/main" id="{AC5E6D9F-97D5-4773-AF68-A08D28D1452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7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7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9" name="Freeform 190">
              <a:extLst>
                <a:ext uri="{FF2B5EF4-FFF2-40B4-BE49-F238E27FC236}">
                  <a16:creationId xmlns:a16="http://schemas.microsoft.com/office/drawing/2014/main" id="{69E6F997-C92E-4F33-9D58-656B6B8C16A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8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8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8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0" name="Freeform 191">
              <a:extLst>
                <a:ext uri="{FF2B5EF4-FFF2-40B4-BE49-F238E27FC236}">
                  <a16:creationId xmlns:a16="http://schemas.microsoft.com/office/drawing/2014/main" id="{27A41FB9-EE93-4632-B956-A0F8208E46DE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4 w 104"/>
                <a:gd name="T1" fmla="*/ 7 h 22"/>
                <a:gd name="T2" fmla="*/ 103 w 104"/>
                <a:gd name="T3" fmla="*/ 0 h 22"/>
                <a:gd name="T4" fmla="*/ 0 w 104"/>
                <a:gd name="T5" fmla="*/ 22 h 22"/>
                <a:gd name="T6" fmla="*/ 104 w 104"/>
                <a:gd name="T7" fmla="*/ 7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4" y="7"/>
                  </a:moveTo>
                  <a:lnTo>
                    <a:pt x="103" y="0"/>
                  </a:lnTo>
                  <a:lnTo>
                    <a:pt x="0" y="22"/>
                  </a:lnTo>
                  <a:lnTo>
                    <a:pt x="104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1" name="Freeform 192">
              <a:extLst>
                <a:ext uri="{FF2B5EF4-FFF2-40B4-BE49-F238E27FC236}">
                  <a16:creationId xmlns:a16="http://schemas.microsoft.com/office/drawing/2014/main" id="{DFC00D4A-C783-4584-8E1D-E4AE23D77A60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3 w 103"/>
                <a:gd name="T1" fmla="*/ 7 h 29"/>
                <a:gd name="T2" fmla="*/ 102 w 103"/>
                <a:gd name="T3" fmla="*/ 0 h 29"/>
                <a:gd name="T4" fmla="*/ 0 w 103"/>
                <a:gd name="T5" fmla="*/ 29 h 29"/>
                <a:gd name="T6" fmla="*/ 103 w 103"/>
                <a:gd name="T7" fmla="*/ 7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3" y="7"/>
                  </a:moveTo>
                  <a:lnTo>
                    <a:pt x="102" y="0"/>
                  </a:lnTo>
                  <a:lnTo>
                    <a:pt x="0" y="29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2" name="Freeform 193">
              <a:extLst>
                <a:ext uri="{FF2B5EF4-FFF2-40B4-BE49-F238E27FC236}">
                  <a16:creationId xmlns:a16="http://schemas.microsoft.com/office/drawing/2014/main" id="{4FBF959D-C11C-4E07-8FBA-91A53FDEE98A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2 w 102"/>
                <a:gd name="T1" fmla="*/ 7 h 36"/>
                <a:gd name="T2" fmla="*/ 99 w 102"/>
                <a:gd name="T3" fmla="*/ 0 h 36"/>
                <a:gd name="T4" fmla="*/ 0 w 102"/>
                <a:gd name="T5" fmla="*/ 36 h 36"/>
                <a:gd name="T6" fmla="*/ 102 w 102"/>
                <a:gd name="T7" fmla="*/ 7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6">
                  <a:moveTo>
                    <a:pt x="102" y="7"/>
                  </a:moveTo>
                  <a:lnTo>
                    <a:pt x="99" y="0"/>
                  </a:lnTo>
                  <a:lnTo>
                    <a:pt x="0" y="36"/>
                  </a:lnTo>
                  <a:lnTo>
                    <a:pt x="102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3" name="Freeform 194">
              <a:extLst>
                <a:ext uri="{FF2B5EF4-FFF2-40B4-BE49-F238E27FC236}">
                  <a16:creationId xmlns:a16="http://schemas.microsoft.com/office/drawing/2014/main" id="{10D11B6A-EC32-4AFB-B52B-DDC53FA2AE68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9 w 99"/>
                <a:gd name="T1" fmla="*/ 6 h 42"/>
                <a:gd name="T2" fmla="*/ 97 w 99"/>
                <a:gd name="T3" fmla="*/ 0 h 42"/>
                <a:gd name="T4" fmla="*/ 0 w 99"/>
                <a:gd name="T5" fmla="*/ 42 h 42"/>
                <a:gd name="T6" fmla="*/ 99 w 99"/>
                <a:gd name="T7" fmla="*/ 6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9" y="6"/>
                  </a:moveTo>
                  <a:lnTo>
                    <a:pt x="97" y="0"/>
                  </a:lnTo>
                  <a:lnTo>
                    <a:pt x="0" y="42"/>
                  </a:lnTo>
                  <a:lnTo>
                    <a:pt x="9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4" name="Freeform 195">
              <a:extLst>
                <a:ext uri="{FF2B5EF4-FFF2-40B4-BE49-F238E27FC236}">
                  <a16:creationId xmlns:a16="http://schemas.microsoft.com/office/drawing/2014/main" id="{0438EC98-FB18-49EB-B19F-7E0A0ED1DD19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7 w 97"/>
                <a:gd name="T1" fmla="*/ 7 h 49"/>
                <a:gd name="T2" fmla="*/ 94 w 97"/>
                <a:gd name="T3" fmla="*/ 0 h 49"/>
                <a:gd name="T4" fmla="*/ 0 w 97"/>
                <a:gd name="T5" fmla="*/ 49 h 49"/>
                <a:gd name="T6" fmla="*/ 97 w 97"/>
                <a:gd name="T7" fmla="*/ 7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9">
                  <a:moveTo>
                    <a:pt x="97" y="7"/>
                  </a:moveTo>
                  <a:lnTo>
                    <a:pt x="94" y="0"/>
                  </a:lnTo>
                  <a:lnTo>
                    <a:pt x="0" y="49"/>
                  </a:lnTo>
                  <a:lnTo>
                    <a:pt x="97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5" name="Freeform 196">
              <a:extLst>
                <a:ext uri="{FF2B5EF4-FFF2-40B4-BE49-F238E27FC236}">
                  <a16:creationId xmlns:a16="http://schemas.microsoft.com/office/drawing/2014/main" id="{A4026FFF-4F36-42D3-BDA8-5F04D0AD5631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4 w 94"/>
                <a:gd name="T1" fmla="*/ 6 h 55"/>
                <a:gd name="T2" fmla="*/ 90 w 94"/>
                <a:gd name="T3" fmla="*/ 0 h 55"/>
                <a:gd name="T4" fmla="*/ 0 w 94"/>
                <a:gd name="T5" fmla="*/ 55 h 55"/>
                <a:gd name="T6" fmla="*/ 94 w 94"/>
                <a:gd name="T7" fmla="*/ 6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5">
                  <a:moveTo>
                    <a:pt x="94" y="6"/>
                  </a:moveTo>
                  <a:lnTo>
                    <a:pt x="90" y="0"/>
                  </a:lnTo>
                  <a:lnTo>
                    <a:pt x="0" y="55"/>
                  </a:lnTo>
                  <a:lnTo>
                    <a:pt x="9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6" name="Freeform 197">
              <a:extLst>
                <a:ext uri="{FF2B5EF4-FFF2-40B4-BE49-F238E27FC236}">
                  <a16:creationId xmlns:a16="http://schemas.microsoft.com/office/drawing/2014/main" id="{CEE5E6CB-B49C-421E-836D-F6FF7E54526B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0 w 90"/>
                <a:gd name="T1" fmla="*/ 6 h 61"/>
                <a:gd name="T2" fmla="*/ 86 w 90"/>
                <a:gd name="T3" fmla="*/ 0 h 61"/>
                <a:gd name="T4" fmla="*/ 0 w 90"/>
                <a:gd name="T5" fmla="*/ 61 h 61"/>
                <a:gd name="T6" fmla="*/ 90 w 90"/>
                <a:gd name="T7" fmla="*/ 6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90" y="6"/>
                  </a:moveTo>
                  <a:lnTo>
                    <a:pt x="86" y="0"/>
                  </a:lnTo>
                  <a:lnTo>
                    <a:pt x="0" y="61"/>
                  </a:lnTo>
                  <a:lnTo>
                    <a:pt x="90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7" name="Freeform 198">
              <a:extLst>
                <a:ext uri="{FF2B5EF4-FFF2-40B4-BE49-F238E27FC236}">
                  <a16:creationId xmlns:a16="http://schemas.microsoft.com/office/drawing/2014/main" id="{617117D1-BD35-449E-9837-B4F2648102EF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6 w 86"/>
                <a:gd name="T1" fmla="*/ 6 h 67"/>
                <a:gd name="T2" fmla="*/ 82 w 86"/>
                <a:gd name="T3" fmla="*/ 0 h 67"/>
                <a:gd name="T4" fmla="*/ 0 w 86"/>
                <a:gd name="T5" fmla="*/ 67 h 67"/>
                <a:gd name="T6" fmla="*/ 86 w 86"/>
                <a:gd name="T7" fmla="*/ 6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86" y="6"/>
                  </a:moveTo>
                  <a:lnTo>
                    <a:pt x="82" y="0"/>
                  </a:lnTo>
                  <a:lnTo>
                    <a:pt x="0" y="67"/>
                  </a:lnTo>
                  <a:lnTo>
                    <a:pt x="86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8" name="Freeform 199">
              <a:extLst>
                <a:ext uri="{FF2B5EF4-FFF2-40B4-BE49-F238E27FC236}">
                  <a16:creationId xmlns:a16="http://schemas.microsoft.com/office/drawing/2014/main" id="{05D0B7AE-E5D0-4C90-A969-BE5328A65F71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2 w 82"/>
                <a:gd name="T1" fmla="*/ 5 h 72"/>
                <a:gd name="T2" fmla="*/ 77 w 82"/>
                <a:gd name="T3" fmla="*/ 0 h 72"/>
                <a:gd name="T4" fmla="*/ 0 w 82"/>
                <a:gd name="T5" fmla="*/ 72 h 72"/>
                <a:gd name="T6" fmla="*/ 82 w 82"/>
                <a:gd name="T7" fmla="*/ 5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82" y="5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9" name="Freeform 200">
              <a:extLst>
                <a:ext uri="{FF2B5EF4-FFF2-40B4-BE49-F238E27FC236}">
                  <a16:creationId xmlns:a16="http://schemas.microsoft.com/office/drawing/2014/main" id="{8CB84CF5-7DCD-4076-994D-9FD69A69768D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77 w 77"/>
                <a:gd name="T1" fmla="*/ 5 h 77"/>
                <a:gd name="T2" fmla="*/ 72 w 77"/>
                <a:gd name="T3" fmla="*/ 0 h 77"/>
                <a:gd name="T4" fmla="*/ 0 w 77"/>
                <a:gd name="T5" fmla="*/ 77 h 77"/>
                <a:gd name="T6" fmla="*/ 77 w 77"/>
                <a:gd name="T7" fmla="*/ 5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7" y="5"/>
                  </a:moveTo>
                  <a:lnTo>
                    <a:pt x="72" y="0"/>
                  </a:lnTo>
                  <a:lnTo>
                    <a:pt x="0" y="77"/>
                  </a:lnTo>
                  <a:lnTo>
                    <a:pt x="77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0" name="Freeform 201">
              <a:extLst>
                <a:ext uri="{FF2B5EF4-FFF2-40B4-BE49-F238E27FC236}">
                  <a16:creationId xmlns:a16="http://schemas.microsoft.com/office/drawing/2014/main" id="{D665ACC3-59F2-4814-A85D-998DD11098ED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72 w 72"/>
                <a:gd name="T1" fmla="*/ 5 h 82"/>
                <a:gd name="T2" fmla="*/ 67 w 72"/>
                <a:gd name="T3" fmla="*/ 0 h 82"/>
                <a:gd name="T4" fmla="*/ 0 w 72"/>
                <a:gd name="T5" fmla="*/ 82 h 82"/>
                <a:gd name="T6" fmla="*/ 72 w 72"/>
                <a:gd name="T7" fmla="*/ 5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72" y="5"/>
                  </a:moveTo>
                  <a:lnTo>
                    <a:pt x="67" y="0"/>
                  </a:lnTo>
                  <a:lnTo>
                    <a:pt x="0" y="82"/>
                  </a:lnTo>
                  <a:lnTo>
                    <a:pt x="7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1" name="Freeform 202">
              <a:extLst>
                <a:ext uri="{FF2B5EF4-FFF2-40B4-BE49-F238E27FC236}">
                  <a16:creationId xmlns:a16="http://schemas.microsoft.com/office/drawing/2014/main" id="{04C54314-3029-4924-9CC1-FA0C0385B87E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7 w 67"/>
                <a:gd name="T1" fmla="*/ 4 h 86"/>
                <a:gd name="T2" fmla="*/ 61 w 67"/>
                <a:gd name="T3" fmla="*/ 0 h 86"/>
                <a:gd name="T4" fmla="*/ 0 w 67"/>
                <a:gd name="T5" fmla="*/ 86 h 86"/>
                <a:gd name="T6" fmla="*/ 67 w 67"/>
                <a:gd name="T7" fmla="*/ 4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7" y="4"/>
                  </a:moveTo>
                  <a:lnTo>
                    <a:pt x="61" y="0"/>
                  </a:lnTo>
                  <a:lnTo>
                    <a:pt x="0" y="86"/>
                  </a:lnTo>
                  <a:lnTo>
                    <a:pt x="6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2" name="Freeform 203">
              <a:extLst>
                <a:ext uri="{FF2B5EF4-FFF2-40B4-BE49-F238E27FC236}">
                  <a16:creationId xmlns:a16="http://schemas.microsoft.com/office/drawing/2014/main" id="{81DF8740-8E45-4CE1-B00F-74BA8E971FC7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1 w 61"/>
                <a:gd name="T1" fmla="*/ 4 h 90"/>
                <a:gd name="T2" fmla="*/ 55 w 61"/>
                <a:gd name="T3" fmla="*/ 0 h 90"/>
                <a:gd name="T4" fmla="*/ 0 w 61"/>
                <a:gd name="T5" fmla="*/ 90 h 90"/>
                <a:gd name="T6" fmla="*/ 61 w 61"/>
                <a:gd name="T7" fmla="*/ 4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61" y="4"/>
                  </a:moveTo>
                  <a:lnTo>
                    <a:pt x="55" y="0"/>
                  </a:lnTo>
                  <a:lnTo>
                    <a:pt x="0" y="90"/>
                  </a:lnTo>
                  <a:lnTo>
                    <a:pt x="61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3" name="Freeform 204">
              <a:extLst>
                <a:ext uri="{FF2B5EF4-FFF2-40B4-BE49-F238E27FC236}">
                  <a16:creationId xmlns:a16="http://schemas.microsoft.com/office/drawing/2014/main" id="{3AA40874-95DA-4108-8EAC-E1D3282BD11E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55 w 55"/>
                <a:gd name="T1" fmla="*/ 4 h 94"/>
                <a:gd name="T2" fmla="*/ 49 w 55"/>
                <a:gd name="T3" fmla="*/ 0 h 94"/>
                <a:gd name="T4" fmla="*/ 0 w 55"/>
                <a:gd name="T5" fmla="*/ 94 h 94"/>
                <a:gd name="T6" fmla="*/ 55 w 55"/>
                <a:gd name="T7" fmla="*/ 4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4">
                  <a:moveTo>
                    <a:pt x="55" y="4"/>
                  </a:moveTo>
                  <a:lnTo>
                    <a:pt x="49" y="0"/>
                  </a:lnTo>
                  <a:lnTo>
                    <a:pt x="0" y="94"/>
                  </a:lnTo>
                  <a:lnTo>
                    <a:pt x="55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4" name="Freeform 205">
              <a:extLst>
                <a:ext uri="{FF2B5EF4-FFF2-40B4-BE49-F238E27FC236}">
                  <a16:creationId xmlns:a16="http://schemas.microsoft.com/office/drawing/2014/main" id="{E604A3CF-DD8F-409A-BDA4-CAC8F8EC98E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9 w 49"/>
                <a:gd name="T1" fmla="*/ 3 h 97"/>
                <a:gd name="T2" fmla="*/ 42 w 49"/>
                <a:gd name="T3" fmla="*/ 0 h 97"/>
                <a:gd name="T4" fmla="*/ 0 w 49"/>
                <a:gd name="T5" fmla="*/ 97 h 97"/>
                <a:gd name="T6" fmla="*/ 49 w 49"/>
                <a:gd name="T7" fmla="*/ 3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7">
                  <a:moveTo>
                    <a:pt x="49" y="3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49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5" name="Freeform 206">
              <a:extLst>
                <a:ext uri="{FF2B5EF4-FFF2-40B4-BE49-F238E27FC236}">
                  <a16:creationId xmlns:a16="http://schemas.microsoft.com/office/drawing/2014/main" id="{D2C5127D-AED6-43F0-AA40-545D00AD695F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5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5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6" name="Freeform 207">
              <a:extLst>
                <a:ext uri="{FF2B5EF4-FFF2-40B4-BE49-F238E27FC236}">
                  <a16:creationId xmlns:a16="http://schemas.microsoft.com/office/drawing/2014/main" id="{17ADAF4A-F223-4F8B-9E57-7A9D01E37862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35 w 35"/>
                <a:gd name="T1" fmla="*/ 2 h 102"/>
                <a:gd name="T2" fmla="*/ 29 w 35"/>
                <a:gd name="T3" fmla="*/ 0 h 102"/>
                <a:gd name="T4" fmla="*/ 0 w 35"/>
                <a:gd name="T5" fmla="*/ 102 h 102"/>
                <a:gd name="T6" fmla="*/ 35 w 35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35" y="2"/>
                  </a:moveTo>
                  <a:lnTo>
                    <a:pt x="29" y="0"/>
                  </a:lnTo>
                  <a:lnTo>
                    <a:pt x="0" y="102"/>
                  </a:lnTo>
                  <a:lnTo>
                    <a:pt x="35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7" name="Freeform 208">
              <a:extLst>
                <a:ext uri="{FF2B5EF4-FFF2-40B4-BE49-F238E27FC236}">
                  <a16:creationId xmlns:a16="http://schemas.microsoft.com/office/drawing/2014/main" id="{DCAC44DC-6CD5-4EAD-92AC-445411DF4FC6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9 w 29"/>
                <a:gd name="T1" fmla="*/ 1 h 103"/>
                <a:gd name="T2" fmla="*/ 22 w 29"/>
                <a:gd name="T3" fmla="*/ 0 h 103"/>
                <a:gd name="T4" fmla="*/ 0 w 29"/>
                <a:gd name="T5" fmla="*/ 103 h 103"/>
                <a:gd name="T6" fmla="*/ 29 w 29"/>
                <a:gd name="T7" fmla="*/ 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9" y="1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2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8" name="Freeform 209">
              <a:extLst>
                <a:ext uri="{FF2B5EF4-FFF2-40B4-BE49-F238E27FC236}">
                  <a16:creationId xmlns:a16="http://schemas.microsoft.com/office/drawing/2014/main" id="{2BF07552-D5E0-4F09-8CE3-05A6BBCE58FF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9" name="Freeform 210">
              <a:extLst>
                <a:ext uri="{FF2B5EF4-FFF2-40B4-BE49-F238E27FC236}">
                  <a16:creationId xmlns:a16="http://schemas.microsoft.com/office/drawing/2014/main" id="{1CCEC3F6-9270-4F50-B5B7-56023B31542E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0" name="Freeform 211">
              <a:extLst>
                <a:ext uri="{FF2B5EF4-FFF2-40B4-BE49-F238E27FC236}">
                  <a16:creationId xmlns:a16="http://schemas.microsoft.com/office/drawing/2014/main" id="{EBEA63EE-35C7-4B30-978C-EE22C5AB47D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1" name="Freeform 212">
              <a:extLst>
                <a:ext uri="{FF2B5EF4-FFF2-40B4-BE49-F238E27FC236}">
                  <a16:creationId xmlns:a16="http://schemas.microsoft.com/office/drawing/2014/main" id="{8A75C3FE-3D48-4510-A75B-718BB9848D9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0 h 106"/>
                <a:gd name="T2" fmla="*/ 0 w 7"/>
                <a:gd name="T3" fmla="*/ 1 h 106"/>
                <a:gd name="T4" fmla="*/ 7 w 7"/>
                <a:gd name="T5" fmla="*/ 106 h 106"/>
                <a:gd name="T6" fmla="*/ 7 w 7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0"/>
                  </a:moveTo>
                  <a:lnTo>
                    <a:pt x="0" y="1"/>
                  </a:lnTo>
                  <a:lnTo>
                    <a:pt x="7" y="106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2" name="Freeform 213">
              <a:extLst>
                <a:ext uri="{FF2B5EF4-FFF2-40B4-BE49-F238E27FC236}">
                  <a16:creationId xmlns:a16="http://schemas.microsoft.com/office/drawing/2014/main" id="{E3847615-A346-449F-9376-FB72C0CF3B04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14"/>
                <a:gd name="T1" fmla="*/ 0 h 105"/>
                <a:gd name="T2" fmla="*/ 0 w 14"/>
                <a:gd name="T3" fmla="*/ 0 h 105"/>
                <a:gd name="T4" fmla="*/ 14 w 14"/>
                <a:gd name="T5" fmla="*/ 105 h 105"/>
                <a:gd name="T6" fmla="*/ 7 w 14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7" y="0"/>
                  </a:moveTo>
                  <a:lnTo>
                    <a:pt x="0" y="0"/>
                  </a:lnTo>
                  <a:lnTo>
                    <a:pt x="14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3" name="Freeform 214">
              <a:extLst>
                <a:ext uri="{FF2B5EF4-FFF2-40B4-BE49-F238E27FC236}">
                  <a16:creationId xmlns:a16="http://schemas.microsoft.com/office/drawing/2014/main" id="{3AD7F7F2-27F2-49F6-B94E-C28D6B4F547F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1"/>
                <a:gd name="T1" fmla="*/ 0 h 105"/>
                <a:gd name="T2" fmla="*/ 0 w 21"/>
                <a:gd name="T3" fmla="*/ 2 h 105"/>
                <a:gd name="T4" fmla="*/ 21 w 21"/>
                <a:gd name="T5" fmla="*/ 105 h 105"/>
                <a:gd name="T6" fmla="*/ 7 w 21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5">
                  <a:moveTo>
                    <a:pt x="7" y="0"/>
                  </a:moveTo>
                  <a:lnTo>
                    <a:pt x="0" y="2"/>
                  </a:lnTo>
                  <a:lnTo>
                    <a:pt x="21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4" name="Freeform 215">
              <a:extLst>
                <a:ext uri="{FF2B5EF4-FFF2-40B4-BE49-F238E27FC236}">
                  <a16:creationId xmlns:a16="http://schemas.microsoft.com/office/drawing/2014/main" id="{1FA0AD1D-BC50-4D07-BD30-5C764F06F70D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8"/>
                <a:gd name="T1" fmla="*/ 0 h 103"/>
                <a:gd name="T2" fmla="*/ 0 w 28"/>
                <a:gd name="T3" fmla="*/ 1 h 103"/>
                <a:gd name="T4" fmla="*/ 28 w 28"/>
                <a:gd name="T5" fmla="*/ 103 h 103"/>
                <a:gd name="T6" fmla="*/ 7 w 28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7" y="0"/>
                  </a:moveTo>
                  <a:lnTo>
                    <a:pt x="0" y="1"/>
                  </a:lnTo>
                  <a:lnTo>
                    <a:pt x="28" y="10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5" name="Freeform 216">
              <a:extLst>
                <a:ext uri="{FF2B5EF4-FFF2-40B4-BE49-F238E27FC236}">
                  <a16:creationId xmlns:a16="http://schemas.microsoft.com/office/drawing/2014/main" id="{125ED916-A320-40D0-90F9-2C2AF05FDDB6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7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7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6" name="Freeform 217">
              <a:extLst>
                <a:ext uri="{FF2B5EF4-FFF2-40B4-BE49-F238E27FC236}">
                  <a16:creationId xmlns:a16="http://schemas.microsoft.com/office/drawing/2014/main" id="{087D97D0-584C-45DD-B1BC-1D6B409A4503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42"/>
                <a:gd name="T1" fmla="*/ 0 h 100"/>
                <a:gd name="T2" fmla="*/ 0 w 42"/>
                <a:gd name="T3" fmla="*/ 3 h 100"/>
                <a:gd name="T4" fmla="*/ 42 w 42"/>
                <a:gd name="T5" fmla="*/ 100 h 100"/>
                <a:gd name="T6" fmla="*/ 7 w 42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7" y="0"/>
                  </a:moveTo>
                  <a:lnTo>
                    <a:pt x="0" y="3"/>
                  </a:lnTo>
                  <a:lnTo>
                    <a:pt x="42" y="10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7" name="Freeform 218">
              <a:extLst>
                <a:ext uri="{FF2B5EF4-FFF2-40B4-BE49-F238E27FC236}">
                  <a16:creationId xmlns:a16="http://schemas.microsoft.com/office/drawing/2014/main" id="{FDE0ADB8-18EA-4DD6-947F-5FFBD45A1CB7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48"/>
                <a:gd name="T1" fmla="*/ 0 h 97"/>
                <a:gd name="T2" fmla="*/ 0 w 48"/>
                <a:gd name="T3" fmla="*/ 3 h 97"/>
                <a:gd name="T4" fmla="*/ 48 w 48"/>
                <a:gd name="T5" fmla="*/ 97 h 97"/>
                <a:gd name="T6" fmla="*/ 6 w 48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7">
                  <a:moveTo>
                    <a:pt x="6" y="0"/>
                  </a:moveTo>
                  <a:lnTo>
                    <a:pt x="0" y="3"/>
                  </a:lnTo>
                  <a:lnTo>
                    <a:pt x="48" y="97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8" name="Freeform 219">
              <a:extLst>
                <a:ext uri="{FF2B5EF4-FFF2-40B4-BE49-F238E27FC236}">
                  <a16:creationId xmlns:a16="http://schemas.microsoft.com/office/drawing/2014/main" id="{EB05396A-825E-4250-9ACC-548A13A421FC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54"/>
                <a:gd name="T1" fmla="*/ 0 h 94"/>
                <a:gd name="T2" fmla="*/ 0 w 54"/>
                <a:gd name="T3" fmla="*/ 4 h 94"/>
                <a:gd name="T4" fmla="*/ 54 w 54"/>
                <a:gd name="T5" fmla="*/ 94 h 94"/>
                <a:gd name="T6" fmla="*/ 6 w 54"/>
                <a:gd name="T7" fmla="*/ 0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4">
                  <a:moveTo>
                    <a:pt x="6" y="0"/>
                  </a:moveTo>
                  <a:lnTo>
                    <a:pt x="0" y="4"/>
                  </a:lnTo>
                  <a:lnTo>
                    <a:pt x="54" y="94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9" name="Freeform 220">
              <a:extLst>
                <a:ext uri="{FF2B5EF4-FFF2-40B4-BE49-F238E27FC236}">
                  <a16:creationId xmlns:a16="http://schemas.microsoft.com/office/drawing/2014/main" id="{9D37ECED-1118-4C21-9BF1-0B9628B5C9C6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0"/>
                <a:gd name="T1" fmla="*/ 0 h 90"/>
                <a:gd name="T2" fmla="*/ 0 w 60"/>
                <a:gd name="T3" fmla="*/ 4 h 90"/>
                <a:gd name="T4" fmla="*/ 60 w 60"/>
                <a:gd name="T5" fmla="*/ 90 h 90"/>
                <a:gd name="T6" fmla="*/ 6 w 60"/>
                <a:gd name="T7" fmla="*/ 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6" y="0"/>
                  </a:moveTo>
                  <a:lnTo>
                    <a:pt x="0" y="4"/>
                  </a:lnTo>
                  <a:lnTo>
                    <a:pt x="60" y="9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0" name="Freeform 221">
              <a:extLst>
                <a:ext uri="{FF2B5EF4-FFF2-40B4-BE49-F238E27FC236}">
                  <a16:creationId xmlns:a16="http://schemas.microsoft.com/office/drawing/2014/main" id="{FE7CD24D-B9F8-4690-870B-7A991E02FEAF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6"/>
                <a:gd name="T1" fmla="*/ 0 h 86"/>
                <a:gd name="T2" fmla="*/ 0 w 66"/>
                <a:gd name="T3" fmla="*/ 4 h 86"/>
                <a:gd name="T4" fmla="*/ 66 w 66"/>
                <a:gd name="T5" fmla="*/ 86 h 86"/>
                <a:gd name="T6" fmla="*/ 6 w 66"/>
                <a:gd name="T7" fmla="*/ 0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6" y="0"/>
                  </a:moveTo>
                  <a:lnTo>
                    <a:pt x="0" y="4"/>
                  </a:lnTo>
                  <a:lnTo>
                    <a:pt x="66" y="8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1" name="Freeform 222">
              <a:extLst>
                <a:ext uri="{FF2B5EF4-FFF2-40B4-BE49-F238E27FC236}">
                  <a16:creationId xmlns:a16="http://schemas.microsoft.com/office/drawing/2014/main" id="{F0B39CD7-F0C8-48E0-B2FA-3A38FE821CB1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72"/>
                <a:gd name="T1" fmla="*/ 0 h 82"/>
                <a:gd name="T2" fmla="*/ 0 w 72"/>
                <a:gd name="T3" fmla="*/ 5 h 82"/>
                <a:gd name="T4" fmla="*/ 72 w 72"/>
                <a:gd name="T5" fmla="*/ 82 h 82"/>
                <a:gd name="T6" fmla="*/ 6 w 72"/>
                <a:gd name="T7" fmla="*/ 0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6" y="0"/>
                  </a:moveTo>
                  <a:lnTo>
                    <a:pt x="0" y="5"/>
                  </a:lnTo>
                  <a:lnTo>
                    <a:pt x="72" y="8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2" name="Freeform 223">
              <a:extLst>
                <a:ext uri="{FF2B5EF4-FFF2-40B4-BE49-F238E27FC236}">
                  <a16:creationId xmlns:a16="http://schemas.microsoft.com/office/drawing/2014/main" id="{C7EAEA4C-B0D7-4B69-9705-7ACA992D46D2}"/>
                </a:ext>
              </a:extLst>
            </xdr:cNvPr>
            <xdr:cNvSpPr>
              <a:spLocks/>
            </xdr:cNvSpPr>
          </xdr:nvSpPr>
          <xdr:spPr bwMode="auto">
            <a:xfrm>
              <a:off x="930" y="201"/>
              <a:ext cx="1" cy="1"/>
            </a:xfrm>
            <a:custGeom>
              <a:avLst/>
              <a:gdLst>
                <a:gd name="T0" fmla="*/ 5 w 77"/>
                <a:gd name="T1" fmla="*/ 0 h 77"/>
                <a:gd name="T2" fmla="*/ 0 w 77"/>
                <a:gd name="T3" fmla="*/ 5 h 77"/>
                <a:gd name="T4" fmla="*/ 77 w 77"/>
                <a:gd name="T5" fmla="*/ 77 h 77"/>
                <a:gd name="T6" fmla="*/ 5 w 77"/>
                <a:gd name="T7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5" y="0"/>
                  </a:moveTo>
                  <a:lnTo>
                    <a:pt x="0" y="5"/>
                  </a:lnTo>
                  <a:lnTo>
                    <a:pt x="77" y="7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3" name="Freeform 224">
              <a:extLst>
                <a:ext uri="{FF2B5EF4-FFF2-40B4-BE49-F238E27FC236}">
                  <a16:creationId xmlns:a16="http://schemas.microsoft.com/office/drawing/2014/main" id="{F81183DA-3DE1-456E-84A0-97F282FF26CA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81"/>
                <a:gd name="T1" fmla="*/ 0 h 72"/>
                <a:gd name="T2" fmla="*/ 0 w 81"/>
                <a:gd name="T3" fmla="*/ 5 h 72"/>
                <a:gd name="T4" fmla="*/ 81 w 81"/>
                <a:gd name="T5" fmla="*/ 72 h 72"/>
                <a:gd name="T6" fmla="*/ 4 w 81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4" y="0"/>
                  </a:moveTo>
                  <a:lnTo>
                    <a:pt x="0" y="5"/>
                  </a:lnTo>
                  <a:lnTo>
                    <a:pt x="81" y="7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4" name="Freeform 225">
              <a:extLst>
                <a:ext uri="{FF2B5EF4-FFF2-40B4-BE49-F238E27FC236}">
                  <a16:creationId xmlns:a16="http://schemas.microsoft.com/office/drawing/2014/main" id="{A7454EF0-0050-426F-958D-96C361FF82DB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5 w 86"/>
                <a:gd name="T1" fmla="*/ 0 h 67"/>
                <a:gd name="T2" fmla="*/ 0 w 86"/>
                <a:gd name="T3" fmla="*/ 6 h 67"/>
                <a:gd name="T4" fmla="*/ 86 w 86"/>
                <a:gd name="T5" fmla="*/ 67 h 67"/>
                <a:gd name="T6" fmla="*/ 5 w 86"/>
                <a:gd name="T7" fmla="*/ 0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5" y="0"/>
                  </a:moveTo>
                  <a:lnTo>
                    <a:pt x="0" y="6"/>
                  </a:lnTo>
                  <a:lnTo>
                    <a:pt x="86" y="6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5" name="Freeform 226">
              <a:extLst>
                <a:ext uri="{FF2B5EF4-FFF2-40B4-BE49-F238E27FC236}">
                  <a16:creationId xmlns:a16="http://schemas.microsoft.com/office/drawing/2014/main" id="{08D40B83-459A-4663-98D1-D9579647EA4D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90"/>
                <a:gd name="T1" fmla="*/ 0 h 61"/>
                <a:gd name="T2" fmla="*/ 0 w 90"/>
                <a:gd name="T3" fmla="*/ 6 h 61"/>
                <a:gd name="T4" fmla="*/ 90 w 90"/>
                <a:gd name="T5" fmla="*/ 61 h 61"/>
                <a:gd name="T6" fmla="*/ 4 w 90"/>
                <a:gd name="T7" fmla="*/ 0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4" y="0"/>
                  </a:moveTo>
                  <a:lnTo>
                    <a:pt x="0" y="6"/>
                  </a:lnTo>
                  <a:lnTo>
                    <a:pt x="90" y="6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6" name="Freeform 227">
              <a:extLst>
                <a:ext uri="{FF2B5EF4-FFF2-40B4-BE49-F238E27FC236}">
                  <a16:creationId xmlns:a16="http://schemas.microsoft.com/office/drawing/2014/main" id="{7F0B7C91-5758-4E27-9084-6CC473EDA684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3"/>
                <a:gd name="T1" fmla="*/ 0 h 55"/>
                <a:gd name="T2" fmla="*/ 0 w 93"/>
                <a:gd name="T3" fmla="*/ 6 h 55"/>
                <a:gd name="T4" fmla="*/ 93 w 93"/>
                <a:gd name="T5" fmla="*/ 55 h 55"/>
                <a:gd name="T6" fmla="*/ 3 w 93"/>
                <a:gd name="T7" fmla="*/ 0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5">
                  <a:moveTo>
                    <a:pt x="3" y="0"/>
                  </a:moveTo>
                  <a:lnTo>
                    <a:pt x="0" y="6"/>
                  </a:lnTo>
                  <a:lnTo>
                    <a:pt x="93" y="55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7" name="Freeform 228">
              <a:extLst>
                <a:ext uri="{FF2B5EF4-FFF2-40B4-BE49-F238E27FC236}">
                  <a16:creationId xmlns:a16="http://schemas.microsoft.com/office/drawing/2014/main" id="{5341C1FF-5253-4101-8CF1-C55BAABD4378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6"/>
                <a:gd name="T1" fmla="*/ 0 h 49"/>
                <a:gd name="T2" fmla="*/ 0 w 96"/>
                <a:gd name="T3" fmla="*/ 7 h 49"/>
                <a:gd name="T4" fmla="*/ 96 w 96"/>
                <a:gd name="T5" fmla="*/ 49 h 49"/>
                <a:gd name="T6" fmla="*/ 3 w 96"/>
                <a:gd name="T7" fmla="*/ 0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9">
                  <a:moveTo>
                    <a:pt x="3" y="0"/>
                  </a:moveTo>
                  <a:lnTo>
                    <a:pt x="0" y="7"/>
                  </a:lnTo>
                  <a:lnTo>
                    <a:pt x="96" y="49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8" name="Freeform 229">
              <a:extLst>
                <a:ext uri="{FF2B5EF4-FFF2-40B4-BE49-F238E27FC236}">
                  <a16:creationId xmlns:a16="http://schemas.microsoft.com/office/drawing/2014/main" id="{94A33934-B04D-4765-B5F8-BC71D2BB4B65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9"/>
                <a:gd name="T1" fmla="*/ 0 h 42"/>
                <a:gd name="T2" fmla="*/ 0 w 99"/>
                <a:gd name="T3" fmla="*/ 6 h 42"/>
                <a:gd name="T4" fmla="*/ 99 w 99"/>
                <a:gd name="T5" fmla="*/ 42 h 42"/>
                <a:gd name="T6" fmla="*/ 3 w 99"/>
                <a:gd name="T7" fmla="*/ 0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3" y="0"/>
                  </a:moveTo>
                  <a:lnTo>
                    <a:pt x="0" y="6"/>
                  </a:lnTo>
                  <a:lnTo>
                    <a:pt x="99" y="4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9" name="Freeform 230">
              <a:extLst>
                <a:ext uri="{FF2B5EF4-FFF2-40B4-BE49-F238E27FC236}">
                  <a16:creationId xmlns:a16="http://schemas.microsoft.com/office/drawing/2014/main" id="{11ED539D-AFB4-42A9-AD6B-CF2559C9B281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1"/>
                <a:gd name="T1" fmla="*/ 0 h 36"/>
                <a:gd name="T2" fmla="*/ 0 w 101"/>
                <a:gd name="T3" fmla="*/ 7 h 36"/>
                <a:gd name="T4" fmla="*/ 101 w 101"/>
                <a:gd name="T5" fmla="*/ 36 h 36"/>
                <a:gd name="T6" fmla="*/ 2 w 101"/>
                <a:gd name="T7" fmla="*/ 0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2" y="0"/>
                  </a:moveTo>
                  <a:lnTo>
                    <a:pt x="0" y="7"/>
                  </a:lnTo>
                  <a:lnTo>
                    <a:pt x="101" y="3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0" name="Freeform 231">
              <a:extLst>
                <a:ext uri="{FF2B5EF4-FFF2-40B4-BE49-F238E27FC236}">
                  <a16:creationId xmlns:a16="http://schemas.microsoft.com/office/drawing/2014/main" id="{778AD8C2-C022-4463-AA79-ED174438922E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3"/>
                <a:gd name="T1" fmla="*/ 0 h 29"/>
                <a:gd name="T2" fmla="*/ 0 w 103"/>
                <a:gd name="T3" fmla="*/ 7 h 29"/>
                <a:gd name="T4" fmla="*/ 103 w 103"/>
                <a:gd name="T5" fmla="*/ 29 h 29"/>
                <a:gd name="T6" fmla="*/ 2 w 103"/>
                <a:gd name="T7" fmla="*/ 0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2" y="0"/>
                  </a:moveTo>
                  <a:lnTo>
                    <a:pt x="0" y="7"/>
                  </a:lnTo>
                  <a:lnTo>
                    <a:pt x="103" y="29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1" name="Freeform 232">
              <a:extLst>
                <a:ext uri="{FF2B5EF4-FFF2-40B4-BE49-F238E27FC236}">
                  <a16:creationId xmlns:a16="http://schemas.microsoft.com/office/drawing/2014/main" id="{6B242306-521D-496B-90B9-57720B219502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1 w 104"/>
                <a:gd name="T1" fmla="*/ 0 h 22"/>
                <a:gd name="T2" fmla="*/ 0 w 104"/>
                <a:gd name="T3" fmla="*/ 7 h 22"/>
                <a:gd name="T4" fmla="*/ 104 w 104"/>
                <a:gd name="T5" fmla="*/ 22 h 22"/>
                <a:gd name="T6" fmla="*/ 1 w 104"/>
                <a:gd name="T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" y="0"/>
                  </a:moveTo>
                  <a:lnTo>
                    <a:pt x="0" y="7"/>
                  </a:lnTo>
                  <a:lnTo>
                    <a:pt x="104" y="2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2" name="Freeform 233">
              <a:extLst>
                <a:ext uri="{FF2B5EF4-FFF2-40B4-BE49-F238E27FC236}">
                  <a16:creationId xmlns:a16="http://schemas.microsoft.com/office/drawing/2014/main" id="{57E65780-5550-4774-A7B2-2D948571741B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8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8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3" name="Freeform 234">
              <a:extLst>
                <a:ext uri="{FF2B5EF4-FFF2-40B4-BE49-F238E27FC236}">
                  <a16:creationId xmlns:a16="http://schemas.microsoft.com/office/drawing/2014/main" id="{48644CD8-5893-4069-94B6-D4A9CF4D64AC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7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4" name="Freeform 235">
              <a:extLst>
                <a:ext uri="{FF2B5EF4-FFF2-40B4-BE49-F238E27FC236}">
                  <a16:creationId xmlns:a16="http://schemas.microsoft.com/office/drawing/2014/main" id="{F74CD700-6575-4273-B940-9852AF9DB813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5" name="Freeform 236">
              <a:extLst>
                <a:ext uri="{FF2B5EF4-FFF2-40B4-BE49-F238E27FC236}">
                  <a16:creationId xmlns:a16="http://schemas.microsoft.com/office/drawing/2014/main" id="{FA5336E4-5E81-4D74-A624-86C5F5FC12FE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7 h 14"/>
                <a:gd name="T2" fmla="*/ 1 w 105"/>
                <a:gd name="T3" fmla="*/ 14 h 14"/>
                <a:gd name="T4" fmla="*/ 105 w 105"/>
                <a:gd name="T5" fmla="*/ 0 h 14"/>
                <a:gd name="T6" fmla="*/ 0 w 105"/>
                <a:gd name="T7" fmla="*/ 7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0" y="7"/>
                  </a:moveTo>
                  <a:lnTo>
                    <a:pt x="1" y="14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6" name="Freeform 237">
              <a:extLst>
                <a:ext uri="{FF2B5EF4-FFF2-40B4-BE49-F238E27FC236}">
                  <a16:creationId xmlns:a16="http://schemas.microsoft.com/office/drawing/2014/main" id="{C3F99A94-96C3-42B6-A0EC-902EE7B7923C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4"/>
                <a:gd name="T1" fmla="*/ 14 h 21"/>
                <a:gd name="T2" fmla="*/ 1 w 104"/>
                <a:gd name="T3" fmla="*/ 21 h 21"/>
                <a:gd name="T4" fmla="*/ 104 w 104"/>
                <a:gd name="T5" fmla="*/ 0 h 21"/>
                <a:gd name="T6" fmla="*/ 0 w 104"/>
                <a:gd name="T7" fmla="*/ 14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0" y="14"/>
                  </a:moveTo>
                  <a:lnTo>
                    <a:pt x="1" y="21"/>
                  </a:lnTo>
                  <a:lnTo>
                    <a:pt x="104" y="0"/>
                  </a:lnTo>
                  <a:lnTo>
                    <a:pt x="0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7" name="Freeform 238">
              <a:extLst>
                <a:ext uri="{FF2B5EF4-FFF2-40B4-BE49-F238E27FC236}">
                  <a16:creationId xmlns:a16="http://schemas.microsoft.com/office/drawing/2014/main" id="{E1A32661-6225-4B63-9699-130D90FACBA5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3"/>
                <a:gd name="T1" fmla="*/ 21 h 28"/>
                <a:gd name="T2" fmla="*/ 2 w 103"/>
                <a:gd name="T3" fmla="*/ 28 h 28"/>
                <a:gd name="T4" fmla="*/ 103 w 103"/>
                <a:gd name="T5" fmla="*/ 0 h 28"/>
                <a:gd name="T6" fmla="*/ 0 w 103"/>
                <a:gd name="T7" fmla="*/ 21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0" y="21"/>
                  </a:moveTo>
                  <a:lnTo>
                    <a:pt x="2" y="28"/>
                  </a:lnTo>
                  <a:lnTo>
                    <a:pt x="103" y="0"/>
                  </a:lnTo>
                  <a:lnTo>
                    <a:pt x="0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8" name="Freeform 239">
              <a:extLst>
                <a:ext uri="{FF2B5EF4-FFF2-40B4-BE49-F238E27FC236}">
                  <a16:creationId xmlns:a16="http://schemas.microsoft.com/office/drawing/2014/main" id="{3BEF011A-3ADD-44F1-B723-330AF24F6485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1"/>
                <a:gd name="T1" fmla="*/ 28 h 35"/>
                <a:gd name="T2" fmla="*/ 2 w 101"/>
                <a:gd name="T3" fmla="*/ 35 h 35"/>
                <a:gd name="T4" fmla="*/ 101 w 101"/>
                <a:gd name="T5" fmla="*/ 0 h 35"/>
                <a:gd name="T6" fmla="*/ 0 w 101"/>
                <a:gd name="T7" fmla="*/ 28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5">
                  <a:moveTo>
                    <a:pt x="0" y="28"/>
                  </a:moveTo>
                  <a:lnTo>
                    <a:pt x="2" y="35"/>
                  </a:lnTo>
                  <a:lnTo>
                    <a:pt x="101" y="0"/>
                  </a:lnTo>
                  <a:lnTo>
                    <a:pt x="0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9" name="Freeform 240">
              <a:extLst>
                <a:ext uri="{FF2B5EF4-FFF2-40B4-BE49-F238E27FC236}">
                  <a16:creationId xmlns:a16="http://schemas.microsoft.com/office/drawing/2014/main" id="{7750E9C8-1EC7-4D00-84F9-1010E10580C9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9"/>
                <a:gd name="T1" fmla="*/ 35 h 42"/>
                <a:gd name="T2" fmla="*/ 3 w 99"/>
                <a:gd name="T3" fmla="*/ 42 h 42"/>
                <a:gd name="T4" fmla="*/ 99 w 99"/>
                <a:gd name="T5" fmla="*/ 0 h 42"/>
                <a:gd name="T6" fmla="*/ 0 w 99"/>
                <a:gd name="T7" fmla="*/ 35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0" y="35"/>
                  </a:moveTo>
                  <a:lnTo>
                    <a:pt x="3" y="42"/>
                  </a:lnTo>
                  <a:lnTo>
                    <a:pt x="99" y="0"/>
                  </a:lnTo>
                  <a:lnTo>
                    <a:pt x="0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0" name="Freeform 241">
              <a:extLst>
                <a:ext uri="{FF2B5EF4-FFF2-40B4-BE49-F238E27FC236}">
                  <a16:creationId xmlns:a16="http://schemas.microsoft.com/office/drawing/2014/main" id="{F676BB9F-25CF-464A-92EA-C00EBE06C071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6"/>
                <a:gd name="T1" fmla="*/ 42 h 48"/>
                <a:gd name="T2" fmla="*/ 3 w 96"/>
                <a:gd name="T3" fmla="*/ 48 h 48"/>
                <a:gd name="T4" fmla="*/ 96 w 96"/>
                <a:gd name="T5" fmla="*/ 0 h 48"/>
                <a:gd name="T6" fmla="*/ 0 w 96"/>
                <a:gd name="T7" fmla="*/ 42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8">
                  <a:moveTo>
                    <a:pt x="0" y="42"/>
                  </a:moveTo>
                  <a:lnTo>
                    <a:pt x="3" y="48"/>
                  </a:lnTo>
                  <a:lnTo>
                    <a:pt x="96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1" name="Freeform 242">
              <a:extLst>
                <a:ext uri="{FF2B5EF4-FFF2-40B4-BE49-F238E27FC236}">
                  <a16:creationId xmlns:a16="http://schemas.microsoft.com/office/drawing/2014/main" id="{9608A691-D95C-4C2D-B938-168B6A87988C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3"/>
                <a:gd name="T1" fmla="*/ 48 h 54"/>
                <a:gd name="T2" fmla="*/ 3 w 93"/>
                <a:gd name="T3" fmla="*/ 54 h 54"/>
                <a:gd name="T4" fmla="*/ 93 w 93"/>
                <a:gd name="T5" fmla="*/ 0 h 54"/>
                <a:gd name="T6" fmla="*/ 0 w 93"/>
                <a:gd name="T7" fmla="*/ 48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4">
                  <a:moveTo>
                    <a:pt x="0" y="48"/>
                  </a:moveTo>
                  <a:lnTo>
                    <a:pt x="3" y="54"/>
                  </a:lnTo>
                  <a:lnTo>
                    <a:pt x="93" y="0"/>
                  </a:lnTo>
                  <a:lnTo>
                    <a:pt x="0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2" name="Freeform 243">
              <a:extLst>
                <a:ext uri="{FF2B5EF4-FFF2-40B4-BE49-F238E27FC236}">
                  <a16:creationId xmlns:a16="http://schemas.microsoft.com/office/drawing/2014/main" id="{7A1B84DE-BBAD-46FF-B254-F0BC81078011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0"/>
                <a:gd name="T1" fmla="*/ 54 h 60"/>
                <a:gd name="T2" fmla="*/ 4 w 90"/>
                <a:gd name="T3" fmla="*/ 60 h 60"/>
                <a:gd name="T4" fmla="*/ 90 w 90"/>
                <a:gd name="T5" fmla="*/ 0 h 60"/>
                <a:gd name="T6" fmla="*/ 0 w 90"/>
                <a:gd name="T7" fmla="*/ 54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0" y="54"/>
                  </a:moveTo>
                  <a:lnTo>
                    <a:pt x="4" y="60"/>
                  </a:lnTo>
                  <a:lnTo>
                    <a:pt x="90" y="0"/>
                  </a:lnTo>
                  <a:lnTo>
                    <a:pt x="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3" name="Freeform 244">
              <a:extLst>
                <a:ext uri="{FF2B5EF4-FFF2-40B4-BE49-F238E27FC236}">
                  <a16:creationId xmlns:a16="http://schemas.microsoft.com/office/drawing/2014/main" id="{07D31AAF-CABC-4254-A36E-42740051AFA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6"/>
                <a:gd name="T1" fmla="*/ 60 h 66"/>
                <a:gd name="T2" fmla="*/ 5 w 86"/>
                <a:gd name="T3" fmla="*/ 66 h 66"/>
                <a:gd name="T4" fmla="*/ 86 w 86"/>
                <a:gd name="T5" fmla="*/ 0 h 66"/>
                <a:gd name="T6" fmla="*/ 0 w 86"/>
                <a:gd name="T7" fmla="*/ 60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0" y="60"/>
                  </a:moveTo>
                  <a:lnTo>
                    <a:pt x="5" y="66"/>
                  </a:lnTo>
                  <a:lnTo>
                    <a:pt x="86" y="0"/>
                  </a:lnTo>
                  <a:lnTo>
                    <a:pt x="0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4" name="Freeform 245">
              <a:extLst>
                <a:ext uri="{FF2B5EF4-FFF2-40B4-BE49-F238E27FC236}">
                  <a16:creationId xmlns:a16="http://schemas.microsoft.com/office/drawing/2014/main" id="{CDC7122F-7859-4673-86CD-91F2976DB14B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1"/>
                <a:gd name="T1" fmla="*/ 66 h 72"/>
                <a:gd name="T2" fmla="*/ 4 w 81"/>
                <a:gd name="T3" fmla="*/ 72 h 72"/>
                <a:gd name="T4" fmla="*/ 81 w 81"/>
                <a:gd name="T5" fmla="*/ 0 h 72"/>
                <a:gd name="T6" fmla="*/ 0 w 81"/>
                <a:gd name="T7" fmla="*/ 66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0" y="66"/>
                  </a:moveTo>
                  <a:lnTo>
                    <a:pt x="4" y="72"/>
                  </a:lnTo>
                  <a:lnTo>
                    <a:pt x="81" y="0"/>
                  </a:lnTo>
                  <a:lnTo>
                    <a:pt x="0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5" name="Freeform 246">
              <a:extLst>
                <a:ext uri="{FF2B5EF4-FFF2-40B4-BE49-F238E27FC236}">
                  <a16:creationId xmlns:a16="http://schemas.microsoft.com/office/drawing/2014/main" id="{6D77973B-80E3-4222-94A3-52562FE6E14C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7"/>
                <a:gd name="T1" fmla="*/ 72 h 77"/>
                <a:gd name="T2" fmla="*/ 5 w 77"/>
                <a:gd name="T3" fmla="*/ 77 h 77"/>
                <a:gd name="T4" fmla="*/ 77 w 77"/>
                <a:gd name="T5" fmla="*/ 0 h 77"/>
                <a:gd name="T6" fmla="*/ 0 w 77"/>
                <a:gd name="T7" fmla="*/ 72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0" y="72"/>
                  </a:moveTo>
                  <a:lnTo>
                    <a:pt x="5" y="77"/>
                  </a:lnTo>
                  <a:lnTo>
                    <a:pt x="77" y="0"/>
                  </a:lnTo>
                  <a:lnTo>
                    <a:pt x="0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6" name="Freeform 247">
              <a:extLst>
                <a:ext uri="{FF2B5EF4-FFF2-40B4-BE49-F238E27FC236}">
                  <a16:creationId xmlns:a16="http://schemas.microsoft.com/office/drawing/2014/main" id="{2081E41C-A5D8-4BBB-AAA6-63B265BB9686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2"/>
                <a:gd name="T1" fmla="*/ 77 h 81"/>
                <a:gd name="T2" fmla="*/ 6 w 72"/>
                <a:gd name="T3" fmla="*/ 81 h 81"/>
                <a:gd name="T4" fmla="*/ 72 w 72"/>
                <a:gd name="T5" fmla="*/ 0 h 81"/>
                <a:gd name="T6" fmla="*/ 0 w 72"/>
                <a:gd name="T7" fmla="*/ 77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0" y="77"/>
                  </a:moveTo>
                  <a:lnTo>
                    <a:pt x="6" y="81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7" name="Freeform 248">
              <a:extLst>
                <a:ext uri="{FF2B5EF4-FFF2-40B4-BE49-F238E27FC236}">
                  <a16:creationId xmlns:a16="http://schemas.microsoft.com/office/drawing/2014/main" id="{A0F49981-CC22-47B9-9079-CAB078320DFC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6"/>
                <a:gd name="T1" fmla="*/ 81 h 86"/>
                <a:gd name="T2" fmla="*/ 6 w 66"/>
                <a:gd name="T3" fmla="*/ 86 h 86"/>
                <a:gd name="T4" fmla="*/ 66 w 66"/>
                <a:gd name="T5" fmla="*/ 0 h 86"/>
                <a:gd name="T6" fmla="*/ 0 w 66"/>
                <a:gd name="T7" fmla="*/ 81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0" y="81"/>
                  </a:moveTo>
                  <a:lnTo>
                    <a:pt x="6" y="86"/>
                  </a:lnTo>
                  <a:lnTo>
                    <a:pt x="66" y="0"/>
                  </a:lnTo>
                  <a:lnTo>
                    <a:pt x="0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8" name="Freeform 249">
              <a:extLst>
                <a:ext uri="{FF2B5EF4-FFF2-40B4-BE49-F238E27FC236}">
                  <a16:creationId xmlns:a16="http://schemas.microsoft.com/office/drawing/2014/main" id="{F80F323B-6EAC-4F0A-AE7C-7FF391444C06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0"/>
                <a:gd name="T1" fmla="*/ 86 h 90"/>
                <a:gd name="T2" fmla="*/ 6 w 60"/>
                <a:gd name="T3" fmla="*/ 90 h 90"/>
                <a:gd name="T4" fmla="*/ 60 w 60"/>
                <a:gd name="T5" fmla="*/ 0 h 90"/>
                <a:gd name="T6" fmla="*/ 0 w 60"/>
                <a:gd name="T7" fmla="*/ 86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0" y="86"/>
                  </a:moveTo>
                  <a:lnTo>
                    <a:pt x="6" y="90"/>
                  </a:lnTo>
                  <a:lnTo>
                    <a:pt x="60" y="0"/>
                  </a:lnTo>
                  <a:lnTo>
                    <a:pt x="0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9" name="Freeform 250">
              <a:extLst>
                <a:ext uri="{FF2B5EF4-FFF2-40B4-BE49-F238E27FC236}">
                  <a16:creationId xmlns:a16="http://schemas.microsoft.com/office/drawing/2014/main" id="{F95468A1-0BA0-4B24-9F48-71057A00581D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54"/>
                <a:gd name="T1" fmla="*/ 90 h 93"/>
                <a:gd name="T2" fmla="*/ 6 w 54"/>
                <a:gd name="T3" fmla="*/ 93 h 93"/>
                <a:gd name="T4" fmla="*/ 54 w 54"/>
                <a:gd name="T5" fmla="*/ 0 h 93"/>
                <a:gd name="T6" fmla="*/ 0 w 54"/>
                <a:gd name="T7" fmla="*/ 9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3">
                  <a:moveTo>
                    <a:pt x="0" y="90"/>
                  </a:moveTo>
                  <a:lnTo>
                    <a:pt x="6" y="93"/>
                  </a:lnTo>
                  <a:lnTo>
                    <a:pt x="54" y="0"/>
                  </a:lnTo>
                  <a:lnTo>
                    <a:pt x="0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" name="Freeform 251">
              <a:extLst>
                <a:ext uri="{FF2B5EF4-FFF2-40B4-BE49-F238E27FC236}">
                  <a16:creationId xmlns:a16="http://schemas.microsoft.com/office/drawing/2014/main" id="{BBB88EF4-D098-4A62-B5A7-5BB168BB8E25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48"/>
                <a:gd name="T1" fmla="*/ 93 h 96"/>
                <a:gd name="T2" fmla="*/ 6 w 48"/>
                <a:gd name="T3" fmla="*/ 96 h 96"/>
                <a:gd name="T4" fmla="*/ 48 w 48"/>
                <a:gd name="T5" fmla="*/ 0 h 96"/>
                <a:gd name="T6" fmla="*/ 0 w 48"/>
                <a:gd name="T7" fmla="*/ 9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6">
                  <a:moveTo>
                    <a:pt x="0" y="93"/>
                  </a:moveTo>
                  <a:lnTo>
                    <a:pt x="6" y="96"/>
                  </a:lnTo>
                  <a:lnTo>
                    <a:pt x="48" y="0"/>
                  </a:lnTo>
                  <a:lnTo>
                    <a:pt x="0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5" name="Group 453">
            <a:extLst>
              <a:ext uri="{FF2B5EF4-FFF2-40B4-BE49-F238E27FC236}">
                <a16:creationId xmlns:a16="http://schemas.microsoft.com/office/drawing/2014/main" id="{A575DDE7-D4A1-48E5-8D6C-45D3C473BDCB}"/>
              </a:ext>
            </a:extLst>
          </xdr:cNvPr>
          <xdr:cNvGrpSpPr>
            <a:grpSpLocks/>
          </xdr:cNvGrpSpPr>
        </xdr:nvGrpSpPr>
        <xdr:grpSpPr bwMode="auto">
          <a:xfrm>
            <a:off x="930" y="188"/>
            <a:ext cx="262" cy="16"/>
            <a:chOff x="930" y="188"/>
            <a:chExt cx="262" cy="16"/>
          </a:xfrm>
        </xdr:grpSpPr>
        <xdr:sp macro="" textlink="">
          <xdr:nvSpPr>
            <xdr:cNvPr id="141" name="Freeform 253">
              <a:extLst>
                <a:ext uri="{FF2B5EF4-FFF2-40B4-BE49-F238E27FC236}">
                  <a16:creationId xmlns:a16="http://schemas.microsoft.com/office/drawing/2014/main" id="{5EE6209D-A1A9-46C3-9343-4C1FE0D69768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42"/>
                <a:gd name="T1" fmla="*/ 96 h 99"/>
                <a:gd name="T2" fmla="*/ 7 w 42"/>
                <a:gd name="T3" fmla="*/ 99 h 99"/>
                <a:gd name="T4" fmla="*/ 42 w 42"/>
                <a:gd name="T5" fmla="*/ 0 h 99"/>
                <a:gd name="T6" fmla="*/ 0 w 42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0" y="96"/>
                  </a:moveTo>
                  <a:lnTo>
                    <a:pt x="7" y="99"/>
                  </a:lnTo>
                  <a:lnTo>
                    <a:pt x="42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2" name="Freeform 254">
              <a:extLst>
                <a:ext uri="{FF2B5EF4-FFF2-40B4-BE49-F238E27FC236}">
                  <a16:creationId xmlns:a16="http://schemas.microsoft.com/office/drawing/2014/main" id="{452C83ED-6C97-45BA-9025-3DA2D1EFC37D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35"/>
                <a:gd name="T1" fmla="*/ 99 h 101"/>
                <a:gd name="T2" fmla="*/ 7 w 35"/>
                <a:gd name="T3" fmla="*/ 101 h 101"/>
                <a:gd name="T4" fmla="*/ 35 w 35"/>
                <a:gd name="T5" fmla="*/ 0 h 101"/>
                <a:gd name="T6" fmla="*/ 0 w 35"/>
                <a:gd name="T7" fmla="*/ 99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0" y="99"/>
                  </a:moveTo>
                  <a:lnTo>
                    <a:pt x="7" y="101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3" name="Freeform 255">
              <a:extLst>
                <a:ext uri="{FF2B5EF4-FFF2-40B4-BE49-F238E27FC236}">
                  <a16:creationId xmlns:a16="http://schemas.microsoft.com/office/drawing/2014/main" id="{A38C2E0A-6D16-4D67-A6B2-6191C780251D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8"/>
                <a:gd name="T1" fmla="*/ 101 h 103"/>
                <a:gd name="T2" fmla="*/ 7 w 28"/>
                <a:gd name="T3" fmla="*/ 103 h 103"/>
                <a:gd name="T4" fmla="*/ 28 w 28"/>
                <a:gd name="T5" fmla="*/ 0 h 103"/>
                <a:gd name="T6" fmla="*/ 0 w 28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0" y="101"/>
                  </a:moveTo>
                  <a:lnTo>
                    <a:pt x="7" y="103"/>
                  </a:lnTo>
                  <a:lnTo>
                    <a:pt x="28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4" name="Freeform 256">
              <a:extLst>
                <a:ext uri="{FF2B5EF4-FFF2-40B4-BE49-F238E27FC236}">
                  <a16:creationId xmlns:a16="http://schemas.microsoft.com/office/drawing/2014/main" id="{C0C62C3D-5DBC-4929-9599-42D836C8B42D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1"/>
                <a:gd name="T1" fmla="*/ 103 h 104"/>
                <a:gd name="T2" fmla="*/ 7 w 21"/>
                <a:gd name="T3" fmla="*/ 104 h 104"/>
                <a:gd name="T4" fmla="*/ 21 w 21"/>
                <a:gd name="T5" fmla="*/ 0 h 104"/>
                <a:gd name="T6" fmla="*/ 0 w 21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4">
                  <a:moveTo>
                    <a:pt x="0" y="103"/>
                  </a:moveTo>
                  <a:lnTo>
                    <a:pt x="7" y="104"/>
                  </a:lnTo>
                  <a:lnTo>
                    <a:pt x="21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5" name="Freeform 257">
              <a:extLst>
                <a:ext uri="{FF2B5EF4-FFF2-40B4-BE49-F238E27FC236}">
                  <a16:creationId xmlns:a16="http://schemas.microsoft.com/office/drawing/2014/main" id="{073ED2D1-33FE-48A2-A195-1450D62021E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14"/>
                <a:gd name="T1" fmla="*/ 104 h 105"/>
                <a:gd name="T2" fmla="*/ 7 w 14"/>
                <a:gd name="T3" fmla="*/ 105 h 105"/>
                <a:gd name="T4" fmla="*/ 14 w 14"/>
                <a:gd name="T5" fmla="*/ 0 h 105"/>
                <a:gd name="T6" fmla="*/ 0 w 14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0" y="104"/>
                  </a:moveTo>
                  <a:lnTo>
                    <a:pt x="7" y="105"/>
                  </a:lnTo>
                  <a:lnTo>
                    <a:pt x="14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6" name="Freeform 258">
              <a:extLst>
                <a:ext uri="{FF2B5EF4-FFF2-40B4-BE49-F238E27FC236}">
                  <a16:creationId xmlns:a16="http://schemas.microsoft.com/office/drawing/2014/main" id="{CD031A9A-9D58-497D-B85F-3249B2BDBCD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7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7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7" name="Freeform 259">
              <a:extLst>
                <a:ext uri="{FF2B5EF4-FFF2-40B4-BE49-F238E27FC236}">
                  <a16:creationId xmlns:a16="http://schemas.microsoft.com/office/drawing/2014/main" id="{7FA5F3AA-E087-4F7A-9CAE-9FEE7FF00E06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8" name="Freeform 260">
              <a:extLst>
                <a:ext uri="{FF2B5EF4-FFF2-40B4-BE49-F238E27FC236}">
                  <a16:creationId xmlns:a16="http://schemas.microsoft.com/office/drawing/2014/main" id="{A8522E44-22D1-4830-8CD7-68EC5FDBB76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9" name="Freeform 261">
              <a:extLst>
                <a:ext uri="{FF2B5EF4-FFF2-40B4-BE49-F238E27FC236}">
                  <a16:creationId xmlns:a16="http://schemas.microsoft.com/office/drawing/2014/main" id="{845828A5-B664-4AED-A2DD-2E9C8B72994B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0" name="Freeform 262">
              <a:extLst>
                <a:ext uri="{FF2B5EF4-FFF2-40B4-BE49-F238E27FC236}">
                  <a16:creationId xmlns:a16="http://schemas.microsoft.com/office/drawing/2014/main" id="{A206310E-D84D-4776-B87F-213EF3BB0CF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2 w 29"/>
                <a:gd name="T1" fmla="*/ 103 h 103"/>
                <a:gd name="T2" fmla="*/ 29 w 29"/>
                <a:gd name="T3" fmla="*/ 101 h 103"/>
                <a:gd name="T4" fmla="*/ 0 w 29"/>
                <a:gd name="T5" fmla="*/ 0 h 103"/>
                <a:gd name="T6" fmla="*/ 22 w 29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2" y="103"/>
                  </a:moveTo>
                  <a:lnTo>
                    <a:pt x="29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1" name="Freeform 263">
              <a:extLst>
                <a:ext uri="{FF2B5EF4-FFF2-40B4-BE49-F238E27FC236}">
                  <a16:creationId xmlns:a16="http://schemas.microsoft.com/office/drawing/2014/main" id="{267CDAFA-DB26-48B4-8FD8-86BA67362D3D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9 w 35"/>
                <a:gd name="T1" fmla="*/ 101 h 101"/>
                <a:gd name="T2" fmla="*/ 35 w 35"/>
                <a:gd name="T3" fmla="*/ 99 h 101"/>
                <a:gd name="T4" fmla="*/ 0 w 35"/>
                <a:gd name="T5" fmla="*/ 0 h 101"/>
                <a:gd name="T6" fmla="*/ 29 w 35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29" y="101"/>
                  </a:moveTo>
                  <a:lnTo>
                    <a:pt x="35" y="99"/>
                  </a:lnTo>
                  <a:lnTo>
                    <a:pt x="0" y="0"/>
                  </a:lnTo>
                  <a:lnTo>
                    <a:pt x="29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2" name="Freeform 264">
              <a:extLst>
                <a:ext uri="{FF2B5EF4-FFF2-40B4-BE49-F238E27FC236}">
                  <a16:creationId xmlns:a16="http://schemas.microsoft.com/office/drawing/2014/main" id="{B3C39E66-0673-4F09-B39A-B8D27D20A6C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2"/>
            </a:xfrm>
            <a:custGeom>
              <a:avLst/>
              <a:gdLst>
                <a:gd name="T0" fmla="*/ 35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5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5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5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3" name="Freeform 265">
              <a:extLst>
                <a:ext uri="{FF2B5EF4-FFF2-40B4-BE49-F238E27FC236}">
                  <a16:creationId xmlns:a16="http://schemas.microsoft.com/office/drawing/2014/main" id="{64283C0C-04AB-4530-9B81-0BE34D2147E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2 w 49"/>
                <a:gd name="T1" fmla="*/ 96 h 96"/>
                <a:gd name="T2" fmla="*/ 49 w 49"/>
                <a:gd name="T3" fmla="*/ 93 h 96"/>
                <a:gd name="T4" fmla="*/ 0 w 49"/>
                <a:gd name="T5" fmla="*/ 0 h 96"/>
                <a:gd name="T6" fmla="*/ 42 w 49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6">
                  <a:moveTo>
                    <a:pt x="42" y="96"/>
                  </a:moveTo>
                  <a:lnTo>
                    <a:pt x="49" y="93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4" name="Freeform 266">
              <a:extLst>
                <a:ext uri="{FF2B5EF4-FFF2-40B4-BE49-F238E27FC236}">
                  <a16:creationId xmlns:a16="http://schemas.microsoft.com/office/drawing/2014/main" id="{EAB7EBF0-D876-435F-997D-812EE743E95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9 w 55"/>
                <a:gd name="T1" fmla="*/ 93 h 93"/>
                <a:gd name="T2" fmla="*/ 55 w 55"/>
                <a:gd name="T3" fmla="*/ 90 h 93"/>
                <a:gd name="T4" fmla="*/ 0 w 55"/>
                <a:gd name="T5" fmla="*/ 0 h 93"/>
                <a:gd name="T6" fmla="*/ 49 w 55"/>
                <a:gd name="T7" fmla="*/ 93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3">
                  <a:moveTo>
                    <a:pt x="49" y="93"/>
                  </a:moveTo>
                  <a:lnTo>
                    <a:pt x="55" y="90"/>
                  </a:lnTo>
                  <a:lnTo>
                    <a:pt x="0" y="0"/>
                  </a:lnTo>
                  <a:lnTo>
                    <a:pt x="49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5" name="Freeform 267">
              <a:extLst>
                <a:ext uri="{FF2B5EF4-FFF2-40B4-BE49-F238E27FC236}">
                  <a16:creationId xmlns:a16="http://schemas.microsoft.com/office/drawing/2014/main" id="{017AB448-7BDF-4ED6-BA07-561F6DE3AD0B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55 w 61"/>
                <a:gd name="T1" fmla="*/ 90 h 90"/>
                <a:gd name="T2" fmla="*/ 61 w 61"/>
                <a:gd name="T3" fmla="*/ 86 h 90"/>
                <a:gd name="T4" fmla="*/ 0 w 61"/>
                <a:gd name="T5" fmla="*/ 0 h 90"/>
                <a:gd name="T6" fmla="*/ 55 w 61"/>
                <a:gd name="T7" fmla="*/ 9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55" y="90"/>
                  </a:moveTo>
                  <a:lnTo>
                    <a:pt x="61" y="86"/>
                  </a:lnTo>
                  <a:lnTo>
                    <a:pt x="0" y="0"/>
                  </a:lnTo>
                  <a:lnTo>
                    <a:pt x="55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6" name="Freeform 268">
              <a:extLst>
                <a:ext uri="{FF2B5EF4-FFF2-40B4-BE49-F238E27FC236}">
                  <a16:creationId xmlns:a16="http://schemas.microsoft.com/office/drawing/2014/main" id="{16332C1B-A67D-40F4-8A02-C22560DB639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1 w 67"/>
                <a:gd name="T1" fmla="*/ 86 h 86"/>
                <a:gd name="T2" fmla="*/ 67 w 67"/>
                <a:gd name="T3" fmla="*/ 81 h 86"/>
                <a:gd name="T4" fmla="*/ 0 w 67"/>
                <a:gd name="T5" fmla="*/ 0 h 86"/>
                <a:gd name="T6" fmla="*/ 61 w 67"/>
                <a:gd name="T7" fmla="*/ 86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1" y="86"/>
                  </a:moveTo>
                  <a:lnTo>
                    <a:pt x="67" y="81"/>
                  </a:lnTo>
                  <a:lnTo>
                    <a:pt x="0" y="0"/>
                  </a:lnTo>
                  <a:lnTo>
                    <a:pt x="61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7" name="Freeform 269">
              <a:extLst>
                <a:ext uri="{FF2B5EF4-FFF2-40B4-BE49-F238E27FC236}">
                  <a16:creationId xmlns:a16="http://schemas.microsoft.com/office/drawing/2014/main" id="{95193756-3E22-4C3E-B273-34D5A4B670B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7 w 72"/>
                <a:gd name="T1" fmla="*/ 81 h 81"/>
                <a:gd name="T2" fmla="*/ 72 w 72"/>
                <a:gd name="T3" fmla="*/ 77 h 81"/>
                <a:gd name="T4" fmla="*/ 0 w 72"/>
                <a:gd name="T5" fmla="*/ 0 h 81"/>
                <a:gd name="T6" fmla="*/ 67 w 72"/>
                <a:gd name="T7" fmla="*/ 81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67" y="81"/>
                  </a:moveTo>
                  <a:lnTo>
                    <a:pt x="72" y="77"/>
                  </a:lnTo>
                  <a:lnTo>
                    <a:pt x="0" y="0"/>
                  </a:lnTo>
                  <a:lnTo>
                    <a:pt x="67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8" name="Freeform 270">
              <a:extLst>
                <a:ext uri="{FF2B5EF4-FFF2-40B4-BE49-F238E27FC236}">
                  <a16:creationId xmlns:a16="http://schemas.microsoft.com/office/drawing/2014/main" id="{20E8264D-EB0E-4244-9C0B-C4CC300AE64C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2 w 77"/>
                <a:gd name="T1" fmla="*/ 77 h 77"/>
                <a:gd name="T2" fmla="*/ 77 w 77"/>
                <a:gd name="T3" fmla="*/ 72 h 77"/>
                <a:gd name="T4" fmla="*/ 0 w 77"/>
                <a:gd name="T5" fmla="*/ 0 h 77"/>
                <a:gd name="T6" fmla="*/ 72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2" y="77"/>
                  </a:moveTo>
                  <a:lnTo>
                    <a:pt x="77" y="72"/>
                  </a:lnTo>
                  <a:lnTo>
                    <a:pt x="0" y="0"/>
                  </a:lnTo>
                  <a:lnTo>
                    <a:pt x="72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9" name="Freeform 271">
              <a:extLst>
                <a:ext uri="{FF2B5EF4-FFF2-40B4-BE49-F238E27FC236}">
                  <a16:creationId xmlns:a16="http://schemas.microsoft.com/office/drawing/2014/main" id="{35F325E5-673E-4897-9B26-E8F906941131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7 w 82"/>
                <a:gd name="T1" fmla="*/ 72 h 72"/>
                <a:gd name="T2" fmla="*/ 82 w 82"/>
                <a:gd name="T3" fmla="*/ 66 h 72"/>
                <a:gd name="T4" fmla="*/ 0 w 82"/>
                <a:gd name="T5" fmla="*/ 0 h 72"/>
                <a:gd name="T6" fmla="*/ 77 w 82"/>
                <a:gd name="T7" fmla="*/ 72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77" y="72"/>
                  </a:moveTo>
                  <a:lnTo>
                    <a:pt x="82" y="66"/>
                  </a:lnTo>
                  <a:lnTo>
                    <a:pt x="0" y="0"/>
                  </a:lnTo>
                  <a:lnTo>
                    <a:pt x="77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0" name="Freeform 272">
              <a:extLst>
                <a:ext uri="{FF2B5EF4-FFF2-40B4-BE49-F238E27FC236}">
                  <a16:creationId xmlns:a16="http://schemas.microsoft.com/office/drawing/2014/main" id="{5F76D3E2-59D5-43C5-8FB7-3BBC82657FB5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2 w 86"/>
                <a:gd name="T1" fmla="*/ 66 h 66"/>
                <a:gd name="T2" fmla="*/ 86 w 86"/>
                <a:gd name="T3" fmla="*/ 60 h 66"/>
                <a:gd name="T4" fmla="*/ 0 w 86"/>
                <a:gd name="T5" fmla="*/ 0 h 66"/>
                <a:gd name="T6" fmla="*/ 82 w 86"/>
                <a:gd name="T7" fmla="*/ 66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82" y="66"/>
                  </a:moveTo>
                  <a:lnTo>
                    <a:pt x="86" y="60"/>
                  </a:lnTo>
                  <a:lnTo>
                    <a:pt x="0" y="0"/>
                  </a:lnTo>
                  <a:lnTo>
                    <a:pt x="82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1" name="Freeform 273">
              <a:extLst>
                <a:ext uri="{FF2B5EF4-FFF2-40B4-BE49-F238E27FC236}">
                  <a16:creationId xmlns:a16="http://schemas.microsoft.com/office/drawing/2014/main" id="{F3189C65-CAB2-40AF-85AB-34A489C8897B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6 w 90"/>
                <a:gd name="T1" fmla="*/ 60 h 60"/>
                <a:gd name="T2" fmla="*/ 90 w 90"/>
                <a:gd name="T3" fmla="*/ 54 h 60"/>
                <a:gd name="T4" fmla="*/ 0 w 90"/>
                <a:gd name="T5" fmla="*/ 0 h 60"/>
                <a:gd name="T6" fmla="*/ 86 w 90"/>
                <a:gd name="T7" fmla="*/ 60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86" y="60"/>
                  </a:moveTo>
                  <a:lnTo>
                    <a:pt x="90" y="54"/>
                  </a:lnTo>
                  <a:lnTo>
                    <a:pt x="0" y="0"/>
                  </a:lnTo>
                  <a:lnTo>
                    <a:pt x="86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2" name="Freeform 274">
              <a:extLst>
                <a:ext uri="{FF2B5EF4-FFF2-40B4-BE49-F238E27FC236}">
                  <a16:creationId xmlns:a16="http://schemas.microsoft.com/office/drawing/2014/main" id="{35BD2589-93BC-4786-9E65-C3F258B28375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0 w 94"/>
                <a:gd name="T1" fmla="*/ 54 h 54"/>
                <a:gd name="T2" fmla="*/ 94 w 94"/>
                <a:gd name="T3" fmla="*/ 48 h 54"/>
                <a:gd name="T4" fmla="*/ 0 w 94"/>
                <a:gd name="T5" fmla="*/ 0 h 54"/>
                <a:gd name="T6" fmla="*/ 90 w 94"/>
                <a:gd name="T7" fmla="*/ 54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4">
                  <a:moveTo>
                    <a:pt x="90" y="54"/>
                  </a:moveTo>
                  <a:lnTo>
                    <a:pt x="94" y="48"/>
                  </a:lnTo>
                  <a:lnTo>
                    <a:pt x="0" y="0"/>
                  </a:lnTo>
                  <a:lnTo>
                    <a:pt x="9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3" name="Freeform 275">
              <a:extLst>
                <a:ext uri="{FF2B5EF4-FFF2-40B4-BE49-F238E27FC236}">
                  <a16:creationId xmlns:a16="http://schemas.microsoft.com/office/drawing/2014/main" id="{9036ACE1-3633-46B6-AE23-921042FC94D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4 w 97"/>
                <a:gd name="T1" fmla="*/ 48 h 48"/>
                <a:gd name="T2" fmla="*/ 97 w 97"/>
                <a:gd name="T3" fmla="*/ 42 h 48"/>
                <a:gd name="T4" fmla="*/ 0 w 97"/>
                <a:gd name="T5" fmla="*/ 0 h 48"/>
                <a:gd name="T6" fmla="*/ 94 w 97"/>
                <a:gd name="T7" fmla="*/ 48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8">
                  <a:moveTo>
                    <a:pt x="94" y="48"/>
                  </a:moveTo>
                  <a:lnTo>
                    <a:pt x="97" y="42"/>
                  </a:lnTo>
                  <a:lnTo>
                    <a:pt x="0" y="0"/>
                  </a:lnTo>
                  <a:lnTo>
                    <a:pt x="94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4" name="Freeform 276">
              <a:extLst>
                <a:ext uri="{FF2B5EF4-FFF2-40B4-BE49-F238E27FC236}">
                  <a16:creationId xmlns:a16="http://schemas.microsoft.com/office/drawing/2014/main" id="{98766E01-E1FE-48C2-BA75-A4A4A6EABA6B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7 w 99"/>
                <a:gd name="T1" fmla="*/ 42 h 42"/>
                <a:gd name="T2" fmla="*/ 99 w 99"/>
                <a:gd name="T3" fmla="*/ 35 h 42"/>
                <a:gd name="T4" fmla="*/ 0 w 99"/>
                <a:gd name="T5" fmla="*/ 0 h 42"/>
                <a:gd name="T6" fmla="*/ 97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7" y="42"/>
                  </a:moveTo>
                  <a:lnTo>
                    <a:pt x="99" y="35"/>
                  </a:lnTo>
                  <a:lnTo>
                    <a:pt x="0" y="0"/>
                  </a:lnTo>
                  <a:lnTo>
                    <a:pt x="97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5" name="Freeform 277">
              <a:extLst>
                <a:ext uri="{FF2B5EF4-FFF2-40B4-BE49-F238E27FC236}">
                  <a16:creationId xmlns:a16="http://schemas.microsoft.com/office/drawing/2014/main" id="{BA743B33-6042-4E70-9DF5-F37BB5176523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99 w 102"/>
                <a:gd name="T1" fmla="*/ 35 h 35"/>
                <a:gd name="T2" fmla="*/ 102 w 102"/>
                <a:gd name="T3" fmla="*/ 28 h 35"/>
                <a:gd name="T4" fmla="*/ 0 w 102"/>
                <a:gd name="T5" fmla="*/ 0 h 35"/>
                <a:gd name="T6" fmla="*/ 99 w 102"/>
                <a:gd name="T7" fmla="*/ 35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99" y="35"/>
                  </a:moveTo>
                  <a:lnTo>
                    <a:pt x="102" y="28"/>
                  </a:lnTo>
                  <a:lnTo>
                    <a:pt x="0" y="0"/>
                  </a:lnTo>
                  <a:lnTo>
                    <a:pt x="99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6" name="Freeform 278">
              <a:extLst>
                <a:ext uri="{FF2B5EF4-FFF2-40B4-BE49-F238E27FC236}">
                  <a16:creationId xmlns:a16="http://schemas.microsoft.com/office/drawing/2014/main" id="{C683C497-E3D0-4314-96B4-3A9E5F8513E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2 w 103"/>
                <a:gd name="T1" fmla="*/ 28 h 28"/>
                <a:gd name="T2" fmla="*/ 103 w 103"/>
                <a:gd name="T3" fmla="*/ 21 h 28"/>
                <a:gd name="T4" fmla="*/ 0 w 103"/>
                <a:gd name="T5" fmla="*/ 0 h 28"/>
                <a:gd name="T6" fmla="*/ 102 w 103"/>
                <a:gd name="T7" fmla="*/ 28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102" y="28"/>
                  </a:moveTo>
                  <a:lnTo>
                    <a:pt x="103" y="21"/>
                  </a:lnTo>
                  <a:lnTo>
                    <a:pt x="0" y="0"/>
                  </a:lnTo>
                  <a:lnTo>
                    <a:pt x="102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7" name="Freeform 279">
              <a:extLst>
                <a:ext uri="{FF2B5EF4-FFF2-40B4-BE49-F238E27FC236}">
                  <a16:creationId xmlns:a16="http://schemas.microsoft.com/office/drawing/2014/main" id="{68EB4A95-E072-44CB-B39C-ABA4C824747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3 w 104"/>
                <a:gd name="T1" fmla="*/ 21 h 21"/>
                <a:gd name="T2" fmla="*/ 104 w 104"/>
                <a:gd name="T3" fmla="*/ 14 h 21"/>
                <a:gd name="T4" fmla="*/ 0 w 104"/>
                <a:gd name="T5" fmla="*/ 0 h 21"/>
                <a:gd name="T6" fmla="*/ 103 w 104"/>
                <a:gd name="T7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103" y="21"/>
                  </a:moveTo>
                  <a:lnTo>
                    <a:pt x="104" y="14"/>
                  </a:lnTo>
                  <a:lnTo>
                    <a:pt x="0" y="0"/>
                  </a:lnTo>
                  <a:lnTo>
                    <a:pt x="103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8" name="Freeform 280">
              <a:extLst>
                <a:ext uri="{FF2B5EF4-FFF2-40B4-BE49-F238E27FC236}">
                  <a16:creationId xmlns:a16="http://schemas.microsoft.com/office/drawing/2014/main" id="{556C6E04-4E8E-4BB7-8EF1-CFB1698AB725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4 w 105"/>
                <a:gd name="T1" fmla="*/ 14 h 14"/>
                <a:gd name="T2" fmla="*/ 105 w 105"/>
                <a:gd name="T3" fmla="*/ 7 h 14"/>
                <a:gd name="T4" fmla="*/ 0 w 105"/>
                <a:gd name="T5" fmla="*/ 0 h 14"/>
                <a:gd name="T6" fmla="*/ 104 w 105"/>
                <a:gd name="T7" fmla="*/ 14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104" y="14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9" name="Freeform 281">
              <a:extLst>
                <a:ext uri="{FF2B5EF4-FFF2-40B4-BE49-F238E27FC236}">
                  <a16:creationId xmlns:a16="http://schemas.microsoft.com/office/drawing/2014/main" id="{323A8E34-940E-4450-9CB1-8622F29524BC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0" name="Freeform 282">
              <a:extLst>
                <a:ext uri="{FF2B5EF4-FFF2-40B4-BE49-F238E27FC236}">
                  <a16:creationId xmlns:a16="http://schemas.microsoft.com/office/drawing/2014/main" id="{F65B3401-9AC8-4A72-AC27-E01243F6CE81}"/>
                </a:ext>
              </a:extLst>
            </xdr:cNvPr>
            <xdr:cNvSpPr>
              <a:spLocks/>
            </xdr:cNvSpPr>
          </xdr:nvSpPr>
          <xdr:spPr bwMode="auto">
            <a:xfrm>
              <a:off x="1017" y="188"/>
              <a:ext cx="6" cy="9"/>
            </a:xfrm>
            <a:custGeom>
              <a:avLst/>
              <a:gdLst>
                <a:gd name="T0" fmla="*/ 351 w 351"/>
                <a:gd name="T1" fmla="*/ 439 h 526"/>
                <a:gd name="T2" fmla="*/ 264 w 351"/>
                <a:gd name="T3" fmla="*/ 526 h 526"/>
                <a:gd name="T4" fmla="*/ 87 w 351"/>
                <a:gd name="T5" fmla="*/ 526 h 526"/>
                <a:gd name="T6" fmla="*/ 0 w 351"/>
                <a:gd name="T7" fmla="*/ 439 h 526"/>
                <a:gd name="T8" fmla="*/ 0 w 351"/>
                <a:gd name="T9" fmla="*/ 88 h 526"/>
                <a:gd name="T10" fmla="*/ 87 w 351"/>
                <a:gd name="T11" fmla="*/ 0 h 526"/>
                <a:gd name="T12" fmla="*/ 264 w 351"/>
                <a:gd name="T13" fmla="*/ 0 h 526"/>
                <a:gd name="T14" fmla="*/ 351 w 351"/>
                <a:gd name="T15" fmla="*/ 88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351" h="526">
                  <a:moveTo>
                    <a:pt x="351" y="439"/>
                  </a:moveTo>
                  <a:lnTo>
                    <a:pt x="264" y="526"/>
                  </a:lnTo>
                  <a:lnTo>
                    <a:pt x="87" y="526"/>
                  </a:lnTo>
                  <a:lnTo>
                    <a:pt x="0" y="439"/>
                  </a:lnTo>
                  <a:lnTo>
                    <a:pt x="0" y="88"/>
                  </a:lnTo>
                  <a:lnTo>
                    <a:pt x="87" y="0"/>
                  </a:lnTo>
                  <a:lnTo>
                    <a:pt x="264" y="0"/>
                  </a:lnTo>
                  <a:lnTo>
                    <a:pt x="351" y="88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71" name="Freeform 283">
              <a:extLst>
                <a:ext uri="{FF2B5EF4-FFF2-40B4-BE49-F238E27FC236}">
                  <a16:creationId xmlns:a16="http://schemas.microsoft.com/office/drawing/2014/main" id="{FD52E022-7C15-4367-AC5F-B029496D923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8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8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2" name="Freeform 284">
              <a:extLst>
                <a:ext uri="{FF2B5EF4-FFF2-40B4-BE49-F238E27FC236}">
                  <a16:creationId xmlns:a16="http://schemas.microsoft.com/office/drawing/2014/main" id="{523DF77A-FF2D-45C7-8D84-7EF90C23782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7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3" name="Freeform 285">
              <a:extLst>
                <a:ext uri="{FF2B5EF4-FFF2-40B4-BE49-F238E27FC236}">
                  <a16:creationId xmlns:a16="http://schemas.microsoft.com/office/drawing/2014/main" id="{973283C4-4715-46F0-9C8F-E235E7A9B92A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4 w 104"/>
                <a:gd name="T1" fmla="*/ 8 h 23"/>
                <a:gd name="T2" fmla="*/ 103 w 104"/>
                <a:gd name="T3" fmla="*/ 0 h 23"/>
                <a:gd name="T4" fmla="*/ 0 w 104"/>
                <a:gd name="T5" fmla="*/ 23 h 23"/>
                <a:gd name="T6" fmla="*/ 104 w 104"/>
                <a:gd name="T7" fmla="*/ 8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04" y="8"/>
                  </a:moveTo>
                  <a:lnTo>
                    <a:pt x="103" y="0"/>
                  </a:lnTo>
                  <a:lnTo>
                    <a:pt x="0" y="23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4" name="Freeform 286">
              <a:extLst>
                <a:ext uri="{FF2B5EF4-FFF2-40B4-BE49-F238E27FC236}">
                  <a16:creationId xmlns:a16="http://schemas.microsoft.com/office/drawing/2014/main" id="{19F2A976-FD6A-4364-BF5A-73CF6589801D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3 w 103"/>
                <a:gd name="T1" fmla="*/ 7 h 30"/>
                <a:gd name="T2" fmla="*/ 101 w 103"/>
                <a:gd name="T3" fmla="*/ 0 h 30"/>
                <a:gd name="T4" fmla="*/ 0 w 103"/>
                <a:gd name="T5" fmla="*/ 30 h 30"/>
                <a:gd name="T6" fmla="*/ 103 w 103"/>
                <a:gd name="T7" fmla="*/ 7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103" y="7"/>
                  </a:moveTo>
                  <a:lnTo>
                    <a:pt x="101" y="0"/>
                  </a:lnTo>
                  <a:lnTo>
                    <a:pt x="0" y="30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5" name="Freeform 287">
              <a:extLst>
                <a:ext uri="{FF2B5EF4-FFF2-40B4-BE49-F238E27FC236}">
                  <a16:creationId xmlns:a16="http://schemas.microsoft.com/office/drawing/2014/main" id="{6B2D69E9-39B6-4E4C-8C1B-48D1909CEFF1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1 w 101"/>
                <a:gd name="T1" fmla="*/ 7 h 37"/>
                <a:gd name="T2" fmla="*/ 99 w 101"/>
                <a:gd name="T3" fmla="*/ 0 h 37"/>
                <a:gd name="T4" fmla="*/ 0 w 101"/>
                <a:gd name="T5" fmla="*/ 37 h 37"/>
                <a:gd name="T6" fmla="*/ 101 w 101"/>
                <a:gd name="T7" fmla="*/ 7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101" y="7"/>
                  </a:moveTo>
                  <a:lnTo>
                    <a:pt x="99" y="0"/>
                  </a:lnTo>
                  <a:lnTo>
                    <a:pt x="0" y="37"/>
                  </a:lnTo>
                  <a:lnTo>
                    <a:pt x="101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6" name="Freeform 288">
              <a:extLst>
                <a:ext uri="{FF2B5EF4-FFF2-40B4-BE49-F238E27FC236}">
                  <a16:creationId xmlns:a16="http://schemas.microsoft.com/office/drawing/2014/main" id="{AB4119DC-2970-434F-AD84-4FF6E4D10B35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9 w 99"/>
                <a:gd name="T1" fmla="*/ 7 h 44"/>
                <a:gd name="T2" fmla="*/ 96 w 99"/>
                <a:gd name="T3" fmla="*/ 0 h 44"/>
                <a:gd name="T4" fmla="*/ 0 w 99"/>
                <a:gd name="T5" fmla="*/ 44 h 44"/>
                <a:gd name="T6" fmla="*/ 99 w 99"/>
                <a:gd name="T7" fmla="*/ 7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99" y="7"/>
                  </a:moveTo>
                  <a:lnTo>
                    <a:pt x="96" y="0"/>
                  </a:lnTo>
                  <a:lnTo>
                    <a:pt x="0" y="44"/>
                  </a:lnTo>
                  <a:lnTo>
                    <a:pt x="99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7" name="Freeform 289">
              <a:extLst>
                <a:ext uri="{FF2B5EF4-FFF2-40B4-BE49-F238E27FC236}">
                  <a16:creationId xmlns:a16="http://schemas.microsoft.com/office/drawing/2014/main" id="{73C95747-A5AE-4B77-8FB8-71E4989D3826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6 w 96"/>
                <a:gd name="T1" fmla="*/ 7 h 51"/>
                <a:gd name="T2" fmla="*/ 92 w 96"/>
                <a:gd name="T3" fmla="*/ 0 h 51"/>
                <a:gd name="T4" fmla="*/ 0 w 96"/>
                <a:gd name="T5" fmla="*/ 51 h 51"/>
                <a:gd name="T6" fmla="*/ 96 w 96"/>
                <a:gd name="T7" fmla="*/ 7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96" y="7"/>
                  </a:moveTo>
                  <a:lnTo>
                    <a:pt x="92" y="0"/>
                  </a:lnTo>
                  <a:lnTo>
                    <a:pt x="0" y="51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8" name="Freeform 290">
              <a:extLst>
                <a:ext uri="{FF2B5EF4-FFF2-40B4-BE49-F238E27FC236}">
                  <a16:creationId xmlns:a16="http://schemas.microsoft.com/office/drawing/2014/main" id="{3C6FDD1E-C93B-43B0-8891-611B6C1689FE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2 w 92"/>
                <a:gd name="T1" fmla="*/ 6 h 57"/>
                <a:gd name="T2" fmla="*/ 88 w 92"/>
                <a:gd name="T3" fmla="*/ 0 h 57"/>
                <a:gd name="T4" fmla="*/ 0 w 92"/>
                <a:gd name="T5" fmla="*/ 57 h 57"/>
                <a:gd name="T6" fmla="*/ 92 w 92"/>
                <a:gd name="T7" fmla="*/ 6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92" y="6"/>
                  </a:moveTo>
                  <a:lnTo>
                    <a:pt x="88" y="0"/>
                  </a:lnTo>
                  <a:lnTo>
                    <a:pt x="0" y="57"/>
                  </a:lnTo>
                  <a:lnTo>
                    <a:pt x="92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9" name="Freeform 291">
              <a:extLst>
                <a:ext uri="{FF2B5EF4-FFF2-40B4-BE49-F238E27FC236}">
                  <a16:creationId xmlns:a16="http://schemas.microsoft.com/office/drawing/2014/main" id="{34E2C857-BA8C-41A9-839C-2F7EC556E8EC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8 w 88"/>
                <a:gd name="T1" fmla="*/ 6 h 63"/>
                <a:gd name="T2" fmla="*/ 84 w 88"/>
                <a:gd name="T3" fmla="*/ 0 h 63"/>
                <a:gd name="T4" fmla="*/ 0 w 88"/>
                <a:gd name="T5" fmla="*/ 63 h 63"/>
                <a:gd name="T6" fmla="*/ 88 w 88"/>
                <a:gd name="T7" fmla="*/ 6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8" y="6"/>
                  </a:moveTo>
                  <a:lnTo>
                    <a:pt x="84" y="0"/>
                  </a:lnTo>
                  <a:lnTo>
                    <a:pt x="0" y="63"/>
                  </a:lnTo>
                  <a:lnTo>
                    <a:pt x="88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0" name="Freeform 292">
              <a:extLst>
                <a:ext uri="{FF2B5EF4-FFF2-40B4-BE49-F238E27FC236}">
                  <a16:creationId xmlns:a16="http://schemas.microsoft.com/office/drawing/2014/main" id="{2E598312-8706-4612-80DC-7286B2880070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4 w 84"/>
                <a:gd name="T1" fmla="*/ 6 h 69"/>
                <a:gd name="T2" fmla="*/ 79 w 84"/>
                <a:gd name="T3" fmla="*/ 0 h 69"/>
                <a:gd name="T4" fmla="*/ 0 w 84"/>
                <a:gd name="T5" fmla="*/ 69 h 69"/>
                <a:gd name="T6" fmla="*/ 84 w 84"/>
                <a:gd name="T7" fmla="*/ 6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84" y="6"/>
                  </a:moveTo>
                  <a:lnTo>
                    <a:pt x="79" y="0"/>
                  </a:lnTo>
                  <a:lnTo>
                    <a:pt x="0" y="69"/>
                  </a:lnTo>
                  <a:lnTo>
                    <a:pt x="8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1" name="Freeform 293">
              <a:extLst>
                <a:ext uri="{FF2B5EF4-FFF2-40B4-BE49-F238E27FC236}">
                  <a16:creationId xmlns:a16="http://schemas.microsoft.com/office/drawing/2014/main" id="{169C7DB1-A177-4575-9077-47DC0172D853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79 w 79"/>
                <a:gd name="T1" fmla="*/ 6 h 75"/>
                <a:gd name="T2" fmla="*/ 74 w 79"/>
                <a:gd name="T3" fmla="*/ 0 h 75"/>
                <a:gd name="T4" fmla="*/ 0 w 79"/>
                <a:gd name="T5" fmla="*/ 75 h 75"/>
                <a:gd name="T6" fmla="*/ 79 w 79"/>
                <a:gd name="T7" fmla="*/ 6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5">
                  <a:moveTo>
                    <a:pt x="79" y="6"/>
                  </a:moveTo>
                  <a:lnTo>
                    <a:pt x="74" y="0"/>
                  </a:lnTo>
                  <a:lnTo>
                    <a:pt x="0" y="75"/>
                  </a:lnTo>
                  <a:lnTo>
                    <a:pt x="7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2" name="Freeform 294">
              <a:extLst>
                <a:ext uri="{FF2B5EF4-FFF2-40B4-BE49-F238E27FC236}">
                  <a16:creationId xmlns:a16="http://schemas.microsoft.com/office/drawing/2014/main" id="{C2C494AF-9AA5-4C38-A35C-41B841438626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74 w 74"/>
                <a:gd name="T1" fmla="*/ 5 h 80"/>
                <a:gd name="T2" fmla="*/ 69 w 74"/>
                <a:gd name="T3" fmla="*/ 0 h 80"/>
                <a:gd name="T4" fmla="*/ 0 w 74"/>
                <a:gd name="T5" fmla="*/ 80 h 80"/>
                <a:gd name="T6" fmla="*/ 74 w 74"/>
                <a:gd name="T7" fmla="*/ 5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74" y="5"/>
                  </a:moveTo>
                  <a:lnTo>
                    <a:pt x="69" y="0"/>
                  </a:lnTo>
                  <a:lnTo>
                    <a:pt x="0" y="80"/>
                  </a:lnTo>
                  <a:lnTo>
                    <a:pt x="74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3" name="Freeform 295">
              <a:extLst>
                <a:ext uri="{FF2B5EF4-FFF2-40B4-BE49-F238E27FC236}">
                  <a16:creationId xmlns:a16="http://schemas.microsoft.com/office/drawing/2014/main" id="{FB2D4806-1D55-49D9-A113-548038F84817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9 w 69"/>
                <a:gd name="T1" fmla="*/ 5 h 85"/>
                <a:gd name="T2" fmla="*/ 63 w 69"/>
                <a:gd name="T3" fmla="*/ 0 h 85"/>
                <a:gd name="T4" fmla="*/ 0 w 69"/>
                <a:gd name="T5" fmla="*/ 85 h 85"/>
                <a:gd name="T6" fmla="*/ 69 w 69"/>
                <a:gd name="T7" fmla="*/ 5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9" y="5"/>
                  </a:moveTo>
                  <a:lnTo>
                    <a:pt x="63" y="0"/>
                  </a:lnTo>
                  <a:lnTo>
                    <a:pt x="0" y="85"/>
                  </a:lnTo>
                  <a:lnTo>
                    <a:pt x="69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4" name="Freeform 296">
              <a:extLst>
                <a:ext uri="{FF2B5EF4-FFF2-40B4-BE49-F238E27FC236}">
                  <a16:creationId xmlns:a16="http://schemas.microsoft.com/office/drawing/2014/main" id="{DE98A3C8-35A8-4DF9-965A-4D5BDDA1B276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3 w 63"/>
                <a:gd name="T1" fmla="*/ 4 h 89"/>
                <a:gd name="T2" fmla="*/ 57 w 63"/>
                <a:gd name="T3" fmla="*/ 0 h 89"/>
                <a:gd name="T4" fmla="*/ 0 w 63"/>
                <a:gd name="T5" fmla="*/ 89 h 89"/>
                <a:gd name="T6" fmla="*/ 63 w 63"/>
                <a:gd name="T7" fmla="*/ 4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3" y="4"/>
                  </a:moveTo>
                  <a:lnTo>
                    <a:pt x="57" y="0"/>
                  </a:lnTo>
                  <a:lnTo>
                    <a:pt x="0" y="89"/>
                  </a:lnTo>
                  <a:lnTo>
                    <a:pt x="63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5" name="Freeform 297">
              <a:extLst>
                <a:ext uri="{FF2B5EF4-FFF2-40B4-BE49-F238E27FC236}">
                  <a16:creationId xmlns:a16="http://schemas.microsoft.com/office/drawing/2014/main" id="{AD4F9303-0864-4994-9B9D-EE110E1C66F8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57 w 57"/>
                <a:gd name="T1" fmla="*/ 4 h 93"/>
                <a:gd name="T2" fmla="*/ 50 w 57"/>
                <a:gd name="T3" fmla="*/ 0 h 93"/>
                <a:gd name="T4" fmla="*/ 0 w 57"/>
                <a:gd name="T5" fmla="*/ 93 h 93"/>
                <a:gd name="T6" fmla="*/ 57 w 57"/>
                <a:gd name="T7" fmla="*/ 4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57" y="4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6" name="Freeform 298">
              <a:extLst>
                <a:ext uri="{FF2B5EF4-FFF2-40B4-BE49-F238E27FC236}">
                  <a16:creationId xmlns:a16="http://schemas.microsoft.com/office/drawing/2014/main" id="{C1977A05-C370-400C-BCDE-1F5DF18F842C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50 w 50"/>
                <a:gd name="T1" fmla="*/ 3 h 96"/>
                <a:gd name="T2" fmla="*/ 44 w 50"/>
                <a:gd name="T3" fmla="*/ 0 h 96"/>
                <a:gd name="T4" fmla="*/ 0 w 50"/>
                <a:gd name="T5" fmla="*/ 96 h 96"/>
                <a:gd name="T6" fmla="*/ 50 w 50"/>
                <a:gd name="T7" fmla="*/ 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50" y="3"/>
                  </a:moveTo>
                  <a:lnTo>
                    <a:pt x="44" y="0"/>
                  </a:lnTo>
                  <a:lnTo>
                    <a:pt x="0" y="96"/>
                  </a:lnTo>
                  <a:lnTo>
                    <a:pt x="50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7" name="Freeform 299">
              <a:extLst>
                <a:ext uri="{FF2B5EF4-FFF2-40B4-BE49-F238E27FC236}">
                  <a16:creationId xmlns:a16="http://schemas.microsoft.com/office/drawing/2014/main" id="{0A3E8A01-990C-4FA3-8333-3AFA68C95B19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44 w 44"/>
                <a:gd name="T1" fmla="*/ 3 h 99"/>
                <a:gd name="T2" fmla="*/ 37 w 44"/>
                <a:gd name="T3" fmla="*/ 0 h 99"/>
                <a:gd name="T4" fmla="*/ 0 w 44"/>
                <a:gd name="T5" fmla="*/ 99 h 99"/>
                <a:gd name="T6" fmla="*/ 44 w 44"/>
                <a:gd name="T7" fmla="*/ 3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44" y="3"/>
                  </a:moveTo>
                  <a:lnTo>
                    <a:pt x="37" y="0"/>
                  </a:lnTo>
                  <a:lnTo>
                    <a:pt x="0" y="99"/>
                  </a:lnTo>
                  <a:lnTo>
                    <a:pt x="44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8" name="Freeform 300">
              <a:extLst>
                <a:ext uri="{FF2B5EF4-FFF2-40B4-BE49-F238E27FC236}">
                  <a16:creationId xmlns:a16="http://schemas.microsoft.com/office/drawing/2014/main" id="{46238254-CD46-43AC-9694-B3F04FEF2D05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7 w 37"/>
                <a:gd name="T1" fmla="*/ 2 h 101"/>
                <a:gd name="T2" fmla="*/ 30 w 37"/>
                <a:gd name="T3" fmla="*/ 0 h 101"/>
                <a:gd name="T4" fmla="*/ 0 w 37"/>
                <a:gd name="T5" fmla="*/ 101 h 101"/>
                <a:gd name="T6" fmla="*/ 37 w 37"/>
                <a:gd name="T7" fmla="*/ 2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7" y="2"/>
                  </a:moveTo>
                  <a:lnTo>
                    <a:pt x="30" y="0"/>
                  </a:lnTo>
                  <a:lnTo>
                    <a:pt x="0" y="101"/>
                  </a:lnTo>
                  <a:lnTo>
                    <a:pt x="37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9" name="Freeform 301">
              <a:extLst>
                <a:ext uri="{FF2B5EF4-FFF2-40B4-BE49-F238E27FC236}">
                  <a16:creationId xmlns:a16="http://schemas.microsoft.com/office/drawing/2014/main" id="{55FE231B-D771-43C7-A236-E40CD71E699F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0 w 30"/>
                <a:gd name="T1" fmla="*/ 2 h 103"/>
                <a:gd name="T2" fmla="*/ 22 w 30"/>
                <a:gd name="T3" fmla="*/ 0 h 103"/>
                <a:gd name="T4" fmla="*/ 0 w 30"/>
                <a:gd name="T5" fmla="*/ 103 h 103"/>
                <a:gd name="T6" fmla="*/ 30 w 30"/>
                <a:gd name="T7" fmla="*/ 2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30" y="2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30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0" name="Freeform 302">
              <a:extLst>
                <a:ext uri="{FF2B5EF4-FFF2-40B4-BE49-F238E27FC236}">
                  <a16:creationId xmlns:a16="http://schemas.microsoft.com/office/drawing/2014/main" id="{2049FF17-1F58-4D2E-8324-F79FFE31F329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1" name="Freeform 303">
              <a:extLst>
                <a:ext uri="{FF2B5EF4-FFF2-40B4-BE49-F238E27FC236}">
                  <a16:creationId xmlns:a16="http://schemas.microsoft.com/office/drawing/2014/main" id="{DE1DC55A-A191-420A-B442-E9C3C880BFE5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2" name="Freeform 304">
              <a:extLst>
                <a:ext uri="{FF2B5EF4-FFF2-40B4-BE49-F238E27FC236}">
                  <a16:creationId xmlns:a16="http://schemas.microsoft.com/office/drawing/2014/main" id="{C4DB66F6-253A-4383-8D48-91F20E68E1C9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3" name="Freeform 305">
              <a:extLst>
                <a:ext uri="{FF2B5EF4-FFF2-40B4-BE49-F238E27FC236}">
                  <a16:creationId xmlns:a16="http://schemas.microsoft.com/office/drawing/2014/main" id="{CA977834-801B-4D9E-8FA8-713534F8C94A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8 w 8"/>
                <a:gd name="T1" fmla="*/ 0 h 106"/>
                <a:gd name="T2" fmla="*/ 0 w 8"/>
                <a:gd name="T3" fmla="*/ 1 h 106"/>
                <a:gd name="T4" fmla="*/ 8 w 8"/>
                <a:gd name="T5" fmla="*/ 106 h 106"/>
                <a:gd name="T6" fmla="*/ 8 w 8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6">
                  <a:moveTo>
                    <a:pt x="8" y="0"/>
                  </a:moveTo>
                  <a:lnTo>
                    <a:pt x="0" y="1"/>
                  </a:lnTo>
                  <a:lnTo>
                    <a:pt x="8" y="106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4" name="Freeform 306">
              <a:extLst>
                <a:ext uri="{FF2B5EF4-FFF2-40B4-BE49-F238E27FC236}">
                  <a16:creationId xmlns:a16="http://schemas.microsoft.com/office/drawing/2014/main" id="{E808AE20-4BF9-4D40-9D38-5E3C01717AD5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15"/>
                <a:gd name="T1" fmla="*/ 0 h 105"/>
                <a:gd name="T2" fmla="*/ 0 w 15"/>
                <a:gd name="T3" fmla="*/ 0 h 105"/>
                <a:gd name="T4" fmla="*/ 15 w 15"/>
                <a:gd name="T5" fmla="*/ 105 h 105"/>
                <a:gd name="T6" fmla="*/ 7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0"/>
                  </a:moveTo>
                  <a:lnTo>
                    <a:pt x="0" y="0"/>
                  </a:lnTo>
                  <a:lnTo>
                    <a:pt x="15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5" name="Freeform 307">
              <a:extLst>
                <a:ext uri="{FF2B5EF4-FFF2-40B4-BE49-F238E27FC236}">
                  <a16:creationId xmlns:a16="http://schemas.microsoft.com/office/drawing/2014/main" id="{488B1AC7-BA8E-4306-980A-D4126C8B4BC7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22"/>
                <a:gd name="T1" fmla="*/ 0 h 105"/>
                <a:gd name="T2" fmla="*/ 0 w 22"/>
                <a:gd name="T3" fmla="*/ 2 h 105"/>
                <a:gd name="T4" fmla="*/ 22 w 22"/>
                <a:gd name="T5" fmla="*/ 105 h 105"/>
                <a:gd name="T6" fmla="*/ 7 w 22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7" y="0"/>
                  </a:moveTo>
                  <a:lnTo>
                    <a:pt x="0" y="2"/>
                  </a:lnTo>
                  <a:lnTo>
                    <a:pt x="22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6" name="Freeform 308">
              <a:extLst>
                <a:ext uri="{FF2B5EF4-FFF2-40B4-BE49-F238E27FC236}">
                  <a16:creationId xmlns:a16="http://schemas.microsoft.com/office/drawing/2014/main" id="{E2957F27-8633-4925-A2DF-9E104408DA0F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8 w 30"/>
                <a:gd name="T1" fmla="*/ 0 h 103"/>
                <a:gd name="T2" fmla="*/ 0 w 30"/>
                <a:gd name="T3" fmla="*/ 2 h 103"/>
                <a:gd name="T4" fmla="*/ 30 w 30"/>
                <a:gd name="T5" fmla="*/ 103 h 103"/>
                <a:gd name="T6" fmla="*/ 8 w 30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8" y="0"/>
                  </a:moveTo>
                  <a:lnTo>
                    <a:pt x="0" y="2"/>
                  </a:lnTo>
                  <a:lnTo>
                    <a:pt x="30" y="10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7" name="Freeform 309">
              <a:extLst>
                <a:ext uri="{FF2B5EF4-FFF2-40B4-BE49-F238E27FC236}">
                  <a16:creationId xmlns:a16="http://schemas.microsoft.com/office/drawing/2014/main" id="{E238B286-B79C-47FD-8776-28E10C5D82BA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37"/>
                <a:gd name="T1" fmla="*/ 0 h 101"/>
                <a:gd name="T2" fmla="*/ 0 w 37"/>
                <a:gd name="T3" fmla="*/ 2 h 101"/>
                <a:gd name="T4" fmla="*/ 37 w 37"/>
                <a:gd name="T5" fmla="*/ 101 h 101"/>
                <a:gd name="T6" fmla="*/ 7 w 37"/>
                <a:gd name="T7" fmla="*/ 0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7" y="0"/>
                  </a:moveTo>
                  <a:lnTo>
                    <a:pt x="0" y="2"/>
                  </a:lnTo>
                  <a:lnTo>
                    <a:pt x="37" y="10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8" name="Freeform 310">
              <a:extLst>
                <a:ext uri="{FF2B5EF4-FFF2-40B4-BE49-F238E27FC236}">
                  <a16:creationId xmlns:a16="http://schemas.microsoft.com/office/drawing/2014/main" id="{F4CDF261-7A75-432E-8070-4F45C54790FE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44"/>
                <a:gd name="T1" fmla="*/ 0 h 99"/>
                <a:gd name="T2" fmla="*/ 0 w 44"/>
                <a:gd name="T3" fmla="*/ 3 h 99"/>
                <a:gd name="T4" fmla="*/ 44 w 44"/>
                <a:gd name="T5" fmla="*/ 99 h 99"/>
                <a:gd name="T6" fmla="*/ 7 w 44"/>
                <a:gd name="T7" fmla="*/ 0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7" y="0"/>
                  </a:moveTo>
                  <a:lnTo>
                    <a:pt x="0" y="3"/>
                  </a:lnTo>
                  <a:lnTo>
                    <a:pt x="44" y="99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9" name="Freeform 311">
              <a:extLst>
                <a:ext uri="{FF2B5EF4-FFF2-40B4-BE49-F238E27FC236}">
                  <a16:creationId xmlns:a16="http://schemas.microsoft.com/office/drawing/2014/main" id="{ED43A8FA-3410-4760-BDA5-5848483608D1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50"/>
                <a:gd name="T1" fmla="*/ 0 h 96"/>
                <a:gd name="T2" fmla="*/ 0 w 50"/>
                <a:gd name="T3" fmla="*/ 3 h 96"/>
                <a:gd name="T4" fmla="*/ 50 w 50"/>
                <a:gd name="T5" fmla="*/ 96 h 96"/>
                <a:gd name="T6" fmla="*/ 6 w 50"/>
                <a:gd name="T7" fmla="*/ 0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6" y="0"/>
                  </a:moveTo>
                  <a:lnTo>
                    <a:pt x="0" y="3"/>
                  </a:lnTo>
                  <a:lnTo>
                    <a:pt x="50" y="9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0" name="Freeform 312">
              <a:extLst>
                <a:ext uri="{FF2B5EF4-FFF2-40B4-BE49-F238E27FC236}">
                  <a16:creationId xmlns:a16="http://schemas.microsoft.com/office/drawing/2014/main" id="{63004748-3B4C-40E1-9863-653F28E2D4C2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57"/>
                <a:gd name="T1" fmla="*/ 0 h 93"/>
                <a:gd name="T2" fmla="*/ 0 w 57"/>
                <a:gd name="T3" fmla="*/ 4 h 93"/>
                <a:gd name="T4" fmla="*/ 57 w 57"/>
                <a:gd name="T5" fmla="*/ 93 h 93"/>
                <a:gd name="T6" fmla="*/ 7 w 57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7" y="0"/>
                  </a:moveTo>
                  <a:lnTo>
                    <a:pt x="0" y="4"/>
                  </a:lnTo>
                  <a:lnTo>
                    <a:pt x="57" y="9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1" name="Freeform 313">
              <a:extLst>
                <a:ext uri="{FF2B5EF4-FFF2-40B4-BE49-F238E27FC236}">
                  <a16:creationId xmlns:a16="http://schemas.microsoft.com/office/drawing/2014/main" id="{23A820B6-3802-4987-9221-D3003FDC495B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63"/>
                <a:gd name="T1" fmla="*/ 0 h 89"/>
                <a:gd name="T2" fmla="*/ 0 w 63"/>
                <a:gd name="T3" fmla="*/ 4 h 89"/>
                <a:gd name="T4" fmla="*/ 63 w 63"/>
                <a:gd name="T5" fmla="*/ 89 h 89"/>
                <a:gd name="T6" fmla="*/ 6 w 63"/>
                <a:gd name="T7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" y="0"/>
                  </a:moveTo>
                  <a:lnTo>
                    <a:pt x="0" y="4"/>
                  </a:lnTo>
                  <a:lnTo>
                    <a:pt x="63" y="89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2" name="Freeform 314">
              <a:extLst>
                <a:ext uri="{FF2B5EF4-FFF2-40B4-BE49-F238E27FC236}">
                  <a16:creationId xmlns:a16="http://schemas.microsoft.com/office/drawing/2014/main" id="{060A5819-02FB-4808-B62F-87DBF970FBFB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6 w 69"/>
                <a:gd name="T1" fmla="*/ 0 h 85"/>
                <a:gd name="T2" fmla="*/ 0 w 69"/>
                <a:gd name="T3" fmla="*/ 5 h 85"/>
                <a:gd name="T4" fmla="*/ 69 w 69"/>
                <a:gd name="T5" fmla="*/ 85 h 85"/>
                <a:gd name="T6" fmla="*/ 6 w 69"/>
                <a:gd name="T7" fmla="*/ 0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" y="0"/>
                  </a:moveTo>
                  <a:lnTo>
                    <a:pt x="0" y="5"/>
                  </a:lnTo>
                  <a:lnTo>
                    <a:pt x="69" y="8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3" name="Freeform 315">
              <a:extLst>
                <a:ext uri="{FF2B5EF4-FFF2-40B4-BE49-F238E27FC236}">
                  <a16:creationId xmlns:a16="http://schemas.microsoft.com/office/drawing/2014/main" id="{79B9164F-1021-4E1E-A29F-04F5A672FF30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5 w 74"/>
                <a:gd name="T1" fmla="*/ 0 h 80"/>
                <a:gd name="T2" fmla="*/ 0 w 74"/>
                <a:gd name="T3" fmla="*/ 5 h 80"/>
                <a:gd name="T4" fmla="*/ 74 w 74"/>
                <a:gd name="T5" fmla="*/ 80 h 80"/>
                <a:gd name="T6" fmla="*/ 5 w 74"/>
                <a:gd name="T7" fmla="*/ 0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5" y="0"/>
                  </a:moveTo>
                  <a:lnTo>
                    <a:pt x="0" y="5"/>
                  </a:lnTo>
                  <a:lnTo>
                    <a:pt x="74" y="8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4" name="Freeform 316">
              <a:extLst>
                <a:ext uri="{FF2B5EF4-FFF2-40B4-BE49-F238E27FC236}">
                  <a16:creationId xmlns:a16="http://schemas.microsoft.com/office/drawing/2014/main" id="{B123AA58-3899-4EC1-872B-A658D6E992CC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6 w 80"/>
                <a:gd name="T1" fmla="*/ 0 h 75"/>
                <a:gd name="T2" fmla="*/ 0 w 80"/>
                <a:gd name="T3" fmla="*/ 6 h 75"/>
                <a:gd name="T4" fmla="*/ 80 w 80"/>
                <a:gd name="T5" fmla="*/ 75 h 75"/>
                <a:gd name="T6" fmla="*/ 6 w 80"/>
                <a:gd name="T7" fmla="*/ 0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5">
                  <a:moveTo>
                    <a:pt x="6" y="0"/>
                  </a:moveTo>
                  <a:lnTo>
                    <a:pt x="0" y="6"/>
                  </a:lnTo>
                  <a:lnTo>
                    <a:pt x="80" y="7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5" name="Freeform 317">
              <a:extLst>
                <a:ext uri="{FF2B5EF4-FFF2-40B4-BE49-F238E27FC236}">
                  <a16:creationId xmlns:a16="http://schemas.microsoft.com/office/drawing/2014/main" id="{3FC9AC69-A6B1-47C9-9076-D230C9BECBAF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84"/>
                <a:gd name="T1" fmla="*/ 0 h 69"/>
                <a:gd name="T2" fmla="*/ 0 w 84"/>
                <a:gd name="T3" fmla="*/ 6 h 69"/>
                <a:gd name="T4" fmla="*/ 84 w 84"/>
                <a:gd name="T5" fmla="*/ 69 h 69"/>
                <a:gd name="T6" fmla="*/ 4 w 84"/>
                <a:gd name="T7" fmla="*/ 0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4" y="0"/>
                  </a:moveTo>
                  <a:lnTo>
                    <a:pt x="0" y="6"/>
                  </a:lnTo>
                  <a:lnTo>
                    <a:pt x="84" y="69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6" name="Freeform 318">
              <a:extLst>
                <a:ext uri="{FF2B5EF4-FFF2-40B4-BE49-F238E27FC236}">
                  <a16:creationId xmlns:a16="http://schemas.microsoft.com/office/drawing/2014/main" id="{6ABB09E9-86A5-42EC-89BB-2277F049B785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5 w 89"/>
                <a:gd name="T1" fmla="*/ 0 h 63"/>
                <a:gd name="T2" fmla="*/ 0 w 89"/>
                <a:gd name="T3" fmla="*/ 6 h 63"/>
                <a:gd name="T4" fmla="*/ 89 w 89"/>
                <a:gd name="T5" fmla="*/ 63 h 63"/>
                <a:gd name="T6" fmla="*/ 5 w 89"/>
                <a:gd name="T7" fmla="*/ 0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5" y="0"/>
                  </a:moveTo>
                  <a:lnTo>
                    <a:pt x="0" y="6"/>
                  </a:lnTo>
                  <a:lnTo>
                    <a:pt x="89" y="63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7" name="Freeform 319">
              <a:extLst>
                <a:ext uri="{FF2B5EF4-FFF2-40B4-BE49-F238E27FC236}">
                  <a16:creationId xmlns:a16="http://schemas.microsoft.com/office/drawing/2014/main" id="{E800EDDA-F744-4F0E-B5A0-AD5C379648A4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2"/>
                <a:gd name="T1" fmla="*/ 0 h 57"/>
                <a:gd name="T2" fmla="*/ 0 w 92"/>
                <a:gd name="T3" fmla="*/ 6 h 57"/>
                <a:gd name="T4" fmla="*/ 92 w 92"/>
                <a:gd name="T5" fmla="*/ 57 h 57"/>
                <a:gd name="T6" fmla="*/ 3 w 92"/>
                <a:gd name="T7" fmla="*/ 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3" y="0"/>
                  </a:moveTo>
                  <a:lnTo>
                    <a:pt x="0" y="6"/>
                  </a:lnTo>
                  <a:lnTo>
                    <a:pt x="92" y="57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8" name="Freeform 320">
              <a:extLst>
                <a:ext uri="{FF2B5EF4-FFF2-40B4-BE49-F238E27FC236}">
                  <a16:creationId xmlns:a16="http://schemas.microsoft.com/office/drawing/2014/main" id="{5DBE22F5-EAE3-4C20-A200-B2782C1BDFA6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96"/>
                <a:gd name="T1" fmla="*/ 0 h 51"/>
                <a:gd name="T2" fmla="*/ 0 w 96"/>
                <a:gd name="T3" fmla="*/ 7 h 51"/>
                <a:gd name="T4" fmla="*/ 96 w 96"/>
                <a:gd name="T5" fmla="*/ 51 h 51"/>
                <a:gd name="T6" fmla="*/ 4 w 96"/>
                <a:gd name="T7" fmla="*/ 0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4" y="0"/>
                  </a:moveTo>
                  <a:lnTo>
                    <a:pt x="0" y="7"/>
                  </a:lnTo>
                  <a:lnTo>
                    <a:pt x="96" y="5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9" name="Freeform 321">
              <a:extLst>
                <a:ext uri="{FF2B5EF4-FFF2-40B4-BE49-F238E27FC236}">
                  <a16:creationId xmlns:a16="http://schemas.microsoft.com/office/drawing/2014/main" id="{F5D5C92D-0EF6-46D9-8E34-99C9741E937B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9"/>
                <a:gd name="T1" fmla="*/ 0 h 44"/>
                <a:gd name="T2" fmla="*/ 0 w 99"/>
                <a:gd name="T3" fmla="*/ 7 h 44"/>
                <a:gd name="T4" fmla="*/ 99 w 99"/>
                <a:gd name="T5" fmla="*/ 44 h 44"/>
                <a:gd name="T6" fmla="*/ 3 w 99"/>
                <a:gd name="T7" fmla="*/ 0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3" y="0"/>
                  </a:moveTo>
                  <a:lnTo>
                    <a:pt x="0" y="7"/>
                  </a:lnTo>
                  <a:lnTo>
                    <a:pt x="99" y="44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0" name="Freeform 322">
              <a:extLst>
                <a:ext uri="{FF2B5EF4-FFF2-40B4-BE49-F238E27FC236}">
                  <a16:creationId xmlns:a16="http://schemas.microsoft.com/office/drawing/2014/main" id="{6EA59448-6501-4C3D-9F15-BA4F957F329A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1"/>
                <a:gd name="T1" fmla="*/ 0 h 37"/>
                <a:gd name="T2" fmla="*/ 0 w 101"/>
                <a:gd name="T3" fmla="*/ 7 h 37"/>
                <a:gd name="T4" fmla="*/ 101 w 101"/>
                <a:gd name="T5" fmla="*/ 37 h 37"/>
                <a:gd name="T6" fmla="*/ 2 w 101"/>
                <a:gd name="T7" fmla="*/ 0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2" y="0"/>
                  </a:moveTo>
                  <a:lnTo>
                    <a:pt x="0" y="7"/>
                  </a:lnTo>
                  <a:lnTo>
                    <a:pt x="101" y="37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1" name="Freeform 323">
              <a:extLst>
                <a:ext uri="{FF2B5EF4-FFF2-40B4-BE49-F238E27FC236}">
                  <a16:creationId xmlns:a16="http://schemas.microsoft.com/office/drawing/2014/main" id="{B75462B1-B02B-47B0-95AD-3B4B821BDB86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3"/>
                <a:gd name="T1" fmla="*/ 0 h 30"/>
                <a:gd name="T2" fmla="*/ 0 w 103"/>
                <a:gd name="T3" fmla="*/ 7 h 30"/>
                <a:gd name="T4" fmla="*/ 103 w 103"/>
                <a:gd name="T5" fmla="*/ 30 h 30"/>
                <a:gd name="T6" fmla="*/ 2 w 103"/>
                <a:gd name="T7" fmla="*/ 0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2" y="0"/>
                  </a:moveTo>
                  <a:lnTo>
                    <a:pt x="0" y="7"/>
                  </a:lnTo>
                  <a:lnTo>
                    <a:pt x="103" y="3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2" name="Freeform 324">
              <a:extLst>
                <a:ext uri="{FF2B5EF4-FFF2-40B4-BE49-F238E27FC236}">
                  <a16:creationId xmlns:a16="http://schemas.microsoft.com/office/drawing/2014/main" id="{E4F29DAD-07F8-4227-821A-7AE6516663E1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1 w 104"/>
                <a:gd name="T1" fmla="*/ 0 h 23"/>
                <a:gd name="T2" fmla="*/ 0 w 104"/>
                <a:gd name="T3" fmla="*/ 8 h 23"/>
                <a:gd name="T4" fmla="*/ 104 w 104"/>
                <a:gd name="T5" fmla="*/ 23 h 23"/>
                <a:gd name="T6" fmla="*/ 1 w 104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" y="0"/>
                  </a:moveTo>
                  <a:lnTo>
                    <a:pt x="0" y="8"/>
                  </a:lnTo>
                  <a:lnTo>
                    <a:pt x="104" y="2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3" name="Freeform 325">
              <a:extLst>
                <a:ext uri="{FF2B5EF4-FFF2-40B4-BE49-F238E27FC236}">
                  <a16:creationId xmlns:a16="http://schemas.microsoft.com/office/drawing/2014/main" id="{4EE13E0A-FF5C-4A3B-BEC2-5F8CBA7E64CA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7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7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4" name="Freeform 326">
              <a:extLst>
                <a:ext uri="{FF2B5EF4-FFF2-40B4-BE49-F238E27FC236}">
                  <a16:creationId xmlns:a16="http://schemas.microsoft.com/office/drawing/2014/main" id="{585B2ACD-FF8A-4BF3-B1F1-A1AD897EEEBC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8"/>
                <a:gd name="T2" fmla="*/ 0 w 105"/>
                <a:gd name="T3" fmla="*/ 8 h 8"/>
                <a:gd name="T4" fmla="*/ 105 w 105"/>
                <a:gd name="T5" fmla="*/ 8 h 8"/>
                <a:gd name="T6" fmla="*/ 0 w 105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0" y="0"/>
                  </a:moveTo>
                  <a:lnTo>
                    <a:pt x="0" y="8"/>
                  </a:lnTo>
                  <a:lnTo>
                    <a:pt x="105" y="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5" name="Freeform 327">
              <a:extLst>
                <a:ext uri="{FF2B5EF4-FFF2-40B4-BE49-F238E27FC236}">
                  <a16:creationId xmlns:a16="http://schemas.microsoft.com/office/drawing/2014/main" id="{81462B77-D50B-459E-86A2-209050AFA907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6" name="Freeform 328">
              <a:extLst>
                <a:ext uri="{FF2B5EF4-FFF2-40B4-BE49-F238E27FC236}">
                  <a16:creationId xmlns:a16="http://schemas.microsoft.com/office/drawing/2014/main" id="{53F25C04-7C96-4EF6-9FD2-AFE8499424C8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7 h 15"/>
                <a:gd name="T2" fmla="*/ 1 w 105"/>
                <a:gd name="T3" fmla="*/ 15 h 15"/>
                <a:gd name="T4" fmla="*/ 105 w 105"/>
                <a:gd name="T5" fmla="*/ 0 h 15"/>
                <a:gd name="T6" fmla="*/ 0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0" y="7"/>
                  </a:moveTo>
                  <a:lnTo>
                    <a:pt x="1" y="15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7" name="Freeform 329">
              <a:extLst>
                <a:ext uri="{FF2B5EF4-FFF2-40B4-BE49-F238E27FC236}">
                  <a16:creationId xmlns:a16="http://schemas.microsoft.com/office/drawing/2014/main" id="{BD19F003-27FB-49B9-B540-24FD240DF544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4"/>
                <a:gd name="T1" fmla="*/ 15 h 22"/>
                <a:gd name="T2" fmla="*/ 1 w 104"/>
                <a:gd name="T3" fmla="*/ 22 h 22"/>
                <a:gd name="T4" fmla="*/ 104 w 104"/>
                <a:gd name="T5" fmla="*/ 0 h 22"/>
                <a:gd name="T6" fmla="*/ 0 w 104"/>
                <a:gd name="T7" fmla="*/ 15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0" y="15"/>
                  </a:moveTo>
                  <a:lnTo>
                    <a:pt x="1" y="22"/>
                  </a:lnTo>
                  <a:lnTo>
                    <a:pt x="104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8" name="Freeform 330">
              <a:extLst>
                <a:ext uri="{FF2B5EF4-FFF2-40B4-BE49-F238E27FC236}">
                  <a16:creationId xmlns:a16="http://schemas.microsoft.com/office/drawing/2014/main" id="{53EF0CA4-0D99-4FE4-9EE2-E1412AA2B5EC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3"/>
                <a:gd name="T1" fmla="*/ 22 h 29"/>
                <a:gd name="T2" fmla="*/ 2 w 103"/>
                <a:gd name="T3" fmla="*/ 29 h 29"/>
                <a:gd name="T4" fmla="*/ 103 w 103"/>
                <a:gd name="T5" fmla="*/ 0 h 29"/>
                <a:gd name="T6" fmla="*/ 0 w 103"/>
                <a:gd name="T7" fmla="*/ 22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0" y="22"/>
                  </a:moveTo>
                  <a:lnTo>
                    <a:pt x="2" y="29"/>
                  </a:lnTo>
                  <a:lnTo>
                    <a:pt x="103" y="0"/>
                  </a:lnTo>
                  <a:lnTo>
                    <a:pt x="0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9" name="Freeform 331">
              <a:extLst>
                <a:ext uri="{FF2B5EF4-FFF2-40B4-BE49-F238E27FC236}">
                  <a16:creationId xmlns:a16="http://schemas.microsoft.com/office/drawing/2014/main" id="{8B4377EB-AFB0-4ABB-A146-26CB4691A07B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1"/>
                <a:gd name="T1" fmla="*/ 29 h 36"/>
                <a:gd name="T2" fmla="*/ 2 w 101"/>
                <a:gd name="T3" fmla="*/ 36 h 36"/>
                <a:gd name="T4" fmla="*/ 101 w 101"/>
                <a:gd name="T5" fmla="*/ 0 h 36"/>
                <a:gd name="T6" fmla="*/ 0 w 101"/>
                <a:gd name="T7" fmla="*/ 29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0" y="29"/>
                  </a:moveTo>
                  <a:lnTo>
                    <a:pt x="2" y="36"/>
                  </a:lnTo>
                  <a:lnTo>
                    <a:pt x="101" y="0"/>
                  </a:lnTo>
                  <a:lnTo>
                    <a:pt x="0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0" name="Freeform 332">
              <a:extLst>
                <a:ext uri="{FF2B5EF4-FFF2-40B4-BE49-F238E27FC236}">
                  <a16:creationId xmlns:a16="http://schemas.microsoft.com/office/drawing/2014/main" id="{CAA70DFC-D1CB-4781-A8B9-905590F51694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9"/>
                <a:gd name="T1" fmla="*/ 36 h 43"/>
                <a:gd name="T2" fmla="*/ 3 w 99"/>
                <a:gd name="T3" fmla="*/ 43 h 43"/>
                <a:gd name="T4" fmla="*/ 99 w 99"/>
                <a:gd name="T5" fmla="*/ 0 h 43"/>
                <a:gd name="T6" fmla="*/ 0 w 99"/>
                <a:gd name="T7" fmla="*/ 36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0" y="36"/>
                  </a:moveTo>
                  <a:lnTo>
                    <a:pt x="3" y="43"/>
                  </a:lnTo>
                  <a:lnTo>
                    <a:pt x="99" y="0"/>
                  </a:lnTo>
                  <a:lnTo>
                    <a:pt x="0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1" name="Freeform 333">
              <a:extLst>
                <a:ext uri="{FF2B5EF4-FFF2-40B4-BE49-F238E27FC236}">
                  <a16:creationId xmlns:a16="http://schemas.microsoft.com/office/drawing/2014/main" id="{B75CEBF8-4ACE-4E63-B038-245069E120E1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6"/>
                <a:gd name="T1" fmla="*/ 43 h 50"/>
                <a:gd name="T2" fmla="*/ 4 w 96"/>
                <a:gd name="T3" fmla="*/ 50 h 50"/>
                <a:gd name="T4" fmla="*/ 96 w 96"/>
                <a:gd name="T5" fmla="*/ 0 h 50"/>
                <a:gd name="T6" fmla="*/ 0 w 96"/>
                <a:gd name="T7" fmla="*/ 43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0" y="43"/>
                  </a:moveTo>
                  <a:lnTo>
                    <a:pt x="4" y="50"/>
                  </a:lnTo>
                  <a:lnTo>
                    <a:pt x="96" y="0"/>
                  </a:lnTo>
                  <a:lnTo>
                    <a:pt x="0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2" name="Freeform 334">
              <a:extLst>
                <a:ext uri="{FF2B5EF4-FFF2-40B4-BE49-F238E27FC236}">
                  <a16:creationId xmlns:a16="http://schemas.microsoft.com/office/drawing/2014/main" id="{9240BA68-6496-4928-9978-2892978491C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2"/>
                <a:gd name="T1" fmla="*/ 50 h 57"/>
                <a:gd name="T2" fmla="*/ 3 w 92"/>
                <a:gd name="T3" fmla="*/ 57 h 57"/>
                <a:gd name="T4" fmla="*/ 92 w 92"/>
                <a:gd name="T5" fmla="*/ 0 h 57"/>
                <a:gd name="T6" fmla="*/ 0 w 92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0" y="50"/>
                  </a:moveTo>
                  <a:lnTo>
                    <a:pt x="3" y="57"/>
                  </a:lnTo>
                  <a:lnTo>
                    <a:pt x="92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3" name="Freeform 335">
              <a:extLst>
                <a:ext uri="{FF2B5EF4-FFF2-40B4-BE49-F238E27FC236}">
                  <a16:creationId xmlns:a16="http://schemas.microsoft.com/office/drawing/2014/main" id="{B46D3987-E4E7-46D5-8322-D4FBF5941273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9"/>
                <a:gd name="T1" fmla="*/ 57 h 63"/>
                <a:gd name="T2" fmla="*/ 5 w 89"/>
                <a:gd name="T3" fmla="*/ 63 h 63"/>
                <a:gd name="T4" fmla="*/ 89 w 89"/>
                <a:gd name="T5" fmla="*/ 0 h 63"/>
                <a:gd name="T6" fmla="*/ 0 w 89"/>
                <a:gd name="T7" fmla="*/ 57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0" y="57"/>
                  </a:moveTo>
                  <a:lnTo>
                    <a:pt x="5" y="63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4" name="Freeform 336">
              <a:extLst>
                <a:ext uri="{FF2B5EF4-FFF2-40B4-BE49-F238E27FC236}">
                  <a16:creationId xmlns:a16="http://schemas.microsoft.com/office/drawing/2014/main" id="{B4031B75-F631-49AC-B993-B1DC54530D4D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4"/>
                <a:gd name="T1" fmla="*/ 63 h 69"/>
                <a:gd name="T2" fmla="*/ 4 w 84"/>
                <a:gd name="T3" fmla="*/ 69 h 69"/>
                <a:gd name="T4" fmla="*/ 84 w 84"/>
                <a:gd name="T5" fmla="*/ 0 h 69"/>
                <a:gd name="T6" fmla="*/ 0 w 84"/>
                <a:gd name="T7" fmla="*/ 63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0" y="63"/>
                  </a:moveTo>
                  <a:lnTo>
                    <a:pt x="4" y="69"/>
                  </a:lnTo>
                  <a:lnTo>
                    <a:pt x="84" y="0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5" name="Freeform 337">
              <a:extLst>
                <a:ext uri="{FF2B5EF4-FFF2-40B4-BE49-F238E27FC236}">
                  <a16:creationId xmlns:a16="http://schemas.microsoft.com/office/drawing/2014/main" id="{79404DA3-88CF-4E3E-9E90-8C7E19593DE2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0"/>
                <a:gd name="T1" fmla="*/ 69 h 74"/>
                <a:gd name="T2" fmla="*/ 6 w 80"/>
                <a:gd name="T3" fmla="*/ 74 h 74"/>
                <a:gd name="T4" fmla="*/ 80 w 80"/>
                <a:gd name="T5" fmla="*/ 0 h 74"/>
                <a:gd name="T6" fmla="*/ 0 w 80"/>
                <a:gd name="T7" fmla="*/ 69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4">
                  <a:moveTo>
                    <a:pt x="0" y="69"/>
                  </a:moveTo>
                  <a:lnTo>
                    <a:pt x="6" y="74"/>
                  </a:lnTo>
                  <a:lnTo>
                    <a:pt x="80" y="0"/>
                  </a:lnTo>
                  <a:lnTo>
                    <a:pt x="0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6" name="Freeform 338">
              <a:extLst>
                <a:ext uri="{FF2B5EF4-FFF2-40B4-BE49-F238E27FC236}">
                  <a16:creationId xmlns:a16="http://schemas.microsoft.com/office/drawing/2014/main" id="{B4B65C64-33D3-460B-AE4B-40F0ACE541ED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74"/>
                <a:gd name="T1" fmla="*/ 74 h 79"/>
                <a:gd name="T2" fmla="*/ 5 w 74"/>
                <a:gd name="T3" fmla="*/ 79 h 79"/>
                <a:gd name="T4" fmla="*/ 74 w 74"/>
                <a:gd name="T5" fmla="*/ 0 h 79"/>
                <a:gd name="T6" fmla="*/ 0 w 74"/>
                <a:gd name="T7" fmla="*/ 74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0" y="74"/>
                  </a:moveTo>
                  <a:lnTo>
                    <a:pt x="5" y="79"/>
                  </a:lnTo>
                  <a:lnTo>
                    <a:pt x="74" y="0"/>
                  </a:lnTo>
                  <a:lnTo>
                    <a:pt x="0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7" name="Freeform 339">
              <a:extLst>
                <a:ext uri="{FF2B5EF4-FFF2-40B4-BE49-F238E27FC236}">
                  <a16:creationId xmlns:a16="http://schemas.microsoft.com/office/drawing/2014/main" id="{865238C0-99FC-411C-BC7A-BBD1D7AC4E6B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69"/>
                <a:gd name="T1" fmla="*/ 79 h 84"/>
                <a:gd name="T2" fmla="*/ 6 w 69"/>
                <a:gd name="T3" fmla="*/ 84 h 84"/>
                <a:gd name="T4" fmla="*/ 69 w 69"/>
                <a:gd name="T5" fmla="*/ 0 h 84"/>
                <a:gd name="T6" fmla="*/ 0 w 69"/>
                <a:gd name="T7" fmla="*/ 79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0" y="79"/>
                  </a:moveTo>
                  <a:lnTo>
                    <a:pt x="6" y="84"/>
                  </a:lnTo>
                  <a:lnTo>
                    <a:pt x="69" y="0"/>
                  </a:lnTo>
                  <a:lnTo>
                    <a:pt x="0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8" name="Freeform 340">
              <a:extLst>
                <a:ext uri="{FF2B5EF4-FFF2-40B4-BE49-F238E27FC236}">
                  <a16:creationId xmlns:a16="http://schemas.microsoft.com/office/drawing/2014/main" id="{0066E6BC-237C-4ED7-9533-CBC886A1A550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63"/>
                <a:gd name="T1" fmla="*/ 84 h 88"/>
                <a:gd name="T2" fmla="*/ 6 w 63"/>
                <a:gd name="T3" fmla="*/ 88 h 88"/>
                <a:gd name="T4" fmla="*/ 63 w 63"/>
                <a:gd name="T5" fmla="*/ 0 h 88"/>
                <a:gd name="T6" fmla="*/ 0 w 63"/>
                <a:gd name="T7" fmla="*/ 84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0" y="84"/>
                  </a:moveTo>
                  <a:lnTo>
                    <a:pt x="6" y="88"/>
                  </a:lnTo>
                  <a:lnTo>
                    <a:pt x="63" y="0"/>
                  </a:lnTo>
                  <a:lnTo>
                    <a:pt x="0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9" name="Freeform 341">
              <a:extLst>
                <a:ext uri="{FF2B5EF4-FFF2-40B4-BE49-F238E27FC236}">
                  <a16:creationId xmlns:a16="http://schemas.microsoft.com/office/drawing/2014/main" id="{66798E84-5CA9-4017-8E49-478F215BFD76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7"/>
                <a:gd name="T1" fmla="*/ 88 h 92"/>
                <a:gd name="T2" fmla="*/ 7 w 57"/>
                <a:gd name="T3" fmla="*/ 92 h 92"/>
                <a:gd name="T4" fmla="*/ 57 w 57"/>
                <a:gd name="T5" fmla="*/ 0 h 92"/>
                <a:gd name="T6" fmla="*/ 0 w 57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0" y="88"/>
                  </a:moveTo>
                  <a:lnTo>
                    <a:pt x="7" y="92"/>
                  </a:lnTo>
                  <a:lnTo>
                    <a:pt x="57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0" name="Freeform 342">
              <a:extLst>
                <a:ext uri="{FF2B5EF4-FFF2-40B4-BE49-F238E27FC236}">
                  <a16:creationId xmlns:a16="http://schemas.microsoft.com/office/drawing/2014/main" id="{A2476DCA-57D1-4E41-94CF-D404188C155A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0"/>
                <a:gd name="T1" fmla="*/ 92 h 95"/>
                <a:gd name="T2" fmla="*/ 6 w 50"/>
                <a:gd name="T3" fmla="*/ 95 h 95"/>
                <a:gd name="T4" fmla="*/ 50 w 50"/>
                <a:gd name="T5" fmla="*/ 0 h 95"/>
                <a:gd name="T6" fmla="*/ 0 w 50"/>
                <a:gd name="T7" fmla="*/ 92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0" y="92"/>
                  </a:moveTo>
                  <a:lnTo>
                    <a:pt x="6" y="95"/>
                  </a:lnTo>
                  <a:lnTo>
                    <a:pt x="50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1" name="Freeform 343">
              <a:extLst>
                <a:ext uri="{FF2B5EF4-FFF2-40B4-BE49-F238E27FC236}">
                  <a16:creationId xmlns:a16="http://schemas.microsoft.com/office/drawing/2014/main" id="{E1A92352-28FB-4AC6-9D84-B201C3CADCA5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44"/>
                <a:gd name="T1" fmla="*/ 95 h 98"/>
                <a:gd name="T2" fmla="*/ 7 w 44"/>
                <a:gd name="T3" fmla="*/ 98 h 98"/>
                <a:gd name="T4" fmla="*/ 44 w 44"/>
                <a:gd name="T5" fmla="*/ 0 h 98"/>
                <a:gd name="T6" fmla="*/ 0 w 44"/>
                <a:gd name="T7" fmla="*/ 95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0" y="95"/>
                  </a:moveTo>
                  <a:lnTo>
                    <a:pt x="7" y="98"/>
                  </a:lnTo>
                  <a:lnTo>
                    <a:pt x="44" y="0"/>
                  </a:lnTo>
                  <a:lnTo>
                    <a:pt x="0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2" name="Freeform 344">
              <a:extLst>
                <a:ext uri="{FF2B5EF4-FFF2-40B4-BE49-F238E27FC236}">
                  <a16:creationId xmlns:a16="http://schemas.microsoft.com/office/drawing/2014/main" id="{117BA4F0-5024-4609-AEF4-40B0ADFDA453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7"/>
                <a:gd name="T1" fmla="*/ 98 h 101"/>
                <a:gd name="T2" fmla="*/ 7 w 37"/>
                <a:gd name="T3" fmla="*/ 101 h 101"/>
                <a:gd name="T4" fmla="*/ 37 w 37"/>
                <a:gd name="T5" fmla="*/ 0 h 101"/>
                <a:gd name="T6" fmla="*/ 0 w 37"/>
                <a:gd name="T7" fmla="*/ 98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0" y="98"/>
                  </a:moveTo>
                  <a:lnTo>
                    <a:pt x="7" y="101"/>
                  </a:lnTo>
                  <a:lnTo>
                    <a:pt x="37" y="0"/>
                  </a:lnTo>
                  <a:lnTo>
                    <a:pt x="0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3" name="Freeform 345">
              <a:extLst>
                <a:ext uri="{FF2B5EF4-FFF2-40B4-BE49-F238E27FC236}">
                  <a16:creationId xmlns:a16="http://schemas.microsoft.com/office/drawing/2014/main" id="{6D357541-BC6C-4D1B-9DF4-5DFA27F11455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0"/>
                <a:gd name="T1" fmla="*/ 101 h 103"/>
                <a:gd name="T2" fmla="*/ 8 w 30"/>
                <a:gd name="T3" fmla="*/ 103 h 103"/>
                <a:gd name="T4" fmla="*/ 30 w 30"/>
                <a:gd name="T5" fmla="*/ 0 h 103"/>
                <a:gd name="T6" fmla="*/ 0 w 30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0" y="101"/>
                  </a:moveTo>
                  <a:lnTo>
                    <a:pt x="8" y="103"/>
                  </a:lnTo>
                  <a:lnTo>
                    <a:pt x="30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4" name="Freeform 346">
              <a:extLst>
                <a:ext uri="{FF2B5EF4-FFF2-40B4-BE49-F238E27FC236}">
                  <a16:creationId xmlns:a16="http://schemas.microsoft.com/office/drawing/2014/main" id="{773069D7-2B9D-477B-AB94-2CB230CE204E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22"/>
                <a:gd name="T1" fmla="*/ 103 h 104"/>
                <a:gd name="T2" fmla="*/ 7 w 22"/>
                <a:gd name="T3" fmla="*/ 104 h 104"/>
                <a:gd name="T4" fmla="*/ 22 w 22"/>
                <a:gd name="T5" fmla="*/ 0 h 104"/>
                <a:gd name="T6" fmla="*/ 0 w 22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0" y="103"/>
                  </a:moveTo>
                  <a:lnTo>
                    <a:pt x="7" y="104"/>
                  </a:lnTo>
                  <a:lnTo>
                    <a:pt x="22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5" name="Freeform 347">
              <a:extLst>
                <a:ext uri="{FF2B5EF4-FFF2-40B4-BE49-F238E27FC236}">
                  <a16:creationId xmlns:a16="http://schemas.microsoft.com/office/drawing/2014/main" id="{7584FC01-9D63-4099-B740-F991B64FA424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15"/>
                <a:gd name="T1" fmla="*/ 104 h 105"/>
                <a:gd name="T2" fmla="*/ 7 w 15"/>
                <a:gd name="T3" fmla="*/ 105 h 105"/>
                <a:gd name="T4" fmla="*/ 15 w 15"/>
                <a:gd name="T5" fmla="*/ 0 h 105"/>
                <a:gd name="T6" fmla="*/ 0 w 15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0" y="104"/>
                  </a:moveTo>
                  <a:lnTo>
                    <a:pt x="7" y="105"/>
                  </a:lnTo>
                  <a:lnTo>
                    <a:pt x="15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6" name="Freeform 348">
              <a:extLst>
                <a:ext uri="{FF2B5EF4-FFF2-40B4-BE49-F238E27FC236}">
                  <a16:creationId xmlns:a16="http://schemas.microsoft.com/office/drawing/2014/main" id="{E2963E97-4194-483C-80D1-19485D3287A8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8"/>
                <a:gd name="T1" fmla="*/ 105 h 105"/>
                <a:gd name="T2" fmla="*/ 8 w 8"/>
                <a:gd name="T3" fmla="*/ 105 h 105"/>
                <a:gd name="T4" fmla="*/ 8 w 8"/>
                <a:gd name="T5" fmla="*/ 0 h 105"/>
                <a:gd name="T6" fmla="*/ 0 w 8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5">
                  <a:moveTo>
                    <a:pt x="0" y="105"/>
                  </a:moveTo>
                  <a:lnTo>
                    <a:pt x="8" y="105"/>
                  </a:lnTo>
                  <a:lnTo>
                    <a:pt x="8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7" name="Freeform 349">
              <a:extLst>
                <a:ext uri="{FF2B5EF4-FFF2-40B4-BE49-F238E27FC236}">
                  <a16:creationId xmlns:a16="http://schemas.microsoft.com/office/drawing/2014/main" id="{0DEECFAE-260E-47AE-8B62-28DD1F87D1B8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8" name="Freeform 350">
              <a:extLst>
                <a:ext uri="{FF2B5EF4-FFF2-40B4-BE49-F238E27FC236}">
                  <a16:creationId xmlns:a16="http://schemas.microsoft.com/office/drawing/2014/main" id="{CBE34121-6499-4043-AC33-45F5B37ECFB5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9" name="Freeform 351">
              <a:extLst>
                <a:ext uri="{FF2B5EF4-FFF2-40B4-BE49-F238E27FC236}">
                  <a16:creationId xmlns:a16="http://schemas.microsoft.com/office/drawing/2014/main" id="{284DAA52-D0D0-47FF-A7C3-1787E0B19A8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0" name="Freeform 352">
              <a:extLst>
                <a:ext uri="{FF2B5EF4-FFF2-40B4-BE49-F238E27FC236}">
                  <a16:creationId xmlns:a16="http://schemas.microsoft.com/office/drawing/2014/main" id="{19C8C5F0-FF31-4092-AFE0-6A4A841A9C6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22 w 30"/>
                <a:gd name="T1" fmla="*/ 103 h 103"/>
                <a:gd name="T2" fmla="*/ 30 w 30"/>
                <a:gd name="T3" fmla="*/ 101 h 103"/>
                <a:gd name="T4" fmla="*/ 0 w 30"/>
                <a:gd name="T5" fmla="*/ 0 h 103"/>
                <a:gd name="T6" fmla="*/ 22 w 30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22" y="103"/>
                  </a:moveTo>
                  <a:lnTo>
                    <a:pt x="30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1" name="Freeform 353">
              <a:extLst>
                <a:ext uri="{FF2B5EF4-FFF2-40B4-BE49-F238E27FC236}">
                  <a16:creationId xmlns:a16="http://schemas.microsoft.com/office/drawing/2014/main" id="{5043FBB5-1CFE-440A-B561-0F2476159B7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0 w 37"/>
                <a:gd name="T1" fmla="*/ 101 h 101"/>
                <a:gd name="T2" fmla="*/ 37 w 37"/>
                <a:gd name="T3" fmla="*/ 98 h 101"/>
                <a:gd name="T4" fmla="*/ 0 w 37"/>
                <a:gd name="T5" fmla="*/ 0 h 101"/>
                <a:gd name="T6" fmla="*/ 30 w 37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0" y="101"/>
                  </a:moveTo>
                  <a:lnTo>
                    <a:pt x="37" y="98"/>
                  </a:lnTo>
                  <a:lnTo>
                    <a:pt x="0" y="0"/>
                  </a:lnTo>
                  <a:lnTo>
                    <a:pt x="3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2" name="Freeform 354">
              <a:extLst>
                <a:ext uri="{FF2B5EF4-FFF2-40B4-BE49-F238E27FC236}">
                  <a16:creationId xmlns:a16="http://schemas.microsoft.com/office/drawing/2014/main" id="{70D23627-AA9C-4250-8F03-882DBD6F250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7 w 44"/>
                <a:gd name="T1" fmla="*/ 98 h 98"/>
                <a:gd name="T2" fmla="*/ 44 w 44"/>
                <a:gd name="T3" fmla="*/ 95 h 98"/>
                <a:gd name="T4" fmla="*/ 0 w 44"/>
                <a:gd name="T5" fmla="*/ 0 h 98"/>
                <a:gd name="T6" fmla="*/ 37 w 44"/>
                <a:gd name="T7" fmla="*/ 98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37" y="98"/>
                  </a:moveTo>
                  <a:lnTo>
                    <a:pt x="44" y="95"/>
                  </a:lnTo>
                  <a:lnTo>
                    <a:pt x="0" y="0"/>
                  </a:lnTo>
                  <a:lnTo>
                    <a:pt x="37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3" name="Freeform 355">
              <a:extLst>
                <a:ext uri="{FF2B5EF4-FFF2-40B4-BE49-F238E27FC236}">
                  <a16:creationId xmlns:a16="http://schemas.microsoft.com/office/drawing/2014/main" id="{92462970-50C9-4C83-A782-BCD0A6F3D755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1"/>
            </a:xfrm>
            <a:custGeom>
              <a:avLst/>
              <a:gdLst>
                <a:gd name="T0" fmla="*/ 44 w 50"/>
                <a:gd name="T1" fmla="*/ 95 h 95"/>
                <a:gd name="T2" fmla="*/ 50 w 50"/>
                <a:gd name="T3" fmla="*/ 92 h 95"/>
                <a:gd name="T4" fmla="*/ 0 w 50"/>
                <a:gd name="T5" fmla="*/ 0 h 95"/>
                <a:gd name="T6" fmla="*/ 44 w 50"/>
                <a:gd name="T7" fmla="*/ 95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44" y="95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4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4" name="Freeform 356">
              <a:extLst>
                <a:ext uri="{FF2B5EF4-FFF2-40B4-BE49-F238E27FC236}">
                  <a16:creationId xmlns:a16="http://schemas.microsoft.com/office/drawing/2014/main" id="{B740958C-E7D5-4770-A1A7-38074CB7B16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0 w 57"/>
                <a:gd name="T1" fmla="*/ 92 h 92"/>
                <a:gd name="T2" fmla="*/ 57 w 57"/>
                <a:gd name="T3" fmla="*/ 88 h 92"/>
                <a:gd name="T4" fmla="*/ 0 w 57"/>
                <a:gd name="T5" fmla="*/ 0 h 92"/>
                <a:gd name="T6" fmla="*/ 50 w 57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50" y="92"/>
                  </a:moveTo>
                  <a:lnTo>
                    <a:pt x="57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5" name="Freeform 357">
              <a:extLst>
                <a:ext uri="{FF2B5EF4-FFF2-40B4-BE49-F238E27FC236}">
                  <a16:creationId xmlns:a16="http://schemas.microsoft.com/office/drawing/2014/main" id="{4B730DCE-6C6E-4E12-AD97-CFB09712FD5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7 w 63"/>
                <a:gd name="T1" fmla="*/ 88 h 88"/>
                <a:gd name="T2" fmla="*/ 63 w 63"/>
                <a:gd name="T3" fmla="*/ 84 h 88"/>
                <a:gd name="T4" fmla="*/ 0 w 63"/>
                <a:gd name="T5" fmla="*/ 0 h 88"/>
                <a:gd name="T6" fmla="*/ 57 w 63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57" y="88"/>
                  </a:moveTo>
                  <a:lnTo>
                    <a:pt x="63" y="84"/>
                  </a:lnTo>
                  <a:lnTo>
                    <a:pt x="0" y="0"/>
                  </a:lnTo>
                  <a:lnTo>
                    <a:pt x="57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6" name="Freeform 358">
              <a:extLst>
                <a:ext uri="{FF2B5EF4-FFF2-40B4-BE49-F238E27FC236}">
                  <a16:creationId xmlns:a16="http://schemas.microsoft.com/office/drawing/2014/main" id="{0CA2E710-CDB4-4E12-9F5F-BD6CE8B3204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3 w 69"/>
                <a:gd name="T1" fmla="*/ 84 h 84"/>
                <a:gd name="T2" fmla="*/ 69 w 69"/>
                <a:gd name="T3" fmla="*/ 79 h 84"/>
                <a:gd name="T4" fmla="*/ 0 w 69"/>
                <a:gd name="T5" fmla="*/ 0 h 84"/>
                <a:gd name="T6" fmla="*/ 63 w 69"/>
                <a:gd name="T7" fmla="*/ 84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63" y="84"/>
                  </a:moveTo>
                  <a:lnTo>
                    <a:pt x="69" y="79"/>
                  </a:lnTo>
                  <a:lnTo>
                    <a:pt x="0" y="0"/>
                  </a:lnTo>
                  <a:lnTo>
                    <a:pt x="63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7" name="Freeform 359">
              <a:extLst>
                <a:ext uri="{FF2B5EF4-FFF2-40B4-BE49-F238E27FC236}">
                  <a16:creationId xmlns:a16="http://schemas.microsoft.com/office/drawing/2014/main" id="{9C3E1944-BEF0-49F9-8890-61198CC360C5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9 w 74"/>
                <a:gd name="T1" fmla="*/ 79 h 79"/>
                <a:gd name="T2" fmla="*/ 74 w 74"/>
                <a:gd name="T3" fmla="*/ 74 h 79"/>
                <a:gd name="T4" fmla="*/ 0 w 74"/>
                <a:gd name="T5" fmla="*/ 0 h 79"/>
                <a:gd name="T6" fmla="*/ 69 w 74"/>
                <a:gd name="T7" fmla="*/ 79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69" y="79"/>
                  </a:moveTo>
                  <a:lnTo>
                    <a:pt x="74" y="74"/>
                  </a:lnTo>
                  <a:lnTo>
                    <a:pt x="0" y="0"/>
                  </a:lnTo>
                  <a:lnTo>
                    <a:pt x="69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8" name="Freeform 360">
              <a:extLst>
                <a:ext uri="{FF2B5EF4-FFF2-40B4-BE49-F238E27FC236}">
                  <a16:creationId xmlns:a16="http://schemas.microsoft.com/office/drawing/2014/main" id="{5764A056-45BB-42CD-8AFC-4A55F909A34A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4 w 79"/>
                <a:gd name="T1" fmla="*/ 74 h 74"/>
                <a:gd name="T2" fmla="*/ 79 w 79"/>
                <a:gd name="T3" fmla="*/ 69 h 74"/>
                <a:gd name="T4" fmla="*/ 0 w 79"/>
                <a:gd name="T5" fmla="*/ 0 h 74"/>
                <a:gd name="T6" fmla="*/ 74 w 79"/>
                <a:gd name="T7" fmla="*/ 74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4">
                  <a:moveTo>
                    <a:pt x="74" y="74"/>
                  </a:moveTo>
                  <a:lnTo>
                    <a:pt x="79" y="69"/>
                  </a:lnTo>
                  <a:lnTo>
                    <a:pt x="0" y="0"/>
                  </a:lnTo>
                  <a:lnTo>
                    <a:pt x="74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9" name="Freeform 361">
              <a:extLst>
                <a:ext uri="{FF2B5EF4-FFF2-40B4-BE49-F238E27FC236}">
                  <a16:creationId xmlns:a16="http://schemas.microsoft.com/office/drawing/2014/main" id="{F339F220-E45D-4DD1-8E1F-854A7C95C07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9 w 84"/>
                <a:gd name="T1" fmla="*/ 69 h 69"/>
                <a:gd name="T2" fmla="*/ 84 w 84"/>
                <a:gd name="T3" fmla="*/ 63 h 69"/>
                <a:gd name="T4" fmla="*/ 0 w 84"/>
                <a:gd name="T5" fmla="*/ 0 h 69"/>
                <a:gd name="T6" fmla="*/ 79 w 84"/>
                <a:gd name="T7" fmla="*/ 69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79" y="69"/>
                  </a:moveTo>
                  <a:lnTo>
                    <a:pt x="84" y="63"/>
                  </a:lnTo>
                  <a:lnTo>
                    <a:pt x="0" y="0"/>
                  </a:lnTo>
                  <a:lnTo>
                    <a:pt x="79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0" name="Freeform 362">
              <a:extLst>
                <a:ext uri="{FF2B5EF4-FFF2-40B4-BE49-F238E27FC236}">
                  <a16:creationId xmlns:a16="http://schemas.microsoft.com/office/drawing/2014/main" id="{DB47A531-5F9D-410D-A215-1AE84F620928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4 w 88"/>
                <a:gd name="T1" fmla="*/ 63 h 63"/>
                <a:gd name="T2" fmla="*/ 88 w 88"/>
                <a:gd name="T3" fmla="*/ 57 h 63"/>
                <a:gd name="T4" fmla="*/ 0 w 88"/>
                <a:gd name="T5" fmla="*/ 0 h 63"/>
                <a:gd name="T6" fmla="*/ 84 w 88"/>
                <a:gd name="T7" fmla="*/ 63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4" y="63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4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1" name="Freeform 363">
              <a:extLst>
                <a:ext uri="{FF2B5EF4-FFF2-40B4-BE49-F238E27FC236}">
                  <a16:creationId xmlns:a16="http://schemas.microsoft.com/office/drawing/2014/main" id="{5B8B5550-B53E-4CA8-84A3-2C4242669526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8 w 92"/>
                <a:gd name="T1" fmla="*/ 57 h 57"/>
                <a:gd name="T2" fmla="*/ 92 w 92"/>
                <a:gd name="T3" fmla="*/ 50 h 57"/>
                <a:gd name="T4" fmla="*/ 0 w 92"/>
                <a:gd name="T5" fmla="*/ 0 h 57"/>
                <a:gd name="T6" fmla="*/ 88 w 92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88" y="57"/>
                  </a:moveTo>
                  <a:lnTo>
                    <a:pt x="92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2" name="Freeform 364">
              <a:extLst>
                <a:ext uri="{FF2B5EF4-FFF2-40B4-BE49-F238E27FC236}">
                  <a16:creationId xmlns:a16="http://schemas.microsoft.com/office/drawing/2014/main" id="{30F8859C-2D9E-4FC9-A334-2E0185B0A96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2 w 96"/>
                <a:gd name="T1" fmla="*/ 50 h 50"/>
                <a:gd name="T2" fmla="*/ 96 w 96"/>
                <a:gd name="T3" fmla="*/ 43 h 50"/>
                <a:gd name="T4" fmla="*/ 0 w 96"/>
                <a:gd name="T5" fmla="*/ 0 h 50"/>
                <a:gd name="T6" fmla="*/ 92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2" y="50"/>
                  </a:moveTo>
                  <a:lnTo>
                    <a:pt x="96" y="43"/>
                  </a:lnTo>
                  <a:lnTo>
                    <a:pt x="0" y="0"/>
                  </a:lnTo>
                  <a:lnTo>
                    <a:pt x="92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3" name="Freeform 365">
              <a:extLst>
                <a:ext uri="{FF2B5EF4-FFF2-40B4-BE49-F238E27FC236}">
                  <a16:creationId xmlns:a16="http://schemas.microsoft.com/office/drawing/2014/main" id="{98CBC579-E671-44B1-A5EE-5BF88967BFB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6 w 99"/>
                <a:gd name="T1" fmla="*/ 43 h 43"/>
                <a:gd name="T2" fmla="*/ 99 w 99"/>
                <a:gd name="T3" fmla="*/ 36 h 43"/>
                <a:gd name="T4" fmla="*/ 0 w 99"/>
                <a:gd name="T5" fmla="*/ 0 h 43"/>
                <a:gd name="T6" fmla="*/ 96 w 99"/>
                <a:gd name="T7" fmla="*/ 43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6" y="43"/>
                  </a:moveTo>
                  <a:lnTo>
                    <a:pt x="99" y="36"/>
                  </a:lnTo>
                  <a:lnTo>
                    <a:pt x="0" y="0"/>
                  </a:lnTo>
                  <a:lnTo>
                    <a:pt x="96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4" name="Freeform 366">
              <a:extLst>
                <a:ext uri="{FF2B5EF4-FFF2-40B4-BE49-F238E27FC236}">
                  <a16:creationId xmlns:a16="http://schemas.microsoft.com/office/drawing/2014/main" id="{8E6B4BE0-E5C0-4FE5-B408-1BF306A044F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99 w 101"/>
                <a:gd name="T1" fmla="*/ 36 h 36"/>
                <a:gd name="T2" fmla="*/ 101 w 101"/>
                <a:gd name="T3" fmla="*/ 29 h 36"/>
                <a:gd name="T4" fmla="*/ 0 w 101"/>
                <a:gd name="T5" fmla="*/ 0 h 36"/>
                <a:gd name="T6" fmla="*/ 99 w 101"/>
                <a:gd name="T7" fmla="*/ 36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99" y="36"/>
                  </a:moveTo>
                  <a:lnTo>
                    <a:pt x="101" y="29"/>
                  </a:lnTo>
                  <a:lnTo>
                    <a:pt x="0" y="0"/>
                  </a:lnTo>
                  <a:lnTo>
                    <a:pt x="99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5" name="Freeform 367">
              <a:extLst>
                <a:ext uri="{FF2B5EF4-FFF2-40B4-BE49-F238E27FC236}">
                  <a16:creationId xmlns:a16="http://schemas.microsoft.com/office/drawing/2014/main" id="{34BA0838-D16E-4825-B782-04F4146A9D3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1 w 103"/>
                <a:gd name="T1" fmla="*/ 29 h 29"/>
                <a:gd name="T2" fmla="*/ 103 w 103"/>
                <a:gd name="T3" fmla="*/ 22 h 29"/>
                <a:gd name="T4" fmla="*/ 0 w 103"/>
                <a:gd name="T5" fmla="*/ 0 h 29"/>
                <a:gd name="T6" fmla="*/ 101 w 103"/>
                <a:gd name="T7" fmla="*/ 29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1" y="29"/>
                  </a:moveTo>
                  <a:lnTo>
                    <a:pt x="103" y="22"/>
                  </a:lnTo>
                  <a:lnTo>
                    <a:pt x="0" y="0"/>
                  </a:lnTo>
                  <a:lnTo>
                    <a:pt x="101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6" name="Freeform 368">
              <a:extLst>
                <a:ext uri="{FF2B5EF4-FFF2-40B4-BE49-F238E27FC236}">
                  <a16:creationId xmlns:a16="http://schemas.microsoft.com/office/drawing/2014/main" id="{14DEA5A4-893A-4F19-923D-35D6CD085AD3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3 w 104"/>
                <a:gd name="T1" fmla="*/ 22 h 22"/>
                <a:gd name="T2" fmla="*/ 104 w 104"/>
                <a:gd name="T3" fmla="*/ 15 h 22"/>
                <a:gd name="T4" fmla="*/ 0 w 104"/>
                <a:gd name="T5" fmla="*/ 0 h 22"/>
                <a:gd name="T6" fmla="*/ 103 w 104"/>
                <a:gd name="T7" fmla="*/ 22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3" y="22"/>
                  </a:moveTo>
                  <a:lnTo>
                    <a:pt x="104" y="15"/>
                  </a:lnTo>
                  <a:lnTo>
                    <a:pt x="0" y="0"/>
                  </a:lnTo>
                  <a:lnTo>
                    <a:pt x="103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7" name="Freeform 369">
              <a:extLst>
                <a:ext uri="{FF2B5EF4-FFF2-40B4-BE49-F238E27FC236}">
                  <a16:creationId xmlns:a16="http://schemas.microsoft.com/office/drawing/2014/main" id="{689360BC-2575-4C2E-82F6-01C95129044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4 w 105"/>
                <a:gd name="T1" fmla="*/ 15 h 15"/>
                <a:gd name="T2" fmla="*/ 105 w 105"/>
                <a:gd name="T3" fmla="*/ 7 h 15"/>
                <a:gd name="T4" fmla="*/ 0 w 105"/>
                <a:gd name="T5" fmla="*/ 0 h 15"/>
                <a:gd name="T6" fmla="*/ 104 w 105"/>
                <a:gd name="T7" fmla="*/ 15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4" y="15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8" name="Freeform 370">
              <a:extLst>
                <a:ext uri="{FF2B5EF4-FFF2-40B4-BE49-F238E27FC236}">
                  <a16:creationId xmlns:a16="http://schemas.microsoft.com/office/drawing/2014/main" id="{E2E15AFC-4FA9-4205-97DE-5A3D4C8AA96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9" name="Freeform 371">
              <a:extLst>
                <a:ext uri="{FF2B5EF4-FFF2-40B4-BE49-F238E27FC236}">
                  <a16:creationId xmlns:a16="http://schemas.microsoft.com/office/drawing/2014/main" id="{07EFFBBA-A8EE-4B92-8CF6-1FA94E9E058D}"/>
                </a:ext>
              </a:extLst>
            </xdr:cNvPr>
            <xdr:cNvSpPr>
              <a:spLocks/>
            </xdr:cNvSpPr>
          </xdr:nvSpPr>
          <xdr:spPr bwMode="auto">
            <a:xfrm>
              <a:off x="1095" y="188"/>
              <a:ext cx="6" cy="9"/>
            </a:xfrm>
            <a:custGeom>
              <a:avLst/>
              <a:gdLst>
                <a:gd name="T0" fmla="*/ 0 w 352"/>
                <a:gd name="T1" fmla="*/ 526 h 526"/>
                <a:gd name="T2" fmla="*/ 0 w 352"/>
                <a:gd name="T3" fmla="*/ 0 h 526"/>
                <a:gd name="T4" fmla="*/ 264 w 352"/>
                <a:gd name="T5" fmla="*/ 0 h 526"/>
                <a:gd name="T6" fmla="*/ 352 w 352"/>
                <a:gd name="T7" fmla="*/ 88 h 526"/>
                <a:gd name="T8" fmla="*/ 352 w 352"/>
                <a:gd name="T9" fmla="*/ 175 h 526"/>
                <a:gd name="T10" fmla="*/ 264 w 352"/>
                <a:gd name="T11" fmla="*/ 263 h 526"/>
                <a:gd name="T12" fmla="*/ 0 w 352"/>
                <a:gd name="T13" fmla="*/ 263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352" h="526">
                  <a:moveTo>
                    <a:pt x="0" y="526"/>
                  </a:moveTo>
                  <a:lnTo>
                    <a:pt x="0" y="0"/>
                  </a:lnTo>
                  <a:lnTo>
                    <a:pt x="264" y="0"/>
                  </a:lnTo>
                  <a:lnTo>
                    <a:pt x="352" y="88"/>
                  </a:lnTo>
                  <a:lnTo>
                    <a:pt x="352" y="175"/>
                  </a:lnTo>
                  <a:lnTo>
                    <a:pt x="264" y="263"/>
                  </a:lnTo>
                  <a:lnTo>
                    <a:pt x="0" y="263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0" name="Freeform 372">
              <a:extLst>
                <a:ext uri="{FF2B5EF4-FFF2-40B4-BE49-F238E27FC236}">
                  <a16:creationId xmlns:a16="http://schemas.microsoft.com/office/drawing/2014/main" id="{25E5AFD1-49A6-495E-8158-1C83C2F9E8DA}"/>
                </a:ext>
              </a:extLst>
            </xdr:cNvPr>
            <xdr:cNvSpPr>
              <a:spLocks/>
            </xdr:cNvSpPr>
          </xdr:nvSpPr>
          <xdr:spPr bwMode="auto">
            <a:xfrm>
              <a:off x="1104" y="191"/>
              <a:ext cx="6" cy="6"/>
            </a:xfrm>
            <a:custGeom>
              <a:avLst/>
              <a:gdLst>
                <a:gd name="T0" fmla="*/ 351 w 351"/>
                <a:gd name="T1" fmla="*/ 0 h 351"/>
                <a:gd name="T2" fmla="*/ 88 w 351"/>
                <a:gd name="T3" fmla="*/ 0 h 351"/>
                <a:gd name="T4" fmla="*/ 0 w 351"/>
                <a:gd name="T5" fmla="*/ 88 h 351"/>
                <a:gd name="T6" fmla="*/ 0 w 351"/>
                <a:gd name="T7" fmla="*/ 264 h 351"/>
                <a:gd name="T8" fmla="*/ 88 w 351"/>
                <a:gd name="T9" fmla="*/ 351 h 351"/>
                <a:gd name="T10" fmla="*/ 351 w 351"/>
                <a:gd name="T11" fmla="*/ 351 h 3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351">
                  <a:moveTo>
                    <a:pt x="351" y="0"/>
                  </a:moveTo>
                  <a:lnTo>
                    <a:pt x="88" y="0"/>
                  </a:lnTo>
                  <a:lnTo>
                    <a:pt x="0" y="88"/>
                  </a:lnTo>
                  <a:lnTo>
                    <a:pt x="0" y="264"/>
                  </a:lnTo>
                  <a:lnTo>
                    <a:pt x="88" y="351"/>
                  </a:lnTo>
                  <a:lnTo>
                    <a:pt x="351" y="351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1" name="Freeform 373">
              <a:extLst>
                <a:ext uri="{FF2B5EF4-FFF2-40B4-BE49-F238E27FC236}">
                  <a16:creationId xmlns:a16="http://schemas.microsoft.com/office/drawing/2014/main" id="{68950557-C636-45ED-8649-5A263A64C11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9"/>
                <a:gd name="T2" fmla="*/ 105 w 105"/>
                <a:gd name="T3" fmla="*/ 0 h 9"/>
                <a:gd name="T4" fmla="*/ 0 w 105"/>
                <a:gd name="T5" fmla="*/ 9 h 9"/>
                <a:gd name="T6" fmla="*/ 105 w 105"/>
                <a:gd name="T7" fmla="*/ 9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9">
                  <a:moveTo>
                    <a:pt x="105" y="9"/>
                  </a:moveTo>
                  <a:lnTo>
                    <a:pt x="105" y="0"/>
                  </a:lnTo>
                  <a:lnTo>
                    <a:pt x="0" y="9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2" name="Freeform 374">
              <a:extLst>
                <a:ext uri="{FF2B5EF4-FFF2-40B4-BE49-F238E27FC236}">
                  <a16:creationId xmlns:a16="http://schemas.microsoft.com/office/drawing/2014/main" id="{BB21F92E-65CD-4484-BD77-D21831A2664D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18"/>
                <a:gd name="T2" fmla="*/ 104 w 105"/>
                <a:gd name="T3" fmla="*/ 0 h 18"/>
                <a:gd name="T4" fmla="*/ 0 w 105"/>
                <a:gd name="T5" fmla="*/ 18 h 18"/>
                <a:gd name="T6" fmla="*/ 105 w 105"/>
                <a:gd name="T7" fmla="*/ 9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8">
                  <a:moveTo>
                    <a:pt x="105" y="9"/>
                  </a:moveTo>
                  <a:lnTo>
                    <a:pt x="104" y="0"/>
                  </a:lnTo>
                  <a:lnTo>
                    <a:pt x="0" y="18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3" name="Freeform 375">
              <a:extLst>
                <a:ext uri="{FF2B5EF4-FFF2-40B4-BE49-F238E27FC236}">
                  <a16:creationId xmlns:a16="http://schemas.microsoft.com/office/drawing/2014/main" id="{8201662F-DD4C-4A42-95A8-F86D28FE0FC7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4 w 104"/>
                <a:gd name="T1" fmla="*/ 8 h 26"/>
                <a:gd name="T2" fmla="*/ 102 w 104"/>
                <a:gd name="T3" fmla="*/ 0 h 26"/>
                <a:gd name="T4" fmla="*/ 0 w 104"/>
                <a:gd name="T5" fmla="*/ 26 h 26"/>
                <a:gd name="T6" fmla="*/ 104 w 104"/>
                <a:gd name="T7" fmla="*/ 8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4" y="8"/>
                  </a:moveTo>
                  <a:lnTo>
                    <a:pt x="102" y="0"/>
                  </a:lnTo>
                  <a:lnTo>
                    <a:pt x="0" y="26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4" name="Freeform 376">
              <a:extLst>
                <a:ext uri="{FF2B5EF4-FFF2-40B4-BE49-F238E27FC236}">
                  <a16:creationId xmlns:a16="http://schemas.microsoft.com/office/drawing/2014/main" id="{6C6A6701-3082-4C7C-AC1E-D56A2945B1A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2 w 102"/>
                <a:gd name="T1" fmla="*/ 9 h 35"/>
                <a:gd name="T2" fmla="*/ 99 w 102"/>
                <a:gd name="T3" fmla="*/ 0 h 35"/>
                <a:gd name="T4" fmla="*/ 0 w 102"/>
                <a:gd name="T5" fmla="*/ 35 h 35"/>
                <a:gd name="T6" fmla="*/ 102 w 102"/>
                <a:gd name="T7" fmla="*/ 9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102" y="9"/>
                  </a:moveTo>
                  <a:lnTo>
                    <a:pt x="99" y="0"/>
                  </a:lnTo>
                  <a:lnTo>
                    <a:pt x="0" y="35"/>
                  </a:lnTo>
                  <a:lnTo>
                    <a:pt x="102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5" name="Freeform 377">
              <a:extLst>
                <a:ext uri="{FF2B5EF4-FFF2-40B4-BE49-F238E27FC236}">
                  <a16:creationId xmlns:a16="http://schemas.microsoft.com/office/drawing/2014/main" id="{75371046-6BF1-4372-B958-981317B50866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9 w 99"/>
                <a:gd name="T1" fmla="*/ 8 h 43"/>
                <a:gd name="T2" fmla="*/ 96 w 99"/>
                <a:gd name="T3" fmla="*/ 0 h 43"/>
                <a:gd name="T4" fmla="*/ 0 w 99"/>
                <a:gd name="T5" fmla="*/ 43 h 43"/>
                <a:gd name="T6" fmla="*/ 99 w 99"/>
                <a:gd name="T7" fmla="*/ 8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9" y="8"/>
                  </a:moveTo>
                  <a:lnTo>
                    <a:pt x="96" y="0"/>
                  </a:lnTo>
                  <a:lnTo>
                    <a:pt x="0" y="43"/>
                  </a:lnTo>
                  <a:lnTo>
                    <a:pt x="99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6" name="Freeform 378">
              <a:extLst>
                <a:ext uri="{FF2B5EF4-FFF2-40B4-BE49-F238E27FC236}">
                  <a16:creationId xmlns:a16="http://schemas.microsoft.com/office/drawing/2014/main" id="{CC36D286-2B37-48E3-91A1-D10298482553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6 w 96"/>
                <a:gd name="T1" fmla="*/ 7 h 50"/>
                <a:gd name="T2" fmla="*/ 93 w 96"/>
                <a:gd name="T3" fmla="*/ 0 h 50"/>
                <a:gd name="T4" fmla="*/ 0 w 96"/>
                <a:gd name="T5" fmla="*/ 50 h 50"/>
                <a:gd name="T6" fmla="*/ 96 w 96"/>
                <a:gd name="T7" fmla="*/ 7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6" y="7"/>
                  </a:moveTo>
                  <a:lnTo>
                    <a:pt x="93" y="0"/>
                  </a:lnTo>
                  <a:lnTo>
                    <a:pt x="0" y="50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7" name="Freeform 379">
              <a:extLst>
                <a:ext uri="{FF2B5EF4-FFF2-40B4-BE49-F238E27FC236}">
                  <a16:creationId xmlns:a16="http://schemas.microsoft.com/office/drawing/2014/main" id="{E934C41A-9E0E-4AC5-88B7-133C05ABE568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3 w 93"/>
                <a:gd name="T1" fmla="*/ 8 h 58"/>
                <a:gd name="T2" fmla="*/ 88 w 93"/>
                <a:gd name="T3" fmla="*/ 0 h 58"/>
                <a:gd name="T4" fmla="*/ 0 w 93"/>
                <a:gd name="T5" fmla="*/ 58 h 58"/>
                <a:gd name="T6" fmla="*/ 93 w 93"/>
                <a:gd name="T7" fmla="*/ 8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8">
                  <a:moveTo>
                    <a:pt x="93" y="8"/>
                  </a:moveTo>
                  <a:lnTo>
                    <a:pt x="88" y="0"/>
                  </a:lnTo>
                  <a:lnTo>
                    <a:pt x="0" y="58"/>
                  </a:lnTo>
                  <a:lnTo>
                    <a:pt x="93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8" name="Freeform 380">
              <a:extLst>
                <a:ext uri="{FF2B5EF4-FFF2-40B4-BE49-F238E27FC236}">
                  <a16:creationId xmlns:a16="http://schemas.microsoft.com/office/drawing/2014/main" id="{E423B88B-D18E-48A6-9FA8-91E5ECE1BC15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8 w 88"/>
                <a:gd name="T1" fmla="*/ 7 h 65"/>
                <a:gd name="T2" fmla="*/ 83 w 88"/>
                <a:gd name="T3" fmla="*/ 0 h 65"/>
                <a:gd name="T4" fmla="*/ 0 w 88"/>
                <a:gd name="T5" fmla="*/ 65 h 65"/>
                <a:gd name="T6" fmla="*/ 88 w 88"/>
                <a:gd name="T7" fmla="*/ 7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5">
                  <a:moveTo>
                    <a:pt x="88" y="7"/>
                  </a:moveTo>
                  <a:lnTo>
                    <a:pt x="83" y="0"/>
                  </a:lnTo>
                  <a:lnTo>
                    <a:pt x="0" y="65"/>
                  </a:lnTo>
                  <a:lnTo>
                    <a:pt x="88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9" name="Freeform 381">
              <a:extLst>
                <a:ext uri="{FF2B5EF4-FFF2-40B4-BE49-F238E27FC236}">
                  <a16:creationId xmlns:a16="http://schemas.microsoft.com/office/drawing/2014/main" id="{B127669F-DD9F-4F75-80EE-7D4D3F73E1BF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3 w 83"/>
                <a:gd name="T1" fmla="*/ 7 h 72"/>
                <a:gd name="T2" fmla="*/ 77 w 83"/>
                <a:gd name="T3" fmla="*/ 0 h 72"/>
                <a:gd name="T4" fmla="*/ 0 w 83"/>
                <a:gd name="T5" fmla="*/ 72 h 72"/>
                <a:gd name="T6" fmla="*/ 83 w 83"/>
                <a:gd name="T7" fmla="*/ 7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2">
                  <a:moveTo>
                    <a:pt x="83" y="7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0" name="Freeform 382">
              <a:extLst>
                <a:ext uri="{FF2B5EF4-FFF2-40B4-BE49-F238E27FC236}">
                  <a16:creationId xmlns:a16="http://schemas.microsoft.com/office/drawing/2014/main" id="{855FB5E6-9F64-4B34-9636-FC4F36DB81EF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77 w 77"/>
                <a:gd name="T1" fmla="*/ 6 h 78"/>
                <a:gd name="T2" fmla="*/ 71 w 77"/>
                <a:gd name="T3" fmla="*/ 0 h 78"/>
                <a:gd name="T4" fmla="*/ 0 w 77"/>
                <a:gd name="T5" fmla="*/ 78 h 78"/>
                <a:gd name="T6" fmla="*/ 77 w 77"/>
                <a:gd name="T7" fmla="*/ 6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8">
                  <a:moveTo>
                    <a:pt x="77" y="6"/>
                  </a:moveTo>
                  <a:lnTo>
                    <a:pt x="71" y="0"/>
                  </a:lnTo>
                  <a:lnTo>
                    <a:pt x="0" y="78"/>
                  </a:lnTo>
                  <a:lnTo>
                    <a:pt x="77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1" name="Freeform 383">
              <a:extLst>
                <a:ext uri="{FF2B5EF4-FFF2-40B4-BE49-F238E27FC236}">
                  <a16:creationId xmlns:a16="http://schemas.microsoft.com/office/drawing/2014/main" id="{1CD68A56-EACA-43AD-9434-4254A96F92BD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71 w 71"/>
                <a:gd name="T1" fmla="*/ 5 h 83"/>
                <a:gd name="T2" fmla="*/ 65 w 71"/>
                <a:gd name="T3" fmla="*/ 0 h 83"/>
                <a:gd name="T4" fmla="*/ 0 w 71"/>
                <a:gd name="T5" fmla="*/ 83 h 83"/>
                <a:gd name="T6" fmla="*/ 71 w 71"/>
                <a:gd name="T7" fmla="*/ 5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71" y="5"/>
                  </a:moveTo>
                  <a:lnTo>
                    <a:pt x="65" y="0"/>
                  </a:lnTo>
                  <a:lnTo>
                    <a:pt x="0" y="83"/>
                  </a:lnTo>
                  <a:lnTo>
                    <a:pt x="71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2" name="Freeform 384">
              <a:extLst>
                <a:ext uri="{FF2B5EF4-FFF2-40B4-BE49-F238E27FC236}">
                  <a16:creationId xmlns:a16="http://schemas.microsoft.com/office/drawing/2014/main" id="{9EF7618B-6584-4DA7-959B-00B785356B0F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65 w 65"/>
                <a:gd name="T1" fmla="*/ 5 h 88"/>
                <a:gd name="T2" fmla="*/ 58 w 65"/>
                <a:gd name="T3" fmla="*/ 0 h 88"/>
                <a:gd name="T4" fmla="*/ 0 w 65"/>
                <a:gd name="T5" fmla="*/ 88 h 88"/>
                <a:gd name="T6" fmla="*/ 65 w 65"/>
                <a:gd name="T7" fmla="*/ 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65" y="5"/>
                  </a:moveTo>
                  <a:lnTo>
                    <a:pt x="58" y="0"/>
                  </a:lnTo>
                  <a:lnTo>
                    <a:pt x="0" y="88"/>
                  </a:lnTo>
                  <a:lnTo>
                    <a:pt x="65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3" name="Freeform 385">
              <a:extLst>
                <a:ext uri="{FF2B5EF4-FFF2-40B4-BE49-F238E27FC236}">
                  <a16:creationId xmlns:a16="http://schemas.microsoft.com/office/drawing/2014/main" id="{01330526-24A1-4D86-8DA4-76324343315F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8 w 58"/>
                <a:gd name="T1" fmla="*/ 5 h 93"/>
                <a:gd name="T2" fmla="*/ 50 w 58"/>
                <a:gd name="T3" fmla="*/ 0 h 93"/>
                <a:gd name="T4" fmla="*/ 0 w 58"/>
                <a:gd name="T5" fmla="*/ 93 h 93"/>
                <a:gd name="T6" fmla="*/ 58 w 58"/>
                <a:gd name="T7" fmla="*/ 5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3">
                  <a:moveTo>
                    <a:pt x="58" y="5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8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4" name="Freeform 386">
              <a:extLst>
                <a:ext uri="{FF2B5EF4-FFF2-40B4-BE49-F238E27FC236}">
                  <a16:creationId xmlns:a16="http://schemas.microsoft.com/office/drawing/2014/main" id="{F3EE9723-0910-45BC-9D9F-D248CFEF5C93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0 w 50"/>
                <a:gd name="T1" fmla="*/ 4 h 97"/>
                <a:gd name="T2" fmla="*/ 42 w 50"/>
                <a:gd name="T3" fmla="*/ 0 h 97"/>
                <a:gd name="T4" fmla="*/ 0 w 50"/>
                <a:gd name="T5" fmla="*/ 97 h 97"/>
                <a:gd name="T6" fmla="*/ 50 w 50"/>
                <a:gd name="T7" fmla="*/ 4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7">
                  <a:moveTo>
                    <a:pt x="50" y="4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50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5" name="Freeform 387">
              <a:extLst>
                <a:ext uri="{FF2B5EF4-FFF2-40B4-BE49-F238E27FC236}">
                  <a16:creationId xmlns:a16="http://schemas.microsoft.com/office/drawing/2014/main" id="{D98C1DD5-42F3-4EAA-921D-6625DFCFE061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4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4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6" name="Freeform 388">
              <a:extLst>
                <a:ext uri="{FF2B5EF4-FFF2-40B4-BE49-F238E27FC236}">
                  <a16:creationId xmlns:a16="http://schemas.microsoft.com/office/drawing/2014/main" id="{EC6E6464-0893-458D-94F3-73048207E837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34 w 34"/>
                <a:gd name="T1" fmla="*/ 2 h 102"/>
                <a:gd name="T2" fmla="*/ 26 w 34"/>
                <a:gd name="T3" fmla="*/ 0 h 102"/>
                <a:gd name="T4" fmla="*/ 0 w 34"/>
                <a:gd name="T5" fmla="*/ 102 h 102"/>
                <a:gd name="T6" fmla="*/ 34 w 34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34" y="2"/>
                  </a:moveTo>
                  <a:lnTo>
                    <a:pt x="26" y="0"/>
                  </a:lnTo>
                  <a:lnTo>
                    <a:pt x="0" y="102"/>
                  </a:lnTo>
                  <a:lnTo>
                    <a:pt x="34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7" name="Freeform 389">
              <a:extLst>
                <a:ext uri="{FF2B5EF4-FFF2-40B4-BE49-F238E27FC236}">
                  <a16:creationId xmlns:a16="http://schemas.microsoft.com/office/drawing/2014/main" id="{D360E81F-07DB-4E54-915E-C6D3874E87CB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26 w 26"/>
                <a:gd name="T1" fmla="*/ 2 h 104"/>
                <a:gd name="T2" fmla="*/ 17 w 26"/>
                <a:gd name="T3" fmla="*/ 0 h 104"/>
                <a:gd name="T4" fmla="*/ 0 w 26"/>
                <a:gd name="T5" fmla="*/ 104 h 104"/>
                <a:gd name="T6" fmla="*/ 26 w 26"/>
                <a:gd name="T7" fmla="*/ 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26" y="2"/>
                  </a:moveTo>
                  <a:lnTo>
                    <a:pt x="17" y="0"/>
                  </a:lnTo>
                  <a:lnTo>
                    <a:pt x="0" y="104"/>
                  </a:lnTo>
                  <a:lnTo>
                    <a:pt x="26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8" name="Freeform 390">
              <a:extLst>
                <a:ext uri="{FF2B5EF4-FFF2-40B4-BE49-F238E27FC236}">
                  <a16:creationId xmlns:a16="http://schemas.microsoft.com/office/drawing/2014/main" id="{D2B6552C-B560-4B4E-9861-469BAA3139F5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17 w 17"/>
                <a:gd name="T1" fmla="*/ 1 h 105"/>
                <a:gd name="T2" fmla="*/ 9 w 17"/>
                <a:gd name="T3" fmla="*/ 0 h 105"/>
                <a:gd name="T4" fmla="*/ 0 w 17"/>
                <a:gd name="T5" fmla="*/ 105 h 105"/>
                <a:gd name="T6" fmla="*/ 17 w 17"/>
                <a:gd name="T7" fmla="*/ 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17" y="1"/>
                  </a:moveTo>
                  <a:lnTo>
                    <a:pt x="9" y="0"/>
                  </a:lnTo>
                  <a:lnTo>
                    <a:pt x="0" y="105"/>
                  </a:lnTo>
                  <a:lnTo>
                    <a:pt x="1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9" name="Freeform 391">
              <a:extLst>
                <a:ext uri="{FF2B5EF4-FFF2-40B4-BE49-F238E27FC236}">
                  <a16:creationId xmlns:a16="http://schemas.microsoft.com/office/drawing/2014/main" id="{CD8E5C96-14E7-40F8-B486-0DE21B51482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1 h 106"/>
                <a:gd name="T2" fmla="*/ 0 w 9"/>
                <a:gd name="T3" fmla="*/ 0 h 106"/>
                <a:gd name="T4" fmla="*/ 0 w 9"/>
                <a:gd name="T5" fmla="*/ 106 h 106"/>
                <a:gd name="T6" fmla="*/ 9 w 9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0" name="Freeform 392">
              <a:extLst>
                <a:ext uri="{FF2B5EF4-FFF2-40B4-BE49-F238E27FC236}">
                  <a16:creationId xmlns:a16="http://schemas.microsoft.com/office/drawing/2014/main" id="{493FD066-2665-4999-B73F-AB30836D5997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0 h 106"/>
                <a:gd name="T2" fmla="*/ 0 w 9"/>
                <a:gd name="T3" fmla="*/ 1 h 106"/>
                <a:gd name="T4" fmla="*/ 9 w 9"/>
                <a:gd name="T5" fmla="*/ 106 h 106"/>
                <a:gd name="T6" fmla="*/ 9 w 9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0"/>
                  </a:moveTo>
                  <a:lnTo>
                    <a:pt x="0" y="1"/>
                  </a:lnTo>
                  <a:lnTo>
                    <a:pt x="9" y="106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1" name="Freeform 393">
              <a:extLst>
                <a:ext uri="{FF2B5EF4-FFF2-40B4-BE49-F238E27FC236}">
                  <a16:creationId xmlns:a16="http://schemas.microsoft.com/office/drawing/2014/main" id="{FCE60CF4-2669-4C65-B4F2-4E75FB23D6F2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18"/>
                <a:gd name="T1" fmla="*/ 0 h 105"/>
                <a:gd name="T2" fmla="*/ 0 w 18"/>
                <a:gd name="T3" fmla="*/ 1 h 105"/>
                <a:gd name="T4" fmla="*/ 18 w 18"/>
                <a:gd name="T5" fmla="*/ 105 h 105"/>
                <a:gd name="T6" fmla="*/ 9 w 18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9" y="0"/>
                  </a:moveTo>
                  <a:lnTo>
                    <a:pt x="0" y="1"/>
                  </a:lnTo>
                  <a:lnTo>
                    <a:pt x="18" y="105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2" name="Freeform 394">
              <a:extLst>
                <a:ext uri="{FF2B5EF4-FFF2-40B4-BE49-F238E27FC236}">
                  <a16:creationId xmlns:a16="http://schemas.microsoft.com/office/drawing/2014/main" id="{D222DA17-E251-4E7A-A77D-64A212F1DCCB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27"/>
                <a:gd name="T1" fmla="*/ 0 h 104"/>
                <a:gd name="T2" fmla="*/ 0 w 27"/>
                <a:gd name="T3" fmla="*/ 2 h 104"/>
                <a:gd name="T4" fmla="*/ 27 w 27"/>
                <a:gd name="T5" fmla="*/ 104 h 104"/>
                <a:gd name="T6" fmla="*/ 9 w 27"/>
                <a:gd name="T7" fmla="*/ 0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9" y="0"/>
                  </a:moveTo>
                  <a:lnTo>
                    <a:pt x="0" y="2"/>
                  </a:lnTo>
                  <a:lnTo>
                    <a:pt x="27" y="104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3" name="Freeform 395">
              <a:extLst>
                <a:ext uri="{FF2B5EF4-FFF2-40B4-BE49-F238E27FC236}">
                  <a16:creationId xmlns:a16="http://schemas.microsoft.com/office/drawing/2014/main" id="{3CDA17FD-EB0D-4B0F-AB32-6499A584B7D2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8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8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8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4" name="Freeform 396">
              <a:extLst>
                <a:ext uri="{FF2B5EF4-FFF2-40B4-BE49-F238E27FC236}">
                  <a16:creationId xmlns:a16="http://schemas.microsoft.com/office/drawing/2014/main" id="{D188FE78-5E38-4476-B324-FE76B05643FB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43"/>
                <a:gd name="T1" fmla="*/ 0 h 100"/>
                <a:gd name="T2" fmla="*/ 0 w 43"/>
                <a:gd name="T3" fmla="*/ 3 h 100"/>
                <a:gd name="T4" fmla="*/ 43 w 43"/>
                <a:gd name="T5" fmla="*/ 100 h 100"/>
                <a:gd name="T6" fmla="*/ 8 w 43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100">
                  <a:moveTo>
                    <a:pt x="8" y="0"/>
                  </a:moveTo>
                  <a:lnTo>
                    <a:pt x="0" y="3"/>
                  </a:lnTo>
                  <a:lnTo>
                    <a:pt x="43" y="100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5" name="Freeform 397">
              <a:extLst>
                <a:ext uri="{FF2B5EF4-FFF2-40B4-BE49-F238E27FC236}">
                  <a16:creationId xmlns:a16="http://schemas.microsoft.com/office/drawing/2014/main" id="{84BF5A3B-9C2B-4DA7-98D9-4BF5C30C3FBB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1"/>
                <a:gd name="T1" fmla="*/ 0 h 97"/>
                <a:gd name="T2" fmla="*/ 0 w 51"/>
                <a:gd name="T3" fmla="*/ 4 h 97"/>
                <a:gd name="T4" fmla="*/ 51 w 51"/>
                <a:gd name="T5" fmla="*/ 97 h 97"/>
                <a:gd name="T6" fmla="*/ 8 w 51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7">
                  <a:moveTo>
                    <a:pt x="8" y="0"/>
                  </a:moveTo>
                  <a:lnTo>
                    <a:pt x="0" y="4"/>
                  </a:lnTo>
                  <a:lnTo>
                    <a:pt x="51" y="97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6" name="Freeform 398">
              <a:extLst>
                <a:ext uri="{FF2B5EF4-FFF2-40B4-BE49-F238E27FC236}">
                  <a16:creationId xmlns:a16="http://schemas.microsoft.com/office/drawing/2014/main" id="{69396BA4-834B-4E6E-B130-12BBD972A869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9"/>
                <a:gd name="T1" fmla="*/ 0 h 93"/>
                <a:gd name="T2" fmla="*/ 0 w 59"/>
                <a:gd name="T3" fmla="*/ 5 h 93"/>
                <a:gd name="T4" fmla="*/ 59 w 59"/>
                <a:gd name="T5" fmla="*/ 93 h 93"/>
                <a:gd name="T6" fmla="*/ 8 w 59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3">
                  <a:moveTo>
                    <a:pt x="8" y="0"/>
                  </a:moveTo>
                  <a:lnTo>
                    <a:pt x="0" y="5"/>
                  </a:lnTo>
                  <a:lnTo>
                    <a:pt x="59" y="9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7" name="Freeform 399">
              <a:extLst>
                <a:ext uri="{FF2B5EF4-FFF2-40B4-BE49-F238E27FC236}">
                  <a16:creationId xmlns:a16="http://schemas.microsoft.com/office/drawing/2014/main" id="{E01F4DA7-79ED-4AD3-9A3D-876338C73DDE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7 w 66"/>
                <a:gd name="T1" fmla="*/ 0 h 88"/>
                <a:gd name="T2" fmla="*/ 0 w 66"/>
                <a:gd name="T3" fmla="*/ 5 h 88"/>
                <a:gd name="T4" fmla="*/ 66 w 66"/>
                <a:gd name="T5" fmla="*/ 88 h 88"/>
                <a:gd name="T6" fmla="*/ 7 w 66"/>
                <a:gd name="T7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7" y="0"/>
                  </a:moveTo>
                  <a:lnTo>
                    <a:pt x="0" y="5"/>
                  </a:lnTo>
                  <a:lnTo>
                    <a:pt x="66" y="88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8" name="Freeform 400">
              <a:extLst>
                <a:ext uri="{FF2B5EF4-FFF2-40B4-BE49-F238E27FC236}">
                  <a16:creationId xmlns:a16="http://schemas.microsoft.com/office/drawing/2014/main" id="{522C77F8-10B5-4D07-A94E-EF5EAAF99B1B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6 w 72"/>
                <a:gd name="T1" fmla="*/ 0 h 83"/>
                <a:gd name="T2" fmla="*/ 0 w 72"/>
                <a:gd name="T3" fmla="*/ 5 h 83"/>
                <a:gd name="T4" fmla="*/ 72 w 72"/>
                <a:gd name="T5" fmla="*/ 83 h 83"/>
                <a:gd name="T6" fmla="*/ 6 w 72"/>
                <a:gd name="T7" fmla="*/ 0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6" y="0"/>
                  </a:moveTo>
                  <a:lnTo>
                    <a:pt x="0" y="5"/>
                  </a:lnTo>
                  <a:lnTo>
                    <a:pt x="72" y="83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9" name="Freeform 401">
              <a:extLst>
                <a:ext uri="{FF2B5EF4-FFF2-40B4-BE49-F238E27FC236}">
                  <a16:creationId xmlns:a16="http://schemas.microsoft.com/office/drawing/2014/main" id="{BD848E0B-32A2-4969-844F-F0FF3548543C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78"/>
                <a:gd name="T1" fmla="*/ 0 h 78"/>
                <a:gd name="T2" fmla="*/ 0 w 78"/>
                <a:gd name="T3" fmla="*/ 6 h 78"/>
                <a:gd name="T4" fmla="*/ 78 w 78"/>
                <a:gd name="T5" fmla="*/ 78 h 78"/>
                <a:gd name="T6" fmla="*/ 6 w 78"/>
                <a:gd name="T7" fmla="*/ 0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8">
                  <a:moveTo>
                    <a:pt x="6" y="0"/>
                  </a:moveTo>
                  <a:lnTo>
                    <a:pt x="0" y="6"/>
                  </a:lnTo>
                  <a:lnTo>
                    <a:pt x="78" y="78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0" name="Freeform 402">
              <a:extLst>
                <a:ext uri="{FF2B5EF4-FFF2-40B4-BE49-F238E27FC236}">
                  <a16:creationId xmlns:a16="http://schemas.microsoft.com/office/drawing/2014/main" id="{8F098B08-17FB-43D9-ABE9-5320ECF9C99A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84"/>
                <a:gd name="T1" fmla="*/ 0 h 72"/>
                <a:gd name="T2" fmla="*/ 0 w 84"/>
                <a:gd name="T3" fmla="*/ 7 h 72"/>
                <a:gd name="T4" fmla="*/ 84 w 84"/>
                <a:gd name="T5" fmla="*/ 72 h 72"/>
                <a:gd name="T6" fmla="*/ 6 w 84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2">
                  <a:moveTo>
                    <a:pt x="6" y="0"/>
                  </a:moveTo>
                  <a:lnTo>
                    <a:pt x="0" y="7"/>
                  </a:lnTo>
                  <a:lnTo>
                    <a:pt x="84" y="7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1" name="Freeform 403">
              <a:extLst>
                <a:ext uri="{FF2B5EF4-FFF2-40B4-BE49-F238E27FC236}">
                  <a16:creationId xmlns:a16="http://schemas.microsoft.com/office/drawing/2014/main" id="{17C7AC2E-940F-47A3-8887-715D0531D6D9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89"/>
                <a:gd name="T1" fmla="*/ 0 h 65"/>
                <a:gd name="T2" fmla="*/ 0 w 89"/>
                <a:gd name="T3" fmla="*/ 7 h 65"/>
                <a:gd name="T4" fmla="*/ 89 w 89"/>
                <a:gd name="T5" fmla="*/ 65 h 65"/>
                <a:gd name="T6" fmla="*/ 5 w 89"/>
                <a:gd name="T7" fmla="*/ 0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5">
                  <a:moveTo>
                    <a:pt x="5" y="0"/>
                  </a:moveTo>
                  <a:lnTo>
                    <a:pt x="0" y="7"/>
                  </a:lnTo>
                  <a:lnTo>
                    <a:pt x="89" y="65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2" name="Freeform 404">
              <a:extLst>
                <a:ext uri="{FF2B5EF4-FFF2-40B4-BE49-F238E27FC236}">
                  <a16:creationId xmlns:a16="http://schemas.microsoft.com/office/drawing/2014/main" id="{8018BA8F-29FC-41D4-B50F-F7955BD11CE9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94"/>
                <a:gd name="T1" fmla="*/ 0 h 58"/>
                <a:gd name="T2" fmla="*/ 0 w 94"/>
                <a:gd name="T3" fmla="*/ 8 h 58"/>
                <a:gd name="T4" fmla="*/ 94 w 94"/>
                <a:gd name="T5" fmla="*/ 58 h 58"/>
                <a:gd name="T6" fmla="*/ 5 w 94"/>
                <a:gd name="T7" fmla="*/ 0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8">
                  <a:moveTo>
                    <a:pt x="5" y="0"/>
                  </a:moveTo>
                  <a:lnTo>
                    <a:pt x="0" y="8"/>
                  </a:lnTo>
                  <a:lnTo>
                    <a:pt x="94" y="58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3" name="Freeform 405">
              <a:extLst>
                <a:ext uri="{FF2B5EF4-FFF2-40B4-BE49-F238E27FC236}">
                  <a16:creationId xmlns:a16="http://schemas.microsoft.com/office/drawing/2014/main" id="{3A0643CB-526A-4CAC-8588-594B2759BED6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3 w 97"/>
                <a:gd name="T1" fmla="*/ 0 h 50"/>
                <a:gd name="T2" fmla="*/ 0 w 97"/>
                <a:gd name="T3" fmla="*/ 7 h 50"/>
                <a:gd name="T4" fmla="*/ 97 w 97"/>
                <a:gd name="T5" fmla="*/ 50 h 50"/>
                <a:gd name="T6" fmla="*/ 3 w 97"/>
                <a:gd name="T7" fmla="*/ 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3" y="0"/>
                  </a:moveTo>
                  <a:lnTo>
                    <a:pt x="0" y="7"/>
                  </a:lnTo>
                  <a:lnTo>
                    <a:pt x="97" y="5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4" name="Freeform 406">
              <a:extLst>
                <a:ext uri="{FF2B5EF4-FFF2-40B4-BE49-F238E27FC236}">
                  <a16:creationId xmlns:a16="http://schemas.microsoft.com/office/drawing/2014/main" id="{0A82C759-87F1-4556-AD17-E9550961654C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4 w 101"/>
                <a:gd name="T1" fmla="*/ 0 h 43"/>
                <a:gd name="T2" fmla="*/ 0 w 101"/>
                <a:gd name="T3" fmla="*/ 8 h 43"/>
                <a:gd name="T4" fmla="*/ 101 w 101"/>
                <a:gd name="T5" fmla="*/ 43 h 43"/>
                <a:gd name="T6" fmla="*/ 4 w 101"/>
                <a:gd name="T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3">
                  <a:moveTo>
                    <a:pt x="4" y="0"/>
                  </a:moveTo>
                  <a:lnTo>
                    <a:pt x="0" y="8"/>
                  </a:lnTo>
                  <a:lnTo>
                    <a:pt x="101" y="43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5" name="Freeform 407">
              <a:extLst>
                <a:ext uri="{FF2B5EF4-FFF2-40B4-BE49-F238E27FC236}">
                  <a16:creationId xmlns:a16="http://schemas.microsoft.com/office/drawing/2014/main" id="{4499294D-3485-4BA4-9417-CE5452BB53F8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3"/>
                <a:gd name="T1" fmla="*/ 0 h 35"/>
                <a:gd name="T2" fmla="*/ 0 w 103"/>
                <a:gd name="T3" fmla="*/ 9 h 35"/>
                <a:gd name="T4" fmla="*/ 103 w 103"/>
                <a:gd name="T5" fmla="*/ 35 h 35"/>
                <a:gd name="T6" fmla="*/ 2 w 103"/>
                <a:gd name="T7" fmla="*/ 0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5">
                  <a:moveTo>
                    <a:pt x="2" y="0"/>
                  </a:moveTo>
                  <a:lnTo>
                    <a:pt x="0" y="9"/>
                  </a:lnTo>
                  <a:lnTo>
                    <a:pt x="103" y="35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6" name="Freeform 408">
              <a:extLst>
                <a:ext uri="{FF2B5EF4-FFF2-40B4-BE49-F238E27FC236}">
                  <a16:creationId xmlns:a16="http://schemas.microsoft.com/office/drawing/2014/main" id="{2D75DCB9-891B-4787-9F9D-1EFEBEDC465F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5"/>
                <a:gd name="T1" fmla="*/ 0 h 26"/>
                <a:gd name="T2" fmla="*/ 0 w 105"/>
                <a:gd name="T3" fmla="*/ 8 h 26"/>
                <a:gd name="T4" fmla="*/ 105 w 105"/>
                <a:gd name="T5" fmla="*/ 26 h 26"/>
                <a:gd name="T6" fmla="*/ 2 w 105"/>
                <a:gd name="T7" fmla="*/ 0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2" y="0"/>
                  </a:moveTo>
                  <a:lnTo>
                    <a:pt x="0" y="8"/>
                  </a:lnTo>
                  <a:lnTo>
                    <a:pt x="105" y="2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7" name="Freeform 409">
              <a:extLst>
                <a:ext uri="{FF2B5EF4-FFF2-40B4-BE49-F238E27FC236}">
                  <a16:creationId xmlns:a16="http://schemas.microsoft.com/office/drawing/2014/main" id="{07EBB408-36EA-478C-98FF-65637854EE30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1 w 106"/>
                <a:gd name="T1" fmla="*/ 0 h 18"/>
                <a:gd name="T2" fmla="*/ 0 w 106"/>
                <a:gd name="T3" fmla="*/ 9 h 18"/>
                <a:gd name="T4" fmla="*/ 106 w 106"/>
                <a:gd name="T5" fmla="*/ 18 h 18"/>
                <a:gd name="T6" fmla="*/ 1 w 106"/>
                <a:gd name="T7" fmla="*/ 0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8">
                  <a:moveTo>
                    <a:pt x="1" y="0"/>
                  </a:moveTo>
                  <a:lnTo>
                    <a:pt x="0" y="9"/>
                  </a:lnTo>
                  <a:lnTo>
                    <a:pt x="106" y="18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8" name="Freeform 410">
              <a:extLst>
                <a:ext uri="{FF2B5EF4-FFF2-40B4-BE49-F238E27FC236}">
                  <a16:creationId xmlns:a16="http://schemas.microsoft.com/office/drawing/2014/main" id="{389DE1BA-DE1C-4B82-93A6-4C6DFFE55D6D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9"/>
                <a:gd name="T2" fmla="*/ 0 w 106"/>
                <a:gd name="T3" fmla="*/ 9 h 9"/>
                <a:gd name="T4" fmla="*/ 106 w 106"/>
                <a:gd name="T5" fmla="*/ 9 h 9"/>
                <a:gd name="T6" fmla="*/ 0 w 106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9">
                  <a:moveTo>
                    <a:pt x="0" y="0"/>
                  </a:moveTo>
                  <a:lnTo>
                    <a:pt x="0" y="9"/>
                  </a:lnTo>
                  <a:lnTo>
                    <a:pt x="106" y="9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9" name="Freeform 411">
              <a:extLst>
                <a:ext uri="{FF2B5EF4-FFF2-40B4-BE49-F238E27FC236}">
                  <a16:creationId xmlns:a16="http://schemas.microsoft.com/office/drawing/2014/main" id="{EFC966E1-3C03-402D-8E08-59884A351986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8"/>
                <a:gd name="T2" fmla="*/ 0 w 106"/>
                <a:gd name="T3" fmla="*/ 8 h 8"/>
                <a:gd name="T4" fmla="*/ 106 w 106"/>
                <a:gd name="T5" fmla="*/ 0 h 8"/>
                <a:gd name="T6" fmla="*/ 0 w 106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8">
                  <a:moveTo>
                    <a:pt x="0" y="0"/>
                  </a:moveTo>
                  <a:lnTo>
                    <a:pt x="0" y="8"/>
                  </a:lnTo>
                  <a:lnTo>
                    <a:pt x="10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0" name="Freeform 412">
              <a:extLst>
                <a:ext uri="{FF2B5EF4-FFF2-40B4-BE49-F238E27FC236}">
                  <a16:creationId xmlns:a16="http://schemas.microsoft.com/office/drawing/2014/main" id="{CF75DAEE-BAA1-40ED-B57F-C059F9B9E8BC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8 h 17"/>
                <a:gd name="T2" fmla="*/ 1 w 106"/>
                <a:gd name="T3" fmla="*/ 17 h 17"/>
                <a:gd name="T4" fmla="*/ 106 w 106"/>
                <a:gd name="T5" fmla="*/ 0 h 17"/>
                <a:gd name="T6" fmla="*/ 0 w 106"/>
                <a:gd name="T7" fmla="*/ 8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7">
                  <a:moveTo>
                    <a:pt x="0" y="8"/>
                  </a:moveTo>
                  <a:lnTo>
                    <a:pt x="1" y="17"/>
                  </a:lnTo>
                  <a:lnTo>
                    <a:pt x="106" y="0"/>
                  </a:lnTo>
                  <a:lnTo>
                    <a:pt x="0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1" name="Freeform 413">
              <a:extLst>
                <a:ext uri="{FF2B5EF4-FFF2-40B4-BE49-F238E27FC236}">
                  <a16:creationId xmlns:a16="http://schemas.microsoft.com/office/drawing/2014/main" id="{33CFB051-5523-45D5-8C41-63CC7544B2D8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5"/>
                <a:gd name="T1" fmla="*/ 17 h 26"/>
                <a:gd name="T2" fmla="*/ 2 w 105"/>
                <a:gd name="T3" fmla="*/ 26 h 26"/>
                <a:gd name="T4" fmla="*/ 105 w 105"/>
                <a:gd name="T5" fmla="*/ 0 h 26"/>
                <a:gd name="T6" fmla="*/ 0 w 105"/>
                <a:gd name="T7" fmla="*/ 17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0" y="17"/>
                  </a:moveTo>
                  <a:lnTo>
                    <a:pt x="2" y="26"/>
                  </a:lnTo>
                  <a:lnTo>
                    <a:pt x="105" y="0"/>
                  </a:lnTo>
                  <a:lnTo>
                    <a:pt x="0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2" name="Freeform 414">
              <a:extLst>
                <a:ext uri="{FF2B5EF4-FFF2-40B4-BE49-F238E27FC236}">
                  <a16:creationId xmlns:a16="http://schemas.microsoft.com/office/drawing/2014/main" id="{7855A0E6-AA9E-4D6F-8AFE-65D1F9147326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3"/>
                <a:gd name="T1" fmla="*/ 26 h 34"/>
                <a:gd name="T2" fmla="*/ 2 w 103"/>
                <a:gd name="T3" fmla="*/ 34 h 34"/>
                <a:gd name="T4" fmla="*/ 103 w 103"/>
                <a:gd name="T5" fmla="*/ 0 h 34"/>
                <a:gd name="T6" fmla="*/ 0 w 103"/>
                <a:gd name="T7" fmla="*/ 26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4">
                  <a:moveTo>
                    <a:pt x="0" y="26"/>
                  </a:moveTo>
                  <a:lnTo>
                    <a:pt x="2" y="34"/>
                  </a:lnTo>
                  <a:lnTo>
                    <a:pt x="103" y="0"/>
                  </a:lnTo>
                  <a:lnTo>
                    <a:pt x="0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3" name="Freeform 415">
              <a:extLst>
                <a:ext uri="{FF2B5EF4-FFF2-40B4-BE49-F238E27FC236}">
                  <a16:creationId xmlns:a16="http://schemas.microsoft.com/office/drawing/2014/main" id="{56821B84-1BA4-4E05-8E9E-E46A02F64265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1"/>
            </a:xfrm>
            <a:custGeom>
              <a:avLst/>
              <a:gdLst>
                <a:gd name="T0" fmla="*/ 0 w 101"/>
                <a:gd name="T1" fmla="*/ 34 h 42"/>
                <a:gd name="T2" fmla="*/ 4 w 101"/>
                <a:gd name="T3" fmla="*/ 42 h 42"/>
                <a:gd name="T4" fmla="*/ 101 w 101"/>
                <a:gd name="T5" fmla="*/ 0 h 42"/>
                <a:gd name="T6" fmla="*/ 0 w 101"/>
                <a:gd name="T7" fmla="*/ 34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2">
                  <a:moveTo>
                    <a:pt x="0" y="34"/>
                  </a:moveTo>
                  <a:lnTo>
                    <a:pt x="4" y="42"/>
                  </a:lnTo>
                  <a:lnTo>
                    <a:pt x="101" y="0"/>
                  </a:lnTo>
                  <a:lnTo>
                    <a:pt x="0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4" name="Freeform 416">
              <a:extLst>
                <a:ext uri="{FF2B5EF4-FFF2-40B4-BE49-F238E27FC236}">
                  <a16:creationId xmlns:a16="http://schemas.microsoft.com/office/drawing/2014/main" id="{45E3F21F-5E6D-4FCF-8738-A0E5F322971C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7"/>
                <a:gd name="T1" fmla="*/ 42 h 50"/>
                <a:gd name="T2" fmla="*/ 3 w 97"/>
                <a:gd name="T3" fmla="*/ 50 h 50"/>
                <a:gd name="T4" fmla="*/ 97 w 97"/>
                <a:gd name="T5" fmla="*/ 0 h 50"/>
                <a:gd name="T6" fmla="*/ 0 w 97"/>
                <a:gd name="T7" fmla="*/ 42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0" y="42"/>
                  </a:moveTo>
                  <a:lnTo>
                    <a:pt x="3" y="50"/>
                  </a:lnTo>
                  <a:lnTo>
                    <a:pt x="97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5" name="Freeform 417">
              <a:extLst>
                <a:ext uri="{FF2B5EF4-FFF2-40B4-BE49-F238E27FC236}">
                  <a16:creationId xmlns:a16="http://schemas.microsoft.com/office/drawing/2014/main" id="{FC8C6442-C87B-4612-B98E-D634AE59D6C8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4"/>
                <a:gd name="T1" fmla="*/ 50 h 57"/>
                <a:gd name="T2" fmla="*/ 5 w 94"/>
                <a:gd name="T3" fmla="*/ 57 h 57"/>
                <a:gd name="T4" fmla="*/ 94 w 94"/>
                <a:gd name="T5" fmla="*/ 0 h 57"/>
                <a:gd name="T6" fmla="*/ 0 w 94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7">
                  <a:moveTo>
                    <a:pt x="0" y="50"/>
                  </a:moveTo>
                  <a:lnTo>
                    <a:pt x="5" y="57"/>
                  </a:lnTo>
                  <a:lnTo>
                    <a:pt x="94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6" name="Freeform 418">
              <a:extLst>
                <a:ext uri="{FF2B5EF4-FFF2-40B4-BE49-F238E27FC236}">
                  <a16:creationId xmlns:a16="http://schemas.microsoft.com/office/drawing/2014/main" id="{22972FA8-43BE-41A8-AF2A-0CAC876D150E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9"/>
                <a:gd name="T1" fmla="*/ 57 h 64"/>
                <a:gd name="T2" fmla="*/ 5 w 89"/>
                <a:gd name="T3" fmla="*/ 64 h 64"/>
                <a:gd name="T4" fmla="*/ 89 w 89"/>
                <a:gd name="T5" fmla="*/ 0 h 64"/>
                <a:gd name="T6" fmla="*/ 0 w 89"/>
                <a:gd name="T7" fmla="*/ 57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4">
                  <a:moveTo>
                    <a:pt x="0" y="57"/>
                  </a:moveTo>
                  <a:lnTo>
                    <a:pt x="5" y="64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7" name="Freeform 419">
              <a:extLst>
                <a:ext uri="{FF2B5EF4-FFF2-40B4-BE49-F238E27FC236}">
                  <a16:creationId xmlns:a16="http://schemas.microsoft.com/office/drawing/2014/main" id="{44AE7A3A-DA33-41E0-A7C8-36503FF97718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4"/>
                <a:gd name="T1" fmla="*/ 64 h 71"/>
                <a:gd name="T2" fmla="*/ 6 w 84"/>
                <a:gd name="T3" fmla="*/ 71 h 71"/>
                <a:gd name="T4" fmla="*/ 84 w 84"/>
                <a:gd name="T5" fmla="*/ 0 h 71"/>
                <a:gd name="T6" fmla="*/ 0 w 84"/>
                <a:gd name="T7" fmla="*/ 64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1">
                  <a:moveTo>
                    <a:pt x="0" y="64"/>
                  </a:moveTo>
                  <a:lnTo>
                    <a:pt x="6" y="71"/>
                  </a:lnTo>
                  <a:lnTo>
                    <a:pt x="84" y="0"/>
                  </a:lnTo>
                  <a:lnTo>
                    <a:pt x="0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8" name="Freeform 420">
              <a:extLst>
                <a:ext uri="{FF2B5EF4-FFF2-40B4-BE49-F238E27FC236}">
                  <a16:creationId xmlns:a16="http://schemas.microsoft.com/office/drawing/2014/main" id="{3937C127-C8DE-42E5-9BAB-7EF48C59DF12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8"/>
                <a:gd name="T1" fmla="*/ 71 h 77"/>
                <a:gd name="T2" fmla="*/ 6 w 78"/>
                <a:gd name="T3" fmla="*/ 77 h 77"/>
                <a:gd name="T4" fmla="*/ 78 w 78"/>
                <a:gd name="T5" fmla="*/ 0 h 77"/>
                <a:gd name="T6" fmla="*/ 0 w 78"/>
                <a:gd name="T7" fmla="*/ 71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7">
                  <a:moveTo>
                    <a:pt x="0" y="71"/>
                  </a:moveTo>
                  <a:lnTo>
                    <a:pt x="6" y="77"/>
                  </a:lnTo>
                  <a:lnTo>
                    <a:pt x="78" y="0"/>
                  </a:lnTo>
                  <a:lnTo>
                    <a:pt x="0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9" name="Freeform 421">
              <a:extLst>
                <a:ext uri="{FF2B5EF4-FFF2-40B4-BE49-F238E27FC236}">
                  <a16:creationId xmlns:a16="http://schemas.microsoft.com/office/drawing/2014/main" id="{D6249037-E77A-44CD-A9A6-92E2538BC4DC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2"/>
                <a:gd name="T1" fmla="*/ 77 h 83"/>
                <a:gd name="T2" fmla="*/ 6 w 72"/>
                <a:gd name="T3" fmla="*/ 83 h 83"/>
                <a:gd name="T4" fmla="*/ 72 w 72"/>
                <a:gd name="T5" fmla="*/ 0 h 83"/>
                <a:gd name="T6" fmla="*/ 0 w 72"/>
                <a:gd name="T7" fmla="*/ 77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0" y="77"/>
                  </a:moveTo>
                  <a:lnTo>
                    <a:pt x="6" y="83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0" name="Freeform 422">
              <a:extLst>
                <a:ext uri="{FF2B5EF4-FFF2-40B4-BE49-F238E27FC236}">
                  <a16:creationId xmlns:a16="http://schemas.microsoft.com/office/drawing/2014/main" id="{F81B1997-464E-4FEA-B154-A7D949200A52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66"/>
                <a:gd name="T1" fmla="*/ 83 h 88"/>
                <a:gd name="T2" fmla="*/ 7 w 66"/>
                <a:gd name="T3" fmla="*/ 88 h 88"/>
                <a:gd name="T4" fmla="*/ 66 w 66"/>
                <a:gd name="T5" fmla="*/ 0 h 88"/>
                <a:gd name="T6" fmla="*/ 0 w 66"/>
                <a:gd name="T7" fmla="*/ 83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0" y="83"/>
                  </a:moveTo>
                  <a:lnTo>
                    <a:pt x="7" y="88"/>
                  </a:lnTo>
                  <a:lnTo>
                    <a:pt x="66" y="0"/>
                  </a:lnTo>
                  <a:lnTo>
                    <a:pt x="0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1" name="Freeform 423">
              <a:extLst>
                <a:ext uri="{FF2B5EF4-FFF2-40B4-BE49-F238E27FC236}">
                  <a16:creationId xmlns:a16="http://schemas.microsoft.com/office/drawing/2014/main" id="{EEA0510F-A133-4ACE-8892-94F195B2BC86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9"/>
                <a:gd name="T1" fmla="*/ 88 h 92"/>
                <a:gd name="T2" fmla="*/ 8 w 59"/>
                <a:gd name="T3" fmla="*/ 92 h 92"/>
                <a:gd name="T4" fmla="*/ 59 w 59"/>
                <a:gd name="T5" fmla="*/ 0 h 92"/>
                <a:gd name="T6" fmla="*/ 0 w 59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2">
                  <a:moveTo>
                    <a:pt x="0" y="88"/>
                  </a:moveTo>
                  <a:lnTo>
                    <a:pt x="8" y="92"/>
                  </a:lnTo>
                  <a:lnTo>
                    <a:pt x="59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2" name="Freeform 424">
              <a:extLst>
                <a:ext uri="{FF2B5EF4-FFF2-40B4-BE49-F238E27FC236}">
                  <a16:creationId xmlns:a16="http://schemas.microsoft.com/office/drawing/2014/main" id="{82BA7329-E0B2-4373-969B-12BF3F7AFF19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1"/>
                <a:gd name="T1" fmla="*/ 92 h 96"/>
                <a:gd name="T2" fmla="*/ 8 w 51"/>
                <a:gd name="T3" fmla="*/ 96 h 96"/>
                <a:gd name="T4" fmla="*/ 51 w 51"/>
                <a:gd name="T5" fmla="*/ 0 h 96"/>
                <a:gd name="T6" fmla="*/ 0 w 51"/>
                <a:gd name="T7" fmla="*/ 92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6">
                  <a:moveTo>
                    <a:pt x="0" y="92"/>
                  </a:moveTo>
                  <a:lnTo>
                    <a:pt x="8" y="96"/>
                  </a:lnTo>
                  <a:lnTo>
                    <a:pt x="51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3" name="Freeform 425">
              <a:extLst>
                <a:ext uri="{FF2B5EF4-FFF2-40B4-BE49-F238E27FC236}">
                  <a16:creationId xmlns:a16="http://schemas.microsoft.com/office/drawing/2014/main" id="{12FD24DE-8233-4ACB-8A60-6A2F074FD956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2"/>
            </a:xfrm>
            <a:custGeom>
              <a:avLst/>
              <a:gdLst>
                <a:gd name="T0" fmla="*/ 0 w 43"/>
                <a:gd name="T1" fmla="*/ 96 h 99"/>
                <a:gd name="T2" fmla="*/ 8 w 43"/>
                <a:gd name="T3" fmla="*/ 99 h 99"/>
                <a:gd name="T4" fmla="*/ 43 w 43"/>
                <a:gd name="T5" fmla="*/ 0 h 99"/>
                <a:gd name="T6" fmla="*/ 0 w 43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99">
                  <a:moveTo>
                    <a:pt x="0" y="96"/>
                  </a:moveTo>
                  <a:lnTo>
                    <a:pt x="8" y="99"/>
                  </a:lnTo>
                  <a:lnTo>
                    <a:pt x="43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4" name="Freeform 426">
              <a:extLst>
                <a:ext uri="{FF2B5EF4-FFF2-40B4-BE49-F238E27FC236}">
                  <a16:creationId xmlns:a16="http://schemas.microsoft.com/office/drawing/2014/main" id="{AA0B70E6-C2F6-49CB-8E85-25F3AECB3DF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35"/>
                <a:gd name="T1" fmla="*/ 99 h 102"/>
                <a:gd name="T2" fmla="*/ 8 w 35"/>
                <a:gd name="T3" fmla="*/ 102 h 102"/>
                <a:gd name="T4" fmla="*/ 35 w 35"/>
                <a:gd name="T5" fmla="*/ 0 h 102"/>
                <a:gd name="T6" fmla="*/ 0 w 35"/>
                <a:gd name="T7" fmla="*/ 99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0" y="99"/>
                  </a:moveTo>
                  <a:lnTo>
                    <a:pt x="8" y="102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5" name="Freeform 427">
              <a:extLst>
                <a:ext uri="{FF2B5EF4-FFF2-40B4-BE49-F238E27FC236}">
                  <a16:creationId xmlns:a16="http://schemas.microsoft.com/office/drawing/2014/main" id="{A8BE7938-8A7C-40A9-B71A-7148E3DD29E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27"/>
                <a:gd name="T1" fmla="*/ 102 h 104"/>
                <a:gd name="T2" fmla="*/ 9 w 27"/>
                <a:gd name="T3" fmla="*/ 104 h 104"/>
                <a:gd name="T4" fmla="*/ 27 w 27"/>
                <a:gd name="T5" fmla="*/ 0 h 104"/>
                <a:gd name="T6" fmla="*/ 0 w 27"/>
                <a:gd name="T7" fmla="*/ 10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0" y="102"/>
                  </a:moveTo>
                  <a:lnTo>
                    <a:pt x="9" y="104"/>
                  </a:lnTo>
                  <a:lnTo>
                    <a:pt x="27" y="0"/>
                  </a:lnTo>
                  <a:lnTo>
                    <a:pt x="0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6" name="Freeform 428">
              <a:extLst>
                <a:ext uri="{FF2B5EF4-FFF2-40B4-BE49-F238E27FC236}">
                  <a16:creationId xmlns:a16="http://schemas.microsoft.com/office/drawing/2014/main" id="{19D99907-0955-45FC-8EE4-E27B553F4ABC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18"/>
                <a:gd name="T1" fmla="*/ 104 h 105"/>
                <a:gd name="T2" fmla="*/ 9 w 18"/>
                <a:gd name="T3" fmla="*/ 105 h 105"/>
                <a:gd name="T4" fmla="*/ 18 w 18"/>
                <a:gd name="T5" fmla="*/ 0 h 105"/>
                <a:gd name="T6" fmla="*/ 0 w 18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0" y="104"/>
                  </a:moveTo>
                  <a:lnTo>
                    <a:pt x="9" y="105"/>
                  </a:lnTo>
                  <a:lnTo>
                    <a:pt x="18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7" name="Freeform 429">
              <a:extLst>
                <a:ext uri="{FF2B5EF4-FFF2-40B4-BE49-F238E27FC236}">
                  <a16:creationId xmlns:a16="http://schemas.microsoft.com/office/drawing/2014/main" id="{648407AF-8A36-4C1C-9E5A-C001CD83964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9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9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8" name="Freeform 430">
              <a:extLst>
                <a:ext uri="{FF2B5EF4-FFF2-40B4-BE49-F238E27FC236}">
                  <a16:creationId xmlns:a16="http://schemas.microsoft.com/office/drawing/2014/main" id="{6ED42456-70C0-4C9D-8EEB-07386ADE39D5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0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9" name="Freeform 431">
              <a:extLst>
                <a:ext uri="{FF2B5EF4-FFF2-40B4-BE49-F238E27FC236}">
                  <a16:creationId xmlns:a16="http://schemas.microsoft.com/office/drawing/2014/main" id="{27A837AA-9E15-4316-8B67-3FBB1947782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9 w 17"/>
                <a:gd name="T1" fmla="*/ 105 h 105"/>
                <a:gd name="T2" fmla="*/ 17 w 17"/>
                <a:gd name="T3" fmla="*/ 104 h 105"/>
                <a:gd name="T4" fmla="*/ 0 w 17"/>
                <a:gd name="T5" fmla="*/ 0 h 105"/>
                <a:gd name="T6" fmla="*/ 9 w 1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9" y="105"/>
                  </a:moveTo>
                  <a:lnTo>
                    <a:pt x="17" y="104"/>
                  </a:lnTo>
                  <a:lnTo>
                    <a:pt x="0" y="0"/>
                  </a:lnTo>
                  <a:lnTo>
                    <a:pt x="9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0" name="Freeform 432">
              <a:extLst>
                <a:ext uri="{FF2B5EF4-FFF2-40B4-BE49-F238E27FC236}">
                  <a16:creationId xmlns:a16="http://schemas.microsoft.com/office/drawing/2014/main" id="{7BCC6DBC-1C5C-4BAD-A573-8C58B159A8DC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17 w 26"/>
                <a:gd name="T1" fmla="*/ 104 h 104"/>
                <a:gd name="T2" fmla="*/ 26 w 26"/>
                <a:gd name="T3" fmla="*/ 102 h 104"/>
                <a:gd name="T4" fmla="*/ 0 w 26"/>
                <a:gd name="T5" fmla="*/ 0 h 104"/>
                <a:gd name="T6" fmla="*/ 17 w 26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17" y="104"/>
                  </a:moveTo>
                  <a:lnTo>
                    <a:pt x="26" y="102"/>
                  </a:lnTo>
                  <a:lnTo>
                    <a:pt x="0" y="0"/>
                  </a:lnTo>
                  <a:lnTo>
                    <a:pt x="17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1" name="Freeform 433">
              <a:extLst>
                <a:ext uri="{FF2B5EF4-FFF2-40B4-BE49-F238E27FC236}">
                  <a16:creationId xmlns:a16="http://schemas.microsoft.com/office/drawing/2014/main" id="{A231AA6C-D19A-4085-847D-F9B6F1F2B2E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26 w 34"/>
                <a:gd name="T1" fmla="*/ 102 h 102"/>
                <a:gd name="T2" fmla="*/ 34 w 34"/>
                <a:gd name="T3" fmla="*/ 99 h 102"/>
                <a:gd name="T4" fmla="*/ 0 w 34"/>
                <a:gd name="T5" fmla="*/ 0 h 102"/>
                <a:gd name="T6" fmla="*/ 26 w 34"/>
                <a:gd name="T7" fmla="*/ 10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26" y="102"/>
                  </a:moveTo>
                  <a:lnTo>
                    <a:pt x="34" y="99"/>
                  </a:lnTo>
                  <a:lnTo>
                    <a:pt x="0" y="0"/>
                  </a:lnTo>
                  <a:lnTo>
                    <a:pt x="26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2" name="Freeform 434">
              <a:extLst>
                <a:ext uri="{FF2B5EF4-FFF2-40B4-BE49-F238E27FC236}">
                  <a16:creationId xmlns:a16="http://schemas.microsoft.com/office/drawing/2014/main" id="{BD02C026-5A77-4374-9F5E-44615CA0CE76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34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4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4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4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3" name="Freeform 435">
              <a:extLst>
                <a:ext uri="{FF2B5EF4-FFF2-40B4-BE49-F238E27FC236}">
                  <a16:creationId xmlns:a16="http://schemas.microsoft.com/office/drawing/2014/main" id="{0F328FA3-0704-456A-AA04-CE3738FD4ACD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42 w 50"/>
                <a:gd name="T1" fmla="*/ 96 h 96"/>
                <a:gd name="T2" fmla="*/ 50 w 50"/>
                <a:gd name="T3" fmla="*/ 92 h 96"/>
                <a:gd name="T4" fmla="*/ 0 w 50"/>
                <a:gd name="T5" fmla="*/ 0 h 96"/>
                <a:gd name="T6" fmla="*/ 42 w 50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42" y="96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4" name="Freeform 436">
              <a:extLst>
                <a:ext uri="{FF2B5EF4-FFF2-40B4-BE49-F238E27FC236}">
                  <a16:creationId xmlns:a16="http://schemas.microsoft.com/office/drawing/2014/main" id="{021DA938-241A-4F91-9B26-9DA3182A093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0 w 58"/>
                <a:gd name="T1" fmla="*/ 92 h 92"/>
                <a:gd name="T2" fmla="*/ 58 w 58"/>
                <a:gd name="T3" fmla="*/ 88 h 92"/>
                <a:gd name="T4" fmla="*/ 0 w 58"/>
                <a:gd name="T5" fmla="*/ 0 h 92"/>
                <a:gd name="T6" fmla="*/ 50 w 58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2">
                  <a:moveTo>
                    <a:pt x="50" y="92"/>
                  </a:moveTo>
                  <a:lnTo>
                    <a:pt x="58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5" name="Freeform 437">
              <a:extLst>
                <a:ext uri="{FF2B5EF4-FFF2-40B4-BE49-F238E27FC236}">
                  <a16:creationId xmlns:a16="http://schemas.microsoft.com/office/drawing/2014/main" id="{5E12ADD0-5E53-4418-9389-BC662FFF9A2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8 w 65"/>
                <a:gd name="T1" fmla="*/ 88 h 88"/>
                <a:gd name="T2" fmla="*/ 65 w 65"/>
                <a:gd name="T3" fmla="*/ 83 h 88"/>
                <a:gd name="T4" fmla="*/ 0 w 65"/>
                <a:gd name="T5" fmla="*/ 0 h 88"/>
                <a:gd name="T6" fmla="*/ 58 w 65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58" y="88"/>
                  </a:moveTo>
                  <a:lnTo>
                    <a:pt x="65" y="83"/>
                  </a:lnTo>
                  <a:lnTo>
                    <a:pt x="0" y="0"/>
                  </a:lnTo>
                  <a:lnTo>
                    <a:pt x="58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6" name="Freeform 438">
              <a:extLst>
                <a:ext uri="{FF2B5EF4-FFF2-40B4-BE49-F238E27FC236}">
                  <a16:creationId xmlns:a16="http://schemas.microsoft.com/office/drawing/2014/main" id="{8115F264-464B-4D46-A9DD-58B60057E38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65 w 71"/>
                <a:gd name="T1" fmla="*/ 83 h 83"/>
                <a:gd name="T2" fmla="*/ 71 w 71"/>
                <a:gd name="T3" fmla="*/ 77 h 83"/>
                <a:gd name="T4" fmla="*/ 0 w 71"/>
                <a:gd name="T5" fmla="*/ 0 h 83"/>
                <a:gd name="T6" fmla="*/ 65 w 71"/>
                <a:gd name="T7" fmla="*/ 83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65" y="83"/>
                  </a:moveTo>
                  <a:lnTo>
                    <a:pt x="71" y="77"/>
                  </a:lnTo>
                  <a:lnTo>
                    <a:pt x="0" y="0"/>
                  </a:lnTo>
                  <a:lnTo>
                    <a:pt x="65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7" name="Freeform 439">
              <a:extLst>
                <a:ext uri="{FF2B5EF4-FFF2-40B4-BE49-F238E27FC236}">
                  <a16:creationId xmlns:a16="http://schemas.microsoft.com/office/drawing/2014/main" id="{0A9E24C0-B74E-4E96-B43D-E72401EB78C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1 w 77"/>
                <a:gd name="T1" fmla="*/ 77 h 77"/>
                <a:gd name="T2" fmla="*/ 77 w 77"/>
                <a:gd name="T3" fmla="*/ 71 h 77"/>
                <a:gd name="T4" fmla="*/ 0 w 77"/>
                <a:gd name="T5" fmla="*/ 0 h 77"/>
                <a:gd name="T6" fmla="*/ 71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1" y="77"/>
                  </a:moveTo>
                  <a:lnTo>
                    <a:pt x="77" y="71"/>
                  </a:lnTo>
                  <a:lnTo>
                    <a:pt x="0" y="0"/>
                  </a:lnTo>
                  <a:lnTo>
                    <a:pt x="71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8" name="Freeform 440">
              <a:extLst>
                <a:ext uri="{FF2B5EF4-FFF2-40B4-BE49-F238E27FC236}">
                  <a16:creationId xmlns:a16="http://schemas.microsoft.com/office/drawing/2014/main" id="{B283F329-4283-4307-A4C0-36D36650C504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7 w 83"/>
                <a:gd name="T1" fmla="*/ 71 h 71"/>
                <a:gd name="T2" fmla="*/ 83 w 83"/>
                <a:gd name="T3" fmla="*/ 64 h 71"/>
                <a:gd name="T4" fmla="*/ 0 w 83"/>
                <a:gd name="T5" fmla="*/ 0 h 71"/>
                <a:gd name="T6" fmla="*/ 77 w 83"/>
                <a:gd name="T7" fmla="*/ 71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1">
                  <a:moveTo>
                    <a:pt x="77" y="71"/>
                  </a:moveTo>
                  <a:lnTo>
                    <a:pt x="83" y="64"/>
                  </a:lnTo>
                  <a:lnTo>
                    <a:pt x="0" y="0"/>
                  </a:lnTo>
                  <a:lnTo>
                    <a:pt x="77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9" name="Freeform 441">
              <a:extLst>
                <a:ext uri="{FF2B5EF4-FFF2-40B4-BE49-F238E27FC236}">
                  <a16:creationId xmlns:a16="http://schemas.microsoft.com/office/drawing/2014/main" id="{68384F28-037E-4AD8-9DAF-DE9E02F6D40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3 w 88"/>
                <a:gd name="T1" fmla="*/ 64 h 64"/>
                <a:gd name="T2" fmla="*/ 88 w 88"/>
                <a:gd name="T3" fmla="*/ 57 h 64"/>
                <a:gd name="T4" fmla="*/ 0 w 88"/>
                <a:gd name="T5" fmla="*/ 0 h 64"/>
                <a:gd name="T6" fmla="*/ 83 w 88"/>
                <a:gd name="T7" fmla="*/ 64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4">
                  <a:moveTo>
                    <a:pt x="83" y="64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3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0" name="Freeform 442">
              <a:extLst>
                <a:ext uri="{FF2B5EF4-FFF2-40B4-BE49-F238E27FC236}">
                  <a16:creationId xmlns:a16="http://schemas.microsoft.com/office/drawing/2014/main" id="{852D4D9D-AA70-4CC9-A8AE-072712632FAF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8 w 93"/>
                <a:gd name="T1" fmla="*/ 57 h 57"/>
                <a:gd name="T2" fmla="*/ 93 w 93"/>
                <a:gd name="T3" fmla="*/ 50 h 57"/>
                <a:gd name="T4" fmla="*/ 0 w 93"/>
                <a:gd name="T5" fmla="*/ 0 h 57"/>
                <a:gd name="T6" fmla="*/ 88 w 93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7">
                  <a:moveTo>
                    <a:pt x="88" y="57"/>
                  </a:moveTo>
                  <a:lnTo>
                    <a:pt x="93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1" name="Freeform 443">
              <a:extLst>
                <a:ext uri="{FF2B5EF4-FFF2-40B4-BE49-F238E27FC236}">
                  <a16:creationId xmlns:a16="http://schemas.microsoft.com/office/drawing/2014/main" id="{2418B2CF-213A-48F6-A8B9-CD055359569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3 w 96"/>
                <a:gd name="T1" fmla="*/ 50 h 50"/>
                <a:gd name="T2" fmla="*/ 96 w 96"/>
                <a:gd name="T3" fmla="*/ 42 h 50"/>
                <a:gd name="T4" fmla="*/ 0 w 96"/>
                <a:gd name="T5" fmla="*/ 0 h 50"/>
                <a:gd name="T6" fmla="*/ 93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3" y="50"/>
                  </a:moveTo>
                  <a:lnTo>
                    <a:pt x="96" y="42"/>
                  </a:lnTo>
                  <a:lnTo>
                    <a:pt x="0" y="0"/>
                  </a:lnTo>
                  <a:lnTo>
                    <a:pt x="93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2" name="Freeform 444">
              <a:extLst>
                <a:ext uri="{FF2B5EF4-FFF2-40B4-BE49-F238E27FC236}">
                  <a16:creationId xmlns:a16="http://schemas.microsoft.com/office/drawing/2014/main" id="{CBF292CA-C7B8-4488-95A9-84D02226C09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6 w 99"/>
                <a:gd name="T1" fmla="*/ 42 h 42"/>
                <a:gd name="T2" fmla="*/ 99 w 99"/>
                <a:gd name="T3" fmla="*/ 34 h 42"/>
                <a:gd name="T4" fmla="*/ 0 w 99"/>
                <a:gd name="T5" fmla="*/ 0 h 42"/>
                <a:gd name="T6" fmla="*/ 96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6" y="42"/>
                  </a:moveTo>
                  <a:lnTo>
                    <a:pt x="99" y="34"/>
                  </a:lnTo>
                  <a:lnTo>
                    <a:pt x="0" y="0"/>
                  </a:lnTo>
                  <a:lnTo>
                    <a:pt x="96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3" name="Freeform 445">
              <a:extLst>
                <a:ext uri="{FF2B5EF4-FFF2-40B4-BE49-F238E27FC236}">
                  <a16:creationId xmlns:a16="http://schemas.microsoft.com/office/drawing/2014/main" id="{E2A6FFB9-FA36-498F-9FAD-1055D99C825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99 w 102"/>
                <a:gd name="T1" fmla="*/ 34 h 34"/>
                <a:gd name="T2" fmla="*/ 102 w 102"/>
                <a:gd name="T3" fmla="*/ 26 h 34"/>
                <a:gd name="T4" fmla="*/ 0 w 102"/>
                <a:gd name="T5" fmla="*/ 0 h 34"/>
                <a:gd name="T6" fmla="*/ 99 w 102"/>
                <a:gd name="T7" fmla="*/ 34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4">
                  <a:moveTo>
                    <a:pt x="99" y="34"/>
                  </a:moveTo>
                  <a:lnTo>
                    <a:pt x="102" y="26"/>
                  </a:lnTo>
                  <a:lnTo>
                    <a:pt x="0" y="0"/>
                  </a:lnTo>
                  <a:lnTo>
                    <a:pt x="99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4" name="Freeform 446">
              <a:extLst>
                <a:ext uri="{FF2B5EF4-FFF2-40B4-BE49-F238E27FC236}">
                  <a16:creationId xmlns:a16="http://schemas.microsoft.com/office/drawing/2014/main" id="{DAB0E562-DBB1-4020-9D25-9357B27053A5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2 w 104"/>
                <a:gd name="T1" fmla="*/ 26 h 26"/>
                <a:gd name="T2" fmla="*/ 104 w 104"/>
                <a:gd name="T3" fmla="*/ 17 h 26"/>
                <a:gd name="T4" fmla="*/ 0 w 104"/>
                <a:gd name="T5" fmla="*/ 0 h 26"/>
                <a:gd name="T6" fmla="*/ 102 w 104"/>
                <a:gd name="T7" fmla="*/ 26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2" y="26"/>
                  </a:moveTo>
                  <a:lnTo>
                    <a:pt x="104" y="17"/>
                  </a:lnTo>
                  <a:lnTo>
                    <a:pt x="0" y="0"/>
                  </a:lnTo>
                  <a:lnTo>
                    <a:pt x="102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5" name="Freeform 447">
              <a:extLst>
                <a:ext uri="{FF2B5EF4-FFF2-40B4-BE49-F238E27FC236}">
                  <a16:creationId xmlns:a16="http://schemas.microsoft.com/office/drawing/2014/main" id="{C3E03ACE-B21B-47AF-9EF6-0DB9593FC80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4 w 105"/>
                <a:gd name="T1" fmla="*/ 17 h 17"/>
                <a:gd name="T2" fmla="*/ 105 w 105"/>
                <a:gd name="T3" fmla="*/ 8 h 17"/>
                <a:gd name="T4" fmla="*/ 0 w 105"/>
                <a:gd name="T5" fmla="*/ 0 h 17"/>
                <a:gd name="T6" fmla="*/ 104 w 105"/>
                <a:gd name="T7" fmla="*/ 17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7">
                  <a:moveTo>
                    <a:pt x="104" y="17"/>
                  </a:moveTo>
                  <a:lnTo>
                    <a:pt x="105" y="8"/>
                  </a:lnTo>
                  <a:lnTo>
                    <a:pt x="0" y="0"/>
                  </a:lnTo>
                  <a:lnTo>
                    <a:pt x="104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6" name="Freeform 448">
              <a:extLst>
                <a:ext uri="{FF2B5EF4-FFF2-40B4-BE49-F238E27FC236}">
                  <a16:creationId xmlns:a16="http://schemas.microsoft.com/office/drawing/2014/main" id="{14D201B4-6296-4BA2-8B76-03575E9EFEE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0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7" name="Freeform 449">
              <a:extLst>
                <a:ext uri="{FF2B5EF4-FFF2-40B4-BE49-F238E27FC236}">
                  <a16:creationId xmlns:a16="http://schemas.microsoft.com/office/drawing/2014/main" id="{7754EE2C-BBC8-4175-894B-04EC59AD3196}"/>
                </a:ext>
              </a:extLst>
            </xdr:cNvPr>
            <xdr:cNvSpPr>
              <a:spLocks/>
            </xdr:cNvSpPr>
          </xdr:nvSpPr>
          <xdr:spPr bwMode="auto">
            <a:xfrm>
              <a:off x="1178" y="188"/>
              <a:ext cx="6" cy="9"/>
            </a:xfrm>
            <a:custGeom>
              <a:avLst/>
              <a:gdLst>
                <a:gd name="T0" fmla="*/ 0 w 350"/>
                <a:gd name="T1" fmla="*/ 526 h 526"/>
                <a:gd name="T2" fmla="*/ 263 w 350"/>
                <a:gd name="T3" fmla="*/ 526 h 526"/>
                <a:gd name="T4" fmla="*/ 350 w 350"/>
                <a:gd name="T5" fmla="*/ 439 h 526"/>
                <a:gd name="T6" fmla="*/ 350 w 350"/>
                <a:gd name="T7" fmla="*/ 88 h 526"/>
                <a:gd name="T8" fmla="*/ 263 w 350"/>
                <a:gd name="T9" fmla="*/ 0 h 526"/>
                <a:gd name="T10" fmla="*/ 0 w 350"/>
                <a:gd name="T11" fmla="*/ 0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0" h="526">
                  <a:moveTo>
                    <a:pt x="0" y="526"/>
                  </a:moveTo>
                  <a:lnTo>
                    <a:pt x="263" y="526"/>
                  </a:lnTo>
                  <a:lnTo>
                    <a:pt x="350" y="439"/>
                  </a:lnTo>
                  <a:lnTo>
                    <a:pt x="350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38" name="Line 450">
              <a:extLst>
                <a:ext uri="{FF2B5EF4-FFF2-40B4-BE49-F238E27FC236}">
                  <a16:creationId xmlns:a16="http://schemas.microsoft.com/office/drawing/2014/main" id="{8AA21685-9AD1-4748-A134-56F7F24159E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0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9" name="Freeform 451">
              <a:extLst>
                <a:ext uri="{FF2B5EF4-FFF2-40B4-BE49-F238E27FC236}">
                  <a16:creationId xmlns:a16="http://schemas.microsoft.com/office/drawing/2014/main" id="{D25803E5-45DD-4506-B52E-F435C701D9ED}"/>
                </a:ext>
              </a:extLst>
            </xdr:cNvPr>
            <xdr:cNvSpPr>
              <a:spLocks/>
            </xdr:cNvSpPr>
          </xdr:nvSpPr>
          <xdr:spPr bwMode="auto">
            <a:xfrm>
              <a:off x="1190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40" name="Freeform 452">
              <a:extLst>
                <a:ext uri="{FF2B5EF4-FFF2-40B4-BE49-F238E27FC236}">
                  <a16:creationId xmlns:a16="http://schemas.microsoft.com/office/drawing/2014/main" id="{FED309BE-FA7C-4663-8A3A-A41C0866FAB1}"/>
                </a:ext>
              </a:extLst>
            </xdr:cNvPr>
            <xdr:cNvSpPr>
              <a:spLocks/>
            </xdr:cNvSpPr>
          </xdr:nvSpPr>
          <xdr:spPr bwMode="auto">
            <a:xfrm>
              <a:off x="1190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6" name="Freeform 454">
            <a:extLst>
              <a:ext uri="{FF2B5EF4-FFF2-40B4-BE49-F238E27FC236}">
                <a16:creationId xmlns:a16="http://schemas.microsoft.com/office/drawing/2014/main" id="{AF96C029-D80F-439C-9741-64EDC61C37E0}"/>
              </a:ext>
            </a:extLst>
          </xdr:cNvPr>
          <xdr:cNvSpPr>
            <a:spLocks/>
          </xdr:cNvSpPr>
        </xdr:nvSpPr>
        <xdr:spPr bwMode="auto">
          <a:xfrm>
            <a:off x="1190" y="200"/>
            <a:ext cx="1" cy="2"/>
          </a:xfrm>
          <a:custGeom>
            <a:avLst/>
            <a:gdLst>
              <a:gd name="T0" fmla="*/ 53 w 53"/>
              <a:gd name="T1" fmla="*/ 14 h 106"/>
              <a:gd name="T2" fmla="*/ 0 w 53"/>
              <a:gd name="T3" fmla="*/ 0 h 106"/>
              <a:gd name="T4" fmla="*/ 0 w 53"/>
              <a:gd name="T5" fmla="*/ 106 h 106"/>
              <a:gd name="T6" fmla="*/ 53 w 53"/>
              <a:gd name="T7" fmla="*/ 14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14"/>
                </a:moveTo>
                <a:lnTo>
                  <a:pt x="0" y="0"/>
                </a:lnTo>
                <a:lnTo>
                  <a:pt x="0" y="106"/>
                </a:lnTo>
                <a:lnTo>
                  <a:pt x="53" y="14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Freeform 455">
            <a:extLst>
              <a:ext uri="{FF2B5EF4-FFF2-40B4-BE49-F238E27FC236}">
                <a16:creationId xmlns:a16="http://schemas.microsoft.com/office/drawing/2014/main" id="{07731A0B-1EA0-43EC-BF66-925DC2B1D004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53 w 53"/>
              <a:gd name="T1" fmla="*/ 0 h 106"/>
              <a:gd name="T2" fmla="*/ 0 w 53"/>
              <a:gd name="T3" fmla="*/ 14 h 106"/>
              <a:gd name="T4" fmla="*/ 53 w 53"/>
              <a:gd name="T5" fmla="*/ 106 h 106"/>
              <a:gd name="T6" fmla="*/ 53 w 53"/>
              <a:gd name="T7" fmla="*/ 0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0"/>
                </a:moveTo>
                <a:lnTo>
                  <a:pt x="0" y="14"/>
                </a:lnTo>
                <a:lnTo>
                  <a:pt x="53" y="106"/>
                </a:lnTo>
                <a:lnTo>
                  <a:pt x="53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" name="Freeform 456">
            <a:extLst>
              <a:ext uri="{FF2B5EF4-FFF2-40B4-BE49-F238E27FC236}">
                <a16:creationId xmlns:a16="http://schemas.microsoft.com/office/drawing/2014/main" id="{537F1D0C-42BB-45AC-8EEB-7ED52B67C9F6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38 w 91"/>
              <a:gd name="T1" fmla="*/ 0 h 92"/>
              <a:gd name="T2" fmla="*/ 0 w 91"/>
              <a:gd name="T3" fmla="*/ 39 h 92"/>
              <a:gd name="T4" fmla="*/ 91 w 91"/>
              <a:gd name="T5" fmla="*/ 92 h 92"/>
              <a:gd name="T6" fmla="*/ 38 w 91"/>
              <a:gd name="T7" fmla="*/ 0 h 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2">
                <a:moveTo>
                  <a:pt x="38" y="0"/>
                </a:moveTo>
                <a:lnTo>
                  <a:pt x="0" y="39"/>
                </a:lnTo>
                <a:lnTo>
                  <a:pt x="91" y="92"/>
                </a:lnTo>
                <a:lnTo>
                  <a:pt x="38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Freeform 457">
            <a:extLst>
              <a:ext uri="{FF2B5EF4-FFF2-40B4-BE49-F238E27FC236}">
                <a16:creationId xmlns:a16="http://schemas.microsoft.com/office/drawing/2014/main" id="{81A0749A-6E16-4D35-BE39-4230430C4E5D}"/>
              </a:ext>
            </a:extLst>
          </xdr:cNvPr>
          <xdr:cNvSpPr>
            <a:spLocks/>
          </xdr:cNvSpPr>
        </xdr:nvSpPr>
        <xdr:spPr bwMode="auto">
          <a:xfrm>
            <a:off x="1188" y="201"/>
            <a:ext cx="2" cy="1"/>
          </a:xfrm>
          <a:custGeom>
            <a:avLst/>
            <a:gdLst>
              <a:gd name="T0" fmla="*/ 15 w 106"/>
              <a:gd name="T1" fmla="*/ 0 h 53"/>
              <a:gd name="T2" fmla="*/ 0 w 106"/>
              <a:gd name="T3" fmla="*/ 53 h 53"/>
              <a:gd name="T4" fmla="*/ 106 w 106"/>
              <a:gd name="T5" fmla="*/ 53 h 53"/>
              <a:gd name="T6" fmla="*/ 15 w 106"/>
              <a:gd name="T7" fmla="*/ 0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3">
                <a:moveTo>
                  <a:pt x="15" y="0"/>
                </a:moveTo>
                <a:lnTo>
                  <a:pt x="0" y="53"/>
                </a:lnTo>
                <a:lnTo>
                  <a:pt x="106" y="53"/>
                </a:lnTo>
                <a:lnTo>
                  <a:pt x="15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" name="Freeform 458">
            <a:extLst>
              <a:ext uri="{FF2B5EF4-FFF2-40B4-BE49-F238E27FC236}">
                <a16:creationId xmlns:a16="http://schemas.microsoft.com/office/drawing/2014/main" id="{60AFA360-34AC-4CD0-AA80-C9976E5F0854}"/>
              </a:ext>
            </a:extLst>
          </xdr:cNvPr>
          <xdr:cNvSpPr>
            <a:spLocks/>
          </xdr:cNvSpPr>
        </xdr:nvSpPr>
        <xdr:spPr bwMode="auto">
          <a:xfrm>
            <a:off x="1188" y="202"/>
            <a:ext cx="2" cy="1"/>
          </a:xfrm>
          <a:custGeom>
            <a:avLst/>
            <a:gdLst>
              <a:gd name="T0" fmla="*/ 0 w 106"/>
              <a:gd name="T1" fmla="*/ 0 h 52"/>
              <a:gd name="T2" fmla="*/ 15 w 106"/>
              <a:gd name="T3" fmla="*/ 52 h 52"/>
              <a:gd name="T4" fmla="*/ 106 w 106"/>
              <a:gd name="T5" fmla="*/ 0 h 52"/>
              <a:gd name="T6" fmla="*/ 0 w 106"/>
              <a:gd name="T7" fmla="*/ 0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2">
                <a:moveTo>
                  <a:pt x="0" y="0"/>
                </a:moveTo>
                <a:lnTo>
                  <a:pt x="15" y="52"/>
                </a:lnTo>
                <a:lnTo>
                  <a:pt x="106" y="0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" name="Freeform 459">
            <a:extLst>
              <a:ext uri="{FF2B5EF4-FFF2-40B4-BE49-F238E27FC236}">
                <a16:creationId xmlns:a16="http://schemas.microsoft.com/office/drawing/2014/main" id="{B839ADFA-D24F-4D23-818E-3C23ABB140B9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1"/>
          </a:xfrm>
          <a:custGeom>
            <a:avLst/>
            <a:gdLst>
              <a:gd name="T0" fmla="*/ 0 w 91"/>
              <a:gd name="T1" fmla="*/ 52 h 91"/>
              <a:gd name="T2" fmla="*/ 38 w 91"/>
              <a:gd name="T3" fmla="*/ 91 h 91"/>
              <a:gd name="T4" fmla="*/ 91 w 91"/>
              <a:gd name="T5" fmla="*/ 0 h 91"/>
              <a:gd name="T6" fmla="*/ 0 w 91"/>
              <a:gd name="T7" fmla="*/ 52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0" y="52"/>
                </a:moveTo>
                <a:lnTo>
                  <a:pt x="38" y="91"/>
                </a:lnTo>
                <a:lnTo>
                  <a:pt x="91" y="0"/>
                </a:lnTo>
                <a:lnTo>
                  <a:pt x="0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" name="Freeform 460">
            <a:extLst>
              <a:ext uri="{FF2B5EF4-FFF2-40B4-BE49-F238E27FC236}">
                <a16:creationId xmlns:a16="http://schemas.microsoft.com/office/drawing/2014/main" id="{DA6673F8-3474-4A04-9467-B40334666C74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2"/>
          </a:xfrm>
          <a:custGeom>
            <a:avLst/>
            <a:gdLst>
              <a:gd name="T0" fmla="*/ 0 w 53"/>
              <a:gd name="T1" fmla="*/ 91 h 105"/>
              <a:gd name="T2" fmla="*/ 53 w 53"/>
              <a:gd name="T3" fmla="*/ 105 h 105"/>
              <a:gd name="T4" fmla="*/ 53 w 53"/>
              <a:gd name="T5" fmla="*/ 0 h 105"/>
              <a:gd name="T6" fmla="*/ 0 w 53"/>
              <a:gd name="T7" fmla="*/ 9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91"/>
                </a:moveTo>
                <a:lnTo>
                  <a:pt x="53" y="105"/>
                </a:lnTo>
                <a:lnTo>
                  <a:pt x="53" y="0"/>
                </a:lnTo>
                <a:lnTo>
                  <a:pt x="0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" name="Freeform 461">
            <a:extLst>
              <a:ext uri="{FF2B5EF4-FFF2-40B4-BE49-F238E27FC236}">
                <a16:creationId xmlns:a16="http://schemas.microsoft.com/office/drawing/2014/main" id="{EB695B73-C3B5-49CB-B1D6-E17BDC67C9AB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1" cy="2"/>
          </a:xfrm>
          <a:custGeom>
            <a:avLst/>
            <a:gdLst>
              <a:gd name="T0" fmla="*/ 0 w 53"/>
              <a:gd name="T1" fmla="*/ 105 h 105"/>
              <a:gd name="T2" fmla="*/ 53 w 53"/>
              <a:gd name="T3" fmla="*/ 91 h 105"/>
              <a:gd name="T4" fmla="*/ 0 w 53"/>
              <a:gd name="T5" fmla="*/ 0 h 105"/>
              <a:gd name="T6" fmla="*/ 0 w 53"/>
              <a:gd name="T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105"/>
                </a:moveTo>
                <a:lnTo>
                  <a:pt x="53" y="91"/>
                </a:lnTo>
                <a:lnTo>
                  <a:pt x="0" y="0"/>
                </a:lnTo>
                <a:lnTo>
                  <a:pt x="0" y="105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4" name="Freeform 462">
            <a:extLst>
              <a:ext uri="{FF2B5EF4-FFF2-40B4-BE49-F238E27FC236}">
                <a16:creationId xmlns:a16="http://schemas.microsoft.com/office/drawing/2014/main" id="{CF2F5B45-3F99-47F3-B878-A5CF59A5BF7E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53 w 91"/>
              <a:gd name="T1" fmla="*/ 91 h 91"/>
              <a:gd name="T2" fmla="*/ 91 w 91"/>
              <a:gd name="T3" fmla="*/ 52 h 91"/>
              <a:gd name="T4" fmla="*/ 0 w 91"/>
              <a:gd name="T5" fmla="*/ 0 h 91"/>
              <a:gd name="T6" fmla="*/ 53 w 91"/>
              <a:gd name="T7" fmla="*/ 91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53" y="91"/>
                </a:moveTo>
                <a:lnTo>
                  <a:pt x="91" y="52"/>
                </a:lnTo>
                <a:lnTo>
                  <a:pt x="0" y="0"/>
                </a:lnTo>
                <a:lnTo>
                  <a:pt x="53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" name="Freeform 463">
            <a:extLst>
              <a:ext uri="{FF2B5EF4-FFF2-40B4-BE49-F238E27FC236}">
                <a16:creationId xmlns:a16="http://schemas.microsoft.com/office/drawing/2014/main" id="{0CAA10E4-048A-44A3-AEF6-6C66F119F227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91 w 105"/>
              <a:gd name="T1" fmla="*/ 52 h 52"/>
              <a:gd name="T2" fmla="*/ 105 w 105"/>
              <a:gd name="T3" fmla="*/ 0 h 52"/>
              <a:gd name="T4" fmla="*/ 0 w 105"/>
              <a:gd name="T5" fmla="*/ 0 h 52"/>
              <a:gd name="T6" fmla="*/ 91 w 105"/>
              <a:gd name="T7" fmla="*/ 52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5" h="52">
                <a:moveTo>
                  <a:pt x="91" y="52"/>
                </a:moveTo>
                <a:lnTo>
                  <a:pt x="105" y="0"/>
                </a:lnTo>
                <a:lnTo>
                  <a:pt x="0" y="0"/>
                </a:lnTo>
                <a:lnTo>
                  <a:pt x="91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" name="Line 464">
            <a:extLst>
              <a:ext uri="{FF2B5EF4-FFF2-40B4-BE49-F238E27FC236}">
                <a16:creationId xmlns:a16="http://schemas.microsoft.com/office/drawing/2014/main" id="{1760BB36-7E0F-414D-9392-CFA4E7DDBBD3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465">
            <a:extLst>
              <a:ext uri="{FF2B5EF4-FFF2-40B4-BE49-F238E27FC236}">
                <a16:creationId xmlns:a16="http://schemas.microsoft.com/office/drawing/2014/main" id="{F3A15D1B-20D5-4D95-AC3A-799D578C6B5B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466">
            <a:extLst>
              <a:ext uri="{FF2B5EF4-FFF2-40B4-BE49-F238E27FC236}">
                <a16:creationId xmlns:a16="http://schemas.microsoft.com/office/drawing/2014/main" id="{B415464F-7676-423E-8497-6146D7C8041B}"/>
              </a:ext>
            </a:extLst>
          </xdr:cNvPr>
          <xdr:cNvSpPr>
            <a:spLocks noChangeShapeType="1"/>
          </xdr:cNvSpPr>
        </xdr:nvSpPr>
        <xdr:spPr bwMode="auto">
          <a:xfrm>
            <a:off x="842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Freeform 467">
            <a:extLst>
              <a:ext uri="{FF2B5EF4-FFF2-40B4-BE49-F238E27FC236}">
                <a16:creationId xmlns:a16="http://schemas.microsoft.com/office/drawing/2014/main" id="{622D51B1-D25C-416C-A41E-0BBED9F34874}"/>
              </a:ext>
            </a:extLst>
          </xdr:cNvPr>
          <xdr:cNvSpPr>
            <a:spLocks/>
          </xdr:cNvSpPr>
        </xdr:nvSpPr>
        <xdr:spPr bwMode="auto">
          <a:xfrm>
            <a:off x="833" y="268"/>
            <a:ext cx="9" cy="2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" name="Freeform 468">
            <a:extLst>
              <a:ext uri="{FF2B5EF4-FFF2-40B4-BE49-F238E27FC236}">
                <a16:creationId xmlns:a16="http://schemas.microsoft.com/office/drawing/2014/main" id="{F1698163-BB3E-40DB-95AD-6D00F14C7C6A}"/>
              </a:ext>
            </a:extLst>
          </xdr:cNvPr>
          <xdr:cNvSpPr>
            <a:spLocks/>
          </xdr:cNvSpPr>
        </xdr:nvSpPr>
        <xdr:spPr bwMode="auto">
          <a:xfrm>
            <a:off x="922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1" name="Line 474">
            <a:extLst>
              <a:ext uri="{FF2B5EF4-FFF2-40B4-BE49-F238E27FC236}">
                <a16:creationId xmlns:a16="http://schemas.microsoft.com/office/drawing/2014/main" id="{BFAEAA7C-8E1C-4D4D-A3A9-FE034E9B5721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75">
            <a:extLst>
              <a:ext uri="{FF2B5EF4-FFF2-40B4-BE49-F238E27FC236}">
                <a16:creationId xmlns:a16="http://schemas.microsoft.com/office/drawing/2014/main" id="{5811A32B-95CB-43B2-A0A1-270021D68279}"/>
              </a:ext>
            </a:extLst>
          </xdr:cNvPr>
          <xdr:cNvSpPr>
            <a:spLocks noChangeShapeType="1"/>
          </xdr:cNvSpPr>
        </xdr:nvSpPr>
        <xdr:spPr bwMode="auto">
          <a:xfrm>
            <a:off x="1029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76">
            <a:extLst>
              <a:ext uri="{FF2B5EF4-FFF2-40B4-BE49-F238E27FC236}">
                <a16:creationId xmlns:a16="http://schemas.microsoft.com/office/drawing/2014/main" id="{47781D76-3FD5-4699-BA12-4695E4B8FCC8}"/>
              </a:ext>
            </a:extLst>
          </xdr:cNvPr>
          <xdr:cNvSpPr>
            <a:spLocks noChangeShapeType="1"/>
          </xdr:cNvSpPr>
        </xdr:nvSpPr>
        <xdr:spPr bwMode="auto">
          <a:xfrm>
            <a:off x="940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Freeform 477">
            <a:extLst>
              <a:ext uri="{FF2B5EF4-FFF2-40B4-BE49-F238E27FC236}">
                <a16:creationId xmlns:a16="http://schemas.microsoft.com/office/drawing/2014/main" id="{01A63417-D8B7-4A8E-8F46-BCC40DF997CB}"/>
              </a:ext>
            </a:extLst>
          </xdr:cNvPr>
          <xdr:cNvSpPr>
            <a:spLocks/>
          </xdr:cNvSpPr>
        </xdr:nvSpPr>
        <xdr:spPr bwMode="auto">
          <a:xfrm>
            <a:off x="931" y="268"/>
            <a:ext cx="9" cy="2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8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8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5" name="Freeform 478">
            <a:extLst>
              <a:ext uri="{FF2B5EF4-FFF2-40B4-BE49-F238E27FC236}">
                <a16:creationId xmlns:a16="http://schemas.microsoft.com/office/drawing/2014/main" id="{EC808765-402F-49A7-B979-302824BBCF9E}"/>
              </a:ext>
            </a:extLst>
          </xdr:cNvPr>
          <xdr:cNvSpPr>
            <a:spLocks/>
          </xdr:cNvSpPr>
        </xdr:nvSpPr>
        <xdr:spPr bwMode="auto">
          <a:xfrm>
            <a:off x="1020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6" name="Line 484">
            <a:extLst>
              <a:ext uri="{FF2B5EF4-FFF2-40B4-BE49-F238E27FC236}">
                <a16:creationId xmlns:a16="http://schemas.microsoft.com/office/drawing/2014/main" id="{92BC4D13-2EAF-4C2E-ACF7-671FAE3A0B98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89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485">
            <a:extLst>
              <a:ext uri="{FF2B5EF4-FFF2-40B4-BE49-F238E27FC236}">
                <a16:creationId xmlns:a16="http://schemas.microsoft.com/office/drawing/2014/main" id="{E5E26EBF-2D2A-434B-BB52-D9D750D8E572}"/>
              </a:ext>
            </a:extLst>
          </xdr:cNvPr>
          <xdr:cNvSpPr>
            <a:spLocks noChangeShapeType="1"/>
          </xdr:cNvSpPr>
        </xdr:nvSpPr>
        <xdr:spPr bwMode="auto">
          <a:xfrm>
            <a:off x="1190" y="299"/>
            <a:ext cx="0" cy="3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86">
            <a:extLst>
              <a:ext uri="{FF2B5EF4-FFF2-40B4-BE49-F238E27FC236}">
                <a16:creationId xmlns:a16="http://schemas.microsoft.com/office/drawing/2014/main" id="{2DCC2830-F2A7-41BD-A825-50872FB611D7}"/>
              </a:ext>
            </a:extLst>
          </xdr:cNvPr>
          <xdr:cNvSpPr>
            <a:spLocks noChangeShapeType="1"/>
          </xdr:cNvSpPr>
        </xdr:nvSpPr>
        <xdr:spPr bwMode="auto">
          <a:xfrm>
            <a:off x="842" y="325"/>
            <a:ext cx="339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Freeform 487">
            <a:extLst>
              <a:ext uri="{FF2B5EF4-FFF2-40B4-BE49-F238E27FC236}">
                <a16:creationId xmlns:a16="http://schemas.microsoft.com/office/drawing/2014/main" id="{21B86078-461C-42EF-99C8-8D59E94D57F8}"/>
              </a:ext>
            </a:extLst>
          </xdr:cNvPr>
          <xdr:cNvSpPr>
            <a:spLocks/>
          </xdr:cNvSpPr>
        </xdr:nvSpPr>
        <xdr:spPr bwMode="auto">
          <a:xfrm>
            <a:off x="833" y="323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" name="Freeform 488">
            <a:extLst>
              <a:ext uri="{FF2B5EF4-FFF2-40B4-BE49-F238E27FC236}">
                <a16:creationId xmlns:a16="http://schemas.microsoft.com/office/drawing/2014/main" id="{5F88466F-2F20-4C8D-A05E-E9B5BA54FF41}"/>
              </a:ext>
            </a:extLst>
          </xdr:cNvPr>
          <xdr:cNvSpPr>
            <a:spLocks/>
          </xdr:cNvSpPr>
        </xdr:nvSpPr>
        <xdr:spPr bwMode="auto">
          <a:xfrm>
            <a:off x="1181" y="323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" name="Line 494">
            <a:extLst>
              <a:ext uri="{FF2B5EF4-FFF2-40B4-BE49-F238E27FC236}">
                <a16:creationId xmlns:a16="http://schemas.microsoft.com/office/drawing/2014/main" id="{62E6B3AE-1174-42A5-BA01-5207F31CA684}"/>
              </a:ext>
            </a:extLst>
          </xdr:cNvPr>
          <xdr:cNvSpPr>
            <a:spLocks noChangeShapeType="1"/>
          </xdr:cNvSpPr>
        </xdr:nvSpPr>
        <xdr:spPr bwMode="auto">
          <a:xfrm flipV="1">
            <a:off x="1029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495">
            <a:extLst>
              <a:ext uri="{FF2B5EF4-FFF2-40B4-BE49-F238E27FC236}">
                <a16:creationId xmlns:a16="http://schemas.microsoft.com/office/drawing/2014/main" id="{FA539090-F92B-4152-9DEF-4FEF50D3E838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496">
            <a:extLst>
              <a:ext uri="{FF2B5EF4-FFF2-40B4-BE49-F238E27FC236}">
                <a16:creationId xmlns:a16="http://schemas.microsoft.com/office/drawing/2014/main" id="{6044343E-0306-4EE9-8883-2B3C2B2B08CF}"/>
              </a:ext>
            </a:extLst>
          </xdr:cNvPr>
          <xdr:cNvSpPr>
            <a:spLocks noChangeShapeType="1"/>
          </xdr:cNvSpPr>
        </xdr:nvSpPr>
        <xdr:spPr bwMode="auto">
          <a:xfrm>
            <a:off x="1038" y="86"/>
            <a:ext cx="6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Freeform 497">
            <a:extLst>
              <a:ext uri="{FF2B5EF4-FFF2-40B4-BE49-F238E27FC236}">
                <a16:creationId xmlns:a16="http://schemas.microsoft.com/office/drawing/2014/main" id="{8CF426C5-9BFB-49C3-AF18-E59D5EF4A692}"/>
              </a:ext>
            </a:extLst>
          </xdr:cNvPr>
          <xdr:cNvSpPr>
            <a:spLocks/>
          </xdr:cNvSpPr>
        </xdr:nvSpPr>
        <xdr:spPr bwMode="auto">
          <a:xfrm>
            <a:off x="1029" y="84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7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7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" name="Freeform 498">
            <a:extLst>
              <a:ext uri="{FF2B5EF4-FFF2-40B4-BE49-F238E27FC236}">
                <a16:creationId xmlns:a16="http://schemas.microsoft.com/office/drawing/2014/main" id="{7AA573BE-152B-4396-AA2A-DA0C6F002054}"/>
              </a:ext>
            </a:extLst>
          </xdr:cNvPr>
          <xdr:cNvSpPr>
            <a:spLocks/>
          </xdr:cNvSpPr>
        </xdr:nvSpPr>
        <xdr:spPr bwMode="auto">
          <a:xfrm>
            <a:off x="1103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" name="Line 504">
            <a:extLst>
              <a:ext uri="{FF2B5EF4-FFF2-40B4-BE49-F238E27FC236}">
                <a16:creationId xmlns:a16="http://schemas.microsoft.com/office/drawing/2014/main" id="{91089B82-8D7E-4C5C-B4AE-1C23FAF9C5E5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505">
            <a:extLst>
              <a:ext uri="{FF2B5EF4-FFF2-40B4-BE49-F238E27FC236}">
                <a16:creationId xmlns:a16="http://schemas.microsoft.com/office/drawing/2014/main" id="{657EB406-28EA-406D-9B95-F9BFFBE6E077}"/>
              </a:ext>
            </a:extLst>
          </xdr:cNvPr>
          <xdr:cNvSpPr>
            <a:spLocks noChangeShapeType="1"/>
          </xdr:cNvSpPr>
        </xdr:nvSpPr>
        <xdr:spPr bwMode="auto">
          <a:xfrm flipV="1">
            <a:off x="1190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506">
            <a:extLst>
              <a:ext uri="{FF2B5EF4-FFF2-40B4-BE49-F238E27FC236}">
                <a16:creationId xmlns:a16="http://schemas.microsoft.com/office/drawing/2014/main" id="{B5E2CC61-3E9E-47FF-883A-625B129173B4}"/>
              </a:ext>
            </a:extLst>
          </xdr:cNvPr>
          <xdr:cNvSpPr>
            <a:spLocks noChangeShapeType="1"/>
          </xdr:cNvSpPr>
        </xdr:nvSpPr>
        <xdr:spPr bwMode="auto">
          <a:xfrm>
            <a:off x="1121" y="86"/>
            <a:ext cx="6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Freeform 507">
            <a:extLst>
              <a:ext uri="{FF2B5EF4-FFF2-40B4-BE49-F238E27FC236}">
                <a16:creationId xmlns:a16="http://schemas.microsoft.com/office/drawing/2014/main" id="{8AF8447B-D857-4829-8714-7C593149D2E7}"/>
              </a:ext>
            </a:extLst>
          </xdr:cNvPr>
          <xdr:cNvSpPr>
            <a:spLocks/>
          </xdr:cNvSpPr>
        </xdr:nvSpPr>
        <xdr:spPr bwMode="auto">
          <a:xfrm>
            <a:off x="1112" y="84"/>
            <a:ext cx="9" cy="3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7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7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" name="Freeform 508">
            <a:extLst>
              <a:ext uri="{FF2B5EF4-FFF2-40B4-BE49-F238E27FC236}">
                <a16:creationId xmlns:a16="http://schemas.microsoft.com/office/drawing/2014/main" id="{BAF47359-40D4-476C-9E8B-7F9D3B5D31E4}"/>
              </a:ext>
            </a:extLst>
          </xdr:cNvPr>
          <xdr:cNvSpPr>
            <a:spLocks/>
          </xdr:cNvSpPr>
        </xdr:nvSpPr>
        <xdr:spPr bwMode="auto">
          <a:xfrm>
            <a:off x="1181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" name="Line 514">
            <a:extLst>
              <a:ext uri="{FF2B5EF4-FFF2-40B4-BE49-F238E27FC236}">
                <a16:creationId xmlns:a16="http://schemas.microsoft.com/office/drawing/2014/main" id="{9381859C-F0C9-4B8C-BC73-05A50B03C144}"/>
              </a:ext>
            </a:extLst>
          </xdr:cNvPr>
          <xdr:cNvSpPr>
            <a:spLocks noChangeShapeType="1"/>
          </xdr:cNvSpPr>
        </xdr:nvSpPr>
        <xdr:spPr bwMode="auto">
          <a:xfrm>
            <a:off x="1226" y="107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15">
            <a:extLst>
              <a:ext uri="{FF2B5EF4-FFF2-40B4-BE49-F238E27FC236}">
                <a16:creationId xmlns:a16="http://schemas.microsoft.com/office/drawing/2014/main" id="{C7632F78-C52D-4265-B4FF-5FAFA1F0DA24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516">
            <a:extLst>
              <a:ext uri="{FF2B5EF4-FFF2-40B4-BE49-F238E27FC236}">
                <a16:creationId xmlns:a16="http://schemas.microsoft.com/office/drawing/2014/main" id="{AB91A2E1-AC92-466C-9497-36F13902262F}"/>
              </a:ext>
            </a:extLst>
          </xdr:cNvPr>
          <xdr:cNvSpPr>
            <a:spLocks noChangeShapeType="1"/>
          </xdr:cNvSpPr>
        </xdr:nvSpPr>
        <xdr:spPr bwMode="auto">
          <a:xfrm>
            <a:off x="1240" y="116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517">
            <a:extLst>
              <a:ext uri="{FF2B5EF4-FFF2-40B4-BE49-F238E27FC236}">
                <a16:creationId xmlns:a16="http://schemas.microsoft.com/office/drawing/2014/main" id="{E142DED1-0820-4BCD-BCBD-1A195829D5A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16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518">
            <a:extLst>
              <a:ext uri="{FF2B5EF4-FFF2-40B4-BE49-F238E27FC236}">
                <a16:creationId xmlns:a16="http://schemas.microsoft.com/office/drawing/2014/main" id="{6F113F68-BAAB-47B8-B3EC-F542AC7B74DB}"/>
              </a:ext>
            </a:extLst>
          </xdr:cNvPr>
          <xdr:cNvSpPr>
            <a:spLocks/>
          </xdr:cNvSpPr>
        </xdr:nvSpPr>
        <xdr:spPr bwMode="auto">
          <a:xfrm>
            <a:off x="1238" y="107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" name="Freeform 519">
            <a:extLst>
              <a:ext uri="{FF2B5EF4-FFF2-40B4-BE49-F238E27FC236}">
                <a16:creationId xmlns:a16="http://schemas.microsoft.com/office/drawing/2014/main" id="{F2501AD6-AD6E-4BE7-80DA-10566DD3BDC0}"/>
              </a:ext>
            </a:extLst>
          </xdr:cNvPr>
          <xdr:cNvSpPr>
            <a:spLocks/>
          </xdr:cNvSpPr>
        </xdr:nvSpPr>
        <xdr:spPr bwMode="auto">
          <a:xfrm>
            <a:off x="1238" y="193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7" name="Freeform 520">
            <a:extLst>
              <a:ext uri="{FF2B5EF4-FFF2-40B4-BE49-F238E27FC236}">
                <a16:creationId xmlns:a16="http://schemas.microsoft.com/office/drawing/2014/main" id="{158E65AE-E61A-4CB9-B103-20D48A9CCE8B}"/>
              </a:ext>
            </a:extLst>
          </xdr:cNvPr>
          <xdr:cNvSpPr>
            <a:spLocks/>
          </xdr:cNvSpPr>
        </xdr:nvSpPr>
        <xdr:spPr bwMode="auto">
          <a:xfrm>
            <a:off x="1208" y="153"/>
            <a:ext cx="3" cy="5"/>
          </a:xfrm>
          <a:custGeom>
            <a:avLst/>
            <a:gdLst>
              <a:gd name="T0" fmla="*/ 140 w 210"/>
              <a:gd name="T1" fmla="*/ 280 h 280"/>
              <a:gd name="T2" fmla="*/ 70 w 210"/>
              <a:gd name="T3" fmla="*/ 280 h 280"/>
              <a:gd name="T4" fmla="*/ 0 w 210"/>
              <a:gd name="T5" fmla="*/ 210 h 280"/>
              <a:gd name="T6" fmla="*/ 0 w 210"/>
              <a:gd name="T7" fmla="*/ 70 h 280"/>
              <a:gd name="T8" fmla="*/ 70 w 210"/>
              <a:gd name="T9" fmla="*/ 0 h 280"/>
              <a:gd name="T10" fmla="*/ 140 w 210"/>
              <a:gd name="T11" fmla="*/ 0 h 280"/>
              <a:gd name="T12" fmla="*/ 210 w 210"/>
              <a:gd name="T13" fmla="*/ 70 h 280"/>
              <a:gd name="T14" fmla="*/ 210 w 210"/>
              <a:gd name="T15" fmla="*/ 210 h 280"/>
              <a:gd name="T16" fmla="*/ 140 w 21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0">
                <a:moveTo>
                  <a:pt x="14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10" y="70"/>
                </a:lnTo>
                <a:lnTo>
                  <a:pt x="210" y="210"/>
                </a:lnTo>
                <a:lnTo>
                  <a:pt x="140" y="28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Line 521">
            <a:extLst>
              <a:ext uri="{FF2B5EF4-FFF2-40B4-BE49-F238E27FC236}">
                <a16:creationId xmlns:a16="http://schemas.microsoft.com/office/drawing/2014/main" id="{5DF1B4A3-4C4F-4ED8-9A3D-54F010E1F6F5}"/>
              </a:ext>
            </a:extLst>
          </xdr:cNvPr>
          <xdr:cNvSpPr>
            <a:spLocks noChangeShapeType="1"/>
          </xdr:cNvSpPr>
        </xdr:nvSpPr>
        <xdr:spPr bwMode="auto">
          <a:xfrm>
            <a:off x="1211" y="157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522">
            <a:extLst>
              <a:ext uri="{FF2B5EF4-FFF2-40B4-BE49-F238E27FC236}">
                <a16:creationId xmlns:a16="http://schemas.microsoft.com/office/drawing/2014/main" id="{A7CABF8D-1BDE-44DE-A4BF-C118C4561D7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157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Freeform 523">
            <a:extLst>
              <a:ext uri="{FF2B5EF4-FFF2-40B4-BE49-F238E27FC236}">
                <a16:creationId xmlns:a16="http://schemas.microsoft.com/office/drawing/2014/main" id="{FE1425B0-4BB6-4BC3-A1C3-31BB940E72F1}"/>
              </a:ext>
            </a:extLst>
          </xdr:cNvPr>
          <xdr:cNvSpPr>
            <a:spLocks/>
          </xdr:cNvSpPr>
        </xdr:nvSpPr>
        <xdr:spPr bwMode="auto">
          <a:xfrm>
            <a:off x="1217" y="151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1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1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Line 524">
            <a:extLst>
              <a:ext uri="{FF2B5EF4-FFF2-40B4-BE49-F238E27FC236}">
                <a16:creationId xmlns:a16="http://schemas.microsoft.com/office/drawing/2014/main" id="{39617C71-BD73-4C12-8301-95064D89D319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151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Freeform 525">
            <a:extLst>
              <a:ext uri="{FF2B5EF4-FFF2-40B4-BE49-F238E27FC236}">
                <a16:creationId xmlns:a16="http://schemas.microsoft.com/office/drawing/2014/main" id="{CF6C21F1-C4F0-41D0-A045-FC2735A821C6}"/>
              </a:ext>
            </a:extLst>
          </xdr:cNvPr>
          <xdr:cNvSpPr>
            <a:spLocks/>
          </xdr:cNvSpPr>
        </xdr:nvSpPr>
        <xdr:spPr bwMode="auto">
          <a:xfrm>
            <a:off x="1231" y="151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1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1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Line 526">
            <a:extLst>
              <a:ext uri="{FF2B5EF4-FFF2-40B4-BE49-F238E27FC236}">
                <a16:creationId xmlns:a16="http://schemas.microsoft.com/office/drawing/2014/main" id="{7D652D32-9F9A-4011-AABF-E95FBA42EEFF}"/>
              </a:ext>
            </a:extLst>
          </xdr:cNvPr>
          <xdr:cNvSpPr>
            <a:spLocks noChangeShapeType="1"/>
          </xdr:cNvSpPr>
        </xdr:nvSpPr>
        <xdr:spPr bwMode="auto">
          <a:xfrm>
            <a:off x="1239" y="153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527">
            <a:extLst>
              <a:ext uri="{FF2B5EF4-FFF2-40B4-BE49-F238E27FC236}">
                <a16:creationId xmlns:a16="http://schemas.microsoft.com/office/drawing/2014/main" id="{D2CDE9A4-1347-4A37-B18A-75C0CC8E0566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156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534">
            <a:extLst>
              <a:ext uri="{FF2B5EF4-FFF2-40B4-BE49-F238E27FC236}">
                <a16:creationId xmlns:a16="http://schemas.microsoft.com/office/drawing/2014/main" id="{3C307689-17E9-4FF1-A7A1-27C9A131CC1B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535">
            <a:extLst>
              <a:ext uri="{FF2B5EF4-FFF2-40B4-BE49-F238E27FC236}">
                <a16:creationId xmlns:a16="http://schemas.microsoft.com/office/drawing/2014/main" id="{D91D10AF-177C-4E34-84B4-2522F05DB0F1}"/>
              </a:ext>
            </a:extLst>
          </xdr:cNvPr>
          <xdr:cNvSpPr>
            <a:spLocks noChangeShapeType="1"/>
          </xdr:cNvSpPr>
        </xdr:nvSpPr>
        <xdr:spPr bwMode="auto">
          <a:xfrm>
            <a:off x="1226" y="296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536">
            <a:extLst>
              <a:ext uri="{FF2B5EF4-FFF2-40B4-BE49-F238E27FC236}">
                <a16:creationId xmlns:a16="http://schemas.microsoft.com/office/drawing/2014/main" id="{FC0C10F4-7264-4E8F-9051-AB494ECC6216}"/>
              </a:ext>
            </a:extLst>
          </xdr:cNvPr>
          <xdr:cNvSpPr>
            <a:spLocks noChangeShapeType="1"/>
          </xdr:cNvSpPr>
        </xdr:nvSpPr>
        <xdr:spPr bwMode="auto">
          <a:xfrm>
            <a:off x="1240" y="211"/>
            <a:ext cx="0" cy="3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537">
            <a:extLst>
              <a:ext uri="{FF2B5EF4-FFF2-40B4-BE49-F238E27FC236}">
                <a16:creationId xmlns:a16="http://schemas.microsoft.com/office/drawing/2014/main" id="{89E92AB3-E5B7-474D-B354-3967106BEFB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255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Freeform 538">
            <a:extLst>
              <a:ext uri="{FF2B5EF4-FFF2-40B4-BE49-F238E27FC236}">
                <a16:creationId xmlns:a16="http://schemas.microsoft.com/office/drawing/2014/main" id="{949B41C4-FF09-47FB-9121-44CC4DCC7883}"/>
              </a:ext>
            </a:extLst>
          </xdr:cNvPr>
          <xdr:cNvSpPr>
            <a:spLocks/>
          </xdr:cNvSpPr>
        </xdr:nvSpPr>
        <xdr:spPr bwMode="auto">
          <a:xfrm>
            <a:off x="123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0" name="Freeform 539">
            <a:extLst>
              <a:ext uri="{FF2B5EF4-FFF2-40B4-BE49-F238E27FC236}">
                <a16:creationId xmlns:a16="http://schemas.microsoft.com/office/drawing/2014/main" id="{3A7B6864-2B49-42B6-88EC-AB232DB9A1B8}"/>
              </a:ext>
            </a:extLst>
          </xdr:cNvPr>
          <xdr:cNvSpPr>
            <a:spLocks/>
          </xdr:cNvSpPr>
        </xdr:nvSpPr>
        <xdr:spPr bwMode="auto">
          <a:xfrm>
            <a:off x="1238" y="288"/>
            <a:ext cx="3" cy="8"/>
          </a:xfrm>
          <a:custGeom>
            <a:avLst/>
            <a:gdLst>
              <a:gd name="T0" fmla="*/ 0 w 175"/>
              <a:gd name="T1" fmla="*/ 0 h 526"/>
              <a:gd name="T2" fmla="*/ 175 w 175"/>
              <a:gd name="T3" fmla="*/ 0 h 526"/>
              <a:gd name="T4" fmla="*/ 88 w 175"/>
              <a:gd name="T5" fmla="*/ 526 h 526"/>
              <a:gd name="T6" fmla="*/ 0 w 175"/>
              <a:gd name="T7" fmla="*/ 0 h 5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6">
                <a:moveTo>
                  <a:pt x="0" y="0"/>
                </a:moveTo>
                <a:lnTo>
                  <a:pt x="175" y="0"/>
                </a:lnTo>
                <a:lnTo>
                  <a:pt x="88" y="526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" name="Freeform 540">
            <a:extLst>
              <a:ext uri="{FF2B5EF4-FFF2-40B4-BE49-F238E27FC236}">
                <a16:creationId xmlns:a16="http://schemas.microsoft.com/office/drawing/2014/main" id="{8004E2BD-A543-497A-AB29-57CAD669F90E}"/>
              </a:ext>
            </a:extLst>
          </xdr:cNvPr>
          <xdr:cNvSpPr>
            <a:spLocks/>
          </xdr:cNvSpPr>
        </xdr:nvSpPr>
        <xdr:spPr bwMode="auto">
          <a:xfrm>
            <a:off x="1208" y="248"/>
            <a:ext cx="3" cy="5"/>
          </a:xfrm>
          <a:custGeom>
            <a:avLst/>
            <a:gdLst>
              <a:gd name="T0" fmla="*/ 140 w 210"/>
              <a:gd name="T1" fmla="*/ 281 h 281"/>
              <a:gd name="T2" fmla="*/ 70 w 210"/>
              <a:gd name="T3" fmla="*/ 281 h 281"/>
              <a:gd name="T4" fmla="*/ 0 w 210"/>
              <a:gd name="T5" fmla="*/ 211 h 281"/>
              <a:gd name="T6" fmla="*/ 0 w 210"/>
              <a:gd name="T7" fmla="*/ 71 h 281"/>
              <a:gd name="T8" fmla="*/ 70 w 210"/>
              <a:gd name="T9" fmla="*/ 0 h 281"/>
              <a:gd name="T10" fmla="*/ 140 w 210"/>
              <a:gd name="T11" fmla="*/ 0 h 281"/>
              <a:gd name="T12" fmla="*/ 210 w 210"/>
              <a:gd name="T13" fmla="*/ 71 h 281"/>
              <a:gd name="T14" fmla="*/ 210 w 210"/>
              <a:gd name="T15" fmla="*/ 211 h 281"/>
              <a:gd name="T16" fmla="*/ 140 w 210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1">
                <a:moveTo>
                  <a:pt x="140" y="281"/>
                </a:moveTo>
                <a:lnTo>
                  <a:pt x="70" y="281"/>
                </a:lnTo>
                <a:lnTo>
                  <a:pt x="0" y="211"/>
                </a:lnTo>
                <a:lnTo>
                  <a:pt x="0" y="71"/>
                </a:lnTo>
                <a:lnTo>
                  <a:pt x="70" y="0"/>
                </a:lnTo>
                <a:lnTo>
                  <a:pt x="140" y="0"/>
                </a:lnTo>
                <a:lnTo>
                  <a:pt x="210" y="71"/>
                </a:lnTo>
                <a:lnTo>
                  <a:pt x="210" y="211"/>
                </a:lnTo>
                <a:lnTo>
                  <a:pt x="140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Line 541">
            <a:extLst>
              <a:ext uri="{FF2B5EF4-FFF2-40B4-BE49-F238E27FC236}">
                <a16:creationId xmlns:a16="http://schemas.microsoft.com/office/drawing/2014/main" id="{C10E13DF-8418-4F0E-9F10-458C2482B218}"/>
              </a:ext>
            </a:extLst>
          </xdr:cNvPr>
          <xdr:cNvSpPr>
            <a:spLocks noChangeShapeType="1"/>
          </xdr:cNvSpPr>
        </xdr:nvSpPr>
        <xdr:spPr bwMode="auto">
          <a:xfrm>
            <a:off x="1211" y="252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542">
            <a:extLst>
              <a:ext uri="{FF2B5EF4-FFF2-40B4-BE49-F238E27FC236}">
                <a16:creationId xmlns:a16="http://schemas.microsoft.com/office/drawing/2014/main" id="{B4544009-EB1B-4003-B407-D6B59F0DCF9E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252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Freeform 543">
            <a:extLst>
              <a:ext uri="{FF2B5EF4-FFF2-40B4-BE49-F238E27FC236}">
                <a16:creationId xmlns:a16="http://schemas.microsoft.com/office/drawing/2014/main" id="{CB578D8B-9311-4A1C-AAEB-ABC9AE05C717}"/>
              </a:ext>
            </a:extLst>
          </xdr:cNvPr>
          <xdr:cNvSpPr>
            <a:spLocks/>
          </xdr:cNvSpPr>
        </xdr:nvSpPr>
        <xdr:spPr bwMode="auto">
          <a:xfrm>
            <a:off x="1217" y="246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0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0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544">
            <a:extLst>
              <a:ext uri="{FF2B5EF4-FFF2-40B4-BE49-F238E27FC236}">
                <a16:creationId xmlns:a16="http://schemas.microsoft.com/office/drawing/2014/main" id="{3B8E2ECB-671D-4BA6-9055-AD30412FD7AF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246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Freeform 545">
            <a:extLst>
              <a:ext uri="{FF2B5EF4-FFF2-40B4-BE49-F238E27FC236}">
                <a16:creationId xmlns:a16="http://schemas.microsoft.com/office/drawing/2014/main" id="{0AD7BB8E-06AE-4C0F-AD92-4E3AB6A79A01}"/>
              </a:ext>
            </a:extLst>
          </xdr:cNvPr>
          <xdr:cNvSpPr>
            <a:spLocks/>
          </xdr:cNvSpPr>
        </xdr:nvSpPr>
        <xdr:spPr bwMode="auto">
          <a:xfrm>
            <a:off x="1231" y="246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0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0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7" name="Line 546">
            <a:extLst>
              <a:ext uri="{FF2B5EF4-FFF2-40B4-BE49-F238E27FC236}">
                <a16:creationId xmlns:a16="http://schemas.microsoft.com/office/drawing/2014/main" id="{C1006610-4400-4B8A-9E5C-DA0FA827D2C2}"/>
              </a:ext>
            </a:extLst>
          </xdr:cNvPr>
          <xdr:cNvSpPr>
            <a:spLocks noChangeShapeType="1"/>
          </xdr:cNvSpPr>
        </xdr:nvSpPr>
        <xdr:spPr bwMode="auto">
          <a:xfrm>
            <a:off x="1239" y="248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547">
            <a:extLst>
              <a:ext uri="{FF2B5EF4-FFF2-40B4-BE49-F238E27FC236}">
                <a16:creationId xmlns:a16="http://schemas.microsoft.com/office/drawing/2014/main" id="{E1914148-6B89-45B9-8A9B-DA3BE3B70B54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250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554">
            <a:extLst>
              <a:ext uri="{FF2B5EF4-FFF2-40B4-BE49-F238E27FC236}">
                <a16:creationId xmlns:a16="http://schemas.microsoft.com/office/drawing/2014/main" id="{61DA02C1-2116-47BD-933C-D9FFA254719D}"/>
              </a:ext>
            </a:extLst>
          </xdr:cNvPr>
          <xdr:cNvSpPr>
            <a:spLocks noChangeShapeType="1"/>
          </xdr:cNvSpPr>
        </xdr:nvSpPr>
        <xdr:spPr bwMode="auto">
          <a:xfrm>
            <a:off x="1192" y="238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555">
            <a:extLst>
              <a:ext uri="{FF2B5EF4-FFF2-40B4-BE49-F238E27FC236}">
                <a16:creationId xmlns:a16="http://schemas.microsoft.com/office/drawing/2014/main" id="{A43085B6-93BF-4E29-9090-9622918F90A3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56">
            <a:extLst>
              <a:ext uri="{FF2B5EF4-FFF2-40B4-BE49-F238E27FC236}">
                <a16:creationId xmlns:a16="http://schemas.microsoft.com/office/drawing/2014/main" id="{5D913DED-6FF1-41EA-9632-CF5FDEBAB8B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9" y="226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57">
            <a:extLst>
              <a:ext uri="{FF2B5EF4-FFF2-40B4-BE49-F238E27FC236}">
                <a16:creationId xmlns:a16="http://schemas.microsoft.com/office/drawing/2014/main" id="{F13BDAC8-025B-4E72-948D-EB0FDEAE194B}"/>
              </a:ext>
            </a:extLst>
          </xdr:cNvPr>
          <xdr:cNvSpPr>
            <a:spLocks noChangeShapeType="1"/>
          </xdr:cNvSpPr>
        </xdr:nvSpPr>
        <xdr:spPr bwMode="auto">
          <a:xfrm>
            <a:off x="1209" y="211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558">
            <a:extLst>
              <a:ext uri="{FF2B5EF4-FFF2-40B4-BE49-F238E27FC236}">
                <a16:creationId xmlns:a16="http://schemas.microsoft.com/office/drawing/2014/main" id="{82B9E784-19A9-4D17-ADC5-8C9372569BE1}"/>
              </a:ext>
            </a:extLst>
          </xdr:cNvPr>
          <xdr:cNvSpPr>
            <a:spLocks/>
          </xdr:cNvSpPr>
        </xdr:nvSpPr>
        <xdr:spPr bwMode="auto">
          <a:xfrm>
            <a:off x="1208" y="229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4" name="Freeform 559">
            <a:extLst>
              <a:ext uri="{FF2B5EF4-FFF2-40B4-BE49-F238E27FC236}">
                <a16:creationId xmlns:a16="http://schemas.microsoft.com/office/drawing/2014/main" id="{50CC4CAA-E0E5-45B7-BC37-9E6C24AA62F3}"/>
              </a:ext>
            </a:extLst>
          </xdr:cNvPr>
          <xdr:cNvSpPr>
            <a:spLocks/>
          </xdr:cNvSpPr>
        </xdr:nvSpPr>
        <xdr:spPr bwMode="auto">
          <a:xfrm>
            <a:off x="120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" name="Line 564">
            <a:extLst>
              <a:ext uri="{FF2B5EF4-FFF2-40B4-BE49-F238E27FC236}">
                <a16:creationId xmlns:a16="http://schemas.microsoft.com/office/drawing/2014/main" id="{EEEEA182-AF1B-4B05-A0C9-DFEB278B6554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38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65">
            <a:extLst>
              <a:ext uri="{FF2B5EF4-FFF2-40B4-BE49-F238E27FC236}">
                <a16:creationId xmlns:a16="http://schemas.microsoft.com/office/drawing/2014/main" id="{9AF6C5CD-1CF2-420E-8693-37921EDC6CD3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02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66">
            <a:extLst>
              <a:ext uri="{FF2B5EF4-FFF2-40B4-BE49-F238E27FC236}">
                <a16:creationId xmlns:a16="http://schemas.microsoft.com/office/drawing/2014/main" id="{76CDE583-3D6D-4914-A899-EC35E670A3FA}"/>
              </a:ext>
            </a:extLst>
          </xdr:cNvPr>
          <xdr:cNvSpPr>
            <a:spLocks noChangeShapeType="1"/>
          </xdr:cNvSpPr>
        </xdr:nvSpPr>
        <xdr:spPr bwMode="auto">
          <a:xfrm flipV="1">
            <a:off x="793" y="228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567">
            <a:extLst>
              <a:ext uri="{FF2B5EF4-FFF2-40B4-BE49-F238E27FC236}">
                <a16:creationId xmlns:a16="http://schemas.microsoft.com/office/drawing/2014/main" id="{E0171FA2-522D-4CD1-8BE2-627CCED65083}"/>
              </a:ext>
            </a:extLst>
          </xdr:cNvPr>
          <xdr:cNvSpPr>
            <a:spLocks noChangeShapeType="1"/>
          </xdr:cNvSpPr>
        </xdr:nvSpPr>
        <xdr:spPr bwMode="auto">
          <a:xfrm>
            <a:off x="793" y="211"/>
            <a:ext cx="0" cy="5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Freeform 568">
            <a:extLst>
              <a:ext uri="{FF2B5EF4-FFF2-40B4-BE49-F238E27FC236}">
                <a16:creationId xmlns:a16="http://schemas.microsoft.com/office/drawing/2014/main" id="{F2F68CEA-F994-4C48-9EB4-1077957BC5F7}"/>
              </a:ext>
            </a:extLst>
          </xdr:cNvPr>
          <xdr:cNvSpPr>
            <a:spLocks/>
          </xdr:cNvSpPr>
        </xdr:nvSpPr>
        <xdr:spPr bwMode="auto">
          <a:xfrm>
            <a:off x="791" y="229"/>
            <a:ext cx="3" cy="9"/>
          </a:xfrm>
          <a:custGeom>
            <a:avLst/>
            <a:gdLst>
              <a:gd name="T0" fmla="*/ 0 w 176"/>
              <a:gd name="T1" fmla="*/ 0 h 527"/>
              <a:gd name="T2" fmla="*/ 176 w 176"/>
              <a:gd name="T3" fmla="*/ 0 h 527"/>
              <a:gd name="T4" fmla="*/ 89 w 176"/>
              <a:gd name="T5" fmla="*/ 527 h 527"/>
              <a:gd name="T6" fmla="*/ 0 w 176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0"/>
                </a:moveTo>
                <a:lnTo>
                  <a:pt x="176" y="0"/>
                </a:lnTo>
                <a:lnTo>
                  <a:pt x="89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0" name="Freeform 569">
            <a:extLst>
              <a:ext uri="{FF2B5EF4-FFF2-40B4-BE49-F238E27FC236}">
                <a16:creationId xmlns:a16="http://schemas.microsoft.com/office/drawing/2014/main" id="{E2A85616-A4B8-431B-9660-AE705BB0D29D}"/>
              </a:ext>
            </a:extLst>
          </xdr:cNvPr>
          <xdr:cNvSpPr>
            <a:spLocks/>
          </xdr:cNvSpPr>
        </xdr:nvSpPr>
        <xdr:spPr bwMode="auto">
          <a:xfrm>
            <a:off x="791" y="202"/>
            <a:ext cx="3" cy="9"/>
          </a:xfrm>
          <a:custGeom>
            <a:avLst/>
            <a:gdLst>
              <a:gd name="T0" fmla="*/ 0 w 176"/>
              <a:gd name="T1" fmla="*/ 527 h 527"/>
              <a:gd name="T2" fmla="*/ 176 w 176"/>
              <a:gd name="T3" fmla="*/ 527 h 527"/>
              <a:gd name="T4" fmla="*/ 89 w 176"/>
              <a:gd name="T5" fmla="*/ 0 h 527"/>
              <a:gd name="T6" fmla="*/ 0 w 176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527"/>
                </a:moveTo>
                <a:lnTo>
                  <a:pt x="176" y="527"/>
                </a:lnTo>
                <a:lnTo>
                  <a:pt x="89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1" name="Freeform 570">
            <a:extLst>
              <a:ext uri="{FF2B5EF4-FFF2-40B4-BE49-F238E27FC236}">
                <a16:creationId xmlns:a16="http://schemas.microsoft.com/office/drawing/2014/main" id="{FCB45226-CD90-4495-82D9-37654949077A}"/>
              </a:ext>
            </a:extLst>
          </xdr:cNvPr>
          <xdr:cNvSpPr>
            <a:spLocks/>
          </xdr:cNvSpPr>
        </xdr:nvSpPr>
        <xdr:spPr bwMode="auto">
          <a:xfrm>
            <a:off x="760" y="221"/>
            <a:ext cx="4" cy="5"/>
          </a:xfrm>
          <a:custGeom>
            <a:avLst/>
            <a:gdLst>
              <a:gd name="T0" fmla="*/ 141 w 211"/>
              <a:gd name="T1" fmla="*/ 281 h 281"/>
              <a:gd name="T2" fmla="*/ 71 w 211"/>
              <a:gd name="T3" fmla="*/ 281 h 281"/>
              <a:gd name="T4" fmla="*/ 0 w 211"/>
              <a:gd name="T5" fmla="*/ 210 h 281"/>
              <a:gd name="T6" fmla="*/ 0 w 211"/>
              <a:gd name="T7" fmla="*/ 70 h 281"/>
              <a:gd name="T8" fmla="*/ 71 w 211"/>
              <a:gd name="T9" fmla="*/ 0 h 281"/>
              <a:gd name="T10" fmla="*/ 141 w 211"/>
              <a:gd name="T11" fmla="*/ 0 h 281"/>
              <a:gd name="T12" fmla="*/ 211 w 211"/>
              <a:gd name="T13" fmla="*/ 70 h 281"/>
              <a:gd name="T14" fmla="*/ 211 w 211"/>
              <a:gd name="T15" fmla="*/ 210 h 281"/>
              <a:gd name="T16" fmla="*/ 141 w 21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1" h="281">
                <a:moveTo>
                  <a:pt x="141" y="281"/>
                </a:moveTo>
                <a:lnTo>
                  <a:pt x="71" y="281"/>
                </a:lnTo>
                <a:lnTo>
                  <a:pt x="0" y="210"/>
                </a:lnTo>
                <a:lnTo>
                  <a:pt x="0" y="70"/>
                </a:lnTo>
                <a:lnTo>
                  <a:pt x="71" y="0"/>
                </a:lnTo>
                <a:lnTo>
                  <a:pt x="141" y="0"/>
                </a:lnTo>
                <a:lnTo>
                  <a:pt x="211" y="70"/>
                </a:lnTo>
                <a:lnTo>
                  <a:pt x="211" y="210"/>
                </a:lnTo>
                <a:lnTo>
                  <a:pt x="141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2" name="Line 571">
            <a:extLst>
              <a:ext uri="{FF2B5EF4-FFF2-40B4-BE49-F238E27FC236}">
                <a16:creationId xmlns:a16="http://schemas.microsoft.com/office/drawing/2014/main" id="{2447E48D-1D78-4EF1-9CB4-FF517875A235}"/>
              </a:ext>
            </a:extLst>
          </xdr:cNvPr>
          <xdr:cNvSpPr>
            <a:spLocks noChangeShapeType="1"/>
          </xdr:cNvSpPr>
        </xdr:nvSpPr>
        <xdr:spPr bwMode="auto">
          <a:xfrm>
            <a:off x="764" y="224"/>
            <a:ext cx="1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572">
            <a:extLst>
              <a:ext uri="{FF2B5EF4-FFF2-40B4-BE49-F238E27FC236}">
                <a16:creationId xmlns:a16="http://schemas.microsoft.com/office/drawing/2014/main" id="{74492CE2-CFDF-47FC-A704-5573C67BE017}"/>
              </a:ext>
            </a:extLst>
          </xdr:cNvPr>
          <xdr:cNvSpPr>
            <a:spLocks noChangeShapeType="1"/>
          </xdr:cNvSpPr>
        </xdr:nvSpPr>
        <xdr:spPr bwMode="auto">
          <a:xfrm flipV="1">
            <a:off x="768" y="224"/>
            <a:ext cx="0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573">
            <a:extLst>
              <a:ext uri="{FF2B5EF4-FFF2-40B4-BE49-F238E27FC236}">
                <a16:creationId xmlns:a16="http://schemas.microsoft.com/office/drawing/2014/main" id="{CB578081-6547-4513-9D73-2A908B3B8201}"/>
              </a:ext>
            </a:extLst>
          </xdr:cNvPr>
          <xdr:cNvSpPr>
            <a:spLocks noChangeShapeType="1"/>
          </xdr:cNvSpPr>
        </xdr:nvSpPr>
        <xdr:spPr bwMode="auto">
          <a:xfrm flipV="1">
            <a:off x="770" y="219"/>
            <a:ext cx="0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Freeform 574">
            <a:extLst>
              <a:ext uri="{FF2B5EF4-FFF2-40B4-BE49-F238E27FC236}">
                <a16:creationId xmlns:a16="http://schemas.microsoft.com/office/drawing/2014/main" id="{0322D785-09FF-4104-AD89-8A000C8CF76E}"/>
              </a:ext>
            </a:extLst>
          </xdr:cNvPr>
          <xdr:cNvSpPr>
            <a:spLocks/>
          </xdr:cNvSpPr>
        </xdr:nvSpPr>
        <xdr:spPr bwMode="auto">
          <a:xfrm>
            <a:off x="770" y="221"/>
            <a:ext cx="5" cy="5"/>
          </a:xfrm>
          <a:custGeom>
            <a:avLst/>
            <a:gdLst>
              <a:gd name="T0" fmla="*/ 0 w 281"/>
              <a:gd name="T1" fmla="*/ 140 h 281"/>
              <a:gd name="T2" fmla="*/ 140 w 281"/>
              <a:gd name="T3" fmla="*/ 0 h 281"/>
              <a:gd name="T4" fmla="*/ 210 w 281"/>
              <a:gd name="T5" fmla="*/ 0 h 281"/>
              <a:gd name="T6" fmla="*/ 281 w 281"/>
              <a:gd name="T7" fmla="*/ 70 h 281"/>
              <a:gd name="T8" fmla="*/ 281 w 281"/>
              <a:gd name="T9" fmla="*/ 210 h 281"/>
              <a:gd name="T10" fmla="*/ 210 w 281"/>
              <a:gd name="T11" fmla="*/ 281 h 281"/>
              <a:gd name="T12" fmla="*/ 140 w 281"/>
              <a:gd name="T13" fmla="*/ 281 h 281"/>
              <a:gd name="T14" fmla="*/ 0 w 281"/>
              <a:gd name="T15" fmla="*/ 140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1"/>
                </a:lnTo>
                <a:lnTo>
                  <a:pt x="140" y="281"/>
                </a:lnTo>
                <a:lnTo>
                  <a:pt x="0" y="14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Line 575">
            <a:extLst>
              <a:ext uri="{FF2B5EF4-FFF2-40B4-BE49-F238E27FC236}">
                <a16:creationId xmlns:a16="http://schemas.microsoft.com/office/drawing/2014/main" id="{616474BF-55EE-4965-A494-7AE17608DAB7}"/>
              </a:ext>
            </a:extLst>
          </xdr:cNvPr>
          <xdr:cNvSpPr>
            <a:spLocks noChangeShapeType="1"/>
          </xdr:cNvSpPr>
        </xdr:nvSpPr>
        <xdr:spPr bwMode="auto">
          <a:xfrm flipV="1">
            <a:off x="777" y="219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Freeform 576">
            <a:extLst>
              <a:ext uri="{FF2B5EF4-FFF2-40B4-BE49-F238E27FC236}">
                <a16:creationId xmlns:a16="http://schemas.microsoft.com/office/drawing/2014/main" id="{3479B7F2-9EEA-42D7-A7B2-D4C60785E22D}"/>
              </a:ext>
            </a:extLst>
          </xdr:cNvPr>
          <xdr:cNvSpPr>
            <a:spLocks/>
          </xdr:cNvSpPr>
        </xdr:nvSpPr>
        <xdr:spPr bwMode="auto">
          <a:xfrm>
            <a:off x="784" y="219"/>
            <a:ext cx="5" cy="7"/>
          </a:xfrm>
          <a:custGeom>
            <a:avLst/>
            <a:gdLst>
              <a:gd name="T0" fmla="*/ 0 w 280"/>
              <a:gd name="T1" fmla="*/ 71 h 422"/>
              <a:gd name="T2" fmla="*/ 70 w 280"/>
              <a:gd name="T3" fmla="*/ 0 h 422"/>
              <a:gd name="T4" fmla="*/ 210 w 280"/>
              <a:gd name="T5" fmla="*/ 0 h 422"/>
              <a:gd name="T6" fmla="*/ 280 w 280"/>
              <a:gd name="T7" fmla="*/ 71 h 422"/>
              <a:gd name="T8" fmla="*/ 280 w 280"/>
              <a:gd name="T9" fmla="*/ 141 h 422"/>
              <a:gd name="T10" fmla="*/ 210 w 280"/>
              <a:gd name="T11" fmla="*/ 211 h 422"/>
              <a:gd name="T12" fmla="*/ 70 w 280"/>
              <a:gd name="T13" fmla="*/ 211 h 422"/>
              <a:gd name="T14" fmla="*/ 0 w 280"/>
              <a:gd name="T15" fmla="*/ 281 h 422"/>
              <a:gd name="T16" fmla="*/ 0 w 280"/>
              <a:gd name="T17" fmla="*/ 422 h 422"/>
              <a:gd name="T18" fmla="*/ 280 w 280"/>
              <a:gd name="T19" fmla="*/ 42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0" h="422">
                <a:moveTo>
                  <a:pt x="0" y="71"/>
                </a:move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141"/>
                </a:lnTo>
                <a:lnTo>
                  <a:pt x="210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2"/>
                </a:lnTo>
                <a:lnTo>
                  <a:pt x="280" y="422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Line 577">
            <a:extLst>
              <a:ext uri="{FF2B5EF4-FFF2-40B4-BE49-F238E27FC236}">
                <a16:creationId xmlns:a16="http://schemas.microsoft.com/office/drawing/2014/main" id="{AC115C99-BE45-4716-9886-00D441F3D949}"/>
              </a:ext>
            </a:extLst>
          </xdr:cNvPr>
          <xdr:cNvSpPr>
            <a:spLocks noChangeShapeType="1"/>
          </xdr:cNvSpPr>
        </xdr:nvSpPr>
        <xdr:spPr bwMode="auto">
          <a:xfrm>
            <a:off x="791" y="221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578">
            <a:extLst>
              <a:ext uri="{FF2B5EF4-FFF2-40B4-BE49-F238E27FC236}">
                <a16:creationId xmlns:a16="http://schemas.microsoft.com/office/drawing/2014/main" id="{F4BF23E7-ADFD-40E4-9CC5-BEA8877789BF}"/>
              </a:ext>
            </a:extLst>
          </xdr:cNvPr>
          <xdr:cNvSpPr>
            <a:spLocks noChangeShapeType="1"/>
          </xdr:cNvSpPr>
        </xdr:nvSpPr>
        <xdr:spPr bwMode="auto">
          <a:xfrm flipH="1">
            <a:off x="791" y="223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Freeform 586">
            <a:extLst>
              <a:ext uri="{FF2B5EF4-FFF2-40B4-BE49-F238E27FC236}">
                <a16:creationId xmlns:a16="http://schemas.microsoft.com/office/drawing/2014/main" id="{5DC36C71-5357-41A6-8811-79E8C07CEDF5}"/>
              </a:ext>
            </a:extLst>
          </xdr:cNvPr>
          <xdr:cNvSpPr>
            <a:spLocks/>
          </xdr:cNvSpPr>
        </xdr:nvSpPr>
        <xdr:spPr bwMode="auto">
          <a:xfrm>
            <a:off x="1201" y="96"/>
            <a:ext cx="4" cy="4"/>
          </a:xfrm>
          <a:custGeom>
            <a:avLst/>
            <a:gdLst>
              <a:gd name="T0" fmla="*/ 0 w 282"/>
              <a:gd name="T1" fmla="*/ 210 h 210"/>
              <a:gd name="T2" fmla="*/ 212 w 282"/>
              <a:gd name="T3" fmla="*/ 210 h 210"/>
              <a:gd name="T4" fmla="*/ 282 w 282"/>
              <a:gd name="T5" fmla="*/ 140 h 210"/>
              <a:gd name="T6" fmla="*/ 282 w 282"/>
              <a:gd name="T7" fmla="*/ 70 h 210"/>
              <a:gd name="T8" fmla="*/ 212 w 282"/>
              <a:gd name="T9" fmla="*/ 0 h 210"/>
              <a:gd name="T10" fmla="*/ 70 w 282"/>
              <a:gd name="T11" fmla="*/ 0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2" h="210">
                <a:moveTo>
                  <a:pt x="0" y="210"/>
                </a:moveTo>
                <a:lnTo>
                  <a:pt x="212" y="210"/>
                </a:lnTo>
                <a:lnTo>
                  <a:pt x="282" y="140"/>
                </a:lnTo>
                <a:lnTo>
                  <a:pt x="282" y="70"/>
                </a:lnTo>
                <a:lnTo>
                  <a:pt x="212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Freeform 587">
            <a:extLst>
              <a:ext uri="{FF2B5EF4-FFF2-40B4-BE49-F238E27FC236}">
                <a16:creationId xmlns:a16="http://schemas.microsoft.com/office/drawing/2014/main" id="{5F56F867-C1D3-4A6B-8CAC-016F7C304026}"/>
              </a:ext>
            </a:extLst>
          </xdr:cNvPr>
          <xdr:cNvSpPr>
            <a:spLocks/>
          </xdr:cNvSpPr>
        </xdr:nvSpPr>
        <xdr:spPr bwMode="auto">
          <a:xfrm>
            <a:off x="1201" y="93"/>
            <a:ext cx="4" cy="3"/>
          </a:xfrm>
          <a:custGeom>
            <a:avLst/>
            <a:gdLst>
              <a:gd name="T0" fmla="*/ 212 w 282"/>
              <a:gd name="T1" fmla="*/ 211 h 211"/>
              <a:gd name="T2" fmla="*/ 282 w 282"/>
              <a:gd name="T3" fmla="*/ 141 h 211"/>
              <a:gd name="T4" fmla="*/ 282 w 282"/>
              <a:gd name="T5" fmla="*/ 70 h 211"/>
              <a:gd name="T6" fmla="*/ 212 w 282"/>
              <a:gd name="T7" fmla="*/ 0 h 211"/>
              <a:gd name="T8" fmla="*/ 0 w 282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2" h="211">
                <a:moveTo>
                  <a:pt x="212" y="211"/>
                </a:moveTo>
                <a:lnTo>
                  <a:pt x="282" y="141"/>
                </a:lnTo>
                <a:lnTo>
                  <a:pt x="282" y="70"/>
                </a:lnTo>
                <a:lnTo>
                  <a:pt x="212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Line 588">
            <a:extLst>
              <a:ext uri="{FF2B5EF4-FFF2-40B4-BE49-F238E27FC236}">
                <a16:creationId xmlns:a16="http://schemas.microsoft.com/office/drawing/2014/main" id="{F54E44B5-26F8-4664-9B7F-CA8EEA60102B}"/>
              </a:ext>
            </a:extLst>
          </xdr:cNvPr>
          <xdr:cNvSpPr>
            <a:spLocks noChangeShapeType="1"/>
          </xdr:cNvSpPr>
        </xdr:nvSpPr>
        <xdr:spPr bwMode="auto">
          <a:xfrm>
            <a:off x="1202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Freeform 589">
            <a:extLst>
              <a:ext uri="{FF2B5EF4-FFF2-40B4-BE49-F238E27FC236}">
                <a16:creationId xmlns:a16="http://schemas.microsoft.com/office/drawing/2014/main" id="{247C7128-D3A0-4207-8A37-1EF900864418}"/>
              </a:ext>
            </a:extLst>
          </xdr:cNvPr>
          <xdr:cNvSpPr>
            <a:spLocks/>
          </xdr:cNvSpPr>
        </xdr:nvSpPr>
        <xdr:spPr bwMode="auto">
          <a:xfrm>
            <a:off x="1208" y="95"/>
            <a:ext cx="5" cy="5"/>
          </a:xfrm>
          <a:custGeom>
            <a:avLst/>
            <a:gdLst>
              <a:gd name="T0" fmla="*/ 210 w 281"/>
              <a:gd name="T1" fmla="*/ 280 h 280"/>
              <a:gd name="T2" fmla="*/ 70 w 281"/>
              <a:gd name="T3" fmla="*/ 280 h 280"/>
              <a:gd name="T4" fmla="*/ 0 w 281"/>
              <a:gd name="T5" fmla="*/ 210 h 280"/>
              <a:gd name="T6" fmla="*/ 0 w 281"/>
              <a:gd name="T7" fmla="*/ 70 h 280"/>
              <a:gd name="T8" fmla="*/ 70 w 281"/>
              <a:gd name="T9" fmla="*/ 0 h 280"/>
              <a:gd name="T10" fmla="*/ 210 w 281"/>
              <a:gd name="T11" fmla="*/ 0 h 280"/>
              <a:gd name="T12" fmla="*/ 281 w 281"/>
              <a:gd name="T13" fmla="*/ 70 h 280"/>
              <a:gd name="T14" fmla="*/ 281 w 281"/>
              <a:gd name="T15" fmla="*/ 210 h 280"/>
              <a:gd name="T16" fmla="*/ 210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Line 590">
            <a:extLst>
              <a:ext uri="{FF2B5EF4-FFF2-40B4-BE49-F238E27FC236}">
                <a16:creationId xmlns:a16="http://schemas.microsoft.com/office/drawing/2014/main" id="{D3052AC0-798A-473A-A1CD-FE33E389D5ED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Freeform 591">
            <a:extLst>
              <a:ext uri="{FF2B5EF4-FFF2-40B4-BE49-F238E27FC236}">
                <a16:creationId xmlns:a16="http://schemas.microsoft.com/office/drawing/2014/main" id="{14352B08-559D-47CF-AD1C-83EB057E4501}"/>
              </a:ext>
            </a:extLst>
          </xdr:cNvPr>
          <xdr:cNvSpPr>
            <a:spLocks/>
          </xdr:cNvSpPr>
        </xdr:nvSpPr>
        <xdr:spPr bwMode="auto">
          <a:xfrm>
            <a:off x="1215" y="95"/>
            <a:ext cx="5" cy="3"/>
          </a:xfrm>
          <a:custGeom>
            <a:avLst/>
            <a:gdLst>
              <a:gd name="T0" fmla="*/ 0 w 281"/>
              <a:gd name="T1" fmla="*/ 140 h 140"/>
              <a:gd name="T2" fmla="*/ 140 w 281"/>
              <a:gd name="T3" fmla="*/ 0 h 140"/>
              <a:gd name="T4" fmla="*/ 210 w 281"/>
              <a:gd name="T5" fmla="*/ 0 h 140"/>
              <a:gd name="T6" fmla="*/ 281 w 281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1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6" name="Freeform 592">
            <a:extLst>
              <a:ext uri="{FF2B5EF4-FFF2-40B4-BE49-F238E27FC236}">
                <a16:creationId xmlns:a16="http://schemas.microsoft.com/office/drawing/2014/main" id="{8A5EF0F2-A9DB-43C2-9CDD-837260AF2917}"/>
              </a:ext>
            </a:extLst>
          </xdr:cNvPr>
          <xdr:cNvSpPr>
            <a:spLocks/>
          </xdr:cNvSpPr>
        </xdr:nvSpPr>
        <xdr:spPr bwMode="auto">
          <a:xfrm>
            <a:off x="1222" y="95"/>
            <a:ext cx="5" cy="5"/>
          </a:xfrm>
          <a:custGeom>
            <a:avLst/>
            <a:gdLst>
              <a:gd name="T0" fmla="*/ 280 w 280"/>
              <a:gd name="T1" fmla="*/ 140 h 280"/>
              <a:gd name="T2" fmla="*/ 140 w 280"/>
              <a:gd name="T3" fmla="*/ 280 h 280"/>
              <a:gd name="T4" fmla="*/ 70 w 280"/>
              <a:gd name="T5" fmla="*/ 280 h 280"/>
              <a:gd name="T6" fmla="*/ 0 w 280"/>
              <a:gd name="T7" fmla="*/ 210 h 280"/>
              <a:gd name="T8" fmla="*/ 0 w 280"/>
              <a:gd name="T9" fmla="*/ 70 h 280"/>
              <a:gd name="T10" fmla="*/ 70 w 280"/>
              <a:gd name="T11" fmla="*/ 0 h 280"/>
              <a:gd name="T12" fmla="*/ 140 w 280"/>
              <a:gd name="T13" fmla="*/ 0 h 280"/>
              <a:gd name="T14" fmla="*/ 280 w 280"/>
              <a:gd name="T15" fmla="*/ 14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0" h="280">
                <a:moveTo>
                  <a:pt x="280" y="140"/>
                </a:moveTo>
                <a:lnTo>
                  <a:pt x="140" y="280"/>
                </a:ln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80" y="14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593">
            <a:extLst>
              <a:ext uri="{FF2B5EF4-FFF2-40B4-BE49-F238E27FC236}">
                <a16:creationId xmlns:a16="http://schemas.microsoft.com/office/drawing/2014/main" id="{F4524544-10DF-4C00-AB08-5DB8E25AB189}"/>
              </a:ext>
            </a:extLst>
          </xdr:cNvPr>
          <xdr:cNvSpPr>
            <a:spLocks noChangeShapeType="1"/>
          </xdr:cNvSpPr>
        </xdr:nvSpPr>
        <xdr:spPr bwMode="auto">
          <a:xfrm>
            <a:off x="1227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Freeform 594">
            <a:extLst>
              <a:ext uri="{FF2B5EF4-FFF2-40B4-BE49-F238E27FC236}">
                <a16:creationId xmlns:a16="http://schemas.microsoft.com/office/drawing/2014/main" id="{A132021B-6B84-4F8D-BBC9-787E50C5EB7C}"/>
              </a:ext>
            </a:extLst>
          </xdr:cNvPr>
          <xdr:cNvSpPr>
            <a:spLocks/>
          </xdr:cNvSpPr>
        </xdr:nvSpPr>
        <xdr:spPr bwMode="auto">
          <a:xfrm>
            <a:off x="1229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" name="Freeform 595">
            <a:extLst>
              <a:ext uri="{FF2B5EF4-FFF2-40B4-BE49-F238E27FC236}">
                <a16:creationId xmlns:a16="http://schemas.microsoft.com/office/drawing/2014/main" id="{F10A0618-B6CF-4CBE-A8CF-B70846B1D337}"/>
              </a:ext>
            </a:extLst>
          </xdr:cNvPr>
          <xdr:cNvSpPr>
            <a:spLocks/>
          </xdr:cNvSpPr>
        </xdr:nvSpPr>
        <xdr:spPr bwMode="auto">
          <a:xfrm>
            <a:off x="1244" y="95"/>
            <a:ext cx="4" cy="5"/>
          </a:xfrm>
          <a:custGeom>
            <a:avLst/>
            <a:gdLst>
              <a:gd name="T0" fmla="*/ 0 w 281"/>
              <a:gd name="T1" fmla="*/ 140 h 280"/>
              <a:gd name="T2" fmla="*/ 211 w 281"/>
              <a:gd name="T3" fmla="*/ 140 h 280"/>
              <a:gd name="T4" fmla="*/ 281 w 281"/>
              <a:gd name="T5" fmla="*/ 70 h 280"/>
              <a:gd name="T6" fmla="*/ 211 w 281"/>
              <a:gd name="T7" fmla="*/ 0 h 280"/>
              <a:gd name="T8" fmla="*/ 70 w 281"/>
              <a:gd name="T9" fmla="*/ 0 h 280"/>
              <a:gd name="T10" fmla="*/ 0 w 281"/>
              <a:gd name="T11" fmla="*/ 70 h 280"/>
              <a:gd name="T12" fmla="*/ 0 w 281"/>
              <a:gd name="T13" fmla="*/ 210 h 280"/>
              <a:gd name="T14" fmla="*/ 70 w 281"/>
              <a:gd name="T15" fmla="*/ 280 h 280"/>
              <a:gd name="T16" fmla="*/ 211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0" y="140"/>
                </a:moveTo>
                <a:lnTo>
                  <a:pt x="211" y="140"/>
                </a:lnTo>
                <a:lnTo>
                  <a:pt x="281" y="70"/>
                </a:lnTo>
                <a:lnTo>
                  <a:pt x="211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1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0" name="Line 596">
            <a:extLst>
              <a:ext uri="{FF2B5EF4-FFF2-40B4-BE49-F238E27FC236}">
                <a16:creationId xmlns:a16="http://schemas.microsoft.com/office/drawing/2014/main" id="{DB2F47D8-AB4D-41C1-BF21-EF43A89FAD1B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597">
            <a:extLst>
              <a:ext uri="{FF2B5EF4-FFF2-40B4-BE49-F238E27FC236}">
                <a16:creationId xmlns:a16="http://schemas.microsoft.com/office/drawing/2014/main" id="{263E6B18-DAF8-462D-B154-B20BABC61955}"/>
              </a:ext>
            </a:extLst>
          </xdr:cNvPr>
          <xdr:cNvSpPr>
            <a:spLocks noChangeShapeType="1"/>
          </xdr:cNvSpPr>
        </xdr:nvSpPr>
        <xdr:spPr bwMode="auto">
          <a:xfrm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598">
            <a:extLst>
              <a:ext uri="{FF2B5EF4-FFF2-40B4-BE49-F238E27FC236}">
                <a16:creationId xmlns:a16="http://schemas.microsoft.com/office/drawing/2014/main" id="{7CFEC1A9-37B5-4547-9753-652098F2F147}"/>
              </a:ext>
            </a:extLst>
          </xdr:cNvPr>
          <xdr:cNvSpPr>
            <a:spLocks noChangeShapeType="1"/>
          </xdr:cNvSpPr>
        </xdr:nvSpPr>
        <xdr:spPr bwMode="auto">
          <a:xfrm>
            <a:off x="1258" y="95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Freeform 599">
            <a:extLst>
              <a:ext uri="{FF2B5EF4-FFF2-40B4-BE49-F238E27FC236}">
                <a16:creationId xmlns:a16="http://schemas.microsoft.com/office/drawing/2014/main" id="{0459F750-5AB9-42A7-BE58-962CB8C30128}"/>
              </a:ext>
            </a:extLst>
          </xdr:cNvPr>
          <xdr:cNvSpPr>
            <a:spLocks/>
          </xdr:cNvSpPr>
        </xdr:nvSpPr>
        <xdr:spPr bwMode="auto">
          <a:xfrm>
            <a:off x="1260" y="93"/>
            <a:ext cx="3" cy="7"/>
          </a:xfrm>
          <a:custGeom>
            <a:avLst/>
            <a:gdLst>
              <a:gd name="T0" fmla="*/ 0 w 141"/>
              <a:gd name="T1" fmla="*/ 0 h 421"/>
              <a:gd name="T2" fmla="*/ 0 w 141"/>
              <a:gd name="T3" fmla="*/ 351 h 421"/>
              <a:gd name="T4" fmla="*/ 70 w 141"/>
              <a:gd name="T5" fmla="*/ 421 h 421"/>
              <a:gd name="T6" fmla="*/ 141 w 141"/>
              <a:gd name="T7" fmla="*/ 35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1">
                <a:moveTo>
                  <a:pt x="0" y="0"/>
                </a:moveTo>
                <a:lnTo>
                  <a:pt x="0" y="351"/>
                </a:lnTo>
                <a:lnTo>
                  <a:pt x="70" y="421"/>
                </a:lnTo>
                <a:lnTo>
                  <a:pt x="141" y="35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4" name="Freeform 600">
            <a:extLst>
              <a:ext uri="{FF2B5EF4-FFF2-40B4-BE49-F238E27FC236}">
                <a16:creationId xmlns:a16="http://schemas.microsoft.com/office/drawing/2014/main" id="{0044571C-EF9F-45D6-AF31-A7CE9E5CF43A}"/>
              </a:ext>
            </a:extLst>
          </xdr:cNvPr>
          <xdr:cNvSpPr>
            <a:spLocks/>
          </xdr:cNvSpPr>
        </xdr:nvSpPr>
        <xdr:spPr bwMode="auto">
          <a:xfrm>
            <a:off x="1265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" name="Line 601">
            <a:extLst>
              <a:ext uri="{FF2B5EF4-FFF2-40B4-BE49-F238E27FC236}">
                <a16:creationId xmlns:a16="http://schemas.microsoft.com/office/drawing/2014/main" id="{E6F8C1F7-FE86-4CA0-B947-0125AAB1560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2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Freeform 602">
            <a:extLst>
              <a:ext uri="{FF2B5EF4-FFF2-40B4-BE49-F238E27FC236}">
                <a16:creationId xmlns:a16="http://schemas.microsoft.com/office/drawing/2014/main" id="{BE065ABB-FCF3-4BFD-A09A-3F6210AD6419}"/>
              </a:ext>
            </a:extLst>
          </xdr:cNvPr>
          <xdr:cNvSpPr>
            <a:spLocks/>
          </xdr:cNvSpPr>
        </xdr:nvSpPr>
        <xdr:spPr bwMode="auto">
          <a:xfrm>
            <a:off x="1272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" name="Line 603">
            <a:extLst>
              <a:ext uri="{FF2B5EF4-FFF2-40B4-BE49-F238E27FC236}">
                <a16:creationId xmlns:a16="http://schemas.microsoft.com/office/drawing/2014/main" id="{4575E779-EB3B-48CE-8F6C-44FE2C875B3E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604">
            <a:extLst>
              <a:ext uri="{FF2B5EF4-FFF2-40B4-BE49-F238E27FC236}">
                <a16:creationId xmlns:a16="http://schemas.microsoft.com/office/drawing/2014/main" id="{335442DE-165A-462D-ABE9-46437CD24A6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Freeform 605">
            <a:extLst>
              <a:ext uri="{FF2B5EF4-FFF2-40B4-BE49-F238E27FC236}">
                <a16:creationId xmlns:a16="http://schemas.microsoft.com/office/drawing/2014/main" id="{38D48279-0A06-4B04-AE50-27D6399C8215}"/>
              </a:ext>
            </a:extLst>
          </xdr:cNvPr>
          <xdr:cNvSpPr>
            <a:spLocks/>
          </xdr:cNvSpPr>
        </xdr:nvSpPr>
        <xdr:spPr bwMode="auto">
          <a:xfrm>
            <a:off x="1282" y="95"/>
            <a:ext cx="4" cy="5"/>
          </a:xfrm>
          <a:custGeom>
            <a:avLst/>
            <a:gdLst>
              <a:gd name="T0" fmla="*/ 210 w 280"/>
              <a:gd name="T1" fmla="*/ 280 h 280"/>
              <a:gd name="T2" fmla="*/ 70 w 280"/>
              <a:gd name="T3" fmla="*/ 280 h 280"/>
              <a:gd name="T4" fmla="*/ 0 w 280"/>
              <a:gd name="T5" fmla="*/ 210 h 280"/>
              <a:gd name="T6" fmla="*/ 0 w 280"/>
              <a:gd name="T7" fmla="*/ 70 h 280"/>
              <a:gd name="T8" fmla="*/ 70 w 280"/>
              <a:gd name="T9" fmla="*/ 0 h 280"/>
              <a:gd name="T10" fmla="*/ 210 w 280"/>
              <a:gd name="T11" fmla="*/ 0 h 280"/>
              <a:gd name="T12" fmla="*/ 280 w 280"/>
              <a:gd name="T13" fmla="*/ 70 h 280"/>
              <a:gd name="T14" fmla="*/ 280 w 280"/>
              <a:gd name="T15" fmla="*/ 21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0" y="70"/>
                </a:lnTo>
                <a:lnTo>
                  <a:pt x="280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" name="Line 606">
            <a:extLst>
              <a:ext uri="{FF2B5EF4-FFF2-40B4-BE49-F238E27FC236}">
                <a16:creationId xmlns:a16="http://schemas.microsoft.com/office/drawing/2014/main" id="{5F5D2128-B208-4DEE-BA89-D4EEB0150F3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Freeform 607">
            <a:extLst>
              <a:ext uri="{FF2B5EF4-FFF2-40B4-BE49-F238E27FC236}">
                <a16:creationId xmlns:a16="http://schemas.microsoft.com/office/drawing/2014/main" id="{D979ABCF-AAD2-4D60-9670-D96CB18DE6D4}"/>
              </a:ext>
            </a:extLst>
          </xdr:cNvPr>
          <xdr:cNvSpPr>
            <a:spLocks/>
          </xdr:cNvSpPr>
        </xdr:nvSpPr>
        <xdr:spPr bwMode="auto">
          <a:xfrm>
            <a:off x="1289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" name="Freeform 608">
            <a:extLst>
              <a:ext uri="{FF2B5EF4-FFF2-40B4-BE49-F238E27FC236}">
                <a16:creationId xmlns:a16="http://schemas.microsoft.com/office/drawing/2014/main" id="{449542AB-C0C4-43C2-8451-551600602E52}"/>
              </a:ext>
            </a:extLst>
          </xdr:cNvPr>
          <xdr:cNvSpPr>
            <a:spLocks/>
          </xdr:cNvSpPr>
        </xdr:nvSpPr>
        <xdr:spPr bwMode="auto">
          <a:xfrm>
            <a:off x="1206" y="307"/>
            <a:ext cx="5" cy="3"/>
          </a:xfrm>
          <a:custGeom>
            <a:avLst/>
            <a:gdLst>
              <a:gd name="T0" fmla="*/ 0 w 280"/>
              <a:gd name="T1" fmla="*/ 211 h 211"/>
              <a:gd name="T2" fmla="*/ 210 w 280"/>
              <a:gd name="T3" fmla="*/ 211 h 211"/>
              <a:gd name="T4" fmla="*/ 280 w 280"/>
              <a:gd name="T5" fmla="*/ 141 h 211"/>
              <a:gd name="T6" fmla="*/ 280 w 280"/>
              <a:gd name="T7" fmla="*/ 70 h 211"/>
              <a:gd name="T8" fmla="*/ 210 w 280"/>
              <a:gd name="T9" fmla="*/ 0 h 211"/>
              <a:gd name="T10" fmla="*/ 70 w 280"/>
              <a:gd name="T11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0" h="211">
                <a:moveTo>
                  <a:pt x="0" y="211"/>
                </a:moveTo>
                <a:lnTo>
                  <a:pt x="210" y="211"/>
                </a:lnTo>
                <a:lnTo>
                  <a:pt x="280" y="141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" name="Freeform 609">
            <a:extLst>
              <a:ext uri="{FF2B5EF4-FFF2-40B4-BE49-F238E27FC236}">
                <a16:creationId xmlns:a16="http://schemas.microsoft.com/office/drawing/2014/main" id="{2323B601-FE64-4AFF-852E-4AEBC0F2491B}"/>
              </a:ext>
            </a:extLst>
          </xdr:cNvPr>
          <xdr:cNvSpPr>
            <a:spLocks/>
          </xdr:cNvSpPr>
        </xdr:nvSpPr>
        <xdr:spPr bwMode="auto">
          <a:xfrm>
            <a:off x="1206" y="303"/>
            <a:ext cx="5" cy="4"/>
          </a:xfrm>
          <a:custGeom>
            <a:avLst/>
            <a:gdLst>
              <a:gd name="T0" fmla="*/ 210 w 280"/>
              <a:gd name="T1" fmla="*/ 211 h 211"/>
              <a:gd name="T2" fmla="*/ 280 w 280"/>
              <a:gd name="T3" fmla="*/ 140 h 211"/>
              <a:gd name="T4" fmla="*/ 280 w 280"/>
              <a:gd name="T5" fmla="*/ 70 h 211"/>
              <a:gd name="T6" fmla="*/ 210 w 280"/>
              <a:gd name="T7" fmla="*/ 0 h 211"/>
              <a:gd name="T8" fmla="*/ 0 w 280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0" h="211">
                <a:moveTo>
                  <a:pt x="210" y="211"/>
                </a:moveTo>
                <a:lnTo>
                  <a:pt x="280" y="140"/>
                </a:lnTo>
                <a:lnTo>
                  <a:pt x="280" y="70"/>
                </a:lnTo>
                <a:lnTo>
                  <a:pt x="210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" name="Line 610">
            <a:extLst>
              <a:ext uri="{FF2B5EF4-FFF2-40B4-BE49-F238E27FC236}">
                <a16:creationId xmlns:a16="http://schemas.microsoft.com/office/drawing/2014/main" id="{AD4CC034-818B-454E-BFE1-78845461ECDF}"/>
              </a:ext>
            </a:extLst>
          </xdr:cNvPr>
          <xdr:cNvSpPr>
            <a:spLocks noChangeShapeType="1"/>
          </xdr:cNvSpPr>
        </xdr:nvSpPr>
        <xdr:spPr bwMode="auto">
          <a:xfrm>
            <a:off x="1208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Freeform 611">
            <a:extLst>
              <a:ext uri="{FF2B5EF4-FFF2-40B4-BE49-F238E27FC236}">
                <a16:creationId xmlns:a16="http://schemas.microsoft.com/office/drawing/2014/main" id="{844C14D2-96AC-450A-9E03-EB546A01BD65}"/>
              </a:ext>
            </a:extLst>
          </xdr:cNvPr>
          <xdr:cNvSpPr>
            <a:spLocks/>
          </xdr:cNvSpPr>
        </xdr:nvSpPr>
        <xdr:spPr bwMode="auto">
          <a:xfrm>
            <a:off x="1213" y="305"/>
            <a:ext cx="5" cy="5"/>
          </a:xfrm>
          <a:custGeom>
            <a:avLst/>
            <a:gdLst>
              <a:gd name="T0" fmla="*/ 210 w 280"/>
              <a:gd name="T1" fmla="*/ 282 h 282"/>
              <a:gd name="T2" fmla="*/ 70 w 280"/>
              <a:gd name="T3" fmla="*/ 282 h 282"/>
              <a:gd name="T4" fmla="*/ 0 w 280"/>
              <a:gd name="T5" fmla="*/ 212 h 282"/>
              <a:gd name="T6" fmla="*/ 0 w 280"/>
              <a:gd name="T7" fmla="*/ 71 h 282"/>
              <a:gd name="T8" fmla="*/ 70 w 280"/>
              <a:gd name="T9" fmla="*/ 0 h 282"/>
              <a:gd name="T10" fmla="*/ 210 w 280"/>
              <a:gd name="T11" fmla="*/ 0 h 282"/>
              <a:gd name="T12" fmla="*/ 280 w 280"/>
              <a:gd name="T13" fmla="*/ 71 h 282"/>
              <a:gd name="T14" fmla="*/ 280 w 280"/>
              <a:gd name="T15" fmla="*/ 212 h 282"/>
              <a:gd name="T16" fmla="*/ 210 w 280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" name="Line 612">
            <a:extLst>
              <a:ext uri="{FF2B5EF4-FFF2-40B4-BE49-F238E27FC236}">
                <a16:creationId xmlns:a16="http://schemas.microsoft.com/office/drawing/2014/main" id="{DC93CF05-FF5E-4992-A472-CB8F860A9C78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1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Freeform 613">
            <a:extLst>
              <a:ext uri="{FF2B5EF4-FFF2-40B4-BE49-F238E27FC236}">
                <a16:creationId xmlns:a16="http://schemas.microsoft.com/office/drawing/2014/main" id="{677FFE78-FC4F-4E8D-8A62-BD06C5148BD5}"/>
              </a:ext>
            </a:extLst>
          </xdr:cNvPr>
          <xdr:cNvSpPr>
            <a:spLocks/>
          </xdr:cNvSpPr>
        </xdr:nvSpPr>
        <xdr:spPr bwMode="auto">
          <a:xfrm>
            <a:off x="1221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" name="Freeform 614">
            <a:extLst>
              <a:ext uri="{FF2B5EF4-FFF2-40B4-BE49-F238E27FC236}">
                <a16:creationId xmlns:a16="http://schemas.microsoft.com/office/drawing/2014/main" id="{2DF4622D-D6A5-4ACA-9116-D845671ED86F}"/>
              </a:ext>
            </a:extLst>
          </xdr:cNvPr>
          <xdr:cNvSpPr>
            <a:spLocks/>
          </xdr:cNvSpPr>
        </xdr:nvSpPr>
        <xdr:spPr bwMode="auto">
          <a:xfrm>
            <a:off x="1228" y="305"/>
            <a:ext cx="5" cy="5"/>
          </a:xfrm>
          <a:custGeom>
            <a:avLst/>
            <a:gdLst>
              <a:gd name="T0" fmla="*/ 281 w 281"/>
              <a:gd name="T1" fmla="*/ 141 h 282"/>
              <a:gd name="T2" fmla="*/ 141 w 281"/>
              <a:gd name="T3" fmla="*/ 282 h 282"/>
              <a:gd name="T4" fmla="*/ 71 w 281"/>
              <a:gd name="T5" fmla="*/ 282 h 282"/>
              <a:gd name="T6" fmla="*/ 0 w 281"/>
              <a:gd name="T7" fmla="*/ 212 h 282"/>
              <a:gd name="T8" fmla="*/ 0 w 281"/>
              <a:gd name="T9" fmla="*/ 71 h 282"/>
              <a:gd name="T10" fmla="*/ 71 w 281"/>
              <a:gd name="T11" fmla="*/ 0 h 282"/>
              <a:gd name="T12" fmla="*/ 141 w 281"/>
              <a:gd name="T13" fmla="*/ 0 h 282"/>
              <a:gd name="T14" fmla="*/ 281 w 281"/>
              <a:gd name="T15" fmla="*/ 141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2">
                <a:moveTo>
                  <a:pt x="281" y="141"/>
                </a:moveTo>
                <a:lnTo>
                  <a:pt x="141" y="282"/>
                </a:lnTo>
                <a:lnTo>
                  <a:pt x="71" y="282"/>
                </a:lnTo>
                <a:lnTo>
                  <a:pt x="0" y="212"/>
                </a:lnTo>
                <a:lnTo>
                  <a:pt x="0" y="71"/>
                </a:lnTo>
                <a:lnTo>
                  <a:pt x="71" y="0"/>
                </a:lnTo>
                <a:lnTo>
                  <a:pt x="141" y="0"/>
                </a:lnTo>
                <a:lnTo>
                  <a:pt x="281" y="141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" name="Line 615">
            <a:extLst>
              <a:ext uri="{FF2B5EF4-FFF2-40B4-BE49-F238E27FC236}">
                <a16:creationId xmlns:a16="http://schemas.microsoft.com/office/drawing/2014/main" id="{055E4422-99C4-4A04-94C8-BE617D23830B}"/>
              </a:ext>
            </a:extLst>
          </xdr:cNvPr>
          <xdr:cNvSpPr>
            <a:spLocks noChangeShapeType="1"/>
          </xdr:cNvSpPr>
        </xdr:nvSpPr>
        <xdr:spPr bwMode="auto">
          <a:xfrm>
            <a:off x="1233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Freeform 616">
            <a:extLst>
              <a:ext uri="{FF2B5EF4-FFF2-40B4-BE49-F238E27FC236}">
                <a16:creationId xmlns:a16="http://schemas.microsoft.com/office/drawing/2014/main" id="{F7C40D96-AF87-4A93-9581-2D2073383EBA}"/>
              </a:ext>
            </a:extLst>
          </xdr:cNvPr>
          <xdr:cNvSpPr>
            <a:spLocks/>
          </xdr:cNvSpPr>
        </xdr:nvSpPr>
        <xdr:spPr bwMode="auto">
          <a:xfrm>
            <a:off x="1235" y="305"/>
            <a:ext cx="5" cy="5"/>
          </a:xfrm>
          <a:custGeom>
            <a:avLst/>
            <a:gdLst>
              <a:gd name="T0" fmla="*/ 0 w 281"/>
              <a:gd name="T1" fmla="*/ 141 h 282"/>
              <a:gd name="T2" fmla="*/ 211 w 281"/>
              <a:gd name="T3" fmla="*/ 141 h 282"/>
              <a:gd name="T4" fmla="*/ 281 w 281"/>
              <a:gd name="T5" fmla="*/ 71 h 282"/>
              <a:gd name="T6" fmla="*/ 211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1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1" y="141"/>
                </a:lnTo>
                <a:lnTo>
                  <a:pt x="281" y="71"/>
                </a:lnTo>
                <a:lnTo>
                  <a:pt x="211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1" name="Line 617">
            <a:extLst>
              <a:ext uri="{FF2B5EF4-FFF2-40B4-BE49-F238E27FC236}">
                <a16:creationId xmlns:a16="http://schemas.microsoft.com/office/drawing/2014/main" id="{AD79A5B2-6C5A-4D89-A3F8-4BF7954F7A8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Line 618">
            <a:extLst>
              <a:ext uri="{FF2B5EF4-FFF2-40B4-BE49-F238E27FC236}">
                <a16:creationId xmlns:a16="http://schemas.microsoft.com/office/drawing/2014/main" id="{44998EF2-54C6-4A0C-9C84-829E032BBE4D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619">
            <a:extLst>
              <a:ext uri="{FF2B5EF4-FFF2-40B4-BE49-F238E27FC236}">
                <a16:creationId xmlns:a16="http://schemas.microsoft.com/office/drawing/2014/main" id="{3A9625DB-874A-47A2-9B0C-0B9703891C5A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2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Freeform 620">
            <a:extLst>
              <a:ext uri="{FF2B5EF4-FFF2-40B4-BE49-F238E27FC236}">
                <a16:creationId xmlns:a16="http://schemas.microsoft.com/office/drawing/2014/main" id="{10117FCB-E0D3-4C25-9AE5-CB71C9B49A88}"/>
              </a:ext>
            </a:extLst>
          </xdr:cNvPr>
          <xdr:cNvSpPr>
            <a:spLocks/>
          </xdr:cNvSpPr>
        </xdr:nvSpPr>
        <xdr:spPr bwMode="auto">
          <a:xfrm>
            <a:off x="1252" y="305"/>
            <a:ext cx="4" cy="5"/>
          </a:xfrm>
          <a:custGeom>
            <a:avLst/>
            <a:gdLst>
              <a:gd name="T0" fmla="*/ 0 w 281"/>
              <a:gd name="T1" fmla="*/ 141 h 282"/>
              <a:gd name="T2" fmla="*/ 141 w 281"/>
              <a:gd name="T3" fmla="*/ 0 h 282"/>
              <a:gd name="T4" fmla="*/ 211 w 281"/>
              <a:gd name="T5" fmla="*/ 0 h 282"/>
              <a:gd name="T6" fmla="*/ 281 w 281"/>
              <a:gd name="T7" fmla="*/ 71 h 282"/>
              <a:gd name="T8" fmla="*/ 281 w 281"/>
              <a:gd name="T9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141" y="0"/>
                </a:lnTo>
                <a:lnTo>
                  <a:pt x="211" y="0"/>
                </a:lnTo>
                <a:lnTo>
                  <a:pt x="281" y="71"/>
                </a:lnTo>
                <a:lnTo>
                  <a:pt x="28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" name="Line 621">
            <a:extLst>
              <a:ext uri="{FF2B5EF4-FFF2-40B4-BE49-F238E27FC236}">
                <a16:creationId xmlns:a16="http://schemas.microsoft.com/office/drawing/2014/main" id="{A5871B1A-352C-4504-A240-8B0F4A674EB6}"/>
              </a:ext>
            </a:extLst>
          </xdr:cNvPr>
          <xdr:cNvSpPr>
            <a:spLocks noChangeShapeType="1"/>
          </xdr:cNvSpPr>
        </xdr:nvSpPr>
        <xdr:spPr bwMode="auto">
          <a:xfrm>
            <a:off x="1259" y="305"/>
            <a:ext cx="4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Freeform 622">
            <a:extLst>
              <a:ext uri="{FF2B5EF4-FFF2-40B4-BE49-F238E27FC236}">
                <a16:creationId xmlns:a16="http://schemas.microsoft.com/office/drawing/2014/main" id="{E1B59437-85B8-4AE8-98DD-C8A097EE8E9F}"/>
              </a:ext>
            </a:extLst>
          </xdr:cNvPr>
          <xdr:cNvSpPr>
            <a:spLocks/>
          </xdr:cNvSpPr>
        </xdr:nvSpPr>
        <xdr:spPr bwMode="auto">
          <a:xfrm>
            <a:off x="1261" y="303"/>
            <a:ext cx="2" cy="7"/>
          </a:xfrm>
          <a:custGeom>
            <a:avLst/>
            <a:gdLst>
              <a:gd name="T0" fmla="*/ 0 w 141"/>
              <a:gd name="T1" fmla="*/ 0 h 422"/>
              <a:gd name="T2" fmla="*/ 0 w 141"/>
              <a:gd name="T3" fmla="*/ 352 h 422"/>
              <a:gd name="T4" fmla="*/ 71 w 141"/>
              <a:gd name="T5" fmla="*/ 422 h 422"/>
              <a:gd name="T6" fmla="*/ 141 w 141"/>
              <a:gd name="T7" fmla="*/ 35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2">
                <a:moveTo>
                  <a:pt x="0" y="0"/>
                </a:moveTo>
                <a:lnTo>
                  <a:pt x="0" y="352"/>
                </a:lnTo>
                <a:lnTo>
                  <a:pt x="71" y="422"/>
                </a:lnTo>
                <a:lnTo>
                  <a:pt x="141" y="35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7" name="Freeform 623">
            <a:extLst>
              <a:ext uri="{FF2B5EF4-FFF2-40B4-BE49-F238E27FC236}">
                <a16:creationId xmlns:a16="http://schemas.microsoft.com/office/drawing/2014/main" id="{554E761A-1E1C-4E83-9118-690FFE092E92}"/>
              </a:ext>
            </a:extLst>
          </xdr:cNvPr>
          <xdr:cNvSpPr>
            <a:spLocks/>
          </xdr:cNvSpPr>
        </xdr:nvSpPr>
        <xdr:spPr bwMode="auto">
          <a:xfrm>
            <a:off x="1266" y="305"/>
            <a:ext cx="5" cy="5"/>
          </a:xfrm>
          <a:custGeom>
            <a:avLst/>
            <a:gdLst>
              <a:gd name="T0" fmla="*/ 0 w 281"/>
              <a:gd name="T1" fmla="*/ 141 h 282"/>
              <a:gd name="T2" fmla="*/ 210 w 281"/>
              <a:gd name="T3" fmla="*/ 141 h 282"/>
              <a:gd name="T4" fmla="*/ 281 w 281"/>
              <a:gd name="T5" fmla="*/ 71 h 282"/>
              <a:gd name="T6" fmla="*/ 210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0" y="141"/>
                </a:lnTo>
                <a:lnTo>
                  <a:pt x="281" y="71"/>
                </a:lnTo>
                <a:lnTo>
                  <a:pt x="210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0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" name="Line 624">
            <a:extLst>
              <a:ext uri="{FF2B5EF4-FFF2-40B4-BE49-F238E27FC236}">
                <a16:creationId xmlns:a16="http://schemas.microsoft.com/office/drawing/2014/main" id="{970A9819-2F37-47E5-A1E4-FCFFD07B01F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3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Freeform 625">
            <a:extLst>
              <a:ext uri="{FF2B5EF4-FFF2-40B4-BE49-F238E27FC236}">
                <a16:creationId xmlns:a16="http://schemas.microsoft.com/office/drawing/2014/main" id="{A3D93109-047F-481A-BE36-4D633A4B7BEC}"/>
              </a:ext>
            </a:extLst>
          </xdr:cNvPr>
          <xdr:cNvSpPr>
            <a:spLocks/>
          </xdr:cNvSpPr>
        </xdr:nvSpPr>
        <xdr:spPr bwMode="auto">
          <a:xfrm>
            <a:off x="1273" y="305"/>
            <a:ext cx="5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0" name="Line 626">
            <a:extLst>
              <a:ext uri="{FF2B5EF4-FFF2-40B4-BE49-F238E27FC236}">
                <a16:creationId xmlns:a16="http://schemas.microsoft.com/office/drawing/2014/main" id="{B5F34938-D369-41D0-8AAA-404EFCD3D40F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627">
            <a:extLst>
              <a:ext uri="{FF2B5EF4-FFF2-40B4-BE49-F238E27FC236}">
                <a16:creationId xmlns:a16="http://schemas.microsoft.com/office/drawing/2014/main" id="{12137A38-BE34-4782-80AB-231DE2B1326D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Freeform 628">
            <a:extLst>
              <a:ext uri="{FF2B5EF4-FFF2-40B4-BE49-F238E27FC236}">
                <a16:creationId xmlns:a16="http://schemas.microsoft.com/office/drawing/2014/main" id="{65CD3CEA-0D01-4F7F-A31A-BEF4F745DD6D}"/>
              </a:ext>
            </a:extLst>
          </xdr:cNvPr>
          <xdr:cNvSpPr>
            <a:spLocks/>
          </xdr:cNvSpPr>
        </xdr:nvSpPr>
        <xdr:spPr bwMode="auto">
          <a:xfrm>
            <a:off x="1283" y="305"/>
            <a:ext cx="4" cy="5"/>
          </a:xfrm>
          <a:custGeom>
            <a:avLst/>
            <a:gdLst>
              <a:gd name="T0" fmla="*/ 210 w 281"/>
              <a:gd name="T1" fmla="*/ 282 h 282"/>
              <a:gd name="T2" fmla="*/ 70 w 281"/>
              <a:gd name="T3" fmla="*/ 282 h 282"/>
              <a:gd name="T4" fmla="*/ 0 w 281"/>
              <a:gd name="T5" fmla="*/ 212 h 282"/>
              <a:gd name="T6" fmla="*/ 0 w 281"/>
              <a:gd name="T7" fmla="*/ 71 h 282"/>
              <a:gd name="T8" fmla="*/ 70 w 281"/>
              <a:gd name="T9" fmla="*/ 0 h 282"/>
              <a:gd name="T10" fmla="*/ 210 w 281"/>
              <a:gd name="T11" fmla="*/ 0 h 282"/>
              <a:gd name="T12" fmla="*/ 281 w 281"/>
              <a:gd name="T13" fmla="*/ 71 h 282"/>
              <a:gd name="T14" fmla="*/ 281 w 281"/>
              <a:gd name="T15" fmla="*/ 21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1" y="71"/>
                </a:lnTo>
                <a:lnTo>
                  <a:pt x="281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" name="Line 629">
            <a:extLst>
              <a:ext uri="{FF2B5EF4-FFF2-40B4-BE49-F238E27FC236}">
                <a16:creationId xmlns:a16="http://schemas.microsoft.com/office/drawing/2014/main" id="{037DCAFA-274B-4310-B8BE-8E837537FBD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9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Freeform 630">
            <a:extLst>
              <a:ext uri="{FF2B5EF4-FFF2-40B4-BE49-F238E27FC236}">
                <a16:creationId xmlns:a16="http://schemas.microsoft.com/office/drawing/2014/main" id="{904F3CCA-873E-4A59-8C1F-F15FF7EBD43A}"/>
              </a:ext>
            </a:extLst>
          </xdr:cNvPr>
          <xdr:cNvSpPr>
            <a:spLocks/>
          </xdr:cNvSpPr>
        </xdr:nvSpPr>
        <xdr:spPr bwMode="auto">
          <a:xfrm>
            <a:off x="1290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5" name="Freeform 631">
            <a:extLst>
              <a:ext uri="{FF2B5EF4-FFF2-40B4-BE49-F238E27FC236}">
                <a16:creationId xmlns:a16="http://schemas.microsoft.com/office/drawing/2014/main" id="{C5DAC48B-1FD4-4B76-BD0C-CD4E1A9A2BE9}"/>
              </a:ext>
            </a:extLst>
          </xdr:cNvPr>
          <xdr:cNvSpPr>
            <a:spLocks/>
          </xdr:cNvSpPr>
        </xdr:nvSpPr>
        <xdr:spPr bwMode="auto">
          <a:xfrm>
            <a:off x="864" y="189"/>
            <a:ext cx="5" cy="7"/>
          </a:xfrm>
          <a:custGeom>
            <a:avLst/>
            <a:gdLst>
              <a:gd name="T0" fmla="*/ 0 w 282"/>
              <a:gd name="T1" fmla="*/ 422 h 422"/>
              <a:gd name="T2" fmla="*/ 0 w 282"/>
              <a:gd name="T3" fmla="*/ 0 h 422"/>
              <a:gd name="T4" fmla="*/ 282 w 282"/>
              <a:gd name="T5" fmla="*/ 0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82" h="422">
                <a:moveTo>
                  <a:pt x="0" y="422"/>
                </a:moveTo>
                <a:lnTo>
                  <a:pt x="0" y="0"/>
                </a:lnTo>
                <a:lnTo>
                  <a:pt x="282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6" name="Line 632">
            <a:extLst>
              <a:ext uri="{FF2B5EF4-FFF2-40B4-BE49-F238E27FC236}">
                <a16:creationId xmlns:a16="http://schemas.microsoft.com/office/drawing/2014/main" id="{84F8C749-2303-4C80-9826-4E520854FCC1}"/>
              </a:ext>
            </a:extLst>
          </xdr:cNvPr>
          <xdr:cNvSpPr>
            <a:spLocks noChangeShapeType="1"/>
          </xdr:cNvSpPr>
        </xdr:nvSpPr>
        <xdr:spPr bwMode="auto">
          <a:xfrm>
            <a:off x="864" y="193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633">
            <a:extLst>
              <a:ext uri="{FF2B5EF4-FFF2-40B4-BE49-F238E27FC236}">
                <a16:creationId xmlns:a16="http://schemas.microsoft.com/office/drawing/2014/main" id="{9F9305C0-207A-47DD-A1B5-864C29523DE6}"/>
              </a:ext>
            </a:extLst>
          </xdr:cNvPr>
          <xdr:cNvSpPr>
            <a:spLocks noChangeShapeType="1"/>
          </xdr:cNvSpPr>
        </xdr:nvSpPr>
        <xdr:spPr bwMode="auto">
          <a:xfrm>
            <a:off x="864" y="196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Freeform 634">
            <a:extLst>
              <a:ext uri="{FF2B5EF4-FFF2-40B4-BE49-F238E27FC236}">
                <a16:creationId xmlns:a16="http://schemas.microsoft.com/office/drawing/2014/main" id="{688D0096-F52A-4174-9C6E-35BEFED0CB10}"/>
              </a:ext>
            </a:extLst>
          </xdr:cNvPr>
          <xdr:cNvSpPr>
            <a:spLocks/>
          </xdr:cNvSpPr>
        </xdr:nvSpPr>
        <xdr:spPr bwMode="auto">
          <a:xfrm>
            <a:off x="871" y="192"/>
            <a:ext cx="4" cy="7"/>
          </a:xfrm>
          <a:custGeom>
            <a:avLst/>
            <a:gdLst>
              <a:gd name="T0" fmla="*/ 0 w 211"/>
              <a:gd name="T1" fmla="*/ 351 h 421"/>
              <a:gd name="T2" fmla="*/ 70 w 211"/>
              <a:gd name="T3" fmla="*/ 421 h 421"/>
              <a:gd name="T4" fmla="*/ 141 w 211"/>
              <a:gd name="T5" fmla="*/ 421 h 421"/>
              <a:gd name="T6" fmla="*/ 211 w 211"/>
              <a:gd name="T7" fmla="*/ 351 h 421"/>
              <a:gd name="T8" fmla="*/ 211 w 211"/>
              <a:gd name="T9" fmla="*/ 0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11" h="421">
                <a:moveTo>
                  <a:pt x="0" y="351"/>
                </a:moveTo>
                <a:lnTo>
                  <a:pt x="70" y="421"/>
                </a:lnTo>
                <a:lnTo>
                  <a:pt x="141" y="421"/>
                </a:lnTo>
                <a:lnTo>
                  <a:pt x="211" y="351"/>
                </a:lnTo>
                <a:lnTo>
                  <a:pt x="211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9" name="Line 635">
            <a:extLst>
              <a:ext uri="{FF2B5EF4-FFF2-40B4-BE49-F238E27FC236}">
                <a16:creationId xmlns:a16="http://schemas.microsoft.com/office/drawing/2014/main" id="{54DFEC81-2F01-4721-ACB6-407F7AB53CD9}"/>
              </a:ext>
            </a:extLst>
          </xdr:cNvPr>
          <xdr:cNvSpPr>
            <a:spLocks noChangeShapeType="1"/>
          </xdr:cNvSpPr>
        </xdr:nvSpPr>
        <xdr:spPr bwMode="auto">
          <a:xfrm flipV="1">
            <a:off x="875" y="189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Freeform 636">
            <a:extLst>
              <a:ext uri="{FF2B5EF4-FFF2-40B4-BE49-F238E27FC236}">
                <a16:creationId xmlns:a16="http://schemas.microsoft.com/office/drawing/2014/main" id="{AB8EA93D-353D-4E31-ADC1-A3C0EABC690B}"/>
              </a:ext>
            </a:extLst>
          </xdr:cNvPr>
          <xdr:cNvSpPr>
            <a:spLocks/>
          </xdr:cNvSpPr>
        </xdr:nvSpPr>
        <xdr:spPr bwMode="auto">
          <a:xfrm>
            <a:off x="877" y="192"/>
            <a:ext cx="5" cy="4"/>
          </a:xfrm>
          <a:custGeom>
            <a:avLst/>
            <a:gdLst>
              <a:gd name="T0" fmla="*/ 0 w 281"/>
              <a:gd name="T1" fmla="*/ 140 h 281"/>
              <a:gd name="T2" fmla="*/ 210 w 281"/>
              <a:gd name="T3" fmla="*/ 140 h 281"/>
              <a:gd name="T4" fmla="*/ 281 w 281"/>
              <a:gd name="T5" fmla="*/ 70 h 281"/>
              <a:gd name="T6" fmla="*/ 210 w 281"/>
              <a:gd name="T7" fmla="*/ 0 h 281"/>
              <a:gd name="T8" fmla="*/ 70 w 281"/>
              <a:gd name="T9" fmla="*/ 0 h 281"/>
              <a:gd name="T10" fmla="*/ 0 w 281"/>
              <a:gd name="T11" fmla="*/ 70 h 281"/>
              <a:gd name="T12" fmla="*/ 0 w 281"/>
              <a:gd name="T13" fmla="*/ 210 h 281"/>
              <a:gd name="T14" fmla="*/ 70 w 281"/>
              <a:gd name="T15" fmla="*/ 281 h 281"/>
              <a:gd name="T16" fmla="*/ 210 w 28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210" y="140"/>
                </a:lnTo>
                <a:lnTo>
                  <a:pt x="281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1"/>
                </a:lnTo>
                <a:lnTo>
                  <a:pt x="210" y="28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</xdr:col>
      <xdr:colOff>236604</xdr:colOff>
      <xdr:row>11</xdr:row>
      <xdr:rowOff>109497</xdr:rowOff>
    </xdr:from>
    <xdr:to>
      <xdr:col>2</xdr:col>
      <xdr:colOff>236606</xdr:colOff>
      <xdr:row>14</xdr:row>
      <xdr:rowOff>144876</xdr:rowOff>
    </xdr:to>
    <xdr:cxnSp macro="">
      <xdr:nvCxnSpPr>
        <xdr:cNvPr id="541" name="Conector recto de flecha 540">
          <a:extLst>
            <a:ext uri="{FF2B5EF4-FFF2-40B4-BE49-F238E27FC236}">
              <a16:creationId xmlns:a16="http://schemas.microsoft.com/office/drawing/2014/main" id="{56FFB567-D0B9-44F0-A4E1-FC2794CDBE03}"/>
            </a:ext>
          </a:extLst>
        </xdr:cNvPr>
        <xdr:cNvCxnSpPr/>
      </xdr:nvCxnSpPr>
      <xdr:spPr>
        <a:xfrm>
          <a:off x="2446404" y="2224047"/>
          <a:ext cx="2" cy="7307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</xdr:colOff>
      <xdr:row>11</xdr:row>
      <xdr:rowOff>108857</xdr:rowOff>
    </xdr:from>
    <xdr:to>
      <xdr:col>2</xdr:col>
      <xdr:colOff>228600</xdr:colOff>
      <xdr:row>11</xdr:row>
      <xdr:rowOff>108857</xdr:rowOff>
    </xdr:to>
    <xdr:cxnSp macro="">
      <xdr:nvCxnSpPr>
        <xdr:cNvPr id="542" name="Conector recto de flecha 541">
          <a:extLst>
            <a:ext uri="{FF2B5EF4-FFF2-40B4-BE49-F238E27FC236}">
              <a16:creationId xmlns:a16="http://schemas.microsoft.com/office/drawing/2014/main" id="{D2F27F78-0CD0-4402-8CB3-6FE14C009C08}"/>
            </a:ext>
          </a:extLst>
        </xdr:cNvPr>
        <xdr:cNvCxnSpPr/>
      </xdr:nvCxnSpPr>
      <xdr:spPr>
        <a:xfrm flipH="1">
          <a:off x="2231571" y="2223407"/>
          <a:ext cx="2068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621907</xdr:colOff>
      <xdr:row>39</xdr:row>
      <xdr:rowOff>11350</xdr:rowOff>
    </xdr:from>
    <xdr:to>
      <xdr:col>7</xdr:col>
      <xdr:colOff>565367</xdr:colOff>
      <xdr:row>57</xdr:row>
      <xdr:rowOff>180078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id="{28BD31B3-660A-467D-99E4-ECC6D1E446C7}"/>
            </a:ext>
          </a:extLst>
        </xdr:cNvPr>
        <xdr:cNvGrpSpPr>
          <a:grpSpLocks noChangeAspect="1"/>
        </xdr:cNvGrpSpPr>
      </xdr:nvGrpSpPr>
      <xdr:grpSpPr bwMode="auto">
        <a:xfrm>
          <a:off x="621907" y="7767421"/>
          <a:ext cx="6698434" cy="3667708"/>
          <a:chOff x="753" y="57"/>
          <a:chExt cx="550" cy="299"/>
        </a:xfrm>
      </xdr:grpSpPr>
      <xdr:sp macro="" textlink="">
        <xdr:nvSpPr>
          <xdr:cNvPr id="3" name="AutoShape 50">
            <a:extLst>
              <a:ext uri="{FF2B5EF4-FFF2-40B4-BE49-F238E27FC236}">
                <a16:creationId xmlns:a16="http://schemas.microsoft.com/office/drawing/2014/main" id="{D3748264-4598-4EA0-B2F2-E501F14C70A9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753" y="57"/>
            <a:ext cx="550" cy="2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grpSp>
        <xdr:nvGrpSpPr>
          <xdr:cNvPr id="4" name="Group 252">
            <a:extLst>
              <a:ext uri="{FF2B5EF4-FFF2-40B4-BE49-F238E27FC236}">
                <a16:creationId xmlns:a16="http://schemas.microsoft.com/office/drawing/2014/main" id="{EA55025E-09D3-4CDA-8705-FD047FF41FBA}"/>
              </a:ext>
            </a:extLst>
          </xdr:cNvPr>
          <xdr:cNvGrpSpPr>
            <a:grpSpLocks/>
          </xdr:cNvGrpSpPr>
        </xdr:nvGrpSpPr>
        <xdr:grpSpPr bwMode="auto">
          <a:xfrm>
            <a:off x="821" y="106"/>
            <a:ext cx="402" cy="191"/>
            <a:chOff x="821" y="106"/>
            <a:chExt cx="402" cy="191"/>
          </a:xfrm>
        </xdr:grpSpPr>
        <xdr:sp macro="" textlink="">
          <xdr:nvSpPr>
            <xdr:cNvPr id="341" name="Line 52">
              <a:extLst>
                <a:ext uri="{FF2B5EF4-FFF2-40B4-BE49-F238E27FC236}">
                  <a16:creationId xmlns:a16="http://schemas.microsoft.com/office/drawing/2014/main" id="{0D147EE4-9CF5-4606-A91E-BF8CE3F8B41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23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2" name="Line 53">
              <a:extLst>
                <a:ext uri="{FF2B5EF4-FFF2-40B4-BE49-F238E27FC236}">
                  <a16:creationId xmlns:a16="http://schemas.microsoft.com/office/drawing/2014/main" id="{02DAA400-AACA-4820-A364-8B71CEE2CCD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32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3" name="Line 54">
              <a:extLst>
                <a:ext uri="{FF2B5EF4-FFF2-40B4-BE49-F238E27FC236}">
                  <a16:creationId xmlns:a16="http://schemas.microsoft.com/office/drawing/2014/main" id="{C44A25CC-68C9-4875-910E-35667CB89CB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0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4" name="Line 55">
              <a:extLst>
                <a:ext uri="{FF2B5EF4-FFF2-40B4-BE49-F238E27FC236}">
                  <a16:creationId xmlns:a16="http://schemas.microsoft.com/office/drawing/2014/main" id="{E930C25B-83CB-4FEA-B97B-7AD05AEAE9A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9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5" name="Line 56">
              <a:extLst>
                <a:ext uri="{FF2B5EF4-FFF2-40B4-BE49-F238E27FC236}">
                  <a16:creationId xmlns:a16="http://schemas.microsoft.com/office/drawing/2014/main" id="{F303A815-DB72-4BAE-8F62-5A3A3802B74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57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6" name="Line 57">
              <a:extLst>
                <a:ext uri="{FF2B5EF4-FFF2-40B4-BE49-F238E27FC236}">
                  <a16:creationId xmlns:a16="http://schemas.microsoft.com/office/drawing/2014/main" id="{D6BA70B6-4326-4C17-AD5B-EC5020A7C53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66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7" name="Line 58">
              <a:extLst>
                <a:ext uri="{FF2B5EF4-FFF2-40B4-BE49-F238E27FC236}">
                  <a16:creationId xmlns:a16="http://schemas.microsoft.com/office/drawing/2014/main" id="{6204BB42-0705-43D0-AC8A-F1566027DB9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74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8" name="Line 59">
              <a:extLst>
                <a:ext uri="{FF2B5EF4-FFF2-40B4-BE49-F238E27FC236}">
                  <a16:creationId xmlns:a16="http://schemas.microsoft.com/office/drawing/2014/main" id="{C55A0314-0839-445F-89E0-93997BC0F3D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83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9" name="Line 60">
              <a:extLst>
                <a:ext uri="{FF2B5EF4-FFF2-40B4-BE49-F238E27FC236}">
                  <a16:creationId xmlns:a16="http://schemas.microsoft.com/office/drawing/2014/main" id="{B6139B0A-9337-4237-920D-567DAF425B5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91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0" name="Line 61">
              <a:extLst>
                <a:ext uri="{FF2B5EF4-FFF2-40B4-BE49-F238E27FC236}">
                  <a16:creationId xmlns:a16="http://schemas.microsoft.com/office/drawing/2014/main" id="{547D1308-ABF8-46E4-8F5C-6B1F0305F8D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0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1" name="Line 62">
              <a:extLst>
                <a:ext uri="{FF2B5EF4-FFF2-40B4-BE49-F238E27FC236}">
                  <a16:creationId xmlns:a16="http://schemas.microsoft.com/office/drawing/2014/main" id="{2A9DEF20-7505-4EEF-B15E-1A39D20B291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8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2" name="Line 63">
              <a:extLst>
                <a:ext uri="{FF2B5EF4-FFF2-40B4-BE49-F238E27FC236}">
                  <a16:creationId xmlns:a16="http://schemas.microsoft.com/office/drawing/2014/main" id="{A3CF9F85-1DBC-4DC1-805F-5FAFE87E2CD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17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3" name="Line 64">
              <a:extLst>
                <a:ext uri="{FF2B5EF4-FFF2-40B4-BE49-F238E27FC236}">
                  <a16:creationId xmlns:a16="http://schemas.microsoft.com/office/drawing/2014/main" id="{1236D9A7-C8AD-4B1A-A482-41DD77C7E71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25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4" name="Line 65">
              <a:extLst>
                <a:ext uri="{FF2B5EF4-FFF2-40B4-BE49-F238E27FC236}">
                  <a16:creationId xmlns:a16="http://schemas.microsoft.com/office/drawing/2014/main" id="{DA4A9181-B740-4C40-850B-C0D3F317004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34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5" name="Line 66">
              <a:extLst>
                <a:ext uri="{FF2B5EF4-FFF2-40B4-BE49-F238E27FC236}">
                  <a16:creationId xmlns:a16="http://schemas.microsoft.com/office/drawing/2014/main" id="{97BD553B-7E64-4A0E-A21C-B26C2E23DD8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42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6" name="Line 67">
              <a:extLst>
                <a:ext uri="{FF2B5EF4-FFF2-40B4-BE49-F238E27FC236}">
                  <a16:creationId xmlns:a16="http://schemas.microsoft.com/office/drawing/2014/main" id="{E5BC52A0-34FB-4687-9A57-D93BE35E2C6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1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7" name="Line 68">
              <a:extLst>
                <a:ext uri="{FF2B5EF4-FFF2-40B4-BE49-F238E27FC236}">
                  <a16:creationId xmlns:a16="http://schemas.microsoft.com/office/drawing/2014/main" id="{553F7ADE-1E80-4D94-8857-3288077B464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9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8" name="Line 69">
              <a:extLst>
                <a:ext uri="{FF2B5EF4-FFF2-40B4-BE49-F238E27FC236}">
                  <a16:creationId xmlns:a16="http://schemas.microsoft.com/office/drawing/2014/main" id="{4D46C64F-7567-4AA4-873C-DADE55E4CA7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68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9" name="Line 70">
              <a:extLst>
                <a:ext uri="{FF2B5EF4-FFF2-40B4-BE49-F238E27FC236}">
                  <a16:creationId xmlns:a16="http://schemas.microsoft.com/office/drawing/2014/main" id="{045EB1A1-7FEC-45DF-95B0-591482A8A73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76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0" name="Line 71">
              <a:extLst>
                <a:ext uri="{FF2B5EF4-FFF2-40B4-BE49-F238E27FC236}">
                  <a16:creationId xmlns:a16="http://schemas.microsoft.com/office/drawing/2014/main" id="{72F67F15-81C3-4618-8BBE-A4DD1C7EC3D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5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1" name="Line 72">
              <a:extLst>
                <a:ext uri="{FF2B5EF4-FFF2-40B4-BE49-F238E27FC236}">
                  <a16:creationId xmlns:a16="http://schemas.microsoft.com/office/drawing/2014/main" id="{6F738DF8-0174-4A08-AEEB-D423028F468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8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2" name="Line 73">
              <a:extLst>
                <a:ext uri="{FF2B5EF4-FFF2-40B4-BE49-F238E27FC236}">
                  <a16:creationId xmlns:a16="http://schemas.microsoft.com/office/drawing/2014/main" id="{1AF9C92C-4648-41FA-BCCF-70050357D44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3" name="Line 74">
              <a:extLst>
                <a:ext uri="{FF2B5EF4-FFF2-40B4-BE49-F238E27FC236}">
                  <a16:creationId xmlns:a16="http://schemas.microsoft.com/office/drawing/2014/main" id="{F548EF1F-A767-4045-9D87-A8DECC232C3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8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4" name="Line 75">
              <a:extLst>
                <a:ext uri="{FF2B5EF4-FFF2-40B4-BE49-F238E27FC236}">
                  <a16:creationId xmlns:a16="http://schemas.microsoft.com/office/drawing/2014/main" id="{B8AF832E-ABA4-41FB-A4E1-52342D8F745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7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5" name="Line 76">
              <a:extLst>
                <a:ext uri="{FF2B5EF4-FFF2-40B4-BE49-F238E27FC236}">
                  <a16:creationId xmlns:a16="http://schemas.microsoft.com/office/drawing/2014/main" id="{3F656DBD-89A9-4FFD-A51D-5C918834351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6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6" name="Line 77">
              <a:extLst>
                <a:ext uri="{FF2B5EF4-FFF2-40B4-BE49-F238E27FC236}">
                  <a16:creationId xmlns:a16="http://schemas.microsoft.com/office/drawing/2014/main" id="{3064938A-ACBB-4BC3-BBBA-7217EBF6FED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5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7" name="Line 78">
              <a:extLst>
                <a:ext uri="{FF2B5EF4-FFF2-40B4-BE49-F238E27FC236}">
                  <a16:creationId xmlns:a16="http://schemas.microsoft.com/office/drawing/2014/main" id="{7E859538-3361-4768-B2A6-59F1808D1B8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47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8" name="Line 79">
              <a:extLst>
                <a:ext uri="{FF2B5EF4-FFF2-40B4-BE49-F238E27FC236}">
                  <a16:creationId xmlns:a16="http://schemas.microsoft.com/office/drawing/2014/main" id="{2BBBD025-409C-4A6E-B3CC-5B365248873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9" name="Line 80">
              <a:extLst>
                <a:ext uri="{FF2B5EF4-FFF2-40B4-BE49-F238E27FC236}">
                  <a16:creationId xmlns:a16="http://schemas.microsoft.com/office/drawing/2014/main" id="{40544468-B0B7-48DF-9A06-08B38650BA8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0" name="Line 81">
              <a:extLst>
                <a:ext uri="{FF2B5EF4-FFF2-40B4-BE49-F238E27FC236}">
                  <a16:creationId xmlns:a16="http://schemas.microsoft.com/office/drawing/2014/main" id="{D26F0A13-9CC1-4D69-B753-BC4662872A0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2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1" name="Line 82">
              <a:extLst>
                <a:ext uri="{FF2B5EF4-FFF2-40B4-BE49-F238E27FC236}">
                  <a16:creationId xmlns:a16="http://schemas.microsoft.com/office/drawing/2014/main" id="{BB88CB73-49DD-4F1C-838A-45956E5C3A3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1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2" name="Line 83">
              <a:extLst>
                <a:ext uri="{FF2B5EF4-FFF2-40B4-BE49-F238E27FC236}">
                  <a16:creationId xmlns:a16="http://schemas.microsoft.com/office/drawing/2014/main" id="{2038F400-9F97-4757-BFBF-BF7BA433808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3" name="Freeform 84">
              <a:extLst>
                <a:ext uri="{FF2B5EF4-FFF2-40B4-BE49-F238E27FC236}">
                  <a16:creationId xmlns:a16="http://schemas.microsoft.com/office/drawing/2014/main" id="{B9EF04BC-DC50-4212-9D52-6298EE4C45F0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105 h 105"/>
                <a:gd name="T2" fmla="*/ 1979 w 1979"/>
                <a:gd name="T3" fmla="*/ 0 h 105"/>
                <a:gd name="T4" fmla="*/ 0 w 1979"/>
                <a:gd name="T5" fmla="*/ 105 h 105"/>
                <a:gd name="T6" fmla="*/ 1979 w 197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105"/>
                  </a:moveTo>
                  <a:lnTo>
                    <a:pt x="1979" y="0"/>
                  </a:lnTo>
                  <a:lnTo>
                    <a:pt x="0" y="105"/>
                  </a:lnTo>
                  <a:lnTo>
                    <a:pt x="1979" y="10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4" name="Freeform 85">
              <a:extLst>
                <a:ext uri="{FF2B5EF4-FFF2-40B4-BE49-F238E27FC236}">
                  <a16:creationId xmlns:a16="http://schemas.microsoft.com/office/drawing/2014/main" id="{06BFDD52-5747-448B-A483-A124D4E02E3F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0 h 105"/>
                <a:gd name="T2" fmla="*/ 0 w 1979"/>
                <a:gd name="T3" fmla="*/ 105 h 105"/>
                <a:gd name="T4" fmla="*/ 18 w 1979"/>
                <a:gd name="T5" fmla="*/ 0 h 105"/>
                <a:gd name="T6" fmla="*/ 1979 w 1979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0"/>
                  </a:moveTo>
                  <a:lnTo>
                    <a:pt x="0" y="105"/>
                  </a:lnTo>
                  <a:lnTo>
                    <a:pt x="18" y="0"/>
                  </a:lnTo>
                  <a:lnTo>
                    <a:pt x="197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5" name="Freeform 86">
              <a:extLst>
                <a:ext uri="{FF2B5EF4-FFF2-40B4-BE49-F238E27FC236}">
                  <a16:creationId xmlns:a16="http://schemas.microsoft.com/office/drawing/2014/main" id="{503418BB-C30C-4F1A-BA10-C6CC86320ED1}"/>
                </a:ext>
              </a:extLst>
            </xdr:cNvPr>
            <xdr:cNvSpPr>
              <a:spLocks/>
            </xdr:cNvSpPr>
          </xdr:nvSpPr>
          <xdr:spPr bwMode="auto">
            <a:xfrm>
              <a:off x="1028" y="238"/>
              <a:ext cx="162" cy="59"/>
            </a:xfrm>
            <a:custGeom>
              <a:avLst/>
              <a:gdLst>
                <a:gd name="T0" fmla="*/ 9523 w 9541"/>
                <a:gd name="T1" fmla="*/ 3477 h 3477"/>
                <a:gd name="T2" fmla="*/ 9541 w 9541"/>
                <a:gd name="T3" fmla="*/ 3372 h 3477"/>
                <a:gd name="T4" fmla="*/ 0 w 9541"/>
                <a:gd name="T5" fmla="*/ 0 h 3477"/>
                <a:gd name="T6" fmla="*/ 9523 w 9541"/>
                <a:gd name="T7" fmla="*/ 3477 h 34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7">
                  <a:moveTo>
                    <a:pt x="9523" y="3477"/>
                  </a:moveTo>
                  <a:lnTo>
                    <a:pt x="9541" y="3372"/>
                  </a:lnTo>
                  <a:lnTo>
                    <a:pt x="0" y="0"/>
                  </a:lnTo>
                  <a:lnTo>
                    <a:pt x="9523" y="347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6" name="Freeform 87">
              <a:extLst>
                <a:ext uri="{FF2B5EF4-FFF2-40B4-BE49-F238E27FC236}">
                  <a16:creationId xmlns:a16="http://schemas.microsoft.com/office/drawing/2014/main" id="{89DD311B-03A3-4071-AC80-CD207248CCDC}"/>
                </a:ext>
              </a:extLst>
            </xdr:cNvPr>
            <xdr:cNvSpPr>
              <a:spLocks/>
            </xdr:cNvSpPr>
          </xdr:nvSpPr>
          <xdr:spPr bwMode="auto">
            <a:xfrm>
              <a:off x="1028" y="237"/>
              <a:ext cx="162" cy="59"/>
            </a:xfrm>
            <a:custGeom>
              <a:avLst/>
              <a:gdLst>
                <a:gd name="T0" fmla="*/ 9541 w 9541"/>
                <a:gd name="T1" fmla="*/ 3478 h 3478"/>
                <a:gd name="T2" fmla="*/ 0 w 9541"/>
                <a:gd name="T3" fmla="*/ 106 h 3478"/>
                <a:gd name="T4" fmla="*/ 18 w 9541"/>
                <a:gd name="T5" fmla="*/ 0 h 3478"/>
                <a:gd name="T6" fmla="*/ 9541 w 9541"/>
                <a:gd name="T7" fmla="*/ 3478 h 34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8">
                  <a:moveTo>
                    <a:pt x="9541" y="3478"/>
                  </a:moveTo>
                  <a:lnTo>
                    <a:pt x="0" y="106"/>
                  </a:lnTo>
                  <a:lnTo>
                    <a:pt x="18" y="0"/>
                  </a:lnTo>
                  <a:lnTo>
                    <a:pt x="9541" y="3478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7" name="Freeform 88">
              <a:extLst>
                <a:ext uri="{FF2B5EF4-FFF2-40B4-BE49-F238E27FC236}">
                  <a16:creationId xmlns:a16="http://schemas.microsoft.com/office/drawing/2014/main" id="{88E06852-0B3E-4AAD-B47D-CE2F476E4706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35 w 11553"/>
                <a:gd name="T1" fmla="*/ 106 h 106"/>
                <a:gd name="T2" fmla="*/ 11553 w 11553"/>
                <a:gd name="T3" fmla="*/ 0 h 106"/>
                <a:gd name="T4" fmla="*/ 0 w 11553"/>
                <a:gd name="T5" fmla="*/ 106 h 106"/>
                <a:gd name="T6" fmla="*/ 11535 w 11553"/>
                <a:gd name="T7" fmla="*/ 106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35" y="106"/>
                  </a:moveTo>
                  <a:lnTo>
                    <a:pt x="11553" y="0"/>
                  </a:lnTo>
                  <a:lnTo>
                    <a:pt x="0" y="106"/>
                  </a:lnTo>
                  <a:lnTo>
                    <a:pt x="11535" y="10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8" name="Freeform 89">
              <a:extLst>
                <a:ext uri="{FF2B5EF4-FFF2-40B4-BE49-F238E27FC236}">
                  <a16:creationId xmlns:a16="http://schemas.microsoft.com/office/drawing/2014/main" id="{CF81604D-E2A9-4992-A5BB-817FA0266FEE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53 w 11553"/>
                <a:gd name="T1" fmla="*/ 0 h 106"/>
                <a:gd name="T2" fmla="*/ 0 w 11553"/>
                <a:gd name="T3" fmla="*/ 106 h 106"/>
                <a:gd name="T4" fmla="*/ 0 w 11553"/>
                <a:gd name="T5" fmla="*/ 0 h 106"/>
                <a:gd name="T6" fmla="*/ 11553 w 115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53" y="0"/>
                  </a:moveTo>
                  <a:lnTo>
                    <a:pt x="0" y="106"/>
                  </a:lnTo>
                  <a:lnTo>
                    <a:pt x="0" y="0"/>
                  </a:lnTo>
                  <a:lnTo>
                    <a:pt x="1155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9" name="Freeform 90">
              <a:extLst>
                <a:ext uri="{FF2B5EF4-FFF2-40B4-BE49-F238E27FC236}">
                  <a16:creationId xmlns:a16="http://schemas.microsoft.com/office/drawing/2014/main" id="{B35008CC-FE5F-4FAA-8D30-225C1A6ED18D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76"/>
                <a:gd name="T1" fmla="*/ 7696 h 7794"/>
                <a:gd name="T2" fmla="*/ 36 w 21076"/>
                <a:gd name="T3" fmla="*/ 7794 h 7794"/>
                <a:gd name="T4" fmla="*/ 21076 w 21076"/>
                <a:gd name="T5" fmla="*/ 0 h 7794"/>
                <a:gd name="T6" fmla="*/ 0 w 21076"/>
                <a:gd name="T7" fmla="*/ 7696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76" h="7794">
                  <a:moveTo>
                    <a:pt x="0" y="7696"/>
                  </a:moveTo>
                  <a:lnTo>
                    <a:pt x="36" y="7794"/>
                  </a:lnTo>
                  <a:lnTo>
                    <a:pt x="21076" y="0"/>
                  </a:lnTo>
                  <a:lnTo>
                    <a:pt x="0" y="769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0" name="Freeform 91">
              <a:extLst>
                <a:ext uri="{FF2B5EF4-FFF2-40B4-BE49-F238E27FC236}">
                  <a16:creationId xmlns:a16="http://schemas.microsoft.com/office/drawing/2014/main" id="{CFB20017-193F-462B-B0F7-AD4489A23058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58"/>
                <a:gd name="T1" fmla="*/ 7794 h 7794"/>
                <a:gd name="T2" fmla="*/ 21040 w 21058"/>
                <a:gd name="T3" fmla="*/ 0 h 7794"/>
                <a:gd name="T4" fmla="*/ 21058 w 21058"/>
                <a:gd name="T5" fmla="*/ 107 h 7794"/>
                <a:gd name="T6" fmla="*/ 0 w 21058"/>
                <a:gd name="T7" fmla="*/ 7794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58" h="7794">
                  <a:moveTo>
                    <a:pt x="0" y="7794"/>
                  </a:moveTo>
                  <a:lnTo>
                    <a:pt x="21040" y="0"/>
                  </a:lnTo>
                  <a:lnTo>
                    <a:pt x="21058" y="107"/>
                  </a:lnTo>
                  <a:lnTo>
                    <a:pt x="0" y="779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1" name="Freeform 92">
              <a:extLst>
                <a:ext uri="{FF2B5EF4-FFF2-40B4-BE49-F238E27FC236}">
                  <a16:creationId xmlns:a16="http://schemas.microsoft.com/office/drawing/2014/main" id="{6A538DD8-C25C-41BE-A6C1-F2B2852DDCED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79"/>
                <a:gd name="T1" fmla="*/ 0 h 107"/>
                <a:gd name="T2" fmla="*/ 18 w 1979"/>
                <a:gd name="T3" fmla="*/ 107 h 107"/>
                <a:gd name="T4" fmla="*/ 1979 w 1979"/>
                <a:gd name="T5" fmla="*/ 0 h 107"/>
                <a:gd name="T6" fmla="*/ 0 w 1979"/>
                <a:gd name="T7" fmla="*/ 0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7">
                  <a:moveTo>
                    <a:pt x="0" y="0"/>
                  </a:moveTo>
                  <a:lnTo>
                    <a:pt x="18" y="107"/>
                  </a:lnTo>
                  <a:lnTo>
                    <a:pt x="1979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2" name="Freeform 93">
              <a:extLst>
                <a:ext uri="{FF2B5EF4-FFF2-40B4-BE49-F238E27FC236}">
                  <a16:creationId xmlns:a16="http://schemas.microsoft.com/office/drawing/2014/main" id="{CB7C7966-1635-49E3-86C7-3BC48F60613A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61"/>
                <a:gd name="T1" fmla="*/ 107 h 107"/>
                <a:gd name="T2" fmla="*/ 1961 w 1961"/>
                <a:gd name="T3" fmla="*/ 0 h 107"/>
                <a:gd name="T4" fmla="*/ 1961 w 1961"/>
                <a:gd name="T5" fmla="*/ 107 h 107"/>
                <a:gd name="T6" fmla="*/ 0 w 1961"/>
                <a:gd name="T7" fmla="*/ 107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61" h="107">
                  <a:moveTo>
                    <a:pt x="0" y="107"/>
                  </a:moveTo>
                  <a:lnTo>
                    <a:pt x="1961" y="0"/>
                  </a:lnTo>
                  <a:lnTo>
                    <a:pt x="1961" y="107"/>
                  </a:lnTo>
                  <a:lnTo>
                    <a:pt x="0" y="10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3" name="Line 94">
              <a:extLst>
                <a:ext uri="{FF2B5EF4-FFF2-40B4-BE49-F238E27FC236}">
                  <a16:creationId xmlns:a16="http://schemas.microsoft.com/office/drawing/2014/main" id="{E37C757E-A1EE-4731-8C39-40261E0E866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928" y="202"/>
              <a:ext cx="262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4" name="Line 95">
              <a:extLst>
                <a:ext uri="{FF2B5EF4-FFF2-40B4-BE49-F238E27FC236}">
                  <a16:creationId xmlns:a16="http://schemas.microsoft.com/office/drawing/2014/main" id="{EAF75304-55E8-4D10-B85C-951B8AB0B4F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93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5" name="Line 96">
              <a:extLst>
                <a:ext uri="{FF2B5EF4-FFF2-40B4-BE49-F238E27FC236}">
                  <a16:creationId xmlns:a16="http://schemas.microsoft.com/office/drawing/2014/main" id="{4EC28DF9-C013-4516-8BF2-19775AE1D7B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8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6" name="Line 97">
              <a:extLst>
                <a:ext uri="{FF2B5EF4-FFF2-40B4-BE49-F238E27FC236}">
                  <a16:creationId xmlns:a16="http://schemas.microsoft.com/office/drawing/2014/main" id="{F827679A-416F-4F04-9571-907DEBEFDBD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7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7" name="Line 98">
              <a:extLst>
                <a:ext uri="{FF2B5EF4-FFF2-40B4-BE49-F238E27FC236}">
                  <a16:creationId xmlns:a16="http://schemas.microsoft.com/office/drawing/2014/main" id="{A666237E-52DA-4A9C-AAAC-3FC99395807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6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8" name="Line 99">
              <a:extLst>
                <a:ext uri="{FF2B5EF4-FFF2-40B4-BE49-F238E27FC236}">
                  <a16:creationId xmlns:a16="http://schemas.microsoft.com/office/drawing/2014/main" id="{594FE35D-563B-4126-8E28-D5F1B2FEF8C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9" name="Line 100">
              <a:extLst>
                <a:ext uri="{FF2B5EF4-FFF2-40B4-BE49-F238E27FC236}">
                  <a16:creationId xmlns:a16="http://schemas.microsoft.com/office/drawing/2014/main" id="{7ECC4963-BDF1-43D7-93AB-AE8E92349B2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0" name="Line 101">
              <a:extLst>
                <a:ext uri="{FF2B5EF4-FFF2-40B4-BE49-F238E27FC236}">
                  <a16:creationId xmlns:a16="http://schemas.microsoft.com/office/drawing/2014/main" id="{C801B0BC-D9F2-4759-9A66-26FF387DD8F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4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1" name="Line 102">
              <a:extLst>
                <a:ext uri="{FF2B5EF4-FFF2-40B4-BE49-F238E27FC236}">
                  <a16:creationId xmlns:a16="http://schemas.microsoft.com/office/drawing/2014/main" id="{4B9346CC-0C76-4118-8C82-498E2756921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3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2" name="Line 103">
              <a:extLst>
                <a:ext uri="{FF2B5EF4-FFF2-40B4-BE49-F238E27FC236}">
                  <a16:creationId xmlns:a16="http://schemas.microsoft.com/office/drawing/2014/main" id="{1AEDA973-69BF-45E1-94E3-A6A507F86AA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2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3" name="Line 104">
              <a:extLst>
                <a:ext uri="{FF2B5EF4-FFF2-40B4-BE49-F238E27FC236}">
                  <a16:creationId xmlns:a16="http://schemas.microsoft.com/office/drawing/2014/main" id="{7FC0AEF5-4870-4AA2-AC8B-60B8687B133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1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4" name="Line 105">
              <a:extLst>
                <a:ext uri="{FF2B5EF4-FFF2-40B4-BE49-F238E27FC236}">
                  <a16:creationId xmlns:a16="http://schemas.microsoft.com/office/drawing/2014/main" id="{3F4DEE3E-252E-4B25-8E40-0807165DD9D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5" name="Line 106">
              <a:extLst>
                <a:ext uri="{FF2B5EF4-FFF2-40B4-BE49-F238E27FC236}">
                  <a16:creationId xmlns:a16="http://schemas.microsoft.com/office/drawing/2014/main" id="{14FB62F4-7DEB-418E-BDE7-7A784CEDDD2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2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6" name="Line 107">
              <a:extLst>
                <a:ext uri="{FF2B5EF4-FFF2-40B4-BE49-F238E27FC236}">
                  <a16:creationId xmlns:a16="http://schemas.microsoft.com/office/drawing/2014/main" id="{B4285A1B-479D-4A2F-8733-FBA70D7798A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7" name="Line 108">
              <a:extLst>
                <a:ext uri="{FF2B5EF4-FFF2-40B4-BE49-F238E27FC236}">
                  <a16:creationId xmlns:a16="http://schemas.microsoft.com/office/drawing/2014/main" id="{5CF9A322-D7F8-44D9-A2C4-75CE3B6C796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8" name="Line 109">
              <a:extLst>
                <a:ext uri="{FF2B5EF4-FFF2-40B4-BE49-F238E27FC236}">
                  <a16:creationId xmlns:a16="http://schemas.microsoft.com/office/drawing/2014/main" id="{5BF97F6A-47D1-4A0A-B07A-0AC57AD77F8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9" name="Line 110">
              <a:extLst>
                <a:ext uri="{FF2B5EF4-FFF2-40B4-BE49-F238E27FC236}">
                  <a16:creationId xmlns:a16="http://schemas.microsoft.com/office/drawing/2014/main" id="{629E1EEC-7E09-42DE-A0C5-31566E4EAC6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0" name="Line 111">
              <a:extLst>
                <a:ext uri="{FF2B5EF4-FFF2-40B4-BE49-F238E27FC236}">
                  <a16:creationId xmlns:a16="http://schemas.microsoft.com/office/drawing/2014/main" id="{2474EF2D-BAA1-49B8-8842-A00B74BAD68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1" name="Line 112">
              <a:extLst>
                <a:ext uri="{FF2B5EF4-FFF2-40B4-BE49-F238E27FC236}">
                  <a16:creationId xmlns:a16="http://schemas.microsoft.com/office/drawing/2014/main" id="{3EF93F70-80F3-4F99-B213-0843A15903B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2" name="Line 113">
              <a:extLst>
                <a:ext uri="{FF2B5EF4-FFF2-40B4-BE49-F238E27FC236}">
                  <a16:creationId xmlns:a16="http://schemas.microsoft.com/office/drawing/2014/main" id="{B7AF9167-69BE-4503-A6A5-1597F5C6294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3" name="Line 114">
              <a:extLst>
                <a:ext uri="{FF2B5EF4-FFF2-40B4-BE49-F238E27FC236}">
                  <a16:creationId xmlns:a16="http://schemas.microsoft.com/office/drawing/2014/main" id="{7E4CBDB6-0931-4F32-9CAF-C55C6EBD784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4" name="Line 115">
              <a:extLst>
                <a:ext uri="{FF2B5EF4-FFF2-40B4-BE49-F238E27FC236}">
                  <a16:creationId xmlns:a16="http://schemas.microsoft.com/office/drawing/2014/main" id="{722B4523-3BA8-44E8-85C9-750655395F3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5" name="Line 116">
              <a:extLst>
                <a:ext uri="{FF2B5EF4-FFF2-40B4-BE49-F238E27FC236}">
                  <a16:creationId xmlns:a16="http://schemas.microsoft.com/office/drawing/2014/main" id="{049EA722-8034-455D-9B72-6BED32BB857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6" name="Line 117">
              <a:extLst>
                <a:ext uri="{FF2B5EF4-FFF2-40B4-BE49-F238E27FC236}">
                  <a16:creationId xmlns:a16="http://schemas.microsoft.com/office/drawing/2014/main" id="{48A10135-3D1E-4712-8B44-517C9BABA93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7" name="Line 118">
              <a:extLst>
                <a:ext uri="{FF2B5EF4-FFF2-40B4-BE49-F238E27FC236}">
                  <a16:creationId xmlns:a16="http://schemas.microsoft.com/office/drawing/2014/main" id="{951DB9C9-D018-43D3-A9F4-FECB6BAEEED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8" name="Line 119">
              <a:extLst>
                <a:ext uri="{FF2B5EF4-FFF2-40B4-BE49-F238E27FC236}">
                  <a16:creationId xmlns:a16="http://schemas.microsoft.com/office/drawing/2014/main" id="{F1B2941E-FD71-4898-9738-47AB8E054C3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9" name="Line 120">
              <a:extLst>
                <a:ext uri="{FF2B5EF4-FFF2-40B4-BE49-F238E27FC236}">
                  <a16:creationId xmlns:a16="http://schemas.microsoft.com/office/drawing/2014/main" id="{EF6A58E2-FFF0-46A3-BE2A-98D48F952C3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0" name="Line 121">
              <a:extLst>
                <a:ext uri="{FF2B5EF4-FFF2-40B4-BE49-F238E27FC236}">
                  <a16:creationId xmlns:a16="http://schemas.microsoft.com/office/drawing/2014/main" id="{6A8DE67A-A5C4-43B3-B63A-B6F45B4D0F9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1" name="Line 122">
              <a:extLst>
                <a:ext uri="{FF2B5EF4-FFF2-40B4-BE49-F238E27FC236}">
                  <a16:creationId xmlns:a16="http://schemas.microsoft.com/office/drawing/2014/main" id="{A7D27A31-FFD8-41A2-9A60-6AB04424BF3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2" name="Line 123">
              <a:extLst>
                <a:ext uri="{FF2B5EF4-FFF2-40B4-BE49-F238E27FC236}">
                  <a16:creationId xmlns:a16="http://schemas.microsoft.com/office/drawing/2014/main" id="{899CBD5C-44E1-4572-99F6-11243223874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3" name="Line 124">
              <a:extLst>
                <a:ext uri="{FF2B5EF4-FFF2-40B4-BE49-F238E27FC236}">
                  <a16:creationId xmlns:a16="http://schemas.microsoft.com/office/drawing/2014/main" id="{DDF7AC75-0B62-47B2-8683-7725FF206BD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4" name="Line 125">
              <a:extLst>
                <a:ext uri="{FF2B5EF4-FFF2-40B4-BE49-F238E27FC236}">
                  <a16:creationId xmlns:a16="http://schemas.microsoft.com/office/drawing/2014/main" id="{D7742402-C68C-4E6C-89D6-CC2813CC738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5" name="Line 126">
              <a:extLst>
                <a:ext uri="{FF2B5EF4-FFF2-40B4-BE49-F238E27FC236}">
                  <a16:creationId xmlns:a16="http://schemas.microsoft.com/office/drawing/2014/main" id="{BE25AA4A-9FF9-4C0C-A6F1-DDDD13EEFFF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6" name="Line 127">
              <a:extLst>
                <a:ext uri="{FF2B5EF4-FFF2-40B4-BE49-F238E27FC236}">
                  <a16:creationId xmlns:a16="http://schemas.microsoft.com/office/drawing/2014/main" id="{0603B72F-E9E5-4616-AF78-136C665B4B6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7" name="Line 128">
              <a:extLst>
                <a:ext uri="{FF2B5EF4-FFF2-40B4-BE49-F238E27FC236}">
                  <a16:creationId xmlns:a16="http://schemas.microsoft.com/office/drawing/2014/main" id="{F26BEF02-5BD0-41F2-B333-89C3E2D9452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8" name="Line 129">
              <a:extLst>
                <a:ext uri="{FF2B5EF4-FFF2-40B4-BE49-F238E27FC236}">
                  <a16:creationId xmlns:a16="http://schemas.microsoft.com/office/drawing/2014/main" id="{87FA789F-7241-4D38-9D2B-018B97831C8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9" name="Line 130">
              <a:extLst>
                <a:ext uri="{FF2B5EF4-FFF2-40B4-BE49-F238E27FC236}">
                  <a16:creationId xmlns:a16="http://schemas.microsoft.com/office/drawing/2014/main" id="{ABF4E389-C95A-420E-9B14-C3472C2CEEA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0" name="Line 131">
              <a:extLst>
                <a:ext uri="{FF2B5EF4-FFF2-40B4-BE49-F238E27FC236}">
                  <a16:creationId xmlns:a16="http://schemas.microsoft.com/office/drawing/2014/main" id="{EE02079F-056A-4D2C-A73B-498C22BFA1A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1" name="Line 132">
              <a:extLst>
                <a:ext uri="{FF2B5EF4-FFF2-40B4-BE49-F238E27FC236}">
                  <a16:creationId xmlns:a16="http://schemas.microsoft.com/office/drawing/2014/main" id="{5460DE4A-2A72-4588-BA60-DA3B2622D01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2" name="Line 133">
              <a:extLst>
                <a:ext uri="{FF2B5EF4-FFF2-40B4-BE49-F238E27FC236}">
                  <a16:creationId xmlns:a16="http://schemas.microsoft.com/office/drawing/2014/main" id="{DF722BB5-31C5-4BA1-9DB6-06F62FAC5E5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3" name="Line 134">
              <a:extLst>
                <a:ext uri="{FF2B5EF4-FFF2-40B4-BE49-F238E27FC236}">
                  <a16:creationId xmlns:a16="http://schemas.microsoft.com/office/drawing/2014/main" id="{3FC057BD-5C65-439E-AC3E-659D31AF1DD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4" name="Line 135">
              <a:extLst>
                <a:ext uri="{FF2B5EF4-FFF2-40B4-BE49-F238E27FC236}">
                  <a16:creationId xmlns:a16="http://schemas.microsoft.com/office/drawing/2014/main" id="{377AB9E5-1045-4CA4-97F5-F3F3EB9A5FF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5" name="Line 136">
              <a:extLst>
                <a:ext uri="{FF2B5EF4-FFF2-40B4-BE49-F238E27FC236}">
                  <a16:creationId xmlns:a16="http://schemas.microsoft.com/office/drawing/2014/main" id="{161CC514-C46A-487D-80F4-1AFD611BCC7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6" name="Line 137">
              <a:extLst>
                <a:ext uri="{FF2B5EF4-FFF2-40B4-BE49-F238E27FC236}">
                  <a16:creationId xmlns:a16="http://schemas.microsoft.com/office/drawing/2014/main" id="{10F0497F-CB3E-40D4-94ED-2D36E64438F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7" name="Line 138">
              <a:extLst>
                <a:ext uri="{FF2B5EF4-FFF2-40B4-BE49-F238E27FC236}">
                  <a16:creationId xmlns:a16="http://schemas.microsoft.com/office/drawing/2014/main" id="{5B64B770-63DD-47AA-94DB-2A0734AB96A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8" name="Line 139">
              <a:extLst>
                <a:ext uri="{FF2B5EF4-FFF2-40B4-BE49-F238E27FC236}">
                  <a16:creationId xmlns:a16="http://schemas.microsoft.com/office/drawing/2014/main" id="{CEF3AF44-0E4F-4F1E-B722-4C5A1268B76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9" name="Line 140">
              <a:extLst>
                <a:ext uri="{FF2B5EF4-FFF2-40B4-BE49-F238E27FC236}">
                  <a16:creationId xmlns:a16="http://schemas.microsoft.com/office/drawing/2014/main" id="{EF77DFCD-6245-425F-8CAF-69D21B56A2D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0" name="Line 141">
              <a:extLst>
                <a:ext uri="{FF2B5EF4-FFF2-40B4-BE49-F238E27FC236}">
                  <a16:creationId xmlns:a16="http://schemas.microsoft.com/office/drawing/2014/main" id="{DEB3F7D5-86C1-45E2-BC81-EE27E53269E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1" name="Line 142">
              <a:extLst>
                <a:ext uri="{FF2B5EF4-FFF2-40B4-BE49-F238E27FC236}">
                  <a16:creationId xmlns:a16="http://schemas.microsoft.com/office/drawing/2014/main" id="{428316F0-7D1A-46C0-9216-E5A8FF32992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2" name="Line 143">
              <a:extLst>
                <a:ext uri="{FF2B5EF4-FFF2-40B4-BE49-F238E27FC236}">
                  <a16:creationId xmlns:a16="http://schemas.microsoft.com/office/drawing/2014/main" id="{11E42EB1-D1C5-411E-BA1A-474EE7E3042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3" name="Line 144">
              <a:extLst>
                <a:ext uri="{FF2B5EF4-FFF2-40B4-BE49-F238E27FC236}">
                  <a16:creationId xmlns:a16="http://schemas.microsoft.com/office/drawing/2014/main" id="{9E0ADBD8-55F1-47A2-9D4D-9168E8F1810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4" name="Line 145">
              <a:extLst>
                <a:ext uri="{FF2B5EF4-FFF2-40B4-BE49-F238E27FC236}">
                  <a16:creationId xmlns:a16="http://schemas.microsoft.com/office/drawing/2014/main" id="{C2472530-F73F-4FEC-8B69-42A06ADC5A2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5" name="Line 146">
              <a:extLst>
                <a:ext uri="{FF2B5EF4-FFF2-40B4-BE49-F238E27FC236}">
                  <a16:creationId xmlns:a16="http://schemas.microsoft.com/office/drawing/2014/main" id="{5CDEBC67-4C53-4236-B30C-9F9B8A1F74A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6" name="Line 147">
              <a:extLst>
                <a:ext uri="{FF2B5EF4-FFF2-40B4-BE49-F238E27FC236}">
                  <a16:creationId xmlns:a16="http://schemas.microsoft.com/office/drawing/2014/main" id="{FDB467F4-3612-46F3-8948-2567B484886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7" name="Line 148">
              <a:extLst>
                <a:ext uri="{FF2B5EF4-FFF2-40B4-BE49-F238E27FC236}">
                  <a16:creationId xmlns:a16="http://schemas.microsoft.com/office/drawing/2014/main" id="{D4B2A620-8361-4964-9F6D-30B4B2FA95B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8" name="Line 149">
              <a:extLst>
                <a:ext uri="{FF2B5EF4-FFF2-40B4-BE49-F238E27FC236}">
                  <a16:creationId xmlns:a16="http://schemas.microsoft.com/office/drawing/2014/main" id="{62F5EE6E-DE10-4D27-A558-A7AA888DB3E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9" name="Line 150">
              <a:extLst>
                <a:ext uri="{FF2B5EF4-FFF2-40B4-BE49-F238E27FC236}">
                  <a16:creationId xmlns:a16="http://schemas.microsoft.com/office/drawing/2014/main" id="{0DBC453C-FE72-41D1-9898-C9DA9E80672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0" name="Line 151">
              <a:extLst>
                <a:ext uri="{FF2B5EF4-FFF2-40B4-BE49-F238E27FC236}">
                  <a16:creationId xmlns:a16="http://schemas.microsoft.com/office/drawing/2014/main" id="{0FB9F60B-628B-4866-870E-098223E631F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1" name="Line 152">
              <a:extLst>
                <a:ext uri="{FF2B5EF4-FFF2-40B4-BE49-F238E27FC236}">
                  <a16:creationId xmlns:a16="http://schemas.microsoft.com/office/drawing/2014/main" id="{E17AF9E0-11E8-4106-AA06-CBF842F26C4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2" name="Line 153">
              <a:extLst>
                <a:ext uri="{FF2B5EF4-FFF2-40B4-BE49-F238E27FC236}">
                  <a16:creationId xmlns:a16="http://schemas.microsoft.com/office/drawing/2014/main" id="{A6DA0DA8-31C6-47CF-85D2-1709562EDC4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3" name="Line 154">
              <a:extLst>
                <a:ext uri="{FF2B5EF4-FFF2-40B4-BE49-F238E27FC236}">
                  <a16:creationId xmlns:a16="http://schemas.microsoft.com/office/drawing/2014/main" id="{89A0395F-F96F-44DE-9FE2-0C95C640F92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4" name="Line 155">
              <a:extLst>
                <a:ext uri="{FF2B5EF4-FFF2-40B4-BE49-F238E27FC236}">
                  <a16:creationId xmlns:a16="http://schemas.microsoft.com/office/drawing/2014/main" id="{20163AED-5E06-485C-9012-10ADC5CE81B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5" name="Line 156">
              <a:extLst>
                <a:ext uri="{FF2B5EF4-FFF2-40B4-BE49-F238E27FC236}">
                  <a16:creationId xmlns:a16="http://schemas.microsoft.com/office/drawing/2014/main" id="{3EDC2F19-6C47-495A-83BE-6A3B4FF97E1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6" name="Line 157">
              <a:extLst>
                <a:ext uri="{FF2B5EF4-FFF2-40B4-BE49-F238E27FC236}">
                  <a16:creationId xmlns:a16="http://schemas.microsoft.com/office/drawing/2014/main" id="{5B0732A9-0186-4FE3-9284-322E8F3D145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7" name="Line 158">
              <a:extLst>
                <a:ext uri="{FF2B5EF4-FFF2-40B4-BE49-F238E27FC236}">
                  <a16:creationId xmlns:a16="http://schemas.microsoft.com/office/drawing/2014/main" id="{57801ADA-F3B1-4AB7-9F84-8CE2AD5C73F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8" name="Line 159">
              <a:extLst>
                <a:ext uri="{FF2B5EF4-FFF2-40B4-BE49-F238E27FC236}">
                  <a16:creationId xmlns:a16="http://schemas.microsoft.com/office/drawing/2014/main" id="{48EB3804-7277-4E39-B900-96677CCE58A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9" name="Line 160">
              <a:extLst>
                <a:ext uri="{FF2B5EF4-FFF2-40B4-BE49-F238E27FC236}">
                  <a16:creationId xmlns:a16="http://schemas.microsoft.com/office/drawing/2014/main" id="{9731E72A-9A19-45EA-A1E6-83438593F90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0" name="Line 161">
              <a:extLst>
                <a:ext uri="{FF2B5EF4-FFF2-40B4-BE49-F238E27FC236}">
                  <a16:creationId xmlns:a16="http://schemas.microsoft.com/office/drawing/2014/main" id="{B5B7E3C7-AE99-4121-B2EE-D9C454C712F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1" name="Line 162">
              <a:extLst>
                <a:ext uri="{FF2B5EF4-FFF2-40B4-BE49-F238E27FC236}">
                  <a16:creationId xmlns:a16="http://schemas.microsoft.com/office/drawing/2014/main" id="{9BF81108-20D5-4044-94C6-7E2E60F2466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2" name="Line 163">
              <a:extLst>
                <a:ext uri="{FF2B5EF4-FFF2-40B4-BE49-F238E27FC236}">
                  <a16:creationId xmlns:a16="http://schemas.microsoft.com/office/drawing/2014/main" id="{6FE2A536-9207-44ED-9036-FD2CE70A5E8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3" name="Line 164">
              <a:extLst>
                <a:ext uri="{FF2B5EF4-FFF2-40B4-BE49-F238E27FC236}">
                  <a16:creationId xmlns:a16="http://schemas.microsoft.com/office/drawing/2014/main" id="{6E3B35F2-F8E6-4C40-8077-FC0DD7AC8AA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4" name="Line 165">
              <a:extLst>
                <a:ext uri="{FF2B5EF4-FFF2-40B4-BE49-F238E27FC236}">
                  <a16:creationId xmlns:a16="http://schemas.microsoft.com/office/drawing/2014/main" id="{879BDE35-4B6E-47A6-9577-BB0D13888E0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5" name="Line 166">
              <a:extLst>
                <a:ext uri="{FF2B5EF4-FFF2-40B4-BE49-F238E27FC236}">
                  <a16:creationId xmlns:a16="http://schemas.microsoft.com/office/drawing/2014/main" id="{BC9FEC41-2825-40B4-B2D6-B0C88DA5E47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6" name="Line 167">
              <a:extLst>
                <a:ext uri="{FF2B5EF4-FFF2-40B4-BE49-F238E27FC236}">
                  <a16:creationId xmlns:a16="http://schemas.microsoft.com/office/drawing/2014/main" id="{0865CB3C-ACA5-4DFF-BF97-0C702E07481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7" name="Line 168">
              <a:extLst>
                <a:ext uri="{FF2B5EF4-FFF2-40B4-BE49-F238E27FC236}">
                  <a16:creationId xmlns:a16="http://schemas.microsoft.com/office/drawing/2014/main" id="{85C4E81C-E954-4F05-9A02-8FFC5A94F38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8" name="Line 169">
              <a:extLst>
                <a:ext uri="{FF2B5EF4-FFF2-40B4-BE49-F238E27FC236}">
                  <a16:creationId xmlns:a16="http://schemas.microsoft.com/office/drawing/2014/main" id="{F5ED3E20-FD07-43C6-BF1B-44FE0848F69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9" name="Line 170">
              <a:extLst>
                <a:ext uri="{FF2B5EF4-FFF2-40B4-BE49-F238E27FC236}">
                  <a16:creationId xmlns:a16="http://schemas.microsoft.com/office/drawing/2014/main" id="{5220196E-DA9D-4EB6-828C-DC430095F10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0" name="Line 171">
              <a:extLst>
                <a:ext uri="{FF2B5EF4-FFF2-40B4-BE49-F238E27FC236}">
                  <a16:creationId xmlns:a16="http://schemas.microsoft.com/office/drawing/2014/main" id="{D7C2C5D1-9A94-4EBB-816F-96EF91C9AF5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33" y="202"/>
              <a:ext cx="95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1" name="Freeform 172">
              <a:extLst>
                <a:ext uri="{FF2B5EF4-FFF2-40B4-BE49-F238E27FC236}">
                  <a16:creationId xmlns:a16="http://schemas.microsoft.com/office/drawing/2014/main" id="{C5FF31B0-F757-4806-B18C-F9E77C70C08F}"/>
                </a:ext>
              </a:extLst>
            </xdr:cNvPr>
            <xdr:cNvSpPr>
              <a:spLocks/>
            </xdr:cNvSpPr>
          </xdr:nvSpPr>
          <xdr:spPr bwMode="auto">
            <a:xfrm>
              <a:off x="821" y="188"/>
              <a:ext cx="6" cy="9"/>
            </a:xfrm>
            <a:custGeom>
              <a:avLst/>
              <a:gdLst>
                <a:gd name="T0" fmla="*/ 0 w 351"/>
                <a:gd name="T1" fmla="*/ 526 h 526"/>
                <a:gd name="T2" fmla="*/ 0 w 351"/>
                <a:gd name="T3" fmla="*/ 351 h 526"/>
                <a:gd name="T4" fmla="*/ 176 w 351"/>
                <a:gd name="T5" fmla="*/ 0 h 526"/>
                <a:gd name="T6" fmla="*/ 351 w 351"/>
                <a:gd name="T7" fmla="*/ 351 h 526"/>
                <a:gd name="T8" fmla="*/ 351 w 351"/>
                <a:gd name="T9" fmla="*/ 526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526">
                  <a:moveTo>
                    <a:pt x="0" y="526"/>
                  </a:moveTo>
                  <a:lnTo>
                    <a:pt x="0" y="351"/>
                  </a:lnTo>
                  <a:lnTo>
                    <a:pt x="176" y="0"/>
                  </a:lnTo>
                  <a:lnTo>
                    <a:pt x="351" y="351"/>
                  </a:lnTo>
                  <a:lnTo>
                    <a:pt x="351" y="526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62" name="Line 173">
              <a:extLst>
                <a:ext uri="{FF2B5EF4-FFF2-40B4-BE49-F238E27FC236}">
                  <a16:creationId xmlns:a16="http://schemas.microsoft.com/office/drawing/2014/main" id="{F86E56CD-4C04-4D97-B293-ED44AFF5445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1" y="194"/>
              <a:ext cx="6" cy="0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3" name="Freeform 174">
              <a:extLst>
                <a:ext uri="{FF2B5EF4-FFF2-40B4-BE49-F238E27FC236}">
                  <a16:creationId xmlns:a16="http://schemas.microsoft.com/office/drawing/2014/main" id="{875E7EF8-495B-4CF1-BEF8-0A511E2237C4}"/>
                </a:ext>
              </a:extLst>
            </xdr:cNvPr>
            <xdr:cNvSpPr>
              <a:spLocks/>
            </xdr:cNvSpPr>
          </xdr:nvSpPr>
          <xdr:spPr bwMode="auto">
            <a:xfrm>
              <a:off x="833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4" name="Freeform 175">
              <a:extLst>
                <a:ext uri="{FF2B5EF4-FFF2-40B4-BE49-F238E27FC236}">
                  <a16:creationId xmlns:a16="http://schemas.microsoft.com/office/drawing/2014/main" id="{944DC51D-6DFC-479E-84FA-62593C5B5349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5" name="Freeform 176">
              <a:extLst>
                <a:ext uri="{FF2B5EF4-FFF2-40B4-BE49-F238E27FC236}">
                  <a16:creationId xmlns:a16="http://schemas.microsoft.com/office/drawing/2014/main" id="{9CBC367F-C248-466E-906B-E13FC739FCA5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1" cy="2"/>
            </a:xfrm>
            <a:custGeom>
              <a:avLst/>
              <a:gdLst>
                <a:gd name="T0" fmla="*/ 53 w 53"/>
                <a:gd name="T1" fmla="*/ 14 h 106"/>
                <a:gd name="T2" fmla="*/ 0 w 53"/>
                <a:gd name="T3" fmla="*/ 0 h 106"/>
                <a:gd name="T4" fmla="*/ 0 w 53"/>
                <a:gd name="T5" fmla="*/ 106 h 106"/>
                <a:gd name="T6" fmla="*/ 53 w 53"/>
                <a:gd name="T7" fmla="*/ 14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14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53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6" name="Freeform 177">
              <a:extLst>
                <a:ext uri="{FF2B5EF4-FFF2-40B4-BE49-F238E27FC236}">
                  <a16:creationId xmlns:a16="http://schemas.microsoft.com/office/drawing/2014/main" id="{B7C7BEA9-3D0C-4B2B-BB4D-E6BC1B23A40B}"/>
                </a:ext>
              </a:extLst>
            </xdr:cNvPr>
            <xdr:cNvSpPr>
              <a:spLocks/>
            </xdr:cNvSpPr>
          </xdr:nvSpPr>
          <xdr:spPr bwMode="auto">
            <a:xfrm>
              <a:off x="832" y="200"/>
              <a:ext cx="1" cy="2"/>
            </a:xfrm>
            <a:custGeom>
              <a:avLst/>
              <a:gdLst>
                <a:gd name="T0" fmla="*/ 53 w 53"/>
                <a:gd name="T1" fmla="*/ 0 h 106"/>
                <a:gd name="T2" fmla="*/ 0 w 53"/>
                <a:gd name="T3" fmla="*/ 14 h 106"/>
                <a:gd name="T4" fmla="*/ 53 w 53"/>
                <a:gd name="T5" fmla="*/ 106 h 106"/>
                <a:gd name="T6" fmla="*/ 53 w 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0"/>
                  </a:moveTo>
                  <a:lnTo>
                    <a:pt x="0" y="14"/>
                  </a:lnTo>
                  <a:lnTo>
                    <a:pt x="53" y="106"/>
                  </a:lnTo>
                  <a:lnTo>
                    <a:pt x="5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7" name="Freeform 178">
              <a:extLst>
                <a:ext uri="{FF2B5EF4-FFF2-40B4-BE49-F238E27FC236}">
                  <a16:creationId xmlns:a16="http://schemas.microsoft.com/office/drawing/2014/main" id="{AB76F902-0CF6-44EB-B326-EC696EB6D5FE}"/>
                </a:ext>
              </a:extLst>
            </xdr:cNvPr>
            <xdr:cNvSpPr>
              <a:spLocks/>
            </xdr:cNvSpPr>
          </xdr:nvSpPr>
          <xdr:spPr bwMode="auto">
            <a:xfrm>
              <a:off x="831" y="200"/>
              <a:ext cx="2" cy="2"/>
            </a:xfrm>
            <a:custGeom>
              <a:avLst/>
              <a:gdLst>
                <a:gd name="T0" fmla="*/ 38 w 91"/>
                <a:gd name="T1" fmla="*/ 0 h 92"/>
                <a:gd name="T2" fmla="*/ 0 w 91"/>
                <a:gd name="T3" fmla="*/ 39 h 92"/>
                <a:gd name="T4" fmla="*/ 91 w 91"/>
                <a:gd name="T5" fmla="*/ 92 h 92"/>
                <a:gd name="T6" fmla="*/ 38 w 91"/>
                <a:gd name="T7" fmla="*/ 0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38" y="0"/>
                  </a:moveTo>
                  <a:lnTo>
                    <a:pt x="0" y="39"/>
                  </a:lnTo>
                  <a:lnTo>
                    <a:pt x="91" y="92"/>
                  </a:lnTo>
                  <a:lnTo>
                    <a:pt x="3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8" name="Freeform 179">
              <a:extLst>
                <a:ext uri="{FF2B5EF4-FFF2-40B4-BE49-F238E27FC236}">
                  <a16:creationId xmlns:a16="http://schemas.microsoft.com/office/drawing/2014/main" id="{1080E81C-91B6-47AB-B663-1A6FE6CC0DC5}"/>
                </a:ext>
              </a:extLst>
            </xdr:cNvPr>
            <xdr:cNvSpPr>
              <a:spLocks/>
            </xdr:cNvSpPr>
          </xdr:nvSpPr>
          <xdr:spPr bwMode="auto">
            <a:xfrm>
              <a:off x="831" y="201"/>
              <a:ext cx="2" cy="1"/>
            </a:xfrm>
            <a:custGeom>
              <a:avLst/>
              <a:gdLst>
                <a:gd name="T0" fmla="*/ 14 w 105"/>
                <a:gd name="T1" fmla="*/ 0 h 53"/>
                <a:gd name="T2" fmla="*/ 0 w 105"/>
                <a:gd name="T3" fmla="*/ 53 h 53"/>
                <a:gd name="T4" fmla="*/ 105 w 105"/>
                <a:gd name="T5" fmla="*/ 53 h 53"/>
                <a:gd name="T6" fmla="*/ 14 w 105"/>
                <a:gd name="T7" fmla="*/ 0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4" y="0"/>
                  </a:moveTo>
                  <a:lnTo>
                    <a:pt x="0" y="53"/>
                  </a:lnTo>
                  <a:lnTo>
                    <a:pt x="105" y="53"/>
                  </a:lnTo>
                  <a:lnTo>
                    <a:pt x="1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9" name="Freeform 180">
              <a:extLst>
                <a:ext uri="{FF2B5EF4-FFF2-40B4-BE49-F238E27FC236}">
                  <a16:creationId xmlns:a16="http://schemas.microsoft.com/office/drawing/2014/main" id="{9598B658-2DFC-4BC0-B7C7-DE3335D00711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105"/>
                <a:gd name="T1" fmla="*/ 0 h 52"/>
                <a:gd name="T2" fmla="*/ 14 w 105"/>
                <a:gd name="T3" fmla="*/ 52 h 52"/>
                <a:gd name="T4" fmla="*/ 105 w 105"/>
                <a:gd name="T5" fmla="*/ 0 h 52"/>
                <a:gd name="T6" fmla="*/ 0 w 105"/>
                <a:gd name="T7" fmla="*/ 0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0" y="0"/>
                  </a:moveTo>
                  <a:lnTo>
                    <a:pt x="14" y="52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0" name="Freeform 181">
              <a:extLst>
                <a:ext uri="{FF2B5EF4-FFF2-40B4-BE49-F238E27FC236}">
                  <a16:creationId xmlns:a16="http://schemas.microsoft.com/office/drawing/2014/main" id="{0CF03881-6047-4E8A-85E7-F5207289A99B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91"/>
                <a:gd name="T1" fmla="*/ 52 h 91"/>
                <a:gd name="T2" fmla="*/ 38 w 91"/>
                <a:gd name="T3" fmla="*/ 91 h 91"/>
                <a:gd name="T4" fmla="*/ 91 w 91"/>
                <a:gd name="T5" fmla="*/ 0 h 91"/>
                <a:gd name="T6" fmla="*/ 0 w 91"/>
                <a:gd name="T7" fmla="*/ 52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0" y="52"/>
                  </a:moveTo>
                  <a:lnTo>
                    <a:pt x="38" y="91"/>
                  </a:lnTo>
                  <a:lnTo>
                    <a:pt x="91" y="0"/>
                  </a:lnTo>
                  <a:lnTo>
                    <a:pt x="0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1" name="Freeform 182">
              <a:extLst>
                <a:ext uri="{FF2B5EF4-FFF2-40B4-BE49-F238E27FC236}">
                  <a16:creationId xmlns:a16="http://schemas.microsoft.com/office/drawing/2014/main" id="{A4DAE05B-B16F-4F26-B634-801676CA7DC6}"/>
                </a:ext>
              </a:extLst>
            </xdr:cNvPr>
            <xdr:cNvSpPr>
              <a:spLocks/>
            </xdr:cNvSpPr>
          </xdr:nvSpPr>
          <xdr:spPr bwMode="auto">
            <a:xfrm>
              <a:off x="832" y="202"/>
              <a:ext cx="1" cy="2"/>
            </a:xfrm>
            <a:custGeom>
              <a:avLst/>
              <a:gdLst>
                <a:gd name="T0" fmla="*/ 0 w 53"/>
                <a:gd name="T1" fmla="*/ 91 h 105"/>
                <a:gd name="T2" fmla="*/ 53 w 53"/>
                <a:gd name="T3" fmla="*/ 105 h 105"/>
                <a:gd name="T4" fmla="*/ 53 w 53"/>
                <a:gd name="T5" fmla="*/ 0 h 105"/>
                <a:gd name="T6" fmla="*/ 0 w 53"/>
                <a:gd name="T7" fmla="*/ 9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91"/>
                  </a:moveTo>
                  <a:lnTo>
                    <a:pt x="53" y="105"/>
                  </a:lnTo>
                  <a:lnTo>
                    <a:pt x="53" y="0"/>
                  </a:lnTo>
                  <a:lnTo>
                    <a:pt x="0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2" name="Freeform 183">
              <a:extLst>
                <a:ext uri="{FF2B5EF4-FFF2-40B4-BE49-F238E27FC236}">
                  <a16:creationId xmlns:a16="http://schemas.microsoft.com/office/drawing/2014/main" id="{47186214-14F6-40EF-9752-3B5D9E9DE500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1" cy="2"/>
            </a:xfrm>
            <a:custGeom>
              <a:avLst/>
              <a:gdLst>
                <a:gd name="T0" fmla="*/ 0 w 53"/>
                <a:gd name="T1" fmla="*/ 105 h 105"/>
                <a:gd name="T2" fmla="*/ 53 w 53"/>
                <a:gd name="T3" fmla="*/ 91 h 105"/>
                <a:gd name="T4" fmla="*/ 0 w 53"/>
                <a:gd name="T5" fmla="*/ 0 h 105"/>
                <a:gd name="T6" fmla="*/ 0 w 53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105"/>
                  </a:moveTo>
                  <a:lnTo>
                    <a:pt x="53" y="91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3" name="Freeform 184">
              <a:extLst>
                <a:ext uri="{FF2B5EF4-FFF2-40B4-BE49-F238E27FC236}">
                  <a16:creationId xmlns:a16="http://schemas.microsoft.com/office/drawing/2014/main" id="{0C803C8F-0654-4827-A2E0-F7BBAC5E5402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53 w 91"/>
                <a:gd name="T1" fmla="*/ 91 h 91"/>
                <a:gd name="T2" fmla="*/ 91 w 91"/>
                <a:gd name="T3" fmla="*/ 52 h 91"/>
                <a:gd name="T4" fmla="*/ 0 w 91"/>
                <a:gd name="T5" fmla="*/ 0 h 91"/>
                <a:gd name="T6" fmla="*/ 53 w 91"/>
                <a:gd name="T7" fmla="*/ 91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53" y="91"/>
                  </a:moveTo>
                  <a:lnTo>
                    <a:pt x="91" y="52"/>
                  </a:lnTo>
                  <a:lnTo>
                    <a:pt x="0" y="0"/>
                  </a:lnTo>
                  <a:lnTo>
                    <a:pt x="53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4" name="Freeform 185">
              <a:extLst>
                <a:ext uri="{FF2B5EF4-FFF2-40B4-BE49-F238E27FC236}">
                  <a16:creationId xmlns:a16="http://schemas.microsoft.com/office/drawing/2014/main" id="{07472637-0D62-439A-BCB0-1B99E38EE892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91 w 105"/>
                <a:gd name="T1" fmla="*/ 52 h 52"/>
                <a:gd name="T2" fmla="*/ 105 w 105"/>
                <a:gd name="T3" fmla="*/ 0 h 52"/>
                <a:gd name="T4" fmla="*/ 0 w 105"/>
                <a:gd name="T5" fmla="*/ 0 h 52"/>
                <a:gd name="T6" fmla="*/ 91 w 105"/>
                <a:gd name="T7" fmla="*/ 52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91" y="52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91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5" name="Freeform 186">
              <a:extLst>
                <a:ext uri="{FF2B5EF4-FFF2-40B4-BE49-F238E27FC236}">
                  <a16:creationId xmlns:a16="http://schemas.microsoft.com/office/drawing/2014/main" id="{169BF8E0-B680-4F47-9DC2-4124A5E36BEF}"/>
                </a:ext>
              </a:extLst>
            </xdr:cNvPr>
            <xdr:cNvSpPr>
              <a:spLocks/>
            </xdr:cNvSpPr>
          </xdr:nvSpPr>
          <xdr:spPr bwMode="auto">
            <a:xfrm>
              <a:off x="916" y="192"/>
              <a:ext cx="6" cy="5"/>
            </a:xfrm>
            <a:custGeom>
              <a:avLst/>
              <a:gdLst>
                <a:gd name="T0" fmla="*/ 0 w 351"/>
                <a:gd name="T1" fmla="*/ 263 h 263"/>
                <a:gd name="T2" fmla="*/ 263 w 351"/>
                <a:gd name="T3" fmla="*/ 263 h 263"/>
                <a:gd name="T4" fmla="*/ 351 w 351"/>
                <a:gd name="T5" fmla="*/ 176 h 263"/>
                <a:gd name="T6" fmla="*/ 351 w 351"/>
                <a:gd name="T7" fmla="*/ 88 h 263"/>
                <a:gd name="T8" fmla="*/ 263 w 351"/>
                <a:gd name="T9" fmla="*/ 0 h 263"/>
                <a:gd name="T10" fmla="*/ 88 w 351"/>
                <a:gd name="T11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263">
                  <a:moveTo>
                    <a:pt x="0" y="263"/>
                  </a:moveTo>
                  <a:lnTo>
                    <a:pt x="263" y="263"/>
                  </a:lnTo>
                  <a:lnTo>
                    <a:pt x="351" y="176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88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6" name="Freeform 187">
              <a:extLst>
                <a:ext uri="{FF2B5EF4-FFF2-40B4-BE49-F238E27FC236}">
                  <a16:creationId xmlns:a16="http://schemas.microsoft.com/office/drawing/2014/main" id="{39ED91D9-14AA-4393-AC2C-E7CA872B0B8B}"/>
                </a:ext>
              </a:extLst>
            </xdr:cNvPr>
            <xdr:cNvSpPr>
              <a:spLocks/>
            </xdr:cNvSpPr>
          </xdr:nvSpPr>
          <xdr:spPr bwMode="auto">
            <a:xfrm>
              <a:off x="916" y="188"/>
              <a:ext cx="6" cy="4"/>
            </a:xfrm>
            <a:custGeom>
              <a:avLst/>
              <a:gdLst>
                <a:gd name="T0" fmla="*/ 263 w 351"/>
                <a:gd name="T1" fmla="*/ 263 h 263"/>
                <a:gd name="T2" fmla="*/ 351 w 351"/>
                <a:gd name="T3" fmla="*/ 175 h 263"/>
                <a:gd name="T4" fmla="*/ 351 w 351"/>
                <a:gd name="T5" fmla="*/ 88 h 263"/>
                <a:gd name="T6" fmla="*/ 263 w 351"/>
                <a:gd name="T7" fmla="*/ 0 h 263"/>
                <a:gd name="T8" fmla="*/ 0 w 351"/>
                <a:gd name="T9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263">
                  <a:moveTo>
                    <a:pt x="263" y="263"/>
                  </a:moveTo>
                  <a:lnTo>
                    <a:pt x="351" y="175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7" name="Line 188">
              <a:extLst>
                <a:ext uri="{FF2B5EF4-FFF2-40B4-BE49-F238E27FC236}">
                  <a16:creationId xmlns:a16="http://schemas.microsoft.com/office/drawing/2014/main" id="{CF6F6223-C53B-47D0-A5D5-C0BC747D051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18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8" name="Freeform 189">
              <a:extLst>
                <a:ext uri="{FF2B5EF4-FFF2-40B4-BE49-F238E27FC236}">
                  <a16:creationId xmlns:a16="http://schemas.microsoft.com/office/drawing/2014/main" id="{839D5385-9A8C-4586-A5B0-28999A200CF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7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7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9" name="Freeform 190">
              <a:extLst>
                <a:ext uri="{FF2B5EF4-FFF2-40B4-BE49-F238E27FC236}">
                  <a16:creationId xmlns:a16="http://schemas.microsoft.com/office/drawing/2014/main" id="{1481CA7E-A5B1-48BE-8EC6-18150ED3A316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8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8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8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0" name="Freeform 191">
              <a:extLst>
                <a:ext uri="{FF2B5EF4-FFF2-40B4-BE49-F238E27FC236}">
                  <a16:creationId xmlns:a16="http://schemas.microsoft.com/office/drawing/2014/main" id="{36BD551F-BCF6-49E2-B6E0-5CF834185A2B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4 w 104"/>
                <a:gd name="T1" fmla="*/ 7 h 22"/>
                <a:gd name="T2" fmla="*/ 103 w 104"/>
                <a:gd name="T3" fmla="*/ 0 h 22"/>
                <a:gd name="T4" fmla="*/ 0 w 104"/>
                <a:gd name="T5" fmla="*/ 22 h 22"/>
                <a:gd name="T6" fmla="*/ 104 w 104"/>
                <a:gd name="T7" fmla="*/ 7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4" y="7"/>
                  </a:moveTo>
                  <a:lnTo>
                    <a:pt x="103" y="0"/>
                  </a:lnTo>
                  <a:lnTo>
                    <a:pt x="0" y="22"/>
                  </a:lnTo>
                  <a:lnTo>
                    <a:pt x="104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1" name="Freeform 192">
              <a:extLst>
                <a:ext uri="{FF2B5EF4-FFF2-40B4-BE49-F238E27FC236}">
                  <a16:creationId xmlns:a16="http://schemas.microsoft.com/office/drawing/2014/main" id="{79B586B7-754C-4973-87B3-68CB17B4111B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3 w 103"/>
                <a:gd name="T1" fmla="*/ 7 h 29"/>
                <a:gd name="T2" fmla="*/ 102 w 103"/>
                <a:gd name="T3" fmla="*/ 0 h 29"/>
                <a:gd name="T4" fmla="*/ 0 w 103"/>
                <a:gd name="T5" fmla="*/ 29 h 29"/>
                <a:gd name="T6" fmla="*/ 103 w 103"/>
                <a:gd name="T7" fmla="*/ 7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3" y="7"/>
                  </a:moveTo>
                  <a:lnTo>
                    <a:pt x="102" y="0"/>
                  </a:lnTo>
                  <a:lnTo>
                    <a:pt x="0" y="29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2" name="Freeform 193">
              <a:extLst>
                <a:ext uri="{FF2B5EF4-FFF2-40B4-BE49-F238E27FC236}">
                  <a16:creationId xmlns:a16="http://schemas.microsoft.com/office/drawing/2014/main" id="{1018072D-E1D3-4E5D-962C-BDDECB244115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2 w 102"/>
                <a:gd name="T1" fmla="*/ 7 h 36"/>
                <a:gd name="T2" fmla="*/ 99 w 102"/>
                <a:gd name="T3" fmla="*/ 0 h 36"/>
                <a:gd name="T4" fmla="*/ 0 w 102"/>
                <a:gd name="T5" fmla="*/ 36 h 36"/>
                <a:gd name="T6" fmla="*/ 102 w 102"/>
                <a:gd name="T7" fmla="*/ 7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6">
                  <a:moveTo>
                    <a:pt x="102" y="7"/>
                  </a:moveTo>
                  <a:lnTo>
                    <a:pt x="99" y="0"/>
                  </a:lnTo>
                  <a:lnTo>
                    <a:pt x="0" y="36"/>
                  </a:lnTo>
                  <a:lnTo>
                    <a:pt x="102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3" name="Freeform 194">
              <a:extLst>
                <a:ext uri="{FF2B5EF4-FFF2-40B4-BE49-F238E27FC236}">
                  <a16:creationId xmlns:a16="http://schemas.microsoft.com/office/drawing/2014/main" id="{2E29CC39-8764-4608-9CF5-303A7249FDEE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9 w 99"/>
                <a:gd name="T1" fmla="*/ 6 h 42"/>
                <a:gd name="T2" fmla="*/ 97 w 99"/>
                <a:gd name="T3" fmla="*/ 0 h 42"/>
                <a:gd name="T4" fmla="*/ 0 w 99"/>
                <a:gd name="T5" fmla="*/ 42 h 42"/>
                <a:gd name="T6" fmla="*/ 99 w 99"/>
                <a:gd name="T7" fmla="*/ 6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9" y="6"/>
                  </a:moveTo>
                  <a:lnTo>
                    <a:pt x="97" y="0"/>
                  </a:lnTo>
                  <a:lnTo>
                    <a:pt x="0" y="42"/>
                  </a:lnTo>
                  <a:lnTo>
                    <a:pt x="9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4" name="Freeform 195">
              <a:extLst>
                <a:ext uri="{FF2B5EF4-FFF2-40B4-BE49-F238E27FC236}">
                  <a16:creationId xmlns:a16="http://schemas.microsoft.com/office/drawing/2014/main" id="{0C437C49-8765-456D-8A08-C8684AB1A0F6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7 w 97"/>
                <a:gd name="T1" fmla="*/ 7 h 49"/>
                <a:gd name="T2" fmla="*/ 94 w 97"/>
                <a:gd name="T3" fmla="*/ 0 h 49"/>
                <a:gd name="T4" fmla="*/ 0 w 97"/>
                <a:gd name="T5" fmla="*/ 49 h 49"/>
                <a:gd name="T6" fmla="*/ 97 w 97"/>
                <a:gd name="T7" fmla="*/ 7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9">
                  <a:moveTo>
                    <a:pt x="97" y="7"/>
                  </a:moveTo>
                  <a:lnTo>
                    <a:pt x="94" y="0"/>
                  </a:lnTo>
                  <a:lnTo>
                    <a:pt x="0" y="49"/>
                  </a:lnTo>
                  <a:lnTo>
                    <a:pt x="97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5" name="Freeform 196">
              <a:extLst>
                <a:ext uri="{FF2B5EF4-FFF2-40B4-BE49-F238E27FC236}">
                  <a16:creationId xmlns:a16="http://schemas.microsoft.com/office/drawing/2014/main" id="{111FF938-34F9-47E2-9568-007E581C9F89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4 w 94"/>
                <a:gd name="T1" fmla="*/ 6 h 55"/>
                <a:gd name="T2" fmla="*/ 90 w 94"/>
                <a:gd name="T3" fmla="*/ 0 h 55"/>
                <a:gd name="T4" fmla="*/ 0 w 94"/>
                <a:gd name="T5" fmla="*/ 55 h 55"/>
                <a:gd name="T6" fmla="*/ 94 w 94"/>
                <a:gd name="T7" fmla="*/ 6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5">
                  <a:moveTo>
                    <a:pt x="94" y="6"/>
                  </a:moveTo>
                  <a:lnTo>
                    <a:pt x="90" y="0"/>
                  </a:lnTo>
                  <a:lnTo>
                    <a:pt x="0" y="55"/>
                  </a:lnTo>
                  <a:lnTo>
                    <a:pt x="9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6" name="Freeform 197">
              <a:extLst>
                <a:ext uri="{FF2B5EF4-FFF2-40B4-BE49-F238E27FC236}">
                  <a16:creationId xmlns:a16="http://schemas.microsoft.com/office/drawing/2014/main" id="{2D9C1224-0D99-4F69-A97A-40009CF8B781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0 w 90"/>
                <a:gd name="T1" fmla="*/ 6 h 61"/>
                <a:gd name="T2" fmla="*/ 86 w 90"/>
                <a:gd name="T3" fmla="*/ 0 h 61"/>
                <a:gd name="T4" fmla="*/ 0 w 90"/>
                <a:gd name="T5" fmla="*/ 61 h 61"/>
                <a:gd name="T6" fmla="*/ 90 w 90"/>
                <a:gd name="T7" fmla="*/ 6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90" y="6"/>
                  </a:moveTo>
                  <a:lnTo>
                    <a:pt x="86" y="0"/>
                  </a:lnTo>
                  <a:lnTo>
                    <a:pt x="0" y="61"/>
                  </a:lnTo>
                  <a:lnTo>
                    <a:pt x="90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7" name="Freeform 198">
              <a:extLst>
                <a:ext uri="{FF2B5EF4-FFF2-40B4-BE49-F238E27FC236}">
                  <a16:creationId xmlns:a16="http://schemas.microsoft.com/office/drawing/2014/main" id="{D064A93D-62EF-441D-94CB-FBA902B45BDA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6 w 86"/>
                <a:gd name="T1" fmla="*/ 6 h 67"/>
                <a:gd name="T2" fmla="*/ 82 w 86"/>
                <a:gd name="T3" fmla="*/ 0 h 67"/>
                <a:gd name="T4" fmla="*/ 0 w 86"/>
                <a:gd name="T5" fmla="*/ 67 h 67"/>
                <a:gd name="T6" fmla="*/ 86 w 86"/>
                <a:gd name="T7" fmla="*/ 6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86" y="6"/>
                  </a:moveTo>
                  <a:lnTo>
                    <a:pt x="82" y="0"/>
                  </a:lnTo>
                  <a:lnTo>
                    <a:pt x="0" y="67"/>
                  </a:lnTo>
                  <a:lnTo>
                    <a:pt x="86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8" name="Freeform 199">
              <a:extLst>
                <a:ext uri="{FF2B5EF4-FFF2-40B4-BE49-F238E27FC236}">
                  <a16:creationId xmlns:a16="http://schemas.microsoft.com/office/drawing/2014/main" id="{B6EFD300-8B28-4F9D-88DB-11F1D3F056F8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2 w 82"/>
                <a:gd name="T1" fmla="*/ 5 h 72"/>
                <a:gd name="T2" fmla="*/ 77 w 82"/>
                <a:gd name="T3" fmla="*/ 0 h 72"/>
                <a:gd name="T4" fmla="*/ 0 w 82"/>
                <a:gd name="T5" fmla="*/ 72 h 72"/>
                <a:gd name="T6" fmla="*/ 82 w 82"/>
                <a:gd name="T7" fmla="*/ 5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82" y="5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9" name="Freeform 200">
              <a:extLst>
                <a:ext uri="{FF2B5EF4-FFF2-40B4-BE49-F238E27FC236}">
                  <a16:creationId xmlns:a16="http://schemas.microsoft.com/office/drawing/2014/main" id="{C31F81B1-EBBA-4C99-B793-E4E5ABD23162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77 w 77"/>
                <a:gd name="T1" fmla="*/ 5 h 77"/>
                <a:gd name="T2" fmla="*/ 72 w 77"/>
                <a:gd name="T3" fmla="*/ 0 h 77"/>
                <a:gd name="T4" fmla="*/ 0 w 77"/>
                <a:gd name="T5" fmla="*/ 77 h 77"/>
                <a:gd name="T6" fmla="*/ 77 w 77"/>
                <a:gd name="T7" fmla="*/ 5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7" y="5"/>
                  </a:moveTo>
                  <a:lnTo>
                    <a:pt x="72" y="0"/>
                  </a:lnTo>
                  <a:lnTo>
                    <a:pt x="0" y="77"/>
                  </a:lnTo>
                  <a:lnTo>
                    <a:pt x="77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0" name="Freeform 201">
              <a:extLst>
                <a:ext uri="{FF2B5EF4-FFF2-40B4-BE49-F238E27FC236}">
                  <a16:creationId xmlns:a16="http://schemas.microsoft.com/office/drawing/2014/main" id="{EFEE4E17-62F7-42B1-ACEB-7B4D3E548E4D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72 w 72"/>
                <a:gd name="T1" fmla="*/ 5 h 82"/>
                <a:gd name="T2" fmla="*/ 67 w 72"/>
                <a:gd name="T3" fmla="*/ 0 h 82"/>
                <a:gd name="T4" fmla="*/ 0 w 72"/>
                <a:gd name="T5" fmla="*/ 82 h 82"/>
                <a:gd name="T6" fmla="*/ 72 w 72"/>
                <a:gd name="T7" fmla="*/ 5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72" y="5"/>
                  </a:moveTo>
                  <a:lnTo>
                    <a:pt x="67" y="0"/>
                  </a:lnTo>
                  <a:lnTo>
                    <a:pt x="0" y="82"/>
                  </a:lnTo>
                  <a:lnTo>
                    <a:pt x="7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1" name="Freeform 202">
              <a:extLst>
                <a:ext uri="{FF2B5EF4-FFF2-40B4-BE49-F238E27FC236}">
                  <a16:creationId xmlns:a16="http://schemas.microsoft.com/office/drawing/2014/main" id="{EB6A87BC-BA2E-4627-8E67-77A5CBBE90BF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7 w 67"/>
                <a:gd name="T1" fmla="*/ 4 h 86"/>
                <a:gd name="T2" fmla="*/ 61 w 67"/>
                <a:gd name="T3" fmla="*/ 0 h 86"/>
                <a:gd name="T4" fmla="*/ 0 w 67"/>
                <a:gd name="T5" fmla="*/ 86 h 86"/>
                <a:gd name="T6" fmla="*/ 67 w 67"/>
                <a:gd name="T7" fmla="*/ 4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7" y="4"/>
                  </a:moveTo>
                  <a:lnTo>
                    <a:pt x="61" y="0"/>
                  </a:lnTo>
                  <a:lnTo>
                    <a:pt x="0" y="86"/>
                  </a:lnTo>
                  <a:lnTo>
                    <a:pt x="6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2" name="Freeform 203">
              <a:extLst>
                <a:ext uri="{FF2B5EF4-FFF2-40B4-BE49-F238E27FC236}">
                  <a16:creationId xmlns:a16="http://schemas.microsoft.com/office/drawing/2014/main" id="{B9E6E1C5-6BB2-4010-A7B5-57B153BE50D8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1 w 61"/>
                <a:gd name="T1" fmla="*/ 4 h 90"/>
                <a:gd name="T2" fmla="*/ 55 w 61"/>
                <a:gd name="T3" fmla="*/ 0 h 90"/>
                <a:gd name="T4" fmla="*/ 0 w 61"/>
                <a:gd name="T5" fmla="*/ 90 h 90"/>
                <a:gd name="T6" fmla="*/ 61 w 61"/>
                <a:gd name="T7" fmla="*/ 4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61" y="4"/>
                  </a:moveTo>
                  <a:lnTo>
                    <a:pt x="55" y="0"/>
                  </a:lnTo>
                  <a:lnTo>
                    <a:pt x="0" y="90"/>
                  </a:lnTo>
                  <a:lnTo>
                    <a:pt x="61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3" name="Freeform 204">
              <a:extLst>
                <a:ext uri="{FF2B5EF4-FFF2-40B4-BE49-F238E27FC236}">
                  <a16:creationId xmlns:a16="http://schemas.microsoft.com/office/drawing/2014/main" id="{6C66BCFF-EEF3-4B12-AD96-57E9AE4B75C6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55 w 55"/>
                <a:gd name="T1" fmla="*/ 4 h 94"/>
                <a:gd name="T2" fmla="*/ 49 w 55"/>
                <a:gd name="T3" fmla="*/ 0 h 94"/>
                <a:gd name="T4" fmla="*/ 0 w 55"/>
                <a:gd name="T5" fmla="*/ 94 h 94"/>
                <a:gd name="T6" fmla="*/ 55 w 55"/>
                <a:gd name="T7" fmla="*/ 4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4">
                  <a:moveTo>
                    <a:pt x="55" y="4"/>
                  </a:moveTo>
                  <a:lnTo>
                    <a:pt x="49" y="0"/>
                  </a:lnTo>
                  <a:lnTo>
                    <a:pt x="0" y="94"/>
                  </a:lnTo>
                  <a:lnTo>
                    <a:pt x="55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4" name="Freeform 205">
              <a:extLst>
                <a:ext uri="{FF2B5EF4-FFF2-40B4-BE49-F238E27FC236}">
                  <a16:creationId xmlns:a16="http://schemas.microsoft.com/office/drawing/2014/main" id="{409B9D26-8E42-4565-A68F-06C9FAC30D7B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9 w 49"/>
                <a:gd name="T1" fmla="*/ 3 h 97"/>
                <a:gd name="T2" fmla="*/ 42 w 49"/>
                <a:gd name="T3" fmla="*/ 0 h 97"/>
                <a:gd name="T4" fmla="*/ 0 w 49"/>
                <a:gd name="T5" fmla="*/ 97 h 97"/>
                <a:gd name="T6" fmla="*/ 49 w 49"/>
                <a:gd name="T7" fmla="*/ 3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7">
                  <a:moveTo>
                    <a:pt x="49" y="3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49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5" name="Freeform 206">
              <a:extLst>
                <a:ext uri="{FF2B5EF4-FFF2-40B4-BE49-F238E27FC236}">
                  <a16:creationId xmlns:a16="http://schemas.microsoft.com/office/drawing/2014/main" id="{3068EFFF-9DE3-4CA1-9971-22158FEC6DAD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5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5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6" name="Freeform 207">
              <a:extLst>
                <a:ext uri="{FF2B5EF4-FFF2-40B4-BE49-F238E27FC236}">
                  <a16:creationId xmlns:a16="http://schemas.microsoft.com/office/drawing/2014/main" id="{FFE51B32-9A98-4985-8C19-20419F172875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35 w 35"/>
                <a:gd name="T1" fmla="*/ 2 h 102"/>
                <a:gd name="T2" fmla="*/ 29 w 35"/>
                <a:gd name="T3" fmla="*/ 0 h 102"/>
                <a:gd name="T4" fmla="*/ 0 w 35"/>
                <a:gd name="T5" fmla="*/ 102 h 102"/>
                <a:gd name="T6" fmla="*/ 35 w 35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35" y="2"/>
                  </a:moveTo>
                  <a:lnTo>
                    <a:pt x="29" y="0"/>
                  </a:lnTo>
                  <a:lnTo>
                    <a:pt x="0" y="102"/>
                  </a:lnTo>
                  <a:lnTo>
                    <a:pt x="35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7" name="Freeform 208">
              <a:extLst>
                <a:ext uri="{FF2B5EF4-FFF2-40B4-BE49-F238E27FC236}">
                  <a16:creationId xmlns:a16="http://schemas.microsoft.com/office/drawing/2014/main" id="{D1890EB0-A30A-437D-A41E-137D0C922CF4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9 w 29"/>
                <a:gd name="T1" fmla="*/ 1 h 103"/>
                <a:gd name="T2" fmla="*/ 22 w 29"/>
                <a:gd name="T3" fmla="*/ 0 h 103"/>
                <a:gd name="T4" fmla="*/ 0 w 29"/>
                <a:gd name="T5" fmla="*/ 103 h 103"/>
                <a:gd name="T6" fmla="*/ 29 w 29"/>
                <a:gd name="T7" fmla="*/ 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9" y="1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2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8" name="Freeform 209">
              <a:extLst>
                <a:ext uri="{FF2B5EF4-FFF2-40B4-BE49-F238E27FC236}">
                  <a16:creationId xmlns:a16="http://schemas.microsoft.com/office/drawing/2014/main" id="{D4A29578-9105-4E25-868A-40227E7080F4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9" name="Freeform 210">
              <a:extLst>
                <a:ext uri="{FF2B5EF4-FFF2-40B4-BE49-F238E27FC236}">
                  <a16:creationId xmlns:a16="http://schemas.microsoft.com/office/drawing/2014/main" id="{91E1C52A-5DB5-4931-BA28-73652579102F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0" name="Freeform 211">
              <a:extLst>
                <a:ext uri="{FF2B5EF4-FFF2-40B4-BE49-F238E27FC236}">
                  <a16:creationId xmlns:a16="http://schemas.microsoft.com/office/drawing/2014/main" id="{DABA23AA-9452-49EE-9931-A306EEBDD428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1" name="Freeform 212">
              <a:extLst>
                <a:ext uri="{FF2B5EF4-FFF2-40B4-BE49-F238E27FC236}">
                  <a16:creationId xmlns:a16="http://schemas.microsoft.com/office/drawing/2014/main" id="{03F31901-C258-4225-8F5C-DB320CE412D3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0 h 106"/>
                <a:gd name="T2" fmla="*/ 0 w 7"/>
                <a:gd name="T3" fmla="*/ 1 h 106"/>
                <a:gd name="T4" fmla="*/ 7 w 7"/>
                <a:gd name="T5" fmla="*/ 106 h 106"/>
                <a:gd name="T6" fmla="*/ 7 w 7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0"/>
                  </a:moveTo>
                  <a:lnTo>
                    <a:pt x="0" y="1"/>
                  </a:lnTo>
                  <a:lnTo>
                    <a:pt x="7" y="106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2" name="Freeform 213">
              <a:extLst>
                <a:ext uri="{FF2B5EF4-FFF2-40B4-BE49-F238E27FC236}">
                  <a16:creationId xmlns:a16="http://schemas.microsoft.com/office/drawing/2014/main" id="{EDA55B15-9C1D-45D4-8059-B1B828496DF6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14"/>
                <a:gd name="T1" fmla="*/ 0 h 105"/>
                <a:gd name="T2" fmla="*/ 0 w 14"/>
                <a:gd name="T3" fmla="*/ 0 h 105"/>
                <a:gd name="T4" fmla="*/ 14 w 14"/>
                <a:gd name="T5" fmla="*/ 105 h 105"/>
                <a:gd name="T6" fmla="*/ 7 w 14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7" y="0"/>
                  </a:moveTo>
                  <a:lnTo>
                    <a:pt x="0" y="0"/>
                  </a:lnTo>
                  <a:lnTo>
                    <a:pt x="14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3" name="Freeform 214">
              <a:extLst>
                <a:ext uri="{FF2B5EF4-FFF2-40B4-BE49-F238E27FC236}">
                  <a16:creationId xmlns:a16="http://schemas.microsoft.com/office/drawing/2014/main" id="{8F3D015E-B37A-41A2-B67A-0DBF81A46779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1"/>
                <a:gd name="T1" fmla="*/ 0 h 105"/>
                <a:gd name="T2" fmla="*/ 0 w 21"/>
                <a:gd name="T3" fmla="*/ 2 h 105"/>
                <a:gd name="T4" fmla="*/ 21 w 21"/>
                <a:gd name="T5" fmla="*/ 105 h 105"/>
                <a:gd name="T6" fmla="*/ 7 w 21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5">
                  <a:moveTo>
                    <a:pt x="7" y="0"/>
                  </a:moveTo>
                  <a:lnTo>
                    <a:pt x="0" y="2"/>
                  </a:lnTo>
                  <a:lnTo>
                    <a:pt x="21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4" name="Freeform 215">
              <a:extLst>
                <a:ext uri="{FF2B5EF4-FFF2-40B4-BE49-F238E27FC236}">
                  <a16:creationId xmlns:a16="http://schemas.microsoft.com/office/drawing/2014/main" id="{6D61174E-8B89-47F1-B82E-49BBEFDF4DBC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8"/>
                <a:gd name="T1" fmla="*/ 0 h 103"/>
                <a:gd name="T2" fmla="*/ 0 w 28"/>
                <a:gd name="T3" fmla="*/ 1 h 103"/>
                <a:gd name="T4" fmla="*/ 28 w 28"/>
                <a:gd name="T5" fmla="*/ 103 h 103"/>
                <a:gd name="T6" fmla="*/ 7 w 28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7" y="0"/>
                  </a:moveTo>
                  <a:lnTo>
                    <a:pt x="0" y="1"/>
                  </a:lnTo>
                  <a:lnTo>
                    <a:pt x="28" y="10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5" name="Freeform 216">
              <a:extLst>
                <a:ext uri="{FF2B5EF4-FFF2-40B4-BE49-F238E27FC236}">
                  <a16:creationId xmlns:a16="http://schemas.microsoft.com/office/drawing/2014/main" id="{06792A62-E67C-4FFA-98B6-FC4D85D79B65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7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7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6" name="Freeform 217">
              <a:extLst>
                <a:ext uri="{FF2B5EF4-FFF2-40B4-BE49-F238E27FC236}">
                  <a16:creationId xmlns:a16="http://schemas.microsoft.com/office/drawing/2014/main" id="{6B156B50-996C-4A2D-A03B-EE6C1DABEF56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42"/>
                <a:gd name="T1" fmla="*/ 0 h 100"/>
                <a:gd name="T2" fmla="*/ 0 w 42"/>
                <a:gd name="T3" fmla="*/ 3 h 100"/>
                <a:gd name="T4" fmla="*/ 42 w 42"/>
                <a:gd name="T5" fmla="*/ 100 h 100"/>
                <a:gd name="T6" fmla="*/ 7 w 42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7" y="0"/>
                  </a:moveTo>
                  <a:lnTo>
                    <a:pt x="0" y="3"/>
                  </a:lnTo>
                  <a:lnTo>
                    <a:pt x="42" y="10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7" name="Freeform 218">
              <a:extLst>
                <a:ext uri="{FF2B5EF4-FFF2-40B4-BE49-F238E27FC236}">
                  <a16:creationId xmlns:a16="http://schemas.microsoft.com/office/drawing/2014/main" id="{FEC55925-524A-4DA5-A25D-7F6FEDE68F08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48"/>
                <a:gd name="T1" fmla="*/ 0 h 97"/>
                <a:gd name="T2" fmla="*/ 0 w 48"/>
                <a:gd name="T3" fmla="*/ 3 h 97"/>
                <a:gd name="T4" fmla="*/ 48 w 48"/>
                <a:gd name="T5" fmla="*/ 97 h 97"/>
                <a:gd name="T6" fmla="*/ 6 w 48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7">
                  <a:moveTo>
                    <a:pt x="6" y="0"/>
                  </a:moveTo>
                  <a:lnTo>
                    <a:pt x="0" y="3"/>
                  </a:lnTo>
                  <a:lnTo>
                    <a:pt x="48" y="97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8" name="Freeform 219">
              <a:extLst>
                <a:ext uri="{FF2B5EF4-FFF2-40B4-BE49-F238E27FC236}">
                  <a16:creationId xmlns:a16="http://schemas.microsoft.com/office/drawing/2014/main" id="{D89B2391-D84D-46F4-B38D-2496FBDBDE06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54"/>
                <a:gd name="T1" fmla="*/ 0 h 94"/>
                <a:gd name="T2" fmla="*/ 0 w 54"/>
                <a:gd name="T3" fmla="*/ 4 h 94"/>
                <a:gd name="T4" fmla="*/ 54 w 54"/>
                <a:gd name="T5" fmla="*/ 94 h 94"/>
                <a:gd name="T6" fmla="*/ 6 w 54"/>
                <a:gd name="T7" fmla="*/ 0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4">
                  <a:moveTo>
                    <a:pt x="6" y="0"/>
                  </a:moveTo>
                  <a:lnTo>
                    <a:pt x="0" y="4"/>
                  </a:lnTo>
                  <a:lnTo>
                    <a:pt x="54" y="94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9" name="Freeform 220">
              <a:extLst>
                <a:ext uri="{FF2B5EF4-FFF2-40B4-BE49-F238E27FC236}">
                  <a16:creationId xmlns:a16="http://schemas.microsoft.com/office/drawing/2014/main" id="{5DEB3D98-2ABE-4D9B-8CC7-B6EA26A113E8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0"/>
                <a:gd name="T1" fmla="*/ 0 h 90"/>
                <a:gd name="T2" fmla="*/ 0 w 60"/>
                <a:gd name="T3" fmla="*/ 4 h 90"/>
                <a:gd name="T4" fmla="*/ 60 w 60"/>
                <a:gd name="T5" fmla="*/ 90 h 90"/>
                <a:gd name="T6" fmla="*/ 6 w 60"/>
                <a:gd name="T7" fmla="*/ 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6" y="0"/>
                  </a:moveTo>
                  <a:lnTo>
                    <a:pt x="0" y="4"/>
                  </a:lnTo>
                  <a:lnTo>
                    <a:pt x="60" y="9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0" name="Freeform 221">
              <a:extLst>
                <a:ext uri="{FF2B5EF4-FFF2-40B4-BE49-F238E27FC236}">
                  <a16:creationId xmlns:a16="http://schemas.microsoft.com/office/drawing/2014/main" id="{4F848F3F-1064-4B52-8F66-3F7955DE907B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6"/>
                <a:gd name="T1" fmla="*/ 0 h 86"/>
                <a:gd name="T2" fmla="*/ 0 w 66"/>
                <a:gd name="T3" fmla="*/ 4 h 86"/>
                <a:gd name="T4" fmla="*/ 66 w 66"/>
                <a:gd name="T5" fmla="*/ 86 h 86"/>
                <a:gd name="T6" fmla="*/ 6 w 66"/>
                <a:gd name="T7" fmla="*/ 0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6" y="0"/>
                  </a:moveTo>
                  <a:lnTo>
                    <a:pt x="0" y="4"/>
                  </a:lnTo>
                  <a:lnTo>
                    <a:pt x="66" y="8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1" name="Freeform 222">
              <a:extLst>
                <a:ext uri="{FF2B5EF4-FFF2-40B4-BE49-F238E27FC236}">
                  <a16:creationId xmlns:a16="http://schemas.microsoft.com/office/drawing/2014/main" id="{A51F2E68-B2DA-4FEC-A5B2-D31208992101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72"/>
                <a:gd name="T1" fmla="*/ 0 h 82"/>
                <a:gd name="T2" fmla="*/ 0 w 72"/>
                <a:gd name="T3" fmla="*/ 5 h 82"/>
                <a:gd name="T4" fmla="*/ 72 w 72"/>
                <a:gd name="T5" fmla="*/ 82 h 82"/>
                <a:gd name="T6" fmla="*/ 6 w 72"/>
                <a:gd name="T7" fmla="*/ 0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6" y="0"/>
                  </a:moveTo>
                  <a:lnTo>
                    <a:pt x="0" y="5"/>
                  </a:lnTo>
                  <a:lnTo>
                    <a:pt x="72" y="8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2" name="Freeform 223">
              <a:extLst>
                <a:ext uri="{FF2B5EF4-FFF2-40B4-BE49-F238E27FC236}">
                  <a16:creationId xmlns:a16="http://schemas.microsoft.com/office/drawing/2014/main" id="{749D589B-FD08-440C-8096-528F867A06BC}"/>
                </a:ext>
              </a:extLst>
            </xdr:cNvPr>
            <xdr:cNvSpPr>
              <a:spLocks/>
            </xdr:cNvSpPr>
          </xdr:nvSpPr>
          <xdr:spPr bwMode="auto">
            <a:xfrm>
              <a:off x="930" y="201"/>
              <a:ext cx="1" cy="1"/>
            </a:xfrm>
            <a:custGeom>
              <a:avLst/>
              <a:gdLst>
                <a:gd name="T0" fmla="*/ 5 w 77"/>
                <a:gd name="T1" fmla="*/ 0 h 77"/>
                <a:gd name="T2" fmla="*/ 0 w 77"/>
                <a:gd name="T3" fmla="*/ 5 h 77"/>
                <a:gd name="T4" fmla="*/ 77 w 77"/>
                <a:gd name="T5" fmla="*/ 77 h 77"/>
                <a:gd name="T6" fmla="*/ 5 w 77"/>
                <a:gd name="T7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5" y="0"/>
                  </a:moveTo>
                  <a:lnTo>
                    <a:pt x="0" y="5"/>
                  </a:lnTo>
                  <a:lnTo>
                    <a:pt x="77" y="7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3" name="Freeform 224">
              <a:extLst>
                <a:ext uri="{FF2B5EF4-FFF2-40B4-BE49-F238E27FC236}">
                  <a16:creationId xmlns:a16="http://schemas.microsoft.com/office/drawing/2014/main" id="{92FB08E3-193C-4EA7-9189-7D253C92D8A3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81"/>
                <a:gd name="T1" fmla="*/ 0 h 72"/>
                <a:gd name="T2" fmla="*/ 0 w 81"/>
                <a:gd name="T3" fmla="*/ 5 h 72"/>
                <a:gd name="T4" fmla="*/ 81 w 81"/>
                <a:gd name="T5" fmla="*/ 72 h 72"/>
                <a:gd name="T6" fmla="*/ 4 w 81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4" y="0"/>
                  </a:moveTo>
                  <a:lnTo>
                    <a:pt x="0" y="5"/>
                  </a:lnTo>
                  <a:lnTo>
                    <a:pt x="81" y="7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4" name="Freeform 225">
              <a:extLst>
                <a:ext uri="{FF2B5EF4-FFF2-40B4-BE49-F238E27FC236}">
                  <a16:creationId xmlns:a16="http://schemas.microsoft.com/office/drawing/2014/main" id="{5E329C0F-80E3-47AA-8F3D-50DB8A545FE7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5 w 86"/>
                <a:gd name="T1" fmla="*/ 0 h 67"/>
                <a:gd name="T2" fmla="*/ 0 w 86"/>
                <a:gd name="T3" fmla="*/ 6 h 67"/>
                <a:gd name="T4" fmla="*/ 86 w 86"/>
                <a:gd name="T5" fmla="*/ 67 h 67"/>
                <a:gd name="T6" fmla="*/ 5 w 86"/>
                <a:gd name="T7" fmla="*/ 0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5" y="0"/>
                  </a:moveTo>
                  <a:lnTo>
                    <a:pt x="0" y="6"/>
                  </a:lnTo>
                  <a:lnTo>
                    <a:pt x="86" y="6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5" name="Freeform 226">
              <a:extLst>
                <a:ext uri="{FF2B5EF4-FFF2-40B4-BE49-F238E27FC236}">
                  <a16:creationId xmlns:a16="http://schemas.microsoft.com/office/drawing/2014/main" id="{BFAF7AFF-824E-45B4-9DC8-052AF9E34A44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90"/>
                <a:gd name="T1" fmla="*/ 0 h 61"/>
                <a:gd name="T2" fmla="*/ 0 w 90"/>
                <a:gd name="T3" fmla="*/ 6 h 61"/>
                <a:gd name="T4" fmla="*/ 90 w 90"/>
                <a:gd name="T5" fmla="*/ 61 h 61"/>
                <a:gd name="T6" fmla="*/ 4 w 90"/>
                <a:gd name="T7" fmla="*/ 0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4" y="0"/>
                  </a:moveTo>
                  <a:lnTo>
                    <a:pt x="0" y="6"/>
                  </a:lnTo>
                  <a:lnTo>
                    <a:pt x="90" y="6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6" name="Freeform 227">
              <a:extLst>
                <a:ext uri="{FF2B5EF4-FFF2-40B4-BE49-F238E27FC236}">
                  <a16:creationId xmlns:a16="http://schemas.microsoft.com/office/drawing/2014/main" id="{786AB718-F3A6-4B73-BE83-4D6D289B6624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3"/>
                <a:gd name="T1" fmla="*/ 0 h 55"/>
                <a:gd name="T2" fmla="*/ 0 w 93"/>
                <a:gd name="T3" fmla="*/ 6 h 55"/>
                <a:gd name="T4" fmla="*/ 93 w 93"/>
                <a:gd name="T5" fmla="*/ 55 h 55"/>
                <a:gd name="T6" fmla="*/ 3 w 93"/>
                <a:gd name="T7" fmla="*/ 0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5">
                  <a:moveTo>
                    <a:pt x="3" y="0"/>
                  </a:moveTo>
                  <a:lnTo>
                    <a:pt x="0" y="6"/>
                  </a:lnTo>
                  <a:lnTo>
                    <a:pt x="93" y="55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7" name="Freeform 228">
              <a:extLst>
                <a:ext uri="{FF2B5EF4-FFF2-40B4-BE49-F238E27FC236}">
                  <a16:creationId xmlns:a16="http://schemas.microsoft.com/office/drawing/2014/main" id="{CB96DEAD-3A8D-434F-814B-F76C65734E28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6"/>
                <a:gd name="T1" fmla="*/ 0 h 49"/>
                <a:gd name="T2" fmla="*/ 0 w 96"/>
                <a:gd name="T3" fmla="*/ 7 h 49"/>
                <a:gd name="T4" fmla="*/ 96 w 96"/>
                <a:gd name="T5" fmla="*/ 49 h 49"/>
                <a:gd name="T6" fmla="*/ 3 w 96"/>
                <a:gd name="T7" fmla="*/ 0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9">
                  <a:moveTo>
                    <a:pt x="3" y="0"/>
                  </a:moveTo>
                  <a:lnTo>
                    <a:pt x="0" y="7"/>
                  </a:lnTo>
                  <a:lnTo>
                    <a:pt x="96" y="49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8" name="Freeform 229">
              <a:extLst>
                <a:ext uri="{FF2B5EF4-FFF2-40B4-BE49-F238E27FC236}">
                  <a16:creationId xmlns:a16="http://schemas.microsoft.com/office/drawing/2014/main" id="{0B2C7CC0-6788-4C35-B889-672E713625D5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9"/>
                <a:gd name="T1" fmla="*/ 0 h 42"/>
                <a:gd name="T2" fmla="*/ 0 w 99"/>
                <a:gd name="T3" fmla="*/ 6 h 42"/>
                <a:gd name="T4" fmla="*/ 99 w 99"/>
                <a:gd name="T5" fmla="*/ 42 h 42"/>
                <a:gd name="T6" fmla="*/ 3 w 99"/>
                <a:gd name="T7" fmla="*/ 0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3" y="0"/>
                  </a:moveTo>
                  <a:lnTo>
                    <a:pt x="0" y="6"/>
                  </a:lnTo>
                  <a:lnTo>
                    <a:pt x="99" y="4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9" name="Freeform 230">
              <a:extLst>
                <a:ext uri="{FF2B5EF4-FFF2-40B4-BE49-F238E27FC236}">
                  <a16:creationId xmlns:a16="http://schemas.microsoft.com/office/drawing/2014/main" id="{AD16F4A4-E004-48C4-8B39-AEA254D0D84F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1"/>
                <a:gd name="T1" fmla="*/ 0 h 36"/>
                <a:gd name="T2" fmla="*/ 0 w 101"/>
                <a:gd name="T3" fmla="*/ 7 h 36"/>
                <a:gd name="T4" fmla="*/ 101 w 101"/>
                <a:gd name="T5" fmla="*/ 36 h 36"/>
                <a:gd name="T6" fmla="*/ 2 w 101"/>
                <a:gd name="T7" fmla="*/ 0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2" y="0"/>
                  </a:moveTo>
                  <a:lnTo>
                    <a:pt x="0" y="7"/>
                  </a:lnTo>
                  <a:lnTo>
                    <a:pt x="101" y="3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0" name="Freeform 231">
              <a:extLst>
                <a:ext uri="{FF2B5EF4-FFF2-40B4-BE49-F238E27FC236}">
                  <a16:creationId xmlns:a16="http://schemas.microsoft.com/office/drawing/2014/main" id="{D4EF0B6E-1DC9-48F8-AD92-9DF4AF0E1EF9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3"/>
                <a:gd name="T1" fmla="*/ 0 h 29"/>
                <a:gd name="T2" fmla="*/ 0 w 103"/>
                <a:gd name="T3" fmla="*/ 7 h 29"/>
                <a:gd name="T4" fmla="*/ 103 w 103"/>
                <a:gd name="T5" fmla="*/ 29 h 29"/>
                <a:gd name="T6" fmla="*/ 2 w 103"/>
                <a:gd name="T7" fmla="*/ 0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2" y="0"/>
                  </a:moveTo>
                  <a:lnTo>
                    <a:pt x="0" y="7"/>
                  </a:lnTo>
                  <a:lnTo>
                    <a:pt x="103" y="29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1" name="Freeform 232">
              <a:extLst>
                <a:ext uri="{FF2B5EF4-FFF2-40B4-BE49-F238E27FC236}">
                  <a16:creationId xmlns:a16="http://schemas.microsoft.com/office/drawing/2014/main" id="{2C677AA4-E977-4F72-A8D5-94D1EF2330D9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1 w 104"/>
                <a:gd name="T1" fmla="*/ 0 h 22"/>
                <a:gd name="T2" fmla="*/ 0 w 104"/>
                <a:gd name="T3" fmla="*/ 7 h 22"/>
                <a:gd name="T4" fmla="*/ 104 w 104"/>
                <a:gd name="T5" fmla="*/ 22 h 22"/>
                <a:gd name="T6" fmla="*/ 1 w 104"/>
                <a:gd name="T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" y="0"/>
                  </a:moveTo>
                  <a:lnTo>
                    <a:pt x="0" y="7"/>
                  </a:lnTo>
                  <a:lnTo>
                    <a:pt x="104" y="2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2" name="Freeform 233">
              <a:extLst>
                <a:ext uri="{FF2B5EF4-FFF2-40B4-BE49-F238E27FC236}">
                  <a16:creationId xmlns:a16="http://schemas.microsoft.com/office/drawing/2014/main" id="{A3135D3C-DEA3-49CD-A73C-0DD1849E3EC4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8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8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3" name="Freeform 234">
              <a:extLst>
                <a:ext uri="{FF2B5EF4-FFF2-40B4-BE49-F238E27FC236}">
                  <a16:creationId xmlns:a16="http://schemas.microsoft.com/office/drawing/2014/main" id="{8685F21D-0662-403B-8F5D-A235F9604786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7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4" name="Freeform 235">
              <a:extLst>
                <a:ext uri="{FF2B5EF4-FFF2-40B4-BE49-F238E27FC236}">
                  <a16:creationId xmlns:a16="http://schemas.microsoft.com/office/drawing/2014/main" id="{9B58A64D-765F-4899-8A2C-827B0F36E3C5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5" name="Freeform 236">
              <a:extLst>
                <a:ext uri="{FF2B5EF4-FFF2-40B4-BE49-F238E27FC236}">
                  <a16:creationId xmlns:a16="http://schemas.microsoft.com/office/drawing/2014/main" id="{CB0FDD83-725A-4623-9DB1-D4A23E721411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7 h 14"/>
                <a:gd name="T2" fmla="*/ 1 w 105"/>
                <a:gd name="T3" fmla="*/ 14 h 14"/>
                <a:gd name="T4" fmla="*/ 105 w 105"/>
                <a:gd name="T5" fmla="*/ 0 h 14"/>
                <a:gd name="T6" fmla="*/ 0 w 105"/>
                <a:gd name="T7" fmla="*/ 7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0" y="7"/>
                  </a:moveTo>
                  <a:lnTo>
                    <a:pt x="1" y="14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6" name="Freeform 237">
              <a:extLst>
                <a:ext uri="{FF2B5EF4-FFF2-40B4-BE49-F238E27FC236}">
                  <a16:creationId xmlns:a16="http://schemas.microsoft.com/office/drawing/2014/main" id="{39C5B73E-D3F1-4B7C-833F-78FA05671211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4"/>
                <a:gd name="T1" fmla="*/ 14 h 21"/>
                <a:gd name="T2" fmla="*/ 1 w 104"/>
                <a:gd name="T3" fmla="*/ 21 h 21"/>
                <a:gd name="T4" fmla="*/ 104 w 104"/>
                <a:gd name="T5" fmla="*/ 0 h 21"/>
                <a:gd name="T6" fmla="*/ 0 w 104"/>
                <a:gd name="T7" fmla="*/ 14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0" y="14"/>
                  </a:moveTo>
                  <a:lnTo>
                    <a:pt x="1" y="21"/>
                  </a:lnTo>
                  <a:lnTo>
                    <a:pt x="104" y="0"/>
                  </a:lnTo>
                  <a:lnTo>
                    <a:pt x="0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7" name="Freeform 238">
              <a:extLst>
                <a:ext uri="{FF2B5EF4-FFF2-40B4-BE49-F238E27FC236}">
                  <a16:creationId xmlns:a16="http://schemas.microsoft.com/office/drawing/2014/main" id="{D64C01E6-AA16-4CD6-8E4F-0BDEC651620C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3"/>
                <a:gd name="T1" fmla="*/ 21 h 28"/>
                <a:gd name="T2" fmla="*/ 2 w 103"/>
                <a:gd name="T3" fmla="*/ 28 h 28"/>
                <a:gd name="T4" fmla="*/ 103 w 103"/>
                <a:gd name="T5" fmla="*/ 0 h 28"/>
                <a:gd name="T6" fmla="*/ 0 w 103"/>
                <a:gd name="T7" fmla="*/ 21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0" y="21"/>
                  </a:moveTo>
                  <a:lnTo>
                    <a:pt x="2" y="28"/>
                  </a:lnTo>
                  <a:lnTo>
                    <a:pt x="103" y="0"/>
                  </a:lnTo>
                  <a:lnTo>
                    <a:pt x="0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8" name="Freeform 239">
              <a:extLst>
                <a:ext uri="{FF2B5EF4-FFF2-40B4-BE49-F238E27FC236}">
                  <a16:creationId xmlns:a16="http://schemas.microsoft.com/office/drawing/2014/main" id="{D23DE754-4AB6-4533-87B1-08DDB9739DB9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1"/>
                <a:gd name="T1" fmla="*/ 28 h 35"/>
                <a:gd name="T2" fmla="*/ 2 w 101"/>
                <a:gd name="T3" fmla="*/ 35 h 35"/>
                <a:gd name="T4" fmla="*/ 101 w 101"/>
                <a:gd name="T5" fmla="*/ 0 h 35"/>
                <a:gd name="T6" fmla="*/ 0 w 101"/>
                <a:gd name="T7" fmla="*/ 28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5">
                  <a:moveTo>
                    <a:pt x="0" y="28"/>
                  </a:moveTo>
                  <a:lnTo>
                    <a:pt x="2" y="35"/>
                  </a:lnTo>
                  <a:lnTo>
                    <a:pt x="101" y="0"/>
                  </a:lnTo>
                  <a:lnTo>
                    <a:pt x="0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9" name="Freeform 240">
              <a:extLst>
                <a:ext uri="{FF2B5EF4-FFF2-40B4-BE49-F238E27FC236}">
                  <a16:creationId xmlns:a16="http://schemas.microsoft.com/office/drawing/2014/main" id="{207C07E2-2FB9-4E4B-9282-716A558F7BD6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9"/>
                <a:gd name="T1" fmla="*/ 35 h 42"/>
                <a:gd name="T2" fmla="*/ 3 w 99"/>
                <a:gd name="T3" fmla="*/ 42 h 42"/>
                <a:gd name="T4" fmla="*/ 99 w 99"/>
                <a:gd name="T5" fmla="*/ 0 h 42"/>
                <a:gd name="T6" fmla="*/ 0 w 99"/>
                <a:gd name="T7" fmla="*/ 35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0" y="35"/>
                  </a:moveTo>
                  <a:lnTo>
                    <a:pt x="3" y="42"/>
                  </a:lnTo>
                  <a:lnTo>
                    <a:pt x="99" y="0"/>
                  </a:lnTo>
                  <a:lnTo>
                    <a:pt x="0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0" name="Freeform 241">
              <a:extLst>
                <a:ext uri="{FF2B5EF4-FFF2-40B4-BE49-F238E27FC236}">
                  <a16:creationId xmlns:a16="http://schemas.microsoft.com/office/drawing/2014/main" id="{0E78B220-880A-4A8A-88B5-50ABC2B72417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6"/>
                <a:gd name="T1" fmla="*/ 42 h 48"/>
                <a:gd name="T2" fmla="*/ 3 w 96"/>
                <a:gd name="T3" fmla="*/ 48 h 48"/>
                <a:gd name="T4" fmla="*/ 96 w 96"/>
                <a:gd name="T5" fmla="*/ 0 h 48"/>
                <a:gd name="T6" fmla="*/ 0 w 96"/>
                <a:gd name="T7" fmla="*/ 42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8">
                  <a:moveTo>
                    <a:pt x="0" y="42"/>
                  </a:moveTo>
                  <a:lnTo>
                    <a:pt x="3" y="48"/>
                  </a:lnTo>
                  <a:lnTo>
                    <a:pt x="96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1" name="Freeform 242">
              <a:extLst>
                <a:ext uri="{FF2B5EF4-FFF2-40B4-BE49-F238E27FC236}">
                  <a16:creationId xmlns:a16="http://schemas.microsoft.com/office/drawing/2014/main" id="{36C33D47-850C-4866-A6A0-6F9DA1FE9476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3"/>
                <a:gd name="T1" fmla="*/ 48 h 54"/>
                <a:gd name="T2" fmla="*/ 3 w 93"/>
                <a:gd name="T3" fmla="*/ 54 h 54"/>
                <a:gd name="T4" fmla="*/ 93 w 93"/>
                <a:gd name="T5" fmla="*/ 0 h 54"/>
                <a:gd name="T6" fmla="*/ 0 w 93"/>
                <a:gd name="T7" fmla="*/ 48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4">
                  <a:moveTo>
                    <a:pt x="0" y="48"/>
                  </a:moveTo>
                  <a:lnTo>
                    <a:pt x="3" y="54"/>
                  </a:lnTo>
                  <a:lnTo>
                    <a:pt x="93" y="0"/>
                  </a:lnTo>
                  <a:lnTo>
                    <a:pt x="0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2" name="Freeform 243">
              <a:extLst>
                <a:ext uri="{FF2B5EF4-FFF2-40B4-BE49-F238E27FC236}">
                  <a16:creationId xmlns:a16="http://schemas.microsoft.com/office/drawing/2014/main" id="{88A5677C-4D19-4D92-957E-A88423B95955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0"/>
                <a:gd name="T1" fmla="*/ 54 h 60"/>
                <a:gd name="T2" fmla="*/ 4 w 90"/>
                <a:gd name="T3" fmla="*/ 60 h 60"/>
                <a:gd name="T4" fmla="*/ 90 w 90"/>
                <a:gd name="T5" fmla="*/ 0 h 60"/>
                <a:gd name="T6" fmla="*/ 0 w 90"/>
                <a:gd name="T7" fmla="*/ 54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0" y="54"/>
                  </a:moveTo>
                  <a:lnTo>
                    <a:pt x="4" y="60"/>
                  </a:lnTo>
                  <a:lnTo>
                    <a:pt x="90" y="0"/>
                  </a:lnTo>
                  <a:lnTo>
                    <a:pt x="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3" name="Freeform 244">
              <a:extLst>
                <a:ext uri="{FF2B5EF4-FFF2-40B4-BE49-F238E27FC236}">
                  <a16:creationId xmlns:a16="http://schemas.microsoft.com/office/drawing/2014/main" id="{0052A3D1-CD41-4A9A-B642-4F06A7AD041A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6"/>
                <a:gd name="T1" fmla="*/ 60 h 66"/>
                <a:gd name="T2" fmla="*/ 5 w 86"/>
                <a:gd name="T3" fmla="*/ 66 h 66"/>
                <a:gd name="T4" fmla="*/ 86 w 86"/>
                <a:gd name="T5" fmla="*/ 0 h 66"/>
                <a:gd name="T6" fmla="*/ 0 w 86"/>
                <a:gd name="T7" fmla="*/ 60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0" y="60"/>
                  </a:moveTo>
                  <a:lnTo>
                    <a:pt x="5" y="66"/>
                  </a:lnTo>
                  <a:lnTo>
                    <a:pt x="86" y="0"/>
                  </a:lnTo>
                  <a:lnTo>
                    <a:pt x="0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4" name="Freeform 245">
              <a:extLst>
                <a:ext uri="{FF2B5EF4-FFF2-40B4-BE49-F238E27FC236}">
                  <a16:creationId xmlns:a16="http://schemas.microsoft.com/office/drawing/2014/main" id="{A708B354-C48A-4432-B7A7-8F7BC9B3ED1D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1"/>
                <a:gd name="T1" fmla="*/ 66 h 72"/>
                <a:gd name="T2" fmla="*/ 4 w 81"/>
                <a:gd name="T3" fmla="*/ 72 h 72"/>
                <a:gd name="T4" fmla="*/ 81 w 81"/>
                <a:gd name="T5" fmla="*/ 0 h 72"/>
                <a:gd name="T6" fmla="*/ 0 w 81"/>
                <a:gd name="T7" fmla="*/ 66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0" y="66"/>
                  </a:moveTo>
                  <a:lnTo>
                    <a:pt x="4" y="72"/>
                  </a:lnTo>
                  <a:lnTo>
                    <a:pt x="81" y="0"/>
                  </a:lnTo>
                  <a:lnTo>
                    <a:pt x="0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5" name="Freeform 246">
              <a:extLst>
                <a:ext uri="{FF2B5EF4-FFF2-40B4-BE49-F238E27FC236}">
                  <a16:creationId xmlns:a16="http://schemas.microsoft.com/office/drawing/2014/main" id="{AC71DF34-CCE3-40E0-95A6-C38CB9F61BF6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7"/>
                <a:gd name="T1" fmla="*/ 72 h 77"/>
                <a:gd name="T2" fmla="*/ 5 w 77"/>
                <a:gd name="T3" fmla="*/ 77 h 77"/>
                <a:gd name="T4" fmla="*/ 77 w 77"/>
                <a:gd name="T5" fmla="*/ 0 h 77"/>
                <a:gd name="T6" fmla="*/ 0 w 77"/>
                <a:gd name="T7" fmla="*/ 72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0" y="72"/>
                  </a:moveTo>
                  <a:lnTo>
                    <a:pt x="5" y="77"/>
                  </a:lnTo>
                  <a:lnTo>
                    <a:pt x="77" y="0"/>
                  </a:lnTo>
                  <a:lnTo>
                    <a:pt x="0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6" name="Freeform 247">
              <a:extLst>
                <a:ext uri="{FF2B5EF4-FFF2-40B4-BE49-F238E27FC236}">
                  <a16:creationId xmlns:a16="http://schemas.microsoft.com/office/drawing/2014/main" id="{14521C6D-0009-45B1-84A8-EAE6A0AA5169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2"/>
                <a:gd name="T1" fmla="*/ 77 h 81"/>
                <a:gd name="T2" fmla="*/ 6 w 72"/>
                <a:gd name="T3" fmla="*/ 81 h 81"/>
                <a:gd name="T4" fmla="*/ 72 w 72"/>
                <a:gd name="T5" fmla="*/ 0 h 81"/>
                <a:gd name="T6" fmla="*/ 0 w 72"/>
                <a:gd name="T7" fmla="*/ 77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0" y="77"/>
                  </a:moveTo>
                  <a:lnTo>
                    <a:pt x="6" y="81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7" name="Freeform 248">
              <a:extLst>
                <a:ext uri="{FF2B5EF4-FFF2-40B4-BE49-F238E27FC236}">
                  <a16:creationId xmlns:a16="http://schemas.microsoft.com/office/drawing/2014/main" id="{A6926BB4-CFA4-4C09-B3C0-055A2E0E493F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6"/>
                <a:gd name="T1" fmla="*/ 81 h 86"/>
                <a:gd name="T2" fmla="*/ 6 w 66"/>
                <a:gd name="T3" fmla="*/ 86 h 86"/>
                <a:gd name="T4" fmla="*/ 66 w 66"/>
                <a:gd name="T5" fmla="*/ 0 h 86"/>
                <a:gd name="T6" fmla="*/ 0 w 66"/>
                <a:gd name="T7" fmla="*/ 81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0" y="81"/>
                  </a:moveTo>
                  <a:lnTo>
                    <a:pt x="6" y="86"/>
                  </a:lnTo>
                  <a:lnTo>
                    <a:pt x="66" y="0"/>
                  </a:lnTo>
                  <a:lnTo>
                    <a:pt x="0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8" name="Freeform 249">
              <a:extLst>
                <a:ext uri="{FF2B5EF4-FFF2-40B4-BE49-F238E27FC236}">
                  <a16:creationId xmlns:a16="http://schemas.microsoft.com/office/drawing/2014/main" id="{413D64D7-0C0B-4B3E-BAC6-A8702D9F0E7F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0"/>
                <a:gd name="T1" fmla="*/ 86 h 90"/>
                <a:gd name="T2" fmla="*/ 6 w 60"/>
                <a:gd name="T3" fmla="*/ 90 h 90"/>
                <a:gd name="T4" fmla="*/ 60 w 60"/>
                <a:gd name="T5" fmla="*/ 0 h 90"/>
                <a:gd name="T6" fmla="*/ 0 w 60"/>
                <a:gd name="T7" fmla="*/ 86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0" y="86"/>
                  </a:moveTo>
                  <a:lnTo>
                    <a:pt x="6" y="90"/>
                  </a:lnTo>
                  <a:lnTo>
                    <a:pt x="60" y="0"/>
                  </a:lnTo>
                  <a:lnTo>
                    <a:pt x="0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9" name="Freeform 250">
              <a:extLst>
                <a:ext uri="{FF2B5EF4-FFF2-40B4-BE49-F238E27FC236}">
                  <a16:creationId xmlns:a16="http://schemas.microsoft.com/office/drawing/2014/main" id="{1E23B65F-AB64-4313-BFA3-B880E00BCA1A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54"/>
                <a:gd name="T1" fmla="*/ 90 h 93"/>
                <a:gd name="T2" fmla="*/ 6 w 54"/>
                <a:gd name="T3" fmla="*/ 93 h 93"/>
                <a:gd name="T4" fmla="*/ 54 w 54"/>
                <a:gd name="T5" fmla="*/ 0 h 93"/>
                <a:gd name="T6" fmla="*/ 0 w 54"/>
                <a:gd name="T7" fmla="*/ 9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3">
                  <a:moveTo>
                    <a:pt x="0" y="90"/>
                  </a:moveTo>
                  <a:lnTo>
                    <a:pt x="6" y="93"/>
                  </a:lnTo>
                  <a:lnTo>
                    <a:pt x="54" y="0"/>
                  </a:lnTo>
                  <a:lnTo>
                    <a:pt x="0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" name="Freeform 251">
              <a:extLst>
                <a:ext uri="{FF2B5EF4-FFF2-40B4-BE49-F238E27FC236}">
                  <a16:creationId xmlns:a16="http://schemas.microsoft.com/office/drawing/2014/main" id="{B019AC17-480D-46FA-A9E6-100273276C21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48"/>
                <a:gd name="T1" fmla="*/ 93 h 96"/>
                <a:gd name="T2" fmla="*/ 6 w 48"/>
                <a:gd name="T3" fmla="*/ 96 h 96"/>
                <a:gd name="T4" fmla="*/ 48 w 48"/>
                <a:gd name="T5" fmla="*/ 0 h 96"/>
                <a:gd name="T6" fmla="*/ 0 w 48"/>
                <a:gd name="T7" fmla="*/ 9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6">
                  <a:moveTo>
                    <a:pt x="0" y="93"/>
                  </a:moveTo>
                  <a:lnTo>
                    <a:pt x="6" y="96"/>
                  </a:lnTo>
                  <a:lnTo>
                    <a:pt x="48" y="0"/>
                  </a:lnTo>
                  <a:lnTo>
                    <a:pt x="0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5" name="Group 453">
            <a:extLst>
              <a:ext uri="{FF2B5EF4-FFF2-40B4-BE49-F238E27FC236}">
                <a16:creationId xmlns:a16="http://schemas.microsoft.com/office/drawing/2014/main" id="{7499F384-CB76-4DA1-BD9F-39A2E18968B7}"/>
              </a:ext>
            </a:extLst>
          </xdr:cNvPr>
          <xdr:cNvGrpSpPr>
            <a:grpSpLocks/>
          </xdr:cNvGrpSpPr>
        </xdr:nvGrpSpPr>
        <xdr:grpSpPr bwMode="auto">
          <a:xfrm>
            <a:off x="930" y="188"/>
            <a:ext cx="262" cy="16"/>
            <a:chOff x="930" y="188"/>
            <a:chExt cx="262" cy="16"/>
          </a:xfrm>
        </xdr:grpSpPr>
        <xdr:sp macro="" textlink="">
          <xdr:nvSpPr>
            <xdr:cNvPr id="141" name="Freeform 253">
              <a:extLst>
                <a:ext uri="{FF2B5EF4-FFF2-40B4-BE49-F238E27FC236}">
                  <a16:creationId xmlns:a16="http://schemas.microsoft.com/office/drawing/2014/main" id="{2362F907-54BA-4965-9C6C-9DE8DFA5B523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42"/>
                <a:gd name="T1" fmla="*/ 96 h 99"/>
                <a:gd name="T2" fmla="*/ 7 w 42"/>
                <a:gd name="T3" fmla="*/ 99 h 99"/>
                <a:gd name="T4" fmla="*/ 42 w 42"/>
                <a:gd name="T5" fmla="*/ 0 h 99"/>
                <a:gd name="T6" fmla="*/ 0 w 42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0" y="96"/>
                  </a:moveTo>
                  <a:lnTo>
                    <a:pt x="7" y="99"/>
                  </a:lnTo>
                  <a:lnTo>
                    <a:pt x="42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2" name="Freeform 254">
              <a:extLst>
                <a:ext uri="{FF2B5EF4-FFF2-40B4-BE49-F238E27FC236}">
                  <a16:creationId xmlns:a16="http://schemas.microsoft.com/office/drawing/2014/main" id="{DF376AD2-2ADF-405A-877A-223297E79C5A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35"/>
                <a:gd name="T1" fmla="*/ 99 h 101"/>
                <a:gd name="T2" fmla="*/ 7 w 35"/>
                <a:gd name="T3" fmla="*/ 101 h 101"/>
                <a:gd name="T4" fmla="*/ 35 w 35"/>
                <a:gd name="T5" fmla="*/ 0 h 101"/>
                <a:gd name="T6" fmla="*/ 0 w 35"/>
                <a:gd name="T7" fmla="*/ 99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0" y="99"/>
                  </a:moveTo>
                  <a:lnTo>
                    <a:pt x="7" y="101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3" name="Freeform 255">
              <a:extLst>
                <a:ext uri="{FF2B5EF4-FFF2-40B4-BE49-F238E27FC236}">
                  <a16:creationId xmlns:a16="http://schemas.microsoft.com/office/drawing/2014/main" id="{39E2AAB1-37BD-4461-8D10-72B211905AF4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8"/>
                <a:gd name="T1" fmla="*/ 101 h 103"/>
                <a:gd name="T2" fmla="*/ 7 w 28"/>
                <a:gd name="T3" fmla="*/ 103 h 103"/>
                <a:gd name="T4" fmla="*/ 28 w 28"/>
                <a:gd name="T5" fmla="*/ 0 h 103"/>
                <a:gd name="T6" fmla="*/ 0 w 28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0" y="101"/>
                  </a:moveTo>
                  <a:lnTo>
                    <a:pt x="7" y="103"/>
                  </a:lnTo>
                  <a:lnTo>
                    <a:pt x="28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4" name="Freeform 256">
              <a:extLst>
                <a:ext uri="{FF2B5EF4-FFF2-40B4-BE49-F238E27FC236}">
                  <a16:creationId xmlns:a16="http://schemas.microsoft.com/office/drawing/2014/main" id="{A19794DC-7C49-46A5-A3DC-1FE25C49A6A9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1"/>
                <a:gd name="T1" fmla="*/ 103 h 104"/>
                <a:gd name="T2" fmla="*/ 7 w 21"/>
                <a:gd name="T3" fmla="*/ 104 h 104"/>
                <a:gd name="T4" fmla="*/ 21 w 21"/>
                <a:gd name="T5" fmla="*/ 0 h 104"/>
                <a:gd name="T6" fmla="*/ 0 w 21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4">
                  <a:moveTo>
                    <a:pt x="0" y="103"/>
                  </a:moveTo>
                  <a:lnTo>
                    <a:pt x="7" y="104"/>
                  </a:lnTo>
                  <a:lnTo>
                    <a:pt x="21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5" name="Freeform 257">
              <a:extLst>
                <a:ext uri="{FF2B5EF4-FFF2-40B4-BE49-F238E27FC236}">
                  <a16:creationId xmlns:a16="http://schemas.microsoft.com/office/drawing/2014/main" id="{7F9F6477-3C2E-40F9-AC75-043907E4F82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14"/>
                <a:gd name="T1" fmla="*/ 104 h 105"/>
                <a:gd name="T2" fmla="*/ 7 w 14"/>
                <a:gd name="T3" fmla="*/ 105 h 105"/>
                <a:gd name="T4" fmla="*/ 14 w 14"/>
                <a:gd name="T5" fmla="*/ 0 h 105"/>
                <a:gd name="T6" fmla="*/ 0 w 14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0" y="104"/>
                  </a:moveTo>
                  <a:lnTo>
                    <a:pt x="7" y="105"/>
                  </a:lnTo>
                  <a:lnTo>
                    <a:pt x="14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6" name="Freeform 258">
              <a:extLst>
                <a:ext uri="{FF2B5EF4-FFF2-40B4-BE49-F238E27FC236}">
                  <a16:creationId xmlns:a16="http://schemas.microsoft.com/office/drawing/2014/main" id="{3A3CC0B5-C8CA-420A-9110-2CC7AB3F563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7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7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7" name="Freeform 259">
              <a:extLst>
                <a:ext uri="{FF2B5EF4-FFF2-40B4-BE49-F238E27FC236}">
                  <a16:creationId xmlns:a16="http://schemas.microsoft.com/office/drawing/2014/main" id="{32631F95-CB84-4D4E-907D-AEEB36F588B6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8" name="Freeform 260">
              <a:extLst>
                <a:ext uri="{FF2B5EF4-FFF2-40B4-BE49-F238E27FC236}">
                  <a16:creationId xmlns:a16="http://schemas.microsoft.com/office/drawing/2014/main" id="{5C7E82E4-F98B-422F-973E-62121804642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9" name="Freeform 261">
              <a:extLst>
                <a:ext uri="{FF2B5EF4-FFF2-40B4-BE49-F238E27FC236}">
                  <a16:creationId xmlns:a16="http://schemas.microsoft.com/office/drawing/2014/main" id="{49C013BB-0711-4F16-B65A-810A37F1858D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0" name="Freeform 262">
              <a:extLst>
                <a:ext uri="{FF2B5EF4-FFF2-40B4-BE49-F238E27FC236}">
                  <a16:creationId xmlns:a16="http://schemas.microsoft.com/office/drawing/2014/main" id="{67952251-2A4B-43A0-8EF2-F8DB86CA682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2 w 29"/>
                <a:gd name="T1" fmla="*/ 103 h 103"/>
                <a:gd name="T2" fmla="*/ 29 w 29"/>
                <a:gd name="T3" fmla="*/ 101 h 103"/>
                <a:gd name="T4" fmla="*/ 0 w 29"/>
                <a:gd name="T5" fmla="*/ 0 h 103"/>
                <a:gd name="T6" fmla="*/ 22 w 29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2" y="103"/>
                  </a:moveTo>
                  <a:lnTo>
                    <a:pt x="29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1" name="Freeform 263">
              <a:extLst>
                <a:ext uri="{FF2B5EF4-FFF2-40B4-BE49-F238E27FC236}">
                  <a16:creationId xmlns:a16="http://schemas.microsoft.com/office/drawing/2014/main" id="{31BA5C83-12FC-4431-A53D-5309684FC23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9 w 35"/>
                <a:gd name="T1" fmla="*/ 101 h 101"/>
                <a:gd name="T2" fmla="*/ 35 w 35"/>
                <a:gd name="T3" fmla="*/ 99 h 101"/>
                <a:gd name="T4" fmla="*/ 0 w 35"/>
                <a:gd name="T5" fmla="*/ 0 h 101"/>
                <a:gd name="T6" fmla="*/ 29 w 35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29" y="101"/>
                  </a:moveTo>
                  <a:lnTo>
                    <a:pt x="35" y="99"/>
                  </a:lnTo>
                  <a:lnTo>
                    <a:pt x="0" y="0"/>
                  </a:lnTo>
                  <a:lnTo>
                    <a:pt x="29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2" name="Freeform 264">
              <a:extLst>
                <a:ext uri="{FF2B5EF4-FFF2-40B4-BE49-F238E27FC236}">
                  <a16:creationId xmlns:a16="http://schemas.microsoft.com/office/drawing/2014/main" id="{C27DC956-1380-49FC-AEE6-009D7496A66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2"/>
            </a:xfrm>
            <a:custGeom>
              <a:avLst/>
              <a:gdLst>
                <a:gd name="T0" fmla="*/ 35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5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5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5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3" name="Freeform 265">
              <a:extLst>
                <a:ext uri="{FF2B5EF4-FFF2-40B4-BE49-F238E27FC236}">
                  <a16:creationId xmlns:a16="http://schemas.microsoft.com/office/drawing/2014/main" id="{EA936327-9A08-432B-B9EE-674ED7C9DF3D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2 w 49"/>
                <a:gd name="T1" fmla="*/ 96 h 96"/>
                <a:gd name="T2" fmla="*/ 49 w 49"/>
                <a:gd name="T3" fmla="*/ 93 h 96"/>
                <a:gd name="T4" fmla="*/ 0 w 49"/>
                <a:gd name="T5" fmla="*/ 0 h 96"/>
                <a:gd name="T6" fmla="*/ 42 w 49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6">
                  <a:moveTo>
                    <a:pt x="42" y="96"/>
                  </a:moveTo>
                  <a:lnTo>
                    <a:pt x="49" y="93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4" name="Freeform 266">
              <a:extLst>
                <a:ext uri="{FF2B5EF4-FFF2-40B4-BE49-F238E27FC236}">
                  <a16:creationId xmlns:a16="http://schemas.microsoft.com/office/drawing/2014/main" id="{0093099B-8B1B-4F73-8AF5-70E3BD69DDE5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9 w 55"/>
                <a:gd name="T1" fmla="*/ 93 h 93"/>
                <a:gd name="T2" fmla="*/ 55 w 55"/>
                <a:gd name="T3" fmla="*/ 90 h 93"/>
                <a:gd name="T4" fmla="*/ 0 w 55"/>
                <a:gd name="T5" fmla="*/ 0 h 93"/>
                <a:gd name="T6" fmla="*/ 49 w 55"/>
                <a:gd name="T7" fmla="*/ 93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3">
                  <a:moveTo>
                    <a:pt x="49" y="93"/>
                  </a:moveTo>
                  <a:lnTo>
                    <a:pt x="55" y="90"/>
                  </a:lnTo>
                  <a:lnTo>
                    <a:pt x="0" y="0"/>
                  </a:lnTo>
                  <a:lnTo>
                    <a:pt x="49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5" name="Freeform 267">
              <a:extLst>
                <a:ext uri="{FF2B5EF4-FFF2-40B4-BE49-F238E27FC236}">
                  <a16:creationId xmlns:a16="http://schemas.microsoft.com/office/drawing/2014/main" id="{032A478A-BF29-4531-96D4-1D44EF7A070D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55 w 61"/>
                <a:gd name="T1" fmla="*/ 90 h 90"/>
                <a:gd name="T2" fmla="*/ 61 w 61"/>
                <a:gd name="T3" fmla="*/ 86 h 90"/>
                <a:gd name="T4" fmla="*/ 0 w 61"/>
                <a:gd name="T5" fmla="*/ 0 h 90"/>
                <a:gd name="T6" fmla="*/ 55 w 61"/>
                <a:gd name="T7" fmla="*/ 9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55" y="90"/>
                  </a:moveTo>
                  <a:lnTo>
                    <a:pt x="61" y="86"/>
                  </a:lnTo>
                  <a:lnTo>
                    <a:pt x="0" y="0"/>
                  </a:lnTo>
                  <a:lnTo>
                    <a:pt x="55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6" name="Freeform 268">
              <a:extLst>
                <a:ext uri="{FF2B5EF4-FFF2-40B4-BE49-F238E27FC236}">
                  <a16:creationId xmlns:a16="http://schemas.microsoft.com/office/drawing/2014/main" id="{0D9F2D2C-06B4-4A49-90E5-0D12EA3743D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1 w 67"/>
                <a:gd name="T1" fmla="*/ 86 h 86"/>
                <a:gd name="T2" fmla="*/ 67 w 67"/>
                <a:gd name="T3" fmla="*/ 81 h 86"/>
                <a:gd name="T4" fmla="*/ 0 w 67"/>
                <a:gd name="T5" fmla="*/ 0 h 86"/>
                <a:gd name="T6" fmla="*/ 61 w 67"/>
                <a:gd name="T7" fmla="*/ 86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1" y="86"/>
                  </a:moveTo>
                  <a:lnTo>
                    <a:pt x="67" y="81"/>
                  </a:lnTo>
                  <a:lnTo>
                    <a:pt x="0" y="0"/>
                  </a:lnTo>
                  <a:lnTo>
                    <a:pt x="61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7" name="Freeform 269">
              <a:extLst>
                <a:ext uri="{FF2B5EF4-FFF2-40B4-BE49-F238E27FC236}">
                  <a16:creationId xmlns:a16="http://schemas.microsoft.com/office/drawing/2014/main" id="{3DAB365C-1BD3-4C1F-862D-96AA9CDD562D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7 w 72"/>
                <a:gd name="T1" fmla="*/ 81 h 81"/>
                <a:gd name="T2" fmla="*/ 72 w 72"/>
                <a:gd name="T3" fmla="*/ 77 h 81"/>
                <a:gd name="T4" fmla="*/ 0 w 72"/>
                <a:gd name="T5" fmla="*/ 0 h 81"/>
                <a:gd name="T6" fmla="*/ 67 w 72"/>
                <a:gd name="T7" fmla="*/ 81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67" y="81"/>
                  </a:moveTo>
                  <a:lnTo>
                    <a:pt x="72" y="77"/>
                  </a:lnTo>
                  <a:lnTo>
                    <a:pt x="0" y="0"/>
                  </a:lnTo>
                  <a:lnTo>
                    <a:pt x="67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8" name="Freeform 270">
              <a:extLst>
                <a:ext uri="{FF2B5EF4-FFF2-40B4-BE49-F238E27FC236}">
                  <a16:creationId xmlns:a16="http://schemas.microsoft.com/office/drawing/2014/main" id="{69E38CF8-EDB0-41E9-955C-8EDE7B5F2565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2 w 77"/>
                <a:gd name="T1" fmla="*/ 77 h 77"/>
                <a:gd name="T2" fmla="*/ 77 w 77"/>
                <a:gd name="T3" fmla="*/ 72 h 77"/>
                <a:gd name="T4" fmla="*/ 0 w 77"/>
                <a:gd name="T5" fmla="*/ 0 h 77"/>
                <a:gd name="T6" fmla="*/ 72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2" y="77"/>
                  </a:moveTo>
                  <a:lnTo>
                    <a:pt x="77" y="72"/>
                  </a:lnTo>
                  <a:lnTo>
                    <a:pt x="0" y="0"/>
                  </a:lnTo>
                  <a:lnTo>
                    <a:pt x="72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9" name="Freeform 271">
              <a:extLst>
                <a:ext uri="{FF2B5EF4-FFF2-40B4-BE49-F238E27FC236}">
                  <a16:creationId xmlns:a16="http://schemas.microsoft.com/office/drawing/2014/main" id="{CA01E108-B7B9-4864-BF7D-571F3A4B63B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7 w 82"/>
                <a:gd name="T1" fmla="*/ 72 h 72"/>
                <a:gd name="T2" fmla="*/ 82 w 82"/>
                <a:gd name="T3" fmla="*/ 66 h 72"/>
                <a:gd name="T4" fmla="*/ 0 w 82"/>
                <a:gd name="T5" fmla="*/ 0 h 72"/>
                <a:gd name="T6" fmla="*/ 77 w 82"/>
                <a:gd name="T7" fmla="*/ 72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77" y="72"/>
                  </a:moveTo>
                  <a:lnTo>
                    <a:pt x="82" y="66"/>
                  </a:lnTo>
                  <a:lnTo>
                    <a:pt x="0" y="0"/>
                  </a:lnTo>
                  <a:lnTo>
                    <a:pt x="77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0" name="Freeform 272">
              <a:extLst>
                <a:ext uri="{FF2B5EF4-FFF2-40B4-BE49-F238E27FC236}">
                  <a16:creationId xmlns:a16="http://schemas.microsoft.com/office/drawing/2014/main" id="{1788DFC2-244E-4E5F-A0F4-B461BE0452A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2 w 86"/>
                <a:gd name="T1" fmla="*/ 66 h 66"/>
                <a:gd name="T2" fmla="*/ 86 w 86"/>
                <a:gd name="T3" fmla="*/ 60 h 66"/>
                <a:gd name="T4" fmla="*/ 0 w 86"/>
                <a:gd name="T5" fmla="*/ 0 h 66"/>
                <a:gd name="T6" fmla="*/ 82 w 86"/>
                <a:gd name="T7" fmla="*/ 66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82" y="66"/>
                  </a:moveTo>
                  <a:lnTo>
                    <a:pt x="86" y="60"/>
                  </a:lnTo>
                  <a:lnTo>
                    <a:pt x="0" y="0"/>
                  </a:lnTo>
                  <a:lnTo>
                    <a:pt x="82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1" name="Freeform 273">
              <a:extLst>
                <a:ext uri="{FF2B5EF4-FFF2-40B4-BE49-F238E27FC236}">
                  <a16:creationId xmlns:a16="http://schemas.microsoft.com/office/drawing/2014/main" id="{EC909DF4-CAC9-478C-AB77-1B41883B9CF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6 w 90"/>
                <a:gd name="T1" fmla="*/ 60 h 60"/>
                <a:gd name="T2" fmla="*/ 90 w 90"/>
                <a:gd name="T3" fmla="*/ 54 h 60"/>
                <a:gd name="T4" fmla="*/ 0 w 90"/>
                <a:gd name="T5" fmla="*/ 0 h 60"/>
                <a:gd name="T6" fmla="*/ 86 w 90"/>
                <a:gd name="T7" fmla="*/ 60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86" y="60"/>
                  </a:moveTo>
                  <a:lnTo>
                    <a:pt x="90" y="54"/>
                  </a:lnTo>
                  <a:lnTo>
                    <a:pt x="0" y="0"/>
                  </a:lnTo>
                  <a:lnTo>
                    <a:pt x="86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2" name="Freeform 274">
              <a:extLst>
                <a:ext uri="{FF2B5EF4-FFF2-40B4-BE49-F238E27FC236}">
                  <a16:creationId xmlns:a16="http://schemas.microsoft.com/office/drawing/2014/main" id="{D7DCC66D-DBF9-4A5B-9D7B-88C62E85121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0 w 94"/>
                <a:gd name="T1" fmla="*/ 54 h 54"/>
                <a:gd name="T2" fmla="*/ 94 w 94"/>
                <a:gd name="T3" fmla="*/ 48 h 54"/>
                <a:gd name="T4" fmla="*/ 0 w 94"/>
                <a:gd name="T5" fmla="*/ 0 h 54"/>
                <a:gd name="T6" fmla="*/ 90 w 94"/>
                <a:gd name="T7" fmla="*/ 54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4">
                  <a:moveTo>
                    <a:pt x="90" y="54"/>
                  </a:moveTo>
                  <a:lnTo>
                    <a:pt x="94" y="48"/>
                  </a:lnTo>
                  <a:lnTo>
                    <a:pt x="0" y="0"/>
                  </a:lnTo>
                  <a:lnTo>
                    <a:pt x="9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3" name="Freeform 275">
              <a:extLst>
                <a:ext uri="{FF2B5EF4-FFF2-40B4-BE49-F238E27FC236}">
                  <a16:creationId xmlns:a16="http://schemas.microsoft.com/office/drawing/2014/main" id="{1EED93A1-BDB5-4E26-8D75-98325FE02AE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4 w 97"/>
                <a:gd name="T1" fmla="*/ 48 h 48"/>
                <a:gd name="T2" fmla="*/ 97 w 97"/>
                <a:gd name="T3" fmla="*/ 42 h 48"/>
                <a:gd name="T4" fmla="*/ 0 w 97"/>
                <a:gd name="T5" fmla="*/ 0 h 48"/>
                <a:gd name="T6" fmla="*/ 94 w 97"/>
                <a:gd name="T7" fmla="*/ 48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8">
                  <a:moveTo>
                    <a:pt x="94" y="48"/>
                  </a:moveTo>
                  <a:lnTo>
                    <a:pt x="97" y="42"/>
                  </a:lnTo>
                  <a:lnTo>
                    <a:pt x="0" y="0"/>
                  </a:lnTo>
                  <a:lnTo>
                    <a:pt x="94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4" name="Freeform 276">
              <a:extLst>
                <a:ext uri="{FF2B5EF4-FFF2-40B4-BE49-F238E27FC236}">
                  <a16:creationId xmlns:a16="http://schemas.microsoft.com/office/drawing/2014/main" id="{4E79C750-7793-4801-8BF7-78637CF90B49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7 w 99"/>
                <a:gd name="T1" fmla="*/ 42 h 42"/>
                <a:gd name="T2" fmla="*/ 99 w 99"/>
                <a:gd name="T3" fmla="*/ 35 h 42"/>
                <a:gd name="T4" fmla="*/ 0 w 99"/>
                <a:gd name="T5" fmla="*/ 0 h 42"/>
                <a:gd name="T6" fmla="*/ 97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7" y="42"/>
                  </a:moveTo>
                  <a:lnTo>
                    <a:pt x="99" y="35"/>
                  </a:lnTo>
                  <a:lnTo>
                    <a:pt x="0" y="0"/>
                  </a:lnTo>
                  <a:lnTo>
                    <a:pt x="97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5" name="Freeform 277">
              <a:extLst>
                <a:ext uri="{FF2B5EF4-FFF2-40B4-BE49-F238E27FC236}">
                  <a16:creationId xmlns:a16="http://schemas.microsoft.com/office/drawing/2014/main" id="{7CEE0775-FA83-40C3-8D52-19DF874FAAB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99 w 102"/>
                <a:gd name="T1" fmla="*/ 35 h 35"/>
                <a:gd name="T2" fmla="*/ 102 w 102"/>
                <a:gd name="T3" fmla="*/ 28 h 35"/>
                <a:gd name="T4" fmla="*/ 0 w 102"/>
                <a:gd name="T5" fmla="*/ 0 h 35"/>
                <a:gd name="T6" fmla="*/ 99 w 102"/>
                <a:gd name="T7" fmla="*/ 35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99" y="35"/>
                  </a:moveTo>
                  <a:lnTo>
                    <a:pt x="102" y="28"/>
                  </a:lnTo>
                  <a:lnTo>
                    <a:pt x="0" y="0"/>
                  </a:lnTo>
                  <a:lnTo>
                    <a:pt x="99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6" name="Freeform 278">
              <a:extLst>
                <a:ext uri="{FF2B5EF4-FFF2-40B4-BE49-F238E27FC236}">
                  <a16:creationId xmlns:a16="http://schemas.microsoft.com/office/drawing/2014/main" id="{3B030379-E8A0-4288-A53E-EAB44A1C08D6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2 w 103"/>
                <a:gd name="T1" fmla="*/ 28 h 28"/>
                <a:gd name="T2" fmla="*/ 103 w 103"/>
                <a:gd name="T3" fmla="*/ 21 h 28"/>
                <a:gd name="T4" fmla="*/ 0 w 103"/>
                <a:gd name="T5" fmla="*/ 0 h 28"/>
                <a:gd name="T6" fmla="*/ 102 w 103"/>
                <a:gd name="T7" fmla="*/ 28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102" y="28"/>
                  </a:moveTo>
                  <a:lnTo>
                    <a:pt x="103" y="21"/>
                  </a:lnTo>
                  <a:lnTo>
                    <a:pt x="0" y="0"/>
                  </a:lnTo>
                  <a:lnTo>
                    <a:pt x="102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7" name="Freeform 279">
              <a:extLst>
                <a:ext uri="{FF2B5EF4-FFF2-40B4-BE49-F238E27FC236}">
                  <a16:creationId xmlns:a16="http://schemas.microsoft.com/office/drawing/2014/main" id="{A0736FD6-0D8D-47F4-A6F5-94281F349A9D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3 w 104"/>
                <a:gd name="T1" fmla="*/ 21 h 21"/>
                <a:gd name="T2" fmla="*/ 104 w 104"/>
                <a:gd name="T3" fmla="*/ 14 h 21"/>
                <a:gd name="T4" fmla="*/ 0 w 104"/>
                <a:gd name="T5" fmla="*/ 0 h 21"/>
                <a:gd name="T6" fmla="*/ 103 w 104"/>
                <a:gd name="T7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103" y="21"/>
                  </a:moveTo>
                  <a:lnTo>
                    <a:pt x="104" y="14"/>
                  </a:lnTo>
                  <a:lnTo>
                    <a:pt x="0" y="0"/>
                  </a:lnTo>
                  <a:lnTo>
                    <a:pt x="103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8" name="Freeform 280">
              <a:extLst>
                <a:ext uri="{FF2B5EF4-FFF2-40B4-BE49-F238E27FC236}">
                  <a16:creationId xmlns:a16="http://schemas.microsoft.com/office/drawing/2014/main" id="{AE204B2B-168D-468A-82B6-11BF7C5BF08B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4 w 105"/>
                <a:gd name="T1" fmla="*/ 14 h 14"/>
                <a:gd name="T2" fmla="*/ 105 w 105"/>
                <a:gd name="T3" fmla="*/ 7 h 14"/>
                <a:gd name="T4" fmla="*/ 0 w 105"/>
                <a:gd name="T5" fmla="*/ 0 h 14"/>
                <a:gd name="T6" fmla="*/ 104 w 105"/>
                <a:gd name="T7" fmla="*/ 14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104" y="14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9" name="Freeform 281">
              <a:extLst>
                <a:ext uri="{FF2B5EF4-FFF2-40B4-BE49-F238E27FC236}">
                  <a16:creationId xmlns:a16="http://schemas.microsoft.com/office/drawing/2014/main" id="{16F96DED-332A-48AC-9736-539144179FB5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0" name="Freeform 282">
              <a:extLst>
                <a:ext uri="{FF2B5EF4-FFF2-40B4-BE49-F238E27FC236}">
                  <a16:creationId xmlns:a16="http://schemas.microsoft.com/office/drawing/2014/main" id="{08E4F933-E16F-42E7-8366-62DCD56FCD97}"/>
                </a:ext>
              </a:extLst>
            </xdr:cNvPr>
            <xdr:cNvSpPr>
              <a:spLocks/>
            </xdr:cNvSpPr>
          </xdr:nvSpPr>
          <xdr:spPr bwMode="auto">
            <a:xfrm>
              <a:off x="1017" y="188"/>
              <a:ext cx="6" cy="9"/>
            </a:xfrm>
            <a:custGeom>
              <a:avLst/>
              <a:gdLst>
                <a:gd name="T0" fmla="*/ 351 w 351"/>
                <a:gd name="T1" fmla="*/ 439 h 526"/>
                <a:gd name="T2" fmla="*/ 264 w 351"/>
                <a:gd name="T3" fmla="*/ 526 h 526"/>
                <a:gd name="T4" fmla="*/ 87 w 351"/>
                <a:gd name="T5" fmla="*/ 526 h 526"/>
                <a:gd name="T6" fmla="*/ 0 w 351"/>
                <a:gd name="T7" fmla="*/ 439 h 526"/>
                <a:gd name="T8" fmla="*/ 0 w 351"/>
                <a:gd name="T9" fmla="*/ 88 h 526"/>
                <a:gd name="T10" fmla="*/ 87 w 351"/>
                <a:gd name="T11" fmla="*/ 0 h 526"/>
                <a:gd name="T12" fmla="*/ 264 w 351"/>
                <a:gd name="T13" fmla="*/ 0 h 526"/>
                <a:gd name="T14" fmla="*/ 351 w 351"/>
                <a:gd name="T15" fmla="*/ 88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351" h="526">
                  <a:moveTo>
                    <a:pt x="351" y="439"/>
                  </a:moveTo>
                  <a:lnTo>
                    <a:pt x="264" y="526"/>
                  </a:lnTo>
                  <a:lnTo>
                    <a:pt x="87" y="526"/>
                  </a:lnTo>
                  <a:lnTo>
                    <a:pt x="0" y="439"/>
                  </a:lnTo>
                  <a:lnTo>
                    <a:pt x="0" y="88"/>
                  </a:lnTo>
                  <a:lnTo>
                    <a:pt x="87" y="0"/>
                  </a:lnTo>
                  <a:lnTo>
                    <a:pt x="264" y="0"/>
                  </a:lnTo>
                  <a:lnTo>
                    <a:pt x="351" y="88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71" name="Freeform 283">
              <a:extLst>
                <a:ext uri="{FF2B5EF4-FFF2-40B4-BE49-F238E27FC236}">
                  <a16:creationId xmlns:a16="http://schemas.microsoft.com/office/drawing/2014/main" id="{63B8092B-8045-4656-B003-AA95EE43CCF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8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8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2" name="Freeform 284">
              <a:extLst>
                <a:ext uri="{FF2B5EF4-FFF2-40B4-BE49-F238E27FC236}">
                  <a16:creationId xmlns:a16="http://schemas.microsoft.com/office/drawing/2014/main" id="{28617075-4374-47FB-B99D-193BAAAC469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7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3" name="Freeform 285">
              <a:extLst>
                <a:ext uri="{FF2B5EF4-FFF2-40B4-BE49-F238E27FC236}">
                  <a16:creationId xmlns:a16="http://schemas.microsoft.com/office/drawing/2014/main" id="{7111EA52-A7A9-4EE0-BB8B-9A091E84DCC2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4 w 104"/>
                <a:gd name="T1" fmla="*/ 8 h 23"/>
                <a:gd name="T2" fmla="*/ 103 w 104"/>
                <a:gd name="T3" fmla="*/ 0 h 23"/>
                <a:gd name="T4" fmla="*/ 0 w 104"/>
                <a:gd name="T5" fmla="*/ 23 h 23"/>
                <a:gd name="T6" fmla="*/ 104 w 104"/>
                <a:gd name="T7" fmla="*/ 8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04" y="8"/>
                  </a:moveTo>
                  <a:lnTo>
                    <a:pt x="103" y="0"/>
                  </a:lnTo>
                  <a:lnTo>
                    <a:pt x="0" y="23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4" name="Freeform 286">
              <a:extLst>
                <a:ext uri="{FF2B5EF4-FFF2-40B4-BE49-F238E27FC236}">
                  <a16:creationId xmlns:a16="http://schemas.microsoft.com/office/drawing/2014/main" id="{817F0C66-B8BC-4AE4-A91C-A510B9FE0FEA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3 w 103"/>
                <a:gd name="T1" fmla="*/ 7 h 30"/>
                <a:gd name="T2" fmla="*/ 101 w 103"/>
                <a:gd name="T3" fmla="*/ 0 h 30"/>
                <a:gd name="T4" fmla="*/ 0 w 103"/>
                <a:gd name="T5" fmla="*/ 30 h 30"/>
                <a:gd name="T6" fmla="*/ 103 w 103"/>
                <a:gd name="T7" fmla="*/ 7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103" y="7"/>
                  </a:moveTo>
                  <a:lnTo>
                    <a:pt x="101" y="0"/>
                  </a:lnTo>
                  <a:lnTo>
                    <a:pt x="0" y="30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5" name="Freeform 287">
              <a:extLst>
                <a:ext uri="{FF2B5EF4-FFF2-40B4-BE49-F238E27FC236}">
                  <a16:creationId xmlns:a16="http://schemas.microsoft.com/office/drawing/2014/main" id="{11D2CB6E-6215-4F99-AEFB-AEF1057D0649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1 w 101"/>
                <a:gd name="T1" fmla="*/ 7 h 37"/>
                <a:gd name="T2" fmla="*/ 99 w 101"/>
                <a:gd name="T3" fmla="*/ 0 h 37"/>
                <a:gd name="T4" fmla="*/ 0 w 101"/>
                <a:gd name="T5" fmla="*/ 37 h 37"/>
                <a:gd name="T6" fmla="*/ 101 w 101"/>
                <a:gd name="T7" fmla="*/ 7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101" y="7"/>
                  </a:moveTo>
                  <a:lnTo>
                    <a:pt x="99" y="0"/>
                  </a:lnTo>
                  <a:lnTo>
                    <a:pt x="0" y="37"/>
                  </a:lnTo>
                  <a:lnTo>
                    <a:pt x="101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6" name="Freeform 288">
              <a:extLst>
                <a:ext uri="{FF2B5EF4-FFF2-40B4-BE49-F238E27FC236}">
                  <a16:creationId xmlns:a16="http://schemas.microsoft.com/office/drawing/2014/main" id="{3B0A7147-C5E2-4626-B3B2-75CCFA726D4E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9 w 99"/>
                <a:gd name="T1" fmla="*/ 7 h 44"/>
                <a:gd name="T2" fmla="*/ 96 w 99"/>
                <a:gd name="T3" fmla="*/ 0 h 44"/>
                <a:gd name="T4" fmla="*/ 0 w 99"/>
                <a:gd name="T5" fmla="*/ 44 h 44"/>
                <a:gd name="T6" fmla="*/ 99 w 99"/>
                <a:gd name="T7" fmla="*/ 7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99" y="7"/>
                  </a:moveTo>
                  <a:lnTo>
                    <a:pt x="96" y="0"/>
                  </a:lnTo>
                  <a:lnTo>
                    <a:pt x="0" y="44"/>
                  </a:lnTo>
                  <a:lnTo>
                    <a:pt x="99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7" name="Freeform 289">
              <a:extLst>
                <a:ext uri="{FF2B5EF4-FFF2-40B4-BE49-F238E27FC236}">
                  <a16:creationId xmlns:a16="http://schemas.microsoft.com/office/drawing/2014/main" id="{E6350210-5A6C-448F-AA48-EE5F5EB17B44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6 w 96"/>
                <a:gd name="T1" fmla="*/ 7 h 51"/>
                <a:gd name="T2" fmla="*/ 92 w 96"/>
                <a:gd name="T3" fmla="*/ 0 h 51"/>
                <a:gd name="T4" fmla="*/ 0 w 96"/>
                <a:gd name="T5" fmla="*/ 51 h 51"/>
                <a:gd name="T6" fmla="*/ 96 w 96"/>
                <a:gd name="T7" fmla="*/ 7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96" y="7"/>
                  </a:moveTo>
                  <a:lnTo>
                    <a:pt x="92" y="0"/>
                  </a:lnTo>
                  <a:lnTo>
                    <a:pt x="0" y="51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8" name="Freeform 290">
              <a:extLst>
                <a:ext uri="{FF2B5EF4-FFF2-40B4-BE49-F238E27FC236}">
                  <a16:creationId xmlns:a16="http://schemas.microsoft.com/office/drawing/2014/main" id="{FF650AC8-8B1E-4D2D-A0DF-BFE046D637E5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2 w 92"/>
                <a:gd name="T1" fmla="*/ 6 h 57"/>
                <a:gd name="T2" fmla="*/ 88 w 92"/>
                <a:gd name="T3" fmla="*/ 0 h 57"/>
                <a:gd name="T4" fmla="*/ 0 w 92"/>
                <a:gd name="T5" fmla="*/ 57 h 57"/>
                <a:gd name="T6" fmla="*/ 92 w 92"/>
                <a:gd name="T7" fmla="*/ 6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92" y="6"/>
                  </a:moveTo>
                  <a:lnTo>
                    <a:pt x="88" y="0"/>
                  </a:lnTo>
                  <a:lnTo>
                    <a:pt x="0" y="57"/>
                  </a:lnTo>
                  <a:lnTo>
                    <a:pt x="92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9" name="Freeform 291">
              <a:extLst>
                <a:ext uri="{FF2B5EF4-FFF2-40B4-BE49-F238E27FC236}">
                  <a16:creationId xmlns:a16="http://schemas.microsoft.com/office/drawing/2014/main" id="{9DE6C5AF-1401-425B-B122-47CE79C4F553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8 w 88"/>
                <a:gd name="T1" fmla="*/ 6 h 63"/>
                <a:gd name="T2" fmla="*/ 84 w 88"/>
                <a:gd name="T3" fmla="*/ 0 h 63"/>
                <a:gd name="T4" fmla="*/ 0 w 88"/>
                <a:gd name="T5" fmla="*/ 63 h 63"/>
                <a:gd name="T6" fmla="*/ 88 w 88"/>
                <a:gd name="T7" fmla="*/ 6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8" y="6"/>
                  </a:moveTo>
                  <a:lnTo>
                    <a:pt x="84" y="0"/>
                  </a:lnTo>
                  <a:lnTo>
                    <a:pt x="0" y="63"/>
                  </a:lnTo>
                  <a:lnTo>
                    <a:pt x="88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0" name="Freeform 292">
              <a:extLst>
                <a:ext uri="{FF2B5EF4-FFF2-40B4-BE49-F238E27FC236}">
                  <a16:creationId xmlns:a16="http://schemas.microsoft.com/office/drawing/2014/main" id="{F644504E-E4BE-455C-B218-F8F463ADE82C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4 w 84"/>
                <a:gd name="T1" fmla="*/ 6 h 69"/>
                <a:gd name="T2" fmla="*/ 79 w 84"/>
                <a:gd name="T3" fmla="*/ 0 h 69"/>
                <a:gd name="T4" fmla="*/ 0 w 84"/>
                <a:gd name="T5" fmla="*/ 69 h 69"/>
                <a:gd name="T6" fmla="*/ 84 w 84"/>
                <a:gd name="T7" fmla="*/ 6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84" y="6"/>
                  </a:moveTo>
                  <a:lnTo>
                    <a:pt x="79" y="0"/>
                  </a:lnTo>
                  <a:lnTo>
                    <a:pt x="0" y="69"/>
                  </a:lnTo>
                  <a:lnTo>
                    <a:pt x="8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1" name="Freeform 293">
              <a:extLst>
                <a:ext uri="{FF2B5EF4-FFF2-40B4-BE49-F238E27FC236}">
                  <a16:creationId xmlns:a16="http://schemas.microsoft.com/office/drawing/2014/main" id="{CE2FE8EB-FF8B-466B-828C-3016D826EA13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79 w 79"/>
                <a:gd name="T1" fmla="*/ 6 h 75"/>
                <a:gd name="T2" fmla="*/ 74 w 79"/>
                <a:gd name="T3" fmla="*/ 0 h 75"/>
                <a:gd name="T4" fmla="*/ 0 w 79"/>
                <a:gd name="T5" fmla="*/ 75 h 75"/>
                <a:gd name="T6" fmla="*/ 79 w 79"/>
                <a:gd name="T7" fmla="*/ 6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5">
                  <a:moveTo>
                    <a:pt x="79" y="6"/>
                  </a:moveTo>
                  <a:lnTo>
                    <a:pt x="74" y="0"/>
                  </a:lnTo>
                  <a:lnTo>
                    <a:pt x="0" y="75"/>
                  </a:lnTo>
                  <a:lnTo>
                    <a:pt x="7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2" name="Freeform 294">
              <a:extLst>
                <a:ext uri="{FF2B5EF4-FFF2-40B4-BE49-F238E27FC236}">
                  <a16:creationId xmlns:a16="http://schemas.microsoft.com/office/drawing/2014/main" id="{497A5790-875B-4ADB-9D7E-D0DDE52AB6B4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74 w 74"/>
                <a:gd name="T1" fmla="*/ 5 h 80"/>
                <a:gd name="T2" fmla="*/ 69 w 74"/>
                <a:gd name="T3" fmla="*/ 0 h 80"/>
                <a:gd name="T4" fmla="*/ 0 w 74"/>
                <a:gd name="T5" fmla="*/ 80 h 80"/>
                <a:gd name="T6" fmla="*/ 74 w 74"/>
                <a:gd name="T7" fmla="*/ 5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74" y="5"/>
                  </a:moveTo>
                  <a:lnTo>
                    <a:pt x="69" y="0"/>
                  </a:lnTo>
                  <a:lnTo>
                    <a:pt x="0" y="80"/>
                  </a:lnTo>
                  <a:lnTo>
                    <a:pt x="74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3" name="Freeform 295">
              <a:extLst>
                <a:ext uri="{FF2B5EF4-FFF2-40B4-BE49-F238E27FC236}">
                  <a16:creationId xmlns:a16="http://schemas.microsoft.com/office/drawing/2014/main" id="{5CEEDA59-DC80-4A91-939B-F14C0876478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9 w 69"/>
                <a:gd name="T1" fmla="*/ 5 h 85"/>
                <a:gd name="T2" fmla="*/ 63 w 69"/>
                <a:gd name="T3" fmla="*/ 0 h 85"/>
                <a:gd name="T4" fmla="*/ 0 w 69"/>
                <a:gd name="T5" fmla="*/ 85 h 85"/>
                <a:gd name="T6" fmla="*/ 69 w 69"/>
                <a:gd name="T7" fmla="*/ 5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9" y="5"/>
                  </a:moveTo>
                  <a:lnTo>
                    <a:pt x="63" y="0"/>
                  </a:lnTo>
                  <a:lnTo>
                    <a:pt x="0" y="85"/>
                  </a:lnTo>
                  <a:lnTo>
                    <a:pt x="69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4" name="Freeform 296">
              <a:extLst>
                <a:ext uri="{FF2B5EF4-FFF2-40B4-BE49-F238E27FC236}">
                  <a16:creationId xmlns:a16="http://schemas.microsoft.com/office/drawing/2014/main" id="{BA82A6EC-6241-4879-AF8A-643C8F467E63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3 w 63"/>
                <a:gd name="T1" fmla="*/ 4 h 89"/>
                <a:gd name="T2" fmla="*/ 57 w 63"/>
                <a:gd name="T3" fmla="*/ 0 h 89"/>
                <a:gd name="T4" fmla="*/ 0 w 63"/>
                <a:gd name="T5" fmla="*/ 89 h 89"/>
                <a:gd name="T6" fmla="*/ 63 w 63"/>
                <a:gd name="T7" fmla="*/ 4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3" y="4"/>
                  </a:moveTo>
                  <a:lnTo>
                    <a:pt x="57" y="0"/>
                  </a:lnTo>
                  <a:lnTo>
                    <a:pt x="0" y="89"/>
                  </a:lnTo>
                  <a:lnTo>
                    <a:pt x="63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5" name="Freeform 297">
              <a:extLst>
                <a:ext uri="{FF2B5EF4-FFF2-40B4-BE49-F238E27FC236}">
                  <a16:creationId xmlns:a16="http://schemas.microsoft.com/office/drawing/2014/main" id="{7C332424-26F2-443F-85AF-476CEA0A1CD8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57 w 57"/>
                <a:gd name="T1" fmla="*/ 4 h 93"/>
                <a:gd name="T2" fmla="*/ 50 w 57"/>
                <a:gd name="T3" fmla="*/ 0 h 93"/>
                <a:gd name="T4" fmla="*/ 0 w 57"/>
                <a:gd name="T5" fmla="*/ 93 h 93"/>
                <a:gd name="T6" fmla="*/ 57 w 57"/>
                <a:gd name="T7" fmla="*/ 4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57" y="4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6" name="Freeform 298">
              <a:extLst>
                <a:ext uri="{FF2B5EF4-FFF2-40B4-BE49-F238E27FC236}">
                  <a16:creationId xmlns:a16="http://schemas.microsoft.com/office/drawing/2014/main" id="{4D617208-720C-4907-8697-04FE0EB1E28F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50 w 50"/>
                <a:gd name="T1" fmla="*/ 3 h 96"/>
                <a:gd name="T2" fmla="*/ 44 w 50"/>
                <a:gd name="T3" fmla="*/ 0 h 96"/>
                <a:gd name="T4" fmla="*/ 0 w 50"/>
                <a:gd name="T5" fmla="*/ 96 h 96"/>
                <a:gd name="T6" fmla="*/ 50 w 50"/>
                <a:gd name="T7" fmla="*/ 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50" y="3"/>
                  </a:moveTo>
                  <a:lnTo>
                    <a:pt x="44" y="0"/>
                  </a:lnTo>
                  <a:lnTo>
                    <a:pt x="0" y="96"/>
                  </a:lnTo>
                  <a:lnTo>
                    <a:pt x="50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7" name="Freeform 299">
              <a:extLst>
                <a:ext uri="{FF2B5EF4-FFF2-40B4-BE49-F238E27FC236}">
                  <a16:creationId xmlns:a16="http://schemas.microsoft.com/office/drawing/2014/main" id="{6A14E8CC-2202-4FB0-8658-7D49FAFDE488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44 w 44"/>
                <a:gd name="T1" fmla="*/ 3 h 99"/>
                <a:gd name="T2" fmla="*/ 37 w 44"/>
                <a:gd name="T3" fmla="*/ 0 h 99"/>
                <a:gd name="T4" fmla="*/ 0 w 44"/>
                <a:gd name="T5" fmla="*/ 99 h 99"/>
                <a:gd name="T6" fmla="*/ 44 w 44"/>
                <a:gd name="T7" fmla="*/ 3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44" y="3"/>
                  </a:moveTo>
                  <a:lnTo>
                    <a:pt x="37" y="0"/>
                  </a:lnTo>
                  <a:lnTo>
                    <a:pt x="0" y="99"/>
                  </a:lnTo>
                  <a:lnTo>
                    <a:pt x="44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8" name="Freeform 300">
              <a:extLst>
                <a:ext uri="{FF2B5EF4-FFF2-40B4-BE49-F238E27FC236}">
                  <a16:creationId xmlns:a16="http://schemas.microsoft.com/office/drawing/2014/main" id="{26FF15C1-12BC-4684-B8C1-B05C85C7F389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7 w 37"/>
                <a:gd name="T1" fmla="*/ 2 h 101"/>
                <a:gd name="T2" fmla="*/ 30 w 37"/>
                <a:gd name="T3" fmla="*/ 0 h 101"/>
                <a:gd name="T4" fmla="*/ 0 w 37"/>
                <a:gd name="T5" fmla="*/ 101 h 101"/>
                <a:gd name="T6" fmla="*/ 37 w 37"/>
                <a:gd name="T7" fmla="*/ 2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7" y="2"/>
                  </a:moveTo>
                  <a:lnTo>
                    <a:pt x="30" y="0"/>
                  </a:lnTo>
                  <a:lnTo>
                    <a:pt x="0" y="101"/>
                  </a:lnTo>
                  <a:lnTo>
                    <a:pt x="37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9" name="Freeform 301">
              <a:extLst>
                <a:ext uri="{FF2B5EF4-FFF2-40B4-BE49-F238E27FC236}">
                  <a16:creationId xmlns:a16="http://schemas.microsoft.com/office/drawing/2014/main" id="{BC9A1ADC-F285-4F5A-ADEC-BBF1F24583B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0 w 30"/>
                <a:gd name="T1" fmla="*/ 2 h 103"/>
                <a:gd name="T2" fmla="*/ 22 w 30"/>
                <a:gd name="T3" fmla="*/ 0 h 103"/>
                <a:gd name="T4" fmla="*/ 0 w 30"/>
                <a:gd name="T5" fmla="*/ 103 h 103"/>
                <a:gd name="T6" fmla="*/ 30 w 30"/>
                <a:gd name="T7" fmla="*/ 2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30" y="2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30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0" name="Freeform 302">
              <a:extLst>
                <a:ext uri="{FF2B5EF4-FFF2-40B4-BE49-F238E27FC236}">
                  <a16:creationId xmlns:a16="http://schemas.microsoft.com/office/drawing/2014/main" id="{CD8A3861-F635-4BAF-8088-A6D5B40F783D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1" name="Freeform 303">
              <a:extLst>
                <a:ext uri="{FF2B5EF4-FFF2-40B4-BE49-F238E27FC236}">
                  <a16:creationId xmlns:a16="http://schemas.microsoft.com/office/drawing/2014/main" id="{BEABF027-6E63-4188-9701-2D546318040B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2" name="Freeform 304">
              <a:extLst>
                <a:ext uri="{FF2B5EF4-FFF2-40B4-BE49-F238E27FC236}">
                  <a16:creationId xmlns:a16="http://schemas.microsoft.com/office/drawing/2014/main" id="{F7AB4CC0-39E4-40B4-A91D-37430D565D0B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3" name="Freeform 305">
              <a:extLst>
                <a:ext uri="{FF2B5EF4-FFF2-40B4-BE49-F238E27FC236}">
                  <a16:creationId xmlns:a16="http://schemas.microsoft.com/office/drawing/2014/main" id="{5A92BE8C-86FA-431D-A03B-6AE66C40D5B2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8 w 8"/>
                <a:gd name="T1" fmla="*/ 0 h 106"/>
                <a:gd name="T2" fmla="*/ 0 w 8"/>
                <a:gd name="T3" fmla="*/ 1 h 106"/>
                <a:gd name="T4" fmla="*/ 8 w 8"/>
                <a:gd name="T5" fmla="*/ 106 h 106"/>
                <a:gd name="T6" fmla="*/ 8 w 8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6">
                  <a:moveTo>
                    <a:pt x="8" y="0"/>
                  </a:moveTo>
                  <a:lnTo>
                    <a:pt x="0" y="1"/>
                  </a:lnTo>
                  <a:lnTo>
                    <a:pt x="8" y="106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4" name="Freeform 306">
              <a:extLst>
                <a:ext uri="{FF2B5EF4-FFF2-40B4-BE49-F238E27FC236}">
                  <a16:creationId xmlns:a16="http://schemas.microsoft.com/office/drawing/2014/main" id="{C493960A-15CF-4079-89BF-D9180979BD71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15"/>
                <a:gd name="T1" fmla="*/ 0 h 105"/>
                <a:gd name="T2" fmla="*/ 0 w 15"/>
                <a:gd name="T3" fmla="*/ 0 h 105"/>
                <a:gd name="T4" fmla="*/ 15 w 15"/>
                <a:gd name="T5" fmla="*/ 105 h 105"/>
                <a:gd name="T6" fmla="*/ 7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0"/>
                  </a:moveTo>
                  <a:lnTo>
                    <a:pt x="0" y="0"/>
                  </a:lnTo>
                  <a:lnTo>
                    <a:pt x="15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5" name="Freeform 307">
              <a:extLst>
                <a:ext uri="{FF2B5EF4-FFF2-40B4-BE49-F238E27FC236}">
                  <a16:creationId xmlns:a16="http://schemas.microsoft.com/office/drawing/2014/main" id="{3630749F-3F8E-4013-8772-501EB0F30935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22"/>
                <a:gd name="T1" fmla="*/ 0 h 105"/>
                <a:gd name="T2" fmla="*/ 0 w 22"/>
                <a:gd name="T3" fmla="*/ 2 h 105"/>
                <a:gd name="T4" fmla="*/ 22 w 22"/>
                <a:gd name="T5" fmla="*/ 105 h 105"/>
                <a:gd name="T6" fmla="*/ 7 w 22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7" y="0"/>
                  </a:moveTo>
                  <a:lnTo>
                    <a:pt x="0" y="2"/>
                  </a:lnTo>
                  <a:lnTo>
                    <a:pt x="22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6" name="Freeform 308">
              <a:extLst>
                <a:ext uri="{FF2B5EF4-FFF2-40B4-BE49-F238E27FC236}">
                  <a16:creationId xmlns:a16="http://schemas.microsoft.com/office/drawing/2014/main" id="{BB9B3870-9801-46C0-8443-EA4A7D84BF42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8 w 30"/>
                <a:gd name="T1" fmla="*/ 0 h 103"/>
                <a:gd name="T2" fmla="*/ 0 w 30"/>
                <a:gd name="T3" fmla="*/ 2 h 103"/>
                <a:gd name="T4" fmla="*/ 30 w 30"/>
                <a:gd name="T5" fmla="*/ 103 h 103"/>
                <a:gd name="T6" fmla="*/ 8 w 30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8" y="0"/>
                  </a:moveTo>
                  <a:lnTo>
                    <a:pt x="0" y="2"/>
                  </a:lnTo>
                  <a:lnTo>
                    <a:pt x="30" y="10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7" name="Freeform 309">
              <a:extLst>
                <a:ext uri="{FF2B5EF4-FFF2-40B4-BE49-F238E27FC236}">
                  <a16:creationId xmlns:a16="http://schemas.microsoft.com/office/drawing/2014/main" id="{9E29604B-9A8C-4813-9F0C-BC09E44BDF44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37"/>
                <a:gd name="T1" fmla="*/ 0 h 101"/>
                <a:gd name="T2" fmla="*/ 0 w 37"/>
                <a:gd name="T3" fmla="*/ 2 h 101"/>
                <a:gd name="T4" fmla="*/ 37 w 37"/>
                <a:gd name="T5" fmla="*/ 101 h 101"/>
                <a:gd name="T6" fmla="*/ 7 w 37"/>
                <a:gd name="T7" fmla="*/ 0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7" y="0"/>
                  </a:moveTo>
                  <a:lnTo>
                    <a:pt x="0" y="2"/>
                  </a:lnTo>
                  <a:lnTo>
                    <a:pt x="37" y="10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8" name="Freeform 310">
              <a:extLst>
                <a:ext uri="{FF2B5EF4-FFF2-40B4-BE49-F238E27FC236}">
                  <a16:creationId xmlns:a16="http://schemas.microsoft.com/office/drawing/2014/main" id="{1F7EA3EE-3613-4E80-A3F3-0F540438EFE7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44"/>
                <a:gd name="T1" fmla="*/ 0 h 99"/>
                <a:gd name="T2" fmla="*/ 0 w 44"/>
                <a:gd name="T3" fmla="*/ 3 h 99"/>
                <a:gd name="T4" fmla="*/ 44 w 44"/>
                <a:gd name="T5" fmla="*/ 99 h 99"/>
                <a:gd name="T6" fmla="*/ 7 w 44"/>
                <a:gd name="T7" fmla="*/ 0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7" y="0"/>
                  </a:moveTo>
                  <a:lnTo>
                    <a:pt x="0" y="3"/>
                  </a:lnTo>
                  <a:lnTo>
                    <a:pt x="44" y="99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9" name="Freeform 311">
              <a:extLst>
                <a:ext uri="{FF2B5EF4-FFF2-40B4-BE49-F238E27FC236}">
                  <a16:creationId xmlns:a16="http://schemas.microsoft.com/office/drawing/2014/main" id="{D8C1FFE4-D040-4BAD-8F90-CC2E5DEF7F67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50"/>
                <a:gd name="T1" fmla="*/ 0 h 96"/>
                <a:gd name="T2" fmla="*/ 0 w 50"/>
                <a:gd name="T3" fmla="*/ 3 h 96"/>
                <a:gd name="T4" fmla="*/ 50 w 50"/>
                <a:gd name="T5" fmla="*/ 96 h 96"/>
                <a:gd name="T6" fmla="*/ 6 w 50"/>
                <a:gd name="T7" fmla="*/ 0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6" y="0"/>
                  </a:moveTo>
                  <a:lnTo>
                    <a:pt x="0" y="3"/>
                  </a:lnTo>
                  <a:lnTo>
                    <a:pt x="50" y="9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0" name="Freeform 312">
              <a:extLst>
                <a:ext uri="{FF2B5EF4-FFF2-40B4-BE49-F238E27FC236}">
                  <a16:creationId xmlns:a16="http://schemas.microsoft.com/office/drawing/2014/main" id="{3FC6406D-DB2E-4E2B-9281-2D68927DE2C8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57"/>
                <a:gd name="T1" fmla="*/ 0 h 93"/>
                <a:gd name="T2" fmla="*/ 0 w 57"/>
                <a:gd name="T3" fmla="*/ 4 h 93"/>
                <a:gd name="T4" fmla="*/ 57 w 57"/>
                <a:gd name="T5" fmla="*/ 93 h 93"/>
                <a:gd name="T6" fmla="*/ 7 w 57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7" y="0"/>
                  </a:moveTo>
                  <a:lnTo>
                    <a:pt x="0" y="4"/>
                  </a:lnTo>
                  <a:lnTo>
                    <a:pt x="57" y="9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1" name="Freeform 313">
              <a:extLst>
                <a:ext uri="{FF2B5EF4-FFF2-40B4-BE49-F238E27FC236}">
                  <a16:creationId xmlns:a16="http://schemas.microsoft.com/office/drawing/2014/main" id="{7E91F308-EADC-4FC0-93AD-E24117059D7E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63"/>
                <a:gd name="T1" fmla="*/ 0 h 89"/>
                <a:gd name="T2" fmla="*/ 0 w 63"/>
                <a:gd name="T3" fmla="*/ 4 h 89"/>
                <a:gd name="T4" fmla="*/ 63 w 63"/>
                <a:gd name="T5" fmla="*/ 89 h 89"/>
                <a:gd name="T6" fmla="*/ 6 w 63"/>
                <a:gd name="T7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" y="0"/>
                  </a:moveTo>
                  <a:lnTo>
                    <a:pt x="0" y="4"/>
                  </a:lnTo>
                  <a:lnTo>
                    <a:pt x="63" y="89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2" name="Freeform 314">
              <a:extLst>
                <a:ext uri="{FF2B5EF4-FFF2-40B4-BE49-F238E27FC236}">
                  <a16:creationId xmlns:a16="http://schemas.microsoft.com/office/drawing/2014/main" id="{FE034A9A-68D1-40CF-BDFC-75A55963DE31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6 w 69"/>
                <a:gd name="T1" fmla="*/ 0 h 85"/>
                <a:gd name="T2" fmla="*/ 0 w 69"/>
                <a:gd name="T3" fmla="*/ 5 h 85"/>
                <a:gd name="T4" fmla="*/ 69 w 69"/>
                <a:gd name="T5" fmla="*/ 85 h 85"/>
                <a:gd name="T6" fmla="*/ 6 w 69"/>
                <a:gd name="T7" fmla="*/ 0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" y="0"/>
                  </a:moveTo>
                  <a:lnTo>
                    <a:pt x="0" y="5"/>
                  </a:lnTo>
                  <a:lnTo>
                    <a:pt x="69" y="8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3" name="Freeform 315">
              <a:extLst>
                <a:ext uri="{FF2B5EF4-FFF2-40B4-BE49-F238E27FC236}">
                  <a16:creationId xmlns:a16="http://schemas.microsoft.com/office/drawing/2014/main" id="{0A3EB039-A575-4F7E-A131-951B6748DB42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5 w 74"/>
                <a:gd name="T1" fmla="*/ 0 h 80"/>
                <a:gd name="T2" fmla="*/ 0 w 74"/>
                <a:gd name="T3" fmla="*/ 5 h 80"/>
                <a:gd name="T4" fmla="*/ 74 w 74"/>
                <a:gd name="T5" fmla="*/ 80 h 80"/>
                <a:gd name="T6" fmla="*/ 5 w 74"/>
                <a:gd name="T7" fmla="*/ 0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5" y="0"/>
                  </a:moveTo>
                  <a:lnTo>
                    <a:pt x="0" y="5"/>
                  </a:lnTo>
                  <a:lnTo>
                    <a:pt x="74" y="8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4" name="Freeform 316">
              <a:extLst>
                <a:ext uri="{FF2B5EF4-FFF2-40B4-BE49-F238E27FC236}">
                  <a16:creationId xmlns:a16="http://schemas.microsoft.com/office/drawing/2014/main" id="{2F0B8238-27CD-4170-9EE6-576D1B5043B7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6 w 80"/>
                <a:gd name="T1" fmla="*/ 0 h 75"/>
                <a:gd name="T2" fmla="*/ 0 w 80"/>
                <a:gd name="T3" fmla="*/ 6 h 75"/>
                <a:gd name="T4" fmla="*/ 80 w 80"/>
                <a:gd name="T5" fmla="*/ 75 h 75"/>
                <a:gd name="T6" fmla="*/ 6 w 80"/>
                <a:gd name="T7" fmla="*/ 0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5">
                  <a:moveTo>
                    <a:pt x="6" y="0"/>
                  </a:moveTo>
                  <a:lnTo>
                    <a:pt x="0" y="6"/>
                  </a:lnTo>
                  <a:lnTo>
                    <a:pt x="80" y="7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5" name="Freeform 317">
              <a:extLst>
                <a:ext uri="{FF2B5EF4-FFF2-40B4-BE49-F238E27FC236}">
                  <a16:creationId xmlns:a16="http://schemas.microsoft.com/office/drawing/2014/main" id="{E1B4CA5E-AFE1-4627-818D-96347433E646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84"/>
                <a:gd name="T1" fmla="*/ 0 h 69"/>
                <a:gd name="T2" fmla="*/ 0 w 84"/>
                <a:gd name="T3" fmla="*/ 6 h 69"/>
                <a:gd name="T4" fmla="*/ 84 w 84"/>
                <a:gd name="T5" fmla="*/ 69 h 69"/>
                <a:gd name="T6" fmla="*/ 4 w 84"/>
                <a:gd name="T7" fmla="*/ 0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4" y="0"/>
                  </a:moveTo>
                  <a:lnTo>
                    <a:pt x="0" y="6"/>
                  </a:lnTo>
                  <a:lnTo>
                    <a:pt x="84" y="69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6" name="Freeform 318">
              <a:extLst>
                <a:ext uri="{FF2B5EF4-FFF2-40B4-BE49-F238E27FC236}">
                  <a16:creationId xmlns:a16="http://schemas.microsoft.com/office/drawing/2014/main" id="{65FCB9C0-5590-4EE3-8BE5-E0314432268A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5 w 89"/>
                <a:gd name="T1" fmla="*/ 0 h 63"/>
                <a:gd name="T2" fmla="*/ 0 w 89"/>
                <a:gd name="T3" fmla="*/ 6 h 63"/>
                <a:gd name="T4" fmla="*/ 89 w 89"/>
                <a:gd name="T5" fmla="*/ 63 h 63"/>
                <a:gd name="T6" fmla="*/ 5 w 89"/>
                <a:gd name="T7" fmla="*/ 0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5" y="0"/>
                  </a:moveTo>
                  <a:lnTo>
                    <a:pt x="0" y="6"/>
                  </a:lnTo>
                  <a:lnTo>
                    <a:pt x="89" y="63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7" name="Freeform 319">
              <a:extLst>
                <a:ext uri="{FF2B5EF4-FFF2-40B4-BE49-F238E27FC236}">
                  <a16:creationId xmlns:a16="http://schemas.microsoft.com/office/drawing/2014/main" id="{2D54A594-6BE5-4FCF-AD71-CCA7195DA410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2"/>
                <a:gd name="T1" fmla="*/ 0 h 57"/>
                <a:gd name="T2" fmla="*/ 0 w 92"/>
                <a:gd name="T3" fmla="*/ 6 h 57"/>
                <a:gd name="T4" fmla="*/ 92 w 92"/>
                <a:gd name="T5" fmla="*/ 57 h 57"/>
                <a:gd name="T6" fmla="*/ 3 w 92"/>
                <a:gd name="T7" fmla="*/ 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3" y="0"/>
                  </a:moveTo>
                  <a:lnTo>
                    <a:pt x="0" y="6"/>
                  </a:lnTo>
                  <a:lnTo>
                    <a:pt x="92" y="57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8" name="Freeform 320">
              <a:extLst>
                <a:ext uri="{FF2B5EF4-FFF2-40B4-BE49-F238E27FC236}">
                  <a16:creationId xmlns:a16="http://schemas.microsoft.com/office/drawing/2014/main" id="{A328D92F-DCCA-4A4B-8459-BC20C460FBDE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96"/>
                <a:gd name="T1" fmla="*/ 0 h 51"/>
                <a:gd name="T2" fmla="*/ 0 w 96"/>
                <a:gd name="T3" fmla="*/ 7 h 51"/>
                <a:gd name="T4" fmla="*/ 96 w 96"/>
                <a:gd name="T5" fmla="*/ 51 h 51"/>
                <a:gd name="T6" fmla="*/ 4 w 96"/>
                <a:gd name="T7" fmla="*/ 0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4" y="0"/>
                  </a:moveTo>
                  <a:lnTo>
                    <a:pt x="0" y="7"/>
                  </a:lnTo>
                  <a:lnTo>
                    <a:pt x="96" y="5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9" name="Freeform 321">
              <a:extLst>
                <a:ext uri="{FF2B5EF4-FFF2-40B4-BE49-F238E27FC236}">
                  <a16:creationId xmlns:a16="http://schemas.microsoft.com/office/drawing/2014/main" id="{0E55FABA-F6D4-48D9-8F99-2C9D20FC00EF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9"/>
                <a:gd name="T1" fmla="*/ 0 h 44"/>
                <a:gd name="T2" fmla="*/ 0 w 99"/>
                <a:gd name="T3" fmla="*/ 7 h 44"/>
                <a:gd name="T4" fmla="*/ 99 w 99"/>
                <a:gd name="T5" fmla="*/ 44 h 44"/>
                <a:gd name="T6" fmla="*/ 3 w 99"/>
                <a:gd name="T7" fmla="*/ 0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3" y="0"/>
                  </a:moveTo>
                  <a:lnTo>
                    <a:pt x="0" y="7"/>
                  </a:lnTo>
                  <a:lnTo>
                    <a:pt x="99" y="44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0" name="Freeform 322">
              <a:extLst>
                <a:ext uri="{FF2B5EF4-FFF2-40B4-BE49-F238E27FC236}">
                  <a16:creationId xmlns:a16="http://schemas.microsoft.com/office/drawing/2014/main" id="{8E6EDE37-F716-4A4A-AEA3-ACF634F19E54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1"/>
                <a:gd name="T1" fmla="*/ 0 h 37"/>
                <a:gd name="T2" fmla="*/ 0 w 101"/>
                <a:gd name="T3" fmla="*/ 7 h 37"/>
                <a:gd name="T4" fmla="*/ 101 w 101"/>
                <a:gd name="T5" fmla="*/ 37 h 37"/>
                <a:gd name="T6" fmla="*/ 2 w 101"/>
                <a:gd name="T7" fmla="*/ 0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2" y="0"/>
                  </a:moveTo>
                  <a:lnTo>
                    <a:pt x="0" y="7"/>
                  </a:lnTo>
                  <a:lnTo>
                    <a:pt x="101" y="37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1" name="Freeform 323">
              <a:extLst>
                <a:ext uri="{FF2B5EF4-FFF2-40B4-BE49-F238E27FC236}">
                  <a16:creationId xmlns:a16="http://schemas.microsoft.com/office/drawing/2014/main" id="{820DD23C-3DBD-4C4B-A218-04A0B7AB1042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3"/>
                <a:gd name="T1" fmla="*/ 0 h 30"/>
                <a:gd name="T2" fmla="*/ 0 w 103"/>
                <a:gd name="T3" fmla="*/ 7 h 30"/>
                <a:gd name="T4" fmla="*/ 103 w 103"/>
                <a:gd name="T5" fmla="*/ 30 h 30"/>
                <a:gd name="T6" fmla="*/ 2 w 103"/>
                <a:gd name="T7" fmla="*/ 0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2" y="0"/>
                  </a:moveTo>
                  <a:lnTo>
                    <a:pt x="0" y="7"/>
                  </a:lnTo>
                  <a:lnTo>
                    <a:pt x="103" y="3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2" name="Freeform 324">
              <a:extLst>
                <a:ext uri="{FF2B5EF4-FFF2-40B4-BE49-F238E27FC236}">
                  <a16:creationId xmlns:a16="http://schemas.microsoft.com/office/drawing/2014/main" id="{52898CDE-DA11-4BEB-97C3-D4FA86CF1D97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1 w 104"/>
                <a:gd name="T1" fmla="*/ 0 h 23"/>
                <a:gd name="T2" fmla="*/ 0 w 104"/>
                <a:gd name="T3" fmla="*/ 8 h 23"/>
                <a:gd name="T4" fmla="*/ 104 w 104"/>
                <a:gd name="T5" fmla="*/ 23 h 23"/>
                <a:gd name="T6" fmla="*/ 1 w 104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" y="0"/>
                  </a:moveTo>
                  <a:lnTo>
                    <a:pt x="0" y="8"/>
                  </a:lnTo>
                  <a:lnTo>
                    <a:pt x="104" y="2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3" name="Freeform 325">
              <a:extLst>
                <a:ext uri="{FF2B5EF4-FFF2-40B4-BE49-F238E27FC236}">
                  <a16:creationId xmlns:a16="http://schemas.microsoft.com/office/drawing/2014/main" id="{995DB01F-57E8-48B6-9873-9A5541AEBBA4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7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7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4" name="Freeform 326">
              <a:extLst>
                <a:ext uri="{FF2B5EF4-FFF2-40B4-BE49-F238E27FC236}">
                  <a16:creationId xmlns:a16="http://schemas.microsoft.com/office/drawing/2014/main" id="{7EDD4DD7-1535-48DF-864E-BAABFCE19CBD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8"/>
                <a:gd name="T2" fmla="*/ 0 w 105"/>
                <a:gd name="T3" fmla="*/ 8 h 8"/>
                <a:gd name="T4" fmla="*/ 105 w 105"/>
                <a:gd name="T5" fmla="*/ 8 h 8"/>
                <a:gd name="T6" fmla="*/ 0 w 105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0" y="0"/>
                  </a:moveTo>
                  <a:lnTo>
                    <a:pt x="0" y="8"/>
                  </a:lnTo>
                  <a:lnTo>
                    <a:pt x="105" y="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5" name="Freeform 327">
              <a:extLst>
                <a:ext uri="{FF2B5EF4-FFF2-40B4-BE49-F238E27FC236}">
                  <a16:creationId xmlns:a16="http://schemas.microsoft.com/office/drawing/2014/main" id="{AFF128E2-4627-4FAE-837C-14226B90289A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6" name="Freeform 328">
              <a:extLst>
                <a:ext uri="{FF2B5EF4-FFF2-40B4-BE49-F238E27FC236}">
                  <a16:creationId xmlns:a16="http://schemas.microsoft.com/office/drawing/2014/main" id="{671BA335-081A-4DE5-9EE3-4265430A1217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7 h 15"/>
                <a:gd name="T2" fmla="*/ 1 w 105"/>
                <a:gd name="T3" fmla="*/ 15 h 15"/>
                <a:gd name="T4" fmla="*/ 105 w 105"/>
                <a:gd name="T5" fmla="*/ 0 h 15"/>
                <a:gd name="T6" fmla="*/ 0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0" y="7"/>
                  </a:moveTo>
                  <a:lnTo>
                    <a:pt x="1" y="15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7" name="Freeform 329">
              <a:extLst>
                <a:ext uri="{FF2B5EF4-FFF2-40B4-BE49-F238E27FC236}">
                  <a16:creationId xmlns:a16="http://schemas.microsoft.com/office/drawing/2014/main" id="{CF2CFB61-43A7-47B9-9D7B-4603B5CA40EB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4"/>
                <a:gd name="T1" fmla="*/ 15 h 22"/>
                <a:gd name="T2" fmla="*/ 1 w 104"/>
                <a:gd name="T3" fmla="*/ 22 h 22"/>
                <a:gd name="T4" fmla="*/ 104 w 104"/>
                <a:gd name="T5" fmla="*/ 0 h 22"/>
                <a:gd name="T6" fmla="*/ 0 w 104"/>
                <a:gd name="T7" fmla="*/ 15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0" y="15"/>
                  </a:moveTo>
                  <a:lnTo>
                    <a:pt x="1" y="22"/>
                  </a:lnTo>
                  <a:lnTo>
                    <a:pt x="104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8" name="Freeform 330">
              <a:extLst>
                <a:ext uri="{FF2B5EF4-FFF2-40B4-BE49-F238E27FC236}">
                  <a16:creationId xmlns:a16="http://schemas.microsoft.com/office/drawing/2014/main" id="{2F272861-02BE-4AB4-B11A-FCAA6DA27026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3"/>
                <a:gd name="T1" fmla="*/ 22 h 29"/>
                <a:gd name="T2" fmla="*/ 2 w 103"/>
                <a:gd name="T3" fmla="*/ 29 h 29"/>
                <a:gd name="T4" fmla="*/ 103 w 103"/>
                <a:gd name="T5" fmla="*/ 0 h 29"/>
                <a:gd name="T6" fmla="*/ 0 w 103"/>
                <a:gd name="T7" fmla="*/ 22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0" y="22"/>
                  </a:moveTo>
                  <a:lnTo>
                    <a:pt x="2" y="29"/>
                  </a:lnTo>
                  <a:lnTo>
                    <a:pt x="103" y="0"/>
                  </a:lnTo>
                  <a:lnTo>
                    <a:pt x="0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9" name="Freeform 331">
              <a:extLst>
                <a:ext uri="{FF2B5EF4-FFF2-40B4-BE49-F238E27FC236}">
                  <a16:creationId xmlns:a16="http://schemas.microsoft.com/office/drawing/2014/main" id="{7D3A85A6-DCA5-40AD-A976-60E9B5484113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1"/>
                <a:gd name="T1" fmla="*/ 29 h 36"/>
                <a:gd name="T2" fmla="*/ 2 w 101"/>
                <a:gd name="T3" fmla="*/ 36 h 36"/>
                <a:gd name="T4" fmla="*/ 101 w 101"/>
                <a:gd name="T5" fmla="*/ 0 h 36"/>
                <a:gd name="T6" fmla="*/ 0 w 101"/>
                <a:gd name="T7" fmla="*/ 29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0" y="29"/>
                  </a:moveTo>
                  <a:lnTo>
                    <a:pt x="2" y="36"/>
                  </a:lnTo>
                  <a:lnTo>
                    <a:pt x="101" y="0"/>
                  </a:lnTo>
                  <a:lnTo>
                    <a:pt x="0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0" name="Freeform 332">
              <a:extLst>
                <a:ext uri="{FF2B5EF4-FFF2-40B4-BE49-F238E27FC236}">
                  <a16:creationId xmlns:a16="http://schemas.microsoft.com/office/drawing/2014/main" id="{473227DF-3DE6-448E-8616-3719DBD8F38B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9"/>
                <a:gd name="T1" fmla="*/ 36 h 43"/>
                <a:gd name="T2" fmla="*/ 3 w 99"/>
                <a:gd name="T3" fmla="*/ 43 h 43"/>
                <a:gd name="T4" fmla="*/ 99 w 99"/>
                <a:gd name="T5" fmla="*/ 0 h 43"/>
                <a:gd name="T6" fmla="*/ 0 w 99"/>
                <a:gd name="T7" fmla="*/ 36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0" y="36"/>
                  </a:moveTo>
                  <a:lnTo>
                    <a:pt x="3" y="43"/>
                  </a:lnTo>
                  <a:lnTo>
                    <a:pt x="99" y="0"/>
                  </a:lnTo>
                  <a:lnTo>
                    <a:pt x="0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1" name="Freeform 333">
              <a:extLst>
                <a:ext uri="{FF2B5EF4-FFF2-40B4-BE49-F238E27FC236}">
                  <a16:creationId xmlns:a16="http://schemas.microsoft.com/office/drawing/2014/main" id="{C894A1C2-382C-4EDA-891E-B91CF52A13D1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6"/>
                <a:gd name="T1" fmla="*/ 43 h 50"/>
                <a:gd name="T2" fmla="*/ 4 w 96"/>
                <a:gd name="T3" fmla="*/ 50 h 50"/>
                <a:gd name="T4" fmla="*/ 96 w 96"/>
                <a:gd name="T5" fmla="*/ 0 h 50"/>
                <a:gd name="T6" fmla="*/ 0 w 96"/>
                <a:gd name="T7" fmla="*/ 43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0" y="43"/>
                  </a:moveTo>
                  <a:lnTo>
                    <a:pt x="4" y="50"/>
                  </a:lnTo>
                  <a:lnTo>
                    <a:pt x="96" y="0"/>
                  </a:lnTo>
                  <a:lnTo>
                    <a:pt x="0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2" name="Freeform 334">
              <a:extLst>
                <a:ext uri="{FF2B5EF4-FFF2-40B4-BE49-F238E27FC236}">
                  <a16:creationId xmlns:a16="http://schemas.microsoft.com/office/drawing/2014/main" id="{37BEB128-166B-4233-B73F-B7DCF726D8A6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2"/>
                <a:gd name="T1" fmla="*/ 50 h 57"/>
                <a:gd name="T2" fmla="*/ 3 w 92"/>
                <a:gd name="T3" fmla="*/ 57 h 57"/>
                <a:gd name="T4" fmla="*/ 92 w 92"/>
                <a:gd name="T5" fmla="*/ 0 h 57"/>
                <a:gd name="T6" fmla="*/ 0 w 92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0" y="50"/>
                  </a:moveTo>
                  <a:lnTo>
                    <a:pt x="3" y="57"/>
                  </a:lnTo>
                  <a:lnTo>
                    <a:pt x="92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3" name="Freeform 335">
              <a:extLst>
                <a:ext uri="{FF2B5EF4-FFF2-40B4-BE49-F238E27FC236}">
                  <a16:creationId xmlns:a16="http://schemas.microsoft.com/office/drawing/2014/main" id="{4D62F165-C230-45C7-AF2A-01A128EB98F6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9"/>
                <a:gd name="T1" fmla="*/ 57 h 63"/>
                <a:gd name="T2" fmla="*/ 5 w 89"/>
                <a:gd name="T3" fmla="*/ 63 h 63"/>
                <a:gd name="T4" fmla="*/ 89 w 89"/>
                <a:gd name="T5" fmla="*/ 0 h 63"/>
                <a:gd name="T6" fmla="*/ 0 w 89"/>
                <a:gd name="T7" fmla="*/ 57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0" y="57"/>
                  </a:moveTo>
                  <a:lnTo>
                    <a:pt x="5" y="63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4" name="Freeform 336">
              <a:extLst>
                <a:ext uri="{FF2B5EF4-FFF2-40B4-BE49-F238E27FC236}">
                  <a16:creationId xmlns:a16="http://schemas.microsoft.com/office/drawing/2014/main" id="{7C05DA47-639B-4FB0-A3E4-9929165BF09C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4"/>
                <a:gd name="T1" fmla="*/ 63 h 69"/>
                <a:gd name="T2" fmla="*/ 4 w 84"/>
                <a:gd name="T3" fmla="*/ 69 h 69"/>
                <a:gd name="T4" fmla="*/ 84 w 84"/>
                <a:gd name="T5" fmla="*/ 0 h 69"/>
                <a:gd name="T6" fmla="*/ 0 w 84"/>
                <a:gd name="T7" fmla="*/ 63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0" y="63"/>
                  </a:moveTo>
                  <a:lnTo>
                    <a:pt x="4" y="69"/>
                  </a:lnTo>
                  <a:lnTo>
                    <a:pt x="84" y="0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5" name="Freeform 337">
              <a:extLst>
                <a:ext uri="{FF2B5EF4-FFF2-40B4-BE49-F238E27FC236}">
                  <a16:creationId xmlns:a16="http://schemas.microsoft.com/office/drawing/2014/main" id="{DBF4FE7F-F80F-4532-983A-6DF9AE9BC628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0"/>
                <a:gd name="T1" fmla="*/ 69 h 74"/>
                <a:gd name="T2" fmla="*/ 6 w 80"/>
                <a:gd name="T3" fmla="*/ 74 h 74"/>
                <a:gd name="T4" fmla="*/ 80 w 80"/>
                <a:gd name="T5" fmla="*/ 0 h 74"/>
                <a:gd name="T6" fmla="*/ 0 w 80"/>
                <a:gd name="T7" fmla="*/ 69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4">
                  <a:moveTo>
                    <a:pt x="0" y="69"/>
                  </a:moveTo>
                  <a:lnTo>
                    <a:pt x="6" y="74"/>
                  </a:lnTo>
                  <a:lnTo>
                    <a:pt x="80" y="0"/>
                  </a:lnTo>
                  <a:lnTo>
                    <a:pt x="0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6" name="Freeform 338">
              <a:extLst>
                <a:ext uri="{FF2B5EF4-FFF2-40B4-BE49-F238E27FC236}">
                  <a16:creationId xmlns:a16="http://schemas.microsoft.com/office/drawing/2014/main" id="{76912171-8DB2-4605-BC88-42D184DCD462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74"/>
                <a:gd name="T1" fmla="*/ 74 h 79"/>
                <a:gd name="T2" fmla="*/ 5 w 74"/>
                <a:gd name="T3" fmla="*/ 79 h 79"/>
                <a:gd name="T4" fmla="*/ 74 w 74"/>
                <a:gd name="T5" fmla="*/ 0 h 79"/>
                <a:gd name="T6" fmla="*/ 0 w 74"/>
                <a:gd name="T7" fmla="*/ 74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0" y="74"/>
                  </a:moveTo>
                  <a:lnTo>
                    <a:pt x="5" y="79"/>
                  </a:lnTo>
                  <a:lnTo>
                    <a:pt x="74" y="0"/>
                  </a:lnTo>
                  <a:lnTo>
                    <a:pt x="0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7" name="Freeform 339">
              <a:extLst>
                <a:ext uri="{FF2B5EF4-FFF2-40B4-BE49-F238E27FC236}">
                  <a16:creationId xmlns:a16="http://schemas.microsoft.com/office/drawing/2014/main" id="{396EDA5A-A57B-4E88-AE9F-4CE20B1FE405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69"/>
                <a:gd name="T1" fmla="*/ 79 h 84"/>
                <a:gd name="T2" fmla="*/ 6 w 69"/>
                <a:gd name="T3" fmla="*/ 84 h 84"/>
                <a:gd name="T4" fmla="*/ 69 w 69"/>
                <a:gd name="T5" fmla="*/ 0 h 84"/>
                <a:gd name="T6" fmla="*/ 0 w 69"/>
                <a:gd name="T7" fmla="*/ 79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0" y="79"/>
                  </a:moveTo>
                  <a:lnTo>
                    <a:pt x="6" y="84"/>
                  </a:lnTo>
                  <a:lnTo>
                    <a:pt x="69" y="0"/>
                  </a:lnTo>
                  <a:lnTo>
                    <a:pt x="0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8" name="Freeform 340">
              <a:extLst>
                <a:ext uri="{FF2B5EF4-FFF2-40B4-BE49-F238E27FC236}">
                  <a16:creationId xmlns:a16="http://schemas.microsoft.com/office/drawing/2014/main" id="{27476404-468D-4D91-80C7-FB670C1FE787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63"/>
                <a:gd name="T1" fmla="*/ 84 h 88"/>
                <a:gd name="T2" fmla="*/ 6 w 63"/>
                <a:gd name="T3" fmla="*/ 88 h 88"/>
                <a:gd name="T4" fmla="*/ 63 w 63"/>
                <a:gd name="T5" fmla="*/ 0 h 88"/>
                <a:gd name="T6" fmla="*/ 0 w 63"/>
                <a:gd name="T7" fmla="*/ 84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0" y="84"/>
                  </a:moveTo>
                  <a:lnTo>
                    <a:pt x="6" y="88"/>
                  </a:lnTo>
                  <a:lnTo>
                    <a:pt x="63" y="0"/>
                  </a:lnTo>
                  <a:lnTo>
                    <a:pt x="0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9" name="Freeform 341">
              <a:extLst>
                <a:ext uri="{FF2B5EF4-FFF2-40B4-BE49-F238E27FC236}">
                  <a16:creationId xmlns:a16="http://schemas.microsoft.com/office/drawing/2014/main" id="{B6A693CB-5ABB-4B25-BBD4-040E687A70E0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7"/>
                <a:gd name="T1" fmla="*/ 88 h 92"/>
                <a:gd name="T2" fmla="*/ 7 w 57"/>
                <a:gd name="T3" fmla="*/ 92 h 92"/>
                <a:gd name="T4" fmla="*/ 57 w 57"/>
                <a:gd name="T5" fmla="*/ 0 h 92"/>
                <a:gd name="T6" fmla="*/ 0 w 57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0" y="88"/>
                  </a:moveTo>
                  <a:lnTo>
                    <a:pt x="7" y="92"/>
                  </a:lnTo>
                  <a:lnTo>
                    <a:pt x="57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0" name="Freeform 342">
              <a:extLst>
                <a:ext uri="{FF2B5EF4-FFF2-40B4-BE49-F238E27FC236}">
                  <a16:creationId xmlns:a16="http://schemas.microsoft.com/office/drawing/2014/main" id="{31BA8D2C-D5EE-4179-88C2-ADB9A922F487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0"/>
                <a:gd name="T1" fmla="*/ 92 h 95"/>
                <a:gd name="T2" fmla="*/ 6 w 50"/>
                <a:gd name="T3" fmla="*/ 95 h 95"/>
                <a:gd name="T4" fmla="*/ 50 w 50"/>
                <a:gd name="T5" fmla="*/ 0 h 95"/>
                <a:gd name="T6" fmla="*/ 0 w 50"/>
                <a:gd name="T7" fmla="*/ 92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0" y="92"/>
                  </a:moveTo>
                  <a:lnTo>
                    <a:pt x="6" y="95"/>
                  </a:lnTo>
                  <a:lnTo>
                    <a:pt x="50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1" name="Freeform 343">
              <a:extLst>
                <a:ext uri="{FF2B5EF4-FFF2-40B4-BE49-F238E27FC236}">
                  <a16:creationId xmlns:a16="http://schemas.microsoft.com/office/drawing/2014/main" id="{77344DE9-352F-4C10-8A5B-51FCAB3AA99E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44"/>
                <a:gd name="T1" fmla="*/ 95 h 98"/>
                <a:gd name="T2" fmla="*/ 7 w 44"/>
                <a:gd name="T3" fmla="*/ 98 h 98"/>
                <a:gd name="T4" fmla="*/ 44 w 44"/>
                <a:gd name="T5" fmla="*/ 0 h 98"/>
                <a:gd name="T6" fmla="*/ 0 w 44"/>
                <a:gd name="T7" fmla="*/ 95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0" y="95"/>
                  </a:moveTo>
                  <a:lnTo>
                    <a:pt x="7" y="98"/>
                  </a:lnTo>
                  <a:lnTo>
                    <a:pt x="44" y="0"/>
                  </a:lnTo>
                  <a:lnTo>
                    <a:pt x="0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2" name="Freeform 344">
              <a:extLst>
                <a:ext uri="{FF2B5EF4-FFF2-40B4-BE49-F238E27FC236}">
                  <a16:creationId xmlns:a16="http://schemas.microsoft.com/office/drawing/2014/main" id="{06CF16D0-1747-40F9-99D5-4220EF5A6E5C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7"/>
                <a:gd name="T1" fmla="*/ 98 h 101"/>
                <a:gd name="T2" fmla="*/ 7 w 37"/>
                <a:gd name="T3" fmla="*/ 101 h 101"/>
                <a:gd name="T4" fmla="*/ 37 w 37"/>
                <a:gd name="T5" fmla="*/ 0 h 101"/>
                <a:gd name="T6" fmla="*/ 0 w 37"/>
                <a:gd name="T7" fmla="*/ 98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0" y="98"/>
                  </a:moveTo>
                  <a:lnTo>
                    <a:pt x="7" y="101"/>
                  </a:lnTo>
                  <a:lnTo>
                    <a:pt x="37" y="0"/>
                  </a:lnTo>
                  <a:lnTo>
                    <a:pt x="0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3" name="Freeform 345">
              <a:extLst>
                <a:ext uri="{FF2B5EF4-FFF2-40B4-BE49-F238E27FC236}">
                  <a16:creationId xmlns:a16="http://schemas.microsoft.com/office/drawing/2014/main" id="{C0A52D6B-BD2B-46C4-81DB-39FA9B246B99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0"/>
                <a:gd name="T1" fmla="*/ 101 h 103"/>
                <a:gd name="T2" fmla="*/ 8 w 30"/>
                <a:gd name="T3" fmla="*/ 103 h 103"/>
                <a:gd name="T4" fmla="*/ 30 w 30"/>
                <a:gd name="T5" fmla="*/ 0 h 103"/>
                <a:gd name="T6" fmla="*/ 0 w 30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0" y="101"/>
                  </a:moveTo>
                  <a:lnTo>
                    <a:pt x="8" y="103"/>
                  </a:lnTo>
                  <a:lnTo>
                    <a:pt x="30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4" name="Freeform 346">
              <a:extLst>
                <a:ext uri="{FF2B5EF4-FFF2-40B4-BE49-F238E27FC236}">
                  <a16:creationId xmlns:a16="http://schemas.microsoft.com/office/drawing/2014/main" id="{A5EC8216-77F3-4BBC-9BBB-6D476B092485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22"/>
                <a:gd name="T1" fmla="*/ 103 h 104"/>
                <a:gd name="T2" fmla="*/ 7 w 22"/>
                <a:gd name="T3" fmla="*/ 104 h 104"/>
                <a:gd name="T4" fmla="*/ 22 w 22"/>
                <a:gd name="T5" fmla="*/ 0 h 104"/>
                <a:gd name="T6" fmla="*/ 0 w 22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0" y="103"/>
                  </a:moveTo>
                  <a:lnTo>
                    <a:pt x="7" y="104"/>
                  </a:lnTo>
                  <a:lnTo>
                    <a:pt x="22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5" name="Freeform 347">
              <a:extLst>
                <a:ext uri="{FF2B5EF4-FFF2-40B4-BE49-F238E27FC236}">
                  <a16:creationId xmlns:a16="http://schemas.microsoft.com/office/drawing/2014/main" id="{2C8FE924-6674-45E3-9A33-E8FDC9709E92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15"/>
                <a:gd name="T1" fmla="*/ 104 h 105"/>
                <a:gd name="T2" fmla="*/ 7 w 15"/>
                <a:gd name="T3" fmla="*/ 105 h 105"/>
                <a:gd name="T4" fmla="*/ 15 w 15"/>
                <a:gd name="T5" fmla="*/ 0 h 105"/>
                <a:gd name="T6" fmla="*/ 0 w 15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0" y="104"/>
                  </a:moveTo>
                  <a:lnTo>
                    <a:pt x="7" y="105"/>
                  </a:lnTo>
                  <a:lnTo>
                    <a:pt x="15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6" name="Freeform 348">
              <a:extLst>
                <a:ext uri="{FF2B5EF4-FFF2-40B4-BE49-F238E27FC236}">
                  <a16:creationId xmlns:a16="http://schemas.microsoft.com/office/drawing/2014/main" id="{1B04F5E3-3FB9-4838-8039-C4BCF329560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8"/>
                <a:gd name="T1" fmla="*/ 105 h 105"/>
                <a:gd name="T2" fmla="*/ 8 w 8"/>
                <a:gd name="T3" fmla="*/ 105 h 105"/>
                <a:gd name="T4" fmla="*/ 8 w 8"/>
                <a:gd name="T5" fmla="*/ 0 h 105"/>
                <a:gd name="T6" fmla="*/ 0 w 8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5">
                  <a:moveTo>
                    <a:pt x="0" y="105"/>
                  </a:moveTo>
                  <a:lnTo>
                    <a:pt x="8" y="105"/>
                  </a:lnTo>
                  <a:lnTo>
                    <a:pt x="8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7" name="Freeform 349">
              <a:extLst>
                <a:ext uri="{FF2B5EF4-FFF2-40B4-BE49-F238E27FC236}">
                  <a16:creationId xmlns:a16="http://schemas.microsoft.com/office/drawing/2014/main" id="{25093B22-C066-4298-AC10-D63FF5662D7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8" name="Freeform 350">
              <a:extLst>
                <a:ext uri="{FF2B5EF4-FFF2-40B4-BE49-F238E27FC236}">
                  <a16:creationId xmlns:a16="http://schemas.microsoft.com/office/drawing/2014/main" id="{C84B8EFD-D290-4DDF-935E-E2D3519CEA6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9" name="Freeform 351">
              <a:extLst>
                <a:ext uri="{FF2B5EF4-FFF2-40B4-BE49-F238E27FC236}">
                  <a16:creationId xmlns:a16="http://schemas.microsoft.com/office/drawing/2014/main" id="{B59658BE-BC47-4D41-AD11-B4D20E055FE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0" name="Freeform 352">
              <a:extLst>
                <a:ext uri="{FF2B5EF4-FFF2-40B4-BE49-F238E27FC236}">
                  <a16:creationId xmlns:a16="http://schemas.microsoft.com/office/drawing/2014/main" id="{32949932-32CC-4032-9DBB-AC64CDE7AF2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22 w 30"/>
                <a:gd name="T1" fmla="*/ 103 h 103"/>
                <a:gd name="T2" fmla="*/ 30 w 30"/>
                <a:gd name="T3" fmla="*/ 101 h 103"/>
                <a:gd name="T4" fmla="*/ 0 w 30"/>
                <a:gd name="T5" fmla="*/ 0 h 103"/>
                <a:gd name="T6" fmla="*/ 22 w 30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22" y="103"/>
                  </a:moveTo>
                  <a:lnTo>
                    <a:pt x="30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1" name="Freeform 353">
              <a:extLst>
                <a:ext uri="{FF2B5EF4-FFF2-40B4-BE49-F238E27FC236}">
                  <a16:creationId xmlns:a16="http://schemas.microsoft.com/office/drawing/2014/main" id="{E99D007C-ADFD-4C5B-BBD8-581E41BBFBD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0 w 37"/>
                <a:gd name="T1" fmla="*/ 101 h 101"/>
                <a:gd name="T2" fmla="*/ 37 w 37"/>
                <a:gd name="T3" fmla="*/ 98 h 101"/>
                <a:gd name="T4" fmla="*/ 0 w 37"/>
                <a:gd name="T5" fmla="*/ 0 h 101"/>
                <a:gd name="T6" fmla="*/ 30 w 37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0" y="101"/>
                  </a:moveTo>
                  <a:lnTo>
                    <a:pt x="37" y="98"/>
                  </a:lnTo>
                  <a:lnTo>
                    <a:pt x="0" y="0"/>
                  </a:lnTo>
                  <a:lnTo>
                    <a:pt x="3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2" name="Freeform 354">
              <a:extLst>
                <a:ext uri="{FF2B5EF4-FFF2-40B4-BE49-F238E27FC236}">
                  <a16:creationId xmlns:a16="http://schemas.microsoft.com/office/drawing/2014/main" id="{6B3520F4-D1E1-4718-92F2-173E7535104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7 w 44"/>
                <a:gd name="T1" fmla="*/ 98 h 98"/>
                <a:gd name="T2" fmla="*/ 44 w 44"/>
                <a:gd name="T3" fmla="*/ 95 h 98"/>
                <a:gd name="T4" fmla="*/ 0 w 44"/>
                <a:gd name="T5" fmla="*/ 0 h 98"/>
                <a:gd name="T6" fmla="*/ 37 w 44"/>
                <a:gd name="T7" fmla="*/ 98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37" y="98"/>
                  </a:moveTo>
                  <a:lnTo>
                    <a:pt x="44" y="95"/>
                  </a:lnTo>
                  <a:lnTo>
                    <a:pt x="0" y="0"/>
                  </a:lnTo>
                  <a:lnTo>
                    <a:pt x="37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3" name="Freeform 355">
              <a:extLst>
                <a:ext uri="{FF2B5EF4-FFF2-40B4-BE49-F238E27FC236}">
                  <a16:creationId xmlns:a16="http://schemas.microsoft.com/office/drawing/2014/main" id="{C80E849C-5F83-48BF-AD68-C5C681BB92D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1"/>
            </a:xfrm>
            <a:custGeom>
              <a:avLst/>
              <a:gdLst>
                <a:gd name="T0" fmla="*/ 44 w 50"/>
                <a:gd name="T1" fmla="*/ 95 h 95"/>
                <a:gd name="T2" fmla="*/ 50 w 50"/>
                <a:gd name="T3" fmla="*/ 92 h 95"/>
                <a:gd name="T4" fmla="*/ 0 w 50"/>
                <a:gd name="T5" fmla="*/ 0 h 95"/>
                <a:gd name="T6" fmla="*/ 44 w 50"/>
                <a:gd name="T7" fmla="*/ 95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44" y="95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4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4" name="Freeform 356">
              <a:extLst>
                <a:ext uri="{FF2B5EF4-FFF2-40B4-BE49-F238E27FC236}">
                  <a16:creationId xmlns:a16="http://schemas.microsoft.com/office/drawing/2014/main" id="{1596AC33-CA0A-43E5-82C4-D172BD29E7C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0 w 57"/>
                <a:gd name="T1" fmla="*/ 92 h 92"/>
                <a:gd name="T2" fmla="*/ 57 w 57"/>
                <a:gd name="T3" fmla="*/ 88 h 92"/>
                <a:gd name="T4" fmla="*/ 0 w 57"/>
                <a:gd name="T5" fmla="*/ 0 h 92"/>
                <a:gd name="T6" fmla="*/ 50 w 57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50" y="92"/>
                  </a:moveTo>
                  <a:lnTo>
                    <a:pt x="57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5" name="Freeform 357">
              <a:extLst>
                <a:ext uri="{FF2B5EF4-FFF2-40B4-BE49-F238E27FC236}">
                  <a16:creationId xmlns:a16="http://schemas.microsoft.com/office/drawing/2014/main" id="{7F9A3947-72E3-4282-BA3A-9C6B8790147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7 w 63"/>
                <a:gd name="T1" fmla="*/ 88 h 88"/>
                <a:gd name="T2" fmla="*/ 63 w 63"/>
                <a:gd name="T3" fmla="*/ 84 h 88"/>
                <a:gd name="T4" fmla="*/ 0 w 63"/>
                <a:gd name="T5" fmla="*/ 0 h 88"/>
                <a:gd name="T6" fmla="*/ 57 w 63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57" y="88"/>
                  </a:moveTo>
                  <a:lnTo>
                    <a:pt x="63" y="84"/>
                  </a:lnTo>
                  <a:lnTo>
                    <a:pt x="0" y="0"/>
                  </a:lnTo>
                  <a:lnTo>
                    <a:pt x="57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6" name="Freeform 358">
              <a:extLst>
                <a:ext uri="{FF2B5EF4-FFF2-40B4-BE49-F238E27FC236}">
                  <a16:creationId xmlns:a16="http://schemas.microsoft.com/office/drawing/2014/main" id="{3F0FF95F-0A2C-440F-917F-01B8BA162F6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3 w 69"/>
                <a:gd name="T1" fmla="*/ 84 h 84"/>
                <a:gd name="T2" fmla="*/ 69 w 69"/>
                <a:gd name="T3" fmla="*/ 79 h 84"/>
                <a:gd name="T4" fmla="*/ 0 w 69"/>
                <a:gd name="T5" fmla="*/ 0 h 84"/>
                <a:gd name="T6" fmla="*/ 63 w 69"/>
                <a:gd name="T7" fmla="*/ 84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63" y="84"/>
                  </a:moveTo>
                  <a:lnTo>
                    <a:pt x="69" y="79"/>
                  </a:lnTo>
                  <a:lnTo>
                    <a:pt x="0" y="0"/>
                  </a:lnTo>
                  <a:lnTo>
                    <a:pt x="63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7" name="Freeform 359">
              <a:extLst>
                <a:ext uri="{FF2B5EF4-FFF2-40B4-BE49-F238E27FC236}">
                  <a16:creationId xmlns:a16="http://schemas.microsoft.com/office/drawing/2014/main" id="{CBD4F263-8AD5-4654-A1DF-A6F3D1248D8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9 w 74"/>
                <a:gd name="T1" fmla="*/ 79 h 79"/>
                <a:gd name="T2" fmla="*/ 74 w 74"/>
                <a:gd name="T3" fmla="*/ 74 h 79"/>
                <a:gd name="T4" fmla="*/ 0 w 74"/>
                <a:gd name="T5" fmla="*/ 0 h 79"/>
                <a:gd name="T6" fmla="*/ 69 w 74"/>
                <a:gd name="T7" fmla="*/ 79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69" y="79"/>
                  </a:moveTo>
                  <a:lnTo>
                    <a:pt x="74" y="74"/>
                  </a:lnTo>
                  <a:lnTo>
                    <a:pt x="0" y="0"/>
                  </a:lnTo>
                  <a:lnTo>
                    <a:pt x="69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8" name="Freeform 360">
              <a:extLst>
                <a:ext uri="{FF2B5EF4-FFF2-40B4-BE49-F238E27FC236}">
                  <a16:creationId xmlns:a16="http://schemas.microsoft.com/office/drawing/2014/main" id="{DA9320EC-D047-40B2-8051-6192A7DED663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4 w 79"/>
                <a:gd name="T1" fmla="*/ 74 h 74"/>
                <a:gd name="T2" fmla="*/ 79 w 79"/>
                <a:gd name="T3" fmla="*/ 69 h 74"/>
                <a:gd name="T4" fmla="*/ 0 w 79"/>
                <a:gd name="T5" fmla="*/ 0 h 74"/>
                <a:gd name="T6" fmla="*/ 74 w 79"/>
                <a:gd name="T7" fmla="*/ 74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4">
                  <a:moveTo>
                    <a:pt x="74" y="74"/>
                  </a:moveTo>
                  <a:lnTo>
                    <a:pt x="79" y="69"/>
                  </a:lnTo>
                  <a:lnTo>
                    <a:pt x="0" y="0"/>
                  </a:lnTo>
                  <a:lnTo>
                    <a:pt x="74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9" name="Freeform 361">
              <a:extLst>
                <a:ext uri="{FF2B5EF4-FFF2-40B4-BE49-F238E27FC236}">
                  <a16:creationId xmlns:a16="http://schemas.microsoft.com/office/drawing/2014/main" id="{E079D3DA-205A-45E3-802D-19D95672CCF8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9 w 84"/>
                <a:gd name="T1" fmla="*/ 69 h 69"/>
                <a:gd name="T2" fmla="*/ 84 w 84"/>
                <a:gd name="T3" fmla="*/ 63 h 69"/>
                <a:gd name="T4" fmla="*/ 0 w 84"/>
                <a:gd name="T5" fmla="*/ 0 h 69"/>
                <a:gd name="T6" fmla="*/ 79 w 84"/>
                <a:gd name="T7" fmla="*/ 69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79" y="69"/>
                  </a:moveTo>
                  <a:lnTo>
                    <a:pt x="84" y="63"/>
                  </a:lnTo>
                  <a:lnTo>
                    <a:pt x="0" y="0"/>
                  </a:lnTo>
                  <a:lnTo>
                    <a:pt x="79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0" name="Freeform 362">
              <a:extLst>
                <a:ext uri="{FF2B5EF4-FFF2-40B4-BE49-F238E27FC236}">
                  <a16:creationId xmlns:a16="http://schemas.microsoft.com/office/drawing/2014/main" id="{75CA5084-4287-4D22-AEB2-E5620127852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4 w 88"/>
                <a:gd name="T1" fmla="*/ 63 h 63"/>
                <a:gd name="T2" fmla="*/ 88 w 88"/>
                <a:gd name="T3" fmla="*/ 57 h 63"/>
                <a:gd name="T4" fmla="*/ 0 w 88"/>
                <a:gd name="T5" fmla="*/ 0 h 63"/>
                <a:gd name="T6" fmla="*/ 84 w 88"/>
                <a:gd name="T7" fmla="*/ 63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4" y="63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4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1" name="Freeform 363">
              <a:extLst>
                <a:ext uri="{FF2B5EF4-FFF2-40B4-BE49-F238E27FC236}">
                  <a16:creationId xmlns:a16="http://schemas.microsoft.com/office/drawing/2014/main" id="{8A1377AE-5BDC-4612-A5BC-3E7D89C3AA4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8 w 92"/>
                <a:gd name="T1" fmla="*/ 57 h 57"/>
                <a:gd name="T2" fmla="*/ 92 w 92"/>
                <a:gd name="T3" fmla="*/ 50 h 57"/>
                <a:gd name="T4" fmla="*/ 0 w 92"/>
                <a:gd name="T5" fmla="*/ 0 h 57"/>
                <a:gd name="T6" fmla="*/ 88 w 92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88" y="57"/>
                  </a:moveTo>
                  <a:lnTo>
                    <a:pt x="92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2" name="Freeform 364">
              <a:extLst>
                <a:ext uri="{FF2B5EF4-FFF2-40B4-BE49-F238E27FC236}">
                  <a16:creationId xmlns:a16="http://schemas.microsoft.com/office/drawing/2014/main" id="{BB7C6A5E-567B-43B9-AD93-70A02909C55A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2 w 96"/>
                <a:gd name="T1" fmla="*/ 50 h 50"/>
                <a:gd name="T2" fmla="*/ 96 w 96"/>
                <a:gd name="T3" fmla="*/ 43 h 50"/>
                <a:gd name="T4" fmla="*/ 0 w 96"/>
                <a:gd name="T5" fmla="*/ 0 h 50"/>
                <a:gd name="T6" fmla="*/ 92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2" y="50"/>
                  </a:moveTo>
                  <a:lnTo>
                    <a:pt x="96" y="43"/>
                  </a:lnTo>
                  <a:lnTo>
                    <a:pt x="0" y="0"/>
                  </a:lnTo>
                  <a:lnTo>
                    <a:pt x="92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3" name="Freeform 365">
              <a:extLst>
                <a:ext uri="{FF2B5EF4-FFF2-40B4-BE49-F238E27FC236}">
                  <a16:creationId xmlns:a16="http://schemas.microsoft.com/office/drawing/2014/main" id="{41B51608-AB67-44C9-BCCF-2F41149E876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6 w 99"/>
                <a:gd name="T1" fmla="*/ 43 h 43"/>
                <a:gd name="T2" fmla="*/ 99 w 99"/>
                <a:gd name="T3" fmla="*/ 36 h 43"/>
                <a:gd name="T4" fmla="*/ 0 w 99"/>
                <a:gd name="T5" fmla="*/ 0 h 43"/>
                <a:gd name="T6" fmla="*/ 96 w 99"/>
                <a:gd name="T7" fmla="*/ 43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6" y="43"/>
                  </a:moveTo>
                  <a:lnTo>
                    <a:pt x="99" y="36"/>
                  </a:lnTo>
                  <a:lnTo>
                    <a:pt x="0" y="0"/>
                  </a:lnTo>
                  <a:lnTo>
                    <a:pt x="96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4" name="Freeform 366">
              <a:extLst>
                <a:ext uri="{FF2B5EF4-FFF2-40B4-BE49-F238E27FC236}">
                  <a16:creationId xmlns:a16="http://schemas.microsoft.com/office/drawing/2014/main" id="{402ED29A-BAE5-40F7-B8E5-7EE111A539C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99 w 101"/>
                <a:gd name="T1" fmla="*/ 36 h 36"/>
                <a:gd name="T2" fmla="*/ 101 w 101"/>
                <a:gd name="T3" fmla="*/ 29 h 36"/>
                <a:gd name="T4" fmla="*/ 0 w 101"/>
                <a:gd name="T5" fmla="*/ 0 h 36"/>
                <a:gd name="T6" fmla="*/ 99 w 101"/>
                <a:gd name="T7" fmla="*/ 36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99" y="36"/>
                  </a:moveTo>
                  <a:lnTo>
                    <a:pt x="101" y="29"/>
                  </a:lnTo>
                  <a:lnTo>
                    <a:pt x="0" y="0"/>
                  </a:lnTo>
                  <a:lnTo>
                    <a:pt x="99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5" name="Freeform 367">
              <a:extLst>
                <a:ext uri="{FF2B5EF4-FFF2-40B4-BE49-F238E27FC236}">
                  <a16:creationId xmlns:a16="http://schemas.microsoft.com/office/drawing/2014/main" id="{188B9B98-9D94-4FDD-A0EA-F09D9B41706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1 w 103"/>
                <a:gd name="T1" fmla="*/ 29 h 29"/>
                <a:gd name="T2" fmla="*/ 103 w 103"/>
                <a:gd name="T3" fmla="*/ 22 h 29"/>
                <a:gd name="T4" fmla="*/ 0 w 103"/>
                <a:gd name="T5" fmla="*/ 0 h 29"/>
                <a:gd name="T6" fmla="*/ 101 w 103"/>
                <a:gd name="T7" fmla="*/ 29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1" y="29"/>
                  </a:moveTo>
                  <a:lnTo>
                    <a:pt x="103" y="22"/>
                  </a:lnTo>
                  <a:lnTo>
                    <a:pt x="0" y="0"/>
                  </a:lnTo>
                  <a:lnTo>
                    <a:pt x="101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6" name="Freeform 368">
              <a:extLst>
                <a:ext uri="{FF2B5EF4-FFF2-40B4-BE49-F238E27FC236}">
                  <a16:creationId xmlns:a16="http://schemas.microsoft.com/office/drawing/2014/main" id="{9DE80F33-B486-4314-A539-3FED8694958A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3 w 104"/>
                <a:gd name="T1" fmla="*/ 22 h 22"/>
                <a:gd name="T2" fmla="*/ 104 w 104"/>
                <a:gd name="T3" fmla="*/ 15 h 22"/>
                <a:gd name="T4" fmla="*/ 0 w 104"/>
                <a:gd name="T5" fmla="*/ 0 h 22"/>
                <a:gd name="T6" fmla="*/ 103 w 104"/>
                <a:gd name="T7" fmla="*/ 22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3" y="22"/>
                  </a:moveTo>
                  <a:lnTo>
                    <a:pt x="104" y="15"/>
                  </a:lnTo>
                  <a:lnTo>
                    <a:pt x="0" y="0"/>
                  </a:lnTo>
                  <a:lnTo>
                    <a:pt x="103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7" name="Freeform 369">
              <a:extLst>
                <a:ext uri="{FF2B5EF4-FFF2-40B4-BE49-F238E27FC236}">
                  <a16:creationId xmlns:a16="http://schemas.microsoft.com/office/drawing/2014/main" id="{4414B690-8258-49EC-BD2D-60784E32876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4 w 105"/>
                <a:gd name="T1" fmla="*/ 15 h 15"/>
                <a:gd name="T2" fmla="*/ 105 w 105"/>
                <a:gd name="T3" fmla="*/ 7 h 15"/>
                <a:gd name="T4" fmla="*/ 0 w 105"/>
                <a:gd name="T5" fmla="*/ 0 h 15"/>
                <a:gd name="T6" fmla="*/ 104 w 105"/>
                <a:gd name="T7" fmla="*/ 15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4" y="15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8" name="Freeform 370">
              <a:extLst>
                <a:ext uri="{FF2B5EF4-FFF2-40B4-BE49-F238E27FC236}">
                  <a16:creationId xmlns:a16="http://schemas.microsoft.com/office/drawing/2014/main" id="{98FEFFE9-757B-4CB5-92E9-031B1324BC2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9" name="Freeform 371">
              <a:extLst>
                <a:ext uri="{FF2B5EF4-FFF2-40B4-BE49-F238E27FC236}">
                  <a16:creationId xmlns:a16="http://schemas.microsoft.com/office/drawing/2014/main" id="{36DA1272-7B6F-49FB-ABBE-047BCF4B0DAB}"/>
                </a:ext>
              </a:extLst>
            </xdr:cNvPr>
            <xdr:cNvSpPr>
              <a:spLocks/>
            </xdr:cNvSpPr>
          </xdr:nvSpPr>
          <xdr:spPr bwMode="auto">
            <a:xfrm>
              <a:off x="1095" y="188"/>
              <a:ext cx="6" cy="9"/>
            </a:xfrm>
            <a:custGeom>
              <a:avLst/>
              <a:gdLst>
                <a:gd name="T0" fmla="*/ 0 w 352"/>
                <a:gd name="T1" fmla="*/ 526 h 526"/>
                <a:gd name="T2" fmla="*/ 0 w 352"/>
                <a:gd name="T3" fmla="*/ 0 h 526"/>
                <a:gd name="T4" fmla="*/ 264 w 352"/>
                <a:gd name="T5" fmla="*/ 0 h 526"/>
                <a:gd name="T6" fmla="*/ 352 w 352"/>
                <a:gd name="T7" fmla="*/ 88 h 526"/>
                <a:gd name="T8" fmla="*/ 352 w 352"/>
                <a:gd name="T9" fmla="*/ 175 h 526"/>
                <a:gd name="T10" fmla="*/ 264 w 352"/>
                <a:gd name="T11" fmla="*/ 263 h 526"/>
                <a:gd name="T12" fmla="*/ 0 w 352"/>
                <a:gd name="T13" fmla="*/ 263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352" h="526">
                  <a:moveTo>
                    <a:pt x="0" y="526"/>
                  </a:moveTo>
                  <a:lnTo>
                    <a:pt x="0" y="0"/>
                  </a:lnTo>
                  <a:lnTo>
                    <a:pt x="264" y="0"/>
                  </a:lnTo>
                  <a:lnTo>
                    <a:pt x="352" y="88"/>
                  </a:lnTo>
                  <a:lnTo>
                    <a:pt x="352" y="175"/>
                  </a:lnTo>
                  <a:lnTo>
                    <a:pt x="264" y="263"/>
                  </a:lnTo>
                  <a:lnTo>
                    <a:pt x="0" y="263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0" name="Freeform 372">
              <a:extLst>
                <a:ext uri="{FF2B5EF4-FFF2-40B4-BE49-F238E27FC236}">
                  <a16:creationId xmlns:a16="http://schemas.microsoft.com/office/drawing/2014/main" id="{D4C709AB-905E-4920-ADD5-5EE5A299F606}"/>
                </a:ext>
              </a:extLst>
            </xdr:cNvPr>
            <xdr:cNvSpPr>
              <a:spLocks/>
            </xdr:cNvSpPr>
          </xdr:nvSpPr>
          <xdr:spPr bwMode="auto">
            <a:xfrm>
              <a:off x="1104" y="191"/>
              <a:ext cx="6" cy="6"/>
            </a:xfrm>
            <a:custGeom>
              <a:avLst/>
              <a:gdLst>
                <a:gd name="T0" fmla="*/ 351 w 351"/>
                <a:gd name="T1" fmla="*/ 0 h 351"/>
                <a:gd name="T2" fmla="*/ 88 w 351"/>
                <a:gd name="T3" fmla="*/ 0 h 351"/>
                <a:gd name="T4" fmla="*/ 0 w 351"/>
                <a:gd name="T5" fmla="*/ 88 h 351"/>
                <a:gd name="T6" fmla="*/ 0 w 351"/>
                <a:gd name="T7" fmla="*/ 264 h 351"/>
                <a:gd name="T8" fmla="*/ 88 w 351"/>
                <a:gd name="T9" fmla="*/ 351 h 351"/>
                <a:gd name="T10" fmla="*/ 351 w 351"/>
                <a:gd name="T11" fmla="*/ 351 h 3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351">
                  <a:moveTo>
                    <a:pt x="351" y="0"/>
                  </a:moveTo>
                  <a:lnTo>
                    <a:pt x="88" y="0"/>
                  </a:lnTo>
                  <a:lnTo>
                    <a:pt x="0" y="88"/>
                  </a:lnTo>
                  <a:lnTo>
                    <a:pt x="0" y="264"/>
                  </a:lnTo>
                  <a:lnTo>
                    <a:pt x="88" y="351"/>
                  </a:lnTo>
                  <a:lnTo>
                    <a:pt x="351" y="351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1" name="Freeform 373">
              <a:extLst>
                <a:ext uri="{FF2B5EF4-FFF2-40B4-BE49-F238E27FC236}">
                  <a16:creationId xmlns:a16="http://schemas.microsoft.com/office/drawing/2014/main" id="{C0C74BDA-9663-42D4-B169-23B4D44357B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9"/>
                <a:gd name="T2" fmla="*/ 105 w 105"/>
                <a:gd name="T3" fmla="*/ 0 h 9"/>
                <a:gd name="T4" fmla="*/ 0 w 105"/>
                <a:gd name="T5" fmla="*/ 9 h 9"/>
                <a:gd name="T6" fmla="*/ 105 w 105"/>
                <a:gd name="T7" fmla="*/ 9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9">
                  <a:moveTo>
                    <a:pt x="105" y="9"/>
                  </a:moveTo>
                  <a:lnTo>
                    <a:pt x="105" y="0"/>
                  </a:lnTo>
                  <a:lnTo>
                    <a:pt x="0" y="9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2" name="Freeform 374">
              <a:extLst>
                <a:ext uri="{FF2B5EF4-FFF2-40B4-BE49-F238E27FC236}">
                  <a16:creationId xmlns:a16="http://schemas.microsoft.com/office/drawing/2014/main" id="{05C1F146-DFE7-4CFE-9ED7-B1E3ADFAF54A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18"/>
                <a:gd name="T2" fmla="*/ 104 w 105"/>
                <a:gd name="T3" fmla="*/ 0 h 18"/>
                <a:gd name="T4" fmla="*/ 0 w 105"/>
                <a:gd name="T5" fmla="*/ 18 h 18"/>
                <a:gd name="T6" fmla="*/ 105 w 105"/>
                <a:gd name="T7" fmla="*/ 9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8">
                  <a:moveTo>
                    <a:pt x="105" y="9"/>
                  </a:moveTo>
                  <a:lnTo>
                    <a:pt x="104" y="0"/>
                  </a:lnTo>
                  <a:lnTo>
                    <a:pt x="0" y="18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3" name="Freeform 375">
              <a:extLst>
                <a:ext uri="{FF2B5EF4-FFF2-40B4-BE49-F238E27FC236}">
                  <a16:creationId xmlns:a16="http://schemas.microsoft.com/office/drawing/2014/main" id="{B2F50AFB-748C-4436-A4A1-1C8D88E48CC5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4 w 104"/>
                <a:gd name="T1" fmla="*/ 8 h 26"/>
                <a:gd name="T2" fmla="*/ 102 w 104"/>
                <a:gd name="T3" fmla="*/ 0 h 26"/>
                <a:gd name="T4" fmla="*/ 0 w 104"/>
                <a:gd name="T5" fmla="*/ 26 h 26"/>
                <a:gd name="T6" fmla="*/ 104 w 104"/>
                <a:gd name="T7" fmla="*/ 8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4" y="8"/>
                  </a:moveTo>
                  <a:lnTo>
                    <a:pt x="102" y="0"/>
                  </a:lnTo>
                  <a:lnTo>
                    <a:pt x="0" y="26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4" name="Freeform 376">
              <a:extLst>
                <a:ext uri="{FF2B5EF4-FFF2-40B4-BE49-F238E27FC236}">
                  <a16:creationId xmlns:a16="http://schemas.microsoft.com/office/drawing/2014/main" id="{CCF72556-2094-46FF-B2AF-C4EED1784FE2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2 w 102"/>
                <a:gd name="T1" fmla="*/ 9 h 35"/>
                <a:gd name="T2" fmla="*/ 99 w 102"/>
                <a:gd name="T3" fmla="*/ 0 h 35"/>
                <a:gd name="T4" fmla="*/ 0 w 102"/>
                <a:gd name="T5" fmla="*/ 35 h 35"/>
                <a:gd name="T6" fmla="*/ 102 w 102"/>
                <a:gd name="T7" fmla="*/ 9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102" y="9"/>
                  </a:moveTo>
                  <a:lnTo>
                    <a:pt x="99" y="0"/>
                  </a:lnTo>
                  <a:lnTo>
                    <a:pt x="0" y="35"/>
                  </a:lnTo>
                  <a:lnTo>
                    <a:pt x="102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5" name="Freeform 377">
              <a:extLst>
                <a:ext uri="{FF2B5EF4-FFF2-40B4-BE49-F238E27FC236}">
                  <a16:creationId xmlns:a16="http://schemas.microsoft.com/office/drawing/2014/main" id="{EB079758-BC04-4772-877C-2F7D265ED41A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9 w 99"/>
                <a:gd name="T1" fmla="*/ 8 h 43"/>
                <a:gd name="T2" fmla="*/ 96 w 99"/>
                <a:gd name="T3" fmla="*/ 0 h 43"/>
                <a:gd name="T4" fmla="*/ 0 w 99"/>
                <a:gd name="T5" fmla="*/ 43 h 43"/>
                <a:gd name="T6" fmla="*/ 99 w 99"/>
                <a:gd name="T7" fmla="*/ 8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9" y="8"/>
                  </a:moveTo>
                  <a:lnTo>
                    <a:pt x="96" y="0"/>
                  </a:lnTo>
                  <a:lnTo>
                    <a:pt x="0" y="43"/>
                  </a:lnTo>
                  <a:lnTo>
                    <a:pt x="99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6" name="Freeform 378">
              <a:extLst>
                <a:ext uri="{FF2B5EF4-FFF2-40B4-BE49-F238E27FC236}">
                  <a16:creationId xmlns:a16="http://schemas.microsoft.com/office/drawing/2014/main" id="{D104B252-0EB3-4900-A310-2562F1224598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6 w 96"/>
                <a:gd name="T1" fmla="*/ 7 h 50"/>
                <a:gd name="T2" fmla="*/ 93 w 96"/>
                <a:gd name="T3" fmla="*/ 0 h 50"/>
                <a:gd name="T4" fmla="*/ 0 w 96"/>
                <a:gd name="T5" fmla="*/ 50 h 50"/>
                <a:gd name="T6" fmla="*/ 96 w 96"/>
                <a:gd name="T7" fmla="*/ 7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6" y="7"/>
                  </a:moveTo>
                  <a:lnTo>
                    <a:pt x="93" y="0"/>
                  </a:lnTo>
                  <a:lnTo>
                    <a:pt x="0" y="50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7" name="Freeform 379">
              <a:extLst>
                <a:ext uri="{FF2B5EF4-FFF2-40B4-BE49-F238E27FC236}">
                  <a16:creationId xmlns:a16="http://schemas.microsoft.com/office/drawing/2014/main" id="{47E743C0-6127-47FD-84DB-4F0D6C807299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3 w 93"/>
                <a:gd name="T1" fmla="*/ 8 h 58"/>
                <a:gd name="T2" fmla="*/ 88 w 93"/>
                <a:gd name="T3" fmla="*/ 0 h 58"/>
                <a:gd name="T4" fmla="*/ 0 w 93"/>
                <a:gd name="T5" fmla="*/ 58 h 58"/>
                <a:gd name="T6" fmla="*/ 93 w 93"/>
                <a:gd name="T7" fmla="*/ 8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8">
                  <a:moveTo>
                    <a:pt x="93" y="8"/>
                  </a:moveTo>
                  <a:lnTo>
                    <a:pt x="88" y="0"/>
                  </a:lnTo>
                  <a:lnTo>
                    <a:pt x="0" y="58"/>
                  </a:lnTo>
                  <a:lnTo>
                    <a:pt x="93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8" name="Freeform 380">
              <a:extLst>
                <a:ext uri="{FF2B5EF4-FFF2-40B4-BE49-F238E27FC236}">
                  <a16:creationId xmlns:a16="http://schemas.microsoft.com/office/drawing/2014/main" id="{4CEAB8C6-83A2-4062-8690-7965D5CE9FE1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8 w 88"/>
                <a:gd name="T1" fmla="*/ 7 h 65"/>
                <a:gd name="T2" fmla="*/ 83 w 88"/>
                <a:gd name="T3" fmla="*/ 0 h 65"/>
                <a:gd name="T4" fmla="*/ 0 w 88"/>
                <a:gd name="T5" fmla="*/ 65 h 65"/>
                <a:gd name="T6" fmla="*/ 88 w 88"/>
                <a:gd name="T7" fmla="*/ 7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5">
                  <a:moveTo>
                    <a:pt x="88" y="7"/>
                  </a:moveTo>
                  <a:lnTo>
                    <a:pt x="83" y="0"/>
                  </a:lnTo>
                  <a:lnTo>
                    <a:pt x="0" y="65"/>
                  </a:lnTo>
                  <a:lnTo>
                    <a:pt x="88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9" name="Freeform 381">
              <a:extLst>
                <a:ext uri="{FF2B5EF4-FFF2-40B4-BE49-F238E27FC236}">
                  <a16:creationId xmlns:a16="http://schemas.microsoft.com/office/drawing/2014/main" id="{68CB3FC3-A3FA-40A7-8A20-29CD58ADDB1A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3 w 83"/>
                <a:gd name="T1" fmla="*/ 7 h 72"/>
                <a:gd name="T2" fmla="*/ 77 w 83"/>
                <a:gd name="T3" fmla="*/ 0 h 72"/>
                <a:gd name="T4" fmla="*/ 0 w 83"/>
                <a:gd name="T5" fmla="*/ 72 h 72"/>
                <a:gd name="T6" fmla="*/ 83 w 83"/>
                <a:gd name="T7" fmla="*/ 7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2">
                  <a:moveTo>
                    <a:pt x="83" y="7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0" name="Freeform 382">
              <a:extLst>
                <a:ext uri="{FF2B5EF4-FFF2-40B4-BE49-F238E27FC236}">
                  <a16:creationId xmlns:a16="http://schemas.microsoft.com/office/drawing/2014/main" id="{EC8968B7-276C-4B7D-9973-4B617C38AD68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77 w 77"/>
                <a:gd name="T1" fmla="*/ 6 h 78"/>
                <a:gd name="T2" fmla="*/ 71 w 77"/>
                <a:gd name="T3" fmla="*/ 0 h 78"/>
                <a:gd name="T4" fmla="*/ 0 w 77"/>
                <a:gd name="T5" fmla="*/ 78 h 78"/>
                <a:gd name="T6" fmla="*/ 77 w 77"/>
                <a:gd name="T7" fmla="*/ 6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8">
                  <a:moveTo>
                    <a:pt x="77" y="6"/>
                  </a:moveTo>
                  <a:lnTo>
                    <a:pt x="71" y="0"/>
                  </a:lnTo>
                  <a:lnTo>
                    <a:pt x="0" y="78"/>
                  </a:lnTo>
                  <a:lnTo>
                    <a:pt x="77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1" name="Freeform 383">
              <a:extLst>
                <a:ext uri="{FF2B5EF4-FFF2-40B4-BE49-F238E27FC236}">
                  <a16:creationId xmlns:a16="http://schemas.microsoft.com/office/drawing/2014/main" id="{96F06326-B301-4859-8B5C-6968C9BD2536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71 w 71"/>
                <a:gd name="T1" fmla="*/ 5 h 83"/>
                <a:gd name="T2" fmla="*/ 65 w 71"/>
                <a:gd name="T3" fmla="*/ 0 h 83"/>
                <a:gd name="T4" fmla="*/ 0 w 71"/>
                <a:gd name="T5" fmla="*/ 83 h 83"/>
                <a:gd name="T6" fmla="*/ 71 w 71"/>
                <a:gd name="T7" fmla="*/ 5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71" y="5"/>
                  </a:moveTo>
                  <a:lnTo>
                    <a:pt x="65" y="0"/>
                  </a:lnTo>
                  <a:lnTo>
                    <a:pt x="0" y="83"/>
                  </a:lnTo>
                  <a:lnTo>
                    <a:pt x="71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2" name="Freeform 384">
              <a:extLst>
                <a:ext uri="{FF2B5EF4-FFF2-40B4-BE49-F238E27FC236}">
                  <a16:creationId xmlns:a16="http://schemas.microsoft.com/office/drawing/2014/main" id="{80FE26A0-3EC3-4447-AE91-DACC2A017617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65 w 65"/>
                <a:gd name="T1" fmla="*/ 5 h 88"/>
                <a:gd name="T2" fmla="*/ 58 w 65"/>
                <a:gd name="T3" fmla="*/ 0 h 88"/>
                <a:gd name="T4" fmla="*/ 0 w 65"/>
                <a:gd name="T5" fmla="*/ 88 h 88"/>
                <a:gd name="T6" fmla="*/ 65 w 65"/>
                <a:gd name="T7" fmla="*/ 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65" y="5"/>
                  </a:moveTo>
                  <a:lnTo>
                    <a:pt x="58" y="0"/>
                  </a:lnTo>
                  <a:lnTo>
                    <a:pt x="0" y="88"/>
                  </a:lnTo>
                  <a:lnTo>
                    <a:pt x="65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3" name="Freeform 385">
              <a:extLst>
                <a:ext uri="{FF2B5EF4-FFF2-40B4-BE49-F238E27FC236}">
                  <a16:creationId xmlns:a16="http://schemas.microsoft.com/office/drawing/2014/main" id="{A26A3894-772F-47BD-A7D6-5954CC135F86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8 w 58"/>
                <a:gd name="T1" fmla="*/ 5 h 93"/>
                <a:gd name="T2" fmla="*/ 50 w 58"/>
                <a:gd name="T3" fmla="*/ 0 h 93"/>
                <a:gd name="T4" fmla="*/ 0 w 58"/>
                <a:gd name="T5" fmla="*/ 93 h 93"/>
                <a:gd name="T6" fmla="*/ 58 w 58"/>
                <a:gd name="T7" fmla="*/ 5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3">
                  <a:moveTo>
                    <a:pt x="58" y="5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8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4" name="Freeform 386">
              <a:extLst>
                <a:ext uri="{FF2B5EF4-FFF2-40B4-BE49-F238E27FC236}">
                  <a16:creationId xmlns:a16="http://schemas.microsoft.com/office/drawing/2014/main" id="{C50C29C2-3A8A-48DF-8A03-ED25CA66AAA8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0 w 50"/>
                <a:gd name="T1" fmla="*/ 4 h 97"/>
                <a:gd name="T2" fmla="*/ 42 w 50"/>
                <a:gd name="T3" fmla="*/ 0 h 97"/>
                <a:gd name="T4" fmla="*/ 0 w 50"/>
                <a:gd name="T5" fmla="*/ 97 h 97"/>
                <a:gd name="T6" fmla="*/ 50 w 50"/>
                <a:gd name="T7" fmla="*/ 4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7">
                  <a:moveTo>
                    <a:pt x="50" y="4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50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5" name="Freeform 387">
              <a:extLst>
                <a:ext uri="{FF2B5EF4-FFF2-40B4-BE49-F238E27FC236}">
                  <a16:creationId xmlns:a16="http://schemas.microsoft.com/office/drawing/2014/main" id="{D94CF8CC-517D-4AE6-B3A5-FD86C2917786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4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4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6" name="Freeform 388">
              <a:extLst>
                <a:ext uri="{FF2B5EF4-FFF2-40B4-BE49-F238E27FC236}">
                  <a16:creationId xmlns:a16="http://schemas.microsoft.com/office/drawing/2014/main" id="{C4897913-508A-434B-985B-EBBBBFB0C631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34 w 34"/>
                <a:gd name="T1" fmla="*/ 2 h 102"/>
                <a:gd name="T2" fmla="*/ 26 w 34"/>
                <a:gd name="T3" fmla="*/ 0 h 102"/>
                <a:gd name="T4" fmla="*/ 0 w 34"/>
                <a:gd name="T5" fmla="*/ 102 h 102"/>
                <a:gd name="T6" fmla="*/ 34 w 34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34" y="2"/>
                  </a:moveTo>
                  <a:lnTo>
                    <a:pt x="26" y="0"/>
                  </a:lnTo>
                  <a:lnTo>
                    <a:pt x="0" y="102"/>
                  </a:lnTo>
                  <a:lnTo>
                    <a:pt x="34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7" name="Freeform 389">
              <a:extLst>
                <a:ext uri="{FF2B5EF4-FFF2-40B4-BE49-F238E27FC236}">
                  <a16:creationId xmlns:a16="http://schemas.microsoft.com/office/drawing/2014/main" id="{60B696E1-DC6C-4760-B42A-2D012F694081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26 w 26"/>
                <a:gd name="T1" fmla="*/ 2 h 104"/>
                <a:gd name="T2" fmla="*/ 17 w 26"/>
                <a:gd name="T3" fmla="*/ 0 h 104"/>
                <a:gd name="T4" fmla="*/ 0 w 26"/>
                <a:gd name="T5" fmla="*/ 104 h 104"/>
                <a:gd name="T6" fmla="*/ 26 w 26"/>
                <a:gd name="T7" fmla="*/ 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26" y="2"/>
                  </a:moveTo>
                  <a:lnTo>
                    <a:pt x="17" y="0"/>
                  </a:lnTo>
                  <a:lnTo>
                    <a:pt x="0" y="104"/>
                  </a:lnTo>
                  <a:lnTo>
                    <a:pt x="26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8" name="Freeform 390">
              <a:extLst>
                <a:ext uri="{FF2B5EF4-FFF2-40B4-BE49-F238E27FC236}">
                  <a16:creationId xmlns:a16="http://schemas.microsoft.com/office/drawing/2014/main" id="{D0636642-63CD-459C-8599-29C46A45E964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17 w 17"/>
                <a:gd name="T1" fmla="*/ 1 h 105"/>
                <a:gd name="T2" fmla="*/ 9 w 17"/>
                <a:gd name="T3" fmla="*/ 0 h 105"/>
                <a:gd name="T4" fmla="*/ 0 w 17"/>
                <a:gd name="T5" fmla="*/ 105 h 105"/>
                <a:gd name="T6" fmla="*/ 17 w 17"/>
                <a:gd name="T7" fmla="*/ 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17" y="1"/>
                  </a:moveTo>
                  <a:lnTo>
                    <a:pt x="9" y="0"/>
                  </a:lnTo>
                  <a:lnTo>
                    <a:pt x="0" y="105"/>
                  </a:lnTo>
                  <a:lnTo>
                    <a:pt x="1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9" name="Freeform 391">
              <a:extLst>
                <a:ext uri="{FF2B5EF4-FFF2-40B4-BE49-F238E27FC236}">
                  <a16:creationId xmlns:a16="http://schemas.microsoft.com/office/drawing/2014/main" id="{D5F2951D-3B15-4B81-BAC8-8666E27F3254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1 h 106"/>
                <a:gd name="T2" fmla="*/ 0 w 9"/>
                <a:gd name="T3" fmla="*/ 0 h 106"/>
                <a:gd name="T4" fmla="*/ 0 w 9"/>
                <a:gd name="T5" fmla="*/ 106 h 106"/>
                <a:gd name="T6" fmla="*/ 9 w 9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0" name="Freeform 392">
              <a:extLst>
                <a:ext uri="{FF2B5EF4-FFF2-40B4-BE49-F238E27FC236}">
                  <a16:creationId xmlns:a16="http://schemas.microsoft.com/office/drawing/2014/main" id="{1BD49D69-8744-4D08-9D9F-B9FC624CF255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0 h 106"/>
                <a:gd name="T2" fmla="*/ 0 w 9"/>
                <a:gd name="T3" fmla="*/ 1 h 106"/>
                <a:gd name="T4" fmla="*/ 9 w 9"/>
                <a:gd name="T5" fmla="*/ 106 h 106"/>
                <a:gd name="T6" fmla="*/ 9 w 9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0"/>
                  </a:moveTo>
                  <a:lnTo>
                    <a:pt x="0" y="1"/>
                  </a:lnTo>
                  <a:lnTo>
                    <a:pt x="9" y="106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1" name="Freeform 393">
              <a:extLst>
                <a:ext uri="{FF2B5EF4-FFF2-40B4-BE49-F238E27FC236}">
                  <a16:creationId xmlns:a16="http://schemas.microsoft.com/office/drawing/2014/main" id="{92CAAB58-1A33-49BA-9B37-4A82A3F4E82A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18"/>
                <a:gd name="T1" fmla="*/ 0 h 105"/>
                <a:gd name="T2" fmla="*/ 0 w 18"/>
                <a:gd name="T3" fmla="*/ 1 h 105"/>
                <a:gd name="T4" fmla="*/ 18 w 18"/>
                <a:gd name="T5" fmla="*/ 105 h 105"/>
                <a:gd name="T6" fmla="*/ 9 w 18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9" y="0"/>
                  </a:moveTo>
                  <a:lnTo>
                    <a:pt x="0" y="1"/>
                  </a:lnTo>
                  <a:lnTo>
                    <a:pt x="18" y="105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2" name="Freeform 394">
              <a:extLst>
                <a:ext uri="{FF2B5EF4-FFF2-40B4-BE49-F238E27FC236}">
                  <a16:creationId xmlns:a16="http://schemas.microsoft.com/office/drawing/2014/main" id="{05883D60-F9BD-4143-985D-301991D5F38E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27"/>
                <a:gd name="T1" fmla="*/ 0 h 104"/>
                <a:gd name="T2" fmla="*/ 0 w 27"/>
                <a:gd name="T3" fmla="*/ 2 h 104"/>
                <a:gd name="T4" fmla="*/ 27 w 27"/>
                <a:gd name="T5" fmla="*/ 104 h 104"/>
                <a:gd name="T6" fmla="*/ 9 w 27"/>
                <a:gd name="T7" fmla="*/ 0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9" y="0"/>
                  </a:moveTo>
                  <a:lnTo>
                    <a:pt x="0" y="2"/>
                  </a:lnTo>
                  <a:lnTo>
                    <a:pt x="27" y="104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3" name="Freeform 395">
              <a:extLst>
                <a:ext uri="{FF2B5EF4-FFF2-40B4-BE49-F238E27FC236}">
                  <a16:creationId xmlns:a16="http://schemas.microsoft.com/office/drawing/2014/main" id="{FFC91CC9-B99C-4C8B-BE5F-B2102B3AB796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8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8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8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4" name="Freeform 396">
              <a:extLst>
                <a:ext uri="{FF2B5EF4-FFF2-40B4-BE49-F238E27FC236}">
                  <a16:creationId xmlns:a16="http://schemas.microsoft.com/office/drawing/2014/main" id="{FD243E5B-07C4-4BF2-9C99-03475191DEC4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43"/>
                <a:gd name="T1" fmla="*/ 0 h 100"/>
                <a:gd name="T2" fmla="*/ 0 w 43"/>
                <a:gd name="T3" fmla="*/ 3 h 100"/>
                <a:gd name="T4" fmla="*/ 43 w 43"/>
                <a:gd name="T5" fmla="*/ 100 h 100"/>
                <a:gd name="T6" fmla="*/ 8 w 43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100">
                  <a:moveTo>
                    <a:pt x="8" y="0"/>
                  </a:moveTo>
                  <a:lnTo>
                    <a:pt x="0" y="3"/>
                  </a:lnTo>
                  <a:lnTo>
                    <a:pt x="43" y="100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5" name="Freeform 397">
              <a:extLst>
                <a:ext uri="{FF2B5EF4-FFF2-40B4-BE49-F238E27FC236}">
                  <a16:creationId xmlns:a16="http://schemas.microsoft.com/office/drawing/2014/main" id="{EA0458CC-B38C-4FDF-9F9B-FA1B48BC92CE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1"/>
                <a:gd name="T1" fmla="*/ 0 h 97"/>
                <a:gd name="T2" fmla="*/ 0 w 51"/>
                <a:gd name="T3" fmla="*/ 4 h 97"/>
                <a:gd name="T4" fmla="*/ 51 w 51"/>
                <a:gd name="T5" fmla="*/ 97 h 97"/>
                <a:gd name="T6" fmla="*/ 8 w 51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7">
                  <a:moveTo>
                    <a:pt x="8" y="0"/>
                  </a:moveTo>
                  <a:lnTo>
                    <a:pt x="0" y="4"/>
                  </a:lnTo>
                  <a:lnTo>
                    <a:pt x="51" y="97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6" name="Freeform 398">
              <a:extLst>
                <a:ext uri="{FF2B5EF4-FFF2-40B4-BE49-F238E27FC236}">
                  <a16:creationId xmlns:a16="http://schemas.microsoft.com/office/drawing/2014/main" id="{32EF7787-1A72-4C74-B68A-57BAC36E15C8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9"/>
                <a:gd name="T1" fmla="*/ 0 h 93"/>
                <a:gd name="T2" fmla="*/ 0 w 59"/>
                <a:gd name="T3" fmla="*/ 5 h 93"/>
                <a:gd name="T4" fmla="*/ 59 w 59"/>
                <a:gd name="T5" fmla="*/ 93 h 93"/>
                <a:gd name="T6" fmla="*/ 8 w 59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3">
                  <a:moveTo>
                    <a:pt x="8" y="0"/>
                  </a:moveTo>
                  <a:lnTo>
                    <a:pt x="0" y="5"/>
                  </a:lnTo>
                  <a:lnTo>
                    <a:pt x="59" y="9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7" name="Freeform 399">
              <a:extLst>
                <a:ext uri="{FF2B5EF4-FFF2-40B4-BE49-F238E27FC236}">
                  <a16:creationId xmlns:a16="http://schemas.microsoft.com/office/drawing/2014/main" id="{66BB4D02-459D-45EB-AB35-96A4A3C4A718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7 w 66"/>
                <a:gd name="T1" fmla="*/ 0 h 88"/>
                <a:gd name="T2" fmla="*/ 0 w 66"/>
                <a:gd name="T3" fmla="*/ 5 h 88"/>
                <a:gd name="T4" fmla="*/ 66 w 66"/>
                <a:gd name="T5" fmla="*/ 88 h 88"/>
                <a:gd name="T6" fmla="*/ 7 w 66"/>
                <a:gd name="T7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7" y="0"/>
                  </a:moveTo>
                  <a:lnTo>
                    <a:pt x="0" y="5"/>
                  </a:lnTo>
                  <a:lnTo>
                    <a:pt x="66" y="88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8" name="Freeform 400">
              <a:extLst>
                <a:ext uri="{FF2B5EF4-FFF2-40B4-BE49-F238E27FC236}">
                  <a16:creationId xmlns:a16="http://schemas.microsoft.com/office/drawing/2014/main" id="{1E8AEB07-499E-4306-AFFC-2041A94DA9FB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6 w 72"/>
                <a:gd name="T1" fmla="*/ 0 h 83"/>
                <a:gd name="T2" fmla="*/ 0 w 72"/>
                <a:gd name="T3" fmla="*/ 5 h 83"/>
                <a:gd name="T4" fmla="*/ 72 w 72"/>
                <a:gd name="T5" fmla="*/ 83 h 83"/>
                <a:gd name="T6" fmla="*/ 6 w 72"/>
                <a:gd name="T7" fmla="*/ 0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6" y="0"/>
                  </a:moveTo>
                  <a:lnTo>
                    <a:pt x="0" y="5"/>
                  </a:lnTo>
                  <a:lnTo>
                    <a:pt x="72" y="83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9" name="Freeform 401">
              <a:extLst>
                <a:ext uri="{FF2B5EF4-FFF2-40B4-BE49-F238E27FC236}">
                  <a16:creationId xmlns:a16="http://schemas.microsoft.com/office/drawing/2014/main" id="{A728746D-CDCE-4B68-AAFD-DE6CABC2526F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78"/>
                <a:gd name="T1" fmla="*/ 0 h 78"/>
                <a:gd name="T2" fmla="*/ 0 w 78"/>
                <a:gd name="T3" fmla="*/ 6 h 78"/>
                <a:gd name="T4" fmla="*/ 78 w 78"/>
                <a:gd name="T5" fmla="*/ 78 h 78"/>
                <a:gd name="T6" fmla="*/ 6 w 78"/>
                <a:gd name="T7" fmla="*/ 0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8">
                  <a:moveTo>
                    <a:pt x="6" y="0"/>
                  </a:moveTo>
                  <a:lnTo>
                    <a:pt x="0" y="6"/>
                  </a:lnTo>
                  <a:lnTo>
                    <a:pt x="78" y="78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0" name="Freeform 402">
              <a:extLst>
                <a:ext uri="{FF2B5EF4-FFF2-40B4-BE49-F238E27FC236}">
                  <a16:creationId xmlns:a16="http://schemas.microsoft.com/office/drawing/2014/main" id="{FDFF5184-2B81-48E6-9816-37E576D11C1D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84"/>
                <a:gd name="T1" fmla="*/ 0 h 72"/>
                <a:gd name="T2" fmla="*/ 0 w 84"/>
                <a:gd name="T3" fmla="*/ 7 h 72"/>
                <a:gd name="T4" fmla="*/ 84 w 84"/>
                <a:gd name="T5" fmla="*/ 72 h 72"/>
                <a:gd name="T6" fmla="*/ 6 w 84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2">
                  <a:moveTo>
                    <a:pt x="6" y="0"/>
                  </a:moveTo>
                  <a:lnTo>
                    <a:pt x="0" y="7"/>
                  </a:lnTo>
                  <a:lnTo>
                    <a:pt x="84" y="7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1" name="Freeform 403">
              <a:extLst>
                <a:ext uri="{FF2B5EF4-FFF2-40B4-BE49-F238E27FC236}">
                  <a16:creationId xmlns:a16="http://schemas.microsoft.com/office/drawing/2014/main" id="{ACF2B035-F9F8-4BB7-8C89-D4AE92126BC1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89"/>
                <a:gd name="T1" fmla="*/ 0 h 65"/>
                <a:gd name="T2" fmla="*/ 0 w 89"/>
                <a:gd name="T3" fmla="*/ 7 h 65"/>
                <a:gd name="T4" fmla="*/ 89 w 89"/>
                <a:gd name="T5" fmla="*/ 65 h 65"/>
                <a:gd name="T6" fmla="*/ 5 w 89"/>
                <a:gd name="T7" fmla="*/ 0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5">
                  <a:moveTo>
                    <a:pt x="5" y="0"/>
                  </a:moveTo>
                  <a:lnTo>
                    <a:pt x="0" y="7"/>
                  </a:lnTo>
                  <a:lnTo>
                    <a:pt x="89" y="65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2" name="Freeform 404">
              <a:extLst>
                <a:ext uri="{FF2B5EF4-FFF2-40B4-BE49-F238E27FC236}">
                  <a16:creationId xmlns:a16="http://schemas.microsoft.com/office/drawing/2014/main" id="{B37365B1-7618-4968-BB91-593D13077A81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94"/>
                <a:gd name="T1" fmla="*/ 0 h 58"/>
                <a:gd name="T2" fmla="*/ 0 w 94"/>
                <a:gd name="T3" fmla="*/ 8 h 58"/>
                <a:gd name="T4" fmla="*/ 94 w 94"/>
                <a:gd name="T5" fmla="*/ 58 h 58"/>
                <a:gd name="T6" fmla="*/ 5 w 94"/>
                <a:gd name="T7" fmla="*/ 0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8">
                  <a:moveTo>
                    <a:pt x="5" y="0"/>
                  </a:moveTo>
                  <a:lnTo>
                    <a:pt x="0" y="8"/>
                  </a:lnTo>
                  <a:lnTo>
                    <a:pt x="94" y="58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3" name="Freeform 405">
              <a:extLst>
                <a:ext uri="{FF2B5EF4-FFF2-40B4-BE49-F238E27FC236}">
                  <a16:creationId xmlns:a16="http://schemas.microsoft.com/office/drawing/2014/main" id="{0F43C798-0726-420D-B7AF-98A5A808474D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3 w 97"/>
                <a:gd name="T1" fmla="*/ 0 h 50"/>
                <a:gd name="T2" fmla="*/ 0 w 97"/>
                <a:gd name="T3" fmla="*/ 7 h 50"/>
                <a:gd name="T4" fmla="*/ 97 w 97"/>
                <a:gd name="T5" fmla="*/ 50 h 50"/>
                <a:gd name="T6" fmla="*/ 3 w 97"/>
                <a:gd name="T7" fmla="*/ 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3" y="0"/>
                  </a:moveTo>
                  <a:lnTo>
                    <a:pt x="0" y="7"/>
                  </a:lnTo>
                  <a:lnTo>
                    <a:pt x="97" y="5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4" name="Freeform 406">
              <a:extLst>
                <a:ext uri="{FF2B5EF4-FFF2-40B4-BE49-F238E27FC236}">
                  <a16:creationId xmlns:a16="http://schemas.microsoft.com/office/drawing/2014/main" id="{27586084-885C-46FA-8C34-2C4CB4C4B652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4 w 101"/>
                <a:gd name="T1" fmla="*/ 0 h 43"/>
                <a:gd name="T2" fmla="*/ 0 w 101"/>
                <a:gd name="T3" fmla="*/ 8 h 43"/>
                <a:gd name="T4" fmla="*/ 101 w 101"/>
                <a:gd name="T5" fmla="*/ 43 h 43"/>
                <a:gd name="T6" fmla="*/ 4 w 101"/>
                <a:gd name="T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3">
                  <a:moveTo>
                    <a:pt x="4" y="0"/>
                  </a:moveTo>
                  <a:lnTo>
                    <a:pt x="0" y="8"/>
                  </a:lnTo>
                  <a:lnTo>
                    <a:pt x="101" y="43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5" name="Freeform 407">
              <a:extLst>
                <a:ext uri="{FF2B5EF4-FFF2-40B4-BE49-F238E27FC236}">
                  <a16:creationId xmlns:a16="http://schemas.microsoft.com/office/drawing/2014/main" id="{941BE4ED-DF7A-438E-AEED-D4195904D46F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3"/>
                <a:gd name="T1" fmla="*/ 0 h 35"/>
                <a:gd name="T2" fmla="*/ 0 w 103"/>
                <a:gd name="T3" fmla="*/ 9 h 35"/>
                <a:gd name="T4" fmla="*/ 103 w 103"/>
                <a:gd name="T5" fmla="*/ 35 h 35"/>
                <a:gd name="T6" fmla="*/ 2 w 103"/>
                <a:gd name="T7" fmla="*/ 0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5">
                  <a:moveTo>
                    <a:pt x="2" y="0"/>
                  </a:moveTo>
                  <a:lnTo>
                    <a:pt x="0" y="9"/>
                  </a:lnTo>
                  <a:lnTo>
                    <a:pt x="103" y="35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6" name="Freeform 408">
              <a:extLst>
                <a:ext uri="{FF2B5EF4-FFF2-40B4-BE49-F238E27FC236}">
                  <a16:creationId xmlns:a16="http://schemas.microsoft.com/office/drawing/2014/main" id="{017D0353-9A74-4492-A63D-0C1565BEBCF8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5"/>
                <a:gd name="T1" fmla="*/ 0 h 26"/>
                <a:gd name="T2" fmla="*/ 0 w 105"/>
                <a:gd name="T3" fmla="*/ 8 h 26"/>
                <a:gd name="T4" fmla="*/ 105 w 105"/>
                <a:gd name="T5" fmla="*/ 26 h 26"/>
                <a:gd name="T6" fmla="*/ 2 w 105"/>
                <a:gd name="T7" fmla="*/ 0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2" y="0"/>
                  </a:moveTo>
                  <a:lnTo>
                    <a:pt x="0" y="8"/>
                  </a:lnTo>
                  <a:lnTo>
                    <a:pt x="105" y="2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7" name="Freeform 409">
              <a:extLst>
                <a:ext uri="{FF2B5EF4-FFF2-40B4-BE49-F238E27FC236}">
                  <a16:creationId xmlns:a16="http://schemas.microsoft.com/office/drawing/2014/main" id="{EB40A1B8-21B1-434E-B0FD-B20076B761D9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1 w 106"/>
                <a:gd name="T1" fmla="*/ 0 h 18"/>
                <a:gd name="T2" fmla="*/ 0 w 106"/>
                <a:gd name="T3" fmla="*/ 9 h 18"/>
                <a:gd name="T4" fmla="*/ 106 w 106"/>
                <a:gd name="T5" fmla="*/ 18 h 18"/>
                <a:gd name="T6" fmla="*/ 1 w 106"/>
                <a:gd name="T7" fmla="*/ 0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8">
                  <a:moveTo>
                    <a:pt x="1" y="0"/>
                  </a:moveTo>
                  <a:lnTo>
                    <a:pt x="0" y="9"/>
                  </a:lnTo>
                  <a:lnTo>
                    <a:pt x="106" y="18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8" name="Freeform 410">
              <a:extLst>
                <a:ext uri="{FF2B5EF4-FFF2-40B4-BE49-F238E27FC236}">
                  <a16:creationId xmlns:a16="http://schemas.microsoft.com/office/drawing/2014/main" id="{95881D07-8B95-4764-AF80-8FF09B04D472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9"/>
                <a:gd name="T2" fmla="*/ 0 w 106"/>
                <a:gd name="T3" fmla="*/ 9 h 9"/>
                <a:gd name="T4" fmla="*/ 106 w 106"/>
                <a:gd name="T5" fmla="*/ 9 h 9"/>
                <a:gd name="T6" fmla="*/ 0 w 106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9">
                  <a:moveTo>
                    <a:pt x="0" y="0"/>
                  </a:moveTo>
                  <a:lnTo>
                    <a:pt x="0" y="9"/>
                  </a:lnTo>
                  <a:lnTo>
                    <a:pt x="106" y="9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9" name="Freeform 411">
              <a:extLst>
                <a:ext uri="{FF2B5EF4-FFF2-40B4-BE49-F238E27FC236}">
                  <a16:creationId xmlns:a16="http://schemas.microsoft.com/office/drawing/2014/main" id="{738897DA-DA31-405D-B15C-048287CBD09B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8"/>
                <a:gd name="T2" fmla="*/ 0 w 106"/>
                <a:gd name="T3" fmla="*/ 8 h 8"/>
                <a:gd name="T4" fmla="*/ 106 w 106"/>
                <a:gd name="T5" fmla="*/ 0 h 8"/>
                <a:gd name="T6" fmla="*/ 0 w 106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8">
                  <a:moveTo>
                    <a:pt x="0" y="0"/>
                  </a:moveTo>
                  <a:lnTo>
                    <a:pt x="0" y="8"/>
                  </a:lnTo>
                  <a:lnTo>
                    <a:pt x="10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0" name="Freeform 412">
              <a:extLst>
                <a:ext uri="{FF2B5EF4-FFF2-40B4-BE49-F238E27FC236}">
                  <a16:creationId xmlns:a16="http://schemas.microsoft.com/office/drawing/2014/main" id="{B5AB5C1C-C568-4D92-9676-DCFA449DC1FA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8 h 17"/>
                <a:gd name="T2" fmla="*/ 1 w 106"/>
                <a:gd name="T3" fmla="*/ 17 h 17"/>
                <a:gd name="T4" fmla="*/ 106 w 106"/>
                <a:gd name="T5" fmla="*/ 0 h 17"/>
                <a:gd name="T6" fmla="*/ 0 w 106"/>
                <a:gd name="T7" fmla="*/ 8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7">
                  <a:moveTo>
                    <a:pt x="0" y="8"/>
                  </a:moveTo>
                  <a:lnTo>
                    <a:pt x="1" y="17"/>
                  </a:lnTo>
                  <a:lnTo>
                    <a:pt x="106" y="0"/>
                  </a:lnTo>
                  <a:lnTo>
                    <a:pt x="0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1" name="Freeform 413">
              <a:extLst>
                <a:ext uri="{FF2B5EF4-FFF2-40B4-BE49-F238E27FC236}">
                  <a16:creationId xmlns:a16="http://schemas.microsoft.com/office/drawing/2014/main" id="{07D9A361-A7A6-4165-9F02-721B61A03788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5"/>
                <a:gd name="T1" fmla="*/ 17 h 26"/>
                <a:gd name="T2" fmla="*/ 2 w 105"/>
                <a:gd name="T3" fmla="*/ 26 h 26"/>
                <a:gd name="T4" fmla="*/ 105 w 105"/>
                <a:gd name="T5" fmla="*/ 0 h 26"/>
                <a:gd name="T6" fmla="*/ 0 w 105"/>
                <a:gd name="T7" fmla="*/ 17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0" y="17"/>
                  </a:moveTo>
                  <a:lnTo>
                    <a:pt x="2" y="26"/>
                  </a:lnTo>
                  <a:lnTo>
                    <a:pt x="105" y="0"/>
                  </a:lnTo>
                  <a:lnTo>
                    <a:pt x="0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2" name="Freeform 414">
              <a:extLst>
                <a:ext uri="{FF2B5EF4-FFF2-40B4-BE49-F238E27FC236}">
                  <a16:creationId xmlns:a16="http://schemas.microsoft.com/office/drawing/2014/main" id="{8310E874-FEC1-463F-B142-3A05D6D0C429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3"/>
                <a:gd name="T1" fmla="*/ 26 h 34"/>
                <a:gd name="T2" fmla="*/ 2 w 103"/>
                <a:gd name="T3" fmla="*/ 34 h 34"/>
                <a:gd name="T4" fmla="*/ 103 w 103"/>
                <a:gd name="T5" fmla="*/ 0 h 34"/>
                <a:gd name="T6" fmla="*/ 0 w 103"/>
                <a:gd name="T7" fmla="*/ 26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4">
                  <a:moveTo>
                    <a:pt x="0" y="26"/>
                  </a:moveTo>
                  <a:lnTo>
                    <a:pt x="2" y="34"/>
                  </a:lnTo>
                  <a:lnTo>
                    <a:pt x="103" y="0"/>
                  </a:lnTo>
                  <a:lnTo>
                    <a:pt x="0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3" name="Freeform 415">
              <a:extLst>
                <a:ext uri="{FF2B5EF4-FFF2-40B4-BE49-F238E27FC236}">
                  <a16:creationId xmlns:a16="http://schemas.microsoft.com/office/drawing/2014/main" id="{BA117829-E139-453C-9470-BB4CB406FBA7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1"/>
            </a:xfrm>
            <a:custGeom>
              <a:avLst/>
              <a:gdLst>
                <a:gd name="T0" fmla="*/ 0 w 101"/>
                <a:gd name="T1" fmla="*/ 34 h 42"/>
                <a:gd name="T2" fmla="*/ 4 w 101"/>
                <a:gd name="T3" fmla="*/ 42 h 42"/>
                <a:gd name="T4" fmla="*/ 101 w 101"/>
                <a:gd name="T5" fmla="*/ 0 h 42"/>
                <a:gd name="T6" fmla="*/ 0 w 101"/>
                <a:gd name="T7" fmla="*/ 34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2">
                  <a:moveTo>
                    <a:pt x="0" y="34"/>
                  </a:moveTo>
                  <a:lnTo>
                    <a:pt x="4" y="42"/>
                  </a:lnTo>
                  <a:lnTo>
                    <a:pt x="101" y="0"/>
                  </a:lnTo>
                  <a:lnTo>
                    <a:pt x="0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4" name="Freeform 416">
              <a:extLst>
                <a:ext uri="{FF2B5EF4-FFF2-40B4-BE49-F238E27FC236}">
                  <a16:creationId xmlns:a16="http://schemas.microsoft.com/office/drawing/2014/main" id="{B372651B-A3C2-4EB8-99D0-7D86703ECEBA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7"/>
                <a:gd name="T1" fmla="*/ 42 h 50"/>
                <a:gd name="T2" fmla="*/ 3 w 97"/>
                <a:gd name="T3" fmla="*/ 50 h 50"/>
                <a:gd name="T4" fmla="*/ 97 w 97"/>
                <a:gd name="T5" fmla="*/ 0 h 50"/>
                <a:gd name="T6" fmla="*/ 0 w 97"/>
                <a:gd name="T7" fmla="*/ 42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0" y="42"/>
                  </a:moveTo>
                  <a:lnTo>
                    <a:pt x="3" y="50"/>
                  </a:lnTo>
                  <a:lnTo>
                    <a:pt x="97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5" name="Freeform 417">
              <a:extLst>
                <a:ext uri="{FF2B5EF4-FFF2-40B4-BE49-F238E27FC236}">
                  <a16:creationId xmlns:a16="http://schemas.microsoft.com/office/drawing/2014/main" id="{E53A8E03-027C-4EBB-A03F-E8008345956E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4"/>
                <a:gd name="T1" fmla="*/ 50 h 57"/>
                <a:gd name="T2" fmla="*/ 5 w 94"/>
                <a:gd name="T3" fmla="*/ 57 h 57"/>
                <a:gd name="T4" fmla="*/ 94 w 94"/>
                <a:gd name="T5" fmla="*/ 0 h 57"/>
                <a:gd name="T6" fmla="*/ 0 w 94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7">
                  <a:moveTo>
                    <a:pt x="0" y="50"/>
                  </a:moveTo>
                  <a:lnTo>
                    <a:pt x="5" y="57"/>
                  </a:lnTo>
                  <a:lnTo>
                    <a:pt x="94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6" name="Freeform 418">
              <a:extLst>
                <a:ext uri="{FF2B5EF4-FFF2-40B4-BE49-F238E27FC236}">
                  <a16:creationId xmlns:a16="http://schemas.microsoft.com/office/drawing/2014/main" id="{ED9156DB-2498-478C-AF1D-BED470A2862F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9"/>
                <a:gd name="T1" fmla="*/ 57 h 64"/>
                <a:gd name="T2" fmla="*/ 5 w 89"/>
                <a:gd name="T3" fmla="*/ 64 h 64"/>
                <a:gd name="T4" fmla="*/ 89 w 89"/>
                <a:gd name="T5" fmla="*/ 0 h 64"/>
                <a:gd name="T6" fmla="*/ 0 w 89"/>
                <a:gd name="T7" fmla="*/ 57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4">
                  <a:moveTo>
                    <a:pt x="0" y="57"/>
                  </a:moveTo>
                  <a:lnTo>
                    <a:pt x="5" y="64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7" name="Freeform 419">
              <a:extLst>
                <a:ext uri="{FF2B5EF4-FFF2-40B4-BE49-F238E27FC236}">
                  <a16:creationId xmlns:a16="http://schemas.microsoft.com/office/drawing/2014/main" id="{F8B69A12-E80D-4531-BA4B-B0B029B95B02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4"/>
                <a:gd name="T1" fmla="*/ 64 h 71"/>
                <a:gd name="T2" fmla="*/ 6 w 84"/>
                <a:gd name="T3" fmla="*/ 71 h 71"/>
                <a:gd name="T4" fmla="*/ 84 w 84"/>
                <a:gd name="T5" fmla="*/ 0 h 71"/>
                <a:gd name="T6" fmla="*/ 0 w 84"/>
                <a:gd name="T7" fmla="*/ 64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1">
                  <a:moveTo>
                    <a:pt x="0" y="64"/>
                  </a:moveTo>
                  <a:lnTo>
                    <a:pt x="6" y="71"/>
                  </a:lnTo>
                  <a:lnTo>
                    <a:pt x="84" y="0"/>
                  </a:lnTo>
                  <a:lnTo>
                    <a:pt x="0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8" name="Freeform 420">
              <a:extLst>
                <a:ext uri="{FF2B5EF4-FFF2-40B4-BE49-F238E27FC236}">
                  <a16:creationId xmlns:a16="http://schemas.microsoft.com/office/drawing/2014/main" id="{5CE7D694-31A0-4995-A7F5-11C10F6D3575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8"/>
                <a:gd name="T1" fmla="*/ 71 h 77"/>
                <a:gd name="T2" fmla="*/ 6 w 78"/>
                <a:gd name="T3" fmla="*/ 77 h 77"/>
                <a:gd name="T4" fmla="*/ 78 w 78"/>
                <a:gd name="T5" fmla="*/ 0 h 77"/>
                <a:gd name="T6" fmla="*/ 0 w 78"/>
                <a:gd name="T7" fmla="*/ 71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7">
                  <a:moveTo>
                    <a:pt x="0" y="71"/>
                  </a:moveTo>
                  <a:lnTo>
                    <a:pt x="6" y="77"/>
                  </a:lnTo>
                  <a:lnTo>
                    <a:pt x="78" y="0"/>
                  </a:lnTo>
                  <a:lnTo>
                    <a:pt x="0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9" name="Freeform 421">
              <a:extLst>
                <a:ext uri="{FF2B5EF4-FFF2-40B4-BE49-F238E27FC236}">
                  <a16:creationId xmlns:a16="http://schemas.microsoft.com/office/drawing/2014/main" id="{A1BF98A5-44A1-48B9-8D0C-B0E74F9C2039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2"/>
                <a:gd name="T1" fmla="*/ 77 h 83"/>
                <a:gd name="T2" fmla="*/ 6 w 72"/>
                <a:gd name="T3" fmla="*/ 83 h 83"/>
                <a:gd name="T4" fmla="*/ 72 w 72"/>
                <a:gd name="T5" fmla="*/ 0 h 83"/>
                <a:gd name="T6" fmla="*/ 0 w 72"/>
                <a:gd name="T7" fmla="*/ 77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0" y="77"/>
                  </a:moveTo>
                  <a:lnTo>
                    <a:pt x="6" y="83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0" name="Freeform 422">
              <a:extLst>
                <a:ext uri="{FF2B5EF4-FFF2-40B4-BE49-F238E27FC236}">
                  <a16:creationId xmlns:a16="http://schemas.microsoft.com/office/drawing/2014/main" id="{09289547-A925-4AAB-84B1-610C33DC121F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66"/>
                <a:gd name="T1" fmla="*/ 83 h 88"/>
                <a:gd name="T2" fmla="*/ 7 w 66"/>
                <a:gd name="T3" fmla="*/ 88 h 88"/>
                <a:gd name="T4" fmla="*/ 66 w 66"/>
                <a:gd name="T5" fmla="*/ 0 h 88"/>
                <a:gd name="T6" fmla="*/ 0 w 66"/>
                <a:gd name="T7" fmla="*/ 83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0" y="83"/>
                  </a:moveTo>
                  <a:lnTo>
                    <a:pt x="7" y="88"/>
                  </a:lnTo>
                  <a:lnTo>
                    <a:pt x="66" y="0"/>
                  </a:lnTo>
                  <a:lnTo>
                    <a:pt x="0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1" name="Freeform 423">
              <a:extLst>
                <a:ext uri="{FF2B5EF4-FFF2-40B4-BE49-F238E27FC236}">
                  <a16:creationId xmlns:a16="http://schemas.microsoft.com/office/drawing/2014/main" id="{A54CB71B-F80A-4559-A469-B4D8442DA242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9"/>
                <a:gd name="T1" fmla="*/ 88 h 92"/>
                <a:gd name="T2" fmla="*/ 8 w 59"/>
                <a:gd name="T3" fmla="*/ 92 h 92"/>
                <a:gd name="T4" fmla="*/ 59 w 59"/>
                <a:gd name="T5" fmla="*/ 0 h 92"/>
                <a:gd name="T6" fmla="*/ 0 w 59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2">
                  <a:moveTo>
                    <a:pt x="0" y="88"/>
                  </a:moveTo>
                  <a:lnTo>
                    <a:pt x="8" y="92"/>
                  </a:lnTo>
                  <a:lnTo>
                    <a:pt x="59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2" name="Freeform 424">
              <a:extLst>
                <a:ext uri="{FF2B5EF4-FFF2-40B4-BE49-F238E27FC236}">
                  <a16:creationId xmlns:a16="http://schemas.microsoft.com/office/drawing/2014/main" id="{46937ABA-085B-42EB-A11F-2786375CA94A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1"/>
                <a:gd name="T1" fmla="*/ 92 h 96"/>
                <a:gd name="T2" fmla="*/ 8 w 51"/>
                <a:gd name="T3" fmla="*/ 96 h 96"/>
                <a:gd name="T4" fmla="*/ 51 w 51"/>
                <a:gd name="T5" fmla="*/ 0 h 96"/>
                <a:gd name="T6" fmla="*/ 0 w 51"/>
                <a:gd name="T7" fmla="*/ 92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6">
                  <a:moveTo>
                    <a:pt x="0" y="92"/>
                  </a:moveTo>
                  <a:lnTo>
                    <a:pt x="8" y="96"/>
                  </a:lnTo>
                  <a:lnTo>
                    <a:pt x="51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3" name="Freeform 425">
              <a:extLst>
                <a:ext uri="{FF2B5EF4-FFF2-40B4-BE49-F238E27FC236}">
                  <a16:creationId xmlns:a16="http://schemas.microsoft.com/office/drawing/2014/main" id="{252F93BB-AF0A-4EC4-9FEB-4A0A4A1A0DB0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2"/>
            </a:xfrm>
            <a:custGeom>
              <a:avLst/>
              <a:gdLst>
                <a:gd name="T0" fmla="*/ 0 w 43"/>
                <a:gd name="T1" fmla="*/ 96 h 99"/>
                <a:gd name="T2" fmla="*/ 8 w 43"/>
                <a:gd name="T3" fmla="*/ 99 h 99"/>
                <a:gd name="T4" fmla="*/ 43 w 43"/>
                <a:gd name="T5" fmla="*/ 0 h 99"/>
                <a:gd name="T6" fmla="*/ 0 w 43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99">
                  <a:moveTo>
                    <a:pt x="0" y="96"/>
                  </a:moveTo>
                  <a:lnTo>
                    <a:pt x="8" y="99"/>
                  </a:lnTo>
                  <a:lnTo>
                    <a:pt x="43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4" name="Freeform 426">
              <a:extLst>
                <a:ext uri="{FF2B5EF4-FFF2-40B4-BE49-F238E27FC236}">
                  <a16:creationId xmlns:a16="http://schemas.microsoft.com/office/drawing/2014/main" id="{5A58C206-B945-46B7-BA5E-65AC44CDA63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35"/>
                <a:gd name="T1" fmla="*/ 99 h 102"/>
                <a:gd name="T2" fmla="*/ 8 w 35"/>
                <a:gd name="T3" fmla="*/ 102 h 102"/>
                <a:gd name="T4" fmla="*/ 35 w 35"/>
                <a:gd name="T5" fmla="*/ 0 h 102"/>
                <a:gd name="T6" fmla="*/ 0 w 35"/>
                <a:gd name="T7" fmla="*/ 99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0" y="99"/>
                  </a:moveTo>
                  <a:lnTo>
                    <a:pt x="8" y="102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5" name="Freeform 427">
              <a:extLst>
                <a:ext uri="{FF2B5EF4-FFF2-40B4-BE49-F238E27FC236}">
                  <a16:creationId xmlns:a16="http://schemas.microsoft.com/office/drawing/2014/main" id="{8F665736-DC06-423A-A995-A3CCCC13B78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27"/>
                <a:gd name="T1" fmla="*/ 102 h 104"/>
                <a:gd name="T2" fmla="*/ 9 w 27"/>
                <a:gd name="T3" fmla="*/ 104 h 104"/>
                <a:gd name="T4" fmla="*/ 27 w 27"/>
                <a:gd name="T5" fmla="*/ 0 h 104"/>
                <a:gd name="T6" fmla="*/ 0 w 27"/>
                <a:gd name="T7" fmla="*/ 10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0" y="102"/>
                  </a:moveTo>
                  <a:lnTo>
                    <a:pt x="9" y="104"/>
                  </a:lnTo>
                  <a:lnTo>
                    <a:pt x="27" y="0"/>
                  </a:lnTo>
                  <a:lnTo>
                    <a:pt x="0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6" name="Freeform 428">
              <a:extLst>
                <a:ext uri="{FF2B5EF4-FFF2-40B4-BE49-F238E27FC236}">
                  <a16:creationId xmlns:a16="http://schemas.microsoft.com/office/drawing/2014/main" id="{F570A956-2573-41C1-9240-1BCD5A0A23F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18"/>
                <a:gd name="T1" fmla="*/ 104 h 105"/>
                <a:gd name="T2" fmla="*/ 9 w 18"/>
                <a:gd name="T3" fmla="*/ 105 h 105"/>
                <a:gd name="T4" fmla="*/ 18 w 18"/>
                <a:gd name="T5" fmla="*/ 0 h 105"/>
                <a:gd name="T6" fmla="*/ 0 w 18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0" y="104"/>
                  </a:moveTo>
                  <a:lnTo>
                    <a:pt x="9" y="105"/>
                  </a:lnTo>
                  <a:lnTo>
                    <a:pt x="18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7" name="Freeform 429">
              <a:extLst>
                <a:ext uri="{FF2B5EF4-FFF2-40B4-BE49-F238E27FC236}">
                  <a16:creationId xmlns:a16="http://schemas.microsoft.com/office/drawing/2014/main" id="{0697F329-2899-4439-949F-3BDF0028145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9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9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8" name="Freeform 430">
              <a:extLst>
                <a:ext uri="{FF2B5EF4-FFF2-40B4-BE49-F238E27FC236}">
                  <a16:creationId xmlns:a16="http://schemas.microsoft.com/office/drawing/2014/main" id="{DE6FC488-F2EE-4173-A546-36110DB3703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0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9" name="Freeform 431">
              <a:extLst>
                <a:ext uri="{FF2B5EF4-FFF2-40B4-BE49-F238E27FC236}">
                  <a16:creationId xmlns:a16="http://schemas.microsoft.com/office/drawing/2014/main" id="{CC85E3B5-7095-45B9-92C6-A6E581534EC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9 w 17"/>
                <a:gd name="T1" fmla="*/ 105 h 105"/>
                <a:gd name="T2" fmla="*/ 17 w 17"/>
                <a:gd name="T3" fmla="*/ 104 h 105"/>
                <a:gd name="T4" fmla="*/ 0 w 17"/>
                <a:gd name="T5" fmla="*/ 0 h 105"/>
                <a:gd name="T6" fmla="*/ 9 w 1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9" y="105"/>
                  </a:moveTo>
                  <a:lnTo>
                    <a:pt x="17" y="104"/>
                  </a:lnTo>
                  <a:lnTo>
                    <a:pt x="0" y="0"/>
                  </a:lnTo>
                  <a:lnTo>
                    <a:pt x="9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0" name="Freeform 432">
              <a:extLst>
                <a:ext uri="{FF2B5EF4-FFF2-40B4-BE49-F238E27FC236}">
                  <a16:creationId xmlns:a16="http://schemas.microsoft.com/office/drawing/2014/main" id="{37AB1416-58BA-4BDB-9E67-816FCE28C2A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17 w 26"/>
                <a:gd name="T1" fmla="*/ 104 h 104"/>
                <a:gd name="T2" fmla="*/ 26 w 26"/>
                <a:gd name="T3" fmla="*/ 102 h 104"/>
                <a:gd name="T4" fmla="*/ 0 w 26"/>
                <a:gd name="T5" fmla="*/ 0 h 104"/>
                <a:gd name="T6" fmla="*/ 17 w 26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17" y="104"/>
                  </a:moveTo>
                  <a:lnTo>
                    <a:pt x="26" y="102"/>
                  </a:lnTo>
                  <a:lnTo>
                    <a:pt x="0" y="0"/>
                  </a:lnTo>
                  <a:lnTo>
                    <a:pt x="17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1" name="Freeform 433">
              <a:extLst>
                <a:ext uri="{FF2B5EF4-FFF2-40B4-BE49-F238E27FC236}">
                  <a16:creationId xmlns:a16="http://schemas.microsoft.com/office/drawing/2014/main" id="{9A90E111-F790-45CE-81EC-0D8B8A567676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26 w 34"/>
                <a:gd name="T1" fmla="*/ 102 h 102"/>
                <a:gd name="T2" fmla="*/ 34 w 34"/>
                <a:gd name="T3" fmla="*/ 99 h 102"/>
                <a:gd name="T4" fmla="*/ 0 w 34"/>
                <a:gd name="T5" fmla="*/ 0 h 102"/>
                <a:gd name="T6" fmla="*/ 26 w 34"/>
                <a:gd name="T7" fmla="*/ 10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26" y="102"/>
                  </a:moveTo>
                  <a:lnTo>
                    <a:pt x="34" y="99"/>
                  </a:lnTo>
                  <a:lnTo>
                    <a:pt x="0" y="0"/>
                  </a:lnTo>
                  <a:lnTo>
                    <a:pt x="26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2" name="Freeform 434">
              <a:extLst>
                <a:ext uri="{FF2B5EF4-FFF2-40B4-BE49-F238E27FC236}">
                  <a16:creationId xmlns:a16="http://schemas.microsoft.com/office/drawing/2014/main" id="{E2576B58-C37C-4840-9C76-3D35BC249DF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34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4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4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4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3" name="Freeform 435">
              <a:extLst>
                <a:ext uri="{FF2B5EF4-FFF2-40B4-BE49-F238E27FC236}">
                  <a16:creationId xmlns:a16="http://schemas.microsoft.com/office/drawing/2014/main" id="{86CB74CB-2B77-41B9-A3A9-5A0F4FB921C6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42 w 50"/>
                <a:gd name="T1" fmla="*/ 96 h 96"/>
                <a:gd name="T2" fmla="*/ 50 w 50"/>
                <a:gd name="T3" fmla="*/ 92 h 96"/>
                <a:gd name="T4" fmla="*/ 0 w 50"/>
                <a:gd name="T5" fmla="*/ 0 h 96"/>
                <a:gd name="T6" fmla="*/ 42 w 50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42" y="96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4" name="Freeform 436">
              <a:extLst>
                <a:ext uri="{FF2B5EF4-FFF2-40B4-BE49-F238E27FC236}">
                  <a16:creationId xmlns:a16="http://schemas.microsoft.com/office/drawing/2014/main" id="{92E391F1-9EBB-4C3F-92BD-1D40FB59BF4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0 w 58"/>
                <a:gd name="T1" fmla="*/ 92 h 92"/>
                <a:gd name="T2" fmla="*/ 58 w 58"/>
                <a:gd name="T3" fmla="*/ 88 h 92"/>
                <a:gd name="T4" fmla="*/ 0 w 58"/>
                <a:gd name="T5" fmla="*/ 0 h 92"/>
                <a:gd name="T6" fmla="*/ 50 w 58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2">
                  <a:moveTo>
                    <a:pt x="50" y="92"/>
                  </a:moveTo>
                  <a:lnTo>
                    <a:pt x="58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5" name="Freeform 437">
              <a:extLst>
                <a:ext uri="{FF2B5EF4-FFF2-40B4-BE49-F238E27FC236}">
                  <a16:creationId xmlns:a16="http://schemas.microsoft.com/office/drawing/2014/main" id="{3E8680DC-E5CA-4C5F-976C-39A1AA5E874D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8 w 65"/>
                <a:gd name="T1" fmla="*/ 88 h 88"/>
                <a:gd name="T2" fmla="*/ 65 w 65"/>
                <a:gd name="T3" fmla="*/ 83 h 88"/>
                <a:gd name="T4" fmla="*/ 0 w 65"/>
                <a:gd name="T5" fmla="*/ 0 h 88"/>
                <a:gd name="T6" fmla="*/ 58 w 65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58" y="88"/>
                  </a:moveTo>
                  <a:lnTo>
                    <a:pt x="65" y="83"/>
                  </a:lnTo>
                  <a:lnTo>
                    <a:pt x="0" y="0"/>
                  </a:lnTo>
                  <a:lnTo>
                    <a:pt x="58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6" name="Freeform 438">
              <a:extLst>
                <a:ext uri="{FF2B5EF4-FFF2-40B4-BE49-F238E27FC236}">
                  <a16:creationId xmlns:a16="http://schemas.microsoft.com/office/drawing/2014/main" id="{3276FFAC-37F0-44BD-97A8-38F91B4F7343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65 w 71"/>
                <a:gd name="T1" fmla="*/ 83 h 83"/>
                <a:gd name="T2" fmla="*/ 71 w 71"/>
                <a:gd name="T3" fmla="*/ 77 h 83"/>
                <a:gd name="T4" fmla="*/ 0 w 71"/>
                <a:gd name="T5" fmla="*/ 0 h 83"/>
                <a:gd name="T6" fmla="*/ 65 w 71"/>
                <a:gd name="T7" fmla="*/ 83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65" y="83"/>
                  </a:moveTo>
                  <a:lnTo>
                    <a:pt x="71" y="77"/>
                  </a:lnTo>
                  <a:lnTo>
                    <a:pt x="0" y="0"/>
                  </a:lnTo>
                  <a:lnTo>
                    <a:pt x="65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7" name="Freeform 439">
              <a:extLst>
                <a:ext uri="{FF2B5EF4-FFF2-40B4-BE49-F238E27FC236}">
                  <a16:creationId xmlns:a16="http://schemas.microsoft.com/office/drawing/2014/main" id="{97E2FE13-F871-466F-B6C0-6CDBAF12437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1 w 77"/>
                <a:gd name="T1" fmla="*/ 77 h 77"/>
                <a:gd name="T2" fmla="*/ 77 w 77"/>
                <a:gd name="T3" fmla="*/ 71 h 77"/>
                <a:gd name="T4" fmla="*/ 0 w 77"/>
                <a:gd name="T5" fmla="*/ 0 h 77"/>
                <a:gd name="T6" fmla="*/ 71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1" y="77"/>
                  </a:moveTo>
                  <a:lnTo>
                    <a:pt x="77" y="71"/>
                  </a:lnTo>
                  <a:lnTo>
                    <a:pt x="0" y="0"/>
                  </a:lnTo>
                  <a:lnTo>
                    <a:pt x="71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8" name="Freeform 440">
              <a:extLst>
                <a:ext uri="{FF2B5EF4-FFF2-40B4-BE49-F238E27FC236}">
                  <a16:creationId xmlns:a16="http://schemas.microsoft.com/office/drawing/2014/main" id="{019227B9-F6B2-400A-A5E2-AA59A534B01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7 w 83"/>
                <a:gd name="T1" fmla="*/ 71 h 71"/>
                <a:gd name="T2" fmla="*/ 83 w 83"/>
                <a:gd name="T3" fmla="*/ 64 h 71"/>
                <a:gd name="T4" fmla="*/ 0 w 83"/>
                <a:gd name="T5" fmla="*/ 0 h 71"/>
                <a:gd name="T6" fmla="*/ 77 w 83"/>
                <a:gd name="T7" fmla="*/ 71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1">
                  <a:moveTo>
                    <a:pt x="77" y="71"/>
                  </a:moveTo>
                  <a:lnTo>
                    <a:pt x="83" y="64"/>
                  </a:lnTo>
                  <a:lnTo>
                    <a:pt x="0" y="0"/>
                  </a:lnTo>
                  <a:lnTo>
                    <a:pt x="77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9" name="Freeform 441">
              <a:extLst>
                <a:ext uri="{FF2B5EF4-FFF2-40B4-BE49-F238E27FC236}">
                  <a16:creationId xmlns:a16="http://schemas.microsoft.com/office/drawing/2014/main" id="{6A4D5216-2E7B-4AB4-9613-A5A8A5304F4C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3 w 88"/>
                <a:gd name="T1" fmla="*/ 64 h 64"/>
                <a:gd name="T2" fmla="*/ 88 w 88"/>
                <a:gd name="T3" fmla="*/ 57 h 64"/>
                <a:gd name="T4" fmla="*/ 0 w 88"/>
                <a:gd name="T5" fmla="*/ 0 h 64"/>
                <a:gd name="T6" fmla="*/ 83 w 88"/>
                <a:gd name="T7" fmla="*/ 64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4">
                  <a:moveTo>
                    <a:pt x="83" y="64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3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0" name="Freeform 442">
              <a:extLst>
                <a:ext uri="{FF2B5EF4-FFF2-40B4-BE49-F238E27FC236}">
                  <a16:creationId xmlns:a16="http://schemas.microsoft.com/office/drawing/2014/main" id="{2B2814DF-CCD0-4F11-B883-9014EABFD10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8 w 93"/>
                <a:gd name="T1" fmla="*/ 57 h 57"/>
                <a:gd name="T2" fmla="*/ 93 w 93"/>
                <a:gd name="T3" fmla="*/ 50 h 57"/>
                <a:gd name="T4" fmla="*/ 0 w 93"/>
                <a:gd name="T5" fmla="*/ 0 h 57"/>
                <a:gd name="T6" fmla="*/ 88 w 93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7">
                  <a:moveTo>
                    <a:pt x="88" y="57"/>
                  </a:moveTo>
                  <a:lnTo>
                    <a:pt x="93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1" name="Freeform 443">
              <a:extLst>
                <a:ext uri="{FF2B5EF4-FFF2-40B4-BE49-F238E27FC236}">
                  <a16:creationId xmlns:a16="http://schemas.microsoft.com/office/drawing/2014/main" id="{AE70BA1F-133C-48DE-BA73-62332A53A58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3 w 96"/>
                <a:gd name="T1" fmla="*/ 50 h 50"/>
                <a:gd name="T2" fmla="*/ 96 w 96"/>
                <a:gd name="T3" fmla="*/ 42 h 50"/>
                <a:gd name="T4" fmla="*/ 0 w 96"/>
                <a:gd name="T5" fmla="*/ 0 h 50"/>
                <a:gd name="T6" fmla="*/ 93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3" y="50"/>
                  </a:moveTo>
                  <a:lnTo>
                    <a:pt x="96" y="42"/>
                  </a:lnTo>
                  <a:lnTo>
                    <a:pt x="0" y="0"/>
                  </a:lnTo>
                  <a:lnTo>
                    <a:pt x="93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2" name="Freeform 444">
              <a:extLst>
                <a:ext uri="{FF2B5EF4-FFF2-40B4-BE49-F238E27FC236}">
                  <a16:creationId xmlns:a16="http://schemas.microsoft.com/office/drawing/2014/main" id="{44D065C9-11A8-4D05-A22F-C5414746B473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6 w 99"/>
                <a:gd name="T1" fmla="*/ 42 h 42"/>
                <a:gd name="T2" fmla="*/ 99 w 99"/>
                <a:gd name="T3" fmla="*/ 34 h 42"/>
                <a:gd name="T4" fmla="*/ 0 w 99"/>
                <a:gd name="T5" fmla="*/ 0 h 42"/>
                <a:gd name="T6" fmla="*/ 96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6" y="42"/>
                  </a:moveTo>
                  <a:lnTo>
                    <a:pt x="99" y="34"/>
                  </a:lnTo>
                  <a:lnTo>
                    <a:pt x="0" y="0"/>
                  </a:lnTo>
                  <a:lnTo>
                    <a:pt x="96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3" name="Freeform 445">
              <a:extLst>
                <a:ext uri="{FF2B5EF4-FFF2-40B4-BE49-F238E27FC236}">
                  <a16:creationId xmlns:a16="http://schemas.microsoft.com/office/drawing/2014/main" id="{38FDDDF4-6CD2-466B-93D5-D59EA067BBA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99 w 102"/>
                <a:gd name="T1" fmla="*/ 34 h 34"/>
                <a:gd name="T2" fmla="*/ 102 w 102"/>
                <a:gd name="T3" fmla="*/ 26 h 34"/>
                <a:gd name="T4" fmla="*/ 0 w 102"/>
                <a:gd name="T5" fmla="*/ 0 h 34"/>
                <a:gd name="T6" fmla="*/ 99 w 102"/>
                <a:gd name="T7" fmla="*/ 34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4">
                  <a:moveTo>
                    <a:pt x="99" y="34"/>
                  </a:moveTo>
                  <a:lnTo>
                    <a:pt x="102" y="26"/>
                  </a:lnTo>
                  <a:lnTo>
                    <a:pt x="0" y="0"/>
                  </a:lnTo>
                  <a:lnTo>
                    <a:pt x="99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4" name="Freeform 446">
              <a:extLst>
                <a:ext uri="{FF2B5EF4-FFF2-40B4-BE49-F238E27FC236}">
                  <a16:creationId xmlns:a16="http://schemas.microsoft.com/office/drawing/2014/main" id="{0A5FC68C-BF88-4C9C-B8F1-73C367EA15C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2 w 104"/>
                <a:gd name="T1" fmla="*/ 26 h 26"/>
                <a:gd name="T2" fmla="*/ 104 w 104"/>
                <a:gd name="T3" fmla="*/ 17 h 26"/>
                <a:gd name="T4" fmla="*/ 0 w 104"/>
                <a:gd name="T5" fmla="*/ 0 h 26"/>
                <a:gd name="T6" fmla="*/ 102 w 104"/>
                <a:gd name="T7" fmla="*/ 26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2" y="26"/>
                  </a:moveTo>
                  <a:lnTo>
                    <a:pt x="104" y="17"/>
                  </a:lnTo>
                  <a:lnTo>
                    <a:pt x="0" y="0"/>
                  </a:lnTo>
                  <a:lnTo>
                    <a:pt x="102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5" name="Freeform 447">
              <a:extLst>
                <a:ext uri="{FF2B5EF4-FFF2-40B4-BE49-F238E27FC236}">
                  <a16:creationId xmlns:a16="http://schemas.microsoft.com/office/drawing/2014/main" id="{8B65650D-36A6-4D5E-9D63-E68AFA7B406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4 w 105"/>
                <a:gd name="T1" fmla="*/ 17 h 17"/>
                <a:gd name="T2" fmla="*/ 105 w 105"/>
                <a:gd name="T3" fmla="*/ 8 h 17"/>
                <a:gd name="T4" fmla="*/ 0 w 105"/>
                <a:gd name="T5" fmla="*/ 0 h 17"/>
                <a:gd name="T6" fmla="*/ 104 w 105"/>
                <a:gd name="T7" fmla="*/ 17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7">
                  <a:moveTo>
                    <a:pt x="104" y="17"/>
                  </a:moveTo>
                  <a:lnTo>
                    <a:pt x="105" y="8"/>
                  </a:lnTo>
                  <a:lnTo>
                    <a:pt x="0" y="0"/>
                  </a:lnTo>
                  <a:lnTo>
                    <a:pt x="104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6" name="Freeform 448">
              <a:extLst>
                <a:ext uri="{FF2B5EF4-FFF2-40B4-BE49-F238E27FC236}">
                  <a16:creationId xmlns:a16="http://schemas.microsoft.com/office/drawing/2014/main" id="{84A0BDE6-8927-41AB-B918-B022BEF11EC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0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7" name="Freeform 449">
              <a:extLst>
                <a:ext uri="{FF2B5EF4-FFF2-40B4-BE49-F238E27FC236}">
                  <a16:creationId xmlns:a16="http://schemas.microsoft.com/office/drawing/2014/main" id="{12CAAAAD-76F5-4785-8DE0-92B415ADF4C4}"/>
                </a:ext>
              </a:extLst>
            </xdr:cNvPr>
            <xdr:cNvSpPr>
              <a:spLocks/>
            </xdr:cNvSpPr>
          </xdr:nvSpPr>
          <xdr:spPr bwMode="auto">
            <a:xfrm>
              <a:off x="1178" y="188"/>
              <a:ext cx="6" cy="9"/>
            </a:xfrm>
            <a:custGeom>
              <a:avLst/>
              <a:gdLst>
                <a:gd name="T0" fmla="*/ 0 w 350"/>
                <a:gd name="T1" fmla="*/ 526 h 526"/>
                <a:gd name="T2" fmla="*/ 263 w 350"/>
                <a:gd name="T3" fmla="*/ 526 h 526"/>
                <a:gd name="T4" fmla="*/ 350 w 350"/>
                <a:gd name="T5" fmla="*/ 439 h 526"/>
                <a:gd name="T6" fmla="*/ 350 w 350"/>
                <a:gd name="T7" fmla="*/ 88 h 526"/>
                <a:gd name="T8" fmla="*/ 263 w 350"/>
                <a:gd name="T9" fmla="*/ 0 h 526"/>
                <a:gd name="T10" fmla="*/ 0 w 350"/>
                <a:gd name="T11" fmla="*/ 0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0" h="526">
                  <a:moveTo>
                    <a:pt x="0" y="526"/>
                  </a:moveTo>
                  <a:lnTo>
                    <a:pt x="263" y="526"/>
                  </a:lnTo>
                  <a:lnTo>
                    <a:pt x="350" y="439"/>
                  </a:lnTo>
                  <a:lnTo>
                    <a:pt x="350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38" name="Line 450">
              <a:extLst>
                <a:ext uri="{FF2B5EF4-FFF2-40B4-BE49-F238E27FC236}">
                  <a16:creationId xmlns:a16="http://schemas.microsoft.com/office/drawing/2014/main" id="{3D66FB50-39C7-410A-956D-4820C772088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0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9" name="Freeform 451">
              <a:extLst>
                <a:ext uri="{FF2B5EF4-FFF2-40B4-BE49-F238E27FC236}">
                  <a16:creationId xmlns:a16="http://schemas.microsoft.com/office/drawing/2014/main" id="{B516AF08-A1F0-46FA-BBDD-C20B247DF6B5}"/>
                </a:ext>
              </a:extLst>
            </xdr:cNvPr>
            <xdr:cNvSpPr>
              <a:spLocks/>
            </xdr:cNvSpPr>
          </xdr:nvSpPr>
          <xdr:spPr bwMode="auto">
            <a:xfrm>
              <a:off x="1190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40" name="Freeform 452">
              <a:extLst>
                <a:ext uri="{FF2B5EF4-FFF2-40B4-BE49-F238E27FC236}">
                  <a16:creationId xmlns:a16="http://schemas.microsoft.com/office/drawing/2014/main" id="{BE4610FF-2CF0-41E2-8FB3-A511533B9001}"/>
                </a:ext>
              </a:extLst>
            </xdr:cNvPr>
            <xdr:cNvSpPr>
              <a:spLocks/>
            </xdr:cNvSpPr>
          </xdr:nvSpPr>
          <xdr:spPr bwMode="auto">
            <a:xfrm>
              <a:off x="1190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6" name="Freeform 454">
            <a:extLst>
              <a:ext uri="{FF2B5EF4-FFF2-40B4-BE49-F238E27FC236}">
                <a16:creationId xmlns:a16="http://schemas.microsoft.com/office/drawing/2014/main" id="{661C397E-E1DC-4DEA-85BA-E375A001429A}"/>
              </a:ext>
            </a:extLst>
          </xdr:cNvPr>
          <xdr:cNvSpPr>
            <a:spLocks/>
          </xdr:cNvSpPr>
        </xdr:nvSpPr>
        <xdr:spPr bwMode="auto">
          <a:xfrm>
            <a:off x="1190" y="200"/>
            <a:ext cx="1" cy="2"/>
          </a:xfrm>
          <a:custGeom>
            <a:avLst/>
            <a:gdLst>
              <a:gd name="T0" fmla="*/ 53 w 53"/>
              <a:gd name="T1" fmla="*/ 14 h 106"/>
              <a:gd name="T2" fmla="*/ 0 w 53"/>
              <a:gd name="T3" fmla="*/ 0 h 106"/>
              <a:gd name="T4" fmla="*/ 0 w 53"/>
              <a:gd name="T5" fmla="*/ 106 h 106"/>
              <a:gd name="T6" fmla="*/ 53 w 53"/>
              <a:gd name="T7" fmla="*/ 14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14"/>
                </a:moveTo>
                <a:lnTo>
                  <a:pt x="0" y="0"/>
                </a:lnTo>
                <a:lnTo>
                  <a:pt x="0" y="106"/>
                </a:lnTo>
                <a:lnTo>
                  <a:pt x="53" y="14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Freeform 455">
            <a:extLst>
              <a:ext uri="{FF2B5EF4-FFF2-40B4-BE49-F238E27FC236}">
                <a16:creationId xmlns:a16="http://schemas.microsoft.com/office/drawing/2014/main" id="{9B3A9051-F10C-4995-8760-9F9A9D9D29CF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53 w 53"/>
              <a:gd name="T1" fmla="*/ 0 h 106"/>
              <a:gd name="T2" fmla="*/ 0 w 53"/>
              <a:gd name="T3" fmla="*/ 14 h 106"/>
              <a:gd name="T4" fmla="*/ 53 w 53"/>
              <a:gd name="T5" fmla="*/ 106 h 106"/>
              <a:gd name="T6" fmla="*/ 53 w 53"/>
              <a:gd name="T7" fmla="*/ 0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0"/>
                </a:moveTo>
                <a:lnTo>
                  <a:pt x="0" y="14"/>
                </a:lnTo>
                <a:lnTo>
                  <a:pt x="53" y="106"/>
                </a:lnTo>
                <a:lnTo>
                  <a:pt x="53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" name="Freeform 456">
            <a:extLst>
              <a:ext uri="{FF2B5EF4-FFF2-40B4-BE49-F238E27FC236}">
                <a16:creationId xmlns:a16="http://schemas.microsoft.com/office/drawing/2014/main" id="{7AB52210-383D-48EE-AC8F-EE78E36CDC68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38 w 91"/>
              <a:gd name="T1" fmla="*/ 0 h 92"/>
              <a:gd name="T2" fmla="*/ 0 w 91"/>
              <a:gd name="T3" fmla="*/ 39 h 92"/>
              <a:gd name="T4" fmla="*/ 91 w 91"/>
              <a:gd name="T5" fmla="*/ 92 h 92"/>
              <a:gd name="T6" fmla="*/ 38 w 91"/>
              <a:gd name="T7" fmla="*/ 0 h 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2">
                <a:moveTo>
                  <a:pt x="38" y="0"/>
                </a:moveTo>
                <a:lnTo>
                  <a:pt x="0" y="39"/>
                </a:lnTo>
                <a:lnTo>
                  <a:pt x="91" y="92"/>
                </a:lnTo>
                <a:lnTo>
                  <a:pt x="38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Freeform 457">
            <a:extLst>
              <a:ext uri="{FF2B5EF4-FFF2-40B4-BE49-F238E27FC236}">
                <a16:creationId xmlns:a16="http://schemas.microsoft.com/office/drawing/2014/main" id="{FD8073F7-62A3-4CD7-BF37-B4A8E20FB842}"/>
              </a:ext>
            </a:extLst>
          </xdr:cNvPr>
          <xdr:cNvSpPr>
            <a:spLocks/>
          </xdr:cNvSpPr>
        </xdr:nvSpPr>
        <xdr:spPr bwMode="auto">
          <a:xfrm>
            <a:off x="1188" y="201"/>
            <a:ext cx="2" cy="1"/>
          </a:xfrm>
          <a:custGeom>
            <a:avLst/>
            <a:gdLst>
              <a:gd name="T0" fmla="*/ 15 w 106"/>
              <a:gd name="T1" fmla="*/ 0 h 53"/>
              <a:gd name="T2" fmla="*/ 0 w 106"/>
              <a:gd name="T3" fmla="*/ 53 h 53"/>
              <a:gd name="T4" fmla="*/ 106 w 106"/>
              <a:gd name="T5" fmla="*/ 53 h 53"/>
              <a:gd name="T6" fmla="*/ 15 w 106"/>
              <a:gd name="T7" fmla="*/ 0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3">
                <a:moveTo>
                  <a:pt x="15" y="0"/>
                </a:moveTo>
                <a:lnTo>
                  <a:pt x="0" y="53"/>
                </a:lnTo>
                <a:lnTo>
                  <a:pt x="106" y="53"/>
                </a:lnTo>
                <a:lnTo>
                  <a:pt x="15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" name="Freeform 458">
            <a:extLst>
              <a:ext uri="{FF2B5EF4-FFF2-40B4-BE49-F238E27FC236}">
                <a16:creationId xmlns:a16="http://schemas.microsoft.com/office/drawing/2014/main" id="{72206B93-582D-4026-AE96-5C8143AAA02B}"/>
              </a:ext>
            </a:extLst>
          </xdr:cNvPr>
          <xdr:cNvSpPr>
            <a:spLocks/>
          </xdr:cNvSpPr>
        </xdr:nvSpPr>
        <xdr:spPr bwMode="auto">
          <a:xfrm>
            <a:off x="1188" y="202"/>
            <a:ext cx="2" cy="1"/>
          </a:xfrm>
          <a:custGeom>
            <a:avLst/>
            <a:gdLst>
              <a:gd name="T0" fmla="*/ 0 w 106"/>
              <a:gd name="T1" fmla="*/ 0 h 52"/>
              <a:gd name="T2" fmla="*/ 15 w 106"/>
              <a:gd name="T3" fmla="*/ 52 h 52"/>
              <a:gd name="T4" fmla="*/ 106 w 106"/>
              <a:gd name="T5" fmla="*/ 0 h 52"/>
              <a:gd name="T6" fmla="*/ 0 w 106"/>
              <a:gd name="T7" fmla="*/ 0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2">
                <a:moveTo>
                  <a:pt x="0" y="0"/>
                </a:moveTo>
                <a:lnTo>
                  <a:pt x="15" y="52"/>
                </a:lnTo>
                <a:lnTo>
                  <a:pt x="106" y="0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" name="Freeform 459">
            <a:extLst>
              <a:ext uri="{FF2B5EF4-FFF2-40B4-BE49-F238E27FC236}">
                <a16:creationId xmlns:a16="http://schemas.microsoft.com/office/drawing/2014/main" id="{1259108C-C00C-4548-9058-836F5BA9E1DE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1"/>
          </a:xfrm>
          <a:custGeom>
            <a:avLst/>
            <a:gdLst>
              <a:gd name="T0" fmla="*/ 0 w 91"/>
              <a:gd name="T1" fmla="*/ 52 h 91"/>
              <a:gd name="T2" fmla="*/ 38 w 91"/>
              <a:gd name="T3" fmla="*/ 91 h 91"/>
              <a:gd name="T4" fmla="*/ 91 w 91"/>
              <a:gd name="T5" fmla="*/ 0 h 91"/>
              <a:gd name="T6" fmla="*/ 0 w 91"/>
              <a:gd name="T7" fmla="*/ 52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0" y="52"/>
                </a:moveTo>
                <a:lnTo>
                  <a:pt x="38" y="91"/>
                </a:lnTo>
                <a:lnTo>
                  <a:pt x="91" y="0"/>
                </a:lnTo>
                <a:lnTo>
                  <a:pt x="0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" name="Freeform 460">
            <a:extLst>
              <a:ext uri="{FF2B5EF4-FFF2-40B4-BE49-F238E27FC236}">
                <a16:creationId xmlns:a16="http://schemas.microsoft.com/office/drawing/2014/main" id="{D891C8CF-379D-4796-9C18-69FFDCAAA0EA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2"/>
          </a:xfrm>
          <a:custGeom>
            <a:avLst/>
            <a:gdLst>
              <a:gd name="T0" fmla="*/ 0 w 53"/>
              <a:gd name="T1" fmla="*/ 91 h 105"/>
              <a:gd name="T2" fmla="*/ 53 w 53"/>
              <a:gd name="T3" fmla="*/ 105 h 105"/>
              <a:gd name="T4" fmla="*/ 53 w 53"/>
              <a:gd name="T5" fmla="*/ 0 h 105"/>
              <a:gd name="T6" fmla="*/ 0 w 53"/>
              <a:gd name="T7" fmla="*/ 9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91"/>
                </a:moveTo>
                <a:lnTo>
                  <a:pt x="53" y="105"/>
                </a:lnTo>
                <a:lnTo>
                  <a:pt x="53" y="0"/>
                </a:lnTo>
                <a:lnTo>
                  <a:pt x="0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" name="Freeform 461">
            <a:extLst>
              <a:ext uri="{FF2B5EF4-FFF2-40B4-BE49-F238E27FC236}">
                <a16:creationId xmlns:a16="http://schemas.microsoft.com/office/drawing/2014/main" id="{E2ED7EF4-1499-4B55-8BFA-3712E7EA0FD4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1" cy="2"/>
          </a:xfrm>
          <a:custGeom>
            <a:avLst/>
            <a:gdLst>
              <a:gd name="T0" fmla="*/ 0 w 53"/>
              <a:gd name="T1" fmla="*/ 105 h 105"/>
              <a:gd name="T2" fmla="*/ 53 w 53"/>
              <a:gd name="T3" fmla="*/ 91 h 105"/>
              <a:gd name="T4" fmla="*/ 0 w 53"/>
              <a:gd name="T5" fmla="*/ 0 h 105"/>
              <a:gd name="T6" fmla="*/ 0 w 53"/>
              <a:gd name="T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105"/>
                </a:moveTo>
                <a:lnTo>
                  <a:pt x="53" y="91"/>
                </a:lnTo>
                <a:lnTo>
                  <a:pt x="0" y="0"/>
                </a:lnTo>
                <a:lnTo>
                  <a:pt x="0" y="105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4" name="Freeform 462">
            <a:extLst>
              <a:ext uri="{FF2B5EF4-FFF2-40B4-BE49-F238E27FC236}">
                <a16:creationId xmlns:a16="http://schemas.microsoft.com/office/drawing/2014/main" id="{842EBF75-85F8-40EB-A108-B7DC8A16D776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53 w 91"/>
              <a:gd name="T1" fmla="*/ 91 h 91"/>
              <a:gd name="T2" fmla="*/ 91 w 91"/>
              <a:gd name="T3" fmla="*/ 52 h 91"/>
              <a:gd name="T4" fmla="*/ 0 w 91"/>
              <a:gd name="T5" fmla="*/ 0 h 91"/>
              <a:gd name="T6" fmla="*/ 53 w 91"/>
              <a:gd name="T7" fmla="*/ 91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53" y="91"/>
                </a:moveTo>
                <a:lnTo>
                  <a:pt x="91" y="52"/>
                </a:lnTo>
                <a:lnTo>
                  <a:pt x="0" y="0"/>
                </a:lnTo>
                <a:lnTo>
                  <a:pt x="53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" name="Freeform 463">
            <a:extLst>
              <a:ext uri="{FF2B5EF4-FFF2-40B4-BE49-F238E27FC236}">
                <a16:creationId xmlns:a16="http://schemas.microsoft.com/office/drawing/2014/main" id="{6F2A72E2-3AEB-44E3-9C9E-1C828F1F63D0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91 w 105"/>
              <a:gd name="T1" fmla="*/ 52 h 52"/>
              <a:gd name="T2" fmla="*/ 105 w 105"/>
              <a:gd name="T3" fmla="*/ 0 h 52"/>
              <a:gd name="T4" fmla="*/ 0 w 105"/>
              <a:gd name="T5" fmla="*/ 0 h 52"/>
              <a:gd name="T6" fmla="*/ 91 w 105"/>
              <a:gd name="T7" fmla="*/ 52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5" h="52">
                <a:moveTo>
                  <a:pt x="91" y="52"/>
                </a:moveTo>
                <a:lnTo>
                  <a:pt x="105" y="0"/>
                </a:lnTo>
                <a:lnTo>
                  <a:pt x="0" y="0"/>
                </a:lnTo>
                <a:lnTo>
                  <a:pt x="91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" name="Line 464">
            <a:extLst>
              <a:ext uri="{FF2B5EF4-FFF2-40B4-BE49-F238E27FC236}">
                <a16:creationId xmlns:a16="http://schemas.microsoft.com/office/drawing/2014/main" id="{ED109D32-E207-4C84-95BA-44828C916C1F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465">
            <a:extLst>
              <a:ext uri="{FF2B5EF4-FFF2-40B4-BE49-F238E27FC236}">
                <a16:creationId xmlns:a16="http://schemas.microsoft.com/office/drawing/2014/main" id="{E3A76241-7509-43CC-9BE7-C2F8E26BF159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466">
            <a:extLst>
              <a:ext uri="{FF2B5EF4-FFF2-40B4-BE49-F238E27FC236}">
                <a16:creationId xmlns:a16="http://schemas.microsoft.com/office/drawing/2014/main" id="{2BCE3465-0F14-495E-BFC3-B94DE2CC3930}"/>
              </a:ext>
            </a:extLst>
          </xdr:cNvPr>
          <xdr:cNvSpPr>
            <a:spLocks noChangeShapeType="1"/>
          </xdr:cNvSpPr>
        </xdr:nvSpPr>
        <xdr:spPr bwMode="auto">
          <a:xfrm>
            <a:off x="842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Freeform 467">
            <a:extLst>
              <a:ext uri="{FF2B5EF4-FFF2-40B4-BE49-F238E27FC236}">
                <a16:creationId xmlns:a16="http://schemas.microsoft.com/office/drawing/2014/main" id="{41D75799-48C7-4F31-ADB8-12379BF093C0}"/>
              </a:ext>
            </a:extLst>
          </xdr:cNvPr>
          <xdr:cNvSpPr>
            <a:spLocks/>
          </xdr:cNvSpPr>
        </xdr:nvSpPr>
        <xdr:spPr bwMode="auto">
          <a:xfrm>
            <a:off x="833" y="268"/>
            <a:ext cx="9" cy="2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" name="Freeform 468">
            <a:extLst>
              <a:ext uri="{FF2B5EF4-FFF2-40B4-BE49-F238E27FC236}">
                <a16:creationId xmlns:a16="http://schemas.microsoft.com/office/drawing/2014/main" id="{91FC2AE2-B0FF-4CAA-8C86-BA8C89A9275B}"/>
              </a:ext>
            </a:extLst>
          </xdr:cNvPr>
          <xdr:cNvSpPr>
            <a:spLocks/>
          </xdr:cNvSpPr>
        </xdr:nvSpPr>
        <xdr:spPr bwMode="auto">
          <a:xfrm>
            <a:off x="922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1" name="Line 474">
            <a:extLst>
              <a:ext uri="{FF2B5EF4-FFF2-40B4-BE49-F238E27FC236}">
                <a16:creationId xmlns:a16="http://schemas.microsoft.com/office/drawing/2014/main" id="{365826D3-34E1-46A6-8D95-254DEB830AEF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75">
            <a:extLst>
              <a:ext uri="{FF2B5EF4-FFF2-40B4-BE49-F238E27FC236}">
                <a16:creationId xmlns:a16="http://schemas.microsoft.com/office/drawing/2014/main" id="{40AB9E34-70E5-4632-AEBB-762C6470E8EF}"/>
              </a:ext>
            </a:extLst>
          </xdr:cNvPr>
          <xdr:cNvSpPr>
            <a:spLocks noChangeShapeType="1"/>
          </xdr:cNvSpPr>
        </xdr:nvSpPr>
        <xdr:spPr bwMode="auto">
          <a:xfrm>
            <a:off x="1029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76">
            <a:extLst>
              <a:ext uri="{FF2B5EF4-FFF2-40B4-BE49-F238E27FC236}">
                <a16:creationId xmlns:a16="http://schemas.microsoft.com/office/drawing/2014/main" id="{5750E796-2571-40D1-ADD3-FFD15E94861A}"/>
              </a:ext>
            </a:extLst>
          </xdr:cNvPr>
          <xdr:cNvSpPr>
            <a:spLocks noChangeShapeType="1"/>
          </xdr:cNvSpPr>
        </xdr:nvSpPr>
        <xdr:spPr bwMode="auto">
          <a:xfrm>
            <a:off x="940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Freeform 477">
            <a:extLst>
              <a:ext uri="{FF2B5EF4-FFF2-40B4-BE49-F238E27FC236}">
                <a16:creationId xmlns:a16="http://schemas.microsoft.com/office/drawing/2014/main" id="{BFB5EF53-82D0-4BB2-8CE6-D2E286217ECC}"/>
              </a:ext>
            </a:extLst>
          </xdr:cNvPr>
          <xdr:cNvSpPr>
            <a:spLocks/>
          </xdr:cNvSpPr>
        </xdr:nvSpPr>
        <xdr:spPr bwMode="auto">
          <a:xfrm>
            <a:off x="931" y="268"/>
            <a:ext cx="9" cy="2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8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8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5" name="Freeform 478">
            <a:extLst>
              <a:ext uri="{FF2B5EF4-FFF2-40B4-BE49-F238E27FC236}">
                <a16:creationId xmlns:a16="http://schemas.microsoft.com/office/drawing/2014/main" id="{DC074C1A-59ED-4EFA-932F-C611F45A0C75}"/>
              </a:ext>
            </a:extLst>
          </xdr:cNvPr>
          <xdr:cNvSpPr>
            <a:spLocks/>
          </xdr:cNvSpPr>
        </xdr:nvSpPr>
        <xdr:spPr bwMode="auto">
          <a:xfrm>
            <a:off x="1020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6" name="Line 484">
            <a:extLst>
              <a:ext uri="{FF2B5EF4-FFF2-40B4-BE49-F238E27FC236}">
                <a16:creationId xmlns:a16="http://schemas.microsoft.com/office/drawing/2014/main" id="{D1E8DC42-0155-402A-9F4F-93C83DB17098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89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485">
            <a:extLst>
              <a:ext uri="{FF2B5EF4-FFF2-40B4-BE49-F238E27FC236}">
                <a16:creationId xmlns:a16="http://schemas.microsoft.com/office/drawing/2014/main" id="{BD917358-B6B2-4C1B-85C4-41296B3A12FE}"/>
              </a:ext>
            </a:extLst>
          </xdr:cNvPr>
          <xdr:cNvSpPr>
            <a:spLocks noChangeShapeType="1"/>
          </xdr:cNvSpPr>
        </xdr:nvSpPr>
        <xdr:spPr bwMode="auto">
          <a:xfrm>
            <a:off x="1190" y="299"/>
            <a:ext cx="0" cy="3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86">
            <a:extLst>
              <a:ext uri="{FF2B5EF4-FFF2-40B4-BE49-F238E27FC236}">
                <a16:creationId xmlns:a16="http://schemas.microsoft.com/office/drawing/2014/main" id="{FAC9F526-5043-4D3C-9834-A58701B2278D}"/>
              </a:ext>
            </a:extLst>
          </xdr:cNvPr>
          <xdr:cNvSpPr>
            <a:spLocks noChangeShapeType="1"/>
          </xdr:cNvSpPr>
        </xdr:nvSpPr>
        <xdr:spPr bwMode="auto">
          <a:xfrm>
            <a:off x="842" y="325"/>
            <a:ext cx="339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Freeform 487">
            <a:extLst>
              <a:ext uri="{FF2B5EF4-FFF2-40B4-BE49-F238E27FC236}">
                <a16:creationId xmlns:a16="http://schemas.microsoft.com/office/drawing/2014/main" id="{B3CF4690-32A0-48D3-A746-F0012A4896BC}"/>
              </a:ext>
            </a:extLst>
          </xdr:cNvPr>
          <xdr:cNvSpPr>
            <a:spLocks/>
          </xdr:cNvSpPr>
        </xdr:nvSpPr>
        <xdr:spPr bwMode="auto">
          <a:xfrm>
            <a:off x="833" y="323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" name="Freeform 488">
            <a:extLst>
              <a:ext uri="{FF2B5EF4-FFF2-40B4-BE49-F238E27FC236}">
                <a16:creationId xmlns:a16="http://schemas.microsoft.com/office/drawing/2014/main" id="{CBECE25A-56C2-4019-B010-F76531A27F19}"/>
              </a:ext>
            </a:extLst>
          </xdr:cNvPr>
          <xdr:cNvSpPr>
            <a:spLocks/>
          </xdr:cNvSpPr>
        </xdr:nvSpPr>
        <xdr:spPr bwMode="auto">
          <a:xfrm>
            <a:off x="1181" y="323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" name="Line 494">
            <a:extLst>
              <a:ext uri="{FF2B5EF4-FFF2-40B4-BE49-F238E27FC236}">
                <a16:creationId xmlns:a16="http://schemas.microsoft.com/office/drawing/2014/main" id="{9D8F0742-FAEA-4370-B292-17F2A82C9F4A}"/>
              </a:ext>
            </a:extLst>
          </xdr:cNvPr>
          <xdr:cNvSpPr>
            <a:spLocks noChangeShapeType="1"/>
          </xdr:cNvSpPr>
        </xdr:nvSpPr>
        <xdr:spPr bwMode="auto">
          <a:xfrm flipV="1">
            <a:off x="1029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495">
            <a:extLst>
              <a:ext uri="{FF2B5EF4-FFF2-40B4-BE49-F238E27FC236}">
                <a16:creationId xmlns:a16="http://schemas.microsoft.com/office/drawing/2014/main" id="{60C9D840-0597-4DB0-82F2-F26C732D5B8A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496">
            <a:extLst>
              <a:ext uri="{FF2B5EF4-FFF2-40B4-BE49-F238E27FC236}">
                <a16:creationId xmlns:a16="http://schemas.microsoft.com/office/drawing/2014/main" id="{E3523289-A966-47B0-BCAE-E584591050FE}"/>
              </a:ext>
            </a:extLst>
          </xdr:cNvPr>
          <xdr:cNvSpPr>
            <a:spLocks noChangeShapeType="1"/>
          </xdr:cNvSpPr>
        </xdr:nvSpPr>
        <xdr:spPr bwMode="auto">
          <a:xfrm>
            <a:off x="1038" y="86"/>
            <a:ext cx="6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Freeform 497">
            <a:extLst>
              <a:ext uri="{FF2B5EF4-FFF2-40B4-BE49-F238E27FC236}">
                <a16:creationId xmlns:a16="http://schemas.microsoft.com/office/drawing/2014/main" id="{7DBB33A6-C6B1-4135-8654-CB8DE87F79E0}"/>
              </a:ext>
            </a:extLst>
          </xdr:cNvPr>
          <xdr:cNvSpPr>
            <a:spLocks/>
          </xdr:cNvSpPr>
        </xdr:nvSpPr>
        <xdr:spPr bwMode="auto">
          <a:xfrm>
            <a:off x="1029" y="84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7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7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" name="Freeform 498">
            <a:extLst>
              <a:ext uri="{FF2B5EF4-FFF2-40B4-BE49-F238E27FC236}">
                <a16:creationId xmlns:a16="http://schemas.microsoft.com/office/drawing/2014/main" id="{E7EE5AB8-263A-4F26-8640-327A2D15B211}"/>
              </a:ext>
            </a:extLst>
          </xdr:cNvPr>
          <xdr:cNvSpPr>
            <a:spLocks/>
          </xdr:cNvSpPr>
        </xdr:nvSpPr>
        <xdr:spPr bwMode="auto">
          <a:xfrm>
            <a:off x="1103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" name="Line 504">
            <a:extLst>
              <a:ext uri="{FF2B5EF4-FFF2-40B4-BE49-F238E27FC236}">
                <a16:creationId xmlns:a16="http://schemas.microsoft.com/office/drawing/2014/main" id="{3BA3AC8A-B8D7-40EB-ADF3-CD7DFA89E2C7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505">
            <a:extLst>
              <a:ext uri="{FF2B5EF4-FFF2-40B4-BE49-F238E27FC236}">
                <a16:creationId xmlns:a16="http://schemas.microsoft.com/office/drawing/2014/main" id="{861735C5-62D9-40EC-B624-36395E73C357}"/>
              </a:ext>
            </a:extLst>
          </xdr:cNvPr>
          <xdr:cNvSpPr>
            <a:spLocks noChangeShapeType="1"/>
          </xdr:cNvSpPr>
        </xdr:nvSpPr>
        <xdr:spPr bwMode="auto">
          <a:xfrm flipV="1">
            <a:off x="1190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506">
            <a:extLst>
              <a:ext uri="{FF2B5EF4-FFF2-40B4-BE49-F238E27FC236}">
                <a16:creationId xmlns:a16="http://schemas.microsoft.com/office/drawing/2014/main" id="{44137F8C-BF71-4D32-8C4E-8CF38C48270E}"/>
              </a:ext>
            </a:extLst>
          </xdr:cNvPr>
          <xdr:cNvSpPr>
            <a:spLocks noChangeShapeType="1"/>
          </xdr:cNvSpPr>
        </xdr:nvSpPr>
        <xdr:spPr bwMode="auto">
          <a:xfrm>
            <a:off x="1121" y="86"/>
            <a:ext cx="6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Freeform 507">
            <a:extLst>
              <a:ext uri="{FF2B5EF4-FFF2-40B4-BE49-F238E27FC236}">
                <a16:creationId xmlns:a16="http://schemas.microsoft.com/office/drawing/2014/main" id="{65E2A1EC-4A0F-4E5D-84D7-DD62097A982B}"/>
              </a:ext>
            </a:extLst>
          </xdr:cNvPr>
          <xdr:cNvSpPr>
            <a:spLocks/>
          </xdr:cNvSpPr>
        </xdr:nvSpPr>
        <xdr:spPr bwMode="auto">
          <a:xfrm>
            <a:off x="1112" y="84"/>
            <a:ext cx="9" cy="3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7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7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" name="Freeform 508">
            <a:extLst>
              <a:ext uri="{FF2B5EF4-FFF2-40B4-BE49-F238E27FC236}">
                <a16:creationId xmlns:a16="http://schemas.microsoft.com/office/drawing/2014/main" id="{5DB07C6B-BD10-499B-805B-FE9AFB247D23}"/>
              </a:ext>
            </a:extLst>
          </xdr:cNvPr>
          <xdr:cNvSpPr>
            <a:spLocks/>
          </xdr:cNvSpPr>
        </xdr:nvSpPr>
        <xdr:spPr bwMode="auto">
          <a:xfrm>
            <a:off x="1181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" name="Line 514">
            <a:extLst>
              <a:ext uri="{FF2B5EF4-FFF2-40B4-BE49-F238E27FC236}">
                <a16:creationId xmlns:a16="http://schemas.microsoft.com/office/drawing/2014/main" id="{EEB9B08E-29A9-44D6-969A-FAAA15DEE8B8}"/>
              </a:ext>
            </a:extLst>
          </xdr:cNvPr>
          <xdr:cNvSpPr>
            <a:spLocks noChangeShapeType="1"/>
          </xdr:cNvSpPr>
        </xdr:nvSpPr>
        <xdr:spPr bwMode="auto">
          <a:xfrm>
            <a:off x="1226" y="107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15">
            <a:extLst>
              <a:ext uri="{FF2B5EF4-FFF2-40B4-BE49-F238E27FC236}">
                <a16:creationId xmlns:a16="http://schemas.microsoft.com/office/drawing/2014/main" id="{A7561BC9-8747-428F-AE69-F9EE53112163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516">
            <a:extLst>
              <a:ext uri="{FF2B5EF4-FFF2-40B4-BE49-F238E27FC236}">
                <a16:creationId xmlns:a16="http://schemas.microsoft.com/office/drawing/2014/main" id="{BDC26700-432B-4178-84C6-187EAC7FA770}"/>
              </a:ext>
            </a:extLst>
          </xdr:cNvPr>
          <xdr:cNvSpPr>
            <a:spLocks noChangeShapeType="1"/>
          </xdr:cNvSpPr>
        </xdr:nvSpPr>
        <xdr:spPr bwMode="auto">
          <a:xfrm>
            <a:off x="1240" y="116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517">
            <a:extLst>
              <a:ext uri="{FF2B5EF4-FFF2-40B4-BE49-F238E27FC236}">
                <a16:creationId xmlns:a16="http://schemas.microsoft.com/office/drawing/2014/main" id="{4D92B4CB-F443-4806-BCF2-995262BEE3A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16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518">
            <a:extLst>
              <a:ext uri="{FF2B5EF4-FFF2-40B4-BE49-F238E27FC236}">
                <a16:creationId xmlns:a16="http://schemas.microsoft.com/office/drawing/2014/main" id="{567AFBA8-C515-42C0-ADE5-5018E9EBF2D9}"/>
              </a:ext>
            </a:extLst>
          </xdr:cNvPr>
          <xdr:cNvSpPr>
            <a:spLocks/>
          </xdr:cNvSpPr>
        </xdr:nvSpPr>
        <xdr:spPr bwMode="auto">
          <a:xfrm>
            <a:off x="1238" y="107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" name="Freeform 519">
            <a:extLst>
              <a:ext uri="{FF2B5EF4-FFF2-40B4-BE49-F238E27FC236}">
                <a16:creationId xmlns:a16="http://schemas.microsoft.com/office/drawing/2014/main" id="{236819F1-AE40-46A9-A280-3F4F1B5D24DF}"/>
              </a:ext>
            </a:extLst>
          </xdr:cNvPr>
          <xdr:cNvSpPr>
            <a:spLocks/>
          </xdr:cNvSpPr>
        </xdr:nvSpPr>
        <xdr:spPr bwMode="auto">
          <a:xfrm>
            <a:off x="1238" y="193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7" name="Freeform 520">
            <a:extLst>
              <a:ext uri="{FF2B5EF4-FFF2-40B4-BE49-F238E27FC236}">
                <a16:creationId xmlns:a16="http://schemas.microsoft.com/office/drawing/2014/main" id="{86DA13DA-14AA-4153-92B2-D683C8885008}"/>
              </a:ext>
            </a:extLst>
          </xdr:cNvPr>
          <xdr:cNvSpPr>
            <a:spLocks/>
          </xdr:cNvSpPr>
        </xdr:nvSpPr>
        <xdr:spPr bwMode="auto">
          <a:xfrm>
            <a:off x="1208" y="153"/>
            <a:ext cx="3" cy="5"/>
          </a:xfrm>
          <a:custGeom>
            <a:avLst/>
            <a:gdLst>
              <a:gd name="T0" fmla="*/ 140 w 210"/>
              <a:gd name="T1" fmla="*/ 280 h 280"/>
              <a:gd name="T2" fmla="*/ 70 w 210"/>
              <a:gd name="T3" fmla="*/ 280 h 280"/>
              <a:gd name="T4" fmla="*/ 0 w 210"/>
              <a:gd name="T5" fmla="*/ 210 h 280"/>
              <a:gd name="T6" fmla="*/ 0 w 210"/>
              <a:gd name="T7" fmla="*/ 70 h 280"/>
              <a:gd name="T8" fmla="*/ 70 w 210"/>
              <a:gd name="T9" fmla="*/ 0 h 280"/>
              <a:gd name="T10" fmla="*/ 140 w 210"/>
              <a:gd name="T11" fmla="*/ 0 h 280"/>
              <a:gd name="T12" fmla="*/ 210 w 210"/>
              <a:gd name="T13" fmla="*/ 70 h 280"/>
              <a:gd name="T14" fmla="*/ 210 w 210"/>
              <a:gd name="T15" fmla="*/ 210 h 280"/>
              <a:gd name="T16" fmla="*/ 140 w 21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0">
                <a:moveTo>
                  <a:pt x="14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10" y="70"/>
                </a:lnTo>
                <a:lnTo>
                  <a:pt x="210" y="210"/>
                </a:lnTo>
                <a:lnTo>
                  <a:pt x="140" y="28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Line 521">
            <a:extLst>
              <a:ext uri="{FF2B5EF4-FFF2-40B4-BE49-F238E27FC236}">
                <a16:creationId xmlns:a16="http://schemas.microsoft.com/office/drawing/2014/main" id="{46489E0A-D8D0-4C0D-AF91-7680F27832CE}"/>
              </a:ext>
            </a:extLst>
          </xdr:cNvPr>
          <xdr:cNvSpPr>
            <a:spLocks noChangeShapeType="1"/>
          </xdr:cNvSpPr>
        </xdr:nvSpPr>
        <xdr:spPr bwMode="auto">
          <a:xfrm>
            <a:off x="1211" y="157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522">
            <a:extLst>
              <a:ext uri="{FF2B5EF4-FFF2-40B4-BE49-F238E27FC236}">
                <a16:creationId xmlns:a16="http://schemas.microsoft.com/office/drawing/2014/main" id="{F33C95EF-DC35-4CCF-AD29-62E4AFF22EF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157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Freeform 523">
            <a:extLst>
              <a:ext uri="{FF2B5EF4-FFF2-40B4-BE49-F238E27FC236}">
                <a16:creationId xmlns:a16="http://schemas.microsoft.com/office/drawing/2014/main" id="{A9D5B128-EBC7-4702-B755-66F33F6B1DB0}"/>
              </a:ext>
            </a:extLst>
          </xdr:cNvPr>
          <xdr:cNvSpPr>
            <a:spLocks/>
          </xdr:cNvSpPr>
        </xdr:nvSpPr>
        <xdr:spPr bwMode="auto">
          <a:xfrm>
            <a:off x="1217" y="151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1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1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Line 524">
            <a:extLst>
              <a:ext uri="{FF2B5EF4-FFF2-40B4-BE49-F238E27FC236}">
                <a16:creationId xmlns:a16="http://schemas.microsoft.com/office/drawing/2014/main" id="{5C452F77-4497-451B-A7FE-9DE0E153240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151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Freeform 525">
            <a:extLst>
              <a:ext uri="{FF2B5EF4-FFF2-40B4-BE49-F238E27FC236}">
                <a16:creationId xmlns:a16="http://schemas.microsoft.com/office/drawing/2014/main" id="{674D4632-BD81-462C-923D-4FDC54028819}"/>
              </a:ext>
            </a:extLst>
          </xdr:cNvPr>
          <xdr:cNvSpPr>
            <a:spLocks/>
          </xdr:cNvSpPr>
        </xdr:nvSpPr>
        <xdr:spPr bwMode="auto">
          <a:xfrm>
            <a:off x="1231" y="151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1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1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Line 526">
            <a:extLst>
              <a:ext uri="{FF2B5EF4-FFF2-40B4-BE49-F238E27FC236}">
                <a16:creationId xmlns:a16="http://schemas.microsoft.com/office/drawing/2014/main" id="{FB98BD20-B022-4819-BBA9-573B39B0ACC0}"/>
              </a:ext>
            </a:extLst>
          </xdr:cNvPr>
          <xdr:cNvSpPr>
            <a:spLocks noChangeShapeType="1"/>
          </xdr:cNvSpPr>
        </xdr:nvSpPr>
        <xdr:spPr bwMode="auto">
          <a:xfrm>
            <a:off x="1239" y="153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527">
            <a:extLst>
              <a:ext uri="{FF2B5EF4-FFF2-40B4-BE49-F238E27FC236}">
                <a16:creationId xmlns:a16="http://schemas.microsoft.com/office/drawing/2014/main" id="{F3446D1D-9A88-46BB-BEA4-2E07266D376C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156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534">
            <a:extLst>
              <a:ext uri="{FF2B5EF4-FFF2-40B4-BE49-F238E27FC236}">
                <a16:creationId xmlns:a16="http://schemas.microsoft.com/office/drawing/2014/main" id="{493AD356-95CE-43F9-9EBC-5EEB54A49ABF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535">
            <a:extLst>
              <a:ext uri="{FF2B5EF4-FFF2-40B4-BE49-F238E27FC236}">
                <a16:creationId xmlns:a16="http://schemas.microsoft.com/office/drawing/2014/main" id="{563294FC-0F34-4420-8C41-DBFE06BC5822}"/>
              </a:ext>
            </a:extLst>
          </xdr:cNvPr>
          <xdr:cNvSpPr>
            <a:spLocks noChangeShapeType="1"/>
          </xdr:cNvSpPr>
        </xdr:nvSpPr>
        <xdr:spPr bwMode="auto">
          <a:xfrm>
            <a:off x="1226" y="296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536">
            <a:extLst>
              <a:ext uri="{FF2B5EF4-FFF2-40B4-BE49-F238E27FC236}">
                <a16:creationId xmlns:a16="http://schemas.microsoft.com/office/drawing/2014/main" id="{1D60E6D8-44D4-4B2A-B7C2-1C621F9F14DE}"/>
              </a:ext>
            </a:extLst>
          </xdr:cNvPr>
          <xdr:cNvSpPr>
            <a:spLocks noChangeShapeType="1"/>
          </xdr:cNvSpPr>
        </xdr:nvSpPr>
        <xdr:spPr bwMode="auto">
          <a:xfrm>
            <a:off x="1240" y="211"/>
            <a:ext cx="0" cy="3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537">
            <a:extLst>
              <a:ext uri="{FF2B5EF4-FFF2-40B4-BE49-F238E27FC236}">
                <a16:creationId xmlns:a16="http://schemas.microsoft.com/office/drawing/2014/main" id="{54E30993-81E6-4AEC-A713-7C35641557CC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255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Freeform 538">
            <a:extLst>
              <a:ext uri="{FF2B5EF4-FFF2-40B4-BE49-F238E27FC236}">
                <a16:creationId xmlns:a16="http://schemas.microsoft.com/office/drawing/2014/main" id="{C82869BC-D640-44CB-8684-80CA10C1AFB1}"/>
              </a:ext>
            </a:extLst>
          </xdr:cNvPr>
          <xdr:cNvSpPr>
            <a:spLocks/>
          </xdr:cNvSpPr>
        </xdr:nvSpPr>
        <xdr:spPr bwMode="auto">
          <a:xfrm>
            <a:off x="123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0" name="Freeform 539">
            <a:extLst>
              <a:ext uri="{FF2B5EF4-FFF2-40B4-BE49-F238E27FC236}">
                <a16:creationId xmlns:a16="http://schemas.microsoft.com/office/drawing/2014/main" id="{BBF32DD0-29A9-413C-A974-CA459B755D9C}"/>
              </a:ext>
            </a:extLst>
          </xdr:cNvPr>
          <xdr:cNvSpPr>
            <a:spLocks/>
          </xdr:cNvSpPr>
        </xdr:nvSpPr>
        <xdr:spPr bwMode="auto">
          <a:xfrm>
            <a:off x="1238" y="288"/>
            <a:ext cx="3" cy="8"/>
          </a:xfrm>
          <a:custGeom>
            <a:avLst/>
            <a:gdLst>
              <a:gd name="T0" fmla="*/ 0 w 175"/>
              <a:gd name="T1" fmla="*/ 0 h 526"/>
              <a:gd name="T2" fmla="*/ 175 w 175"/>
              <a:gd name="T3" fmla="*/ 0 h 526"/>
              <a:gd name="T4" fmla="*/ 88 w 175"/>
              <a:gd name="T5" fmla="*/ 526 h 526"/>
              <a:gd name="T6" fmla="*/ 0 w 175"/>
              <a:gd name="T7" fmla="*/ 0 h 5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6">
                <a:moveTo>
                  <a:pt x="0" y="0"/>
                </a:moveTo>
                <a:lnTo>
                  <a:pt x="175" y="0"/>
                </a:lnTo>
                <a:lnTo>
                  <a:pt x="88" y="526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" name="Freeform 540">
            <a:extLst>
              <a:ext uri="{FF2B5EF4-FFF2-40B4-BE49-F238E27FC236}">
                <a16:creationId xmlns:a16="http://schemas.microsoft.com/office/drawing/2014/main" id="{E5B997AA-C5A3-4804-87B8-8FCD9301913E}"/>
              </a:ext>
            </a:extLst>
          </xdr:cNvPr>
          <xdr:cNvSpPr>
            <a:spLocks/>
          </xdr:cNvSpPr>
        </xdr:nvSpPr>
        <xdr:spPr bwMode="auto">
          <a:xfrm>
            <a:off x="1208" y="248"/>
            <a:ext cx="3" cy="5"/>
          </a:xfrm>
          <a:custGeom>
            <a:avLst/>
            <a:gdLst>
              <a:gd name="T0" fmla="*/ 140 w 210"/>
              <a:gd name="T1" fmla="*/ 281 h 281"/>
              <a:gd name="T2" fmla="*/ 70 w 210"/>
              <a:gd name="T3" fmla="*/ 281 h 281"/>
              <a:gd name="T4" fmla="*/ 0 w 210"/>
              <a:gd name="T5" fmla="*/ 211 h 281"/>
              <a:gd name="T6" fmla="*/ 0 w 210"/>
              <a:gd name="T7" fmla="*/ 71 h 281"/>
              <a:gd name="T8" fmla="*/ 70 w 210"/>
              <a:gd name="T9" fmla="*/ 0 h 281"/>
              <a:gd name="T10" fmla="*/ 140 w 210"/>
              <a:gd name="T11" fmla="*/ 0 h 281"/>
              <a:gd name="T12" fmla="*/ 210 w 210"/>
              <a:gd name="T13" fmla="*/ 71 h 281"/>
              <a:gd name="T14" fmla="*/ 210 w 210"/>
              <a:gd name="T15" fmla="*/ 211 h 281"/>
              <a:gd name="T16" fmla="*/ 140 w 210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1">
                <a:moveTo>
                  <a:pt x="140" y="281"/>
                </a:moveTo>
                <a:lnTo>
                  <a:pt x="70" y="281"/>
                </a:lnTo>
                <a:lnTo>
                  <a:pt x="0" y="211"/>
                </a:lnTo>
                <a:lnTo>
                  <a:pt x="0" y="71"/>
                </a:lnTo>
                <a:lnTo>
                  <a:pt x="70" y="0"/>
                </a:lnTo>
                <a:lnTo>
                  <a:pt x="140" y="0"/>
                </a:lnTo>
                <a:lnTo>
                  <a:pt x="210" y="71"/>
                </a:lnTo>
                <a:lnTo>
                  <a:pt x="210" y="211"/>
                </a:lnTo>
                <a:lnTo>
                  <a:pt x="140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Line 541">
            <a:extLst>
              <a:ext uri="{FF2B5EF4-FFF2-40B4-BE49-F238E27FC236}">
                <a16:creationId xmlns:a16="http://schemas.microsoft.com/office/drawing/2014/main" id="{5857B45A-263D-4F40-9A53-EDCE3F345A7B}"/>
              </a:ext>
            </a:extLst>
          </xdr:cNvPr>
          <xdr:cNvSpPr>
            <a:spLocks noChangeShapeType="1"/>
          </xdr:cNvSpPr>
        </xdr:nvSpPr>
        <xdr:spPr bwMode="auto">
          <a:xfrm>
            <a:off x="1211" y="252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542">
            <a:extLst>
              <a:ext uri="{FF2B5EF4-FFF2-40B4-BE49-F238E27FC236}">
                <a16:creationId xmlns:a16="http://schemas.microsoft.com/office/drawing/2014/main" id="{67B66F3C-BF23-4ABD-BD90-21BE139D8C8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252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Freeform 543">
            <a:extLst>
              <a:ext uri="{FF2B5EF4-FFF2-40B4-BE49-F238E27FC236}">
                <a16:creationId xmlns:a16="http://schemas.microsoft.com/office/drawing/2014/main" id="{ADEF39C8-5149-4A58-8AC8-ED190675B7EC}"/>
              </a:ext>
            </a:extLst>
          </xdr:cNvPr>
          <xdr:cNvSpPr>
            <a:spLocks/>
          </xdr:cNvSpPr>
        </xdr:nvSpPr>
        <xdr:spPr bwMode="auto">
          <a:xfrm>
            <a:off x="1217" y="246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0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0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544">
            <a:extLst>
              <a:ext uri="{FF2B5EF4-FFF2-40B4-BE49-F238E27FC236}">
                <a16:creationId xmlns:a16="http://schemas.microsoft.com/office/drawing/2014/main" id="{C8D575E0-DA8C-4081-81B4-82833922C31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246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Freeform 545">
            <a:extLst>
              <a:ext uri="{FF2B5EF4-FFF2-40B4-BE49-F238E27FC236}">
                <a16:creationId xmlns:a16="http://schemas.microsoft.com/office/drawing/2014/main" id="{194AB8DC-2B8E-43C4-A795-369DD2E66F62}"/>
              </a:ext>
            </a:extLst>
          </xdr:cNvPr>
          <xdr:cNvSpPr>
            <a:spLocks/>
          </xdr:cNvSpPr>
        </xdr:nvSpPr>
        <xdr:spPr bwMode="auto">
          <a:xfrm>
            <a:off x="1231" y="246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0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0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7" name="Line 546">
            <a:extLst>
              <a:ext uri="{FF2B5EF4-FFF2-40B4-BE49-F238E27FC236}">
                <a16:creationId xmlns:a16="http://schemas.microsoft.com/office/drawing/2014/main" id="{9A6350A3-BBAD-45B9-BD65-9E6543584A81}"/>
              </a:ext>
            </a:extLst>
          </xdr:cNvPr>
          <xdr:cNvSpPr>
            <a:spLocks noChangeShapeType="1"/>
          </xdr:cNvSpPr>
        </xdr:nvSpPr>
        <xdr:spPr bwMode="auto">
          <a:xfrm>
            <a:off x="1239" y="248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547">
            <a:extLst>
              <a:ext uri="{FF2B5EF4-FFF2-40B4-BE49-F238E27FC236}">
                <a16:creationId xmlns:a16="http://schemas.microsoft.com/office/drawing/2014/main" id="{0B3BAA84-6676-4576-BF62-8B09C09EB47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250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554">
            <a:extLst>
              <a:ext uri="{FF2B5EF4-FFF2-40B4-BE49-F238E27FC236}">
                <a16:creationId xmlns:a16="http://schemas.microsoft.com/office/drawing/2014/main" id="{FA11F82A-FC73-4602-94C7-7C5DAC79BE0A}"/>
              </a:ext>
            </a:extLst>
          </xdr:cNvPr>
          <xdr:cNvSpPr>
            <a:spLocks noChangeShapeType="1"/>
          </xdr:cNvSpPr>
        </xdr:nvSpPr>
        <xdr:spPr bwMode="auto">
          <a:xfrm>
            <a:off x="1192" y="238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555">
            <a:extLst>
              <a:ext uri="{FF2B5EF4-FFF2-40B4-BE49-F238E27FC236}">
                <a16:creationId xmlns:a16="http://schemas.microsoft.com/office/drawing/2014/main" id="{B772AB04-7C72-4A7F-8B43-5E21D81DDD62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56">
            <a:extLst>
              <a:ext uri="{FF2B5EF4-FFF2-40B4-BE49-F238E27FC236}">
                <a16:creationId xmlns:a16="http://schemas.microsoft.com/office/drawing/2014/main" id="{FAEB0403-B9EB-455D-9940-A27C6C45940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9" y="226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57">
            <a:extLst>
              <a:ext uri="{FF2B5EF4-FFF2-40B4-BE49-F238E27FC236}">
                <a16:creationId xmlns:a16="http://schemas.microsoft.com/office/drawing/2014/main" id="{437C9615-5A5D-4F2A-9B69-D9CEC377427C}"/>
              </a:ext>
            </a:extLst>
          </xdr:cNvPr>
          <xdr:cNvSpPr>
            <a:spLocks noChangeShapeType="1"/>
          </xdr:cNvSpPr>
        </xdr:nvSpPr>
        <xdr:spPr bwMode="auto">
          <a:xfrm>
            <a:off x="1209" y="211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558">
            <a:extLst>
              <a:ext uri="{FF2B5EF4-FFF2-40B4-BE49-F238E27FC236}">
                <a16:creationId xmlns:a16="http://schemas.microsoft.com/office/drawing/2014/main" id="{D19567B4-BC19-454E-9939-4EF7697C5CF3}"/>
              </a:ext>
            </a:extLst>
          </xdr:cNvPr>
          <xdr:cNvSpPr>
            <a:spLocks/>
          </xdr:cNvSpPr>
        </xdr:nvSpPr>
        <xdr:spPr bwMode="auto">
          <a:xfrm>
            <a:off x="1208" y="229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4" name="Freeform 559">
            <a:extLst>
              <a:ext uri="{FF2B5EF4-FFF2-40B4-BE49-F238E27FC236}">
                <a16:creationId xmlns:a16="http://schemas.microsoft.com/office/drawing/2014/main" id="{D6C97C44-CF10-43C9-B0DA-A87D94DAA895}"/>
              </a:ext>
            </a:extLst>
          </xdr:cNvPr>
          <xdr:cNvSpPr>
            <a:spLocks/>
          </xdr:cNvSpPr>
        </xdr:nvSpPr>
        <xdr:spPr bwMode="auto">
          <a:xfrm>
            <a:off x="120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" name="Line 564">
            <a:extLst>
              <a:ext uri="{FF2B5EF4-FFF2-40B4-BE49-F238E27FC236}">
                <a16:creationId xmlns:a16="http://schemas.microsoft.com/office/drawing/2014/main" id="{F86E6BB9-F47A-47BC-83C9-4B3D5417E0B7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38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65">
            <a:extLst>
              <a:ext uri="{FF2B5EF4-FFF2-40B4-BE49-F238E27FC236}">
                <a16:creationId xmlns:a16="http://schemas.microsoft.com/office/drawing/2014/main" id="{4EBB692B-1761-43AA-BA51-858788280757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02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66">
            <a:extLst>
              <a:ext uri="{FF2B5EF4-FFF2-40B4-BE49-F238E27FC236}">
                <a16:creationId xmlns:a16="http://schemas.microsoft.com/office/drawing/2014/main" id="{5D48F962-02AA-46A5-B18C-A9E0360BD405}"/>
              </a:ext>
            </a:extLst>
          </xdr:cNvPr>
          <xdr:cNvSpPr>
            <a:spLocks noChangeShapeType="1"/>
          </xdr:cNvSpPr>
        </xdr:nvSpPr>
        <xdr:spPr bwMode="auto">
          <a:xfrm flipV="1">
            <a:off x="793" y="228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567">
            <a:extLst>
              <a:ext uri="{FF2B5EF4-FFF2-40B4-BE49-F238E27FC236}">
                <a16:creationId xmlns:a16="http://schemas.microsoft.com/office/drawing/2014/main" id="{045D0496-BFFE-4F22-AA2D-C9121D40FAE3}"/>
              </a:ext>
            </a:extLst>
          </xdr:cNvPr>
          <xdr:cNvSpPr>
            <a:spLocks noChangeShapeType="1"/>
          </xdr:cNvSpPr>
        </xdr:nvSpPr>
        <xdr:spPr bwMode="auto">
          <a:xfrm>
            <a:off x="793" y="211"/>
            <a:ext cx="0" cy="5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Freeform 568">
            <a:extLst>
              <a:ext uri="{FF2B5EF4-FFF2-40B4-BE49-F238E27FC236}">
                <a16:creationId xmlns:a16="http://schemas.microsoft.com/office/drawing/2014/main" id="{C380F6FD-CD17-4A09-BD0E-E72FBED0C32A}"/>
              </a:ext>
            </a:extLst>
          </xdr:cNvPr>
          <xdr:cNvSpPr>
            <a:spLocks/>
          </xdr:cNvSpPr>
        </xdr:nvSpPr>
        <xdr:spPr bwMode="auto">
          <a:xfrm>
            <a:off x="791" y="229"/>
            <a:ext cx="3" cy="9"/>
          </a:xfrm>
          <a:custGeom>
            <a:avLst/>
            <a:gdLst>
              <a:gd name="T0" fmla="*/ 0 w 176"/>
              <a:gd name="T1" fmla="*/ 0 h 527"/>
              <a:gd name="T2" fmla="*/ 176 w 176"/>
              <a:gd name="T3" fmla="*/ 0 h 527"/>
              <a:gd name="T4" fmla="*/ 89 w 176"/>
              <a:gd name="T5" fmla="*/ 527 h 527"/>
              <a:gd name="T6" fmla="*/ 0 w 176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0"/>
                </a:moveTo>
                <a:lnTo>
                  <a:pt x="176" y="0"/>
                </a:lnTo>
                <a:lnTo>
                  <a:pt x="89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0" name="Freeform 569">
            <a:extLst>
              <a:ext uri="{FF2B5EF4-FFF2-40B4-BE49-F238E27FC236}">
                <a16:creationId xmlns:a16="http://schemas.microsoft.com/office/drawing/2014/main" id="{78170074-8D2E-402A-903B-959FB59E8E91}"/>
              </a:ext>
            </a:extLst>
          </xdr:cNvPr>
          <xdr:cNvSpPr>
            <a:spLocks/>
          </xdr:cNvSpPr>
        </xdr:nvSpPr>
        <xdr:spPr bwMode="auto">
          <a:xfrm>
            <a:off x="791" y="202"/>
            <a:ext cx="3" cy="9"/>
          </a:xfrm>
          <a:custGeom>
            <a:avLst/>
            <a:gdLst>
              <a:gd name="T0" fmla="*/ 0 w 176"/>
              <a:gd name="T1" fmla="*/ 527 h 527"/>
              <a:gd name="T2" fmla="*/ 176 w 176"/>
              <a:gd name="T3" fmla="*/ 527 h 527"/>
              <a:gd name="T4" fmla="*/ 89 w 176"/>
              <a:gd name="T5" fmla="*/ 0 h 527"/>
              <a:gd name="T6" fmla="*/ 0 w 176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527"/>
                </a:moveTo>
                <a:lnTo>
                  <a:pt x="176" y="527"/>
                </a:lnTo>
                <a:lnTo>
                  <a:pt x="89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1" name="Freeform 570">
            <a:extLst>
              <a:ext uri="{FF2B5EF4-FFF2-40B4-BE49-F238E27FC236}">
                <a16:creationId xmlns:a16="http://schemas.microsoft.com/office/drawing/2014/main" id="{53E5A091-B46D-4CB4-8B86-13BB1B4771A5}"/>
              </a:ext>
            </a:extLst>
          </xdr:cNvPr>
          <xdr:cNvSpPr>
            <a:spLocks/>
          </xdr:cNvSpPr>
        </xdr:nvSpPr>
        <xdr:spPr bwMode="auto">
          <a:xfrm>
            <a:off x="760" y="221"/>
            <a:ext cx="4" cy="5"/>
          </a:xfrm>
          <a:custGeom>
            <a:avLst/>
            <a:gdLst>
              <a:gd name="T0" fmla="*/ 141 w 211"/>
              <a:gd name="T1" fmla="*/ 281 h 281"/>
              <a:gd name="T2" fmla="*/ 71 w 211"/>
              <a:gd name="T3" fmla="*/ 281 h 281"/>
              <a:gd name="T4" fmla="*/ 0 w 211"/>
              <a:gd name="T5" fmla="*/ 210 h 281"/>
              <a:gd name="T6" fmla="*/ 0 w 211"/>
              <a:gd name="T7" fmla="*/ 70 h 281"/>
              <a:gd name="T8" fmla="*/ 71 w 211"/>
              <a:gd name="T9" fmla="*/ 0 h 281"/>
              <a:gd name="T10" fmla="*/ 141 w 211"/>
              <a:gd name="T11" fmla="*/ 0 h 281"/>
              <a:gd name="T12" fmla="*/ 211 w 211"/>
              <a:gd name="T13" fmla="*/ 70 h 281"/>
              <a:gd name="T14" fmla="*/ 211 w 211"/>
              <a:gd name="T15" fmla="*/ 210 h 281"/>
              <a:gd name="T16" fmla="*/ 141 w 21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1" h="281">
                <a:moveTo>
                  <a:pt x="141" y="281"/>
                </a:moveTo>
                <a:lnTo>
                  <a:pt x="71" y="281"/>
                </a:lnTo>
                <a:lnTo>
                  <a:pt x="0" y="210"/>
                </a:lnTo>
                <a:lnTo>
                  <a:pt x="0" y="70"/>
                </a:lnTo>
                <a:lnTo>
                  <a:pt x="71" y="0"/>
                </a:lnTo>
                <a:lnTo>
                  <a:pt x="141" y="0"/>
                </a:lnTo>
                <a:lnTo>
                  <a:pt x="211" y="70"/>
                </a:lnTo>
                <a:lnTo>
                  <a:pt x="211" y="210"/>
                </a:lnTo>
                <a:lnTo>
                  <a:pt x="141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2" name="Line 571">
            <a:extLst>
              <a:ext uri="{FF2B5EF4-FFF2-40B4-BE49-F238E27FC236}">
                <a16:creationId xmlns:a16="http://schemas.microsoft.com/office/drawing/2014/main" id="{987569A5-22E6-4FD1-A615-96E9D620A93A}"/>
              </a:ext>
            </a:extLst>
          </xdr:cNvPr>
          <xdr:cNvSpPr>
            <a:spLocks noChangeShapeType="1"/>
          </xdr:cNvSpPr>
        </xdr:nvSpPr>
        <xdr:spPr bwMode="auto">
          <a:xfrm>
            <a:off x="764" y="224"/>
            <a:ext cx="1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572">
            <a:extLst>
              <a:ext uri="{FF2B5EF4-FFF2-40B4-BE49-F238E27FC236}">
                <a16:creationId xmlns:a16="http://schemas.microsoft.com/office/drawing/2014/main" id="{C54FC4CB-12B6-4C12-AB71-E4FCBE4040EC}"/>
              </a:ext>
            </a:extLst>
          </xdr:cNvPr>
          <xdr:cNvSpPr>
            <a:spLocks noChangeShapeType="1"/>
          </xdr:cNvSpPr>
        </xdr:nvSpPr>
        <xdr:spPr bwMode="auto">
          <a:xfrm flipV="1">
            <a:off x="768" y="224"/>
            <a:ext cx="0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573">
            <a:extLst>
              <a:ext uri="{FF2B5EF4-FFF2-40B4-BE49-F238E27FC236}">
                <a16:creationId xmlns:a16="http://schemas.microsoft.com/office/drawing/2014/main" id="{CF4BDBBA-7D9A-4774-A0E1-6CCF8CB2F69B}"/>
              </a:ext>
            </a:extLst>
          </xdr:cNvPr>
          <xdr:cNvSpPr>
            <a:spLocks noChangeShapeType="1"/>
          </xdr:cNvSpPr>
        </xdr:nvSpPr>
        <xdr:spPr bwMode="auto">
          <a:xfrm flipV="1">
            <a:off x="770" y="219"/>
            <a:ext cx="0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Freeform 574">
            <a:extLst>
              <a:ext uri="{FF2B5EF4-FFF2-40B4-BE49-F238E27FC236}">
                <a16:creationId xmlns:a16="http://schemas.microsoft.com/office/drawing/2014/main" id="{BBA0D124-1D32-4820-A199-5BC351BA30B4}"/>
              </a:ext>
            </a:extLst>
          </xdr:cNvPr>
          <xdr:cNvSpPr>
            <a:spLocks/>
          </xdr:cNvSpPr>
        </xdr:nvSpPr>
        <xdr:spPr bwMode="auto">
          <a:xfrm>
            <a:off x="770" y="221"/>
            <a:ext cx="5" cy="5"/>
          </a:xfrm>
          <a:custGeom>
            <a:avLst/>
            <a:gdLst>
              <a:gd name="T0" fmla="*/ 0 w 281"/>
              <a:gd name="T1" fmla="*/ 140 h 281"/>
              <a:gd name="T2" fmla="*/ 140 w 281"/>
              <a:gd name="T3" fmla="*/ 0 h 281"/>
              <a:gd name="T4" fmla="*/ 210 w 281"/>
              <a:gd name="T5" fmla="*/ 0 h 281"/>
              <a:gd name="T6" fmla="*/ 281 w 281"/>
              <a:gd name="T7" fmla="*/ 70 h 281"/>
              <a:gd name="T8" fmla="*/ 281 w 281"/>
              <a:gd name="T9" fmla="*/ 210 h 281"/>
              <a:gd name="T10" fmla="*/ 210 w 281"/>
              <a:gd name="T11" fmla="*/ 281 h 281"/>
              <a:gd name="T12" fmla="*/ 140 w 281"/>
              <a:gd name="T13" fmla="*/ 281 h 281"/>
              <a:gd name="T14" fmla="*/ 0 w 281"/>
              <a:gd name="T15" fmla="*/ 140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1"/>
                </a:lnTo>
                <a:lnTo>
                  <a:pt x="140" y="281"/>
                </a:lnTo>
                <a:lnTo>
                  <a:pt x="0" y="14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Line 575">
            <a:extLst>
              <a:ext uri="{FF2B5EF4-FFF2-40B4-BE49-F238E27FC236}">
                <a16:creationId xmlns:a16="http://schemas.microsoft.com/office/drawing/2014/main" id="{CF051521-AB07-4115-B3BC-01A92BA3697B}"/>
              </a:ext>
            </a:extLst>
          </xdr:cNvPr>
          <xdr:cNvSpPr>
            <a:spLocks noChangeShapeType="1"/>
          </xdr:cNvSpPr>
        </xdr:nvSpPr>
        <xdr:spPr bwMode="auto">
          <a:xfrm flipV="1">
            <a:off x="777" y="219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Freeform 576">
            <a:extLst>
              <a:ext uri="{FF2B5EF4-FFF2-40B4-BE49-F238E27FC236}">
                <a16:creationId xmlns:a16="http://schemas.microsoft.com/office/drawing/2014/main" id="{E01F0361-30F1-429E-91AA-FCC5A1F6C1BD}"/>
              </a:ext>
            </a:extLst>
          </xdr:cNvPr>
          <xdr:cNvSpPr>
            <a:spLocks/>
          </xdr:cNvSpPr>
        </xdr:nvSpPr>
        <xdr:spPr bwMode="auto">
          <a:xfrm>
            <a:off x="784" y="219"/>
            <a:ext cx="5" cy="7"/>
          </a:xfrm>
          <a:custGeom>
            <a:avLst/>
            <a:gdLst>
              <a:gd name="T0" fmla="*/ 0 w 280"/>
              <a:gd name="T1" fmla="*/ 71 h 422"/>
              <a:gd name="T2" fmla="*/ 70 w 280"/>
              <a:gd name="T3" fmla="*/ 0 h 422"/>
              <a:gd name="T4" fmla="*/ 210 w 280"/>
              <a:gd name="T5" fmla="*/ 0 h 422"/>
              <a:gd name="T6" fmla="*/ 280 w 280"/>
              <a:gd name="T7" fmla="*/ 71 h 422"/>
              <a:gd name="T8" fmla="*/ 280 w 280"/>
              <a:gd name="T9" fmla="*/ 141 h 422"/>
              <a:gd name="T10" fmla="*/ 210 w 280"/>
              <a:gd name="T11" fmla="*/ 211 h 422"/>
              <a:gd name="T12" fmla="*/ 70 w 280"/>
              <a:gd name="T13" fmla="*/ 211 h 422"/>
              <a:gd name="T14" fmla="*/ 0 w 280"/>
              <a:gd name="T15" fmla="*/ 281 h 422"/>
              <a:gd name="T16" fmla="*/ 0 w 280"/>
              <a:gd name="T17" fmla="*/ 422 h 422"/>
              <a:gd name="T18" fmla="*/ 280 w 280"/>
              <a:gd name="T19" fmla="*/ 42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0" h="422">
                <a:moveTo>
                  <a:pt x="0" y="71"/>
                </a:move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141"/>
                </a:lnTo>
                <a:lnTo>
                  <a:pt x="210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2"/>
                </a:lnTo>
                <a:lnTo>
                  <a:pt x="280" y="422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Line 577">
            <a:extLst>
              <a:ext uri="{FF2B5EF4-FFF2-40B4-BE49-F238E27FC236}">
                <a16:creationId xmlns:a16="http://schemas.microsoft.com/office/drawing/2014/main" id="{4CCA2C3B-B09B-46E5-971A-3E44959E9B77}"/>
              </a:ext>
            </a:extLst>
          </xdr:cNvPr>
          <xdr:cNvSpPr>
            <a:spLocks noChangeShapeType="1"/>
          </xdr:cNvSpPr>
        </xdr:nvSpPr>
        <xdr:spPr bwMode="auto">
          <a:xfrm>
            <a:off x="791" y="221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578">
            <a:extLst>
              <a:ext uri="{FF2B5EF4-FFF2-40B4-BE49-F238E27FC236}">
                <a16:creationId xmlns:a16="http://schemas.microsoft.com/office/drawing/2014/main" id="{4D664223-0D05-4DA0-9658-416A3BACF9C8}"/>
              </a:ext>
            </a:extLst>
          </xdr:cNvPr>
          <xdr:cNvSpPr>
            <a:spLocks noChangeShapeType="1"/>
          </xdr:cNvSpPr>
        </xdr:nvSpPr>
        <xdr:spPr bwMode="auto">
          <a:xfrm flipH="1">
            <a:off x="791" y="223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Freeform 586">
            <a:extLst>
              <a:ext uri="{FF2B5EF4-FFF2-40B4-BE49-F238E27FC236}">
                <a16:creationId xmlns:a16="http://schemas.microsoft.com/office/drawing/2014/main" id="{4F85652F-FDED-42EC-829A-D08BC313A50A}"/>
              </a:ext>
            </a:extLst>
          </xdr:cNvPr>
          <xdr:cNvSpPr>
            <a:spLocks/>
          </xdr:cNvSpPr>
        </xdr:nvSpPr>
        <xdr:spPr bwMode="auto">
          <a:xfrm>
            <a:off x="1201" y="96"/>
            <a:ext cx="4" cy="4"/>
          </a:xfrm>
          <a:custGeom>
            <a:avLst/>
            <a:gdLst>
              <a:gd name="T0" fmla="*/ 0 w 282"/>
              <a:gd name="T1" fmla="*/ 210 h 210"/>
              <a:gd name="T2" fmla="*/ 212 w 282"/>
              <a:gd name="T3" fmla="*/ 210 h 210"/>
              <a:gd name="T4" fmla="*/ 282 w 282"/>
              <a:gd name="T5" fmla="*/ 140 h 210"/>
              <a:gd name="T6" fmla="*/ 282 w 282"/>
              <a:gd name="T7" fmla="*/ 70 h 210"/>
              <a:gd name="T8" fmla="*/ 212 w 282"/>
              <a:gd name="T9" fmla="*/ 0 h 210"/>
              <a:gd name="T10" fmla="*/ 70 w 282"/>
              <a:gd name="T11" fmla="*/ 0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2" h="210">
                <a:moveTo>
                  <a:pt x="0" y="210"/>
                </a:moveTo>
                <a:lnTo>
                  <a:pt x="212" y="210"/>
                </a:lnTo>
                <a:lnTo>
                  <a:pt x="282" y="140"/>
                </a:lnTo>
                <a:lnTo>
                  <a:pt x="282" y="70"/>
                </a:lnTo>
                <a:lnTo>
                  <a:pt x="212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Freeform 587">
            <a:extLst>
              <a:ext uri="{FF2B5EF4-FFF2-40B4-BE49-F238E27FC236}">
                <a16:creationId xmlns:a16="http://schemas.microsoft.com/office/drawing/2014/main" id="{55456A01-CDCF-47AE-AC7D-F712FAD02FC9}"/>
              </a:ext>
            </a:extLst>
          </xdr:cNvPr>
          <xdr:cNvSpPr>
            <a:spLocks/>
          </xdr:cNvSpPr>
        </xdr:nvSpPr>
        <xdr:spPr bwMode="auto">
          <a:xfrm>
            <a:off x="1201" y="93"/>
            <a:ext cx="4" cy="3"/>
          </a:xfrm>
          <a:custGeom>
            <a:avLst/>
            <a:gdLst>
              <a:gd name="T0" fmla="*/ 212 w 282"/>
              <a:gd name="T1" fmla="*/ 211 h 211"/>
              <a:gd name="T2" fmla="*/ 282 w 282"/>
              <a:gd name="T3" fmla="*/ 141 h 211"/>
              <a:gd name="T4" fmla="*/ 282 w 282"/>
              <a:gd name="T5" fmla="*/ 70 h 211"/>
              <a:gd name="T6" fmla="*/ 212 w 282"/>
              <a:gd name="T7" fmla="*/ 0 h 211"/>
              <a:gd name="T8" fmla="*/ 0 w 282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2" h="211">
                <a:moveTo>
                  <a:pt x="212" y="211"/>
                </a:moveTo>
                <a:lnTo>
                  <a:pt x="282" y="141"/>
                </a:lnTo>
                <a:lnTo>
                  <a:pt x="282" y="70"/>
                </a:lnTo>
                <a:lnTo>
                  <a:pt x="212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Line 588">
            <a:extLst>
              <a:ext uri="{FF2B5EF4-FFF2-40B4-BE49-F238E27FC236}">
                <a16:creationId xmlns:a16="http://schemas.microsoft.com/office/drawing/2014/main" id="{4E0B0B01-C9B8-413A-8D33-68F5D781551E}"/>
              </a:ext>
            </a:extLst>
          </xdr:cNvPr>
          <xdr:cNvSpPr>
            <a:spLocks noChangeShapeType="1"/>
          </xdr:cNvSpPr>
        </xdr:nvSpPr>
        <xdr:spPr bwMode="auto">
          <a:xfrm>
            <a:off x="1202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Freeform 589">
            <a:extLst>
              <a:ext uri="{FF2B5EF4-FFF2-40B4-BE49-F238E27FC236}">
                <a16:creationId xmlns:a16="http://schemas.microsoft.com/office/drawing/2014/main" id="{384BA8EE-AAD6-493A-949B-1ECF4ED1FAB2}"/>
              </a:ext>
            </a:extLst>
          </xdr:cNvPr>
          <xdr:cNvSpPr>
            <a:spLocks/>
          </xdr:cNvSpPr>
        </xdr:nvSpPr>
        <xdr:spPr bwMode="auto">
          <a:xfrm>
            <a:off x="1208" y="95"/>
            <a:ext cx="5" cy="5"/>
          </a:xfrm>
          <a:custGeom>
            <a:avLst/>
            <a:gdLst>
              <a:gd name="T0" fmla="*/ 210 w 281"/>
              <a:gd name="T1" fmla="*/ 280 h 280"/>
              <a:gd name="T2" fmla="*/ 70 w 281"/>
              <a:gd name="T3" fmla="*/ 280 h 280"/>
              <a:gd name="T4" fmla="*/ 0 w 281"/>
              <a:gd name="T5" fmla="*/ 210 h 280"/>
              <a:gd name="T6" fmla="*/ 0 w 281"/>
              <a:gd name="T7" fmla="*/ 70 h 280"/>
              <a:gd name="T8" fmla="*/ 70 w 281"/>
              <a:gd name="T9" fmla="*/ 0 h 280"/>
              <a:gd name="T10" fmla="*/ 210 w 281"/>
              <a:gd name="T11" fmla="*/ 0 h 280"/>
              <a:gd name="T12" fmla="*/ 281 w 281"/>
              <a:gd name="T13" fmla="*/ 70 h 280"/>
              <a:gd name="T14" fmla="*/ 281 w 281"/>
              <a:gd name="T15" fmla="*/ 210 h 280"/>
              <a:gd name="T16" fmla="*/ 210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Line 590">
            <a:extLst>
              <a:ext uri="{FF2B5EF4-FFF2-40B4-BE49-F238E27FC236}">
                <a16:creationId xmlns:a16="http://schemas.microsoft.com/office/drawing/2014/main" id="{388083CD-EBBD-40E1-90F2-01364FFE94E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Freeform 591">
            <a:extLst>
              <a:ext uri="{FF2B5EF4-FFF2-40B4-BE49-F238E27FC236}">
                <a16:creationId xmlns:a16="http://schemas.microsoft.com/office/drawing/2014/main" id="{5BE9A884-F684-4619-A0B1-DCE6C3FABD09}"/>
              </a:ext>
            </a:extLst>
          </xdr:cNvPr>
          <xdr:cNvSpPr>
            <a:spLocks/>
          </xdr:cNvSpPr>
        </xdr:nvSpPr>
        <xdr:spPr bwMode="auto">
          <a:xfrm>
            <a:off x="1215" y="95"/>
            <a:ext cx="5" cy="3"/>
          </a:xfrm>
          <a:custGeom>
            <a:avLst/>
            <a:gdLst>
              <a:gd name="T0" fmla="*/ 0 w 281"/>
              <a:gd name="T1" fmla="*/ 140 h 140"/>
              <a:gd name="T2" fmla="*/ 140 w 281"/>
              <a:gd name="T3" fmla="*/ 0 h 140"/>
              <a:gd name="T4" fmla="*/ 210 w 281"/>
              <a:gd name="T5" fmla="*/ 0 h 140"/>
              <a:gd name="T6" fmla="*/ 281 w 281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1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6" name="Freeform 592">
            <a:extLst>
              <a:ext uri="{FF2B5EF4-FFF2-40B4-BE49-F238E27FC236}">
                <a16:creationId xmlns:a16="http://schemas.microsoft.com/office/drawing/2014/main" id="{F4E80DE1-529F-4981-91E9-7B45F457658B}"/>
              </a:ext>
            </a:extLst>
          </xdr:cNvPr>
          <xdr:cNvSpPr>
            <a:spLocks/>
          </xdr:cNvSpPr>
        </xdr:nvSpPr>
        <xdr:spPr bwMode="auto">
          <a:xfrm>
            <a:off x="1222" y="95"/>
            <a:ext cx="5" cy="5"/>
          </a:xfrm>
          <a:custGeom>
            <a:avLst/>
            <a:gdLst>
              <a:gd name="T0" fmla="*/ 280 w 280"/>
              <a:gd name="T1" fmla="*/ 140 h 280"/>
              <a:gd name="T2" fmla="*/ 140 w 280"/>
              <a:gd name="T3" fmla="*/ 280 h 280"/>
              <a:gd name="T4" fmla="*/ 70 w 280"/>
              <a:gd name="T5" fmla="*/ 280 h 280"/>
              <a:gd name="T6" fmla="*/ 0 w 280"/>
              <a:gd name="T7" fmla="*/ 210 h 280"/>
              <a:gd name="T8" fmla="*/ 0 w 280"/>
              <a:gd name="T9" fmla="*/ 70 h 280"/>
              <a:gd name="T10" fmla="*/ 70 w 280"/>
              <a:gd name="T11" fmla="*/ 0 h 280"/>
              <a:gd name="T12" fmla="*/ 140 w 280"/>
              <a:gd name="T13" fmla="*/ 0 h 280"/>
              <a:gd name="T14" fmla="*/ 280 w 280"/>
              <a:gd name="T15" fmla="*/ 14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0" h="280">
                <a:moveTo>
                  <a:pt x="280" y="140"/>
                </a:moveTo>
                <a:lnTo>
                  <a:pt x="140" y="280"/>
                </a:ln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80" y="14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593">
            <a:extLst>
              <a:ext uri="{FF2B5EF4-FFF2-40B4-BE49-F238E27FC236}">
                <a16:creationId xmlns:a16="http://schemas.microsoft.com/office/drawing/2014/main" id="{E9B24C73-635A-4DC7-AB49-CF8A2D08F57C}"/>
              </a:ext>
            </a:extLst>
          </xdr:cNvPr>
          <xdr:cNvSpPr>
            <a:spLocks noChangeShapeType="1"/>
          </xdr:cNvSpPr>
        </xdr:nvSpPr>
        <xdr:spPr bwMode="auto">
          <a:xfrm>
            <a:off x="1227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Freeform 594">
            <a:extLst>
              <a:ext uri="{FF2B5EF4-FFF2-40B4-BE49-F238E27FC236}">
                <a16:creationId xmlns:a16="http://schemas.microsoft.com/office/drawing/2014/main" id="{19DA6117-00BA-499C-8D28-567B5804BFCA}"/>
              </a:ext>
            </a:extLst>
          </xdr:cNvPr>
          <xdr:cNvSpPr>
            <a:spLocks/>
          </xdr:cNvSpPr>
        </xdr:nvSpPr>
        <xdr:spPr bwMode="auto">
          <a:xfrm>
            <a:off x="1229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" name="Freeform 595">
            <a:extLst>
              <a:ext uri="{FF2B5EF4-FFF2-40B4-BE49-F238E27FC236}">
                <a16:creationId xmlns:a16="http://schemas.microsoft.com/office/drawing/2014/main" id="{35C4C223-4351-4000-809D-6AF2ED5851AB}"/>
              </a:ext>
            </a:extLst>
          </xdr:cNvPr>
          <xdr:cNvSpPr>
            <a:spLocks/>
          </xdr:cNvSpPr>
        </xdr:nvSpPr>
        <xdr:spPr bwMode="auto">
          <a:xfrm>
            <a:off x="1244" y="95"/>
            <a:ext cx="4" cy="5"/>
          </a:xfrm>
          <a:custGeom>
            <a:avLst/>
            <a:gdLst>
              <a:gd name="T0" fmla="*/ 0 w 281"/>
              <a:gd name="T1" fmla="*/ 140 h 280"/>
              <a:gd name="T2" fmla="*/ 211 w 281"/>
              <a:gd name="T3" fmla="*/ 140 h 280"/>
              <a:gd name="T4" fmla="*/ 281 w 281"/>
              <a:gd name="T5" fmla="*/ 70 h 280"/>
              <a:gd name="T6" fmla="*/ 211 w 281"/>
              <a:gd name="T7" fmla="*/ 0 h 280"/>
              <a:gd name="T8" fmla="*/ 70 w 281"/>
              <a:gd name="T9" fmla="*/ 0 h 280"/>
              <a:gd name="T10" fmla="*/ 0 w 281"/>
              <a:gd name="T11" fmla="*/ 70 h 280"/>
              <a:gd name="T12" fmla="*/ 0 w 281"/>
              <a:gd name="T13" fmla="*/ 210 h 280"/>
              <a:gd name="T14" fmla="*/ 70 w 281"/>
              <a:gd name="T15" fmla="*/ 280 h 280"/>
              <a:gd name="T16" fmla="*/ 211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0" y="140"/>
                </a:moveTo>
                <a:lnTo>
                  <a:pt x="211" y="140"/>
                </a:lnTo>
                <a:lnTo>
                  <a:pt x="281" y="70"/>
                </a:lnTo>
                <a:lnTo>
                  <a:pt x="211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1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0" name="Line 596">
            <a:extLst>
              <a:ext uri="{FF2B5EF4-FFF2-40B4-BE49-F238E27FC236}">
                <a16:creationId xmlns:a16="http://schemas.microsoft.com/office/drawing/2014/main" id="{BA822F70-85F7-419E-ACAF-3561C4D4411B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597">
            <a:extLst>
              <a:ext uri="{FF2B5EF4-FFF2-40B4-BE49-F238E27FC236}">
                <a16:creationId xmlns:a16="http://schemas.microsoft.com/office/drawing/2014/main" id="{4A07B5DA-A752-4337-B39A-1EFC7440B845}"/>
              </a:ext>
            </a:extLst>
          </xdr:cNvPr>
          <xdr:cNvSpPr>
            <a:spLocks noChangeShapeType="1"/>
          </xdr:cNvSpPr>
        </xdr:nvSpPr>
        <xdr:spPr bwMode="auto">
          <a:xfrm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598">
            <a:extLst>
              <a:ext uri="{FF2B5EF4-FFF2-40B4-BE49-F238E27FC236}">
                <a16:creationId xmlns:a16="http://schemas.microsoft.com/office/drawing/2014/main" id="{563B00AA-C9BA-4CD1-B098-DA82777DE870}"/>
              </a:ext>
            </a:extLst>
          </xdr:cNvPr>
          <xdr:cNvSpPr>
            <a:spLocks noChangeShapeType="1"/>
          </xdr:cNvSpPr>
        </xdr:nvSpPr>
        <xdr:spPr bwMode="auto">
          <a:xfrm>
            <a:off x="1258" y="95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Freeform 599">
            <a:extLst>
              <a:ext uri="{FF2B5EF4-FFF2-40B4-BE49-F238E27FC236}">
                <a16:creationId xmlns:a16="http://schemas.microsoft.com/office/drawing/2014/main" id="{4431B18E-4739-499E-BEB9-DF2A41984587}"/>
              </a:ext>
            </a:extLst>
          </xdr:cNvPr>
          <xdr:cNvSpPr>
            <a:spLocks/>
          </xdr:cNvSpPr>
        </xdr:nvSpPr>
        <xdr:spPr bwMode="auto">
          <a:xfrm>
            <a:off x="1260" y="93"/>
            <a:ext cx="3" cy="7"/>
          </a:xfrm>
          <a:custGeom>
            <a:avLst/>
            <a:gdLst>
              <a:gd name="T0" fmla="*/ 0 w 141"/>
              <a:gd name="T1" fmla="*/ 0 h 421"/>
              <a:gd name="T2" fmla="*/ 0 w 141"/>
              <a:gd name="T3" fmla="*/ 351 h 421"/>
              <a:gd name="T4" fmla="*/ 70 w 141"/>
              <a:gd name="T5" fmla="*/ 421 h 421"/>
              <a:gd name="T6" fmla="*/ 141 w 141"/>
              <a:gd name="T7" fmla="*/ 35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1">
                <a:moveTo>
                  <a:pt x="0" y="0"/>
                </a:moveTo>
                <a:lnTo>
                  <a:pt x="0" y="351"/>
                </a:lnTo>
                <a:lnTo>
                  <a:pt x="70" y="421"/>
                </a:lnTo>
                <a:lnTo>
                  <a:pt x="141" y="35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4" name="Freeform 600">
            <a:extLst>
              <a:ext uri="{FF2B5EF4-FFF2-40B4-BE49-F238E27FC236}">
                <a16:creationId xmlns:a16="http://schemas.microsoft.com/office/drawing/2014/main" id="{B060AD37-E529-482A-BFC4-1A7736279A28}"/>
              </a:ext>
            </a:extLst>
          </xdr:cNvPr>
          <xdr:cNvSpPr>
            <a:spLocks/>
          </xdr:cNvSpPr>
        </xdr:nvSpPr>
        <xdr:spPr bwMode="auto">
          <a:xfrm>
            <a:off x="1265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" name="Line 601">
            <a:extLst>
              <a:ext uri="{FF2B5EF4-FFF2-40B4-BE49-F238E27FC236}">
                <a16:creationId xmlns:a16="http://schemas.microsoft.com/office/drawing/2014/main" id="{09126FE0-5E60-4F3D-A890-14C8D7A16188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2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Freeform 602">
            <a:extLst>
              <a:ext uri="{FF2B5EF4-FFF2-40B4-BE49-F238E27FC236}">
                <a16:creationId xmlns:a16="http://schemas.microsoft.com/office/drawing/2014/main" id="{1B3F192A-DDCE-4F7C-A7FE-709F547386B5}"/>
              </a:ext>
            </a:extLst>
          </xdr:cNvPr>
          <xdr:cNvSpPr>
            <a:spLocks/>
          </xdr:cNvSpPr>
        </xdr:nvSpPr>
        <xdr:spPr bwMode="auto">
          <a:xfrm>
            <a:off x="1272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" name="Line 603">
            <a:extLst>
              <a:ext uri="{FF2B5EF4-FFF2-40B4-BE49-F238E27FC236}">
                <a16:creationId xmlns:a16="http://schemas.microsoft.com/office/drawing/2014/main" id="{42EB0FE1-B1EA-46DF-8FBC-033E9DABDACB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604">
            <a:extLst>
              <a:ext uri="{FF2B5EF4-FFF2-40B4-BE49-F238E27FC236}">
                <a16:creationId xmlns:a16="http://schemas.microsoft.com/office/drawing/2014/main" id="{D64A0D3F-7C7E-43BF-A21C-A1BC934FE848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Freeform 605">
            <a:extLst>
              <a:ext uri="{FF2B5EF4-FFF2-40B4-BE49-F238E27FC236}">
                <a16:creationId xmlns:a16="http://schemas.microsoft.com/office/drawing/2014/main" id="{A0D57526-1278-4CBA-B24D-1F0A453BD520}"/>
              </a:ext>
            </a:extLst>
          </xdr:cNvPr>
          <xdr:cNvSpPr>
            <a:spLocks/>
          </xdr:cNvSpPr>
        </xdr:nvSpPr>
        <xdr:spPr bwMode="auto">
          <a:xfrm>
            <a:off x="1282" y="95"/>
            <a:ext cx="4" cy="5"/>
          </a:xfrm>
          <a:custGeom>
            <a:avLst/>
            <a:gdLst>
              <a:gd name="T0" fmla="*/ 210 w 280"/>
              <a:gd name="T1" fmla="*/ 280 h 280"/>
              <a:gd name="T2" fmla="*/ 70 w 280"/>
              <a:gd name="T3" fmla="*/ 280 h 280"/>
              <a:gd name="T4" fmla="*/ 0 w 280"/>
              <a:gd name="T5" fmla="*/ 210 h 280"/>
              <a:gd name="T6" fmla="*/ 0 w 280"/>
              <a:gd name="T7" fmla="*/ 70 h 280"/>
              <a:gd name="T8" fmla="*/ 70 w 280"/>
              <a:gd name="T9" fmla="*/ 0 h 280"/>
              <a:gd name="T10" fmla="*/ 210 w 280"/>
              <a:gd name="T11" fmla="*/ 0 h 280"/>
              <a:gd name="T12" fmla="*/ 280 w 280"/>
              <a:gd name="T13" fmla="*/ 70 h 280"/>
              <a:gd name="T14" fmla="*/ 280 w 280"/>
              <a:gd name="T15" fmla="*/ 21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0" y="70"/>
                </a:lnTo>
                <a:lnTo>
                  <a:pt x="280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" name="Line 606">
            <a:extLst>
              <a:ext uri="{FF2B5EF4-FFF2-40B4-BE49-F238E27FC236}">
                <a16:creationId xmlns:a16="http://schemas.microsoft.com/office/drawing/2014/main" id="{4B007779-2E8A-4BEE-B087-746E7840607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Freeform 607">
            <a:extLst>
              <a:ext uri="{FF2B5EF4-FFF2-40B4-BE49-F238E27FC236}">
                <a16:creationId xmlns:a16="http://schemas.microsoft.com/office/drawing/2014/main" id="{603A2E54-FA54-4E79-B8EA-29B04D28A39D}"/>
              </a:ext>
            </a:extLst>
          </xdr:cNvPr>
          <xdr:cNvSpPr>
            <a:spLocks/>
          </xdr:cNvSpPr>
        </xdr:nvSpPr>
        <xdr:spPr bwMode="auto">
          <a:xfrm>
            <a:off x="1289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" name="Freeform 608">
            <a:extLst>
              <a:ext uri="{FF2B5EF4-FFF2-40B4-BE49-F238E27FC236}">
                <a16:creationId xmlns:a16="http://schemas.microsoft.com/office/drawing/2014/main" id="{7CAD8F23-104A-4FB1-8CEA-61B1529E686B}"/>
              </a:ext>
            </a:extLst>
          </xdr:cNvPr>
          <xdr:cNvSpPr>
            <a:spLocks/>
          </xdr:cNvSpPr>
        </xdr:nvSpPr>
        <xdr:spPr bwMode="auto">
          <a:xfrm>
            <a:off x="1206" y="307"/>
            <a:ext cx="5" cy="3"/>
          </a:xfrm>
          <a:custGeom>
            <a:avLst/>
            <a:gdLst>
              <a:gd name="T0" fmla="*/ 0 w 280"/>
              <a:gd name="T1" fmla="*/ 211 h 211"/>
              <a:gd name="T2" fmla="*/ 210 w 280"/>
              <a:gd name="T3" fmla="*/ 211 h 211"/>
              <a:gd name="T4" fmla="*/ 280 w 280"/>
              <a:gd name="T5" fmla="*/ 141 h 211"/>
              <a:gd name="T6" fmla="*/ 280 w 280"/>
              <a:gd name="T7" fmla="*/ 70 h 211"/>
              <a:gd name="T8" fmla="*/ 210 w 280"/>
              <a:gd name="T9" fmla="*/ 0 h 211"/>
              <a:gd name="T10" fmla="*/ 70 w 280"/>
              <a:gd name="T11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0" h="211">
                <a:moveTo>
                  <a:pt x="0" y="211"/>
                </a:moveTo>
                <a:lnTo>
                  <a:pt x="210" y="211"/>
                </a:lnTo>
                <a:lnTo>
                  <a:pt x="280" y="141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" name="Freeform 609">
            <a:extLst>
              <a:ext uri="{FF2B5EF4-FFF2-40B4-BE49-F238E27FC236}">
                <a16:creationId xmlns:a16="http://schemas.microsoft.com/office/drawing/2014/main" id="{8874D751-4B41-49A1-AE65-1C4EBCFDCDFB}"/>
              </a:ext>
            </a:extLst>
          </xdr:cNvPr>
          <xdr:cNvSpPr>
            <a:spLocks/>
          </xdr:cNvSpPr>
        </xdr:nvSpPr>
        <xdr:spPr bwMode="auto">
          <a:xfrm>
            <a:off x="1206" y="303"/>
            <a:ext cx="5" cy="4"/>
          </a:xfrm>
          <a:custGeom>
            <a:avLst/>
            <a:gdLst>
              <a:gd name="T0" fmla="*/ 210 w 280"/>
              <a:gd name="T1" fmla="*/ 211 h 211"/>
              <a:gd name="T2" fmla="*/ 280 w 280"/>
              <a:gd name="T3" fmla="*/ 140 h 211"/>
              <a:gd name="T4" fmla="*/ 280 w 280"/>
              <a:gd name="T5" fmla="*/ 70 h 211"/>
              <a:gd name="T6" fmla="*/ 210 w 280"/>
              <a:gd name="T7" fmla="*/ 0 h 211"/>
              <a:gd name="T8" fmla="*/ 0 w 280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0" h="211">
                <a:moveTo>
                  <a:pt x="210" y="211"/>
                </a:moveTo>
                <a:lnTo>
                  <a:pt x="280" y="140"/>
                </a:lnTo>
                <a:lnTo>
                  <a:pt x="280" y="70"/>
                </a:lnTo>
                <a:lnTo>
                  <a:pt x="210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" name="Line 610">
            <a:extLst>
              <a:ext uri="{FF2B5EF4-FFF2-40B4-BE49-F238E27FC236}">
                <a16:creationId xmlns:a16="http://schemas.microsoft.com/office/drawing/2014/main" id="{6777A029-FA8F-4AB1-B467-F50B4C5AE279}"/>
              </a:ext>
            </a:extLst>
          </xdr:cNvPr>
          <xdr:cNvSpPr>
            <a:spLocks noChangeShapeType="1"/>
          </xdr:cNvSpPr>
        </xdr:nvSpPr>
        <xdr:spPr bwMode="auto">
          <a:xfrm>
            <a:off x="1208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Freeform 611">
            <a:extLst>
              <a:ext uri="{FF2B5EF4-FFF2-40B4-BE49-F238E27FC236}">
                <a16:creationId xmlns:a16="http://schemas.microsoft.com/office/drawing/2014/main" id="{22D7CDF2-8BD8-4A71-B360-C808B25BD75B}"/>
              </a:ext>
            </a:extLst>
          </xdr:cNvPr>
          <xdr:cNvSpPr>
            <a:spLocks/>
          </xdr:cNvSpPr>
        </xdr:nvSpPr>
        <xdr:spPr bwMode="auto">
          <a:xfrm>
            <a:off x="1213" y="305"/>
            <a:ext cx="5" cy="5"/>
          </a:xfrm>
          <a:custGeom>
            <a:avLst/>
            <a:gdLst>
              <a:gd name="T0" fmla="*/ 210 w 280"/>
              <a:gd name="T1" fmla="*/ 282 h 282"/>
              <a:gd name="T2" fmla="*/ 70 w 280"/>
              <a:gd name="T3" fmla="*/ 282 h 282"/>
              <a:gd name="T4" fmla="*/ 0 w 280"/>
              <a:gd name="T5" fmla="*/ 212 h 282"/>
              <a:gd name="T6" fmla="*/ 0 w 280"/>
              <a:gd name="T7" fmla="*/ 71 h 282"/>
              <a:gd name="T8" fmla="*/ 70 w 280"/>
              <a:gd name="T9" fmla="*/ 0 h 282"/>
              <a:gd name="T10" fmla="*/ 210 w 280"/>
              <a:gd name="T11" fmla="*/ 0 h 282"/>
              <a:gd name="T12" fmla="*/ 280 w 280"/>
              <a:gd name="T13" fmla="*/ 71 h 282"/>
              <a:gd name="T14" fmla="*/ 280 w 280"/>
              <a:gd name="T15" fmla="*/ 212 h 282"/>
              <a:gd name="T16" fmla="*/ 210 w 280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" name="Line 612">
            <a:extLst>
              <a:ext uri="{FF2B5EF4-FFF2-40B4-BE49-F238E27FC236}">
                <a16:creationId xmlns:a16="http://schemas.microsoft.com/office/drawing/2014/main" id="{002CEA63-3A3A-4AA5-928E-28A9A759966B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1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Freeform 613">
            <a:extLst>
              <a:ext uri="{FF2B5EF4-FFF2-40B4-BE49-F238E27FC236}">
                <a16:creationId xmlns:a16="http://schemas.microsoft.com/office/drawing/2014/main" id="{F2CF5CCA-2F9E-4F44-9A92-9850B8224C67}"/>
              </a:ext>
            </a:extLst>
          </xdr:cNvPr>
          <xdr:cNvSpPr>
            <a:spLocks/>
          </xdr:cNvSpPr>
        </xdr:nvSpPr>
        <xdr:spPr bwMode="auto">
          <a:xfrm>
            <a:off x="1221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" name="Freeform 614">
            <a:extLst>
              <a:ext uri="{FF2B5EF4-FFF2-40B4-BE49-F238E27FC236}">
                <a16:creationId xmlns:a16="http://schemas.microsoft.com/office/drawing/2014/main" id="{4D95F39E-6BCC-4579-BBCA-7F273724F88E}"/>
              </a:ext>
            </a:extLst>
          </xdr:cNvPr>
          <xdr:cNvSpPr>
            <a:spLocks/>
          </xdr:cNvSpPr>
        </xdr:nvSpPr>
        <xdr:spPr bwMode="auto">
          <a:xfrm>
            <a:off x="1228" y="305"/>
            <a:ext cx="5" cy="5"/>
          </a:xfrm>
          <a:custGeom>
            <a:avLst/>
            <a:gdLst>
              <a:gd name="T0" fmla="*/ 281 w 281"/>
              <a:gd name="T1" fmla="*/ 141 h 282"/>
              <a:gd name="T2" fmla="*/ 141 w 281"/>
              <a:gd name="T3" fmla="*/ 282 h 282"/>
              <a:gd name="T4" fmla="*/ 71 w 281"/>
              <a:gd name="T5" fmla="*/ 282 h 282"/>
              <a:gd name="T6" fmla="*/ 0 w 281"/>
              <a:gd name="T7" fmla="*/ 212 h 282"/>
              <a:gd name="T8" fmla="*/ 0 w 281"/>
              <a:gd name="T9" fmla="*/ 71 h 282"/>
              <a:gd name="T10" fmla="*/ 71 w 281"/>
              <a:gd name="T11" fmla="*/ 0 h 282"/>
              <a:gd name="T12" fmla="*/ 141 w 281"/>
              <a:gd name="T13" fmla="*/ 0 h 282"/>
              <a:gd name="T14" fmla="*/ 281 w 281"/>
              <a:gd name="T15" fmla="*/ 141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2">
                <a:moveTo>
                  <a:pt x="281" y="141"/>
                </a:moveTo>
                <a:lnTo>
                  <a:pt x="141" y="282"/>
                </a:lnTo>
                <a:lnTo>
                  <a:pt x="71" y="282"/>
                </a:lnTo>
                <a:lnTo>
                  <a:pt x="0" y="212"/>
                </a:lnTo>
                <a:lnTo>
                  <a:pt x="0" y="71"/>
                </a:lnTo>
                <a:lnTo>
                  <a:pt x="71" y="0"/>
                </a:lnTo>
                <a:lnTo>
                  <a:pt x="141" y="0"/>
                </a:lnTo>
                <a:lnTo>
                  <a:pt x="281" y="141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" name="Line 615">
            <a:extLst>
              <a:ext uri="{FF2B5EF4-FFF2-40B4-BE49-F238E27FC236}">
                <a16:creationId xmlns:a16="http://schemas.microsoft.com/office/drawing/2014/main" id="{F2509D27-04EF-4565-9834-608955EA0A61}"/>
              </a:ext>
            </a:extLst>
          </xdr:cNvPr>
          <xdr:cNvSpPr>
            <a:spLocks noChangeShapeType="1"/>
          </xdr:cNvSpPr>
        </xdr:nvSpPr>
        <xdr:spPr bwMode="auto">
          <a:xfrm>
            <a:off x="1233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Freeform 616">
            <a:extLst>
              <a:ext uri="{FF2B5EF4-FFF2-40B4-BE49-F238E27FC236}">
                <a16:creationId xmlns:a16="http://schemas.microsoft.com/office/drawing/2014/main" id="{9DAC6B57-F95C-4734-BA08-49BC7D2E8468}"/>
              </a:ext>
            </a:extLst>
          </xdr:cNvPr>
          <xdr:cNvSpPr>
            <a:spLocks/>
          </xdr:cNvSpPr>
        </xdr:nvSpPr>
        <xdr:spPr bwMode="auto">
          <a:xfrm>
            <a:off x="1235" y="305"/>
            <a:ext cx="5" cy="5"/>
          </a:xfrm>
          <a:custGeom>
            <a:avLst/>
            <a:gdLst>
              <a:gd name="T0" fmla="*/ 0 w 281"/>
              <a:gd name="T1" fmla="*/ 141 h 282"/>
              <a:gd name="T2" fmla="*/ 211 w 281"/>
              <a:gd name="T3" fmla="*/ 141 h 282"/>
              <a:gd name="T4" fmla="*/ 281 w 281"/>
              <a:gd name="T5" fmla="*/ 71 h 282"/>
              <a:gd name="T6" fmla="*/ 211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1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1" y="141"/>
                </a:lnTo>
                <a:lnTo>
                  <a:pt x="281" y="71"/>
                </a:lnTo>
                <a:lnTo>
                  <a:pt x="211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1" name="Line 617">
            <a:extLst>
              <a:ext uri="{FF2B5EF4-FFF2-40B4-BE49-F238E27FC236}">
                <a16:creationId xmlns:a16="http://schemas.microsoft.com/office/drawing/2014/main" id="{D32B0B6A-A881-4627-8BE1-868C56B8E40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Line 618">
            <a:extLst>
              <a:ext uri="{FF2B5EF4-FFF2-40B4-BE49-F238E27FC236}">
                <a16:creationId xmlns:a16="http://schemas.microsoft.com/office/drawing/2014/main" id="{86CF88F2-E16B-47CC-A2FF-CA8F90AE898A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619">
            <a:extLst>
              <a:ext uri="{FF2B5EF4-FFF2-40B4-BE49-F238E27FC236}">
                <a16:creationId xmlns:a16="http://schemas.microsoft.com/office/drawing/2014/main" id="{4103428A-4ABA-4E3A-93DB-FE5E34DD9F1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2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Freeform 620">
            <a:extLst>
              <a:ext uri="{FF2B5EF4-FFF2-40B4-BE49-F238E27FC236}">
                <a16:creationId xmlns:a16="http://schemas.microsoft.com/office/drawing/2014/main" id="{099B9AA7-C8AB-4354-8EF9-EF02584D9E42}"/>
              </a:ext>
            </a:extLst>
          </xdr:cNvPr>
          <xdr:cNvSpPr>
            <a:spLocks/>
          </xdr:cNvSpPr>
        </xdr:nvSpPr>
        <xdr:spPr bwMode="auto">
          <a:xfrm>
            <a:off x="1252" y="305"/>
            <a:ext cx="4" cy="5"/>
          </a:xfrm>
          <a:custGeom>
            <a:avLst/>
            <a:gdLst>
              <a:gd name="T0" fmla="*/ 0 w 281"/>
              <a:gd name="T1" fmla="*/ 141 h 282"/>
              <a:gd name="T2" fmla="*/ 141 w 281"/>
              <a:gd name="T3" fmla="*/ 0 h 282"/>
              <a:gd name="T4" fmla="*/ 211 w 281"/>
              <a:gd name="T5" fmla="*/ 0 h 282"/>
              <a:gd name="T6" fmla="*/ 281 w 281"/>
              <a:gd name="T7" fmla="*/ 71 h 282"/>
              <a:gd name="T8" fmla="*/ 281 w 281"/>
              <a:gd name="T9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141" y="0"/>
                </a:lnTo>
                <a:lnTo>
                  <a:pt x="211" y="0"/>
                </a:lnTo>
                <a:lnTo>
                  <a:pt x="281" y="71"/>
                </a:lnTo>
                <a:lnTo>
                  <a:pt x="28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" name="Line 621">
            <a:extLst>
              <a:ext uri="{FF2B5EF4-FFF2-40B4-BE49-F238E27FC236}">
                <a16:creationId xmlns:a16="http://schemas.microsoft.com/office/drawing/2014/main" id="{4DF03787-858B-4080-857E-475AE25B1AE0}"/>
              </a:ext>
            </a:extLst>
          </xdr:cNvPr>
          <xdr:cNvSpPr>
            <a:spLocks noChangeShapeType="1"/>
          </xdr:cNvSpPr>
        </xdr:nvSpPr>
        <xdr:spPr bwMode="auto">
          <a:xfrm>
            <a:off x="1259" y="305"/>
            <a:ext cx="4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Freeform 622">
            <a:extLst>
              <a:ext uri="{FF2B5EF4-FFF2-40B4-BE49-F238E27FC236}">
                <a16:creationId xmlns:a16="http://schemas.microsoft.com/office/drawing/2014/main" id="{B4371D0F-4495-483C-A8D4-A5E1D93F9AB1}"/>
              </a:ext>
            </a:extLst>
          </xdr:cNvPr>
          <xdr:cNvSpPr>
            <a:spLocks/>
          </xdr:cNvSpPr>
        </xdr:nvSpPr>
        <xdr:spPr bwMode="auto">
          <a:xfrm>
            <a:off x="1261" y="303"/>
            <a:ext cx="2" cy="7"/>
          </a:xfrm>
          <a:custGeom>
            <a:avLst/>
            <a:gdLst>
              <a:gd name="T0" fmla="*/ 0 w 141"/>
              <a:gd name="T1" fmla="*/ 0 h 422"/>
              <a:gd name="T2" fmla="*/ 0 w 141"/>
              <a:gd name="T3" fmla="*/ 352 h 422"/>
              <a:gd name="T4" fmla="*/ 71 w 141"/>
              <a:gd name="T5" fmla="*/ 422 h 422"/>
              <a:gd name="T6" fmla="*/ 141 w 141"/>
              <a:gd name="T7" fmla="*/ 35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2">
                <a:moveTo>
                  <a:pt x="0" y="0"/>
                </a:moveTo>
                <a:lnTo>
                  <a:pt x="0" y="352"/>
                </a:lnTo>
                <a:lnTo>
                  <a:pt x="71" y="422"/>
                </a:lnTo>
                <a:lnTo>
                  <a:pt x="141" y="35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7" name="Freeform 623">
            <a:extLst>
              <a:ext uri="{FF2B5EF4-FFF2-40B4-BE49-F238E27FC236}">
                <a16:creationId xmlns:a16="http://schemas.microsoft.com/office/drawing/2014/main" id="{558C2CBC-2D7E-464A-8AED-56DF90442AE7}"/>
              </a:ext>
            </a:extLst>
          </xdr:cNvPr>
          <xdr:cNvSpPr>
            <a:spLocks/>
          </xdr:cNvSpPr>
        </xdr:nvSpPr>
        <xdr:spPr bwMode="auto">
          <a:xfrm>
            <a:off x="1266" y="305"/>
            <a:ext cx="5" cy="5"/>
          </a:xfrm>
          <a:custGeom>
            <a:avLst/>
            <a:gdLst>
              <a:gd name="T0" fmla="*/ 0 w 281"/>
              <a:gd name="T1" fmla="*/ 141 h 282"/>
              <a:gd name="T2" fmla="*/ 210 w 281"/>
              <a:gd name="T3" fmla="*/ 141 h 282"/>
              <a:gd name="T4" fmla="*/ 281 w 281"/>
              <a:gd name="T5" fmla="*/ 71 h 282"/>
              <a:gd name="T6" fmla="*/ 210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0" y="141"/>
                </a:lnTo>
                <a:lnTo>
                  <a:pt x="281" y="71"/>
                </a:lnTo>
                <a:lnTo>
                  <a:pt x="210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0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" name="Line 624">
            <a:extLst>
              <a:ext uri="{FF2B5EF4-FFF2-40B4-BE49-F238E27FC236}">
                <a16:creationId xmlns:a16="http://schemas.microsoft.com/office/drawing/2014/main" id="{DE67CB20-A250-42E7-8333-3DC3D77BF3D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3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Freeform 625">
            <a:extLst>
              <a:ext uri="{FF2B5EF4-FFF2-40B4-BE49-F238E27FC236}">
                <a16:creationId xmlns:a16="http://schemas.microsoft.com/office/drawing/2014/main" id="{C8D2E6C3-CF7A-4A2E-8313-5ECCE4EBC30D}"/>
              </a:ext>
            </a:extLst>
          </xdr:cNvPr>
          <xdr:cNvSpPr>
            <a:spLocks/>
          </xdr:cNvSpPr>
        </xdr:nvSpPr>
        <xdr:spPr bwMode="auto">
          <a:xfrm>
            <a:off x="1273" y="305"/>
            <a:ext cx="5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0" name="Line 626">
            <a:extLst>
              <a:ext uri="{FF2B5EF4-FFF2-40B4-BE49-F238E27FC236}">
                <a16:creationId xmlns:a16="http://schemas.microsoft.com/office/drawing/2014/main" id="{4EB65D3E-097A-494B-BF30-227B35DA440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627">
            <a:extLst>
              <a:ext uri="{FF2B5EF4-FFF2-40B4-BE49-F238E27FC236}">
                <a16:creationId xmlns:a16="http://schemas.microsoft.com/office/drawing/2014/main" id="{661581FA-C5D6-45E8-B6A3-DC9E1135924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Freeform 628">
            <a:extLst>
              <a:ext uri="{FF2B5EF4-FFF2-40B4-BE49-F238E27FC236}">
                <a16:creationId xmlns:a16="http://schemas.microsoft.com/office/drawing/2014/main" id="{B0F7CA02-B661-42CC-A17C-2562E5945447}"/>
              </a:ext>
            </a:extLst>
          </xdr:cNvPr>
          <xdr:cNvSpPr>
            <a:spLocks/>
          </xdr:cNvSpPr>
        </xdr:nvSpPr>
        <xdr:spPr bwMode="auto">
          <a:xfrm>
            <a:off x="1283" y="305"/>
            <a:ext cx="4" cy="5"/>
          </a:xfrm>
          <a:custGeom>
            <a:avLst/>
            <a:gdLst>
              <a:gd name="T0" fmla="*/ 210 w 281"/>
              <a:gd name="T1" fmla="*/ 282 h 282"/>
              <a:gd name="T2" fmla="*/ 70 w 281"/>
              <a:gd name="T3" fmla="*/ 282 h 282"/>
              <a:gd name="T4" fmla="*/ 0 w 281"/>
              <a:gd name="T5" fmla="*/ 212 h 282"/>
              <a:gd name="T6" fmla="*/ 0 w 281"/>
              <a:gd name="T7" fmla="*/ 71 h 282"/>
              <a:gd name="T8" fmla="*/ 70 w 281"/>
              <a:gd name="T9" fmla="*/ 0 h 282"/>
              <a:gd name="T10" fmla="*/ 210 w 281"/>
              <a:gd name="T11" fmla="*/ 0 h 282"/>
              <a:gd name="T12" fmla="*/ 281 w 281"/>
              <a:gd name="T13" fmla="*/ 71 h 282"/>
              <a:gd name="T14" fmla="*/ 281 w 281"/>
              <a:gd name="T15" fmla="*/ 21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1" y="71"/>
                </a:lnTo>
                <a:lnTo>
                  <a:pt x="281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" name="Line 629">
            <a:extLst>
              <a:ext uri="{FF2B5EF4-FFF2-40B4-BE49-F238E27FC236}">
                <a16:creationId xmlns:a16="http://schemas.microsoft.com/office/drawing/2014/main" id="{819BDA08-E3FC-4559-93E4-73FFBBEE4364}"/>
              </a:ext>
            </a:extLst>
          </xdr:cNvPr>
          <xdr:cNvSpPr>
            <a:spLocks noChangeShapeType="1"/>
          </xdr:cNvSpPr>
        </xdr:nvSpPr>
        <xdr:spPr bwMode="auto">
          <a:xfrm flipV="1">
            <a:off x="129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Freeform 630">
            <a:extLst>
              <a:ext uri="{FF2B5EF4-FFF2-40B4-BE49-F238E27FC236}">
                <a16:creationId xmlns:a16="http://schemas.microsoft.com/office/drawing/2014/main" id="{B9D3170C-8263-4512-B6B3-2D929AABBAEE}"/>
              </a:ext>
            </a:extLst>
          </xdr:cNvPr>
          <xdr:cNvSpPr>
            <a:spLocks/>
          </xdr:cNvSpPr>
        </xdr:nvSpPr>
        <xdr:spPr bwMode="auto">
          <a:xfrm>
            <a:off x="1290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5" name="Freeform 631">
            <a:extLst>
              <a:ext uri="{FF2B5EF4-FFF2-40B4-BE49-F238E27FC236}">
                <a16:creationId xmlns:a16="http://schemas.microsoft.com/office/drawing/2014/main" id="{68B1BDD5-D055-4790-BCC6-44C2A5BA58AD}"/>
              </a:ext>
            </a:extLst>
          </xdr:cNvPr>
          <xdr:cNvSpPr>
            <a:spLocks/>
          </xdr:cNvSpPr>
        </xdr:nvSpPr>
        <xdr:spPr bwMode="auto">
          <a:xfrm>
            <a:off x="864" y="189"/>
            <a:ext cx="5" cy="7"/>
          </a:xfrm>
          <a:custGeom>
            <a:avLst/>
            <a:gdLst>
              <a:gd name="T0" fmla="*/ 0 w 282"/>
              <a:gd name="T1" fmla="*/ 422 h 422"/>
              <a:gd name="T2" fmla="*/ 0 w 282"/>
              <a:gd name="T3" fmla="*/ 0 h 422"/>
              <a:gd name="T4" fmla="*/ 282 w 282"/>
              <a:gd name="T5" fmla="*/ 0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82" h="422">
                <a:moveTo>
                  <a:pt x="0" y="422"/>
                </a:moveTo>
                <a:lnTo>
                  <a:pt x="0" y="0"/>
                </a:lnTo>
                <a:lnTo>
                  <a:pt x="282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6" name="Line 632">
            <a:extLst>
              <a:ext uri="{FF2B5EF4-FFF2-40B4-BE49-F238E27FC236}">
                <a16:creationId xmlns:a16="http://schemas.microsoft.com/office/drawing/2014/main" id="{F7AF310E-994F-4783-A9A8-8416E85E5915}"/>
              </a:ext>
            </a:extLst>
          </xdr:cNvPr>
          <xdr:cNvSpPr>
            <a:spLocks noChangeShapeType="1"/>
          </xdr:cNvSpPr>
        </xdr:nvSpPr>
        <xdr:spPr bwMode="auto">
          <a:xfrm>
            <a:off x="864" y="193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633">
            <a:extLst>
              <a:ext uri="{FF2B5EF4-FFF2-40B4-BE49-F238E27FC236}">
                <a16:creationId xmlns:a16="http://schemas.microsoft.com/office/drawing/2014/main" id="{E8FFEBCE-7012-43FF-A797-57C0183317FF}"/>
              </a:ext>
            </a:extLst>
          </xdr:cNvPr>
          <xdr:cNvSpPr>
            <a:spLocks noChangeShapeType="1"/>
          </xdr:cNvSpPr>
        </xdr:nvSpPr>
        <xdr:spPr bwMode="auto">
          <a:xfrm>
            <a:off x="864" y="196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Freeform 634">
            <a:extLst>
              <a:ext uri="{FF2B5EF4-FFF2-40B4-BE49-F238E27FC236}">
                <a16:creationId xmlns:a16="http://schemas.microsoft.com/office/drawing/2014/main" id="{FA500D19-1643-437E-8716-30EFD4264182}"/>
              </a:ext>
            </a:extLst>
          </xdr:cNvPr>
          <xdr:cNvSpPr>
            <a:spLocks/>
          </xdr:cNvSpPr>
        </xdr:nvSpPr>
        <xdr:spPr bwMode="auto">
          <a:xfrm>
            <a:off x="871" y="192"/>
            <a:ext cx="4" cy="7"/>
          </a:xfrm>
          <a:custGeom>
            <a:avLst/>
            <a:gdLst>
              <a:gd name="T0" fmla="*/ 0 w 211"/>
              <a:gd name="T1" fmla="*/ 351 h 421"/>
              <a:gd name="T2" fmla="*/ 70 w 211"/>
              <a:gd name="T3" fmla="*/ 421 h 421"/>
              <a:gd name="T4" fmla="*/ 141 w 211"/>
              <a:gd name="T5" fmla="*/ 421 h 421"/>
              <a:gd name="T6" fmla="*/ 211 w 211"/>
              <a:gd name="T7" fmla="*/ 351 h 421"/>
              <a:gd name="T8" fmla="*/ 211 w 211"/>
              <a:gd name="T9" fmla="*/ 0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11" h="421">
                <a:moveTo>
                  <a:pt x="0" y="351"/>
                </a:moveTo>
                <a:lnTo>
                  <a:pt x="70" y="421"/>
                </a:lnTo>
                <a:lnTo>
                  <a:pt x="141" y="421"/>
                </a:lnTo>
                <a:lnTo>
                  <a:pt x="211" y="351"/>
                </a:lnTo>
                <a:lnTo>
                  <a:pt x="211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9" name="Line 635">
            <a:extLst>
              <a:ext uri="{FF2B5EF4-FFF2-40B4-BE49-F238E27FC236}">
                <a16:creationId xmlns:a16="http://schemas.microsoft.com/office/drawing/2014/main" id="{CFDD403B-1072-45B5-964E-60D18757182E}"/>
              </a:ext>
            </a:extLst>
          </xdr:cNvPr>
          <xdr:cNvSpPr>
            <a:spLocks noChangeShapeType="1"/>
          </xdr:cNvSpPr>
        </xdr:nvSpPr>
        <xdr:spPr bwMode="auto">
          <a:xfrm flipV="1">
            <a:off x="875" y="189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Freeform 636">
            <a:extLst>
              <a:ext uri="{FF2B5EF4-FFF2-40B4-BE49-F238E27FC236}">
                <a16:creationId xmlns:a16="http://schemas.microsoft.com/office/drawing/2014/main" id="{CF212573-DB86-4CC4-99DF-77030D3CCCA1}"/>
              </a:ext>
            </a:extLst>
          </xdr:cNvPr>
          <xdr:cNvSpPr>
            <a:spLocks/>
          </xdr:cNvSpPr>
        </xdr:nvSpPr>
        <xdr:spPr bwMode="auto">
          <a:xfrm>
            <a:off x="877" y="192"/>
            <a:ext cx="5" cy="4"/>
          </a:xfrm>
          <a:custGeom>
            <a:avLst/>
            <a:gdLst>
              <a:gd name="T0" fmla="*/ 0 w 281"/>
              <a:gd name="T1" fmla="*/ 140 h 281"/>
              <a:gd name="T2" fmla="*/ 210 w 281"/>
              <a:gd name="T3" fmla="*/ 140 h 281"/>
              <a:gd name="T4" fmla="*/ 281 w 281"/>
              <a:gd name="T5" fmla="*/ 70 h 281"/>
              <a:gd name="T6" fmla="*/ 210 w 281"/>
              <a:gd name="T7" fmla="*/ 0 h 281"/>
              <a:gd name="T8" fmla="*/ 70 w 281"/>
              <a:gd name="T9" fmla="*/ 0 h 281"/>
              <a:gd name="T10" fmla="*/ 0 w 281"/>
              <a:gd name="T11" fmla="*/ 70 h 281"/>
              <a:gd name="T12" fmla="*/ 0 w 281"/>
              <a:gd name="T13" fmla="*/ 210 h 281"/>
              <a:gd name="T14" fmla="*/ 70 w 281"/>
              <a:gd name="T15" fmla="*/ 281 h 281"/>
              <a:gd name="T16" fmla="*/ 210 w 28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210" y="140"/>
                </a:lnTo>
                <a:lnTo>
                  <a:pt x="281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1"/>
                </a:lnTo>
                <a:lnTo>
                  <a:pt x="210" y="28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</xdr:col>
      <xdr:colOff>236604</xdr:colOff>
      <xdr:row>11</xdr:row>
      <xdr:rowOff>109497</xdr:rowOff>
    </xdr:from>
    <xdr:to>
      <xdr:col>2</xdr:col>
      <xdr:colOff>236606</xdr:colOff>
      <xdr:row>14</xdr:row>
      <xdr:rowOff>144876</xdr:rowOff>
    </xdr:to>
    <xdr:cxnSp macro="">
      <xdr:nvCxnSpPr>
        <xdr:cNvPr id="541" name="Conector recto de flecha 540">
          <a:extLst>
            <a:ext uri="{FF2B5EF4-FFF2-40B4-BE49-F238E27FC236}">
              <a16:creationId xmlns:a16="http://schemas.microsoft.com/office/drawing/2014/main" id="{D509C014-2DF4-46A4-A80A-F34B167B08F0}"/>
            </a:ext>
          </a:extLst>
        </xdr:cNvPr>
        <xdr:cNvCxnSpPr/>
      </xdr:nvCxnSpPr>
      <xdr:spPr>
        <a:xfrm>
          <a:off x="2446404" y="2224047"/>
          <a:ext cx="2" cy="7307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</xdr:colOff>
      <xdr:row>11</xdr:row>
      <xdr:rowOff>108857</xdr:rowOff>
    </xdr:from>
    <xdr:to>
      <xdr:col>2</xdr:col>
      <xdr:colOff>228600</xdr:colOff>
      <xdr:row>11</xdr:row>
      <xdr:rowOff>108857</xdr:rowOff>
    </xdr:to>
    <xdr:cxnSp macro="">
      <xdr:nvCxnSpPr>
        <xdr:cNvPr id="542" name="Conector recto de flecha 541">
          <a:extLst>
            <a:ext uri="{FF2B5EF4-FFF2-40B4-BE49-F238E27FC236}">
              <a16:creationId xmlns:a16="http://schemas.microsoft.com/office/drawing/2014/main" id="{D4B7D9AD-0784-485A-B74C-23C8259146F0}"/>
            </a:ext>
          </a:extLst>
        </xdr:cNvPr>
        <xdr:cNvCxnSpPr/>
      </xdr:nvCxnSpPr>
      <xdr:spPr>
        <a:xfrm flipH="1">
          <a:off x="2231571" y="2223407"/>
          <a:ext cx="2068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621907</xdr:colOff>
      <xdr:row>39</xdr:row>
      <xdr:rowOff>11350</xdr:rowOff>
    </xdr:from>
    <xdr:to>
      <xdr:col>7</xdr:col>
      <xdr:colOff>565367</xdr:colOff>
      <xdr:row>57</xdr:row>
      <xdr:rowOff>180078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id="{4CC6049C-AA48-4A5B-B9FB-C635CC1D8DE0}"/>
            </a:ext>
          </a:extLst>
        </xdr:cNvPr>
        <xdr:cNvGrpSpPr>
          <a:grpSpLocks noChangeAspect="1"/>
        </xdr:cNvGrpSpPr>
      </xdr:nvGrpSpPr>
      <xdr:grpSpPr bwMode="auto">
        <a:xfrm>
          <a:off x="621907" y="7767421"/>
          <a:ext cx="6698434" cy="3667708"/>
          <a:chOff x="753" y="57"/>
          <a:chExt cx="550" cy="299"/>
        </a:xfrm>
      </xdr:grpSpPr>
      <xdr:sp macro="" textlink="">
        <xdr:nvSpPr>
          <xdr:cNvPr id="3" name="AutoShape 50">
            <a:extLst>
              <a:ext uri="{FF2B5EF4-FFF2-40B4-BE49-F238E27FC236}">
                <a16:creationId xmlns:a16="http://schemas.microsoft.com/office/drawing/2014/main" id="{C8DD0509-9E35-461A-BEC8-3E291CAD5B9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753" y="57"/>
            <a:ext cx="550" cy="2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grpSp>
        <xdr:nvGrpSpPr>
          <xdr:cNvPr id="4" name="Group 252">
            <a:extLst>
              <a:ext uri="{FF2B5EF4-FFF2-40B4-BE49-F238E27FC236}">
                <a16:creationId xmlns:a16="http://schemas.microsoft.com/office/drawing/2014/main" id="{2126CC3F-0CA8-4839-8B65-9B66E8D41B9C}"/>
              </a:ext>
            </a:extLst>
          </xdr:cNvPr>
          <xdr:cNvGrpSpPr>
            <a:grpSpLocks/>
          </xdr:cNvGrpSpPr>
        </xdr:nvGrpSpPr>
        <xdr:grpSpPr bwMode="auto">
          <a:xfrm>
            <a:off x="821" y="106"/>
            <a:ext cx="402" cy="191"/>
            <a:chOff x="821" y="106"/>
            <a:chExt cx="402" cy="191"/>
          </a:xfrm>
        </xdr:grpSpPr>
        <xdr:sp macro="" textlink="">
          <xdr:nvSpPr>
            <xdr:cNvPr id="341" name="Line 52">
              <a:extLst>
                <a:ext uri="{FF2B5EF4-FFF2-40B4-BE49-F238E27FC236}">
                  <a16:creationId xmlns:a16="http://schemas.microsoft.com/office/drawing/2014/main" id="{E833576F-538D-4F5B-92BF-C46D5FC626A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23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2" name="Line 53">
              <a:extLst>
                <a:ext uri="{FF2B5EF4-FFF2-40B4-BE49-F238E27FC236}">
                  <a16:creationId xmlns:a16="http://schemas.microsoft.com/office/drawing/2014/main" id="{388B1E7B-6EA9-4EA9-B1C2-05E126CA9E6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32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3" name="Line 54">
              <a:extLst>
                <a:ext uri="{FF2B5EF4-FFF2-40B4-BE49-F238E27FC236}">
                  <a16:creationId xmlns:a16="http://schemas.microsoft.com/office/drawing/2014/main" id="{B2EC1496-0FBB-4079-8993-432430F34BC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0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4" name="Line 55">
              <a:extLst>
                <a:ext uri="{FF2B5EF4-FFF2-40B4-BE49-F238E27FC236}">
                  <a16:creationId xmlns:a16="http://schemas.microsoft.com/office/drawing/2014/main" id="{D6C4F585-0A30-4985-B195-76142BA1B0D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9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5" name="Line 56">
              <a:extLst>
                <a:ext uri="{FF2B5EF4-FFF2-40B4-BE49-F238E27FC236}">
                  <a16:creationId xmlns:a16="http://schemas.microsoft.com/office/drawing/2014/main" id="{0AFBAE04-BC60-4910-8A58-840F9CCDF21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57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6" name="Line 57">
              <a:extLst>
                <a:ext uri="{FF2B5EF4-FFF2-40B4-BE49-F238E27FC236}">
                  <a16:creationId xmlns:a16="http://schemas.microsoft.com/office/drawing/2014/main" id="{CD6DE3C9-93BB-4882-91A4-51F32DDACAA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66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7" name="Line 58">
              <a:extLst>
                <a:ext uri="{FF2B5EF4-FFF2-40B4-BE49-F238E27FC236}">
                  <a16:creationId xmlns:a16="http://schemas.microsoft.com/office/drawing/2014/main" id="{580EC0B5-1EEE-43E4-AEEE-88E4C4F04C2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74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8" name="Line 59">
              <a:extLst>
                <a:ext uri="{FF2B5EF4-FFF2-40B4-BE49-F238E27FC236}">
                  <a16:creationId xmlns:a16="http://schemas.microsoft.com/office/drawing/2014/main" id="{55433CD8-2B64-4EB5-B375-F5B8671D156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83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9" name="Line 60">
              <a:extLst>
                <a:ext uri="{FF2B5EF4-FFF2-40B4-BE49-F238E27FC236}">
                  <a16:creationId xmlns:a16="http://schemas.microsoft.com/office/drawing/2014/main" id="{B273148A-1A29-463D-83D0-FDE5F46825A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91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0" name="Line 61">
              <a:extLst>
                <a:ext uri="{FF2B5EF4-FFF2-40B4-BE49-F238E27FC236}">
                  <a16:creationId xmlns:a16="http://schemas.microsoft.com/office/drawing/2014/main" id="{F365CA46-5EC5-448C-B295-D4F0235496D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0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1" name="Line 62">
              <a:extLst>
                <a:ext uri="{FF2B5EF4-FFF2-40B4-BE49-F238E27FC236}">
                  <a16:creationId xmlns:a16="http://schemas.microsoft.com/office/drawing/2014/main" id="{EABBF349-07F5-4030-ADE3-7C345A9610A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8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2" name="Line 63">
              <a:extLst>
                <a:ext uri="{FF2B5EF4-FFF2-40B4-BE49-F238E27FC236}">
                  <a16:creationId xmlns:a16="http://schemas.microsoft.com/office/drawing/2014/main" id="{441C2527-05CC-4DA5-9137-58279593292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17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3" name="Line 64">
              <a:extLst>
                <a:ext uri="{FF2B5EF4-FFF2-40B4-BE49-F238E27FC236}">
                  <a16:creationId xmlns:a16="http://schemas.microsoft.com/office/drawing/2014/main" id="{22C698FA-717A-4F3E-B1BC-7678AA7AE18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25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4" name="Line 65">
              <a:extLst>
                <a:ext uri="{FF2B5EF4-FFF2-40B4-BE49-F238E27FC236}">
                  <a16:creationId xmlns:a16="http://schemas.microsoft.com/office/drawing/2014/main" id="{470541A6-FF8B-47E0-984D-66B85A1A48F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34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5" name="Line 66">
              <a:extLst>
                <a:ext uri="{FF2B5EF4-FFF2-40B4-BE49-F238E27FC236}">
                  <a16:creationId xmlns:a16="http://schemas.microsoft.com/office/drawing/2014/main" id="{4809EF0D-EB75-4127-9070-A95DFF18C0B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42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6" name="Line 67">
              <a:extLst>
                <a:ext uri="{FF2B5EF4-FFF2-40B4-BE49-F238E27FC236}">
                  <a16:creationId xmlns:a16="http://schemas.microsoft.com/office/drawing/2014/main" id="{5833B018-259B-4511-9347-E782B760999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1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7" name="Line 68">
              <a:extLst>
                <a:ext uri="{FF2B5EF4-FFF2-40B4-BE49-F238E27FC236}">
                  <a16:creationId xmlns:a16="http://schemas.microsoft.com/office/drawing/2014/main" id="{18565EEE-EEF4-4260-8248-7F7A5C89A11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9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8" name="Line 69">
              <a:extLst>
                <a:ext uri="{FF2B5EF4-FFF2-40B4-BE49-F238E27FC236}">
                  <a16:creationId xmlns:a16="http://schemas.microsoft.com/office/drawing/2014/main" id="{02E4B5D3-A584-44DC-9730-1D376BE22EE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68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9" name="Line 70">
              <a:extLst>
                <a:ext uri="{FF2B5EF4-FFF2-40B4-BE49-F238E27FC236}">
                  <a16:creationId xmlns:a16="http://schemas.microsoft.com/office/drawing/2014/main" id="{DF7EDB91-E5A9-4F52-9AC1-89DDB9E6B21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76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0" name="Line 71">
              <a:extLst>
                <a:ext uri="{FF2B5EF4-FFF2-40B4-BE49-F238E27FC236}">
                  <a16:creationId xmlns:a16="http://schemas.microsoft.com/office/drawing/2014/main" id="{E54FDE46-9C54-432B-9A08-0C6E1E97E55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5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1" name="Line 72">
              <a:extLst>
                <a:ext uri="{FF2B5EF4-FFF2-40B4-BE49-F238E27FC236}">
                  <a16:creationId xmlns:a16="http://schemas.microsoft.com/office/drawing/2014/main" id="{3A9BA0FB-523F-47A3-AA72-7A0188FF9B9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8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2" name="Line 73">
              <a:extLst>
                <a:ext uri="{FF2B5EF4-FFF2-40B4-BE49-F238E27FC236}">
                  <a16:creationId xmlns:a16="http://schemas.microsoft.com/office/drawing/2014/main" id="{EF3ACC2D-6E51-4847-ADD0-383EE7FC368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3" name="Line 74">
              <a:extLst>
                <a:ext uri="{FF2B5EF4-FFF2-40B4-BE49-F238E27FC236}">
                  <a16:creationId xmlns:a16="http://schemas.microsoft.com/office/drawing/2014/main" id="{BA993062-AA4E-48A1-8133-33DA1071A07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8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4" name="Line 75">
              <a:extLst>
                <a:ext uri="{FF2B5EF4-FFF2-40B4-BE49-F238E27FC236}">
                  <a16:creationId xmlns:a16="http://schemas.microsoft.com/office/drawing/2014/main" id="{00D6B4C0-D8FA-44F4-9DA1-918E648D780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7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5" name="Line 76">
              <a:extLst>
                <a:ext uri="{FF2B5EF4-FFF2-40B4-BE49-F238E27FC236}">
                  <a16:creationId xmlns:a16="http://schemas.microsoft.com/office/drawing/2014/main" id="{99BE3560-8F48-4292-8822-FE811B194F4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6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6" name="Line 77">
              <a:extLst>
                <a:ext uri="{FF2B5EF4-FFF2-40B4-BE49-F238E27FC236}">
                  <a16:creationId xmlns:a16="http://schemas.microsoft.com/office/drawing/2014/main" id="{1032A248-7EA2-46B5-8780-9CED67F157C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5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7" name="Line 78">
              <a:extLst>
                <a:ext uri="{FF2B5EF4-FFF2-40B4-BE49-F238E27FC236}">
                  <a16:creationId xmlns:a16="http://schemas.microsoft.com/office/drawing/2014/main" id="{999AFFA3-3A95-45D0-8C5F-5C304C22C9C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47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8" name="Line 79">
              <a:extLst>
                <a:ext uri="{FF2B5EF4-FFF2-40B4-BE49-F238E27FC236}">
                  <a16:creationId xmlns:a16="http://schemas.microsoft.com/office/drawing/2014/main" id="{D615BABC-0403-4BF0-B630-9FEB19464AC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9" name="Line 80">
              <a:extLst>
                <a:ext uri="{FF2B5EF4-FFF2-40B4-BE49-F238E27FC236}">
                  <a16:creationId xmlns:a16="http://schemas.microsoft.com/office/drawing/2014/main" id="{55AD16DB-3ECC-4AAD-B864-107AD0B4DA1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0" name="Line 81">
              <a:extLst>
                <a:ext uri="{FF2B5EF4-FFF2-40B4-BE49-F238E27FC236}">
                  <a16:creationId xmlns:a16="http://schemas.microsoft.com/office/drawing/2014/main" id="{3E4FED5F-AB2B-42B0-926E-207FA3A3D68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2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1" name="Line 82">
              <a:extLst>
                <a:ext uri="{FF2B5EF4-FFF2-40B4-BE49-F238E27FC236}">
                  <a16:creationId xmlns:a16="http://schemas.microsoft.com/office/drawing/2014/main" id="{C56345A5-7402-45C0-95B7-4A8FE7938B7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1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2" name="Line 83">
              <a:extLst>
                <a:ext uri="{FF2B5EF4-FFF2-40B4-BE49-F238E27FC236}">
                  <a16:creationId xmlns:a16="http://schemas.microsoft.com/office/drawing/2014/main" id="{53F51385-7D13-4C3B-98AB-762B054D757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3" name="Freeform 84">
              <a:extLst>
                <a:ext uri="{FF2B5EF4-FFF2-40B4-BE49-F238E27FC236}">
                  <a16:creationId xmlns:a16="http://schemas.microsoft.com/office/drawing/2014/main" id="{DD314353-6AD9-42F5-91DF-7EC43AB55327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105 h 105"/>
                <a:gd name="T2" fmla="*/ 1979 w 1979"/>
                <a:gd name="T3" fmla="*/ 0 h 105"/>
                <a:gd name="T4" fmla="*/ 0 w 1979"/>
                <a:gd name="T5" fmla="*/ 105 h 105"/>
                <a:gd name="T6" fmla="*/ 1979 w 197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105"/>
                  </a:moveTo>
                  <a:lnTo>
                    <a:pt x="1979" y="0"/>
                  </a:lnTo>
                  <a:lnTo>
                    <a:pt x="0" y="105"/>
                  </a:lnTo>
                  <a:lnTo>
                    <a:pt x="1979" y="10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4" name="Freeform 85">
              <a:extLst>
                <a:ext uri="{FF2B5EF4-FFF2-40B4-BE49-F238E27FC236}">
                  <a16:creationId xmlns:a16="http://schemas.microsoft.com/office/drawing/2014/main" id="{4F48A4EE-AA76-45CE-9818-52223E9FEAA9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0 h 105"/>
                <a:gd name="T2" fmla="*/ 0 w 1979"/>
                <a:gd name="T3" fmla="*/ 105 h 105"/>
                <a:gd name="T4" fmla="*/ 18 w 1979"/>
                <a:gd name="T5" fmla="*/ 0 h 105"/>
                <a:gd name="T6" fmla="*/ 1979 w 1979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0"/>
                  </a:moveTo>
                  <a:lnTo>
                    <a:pt x="0" y="105"/>
                  </a:lnTo>
                  <a:lnTo>
                    <a:pt x="18" y="0"/>
                  </a:lnTo>
                  <a:lnTo>
                    <a:pt x="197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5" name="Freeform 86">
              <a:extLst>
                <a:ext uri="{FF2B5EF4-FFF2-40B4-BE49-F238E27FC236}">
                  <a16:creationId xmlns:a16="http://schemas.microsoft.com/office/drawing/2014/main" id="{F48BDFD2-FE4A-430C-83EF-7AA45A834F8A}"/>
                </a:ext>
              </a:extLst>
            </xdr:cNvPr>
            <xdr:cNvSpPr>
              <a:spLocks/>
            </xdr:cNvSpPr>
          </xdr:nvSpPr>
          <xdr:spPr bwMode="auto">
            <a:xfrm>
              <a:off x="1028" y="238"/>
              <a:ext cx="162" cy="59"/>
            </a:xfrm>
            <a:custGeom>
              <a:avLst/>
              <a:gdLst>
                <a:gd name="T0" fmla="*/ 9523 w 9541"/>
                <a:gd name="T1" fmla="*/ 3477 h 3477"/>
                <a:gd name="T2" fmla="*/ 9541 w 9541"/>
                <a:gd name="T3" fmla="*/ 3372 h 3477"/>
                <a:gd name="T4" fmla="*/ 0 w 9541"/>
                <a:gd name="T5" fmla="*/ 0 h 3477"/>
                <a:gd name="T6" fmla="*/ 9523 w 9541"/>
                <a:gd name="T7" fmla="*/ 3477 h 34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7">
                  <a:moveTo>
                    <a:pt x="9523" y="3477"/>
                  </a:moveTo>
                  <a:lnTo>
                    <a:pt x="9541" y="3372"/>
                  </a:lnTo>
                  <a:lnTo>
                    <a:pt x="0" y="0"/>
                  </a:lnTo>
                  <a:lnTo>
                    <a:pt x="9523" y="347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6" name="Freeform 87">
              <a:extLst>
                <a:ext uri="{FF2B5EF4-FFF2-40B4-BE49-F238E27FC236}">
                  <a16:creationId xmlns:a16="http://schemas.microsoft.com/office/drawing/2014/main" id="{30A30154-99CC-4E9B-A4E6-08CCBEF5312E}"/>
                </a:ext>
              </a:extLst>
            </xdr:cNvPr>
            <xdr:cNvSpPr>
              <a:spLocks/>
            </xdr:cNvSpPr>
          </xdr:nvSpPr>
          <xdr:spPr bwMode="auto">
            <a:xfrm>
              <a:off x="1028" y="237"/>
              <a:ext cx="162" cy="59"/>
            </a:xfrm>
            <a:custGeom>
              <a:avLst/>
              <a:gdLst>
                <a:gd name="T0" fmla="*/ 9541 w 9541"/>
                <a:gd name="T1" fmla="*/ 3478 h 3478"/>
                <a:gd name="T2" fmla="*/ 0 w 9541"/>
                <a:gd name="T3" fmla="*/ 106 h 3478"/>
                <a:gd name="T4" fmla="*/ 18 w 9541"/>
                <a:gd name="T5" fmla="*/ 0 h 3478"/>
                <a:gd name="T6" fmla="*/ 9541 w 9541"/>
                <a:gd name="T7" fmla="*/ 3478 h 34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8">
                  <a:moveTo>
                    <a:pt x="9541" y="3478"/>
                  </a:moveTo>
                  <a:lnTo>
                    <a:pt x="0" y="106"/>
                  </a:lnTo>
                  <a:lnTo>
                    <a:pt x="18" y="0"/>
                  </a:lnTo>
                  <a:lnTo>
                    <a:pt x="9541" y="3478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7" name="Freeform 88">
              <a:extLst>
                <a:ext uri="{FF2B5EF4-FFF2-40B4-BE49-F238E27FC236}">
                  <a16:creationId xmlns:a16="http://schemas.microsoft.com/office/drawing/2014/main" id="{7582125B-308E-4A5A-89AD-654720668F08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35 w 11553"/>
                <a:gd name="T1" fmla="*/ 106 h 106"/>
                <a:gd name="T2" fmla="*/ 11553 w 11553"/>
                <a:gd name="T3" fmla="*/ 0 h 106"/>
                <a:gd name="T4" fmla="*/ 0 w 11553"/>
                <a:gd name="T5" fmla="*/ 106 h 106"/>
                <a:gd name="T6" fmla="*/ 11535 w 11553"/>
                <a:gd name="T7" fmla="*/ 106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35" y="106"/>
                  </a:moveTo>
                  <a:lnTo>
                    <a:pt x="11553" y="0"/>
                  </a:lnTo>
                  <a:lnTo>
                    <a:pt x="0" y="106"/>
                  </a:lnTo>
                  <a:lnTo>
                    <a:pt x="11535" y="10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8" name="Freeform 89">
              <a:extLst>
                <a:ext uri="{FF2B5EF4-FFF2-40B4-BE49-F238E27FC236}">
                  <a16:creationId xmlns:a16="http://schemas.microsoft.com/office/drawing/2014/main" id="{824E4388-BA45-4703-9396-36C0597C4DE7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53 w 11553"/>
                <a:gd name="T1" fmla="*/ 0 h 106"/>
                <a:gd name="T2" fmla="*/ 0 w 11553"/>
                <a:gd name="T3" fmla="*/ 106 h 106"/>
                <a:gd name="T4" fmla="*/ 0 w 11553"/>
                <a:gd name="T5" fmla="*/ 0 h 106"/>
                <a:gd name="T6" fmla="*/ 11553 w 115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53" y="0"/>
                  </a:moveTo>
                  <a:lnTo>
                    <a:pt x="0" y="106"/>
                  </a:lnTo>
                  <a:lnTo>
                    <a:pt x="0" y="0"/>
                  </a:lnTo>
                  <a:lnTo>
                    <a:pt x="1155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9" name="Freeform 90">
              <a:extLst>
                <a:ext uri="{FF2B5EF4-FFF2-40B4-BE49-F238E27FC236}">
                  <a16:creationId xmlns:a16="http://schemas.microsoft.com/office/drawing/2014/main" id="{6385E826-06DD-493E-9414-56E465748D47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76"/>
                <a:gd name="T1" fmla="*/ 7696 h 7794"/>
                <a:gd name="T2" fmla="*/ 36 w 21076"/>
                <a:gd name="T3" fmla="*/ 7794 h 7794"/>
                <a:gd name="T4" fmla="*/ 21076 w 21076"/>
                <a:gd name="T5" fmla="*/ 0 h 7794"/>
                <a:gd name="T6" fmla="*/ 0 w 21076"/>
                <a:gd name="T7" fmla="*/ 7696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76" h="7794">
                  <a:moveTo>
                    <a:pt x="0" y="7696"/>
                  </a:moveTo>
                  <a:lnTo>
                    <a:pt x="36" y="7794"/>
                  </a:lnTo>
                  <a:lnTo>
                    <a:pt x="21076" y="0"/>
                  </a:lnTo>
                  <a:lnTo>
                    <a:pt x="0" y="769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0" name="Freeform 91">
              <a:extLst>
                <a:ext uri="{FF2B5EF4-FFF2-40B4-BE49-F238E27FC236}">
                  <a16:creationId xmlns:a16="http://schemas.microsoft.com/office/drawing/2014/main" id="{C7D458CD-0035-4396-A114-D9D2208B7FA2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58"/>
                <a:gd name="T1" fmla="*/ 7794 h 7794"/>
                <a:gd name="T2" fmla="*/ 21040 w 21058"/>
                <a:gd name="T3" fmla="*/ 0 h 7794"/>
                <a:gd name="T4" fmla="*/ 21058 w 21058"/>
                <a:gd name="T5" fmla="*/ 107 h 7794"/>
                <a:gd name="T6" fmla="*/ 0 w 21058"/>
                <a:gd name="T7" fmla="*/ 7794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58" h="7794">
                  <a:moveTo>
                    <a:pt x="0" y="7794"/>
                  </a:moveTo>
                  <a:lnTo>
                    <a:pt x="21040" y="0"/>
                  </a:lnTo>
                  <a:lnTo>
                    <a:pt x="21058" y="107"/>
                  </a:lnTo>
                  <a:lnTo>
                    <a:pt x="0" y="779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1" name="Freeform 92">
              <a:extLst>
                <a:ext uri="{FF2B5EF4-FFF2-40B4-BE49-F238E27FC236}">
                  <a16:creationId xmlns:a16="http://schemas.microsoft.com/office/drawing/2014/main" id="{BE13A5C4-C0E6-42AB-B4DD-E1DB41B89234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79"/>
                <a:gd name="T1" fmla="*/ 0 h 107"/>
                <a:gd name="T2" fmla="*/ 18 w 1979"/>
                <a:gd name="T3" fmla="*/ 107 h 107"/>
                <a:gd name="T4" fmla="*/ 1979 w 1979"/>
                <a:gd name="T5" fmla="*/ 0 h 107"/>
                <a:gd name="T6" fmla="*/ 0 w 1979"/>
                <a:gd name="T7" fmla="*/ 0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7">
                  <a:moveTo>
                    <a:pt x="0" y="0"/>
                  </a:moveTo>
                  <a:lnTo>
                    <a:pt x="18" y="107"/>
                  </a:lnTo>
                  <a:lnTo>
                    <a:pt x="1979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2" name="Freeform 93">
              <a:extLst>
                <a:ext uri="{FF2B5EF4-FFF2-40B4-BE49-F238E27FC236}">
                  <a16:creationId xmlns:a16="http://schemas.microsoft.com/office/drawing/2014/main" id="{5CAE9CD2-01C7-4B28-B993-EE92987D7229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61"/>
                <a:gd name="T1" fmla="*/ 107 h 107"/>
                <a:gd name="T2" fmla="*/ 1961 w 1961"/>
                <a:gd name="T3" fmla="*/ 0 h 107"/>
                <a:gd name="T4" fmla="*/ 1961 w 1961"/>
                <a:gd name="T5" fmla="*/ 107 h 107"/>
                <a:gd name="T6" fmla="*/ 0 w 1961"/>
                <a:gd name="T7" fmla="*/ 107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61" h="107">
                  <a:moveTo>
                    <a:pt x="0" y="107"/>
                  </a:moveTo>
                  <a:lnTo>
                    <a:pt x="1961" y="0"/>
                  </a:lnTo>
                  <a:lnTo>
                    <a:pt x="1961" y="107"/>
                  </a:lnTo>
                  <a:lnTo>
                    <a:pt x="0" y="10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3" name="Line 94">
              <a:extLst>
                <a:ext uri="{FF2B5EF4-FFF2-40B4-BE49-F238E27FC236}">
                  <a16:creationId xmlns:a16="http://schemas.microsoft.com/office/drawing/2014/main" id="{CB0025F4-6C03-4CBA-954B-E98EB8C9069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928" y="202"/>
              <a:ext cx="262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4" name="Line 95">
              <a:extLst>
                <a:ext uri="{FF2B5EF4-FFF2-40B4-BE49-F238E27FC236}">
                  <a16:creationId xmlns:a16="http://schemas.microsoft.com/office/drawing/2014/main" id="{C7BFAF68-A19D-49D1-B355-5BC4D791274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93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5" name="Line 96">
              <a:extLst>
                <a:ext uri="{FF2B5EF4-FFF2-40B4-BE49-F238E27FC236}">
                  <a16:creationId xmlns:a16="http://schemas.microsoft.com/office/drawing/2014/main" id="{9AB1D37F-A1C3-48D0-88F4-7D7244FBF0D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8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6" name="Line 97">
              <a:extLst>
                <a:ext uri="{FF2B5EF4-FFF2-40B4-BE49-F238E27FC236}">
                  <a16:creationId xmlns:a16="http://schemas.microsoft.com/office/drawing/2014/main" id="{7D312933-6E04-4AFB-8BE5-B5DBC3D9F0B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7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7" name="Line 98">
              <a:extLst>
                <a:ext uri="{FF2B5EF4-FFF2-40B4-BE49-F238E27FC236}">
                  <a16:creationId xmlns:a16="http://schemas.microsoft.com/office/drawing/2014/main" id="{82026024-60B2-47B7-855F-89EE15FE75E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6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8" name="Line 99">
              <a:extLst>
                <a:ext uri="{FF2B5EF4-FFF2-40B4-BE49-F238E27FC236}">
                  <a16:creationId xmlns:a16="http://schemas.microsoft.com/office/drawing/2014/main" id="{B6FCA8DE-17F8-4B76-8A2F-936C79327A1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9" name="Line 100">
              <a:extLst>
                <a:ext uri="{FF2B5EF4-FFF2-40B4-BE49-F238E27FC236}">
                  <a16:creationId xmlns:a16="http://schemas.microsoft.com/office/drawing/2014/main" id="{0D061129-F5CE-454B-8AAE-B4FC0C8FD7A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0" name="Line 101">
              <a:extLst>
                <a:ext uri="{FF2B5EF4-FFF2-40B4-BE49-F238E27FC236}">
                  <a16:creationId xmlns:a16="http://schemas.microsoft.com/office/drawing/2014/main" id="{3C9F61EB-33CF-46F5-8A97-B2752D42277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4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1" name="Line 102">
              <a:extLst>
                <a:ext uri="{FF2B5EF4-FFF2-40B4-BE49-F238E27FC236}">
                  <a16:creationId xmlns:a16="http://schemas.microsoft.com/office/drawing/2014/main" id="{956E345C-4776-41D3-BA56-71FFB9112D6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3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2" name="Line 103">
              <a:extLst>
                <a:ext uri="{FF2B5EF4-FFF2-40B4-BE49-F238E27FC236}">
                  <a16:creationId xmlns:a16="http://schemas.microsoft.com/office/drawing/2014/main" id="{18913179-F249-4DFD-B090-E9318B424A6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2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3" name="Line 104">
              <a:extLst>
                <a:ext uri="{FF2B5EF4-FFF2-40B4-BE49-F238E27FC236}">
                  <a16:creationId xmlns:a16="http://schemas.microsoft.com/office/drawing/2014/main" id="{CCDE7734-7F4E-4F01-AE69-E31EDC3F2E8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1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4" name="Line 105">
              <a:extLst>
                <a:ext uri="{FF2B5EF4-FFF2-40B4-BE49-F238E27FC236}">
                  <a16:creationId xmlns:a16="http://schemas.microsoft.com/office/drawing/2014/main" id="{CDF7D06A-BDA6-4204-A2A9-3D60FF20A3D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5" name="Line 106">
              <a:extLst>
                <a:ext uri="{FF2B5EF4-FFF2-40B4-BE49-F238E27FC236}">
                  <a16:creationId xmlns:a16="http://schemas.microsoft.com/office/drawing/2014/main" id="{84CDD3E2-C6C6-4D35-8E6E-D6E87A06BC2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2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6" name="Line 107">
              <a:extLst>
                <a:ext uri="{FF2B5EF4-FFF2-40B4-BE49-F238E27FC236}">
                  <a16:creationId xmlns:a16="http://schemas.microsoft.com/office/drawing/2014/main" id="{0A33A4EA-530B-4A6F-BA37-EE33EBB0FC7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7" name="Line 108">
              <a:extLst>
                <a:ext uri="{FF2B5EF4-FFF2-40B4-BE49-F238E27FC236}">
                  <a16:creationId xmlns:a16="http://schemas.microsoft.com/office/drawing/2014/main" id="{38EA0DB0-C4C5-40C3-9081-845BC0991B2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8" name="Line 109">
              <a:extLst>
                <a:ext uri="{FF2B5EF4-FFF2-40B4-BE49-F238E27FC236}">
                  <a16:creationId xmlns:a16="http://schemas.microsoft.com/office/drawing/2014/main" id="{8DB3720A-E91E-408F-B39B-B5BE66D5796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9" name="Line 110">
              <a:extLst>
                <a:ext uri="{FF2B5EF4-FFF2-40B4-BE49-F238E27FC236}">
                  <a16:creationId xmlns:a16="http://schemas.microsoft.com/office/drawing/2014/main" id="{321ACAC5-3A96-4D30-B2FC-2B0BA1B3915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0" name="Line 111">
              <a:extLst>
                <a:ext uri="{FF2B5EF4-FFF2-40B4-BE49-F238E27FC236}">
                  <a16:creationId xmlns:a16="http://schemas.microsoft.com/office/drawing/2014/main" id="{6D47E77F-E02A-4BC9-A134-A3B3A552D7D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1" name="Line 112">
              <a:extLst>
                <a:ext uri="{FF2B5EF4-FFF2-40B4-BE49-F238E27FC236}">
                  <a16:creationId xmlns:a16="http://schemas.microsoft.com/office/drawing/2014/main" id="{B1779428-A93E-49E6-8DA5-DF803850F3E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2" name="Line 113">
              <a:extLst>
                <a:ext uri="{FF2B5EF4-FFF2-40B4-BE49-F238E27FC236}">
                  <a16:creationId xmlns:a16="http://schemas.microsoft.com/office/drawing/2014/main" id="{3014684C-2E4E-4F2C-A1B8-7ABB240D3C9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3" name="Line 114">
              <a:extLst>
                <a:ext uri="{FF2B5EF4-FFF2-40B4-BE49-F238E27FC236}">
                  <a16:creationId xmlns:a16="http://schemas.microsoft.com/office/drawing/2014/main" id="{0D1055BA-E3F2-4EB4-9171-EE60DFBBCC0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4" name="Line 115">
              <a:extLst>
                <a:ext uri="{FF2B5EF4-FFF2-40B4-BE49-F238E27FC236}">
                  <a16:creationId xmlns:a16="http://schemas.microsoft.com/office/drawing/2014/main" id="{BE8D269D-C5E3-4FBA-94AA-314CB45B69D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5" name="Line 116">
              <a:extLst>
                <a:ext uri="{FF2B5EF4-FFF2-40B4-BE49-F238E27FC236}">
                  <a16:creationId xmlns:a16="http://schemas.microsoft.com/office/drawing/2014/main" id="{35232AD9-05C5-4650-A8BA-43AE2C7F4D4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6" name="Line 117">
              <a:extLst>
                <a:ext uri="{FF2B5EF4-FFF2-40B4-BE49-F238E27FC236}">
                  <a16:creationId xmlns:a16="http://schemas.microsoft.com/office/drawing/2014/main" id="{E8900D57-69A0-46A3-B33A-BBAFE6CC1CD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7" name="Line 118">
              <a:extLst>
                <a:ext uri="{FF2B5EF4-FFF2-40B4-BE49-F238E27FC236}">
                  <a16:creationId xmlns:a16="http://schemas.microsoft.com/office/drawing/2014/main" id="{00AC1A0E-267F-4495-8473-9886A0473C3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8" name="Line 119">
              <a:extLst>
                <a:ext uri="{FF2B5EF4-FFF2-40B4-BE49-F238E27FC236}">
                  <a16:creationId xmlns:a16="http://schemas.microsoft.com/office/drawing/2014/main" id="{1E639AAA-32A0-428A-BC0C-C97351C4C01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9" name="Line 120">
              <a:extLst>
                <a:ext uri="{FF2B5EF4-FFF2-40B4-BE49-F238E27FC236}">
                  <a16:creationId xmlns:a16="http://schemas.microsoft.com/office/drawing/2014/main" id="{8B340BAF-A21D-406F-AD34-A0C0060F76D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0" name="Line 121">
              <a:extLst>
                <a:ext uri="{FF2B5EF4-FFF2-40B4-BE49-F238E27FC236}">
                  <a16:creationId xmlns:a16="http://schemas.microsoft.com/office/drawing/2014/main" id="{DB0C169A-897F-4A8C-9D02-D94348FF0B2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1" name="Line 122">
              <a:extLst>
                <a:ext uri="{FF2B5EF4-FFF2-40B4-BE49-F238E27FC236}">
                  <a16:creationId xmlns:a16="http://schemas.microsoft.com/office/drawing/2014/main" id="{C9FAA0EA-CFA1-4134-B4A5-109FB9063EB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2" name="Line 123">
              <a:extLst>
                <a:ext uri="{FF2B5EF4-FFF2-40B4-BE49-F238E27FC236}">
                  <a16:creationId xmlns:a16="http://schemas.microsoft.com/office/drawing/2014/main" id="{D9DD6D63-E1EF-450C-BA4B-E6CAF202ECA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3" name="Line 124">
              <a:extLst>
                <a:ext uri="{FF2B5EF4-FFF2-40B4-BE49-F238E27FC236}">
                  <a16:creationId xmlns:a16="http://schemas.microsoft.com/office/drawing/2014/main" id="{AB15563E-27A5-4318-BF9D-41A9934A2A4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4" name="Line 125">
              <a:extLst>
                <a:ext uri="{FF2B5EF4-FFF2-40B4-BE49-F238E27FC236}">
                  <a16:creationId xmlns:a16="http://schemas.microsoft.com/office/drawing/2014/main" id="{64CDB41D-E28F-4870-B18E-36986C2414D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5" name="Line 126">
              <a:extLst>
                <a:ext uri="{FF2B5EF4-FFF2-40B4-BE49-F238E27FC236}">
                  <a16:creationId xmlns:a16="http://schemas.microsoft.com/office/drawing/2014/main" id="{ACF6A7FE-9C8B-445C-B750-8F4375C6530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6" name="Line 127">
              <a:extLst>
                <a:ext uri="{FF2B5EF4-FFF2-40B4-BE49-F238E27FC236}">
                  <a16:creationId xmlns:a16="http://schemas.microsoft.com/office/drawing/2014/main" id="{60A43015-4096-4E6A-BBE2-AD33A9C5CD0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7" name="Line 128">
              <a:extLst>
                <a:ext uri="{FF2B5EF4-FFF2-40B4-BE49-F238E27FC236}">
                  <a16:creationId xmlns:a16="http://schemas.microsoft.com/office/drawing/2014/main" id="{DFEAD74A-0CD8-4C44-883E-FA79C6DA838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8" name="Line 129">
              <a:extLst>
                <a:ext uri="{FF2B5EF4-FFF2-40B4-BE49-F238E27FC236}">
                  <a16:creationId xmlns:a16="http://schemas.microsoft.com/office/drawing/2014/main" id="{289E5C62-1A96-41B5-8DAA-AF56D0890A4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9" name="Line 130">
              <a:extLst>
                <a:ext uri="{FF2B5EF4-FFF2-40B4-BE49-F238E27FC236}">
                  <a16:creationId xmlns:a16="http://schemas.microsoft.com/office/drawing/2014/main" id="{A6D97F24-C32D-4630-8BD2-914E034320E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0" name="Line 131">
              <a:extLst>
                <a:ext uri="{FF2B5EF4-FFF2-40B4-BE49-F238E27FC236}">
                  <a16:creationId xmlns:a16="http://schemas.microsoft.com/office/drawing/2014/main" id="{9FC668A7-1C62-4A5D-8441-BC198C4F295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1" name="Line 132">
              <a:extLst>
                <a:ext uri="{FF2B5EF4-FFF2-40B4-BE49-F238E27FC236}">
                  <a16:creationId xmlns:a16="http://schemas.microsoft.com/office/drawing/2014/main" id="{9ACDBD64-07E8-4A2E-A4CF-FBF0612AB9D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2" name="Line 133">
              <a:extLst>
                <a:ext uri="{FF2B5EF4-FFF2-40B4-BE49-F238E27FC236}">
                  <a16:creationId xmlns:a16="http://schemas.microsoft.com/office/drawing/2014/main" id="{EFC8CFB6-8EC9-4615-8996-AA1A70EB324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3" name="Line 134">
              <a:extLst>
                <a:ext uri="{FF2B5EF4-FFF2-40B4-BE49-F238E27FC236}">
                  <a16:creationId xmlns:a16="http://schemas.microsoft.com/office/drawing/2014/main" id="{5D07F5FD-2A10-4A4B-A025-5BD0015BB60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4" name="Line 135">
              <a:extLst>
                <a:ext uri="{FF2B5EF4-FFF2-40B4-BE49-F238E27FC236}">
                  <a16:creationId xmlns:a16="http://schemas.microsoft.com/office/drawing/2014/main" id="{7EF01C92-86C7-4312-93C3-5D1E2817337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5" name="Line 136">
              <a:extLst>
                <a:ext uri="{FF2B5EF4-FFF2-40B4-BE49-F238E27FC236}">
                  <a16:creationId xmlns:a16="http://schemas.microsoft.com/office/drawing/2014/main" id="{82D57969-FEBC-428F-8017-F7D86DC74E2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6" name="Line 137">
              <a:extLst>
                <a:ext uri="{FF2B5EF4-FFF2-40B4-BE49-F238E27FC236}">
                  <a16:creationId xmlns:a16="http://schemas.microsoft.com/office/drawing/2014/main" id="{0B104571-F4A1-4F4E-9A7B-75A26959E49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7" name="Line 138">
              <a:extLst>
                <a:ext uri="{FF2B5EF4-FFF2-40B4-BE49-F238E27FC236}">
                  <a16:creationId xmlns:a16="http://schemas.microsoft.com/office/drawing/2014/main" id="{CCFBBAC3-DF20-455C-9617-819B91C59A4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8" name="Line 139">
              <a:extLst>
                <a:ext uri="{FF2B5EF4-FFF2-40B4-BE49-F238E27FC236}">
                  <a16:creationId xmlns:a16="http://schemas.microsoft.com/office/drawing/2014/main" id="{C7814E03-D262-4A1F-9023-A0D1303BDC2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9" name="Line 140">
              <a:extLst>
                <a:ext uri="{FF2B5EF4-FFF2-40B4-BE49-F238E27FC236}">
                  <a16:creationId xmlns:a16="http://schemas.microsoft.com/office/drawing/2014/main" id="{3F2CC767-8437-4847-8F4C-2943C796FEE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0" name="Line 141">
              <a:extLst>
                <a:ext uri="{FF2B5EF4-FFF2-40B4-BE49-F238E27FC236}">
                  <a16:creationId xmlns:a16="http://schemas.microsoft.com/office/drawing/2014/main" id="{1C9F484C-2A3B-4D18-AAD4-95E7940BB26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1" name="Line 142">
              <a:extLst>
                <a:ext uri="{FF2B5EF4-FFF2-40B4-BE49-F238E27FC236}">
                  <a16:creationId xmlns:a16="http://schemas.microsoft.com/office/drawing/2014/main" id="{6A9A2D80-41F1-47B3-9E3C-A2C9D55694C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2" name="Line 143">
              <a:extLst>
                <a:ext uri="{FF2B5EF4-FFF2-40B4-BE49-F238E27FC236}">
                  <a16:creationId xmlns:a16="http://schemas.microsoft.com/office/drawing/2014/main" id="{D7CBE6DB-E47A-433A-B54F-51E49516999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3" name="Line 144">
              <a:extLst>
                <a:ext uri="{FF2B5EF4-FFF2-40B4-BE49-F238E27FC236}">
                  <a16:creationId xmlns:a16="http://schemas.microsoft.com/office/drawing/2014/main" id="{44A90E11-5DED-428C-AE15-FEA15311BF9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4" name="Line 145">
              <a:extLst>
                <a:ext uri="{FF2B5EF4-FFF2-40B4-BE49-F238E27FC236}">
                  <a16:creationId xmlns:a16="http://schemas.microsoft.com/office/drawing/2014/main" id="{F17918E9-FAC9-442A-9DF7-DE6B3AAA1CC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5" name="Line 146">
              <a:extLst>
                <a:ext uri="{FF2B5EF4-FFF2-40B4-BE49-F238E27FC236}">
                  <a16:creationId xmlns:a16="http://schemas.microsoft.com/office/drawing/2014/main" id="{4E905B09-F2A2-4A69-902B-1BE965B3196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6" name="Line 147">
              <a:extLst>
                <a:ext uri="{FF2B5EF4-FFF2-40B4-BE49-F238E27FC236}">
                  <a16:creationId xmlns:a16="http://schemas.microsoft.com/office/drawing/2014/main" id="{C89EC207-AA8F-4CFE-9720-93DB0381493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7" name="Line 148">
              <a:extLst>
                <a:ext uri="{FF2B5EF4-FFF2-40B4-BE49-F238E27FC236}">
                  <a16:creationId xmlns:a16="http://schemas.microsoft.com/office/drawing/2014/main" id="{DA292CFD-4E52-49B4-998D-CB474C9C011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8" name="Line 149">
              <a:extLst>
                <a:ext uri="{FF2B5EF4-FFF2-40B4-BE49-F238E27FC236}">
                  <a16:creationId xmlns:a16="http://schemas.microsoft.com/office/drawing/2014/main" id="{B2CF2614-822E-4810-89FA-48A5CB89E9A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9" name="Line 150">
              <a:extLst>
                <a:ext uri="{FF2B5EF4-FFF2-40B4-BE49-F238E27FC236}">
                  <a16:creationId xmlns:a16="http://schemas.microsoft.com/office/drawing/2014/main" id="{43D74B3E-9229-4B4C-A7D1-22864EAE5D5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0" name="Line 151">
              <a:extLst>
                <a:ext uri="{FF2B5EF4-FFF2-40B4-BE49-F238E27FC236}">
                  <a16:creationId xmlns:a16="http://schemas.microsoft.com/office/drawing/2014/main" id="{A6D632CF-D07A-417A-A8BC-1F55286886D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1" name="Line 152">
              <a:extLst>
                <a:ext uri="{FF2B5EF4-FFF2-40B4-BE49-F238E27FC236}">
                  <a16:creationId xmlns:a16="http://schemas.microsoft.com/office/drawing/2014/main" id="{75846255-2023-4587-82FA-AB034E7AFC1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2" name="Line 153">
              <a:extLst>
                <a:ext uri="{FF2B5EF4-FFF2-40B4-BE49-F238E27FC236}">
                  <a16:creationId xmlns:a16="http://schemas.microsoft.com/office/drawing/2014/main" id="{B0590ADD-F0EC-4DB7-BA59-5E632861CB6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3" name="Line 154">
              <a:extLst>
                <a:ext uri="{FF2B5EF4-FFF2-40B4-BE49-F238E27FC236}">
                  <a16:creationId xmlns:a16="http://schemas.microsoft.com/office/drawing/2014/main" id="{2A49BECE-49EE-4575-9885-6F4963ADB2E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4" name="Line 155">
              <a:extLst>
                <a:ext uri="{FF2B5EF4-FFF2-40B4-BE49-F238E27FC236}">
                  <a16:creationId xmlns:a16="http://schemas.microsoft.com/office/drawing/2014/main" id="{E2DBD50D-4DA8-4ED1-95DB-6143E072E70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5" name="Line 156">
              <a:extLst>
                <a:ext uri="{FF2B5EF4-FFF2-40B4-BE49-F238E27FC236}">
                  <a16:creationId xmlns:a16="http://schemas.microsoft.com/office/drawing/2014/main" id="{9F707A66-2A18-4CB9-8817-6821C8A8BBE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6" name="Line 157">
              <a:extLst>
                <a:ext uri="{FF2B5EF4-FFF2-40B4-BE49-F238E27FC236}">
                  <a16:creationId xmlns:a16="http://schemas.microsoft.com/office/drawing/2014/main" id="{09A49328-19B7-4590-A655-D182A42F907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7" name="Line 158">
              <a:extLst>
                <a:ext uri="{FF2B5EF4-FFF2-40B4-BE49-F238E27FC236}">
                  <a16:creationId xmlns:a16="http://schemas.microsoft.com/office/drawing/2014/main" id="{67DA52C0-1A80-4CC1-A65D-2B12F6D2095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8" name="Line 159">
              <a:extLst>
                <a:ext uri="{FF2B5EF4-FFF2-40B4-BE49-F238E27FC236}">
                  <a16:creationId xmlns:a16="http://schemas.microsoft.com/office/drawing/2014/main" id="{AB6387D5-D7AE-43FD-8F68-77E4239C87A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9" name="Line 160">
              <a:extLst>
                <a:ext uri="{FF2B5EF4-FFF2-40B4-BE49-F238E27FC236}">
                  <a16:creationId xmlns:a16="http://schemas.microsoft.com/office/drawing/2014/main" id="{43DF4E09-F8E4-4D04-9458-4E0C623AEA5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0" name="Line 161">
              <a:extLst>
                <a:ext uri="{FF2B5EF4-FFF2-40B4-BE49-F238E27FC236}">
                  <a16:creationId xmlns:a16="http://schemas.microsoft.com/office/drawing/2014/main" id="{62EF79E5-0634-484F-A4FE-83A6EF1A28A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1" name="Line 162">
              <a:extLst>
                <a:ext uri="{FF2B5EF4-FFF2-40B4-BE49-F238E27FC236}">
                  <a16:creationId xmlns:a16="http://schemas.microsoft.com/office/drawing/2014/main" id="{C74B8AFE-8CB1-47E3-9964-A780564C467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2" name="Line 163">
              <a:extLst>
                <a:ext uri="{FF2B5EF4-FFF2-40B4-BE49-F238E27FC236}">
                  <a16:creationId xmlns:a16="http://schemas.microsoft.com/office/drawing/2014/main" id="{B7145875-A012-4E99-AD73-BB724D5B3E9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3" name="Line 164">
              <a:extLst>
                <a:ext uri="{FF2B5EF4-FFF2-40B4-BE49-F238E27FC236}">
                  <a16:creationId xmlns:a16="http://schemas.microsoft.com/office/drawing/2014/main" id="{04AF331A-4367-410B-AD7F-8B03425241E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4" name="Line 165">
              <a:extLst>
                <a:ext uri="{FF2B5EF4-FFF2-40B4-BE49-F238E27FC236}">
                  <a16:creationId xmlns:a16="http://schemas.microsoft.com/office/drawing/2014/main" id="{49F44A3F-D346-447E-A33E-1F5843CADDC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5" name="Line 166">
              <a:extLst>
                <a:ext uri="{FF2B5EF4-FFF2-40B4-BE49-F238E27FC236}">
                  <a16:creationId xmlns:a16="http://schemas.microsoft.com/office/drawing/2014/main" id="{9C260B3E-4EB8-47D4-9670-B78510D98B1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6" name="Line 167">
              <a:extLst>
                <a:ext uri="{FF2B5EF4-FFF2-40B4-BE49-F238E27FC236}">
                  <a16:creationId xmlns:a16="http://schemas.microsoft.com/office/drawing/2014/main" id="{BD73B6C8-47A1-4B21-9B9E-7DA4B83E487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7" name="Line 168">
              <a:extLst>
                <a:ext uri="{FF2B5EF4-FFF2-40B4-BE49-F238E27FC236}">
                  <a16:creationId xmlns:a16="http://schemas.microsoft.com/office/drawing/2014/main" id="{C8E007AE-69D1-4334-9790-44B43F562A3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8" name="Line 169">
              <a:extLst>
                <a:ext uri="{FF2B5EF4-FFF2-40B4-BE49-F238E27FC236}">
                  <a16:creationId xmlns:a16="http://schemas.microsoft.com/office/drawing/2014/main" id="{79024524-AF3A-4EF1-B691-3E96F910A82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9" name="Line 170">
              <a:extLst>
                <a:ext uri="{FF2B5EF4-FFF2-40B4-BE49-F238E27FC236}">
                  <a16:creationId xmlns:a16="http://schemas.microsoft.com/office/drawing/2014/main" id="{2A01D2BC-9517-4B3E-B06A-963DDFBC783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0" name="Line 171">
              <a:extLst>
                <a:ext uri="{FF2B5EF4-FFF2-40B4-BE49-F238E27FC236}">
                  <a16:creationId xmlns:a16="http://schemas.microsoft.com/office/drawing/2014/main" id="{FCB6AFC6-A48E-4BE6-9282-BFD8E0F943E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33" y="202"/>
              <a:ext cx="95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1" name="Freeform 172">
              <a:extLst>
                <a:ext uri="{FF2B5EF4-FFF2-40B4-BE49-F238E27FC236}">
                  <a16:creationId xmlns:a16="http://schemas.microsoft.com/office/drawing/2014/main" id="{FCA39A20-B043-4832-B344-38051F620ADE}"/>
                </a:ext>
              </a:extLst>
            </xdr:cNvPr>
            <xdr:cNvSpPr>
              <a:spLocks/>
            </xdr:cNvSpPr>
          </xdr:nvSpPr>
          <xdr:spPr bwMode="auto">
            <a:xfrm>
              <a:off x="821" y="188"/>
              <a:ext cx="6" cy="9"/>
            </a:xfrm>
            <a:custGeom>
              <a:avLst/>
              <a:gdLst>
                <a:gd name="T0" fmla="*/ 0 w 351"/>
                <a:gd name="T1" fmla="*/ 526 h 526"/>
                <a:gd name="T2" fmla="*/ 0 w 351"/>
                <a:gd name="T3" fmla="*/ 351 h 526"/>
                <a:gd name="T4" fmla="*/ 176 w 351"/>
                <a:gd name="T5" fmla="*/ 0 h 526"/>
                <a:gd name="T6" fmla="*/ 351 w 351"/>
                <a:gd name="T7" fmla="*/ 351 h 526"/>
                <a:gd name="T8" fmla="*/ 351 w 351"/>
                <a:gd name="T9" fmla="*/ 526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526">
                  <a:moveTo>
                    <a:pt x="0" y="526"/>
                  </a:moveTo>
                  <a:lnTo>
                    <a:pt x="0" y="351"/>
                  </a:lnTo>
                  <a:lnTo>
                    <a:pt x="176" y="0"/>
                  </a:lnTo>
                  <a:lnTo>
                    <a:pt x="351" y="351"/>
                  </a:lnTo>
                  <a:lnTo>
                    <a:pt x="351" y="526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62" name="Line 173">
              <a:extLst>
                <a:ext uri="{FF2B5EF4-FFF2-40B4-BE49-F238E27FC236}">
                  <a16:creationId xmlns:a16="http://schemas.microsoft.com/office/drawing/2014/main" id="{59671ABF-316C-4A2D-A96F-F438BB32B34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1" y="194"/>
              <a:ext cx="6" cy="0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3" name="Freeform 174">
              <a:extLst>
                <a:ext uri="{FF2B5EF4-FFF2-40B4-BE49-F238E27FC236}">
                  <a16:creationId xmlns:a16="http://schemas.microsoft.com/office/drawing/2014/main" id="{68F408AF-F7E3-418A-8770-7E4D31EB1958}"/>
                </a:ext>
              </a:extLst>
            </xdr:cNvPr>
            <xdr:cNvSpPr>
              <a:spLocks/>
            </xdr:cNvSpPr>
          </xdr:nvSpPr>
          <xdr:spPr bwMode="auto">
            <a:xfrm>
              <a:off x="833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4" name="Freeform 175">
              <a:extLst>
                <a:ext uri="{FF2B5EF4-FFF2-40B4-BE49-F238E27FC236}">
                  <a16:creationId xmlns:a16="http://schemas.microsoft.com/office/drawing/2014/main" id="{C51D0C5A-16D7-4439-93B7-996C2D7EB431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5" name="Freeform 176">
              <a:extLst>
                <a:ext uri="{FF2B5EF4-FFF2-40B4-BE49-F238E27FC236}">
                  <a16:creationId xmlns:a16="http://schemas.microsoft.com/office/drawing/2014/main" id="{DCD7CCFA-2455-4544-A11E-9EF7AF992A87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1" cy="2"/>
            </a:xfrm>
            <a:custGeom>
              <a:avLst/>
              <a:gdLst>
                <a:gd name="T0" fmla="*/ 53 w 53"/>
                <a:gd name="T1" fmla="*/ 14 h 106"/>
                <a:gd name="T2" fmla="*/ 0 w 53"/>
                <a:gd name="T3" fmla="*/ 0 h 106"/>
                <a:gd name="T4" fmla="*/ 0 w 53"/>
                <a:gd name="T5" fmla="*/ 106 h 106"/>
                <a:gd name="T6" fmla="*/ 53 w 53"/>
                <a:gd name="T7" fmla="*/ 14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14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53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6" name="Freeform 177">
              <a:extLst>
                <a:ext uri="{FF2B5EF4-FFF2-40B4-BE49-F238E27FC236}">
                  <a16:creationId xmlns:a16="http://schemas.microsoft.com/office/drawing/2014/main" id="{5C6B1BA5-AE2C-471B-B03E-C5A647950914}"/>
                </a:ext>
              </a:extLst>
            </xdr:cNvPr>
            <xdr:cNvSpPr>
              <a:spLocks/>
            </xdr:cNvSpPr>
          </xdr:nvSpPr>
          <xdr:spPr bwMode="auto">
            <a:xfrm>
              <a:off x="832" y="200"/>
              <a:ext cx="1" cy="2"/>
            </a:xfrm>
            <a:custGeom>
              <a:avLst/>
              <a:gdLst>
                <a:gd name="T0" fmla="*/ 53 w 53"/>
                <a:gd name="T1" fmla="*/ 0 h 106"/>
                <a:gd name="T2" fmla="*/ 0 w 53"/>
                <a:gd name="T3" fmla="*/ 14 h 106"/>
                <a:gd name="T4" fmla="*/ 53 w 53"/>
                <a:gd name="T5" fmla="*/ 106 h 106"/>
                <a:gd name="T6" fmla="*/ 53 w 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0"/>
                  </a:moveTo>
                  <a:lnTo>
                    <a:pt x="0" y="14"/>
                  </a:lnTo>
                  <a:lnTo>
                    <a:pt x="53" y="106"/>
                  </a:lnTo>
                  <a:lnTo>
                    <a:pt x="5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7" name="Freeform 178">
              <a:extLst>
                <a:ext uri="{FF2B5EF4-FFF2-40B4-BE49-F238E27FC236}">
                  <a16:creationId xmlns:a16="http://schemas.microsoft.com/office/drawing/2014/main" id="{CFCE79EF-83DA-460D-A6CB-AA02D637AA9B}"/>
                </a:ext>
              </a:extLst>
            </xdr:cNvPr>
            <xdr:cNvSpPr>
              <a:spLocks/>
            </xdr:cNvSpPr>
          </xdr:nvSpPr>
          <xdr:spPr bwMode="auto">
            <a:xfrm>
              <a:off x="831" y="200"/>
              <a:ext cx="2" cy="2"/>
            </a:xfrm>
            <a:custGeom>
              <a:avLst/>
              <a:gdLst>
                <a:gd name="T0" fmla="*/ 38 w 91"/>
                <a:gd name="T1" fmla="*/ 0 h 92"/>
                <a:gd name="T2" fmla="*/ 0 w 91"/>
                <a:gd name="T3" fmla="*/ 39 h 92"/>
                <a:gd name="T4" fmla="*/ 91 w 91"/>
                <a:gd name="T5" fmla="*/ 92 h 92"/>
                <a:gd name="T6" fmla="*/ 38 w 91"/>
                <a:gd name="T7" fmla="*/ 0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38" y="0"/>
                  </a:moveTo>
                  <a:lnTo>
                    <a:pt x="0" y="39"/>
                  </a:lnTo>
                  <a:lnTo>
                    <a:pt x="91" y="92"/>
                  </a:lnTo>
                  <a:lnTo>
                    <a:pt x="3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8" name="Freeform 179">
              <a:extLst>
                <a:ext uri="{FF2B5EF4-FFF2-40B4-BE49-F238E27FC236}">
                  <a16:creationId xmlns:a16="http://schemas.microsoft.com/office/drawing/2014/main" id="{AA005D7D-458A-4345-B972-925F78F87B9F}"/>
                </a:ext>
              </a:extLst>
            </xdr:cNvPr>
            <xdr:cNvSpPr>
              <a:spLocks/>
            </xdr:cNvSpPr>
          </xdr:nvSpPr>
          <xdr:spPr bwMode="auto">
            <a:xfrm>
              <a:off x="831" y="201"/>
              <a:ext cx="2" cy="1"/>
            </a:xfrm>
            <a:custGeom>
              <a:avLst/>
              <a:gdLst>
                <a:gd name="T0" fmla="*/ 14 w 105"/>
                <a:gd name="T1" fmla="*/ 0 h 53"/>
                <a:gd name="T2" fmla="*/ 0 w 105"/>
                <a:gd name="T3" fmla="*/ 53 h 53"/>
                <a:gd name="T4" fmla="*/ 105 w 105"/>
                <a:gd name="T5" fmla="*/ 53 h 53"/>
                <a:gd name="T6" fmla="*/ 14 w 105"/>
                <a:gd name="T7" fmla="*/ 0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4" y="0"/>
                  </a:moveTo>
                  <a:lnTo>
                    <a:pt x="0" y="53"/>
                  </a:lnTo>
                  <a:lnTo>
                    <a:pt x="105" y="53"/>
                  </a:lnTo>
                  <a:lnTo>
                    <a:pt x="1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9" name="Freeform 180">
              <a:extLst>
                <a:ext uri="{FF2B5EF4-FFF2-40B4-BE49-F238E27FC236}">
                  <a16:creationId xmlns:a16="http://schemas.microsoft.com/office/drawing/2014/main" id="{A43DB8A5-D37E-4CD9-AF18-3A6D2C1608E8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105"/>
                <a:gd name="T1" fmla="*/ 0 h 52"/>
                <a:gd name="T2" fmla="*/ 14 w 105"/>
                <a:gd name="T3" fmla="*/ 52 h 52"/>
                <a:gd name="T4" fmla="*/ 105 w 105"/>
                <a:gd name="T5" fmla="*/ 0 h 52"/>
                <a:gd name="T6" fmla="*/ 0 w 105"/>
                <a:gd name="T7" fmla="*/ 0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0" y="0"/>
                  </a:moveTo>
                  <a:lnTo>
                    <a:pt x="14" y="52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0" name="Freeform 181">
              <a:extLst>
                <a:ext uri="{FF2B5EF4-FFF2-40B4-BE49-F238E27FC236}">
                  <a16:creationId xmlns:a16="http://schemas.microsoft.com/office/drawing/2014/main" id="{BB3617E7-E70F-4875-9950-F003EE6C88A9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91"/>
                <a:gd name="T1" fmla="*/ 52 h 91"/>
                <a:gd name="T2" fmla="*/ 38 w 91"/>
                <a:gd name="T3" fmla="*/ 91 h 91"/>
                <a:gd name="T4" fmla="*/ 91 w 91"/>
                <a:gd name="T5" fmla="*/ 0 h 91"/>
                <a:gd name="T6" fmla="*/ 0 w 91"/>
                <a:gd name="T7" fmla="*/ 52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0" y="52"/>
                  </a:moveTo>
                  <a:lnTo>
                    <a:pt x="38" y="91"/>
                  </a:lnTo>
                  <a:lnTo>
                    <a:pt x="91" y="0"/>
                  </a:lnTo>
                  <a:lnTo>
                    <a:pt x="0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1" name="Freeform 182">
              <a:extLst>
                <a:ext uri="{FF2B5EF4-FFF2-40B4-BE49-F238E27FC236}">
                  <a16:creationId xmlns:a16="http://schemas.microsoft.com/office/drawing/2014/main" id="{D335E559-6D74-42C9-9C54-4CE72EA24329}"/>
                </a:ext>
              </a:extLst>
            </xdr:cNvPr>
            <xdr:cNvSpPr>
              <a:spLocks/>
            </xdr:cNvSpPr>
          </xdr:nvSpPr>
          <xdr:spPr bwMode="auto">
            <a:xfrm>
              <a:off x="832" y="202"/>
              <a:ext cx="1" cy="2"/>
            </a:xfrm>
            <a:custGeom>
              <a:avLst/>
              <a:gdLst>
                <a:gd name="T0" fmla="*/ 0 w 53"/>
                <a:gd name="T1" fmla="*/ 91 h 105"/>
                <a:gd name="T2" fmla="*/ 53 w 53"/>
                <a:gd name="T3" fmla="*/ 105 h 105"/>
                <a:gd name="T4" fmla="*/ 53 w 53"/>
                <a:gd name="T5" fmla="*/ 0 h 105"/>
                <a:gd name="T6" fmla="*/ 0 w 53"/>
                <a:gd name="T7" fmla="*/ 9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91"/>
                  </a:moveTo>
                  <a:lnTo>
                    <a:pt x="53" y="105"/>
                  </a:lnTo>
                  <a:lnTo>
                    <a:pt x="53" y="0"/>
                  </a:lnTo>
                  <a:lnTo>
                    <a:pt x="0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2" name="Freeform 183">
              <a:extLst>
                <a:ext uri="{FF2B5EF4-FFF2-40B4-BE49-F238E27FC236}">
                  <a16:creationId xmlns:a16="http://schemas.microsoft.com/office/drawing/2014/main" id="{2C64AA00-3B62-429D-AD87-EF9DF8BAB355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1" cy="2"/>
            </a:xfrm>
            <a:custGeom>
              <a:avLst/>
              <a:gdLst>
                <a:gd name="T0" fmla="*/ 0 w 53"/>
                <a:gd name="T1" fmla="*/ 105 h 105"/>
                <a:gd name="T2" fmla="*/ 53 w 53"/>
                <a:gd name="T3" fmla="*/ 91 h 105"/>
                <a:gd name="T4" fmla="*/ 0 w 53"/>
                <a:gd name="T5" fmla="*/ 0 h 105"/>
                <a:gd name="T6" fmla="*/ 0 w 53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105"/>
                  </a:moveTo>
                  <a:lnTo>
                    <a:pt x="53" y="91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3" name="Freeform 184">
              <a:extLst>
                <a:ext uri="{FF2B5EF4-FFF2-40B4-BE49-F238E27FC236}">
                  <a16:creationId xmlns:a16="http://schemas.microsoft.com/office/drawing/2014/main" id="{351F2114-29B3-4746-8DC2-28E389087E34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53 w 91"/>
                <a:gd name="T1" fmla="*/ 91 h 91"/>
                <a:gd name="T2" fmla="*/ 91 w 91"/>
                <a:gd name="T3" fmla="*/ 52 h 91"/>
                <a:gd name="T4" fmla="*/ 0 w 91"/>
                <a:gd name="T5" fmla="*/ 0 h 91"/>
                <a:gd name="T6" fmla="*/ 53 w 91"/>
                <a:gd name="T7" fmla="*/ 91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53" y="91"/>
                  </a:moveTo>
                  <a:lnTo>
                    <a:pt x="91" y="52"/>
                  </a:lnTo>
                  <a:lnTo>
                    <a:pt x="0" y="0"/>
                  </a:lnTo>
                  <a:lnTo>
                    <a:pt x="53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4" name="Freeform 185">
              <a:extLst>
                <a:ext uri="{FF2B5EF4-FFF2-40B4-BE49-F238E27FC236}">
                  <a16:creationId xmlns:a16="http://schemas.microsoft.com/office/drawing/2014/main" id="{A3EC78C9-D3AE-4D9E-84E0-AD93F381573D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91 w 105"/>
                <a:gd name="T1" fmla="*/ 52 h 52"/>
                <a:gd name="T2" fmla="*/ 105 w 105"/>
                <a:gd name="T3" fmla="*/ 0 h 52"/>
                <a:gd name="T4" fmla="*/ 0 w 105"/>
                <a:gd name="T5" fmla="*/ 0 h 52"/>
                <a:gd name="T6" fmla="*/ 91 w 105"/>
                <a:gd name="T7" fmla="*/ 52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91" y="52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91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5" name="Freeform 186">
              <a:extLst>
                <a:ext uri="{FF2B5EF4-FFF2-40B4-BE49-F238E27FC236}">
                  <a16:creationId xmlns:a16="http://schemas.microsoft.com/office/drawing/2014/main" id="{1F6C2D97-A2E5-4B17-953C-58041E9E6678}"/>
                </a:ext>
              </a:extLst>
            </xdr:cNvPr>
            <xdr:cNvSpPr>
              <a:spLocks/>
            </xdr:cNvSpPr>
          </xdr:nvSpPr>
          <xdr:spPr bwMode="auto">
            <a:xfrm>
              <a:off x="916" y="192"/>
              <a:ext cx="6" cy="5"/>
            </a:xfrm>
            <a:custGeom>
              <a:avLst/>
              <a:gdLst>
                <a:gd name="T0" fmla="*/ 0 w 351"/>
                <a:gd name="T1" fmla="*/ 263 h 263"/>
                <a:gd name="T2" fmla="*/ 263 w 351"/>
                <a:gd name="T3" fmla="*/ 263 h 263"/>
                <a:gd name="T4" fmla="*/ 351 w 351"/>
                <a:gd name="T5" fmla="*/ 176 h 263"/>
                <a:gd name="T6" fmla="*/ 351 w 351"/>
                <a:gd name="T7" fmla="*/ 88 h 263"/>
                <a:gd name="T8" fmla="*/ 263 w 351"/>
                <a:gd name="T9" fmla="*/ 0 h 263"/>
                <a:gd name="T10" fmla="*/ 88 w 351"/>
                <a:gd name="T11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263">
                  <a:moveTo>
                    <a:pt x="0" y="263"/>
                  </a:moveTo>
                  <a:lnTo>
                    <a:pt x="263" y="263"/>
                  </a:lnTo>
                  <a:lnTo>
                    <a:pt x="351" y="176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88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6" name="Freeform 187">
              <a:extLst>
                <a:ext uri="{FF2B5EF4-FFF2-40B4-BE49-F238E27FC236}">
                  <a16:creationId xmlns:a16="http://schemas.microsoft.com/office/drawing/2014/main" id="{4687773D-9606-45B3-BA0F-9D73EC29EEEC}"/>
                </a:ext>
              </a:extLst>
            </xdr:cNvPr>
            <xdr:cNvSpPr>
              <a:spLocks/>
            </xdr:cNvSpPr>
          </xdr:nvSpPr>
          <xdr:spPr bwMode="auto">
            <a:xfrm>
              <a:off x="916" y="188"/>
              <a:ext cx="6" cy="4"/>
            </a:xfrm>
            <a:custGeom>
              <a:avLst/>
              <a:gdLst>
                <a:gd name="T0" fmla="*/ 263 w 351"/>
                <a:gd name="T1" fmla="*/ 263 h 263"/>
                <a:gd name="T2" fmla="*/ 351 w 351"/>
                <a:gd name="T3" fmla="*/ 175 h 263"/>
                <a:gd name="T4" fmla="*/ 351 w 351"/>
                <a:gd name="T5" fmla="*/ 88 h 263"/>
                <a:gd name="T6" fmla="*/ 263 w 351"/>
                <a:gd name="T7" fmla="*/ 0 h 263"/>
                <a:gd name="T8" fmla="*/ 0 w 351"/>
                <a:gd name="T9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263">
                  <a:moveTo>
                    <a:pt x="263" y="263"/>
                  </a:moveTo>
                  <a:lnTo>
                    <a:pt x="351" y="175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7" name="Line 188">
              <a:extLst>
                <a:ext uri="{FF2B5EF4-FFF2-40B4-BE49-F238E27FC236}">
                  <a16:creationId xmlns:a16="http://schemas.microsoft.com/office/drawing/2014/main" id="{8E8EE6B9-8372-4E21-BC68-E6E6B559CB9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18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8" name="Freeform 189">
              <a:extLst>
                <a:ext uri="{FF2B5EF4-FFF2-40B4-BE49-F238E27FC236}">
                  <a16:creationId xmlns:a16="http://schemas.microsoft.com/office/drawing/2014/main" id="{00D94162-9FD3-4959-94BE-C76275DF44BC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7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7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9" name="Freeform 190">
              <a:extLst>
                <a:ext uri="{FF2B5EF4-FFF2-40B4-BE49-F238E27FC236}">
                  <a16:creationId xmlns:a16="http://schemas.microsoft.com/office/drawing/2014/main" id="{A083AC62-ED7D-43CF-B704-8EE75A5197C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8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8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8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0" name="Freeform 191">
              <a:extLst>
                <a:ext uri="{FF2B5EF4-FFF2-40B4-BE49-F238E27FC236}">
                  <a16:creationId xmlns:a16="http://schemas.microsoft.com/office/drawing/2014/main" id="{A8736FD2-B647-44C8-BDEA-6AEE8B61915B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4 w 104"/>
                <a:gd name="T1" fmla="*/ 7 h 22"/>
                <a:gd name="T2" fmla="*/ 103 w 104"/>
                <a:gd name="T3" fmla="*/ 0 h 22"/>
                <a:gd name="T4" fmla="*/ 0 w 104"/>
                <a:gd name="T5" fmla="*/ 22 h 22"/>
                <a:gd name="T6" fmla="*/ 104 w 104"/>
                <a:gd name="T7" fmla="*/ 7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4" y="7"/>
                  </a:moveTo>
                  <a:lnTo>
                    <a:pt x="103" y="0"/>
                  </a:lnTo>
                  <a:lnTo>
                    <a:pt x="0" y="22"/>
                  </a:lnTo>
                  <a:lnTo>
                    <a:pt x="104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1" name="Freeform 192">
              <a:extLst>
                <a:ext uri="{FF2B5EF4-FFF2-40B4-BE49-F238E27FC236}">
                  <a16:creationId xmlns:a16="http://schemas.microsoft.com/office/drawing/2014/main" id="{26420DCA-6166-4235-B95B-0463DEC0B2C8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3 w 103"/>
                <a:gd name="T1" fmla="*/ 7 h 29"/>
                <a:gd name="T2" fmla="*/ 102 w 103"/>
                <a:gd name="T3" fmla="*/ 0 h 29"/>
                <a:gd name="T4" fmla="*/ 0 w 103"/>
                <a:gd name="T5" fmla="*/ 29 h 29"/>
                <a:gd name="T6" fmla="*/ 103 w 103"/>
                <a:gd name="T7" fmla="*/ 7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3" y="7"/>
                  </a:moveTo>
                  <a:lnTo>
                    <a:pt x="102" y="0"/>
                  </a:lnTo>
                  <a:lnTo>
                    <a:pt x="0" y="29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2" name="Freeform 193">
              <a:extLst>
                <a:ext uri="{FF2B5EF4-FFF2-40B4-BE49-F238E27FC236}">
                  <a16:creationId xmlns:a16="http://schemas.microsoft.com/office/drawing/2014/main" id="{18493ED9-2599-4A44-AEC9-180F5CB7369F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2 w 102"/>
                <a:gd name="T1" fmla="*/ 7 h 36"/>
                <a:gd name="T2" fmla="*/ 99 w 102"/>
                <a:gd name="T3" fmla="*/ 0 h 36"/>
                <a:gd name="T4" fmla="*/ 0 w 102"/>
                <a:gd name="T5" fmla="*/ 36 h 36"/>
                <a:gd name="T6" fmla="*/ 102 w 102"/>
                <a:gd name="T7" fmla="*/ 7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6">
                  <a:moveTo>
                    <a:pt x="102" y="7"/>
                  </a:moveTo>
                  <a:lnTo>
                    <a:pt x="99" y="0"/>
                  </a:lnTo>
                  <a:lnTo>
                    <a:pt x="0" y="36"/>
                  </a:lnTo>
                  <a:lnTo>
                    <a:pt x="102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3" name="Freeform 194">
              <a:extLst>
                <a:ext uri="{FF2B5EF4-FFF2-40B4-BE49-F238E27FC236}">
                  <a16:creationId xmlns:a16="http://schemas.microsoft.com/office/drawing/2014/main" id="{61E1A511-E3F1-493F-A6E3-262848798323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9 w 99"/>
                <a:gd name="T1" fmla="*/ 6 h 42"/>
                <a:gd name="T2" fmla="*/ 97 w 99"/>
                <a:gd name="T3" fmla="*/ 0 h 42"/>
                <a:gd name="T4" fmla="*/ 0 w 99"/>
                <a:gd name="T5" fmla="*/ 42 h 42"/>
                <a:gd name="T6" fmla="*/ 99 w 99"/>
                <a:gd name="T7" fmla="*/ 6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9" y="6"/>
                  </a:moveTo>
                  <a:lnTo>
                    <a:pt x="97" y="0"/>
                  </a:lnTo>
                  <a:lnTo>
                    <a:pt x="0" y="42"/>
                  </a:lnTo>
                  <a:lnTo>
                    <a:pt x="9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4" name="Freeform 195">
              <a:extLst>
                <a:ext uri="{FF2B5EF4-FFF2-40B4-BE49-F238E27FC236}">
                  <a16:creationId xmlns:a16="http://schemas.microsoft.com/office/drawing/2014/main" id="{B68E54E7-9657-4E20-8B17-7AE4C8766B4E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7 w 97"/>
                <a:gd name="T1" fmla="*/ 7 h 49"/>
                <a:gd name="T2" fmla="*/ 94 w 97"/>
                <a:gd name="T3" fmla="*/ 0 h 49"/>
                <a:gd name="T4" fmla="*/ 0 w 97"/>
                <a:gd name="T5" fmla="*/ 49 h 49"/>
                <a:gd name="T6" fmla="*/ 97 w 97"/>
                <a:gd name="T7" fmla="*/ 7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9">
                  <a:moveTo>
                    <a:pt x="97" y="7"/>
                  </a:moveTo>
                  <a:lnTo>
                    <a:pt x="94" y="0"/>
                  </a:lnTo>
                  <a:lnTo>
                    <a:pt x="0" y="49"/>
                  </a:lnTo>
                  <a:lnTo>
                    <a:pt x="97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5" name="Freeform 196">
              <a:extLst>
                <a:ext uri="{FF2B5EF4-FFF2-40B4-BE49-F238E27FC236}">
                  <a16:creationId xmlns:a16="http://schemas.microsoft.com/office/drawing/2014/main" id="{C613604F-5CBA-4971-9669-87EFC3C08ED5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4 w 94"/>
                <a:gd name="T1" fmla="*/ 6 h 55"/>
                <a:gd name="T2" fmla="*/ 90 w 94"/>
                <a:gd name="T3" fmla="*/ 0 h 55"/>
                <a:gd name="T4" fmla="*/ 0 w 94"/>
                <a:gd name="T5" fmla="*/ 55 h 55"/>
                <a:gd name="T6" fmla="*/ 94 w 94"/>
                <a:gd name="T7" fmla="*/ 6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5">
                  <a:moveTo>
                    <a:pt x="94" y="6"/>
                  </a:moveTo>
                  <a:lnTo>
                    <a:pt x="90" y="0"/>
                  </a:lnTo>
                  <a:lnTo>
                    <a:pt x="0" y="55"/>
                  </a:lnTo>
                  <a:lnTo>
                    <a:pt x="9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6" name="Freeform 197">
              <a:extLst>
                <a:ext uri="{FF2B5EF4-FFF2-40B4-BE49-F238E27FC236}">
                  <a16:creationId xmlns:a16="http://schemas.microsoft.com/office/drawing/2014/main" id="{670F10B4-5605-494D-823F-18C92D7795E5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0 w 90"/>
                <a:gd name="T1" fmla="*/ 6 h 61"/>
                <a:gd name="T2" fmla="*/ 86 w 90"/>
                <a:gd name="T3" fmla="*/ 0 h 61"/>
                <a:gd name="T4" fmla="*/ 0 w 90"/>
                <a:gd name="T5" fmla="*/ 61 h 61"/>
                <a:gd name="T6" fmla="*/ 90 w 90"/>
                <a:gd name="T7" fmla="*/ 6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90" y="6"/>
                  </a:moveTo>
                  <a:lnTo>
                    <a:pt x="86" y="0"/>
                  </a:lnTo>
                  <a:lnTo>
                    <a:pt x="0" y="61"/>
                  </a:lnTo>
                  <a:lnTo>
                    <a:pt x="90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7" name="Freeform 198">
              <a:extLst>
                <a:ext uri="{FF2B5EF4-FFF2-40B4-BE49-F238E27FC236}">
                  <a16:creationId xmlns:a16="http://schemas.microsoft.com/office/drawing/2014/main" id="{114B9BF0-227C-4DDE-9A61-3E4F9DD2B3FA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6 w 86"/>
                <a:gd name="T1" fmla="*/ 6 h 67"/>
                <a:gd name="T2" fmla="*/ 82 w 86"/>
                <a:gd name="T3" fmla="*/ 0 h 67"/>
                <a:gd name="T4" fmla="*/ 0 w 86"/>
                <a:gd name="T5" fmla="*/ 67 h 67"/>
                <a:gd name="T6" fmla="*/ 86 w 86"/>
                <a:gd name="T7" fmla="*/ 6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86" y="6"/>
                  </a:moveTo>
                  <a:lnTo>
                    <a:pt x="82" y="0"/>
                  </a:lnTo>
                  <a:lnTo>
                    <a:pt x="0" y="67"/>
                  </a:lnTo>
                  <a:lnTo>
                    <a:pt x="86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8" name="Freeform 199">
              <a:extLst>
                <a:ext uri="{FF2B5EF4-FFF2-40B4-BE49-F238E27FC236}">
                  <a16:creationId xmlns:a16="http://schemas.microsoft.com/office/drawing/2014/main" id="{1054CBB8-3BF3-4106-AC3C-35C7DAE91AB7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2 w 82"/>
                <a:gd name="T1" fmla="*/ 5 h 72"/>
                <a:gd name="T2" fmla="*/ 77 w 82"/>
                <a:gd name="T3" fmla="*/ 0 h 72"/>
                <a:gd name="T4" fmla="*/ 0 w 82"/>
                <a:gd name="T5" fmla="*/ 72 h 72"/>
                <a:gd name="T6" fmla="*/ 82 w 82"/>
                <a:gd name="T7" fmla="*/ 5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82" y="5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9" name="Freeform 200">
              <a:extLst>
                <a:ext uri="{FF2B5EF4-FFF2-40B4-BE49-F238E27FC236}">
                  <a16:creationId xmlns:a16="http://schemas.microsoft.com/office/drawing/2014/main" id="{6DAA011B-8857-4993-83DB-CD489E71F382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77 w 77"/>
                <a:gd name="T1" fmla="*/ 5 h 77"/>
                <a:gd name="T2" fmla="*/ 72 w 77"/>
                <a:gd name="T3" fmla="*/ 0 h 77"/>
                <a:gd name="T4" fmla="*/ 0 w 77"/>
                <a:gd name="T5" fmla="*/ 77 h 77"/>
                <a:gd name="T6" fmla="*/ 77 w 77"/>
                <a:gd name="T7" fmla="*/ 5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7" y="5"/>
                  </a:moveTo>
                  <a:lnTo>
                    <a:pt x="72" y="0"/>
                  </a:lnTo>
                  <a:lnTo>
                    <a:pt x="0" y="77"/>
                  </a:lnTo>
                  <a:lnTo>
                    <a:pt x="77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0" name="Freeform 201">
              <a:extLst>
                <a:ext uri="{FF2B5EF4-FFF2-40B4-BE49-F238E27FC236}">
                  <a16:creationId xmlns:a16="http://schemas.microsoft.com/office/drawing/2014/main" id="{6F2E921F-9ED4-4423-BD1A-06A971E5E663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72 w 72"/>
                <a:gd name="T1" fmla="*/ 5 h 82"/>
                <a:gd name="T2" fmla="*/ 67 w 72"/>
                <a:gd name="T3" fmla="*/ 0 h 82"/>
                <a:gd name="T4" fmla="*/ 0 w 72"/>
                <a:gd name="T5" fmla="*/ 82 h 82"/>
                <a:gd name="T6" fmla="*/ 72 w 72"/>
                <a:gd name="T7" fmla="*/ 5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72" y="5"/>
                  </a:moveTo>
                  <a:lnTo>
                    <a:pt x="67" y="0"/>
                  </a:lnTo>
                  <a:lnTo>
                    <a:pt x="0" y="82"/>
                  </a:lnTo>
                  <a:lnTo>
                    <a:pt x="7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1" name="Freeform 202">
              <a:extLst>
                <a:ext uri="{FF2B5EF4-FFF2-40B4-BE49-F238E27FC236}">
                  <a16:creationId xmlns:a16="http://schemas.microsoft.com/office/drawing/2014/main" id="{09D04079-C50E-4D05-BAC5-F6511A92F844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7 w 67"/>
                <a:gd name="T1" fmla="*/ 4 h 86"/>
                <a:gd name="T2" fmla="*/ 61 w 67"/>
                <a:gd name="T3" fmla="*/ 0 h 86"/>
                <a:gd name="T4" fmla="*/ 0 w 67"/>
                <a:gd name="T5" fmla="*/ 86 h 86"/>
                <a:gd name="T6" fmla="*/ 67 w 67"/>
                <a:gd name="T7" fmla="*/ 4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7" y="4"/>
                  </a:moveTo>
                  <a:lnTo>
                    <a:pt x="61" y="0"/>
                  </a:lnTo>
                  <a:lnTo>
                    <a:pt x="0" y="86"/>
                  </a:lnTo>
                  <a:lnTo>
                    <a:pt x="6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2" name="Freeform 203">
              <a:extLst>
                <a:ext uri="{FF2B5EF4-FFF2-40B4-BE49-F238E27FC236}">
                  <a16:creationId xmlns:a16="http://schemas.microsoft.com/office/drawing/2014/main" id="{6D6D713C-87ED-4C83-A69F-725B0DCE7118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1 w 61"/>
                <a:gd name="T1" fmla="*/ 4 h 90"/>
                <a:gd name="T2" fmla="*/ 55 w 61"/>
                <a:gd name="T3" fmla="*/ 0 h 90"/>
                <a:gd name="T4" fmla="*/ 0 w 61"/>
                <a:gd name="T5" fmla="*/ 90 h 90"/>
                <a:gd name="T6" fmla="*/ 61 w 61"/>
                <a:gd name="T7" fmla="*/ 4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61" y="4"/>
                  </a:moveTo>
                  <a:lnTo>
                    <a:pt x="55" y="0"/>
                  </a:lnTo>
                  <a:lnTo>
                    <a:pt x="0" y="90"/>
                  </a:lnTo>
                  <a:lnTo>
                    <a:pt x="61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3" name="Freeform 204">
              <a:extLst>
                <a:ext uri="{FF2B5EF4-FFF2-40B4-BE49-F238E27FC236}">
                  <a16:creationId xmlns:a16="http://schemas.microsoft.com/office/drawing/2014/main" id="{04E53C3F-6040-4EF8-9B45-6EC1FE0A2A7A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55 w 55"/>
                <a:gd name="T1" fmla="*/ 4 h 94"/>
                <a:gd name="T2" fmla="*/ 49 w 55"/>
                <a:gd name="T3" fmla="*/ 0 h 94"/>
                <a:gd name="T4" fmla="*/ 0 w 55"/>
                <a:gd name="T5" fmla="*/ 94 h 94"/>
                <a:gd name="T6" fmla="*/ 55 w 55"/>
                <a:gd name="T7" fmla="*/ 4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4">
                  <a:moveTo>
                    <a:pt x="55" y="4"/>
                  </a:moveTo>
                  <a:lnTo>
                    <a:pt x="49" y="0"/>
                  </a:lnTo>
                  <a:lnTo>
                    <a:pt x="0" y="94"/>
                  </a:lnTo>
                  <a:lnTo>
                    <a:pt x="55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4" name="Freeform 205">
              <a:extLst>
                <a:ext uri="{FF2B5EF4-FFF2-40B4-BE49-F238E27FC236}">
                  <a16:creationId xmlns:a16="http://schemas.microsoft.com/office/drawing/2014/main" id="{4C9BDF16-241D-4CBC-A1F8-ADC05DA4D62F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9 w 49"/>
                <a:gd name="T1" fmla="*/ 3 h 97"/>
                <a:gd name="T2" fmla="*/ 42 w 49"/>
                <a:gd name="T3" fmla="*/ 0 h 97"/>
                <a:gd name="T4" fmla="*/ 0 w 49"/>
                <a:gd name="T5" fmla="*/ 97 h 97"/>
                <a:gd name="T6" fmla="*/ 49 w 49"/>
                <a:gd name="T7" fmla="*/ 3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7">
                  <a:moveTo>
                    <a:pt x="49" y="3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49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5" name="Freeform 206">
              <a:extLst>
                <a:ext uri="{FF2B5EF4-FFF2-40B4-BE49-F238E27FC236}">
                  <a16:creationId xmlns:a16="http://schemas.microsoft.com/office/drawing/2014/main" id="{9F8A650B-78D2-43C2-B5FF-990443FB3D1B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5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5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6" name="Freeform 207">
              <a:extLst>
                <a:ext uri="{FF2B5EF4-FFF2-40B4-BE49-F238E27FC236}">
                  <a16:creationId xmlns:a16="http://schemas.microsoft.com/office/drawing/2014/main" id="{4B00C3F9-8C9A-48C9-BBA9-F66CE7333DA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35 w 35"/>
                <a:gd name="T1" fmla="*/ 2 h 102"/>
                <a:gd name="T2" fmla="*/ 29 w 35"/>
                <a:gd name="T3" fmla="*/ 0 h 102"/>
                <a:gd name="T4" fmla="*/ 0 w 35"/>
                <a:gd name="T5" fmla="*/ 102 h 102"/>
                <a:gd name="T6" fmla="*/ 35 w 35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35" y="2"/>
                  </a:moveTo>
                  <a:lnTo>
                    <a:pt x="29" y="0"/>
                  </a:lnTo>
                  <a:lnTo>
                    <a:pt x="0" y="102"/>
                  </a:lnTo>
                  <a:lnTo>
                    <a:pt x="35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7" name="Freeform 208">
              <a:extLst>
                <a:ext uri="{FF2B5EF4-FFF2-40B4-BE49-F238E27FC236}">
                  <a16:creationId xmlns:a16="http://schemas.microsoft.com/office/drawing/2014/main" id="{B14D7698-36FD-4972-AA5F-052E778E7C1F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9 w 29"/>
                <a:gd name="T1" fmla="*/ 1 h 103"/>
                <a:gd name="T2" fmla="*/ 22 w 29"/>
                <a:gd name="T3" fmla="*/ 0 h 103"/>
                <a:gd name="T4" fmla="*/ 0 w 29"/>
                <a:gd name="T5" fmla="*/ 103 h 103"/>
                <a:gd name="T6" fmla="*/ 29 w 29"/>
                <a:gd name="T7" fmla="*/ 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9" y="1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2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8" name="Freeform 209">
              <a:extLst>
                <a:ext uri="{FF2B5EF4-FFF2-40B4-BE49-F238E27FC236}">
                  <a16:creationId xmlns:a16="http://schemas.microsoft.com/office/drawing/2014/main" id="{2BBB0782-9D93-4BE1-A7CB-EC8519AF66C8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9" name="Freeform 210">
              <a:extLst>
                <a:ext uri="{FF2B5EF4-FFF2-40B4-BE49-F238E27FC236}">
                  <a16:creationId xmlns:a16="http://schemas.microsoft.com/office/drawing/2014/main" id="{EC21FD4E-E94B-4300-9703-913358EF407B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0" name="Freeform 211">
              <a:extLst>
                <a:ext uri="{FF2B5EF4-FFF2-40B4-BE49-F238E27FC236}">
                  <a16:creationId xmlns:a16="http://schemas.microsoft.com/office/drawing/2014/main" id="{2D0F83FF-2091-431A-B6D8-2E7EBFC63959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1" name="Freeform 212">
              <a:extLst>
                <a:ext uri="{FF2B5EF4-FFF2-40B4-BE49-F238E27FC236}">
                  <a16:creationId xmlns:a16="http://schemas.microsoft.com/office/drawing/2014/main" id="{A05813C1-7719-4D57-8911-3D45F0B2277B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0 h 106"/>
                <a:gd name="T2" fmla="*/ 0 w 7"/>
                <a:gd name="T3" fmla="*/ 1 h 106"/>
                <a:gd name="T4" fmla="*/ 7 w 7"/>
                <a:gd name="T5" fmla="*/ 106 h 106"/>
                <a:gd name="T6" fmla="*/ 7 w 7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0"/>
                  </a:moveTo>
                  <a:lnTo>
                    <a:pt x="0" y="1"/>
                  </a:lnTo>
                  <a:lnTo>
                    <a:pt x="7" y="106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2" name="Freeform 213">
              <a:extLst>
                <a:ext uri="{FF2B5EF4-FFF2-40B4-BE49-F238E27FC236}">
                  <a16:creationId xmlns:a16="http://schemas.microsoft.com/office/drawing/2014/main" id="{B8F9E789-E03F-4C15-8013-C7657D23B77C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14"/>
                <a:gd name="T1" fmla="*/ 0 h 105"/>
                <a:gd name="T2" fmla="*/ 0 w 14"/>
                <a:gd name="T3" fmla="*/ 0 h 105"/>
                <a:gd name="T4" fmla="*/ 14 w 14"/>
                <a:gd name="T5" fmla="*/ 105 h 105"/>
                <a:gd name="T6" fmla="*/ 7 w 14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7" y="0"/>
                  </a:moveTo>
                  <a:lnTo>
                    <a:pt x="0" y="0"/>
                  </a:lnTo>
                  <a:lnTo>
                    <a:pt x="14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3" name="Freeform 214">
              <a:extLst>
                <a:ext uri="{FF2B5EF4-FFF2-40B4-BE49-F238E27FC236}">
                  <a16:creationId xmlns:a16="http://schemas.microsoft.com/office/drawing/2014/main" id="{9F3B2D49-CE89-4429-BC98-3E60BA256D01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1"/>
                <a:gd name="T1" fmla="*/ 0 h 105"/>
                <a:gd name="T2" fmla="*/ 0 w 21"/>
                <a:gd name="T3" fmla="*/ 2 h 105"/>
                <a:gd name="T4" fmla="*/ 21 w 21"/>
                <a:gd name="T5" fmla="*/ 105 h 105"/>
                <a:gd name="T6" fmla="*/ 7 w 21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5">
                  <a:moveTo>
                    <a:pt x="7" y="0"/>
                  </a:moveTo>
                  <a:lnTo>
                    <a:pt x="0" y="2"/>
                  </a:lnTo>
                  <a:lnTo>
                    <a:pt x="21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4" name="Freeform 215">
              <a:extLst>
                <a:ext uri="{FF2B5EF4-FFF2-40B4-BE49-F238E27FC236}">
                  <a16:creationId xmlns:a16="http://schemas.microsoft.com/office/drawing/2014/main" id="{6AC54A0D-5738-42B3-AABF-8829FD21755D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8"/>
                <a:gd name="T1" fmla="*/ 0 h 103"/>
                <a:gd name="T2" fmla="*/ 0 w 28"/>
                <a:gd name="T3" fmla="*/ 1 h 103"/>
                <a:gd name="T4" fmla="*/ 28 w 28"/>
                <a:gd name="T5" fmla="*/ 103 h 103"/>
                <a:gd name="T6" fmla="*/ 7 w 28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7" y="0"/>
                  </a:moveTo>
                  <a:lnTo>
                    <a:pt x="0" y="1"/>
                  </a:lnTo>
                  <a:lnTo>
                    <a:pt x="28" y="10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5" name="Freeform 216">
              <a:extLst>
                <a:ext uri="{FF2B5EF4-FFF2-40B4-BE49-F238E27FC236}">
                  <a16:creationId xmlns:a16="http://schemas.microsoft.com/office/drawing/2014/main" id="{658A08C5-6D22-4DD5-952D-E425330BD740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7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7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6" name="Freeform 217">
              <a:extLst>
                <a:ext uri="{FF2B5EF4-FFF2-40B4-BE49-F238E27FC236}">
                  <a16:creationId xmlns:a16="http://schemas.microsoft.com/office/drawing/2014/main" id="{7F4DEDEB-A2A9-49CD-8E04-C955D3966864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42"/>
                <a:gd name="T1" fmla="*/ 0 h 100"/>
                <a:gd name="T2" fmla="*/ 0 w 42"/>
                <a:gd name="T3" fmla="*/ 3 h 100"/>
                <a:gd name="T4" fmla="*/ 42 w 42"/>
                <a:gd name="T5" fmla="*/ 100 h 100"/>
                <a:gd name="T6" fmla="*/ 7 w 42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7" y="0"/>
                  </a:moveTo>
                  <a:lnTo>
                    <a:pt x="0" y="3"/>
                  </a:lnTo>
                  <a:lnTo>
                    <a:pt x="42" y="10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7" name="Freeform 218">
              <a:extLst>
                <a:ext uri="{FF2B5EF4-FFF2-40B4-BE49-F238E27FC236}">
                  <a16:creationId xmlns:a16="http://schemas.microsoft.com/office/drawing/2014/main" id="{CC00C28B-E258-406C-A742-3EFC34051BF8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48"/>
                <a:gd name="T1" fmla="*/ 0 h 97"/>
                <a:gd name="T2" fmla="*/ 0 w 48"/>
                <a:gd name="T3" fmla="*/ 3 h 97"/>
                <a:gd name="T4" fmla="*/ 48 w 48"/>
                <a:gd name="T5" fmla="*/ 97 h 97"/>
                <a:gd name="T6" fmla="*/ 6 w 48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7">
                  <a:moveTo>
                    <a:pt x="6" y="0"/>
                  </a:moveTo>
                  <a:lnTo>
                    <a:pt x="0" y="3"/>
                  </a:lnTo>
                  <a:lnTo>
                    <a:pt x="48" y="97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8" name="Freeform 219">
              <a:extLst>
                <a:ext uri="{FF2B5EF4-FFF2-40B4-BE49-F238E27FC236}">
                  <a16:creationId xmlns:a16="http://schemas.microsoft.com/office/drawing/2014/main" id="{7E5F78F4-4723-4CAF-AA13-B551F330BC0C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54"/>
                <a:gd name="T1" fmla="*/ 0 h 94"/>
                <a:gd name="T2" fmla="*/ 0 w 54"/>
                <a:gd name="T3" fmla="*/ 4 h 94"/>
                <a:gd name="T4" fmla="*/ 54 w 54"/>
                <a:gd name="T5" fmla="*/ 94 h 94"/>
                <a:gd name="T6" fmla="*/ 6 w 54"/>
                <a:gd name="T7" fmla="*/ 0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4">
                  <a:moveTo>
                    <a:pt x="6" y="0"/>
                  </a:moveTo>
                  <a:lnTo>
                    <a:pt x="0" y="4"/>
                  </a:lnTo>
                  <a:lnTo>
                    <a:pt x="54" y="94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9" name="Freeform 220">
              <a:extLst>
                <a:ext uri="{FF2B5EF4-FFF2-40B4-BE49-F238E27FC236}">
                  <a16:creationId xmlns:a16="http://schemas.microsoft.com/office/drawing/2014/main" id="{923F5A09-15C2-4A45-AF58-07F151681623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0"/>
                <a:gd name="T1" fmla="*/ 0 h 90"/>
                <a:gd name="T2" fmla="*/ 0 w 60"/>
                <a:gd name="T3" fmla="*/ 4 h 90"/>
                <a:gd name="T4" fmla="*/ 60 w 60"/>
                <a:gd name="T5" fmla="*/ 90 h 90"/>
                <a:gd name="T6" fmla="*/ 6 w 60"/>
                <a:gd name="T7" fmla="*/ 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6" y="0"/>
                  </a:moveTo>
                  <a:lnTo>
                    <a:pt x="0" y="4"/>
                  </a:lnTo>
                  <a:lnTo>
                    <a:pt x="60" y="9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0" name="Freeform 221">
              <a:extLst>
                <a:ext uri="{FF2B5EF4-FFF2-40B4-BE49-F238E27FC236}">
                  <a16:creationId xmlns:a16="http://schemas.microsoft.com/office/drawing/2014/main" id="{7E13478A-001C-4610-A7FF-E1866250D1E7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6"/>
                <a:gd name="T1" fmla="*/ 0 h 86"/>
                <a:gd name="T2" fmla="*/ 0 w 66"/>
                <a:gd name="T3" fmla="*/ 4 h 86"/>
                <a:gd name="T4" fmla="*/ 66 w 66"/>
                <a:gd name="T5" fmla="*/ 86 h 86"/>
                <a:gd name="T6" fmla="*/ 6 w 66"/>
                <a:gd name="T7" fmla="*/ 0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6" y="0"/>
                  </a:moveTo>
                  <a:lnTo>
                    <a:pt x="0" y="4"/>
                  </a:lnTo>
                  <a:lnTo>
                    <a:pt x="66" y="8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1" name="Freeform 222">
              <a:extLst>
                <a:ext uri="{FF2B5EF4-FFF2-40B4-BE49-F238E27FC236}">
                  <a16:creationId xmlns:a16="http://schemas.microsoft.com/office/drawing/2014/main" id="{726E545A-9E4D-4E5C-86D4-B066C3397948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72"/>
                <a:gd name="T1" fmla="*/ 0 h 82"/>
                <a:gd name="T2" fmla="*/ 0 w 72"/>
                <a:gd name="T3" fmla="*/ 5 h 82"/>
                <a:gd name="T4" fmla="*/ 72 w 72"/>
                <a:gd name="T5" fmla="*/ 82 h 82"/>
                <a:gd name="T6" fmla="*/ 6 w 72"/>
                <a:gd name="T7" fmla="*/ 0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6" y="0"/>
                  </a:moveTo>
                  <a:lnTo>
                    <a:pt x="0" y="5"/>
                  </a:lnTo>
                  <a:lnTo>
                    <a:pt x="72" y="8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2" name="Freeform 223">
              <a:extLst>
                <a:ext uri="{FF2B5EF4-FFF2-40B4-BE49-F238E27FC236}">
                  <a16:creationId xmlns:a16="http://schemas.microsoft.com/office/drawing/2014/main" id="{ECC75BC2-1EC7-4F14-9719-4591F6F3B153}"/>
                </a:ext>
              </a:extLst>
            </xdr:cNvPr>
            <xdr:cNvSpPr>
              <a:spLocks/>
            </xdr:cNvSpPr>
          </xdr:nvSpPr>
          <xdr:spPr bwMode="auto">
            <a:xfrm>
              <a:off x="930" y="201"/>
              <a:ext cx="1" cy="1"/>
            </a:xfrm>
            <a:custGeom>
              <a:avLst/>
              <a:gdLst>
                <a:gd name="T0" fmla="*/ 5 w 77"/>
                <a:gd name="T1" fmla="*/ 0 h 77"/>
                <a:gd name="T2" fmla="*/ 0 w 77"/>
                <a:gd name="T3" fmla="*/ 5 h 77"/>
                <a:gd name="T4" fmla="*/ 77 w 77"/>
                <a:gd name="T5" fmla="*/ 77 h 77"/>
                <a:gd name="T6" fmla="*/ 5 w 77"/>
                <a:gd name="T7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5" y="0"/>
                  </a:moveTo>
                  <a:lnTo>
                    <a:pt x="0" y="5"/>
                  </a:lnTo>
                  <a:lnTo>
                    <a:pt x="77" y="7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3" name="Freeform 224">
              <a:extLst>
                <a:ext uri="{FF2B5EF4-FFF2-40B4-BE49-F238E27FC236}">
                  <a16:creationId xmlns:a16="http://schemas.microsoft.com/office/drawing/2014/main" id="{D544829B-8BFE-404A-A90A-B9D44B6D71CD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81"/>
                <a:gd name="T1" fmla="*/ 0 h 72"/>
                <a:gd name="T2" fmla="*/ 0 w 81"/>
                <a:gd name="T3" fmla="*/ 5 h 72"/>
                <a:gd name="T4" fmla="*/ 81 w 81"/>
                <a:gd name="T5" fmla="*/ 72 h 72"/>
                <a:gd name="T6" fmla="*/ 4 w 81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4" y="0"/>
                  </a:moveTo>
                  <a:lnTo>
                    <a:pt x="0" y="5"/>
                  </a:lnTo>
                  <a:lnTo>
                    <a:pt x="81" y="7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4" name="Freeform 225">
              <a:extLst>
                <a:ext uri="{FF2B5EF4-FFF2-40B4-BE49-F238E27FC236}">
                  <a16:creationId xmlns:a16="http://schemas.microsoft.com/office/drawing/2014/main" id="{16A1B3B9-766C-4DB5-92A6-4308540B2BFD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5 w 86"/>
                <a:gd name="T1" fmla="*/ 0 h 67"/>
                <a:gd name="T2" fmla="*/ 0 w 86"/>
                <a:gd name="T3" fmla="*/ 6 h 67"/>
                <a:gd name="T4" fmla="*/ 86 w 86"/>
                <a:gd name="T5" fmla="*/ 67 h 67"/>
                <a:gd name="T6" fmla="*/ 5 w 86"/>
                <a:gd name="T7" fmla="*/ 0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5" y="0"/>
                  </a:moveTo>
                  <a:lnTo>
                    <a:pt x="0" y="6"/>
                  </a:lnTo>
                  <a:lnTo>
                    <a:pt x="86" y="6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5" name="Freeform 226">
              <a:extLst>
                <a:ext uri="{FF2B5EF4-FFF2-40B4-BE49-F238E27FC236}">
                  <a16:creationId xmlns:a16="http://schemas.microsoft.com/office/drawing/2014/main" id="{7AF4B8B5-F7AE-4491-93EA-DA51E61F6D16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90"/>
                <a:gd name="T1" fmla="*/ 0 h 61"/>
                <a:gd name="T2" fmla="*/ 0 w 90"/>
                <a:gd name="T3" fmla="*/ 6 h 61"/>
                <a:gd name="T4" fmla="*/ 90 w 90"/>
                <a:gd name="T5" fmla="*/ 61 h 61"/>
                <a:gd name="T6" fmla="*/ 4 w 90"/>
                <a:gd name="T7" fmla="*/ 0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4" y="0"/>
                  </a:moveTo>
                  <a:lnTo>
                    <a:pt x="0" y="6"/>
                  </a:lnTo>
                  <a:lnTo>
                    <a:pt x="90" y="6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6" name="Freeform 227">
              <a:extLst>
                <a:ext uri="{FF2B5EF4-FFF2-40B4-BE49-F238E27FC236}">
                  <a16:creationId xmlns:a16="http://schemas.microsoft.com/office/drawing/2014/main" id="{B0D52840-5080-47BC-8885-ECC9AE09BA27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3"/>
                <a:gd name="T1" fmla="*/ 0 h 55"/>
                <a:gd name="T2" fmla="*/ 0 w 93"/>
                <a:gd name="T3" fmla="*/ 6 h 55"/>
                <a:gd name="T4" fmla="*/ 93 w 93"/>
                <a:gd name="T5" fmla="*/ 55 h 55"/>
                <a:gd name="T6" fmla="*/ 3 w 93"/>
                <a:gd name="T7" fmla="*/ 0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5">
                  <a:moveTo>
                    <a:pt x="3" y="0"/>
                  </a:moveTo>
                  <a:lnTo>
                    <a:pt x="0" y="6"/>
                  </a:lnTo>
                  <a:lnTo>
                    <a:pt x="93" y="55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7" name="Freeform 228">
              <a:extLst>
                <a:ext uri="{FF2B5EF4-FFF2-40B4-BE49-F238E27FC236}">
                  <a16:creationId xmlns:a16="http://schemas.microsoft.com/office/drawing/2014/main" id="{CF680FF1-9916-4E10-A58E-9B20EBDFA060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6"/>
                <a:gd name="T1" fmla="*/ 0 h 49"/>
                <a:gd name="T2" fmla="*/ 0 w 96"/>
                <a:gd name="T3" fmla="*/ 7 h 49"/>
                <a:gd name="T4" fmla="*/ 96 w 96"/>
                <a:gd name="T5" fmla="*/ 49 h 49"/>
                <a:gd name="T6" fmla="*/ 3 w 96"/>
                <a:gd name="T7" fmla="*/ 0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9">
                  <a:moveTo>
                    <a:pt x="3" y="0"/>
                  </a:moveTo>
                  <a:lnTo>
                    <a:pt x="0" y="7"/>
                  </a:lnTo>
                  <a:lnTo>
                    <a:pt x="96" y="49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8" name="Freeform 229">
              <a:extLst>
                <a:ext uri="{FF2B5EF4-FFF2-40B4-BE49-F238E27FC236}">
                  <a16:creationId xmlns:a16="http://schemas.microsoft.com/office/drawing/2014/main" id="{D3B74105-E187-4162-B149-2C96A022A1BF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9"/>
                <a:gd name="T1" fmla="*/ 0 h 42"/>
                <a:gd name="T2" fmla="*/ 0 w 99"/>
                <a:gd name="T3" fmla="*/ 6 h 42"/>
                <a:gd name="T4" fmla="*/ 99 w 99"/>
                <a:gd name="T5" fmla="*/ 42 h 42"/>
                <a:gd name="T6" fmla="*/ 3 w 99"/>
                <a:gd name="T7" fmla="*/ 0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3" y="0"/>
                  </a:moveTo>
                  <a:lnTo>
                    <a:pt x="0" y="6"/>
                  </a:lnTo>
                  <a:lnTo>
                    <a:pt x="99" y="4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9" name="Freeform 230">
              <a:extLst>
                <a:ext uri="{FF2B5EF4-FFF2-40B4-BE49-F238E27FC236}">
                  <a16:creationId xmlns:a16="http://schemas.microsoft.com/office/drawing/2014/main" id="{02150DEF-14F7-4911-A0CD-01D0D8A5D114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1"/>
                <a:gd name="T1" fmla="*/ 0 h 36"/>
                <a:gd name="T2" fmla="*/ 0 w 101"/>
                <a:gd name="T3" fmla="*/ 7 h 36"/>
                <a:gd name="T4" fmla="*/ 101 w 101"/>
                <a:gd name="T5" fmla="*/ 36 h 36"/>
                <a:gd name="T6" fmla="*/ 2 w 101"/>
                <a:gd name="T7" fmla="*/ 0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2" y="0"/>
                  </a:moveTo>
                  <a:lnTo>
                    <a:pt x="0" y="7"/>
                  </a:lnTo>
                  <a:lnTo>
                    <a:pt x="101" y="3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0" name="Freeform 231">
              <a:extLst>
                <a:ext uri="{FF2B5EF4-FFF2-40B4-BE49-F238E27FC236}">
                  <a16:creationId xmlns:a16="http://schemas.microsoft.com/office/drawing/2014/main" id="{143E6B13-DA74-44D3-8530-FEE06EA4295B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3"/>
                <a:gd name="T1" fmla="*/ 0 h 29"/>
                <a:gd name="T2" fmla="*/ 0 w 103"/>
                <a:gd name="T3" fmla="*/ 7 h 29"/>
                <a:gd name="T4" fmla="*/ 103 w 103"/>
                <a:gd name="T5" fmla="*/ 29 h 29"/>
                <a:gd name="T6" fmla="*/ 2 w 103"/>
                <a:gd name="T7" fmla="*/ 0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2" y="0"/>
                  </a:moveTo>
                  <a:lnTo>
                    <a:pt x="0" y="7"/>
                  </a:lnTo>
                  <a:lnTo>
                    <a:pt x="103" y="29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1" name="Freeform 232">
              <a:extLst>
                <a:ext uri="{FF2B5EF4-FFF2-40B4-BE49-F238E27FC236}">
                  <a16:creationId xmlns:a16="http://schemas.microsoft.com/office/drawing/2014/main" id="{9F721244-B892-4D8A-9114-C29E6D844E33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1 w 104"/>
                <a:gd name="T1" fmla="*/ 0 h 22"/>
                <a:gd name="T2" fmla="*/ 0 w 104"/>
                <a:gd name="T3" fmla="*/ 7 h 22"/>
                <a:gd name="T4" fmla="*/ 104 w 104"/>
                <a:gd name="T5" fmla="*/ 22 h 22"/>
                <a:gd name="T6" fmla="*/ 1 w 104"/>
                <a:gd name="T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" y="0"/>
                  </a:moveTo>
                  <a:lnTo>
                    <a:pt x="0" y="7"/>
                  </a:lnTo>
                  <a:lnTo>
                    <a:pt x="104" y="2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2" name="Freeform 233">
              <a:extLst>
                <a:ext uri="{FF2B5EF4-FFF2-40B4-BE49-F238E27FC236}">
                  <a16:creationId xmlns:a16="http://schemas.microsoft.com/office/drawing/2014/main" id="{0ED4591D-41F9-46A6-AE3D-493DD204854D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8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8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3" name="Freeform 234">
              <a:extLst>
                <a:ext uri="{FF2B5EF4-FFF2-40B4-BE49-F238E27FC236}">
                  <a16:creationId xmlns:a16="http://schemas.microsoft.com/office/drawing/2014/main" id="{19DB73BE-FAF2-405E-8D08-49DB96F137DC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7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4" name="Freeform 235">
              <a:extLst>
                <a:ext uri="{FF2B5EF4-FFF2-40B4-BE49-F238E27FC236}">
                  <a16:creationId xmlns:a16="http://schemas.microsoft.com/office/drawing/2014/main" id="{FEDC1306-1EE8-438B-AF2D-1291A958B549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5" name="Freeform 236">
              <a:extLst>
                <a:ext uri="{FF2B5EF4-FFF2-40B4-BE49-F238E27FC236}">
                  <a16:creationId xmlns:a16="http://schemas.microsoft.com/office/drawing/2014/main" id="{7ECBE296-2712-4D61-8FED-B818C66E8EBF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7 h 14"/>
                <a:gd name="T2" fmla="*/ 1 w 105"/>
                <a:gd name="T3" fmla="*/ 14 h 14"/>
                <a:gd name="T4" fmla="*/ 105 w 105"/>
                <a:gd name="T5" fmla="*/ 0 h 14"/>
                <a:gd name="T6" fmla="*/ 0 w 105"/>
                <a:gd name="T7" fmla="*/ 7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0" y="7"/>
                  </a:moveTo>
                  <a:lnTo>
                    <a:pt x="1" y="14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6" name="Freeform 237">
              <a:extLst>
                <a:ext uri="{FF2B5EF4-FFF2-40B4-BE49-F238E27FC236}">
                  <a16:creationId xmlns:a16="http://schemas.microsoft.com/office/drawing/2014/main" id="{6CA408CC-2FCF-4258-A955-48B45477BF48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4"/>
                <a:gd name="T1" fmla="*/ 14 h 21"/>
                <a:gd name="T2" fmla="*/ 1 w 104"/>
                <a:gd name="T3" fmla="*/ 21 h 21"/>
                <a:gd name="T4" fmla="*/ 104 w 104"/>
                <a:gd name="T5" fmla="*/ 0 h 21"/>
                <a:gd name="T6" fmla="*/ 0 w 104"/>
                <a:gd name="T7" fmla="*/ 14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0" y="14"/>
                  </a:moveTo>
                  <a:lnTo>
                    <a:pt x="1" y="21"/>
                  </a:lnTo>
                  <a:lnTo>
                    <a:pt x="104" y="0"/>
                  </a:lnTo>
                  <a:lnTo>
                    <a:pt x="0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7" name="Freeform 238">
              <a:extLst>
                <a:ext uri="{FF2B5EF4-FFF2-40B4-BE49-F238E27FC236}">
                  <a16:creationId xmlns:a16="http://schemas.microsoft.com/office/drawing/2014/main" id="{1FCE7BCE-8922-4068-8BA9-EF30FC660B72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3"/>
                <a:gd name="T1" fmla="*/ 21 h 28"/>
                <a:gd name="T2" fmla="*/ 2 w 103"/>
                <a:gd name="T3" fmla="*/ 28 h 28"/>
                <a:gd name="T4" fmla="*/ 103 w 103"/>
                <a:gd name="T5" fmla="*/ 0 h 28"/>
                <a:gd name="T6" fmla="*/ 0 w 103"/>
                <a:gd name="T7" fmla="*/ 21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0" y="21"/>
                  </a:moveTo>
                  <a:lnTo>
                    <a:pt x="2" y="28"/>
                  </a:lnTo>
                  <a:lnTo>
                    <a:pt x="103" y="0"/>
                  </a:lnTo>
                  <a:lnTo>
                    <a:pt x="0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8" name="Freeform 239">
              <a:extLst>
                <a:ext uri="{FF2B5EF4-FFF2-40B4-BE49-F238E27FC236}">
                  <a16:creationId xmlns:a16="http://schemas.microsoft.com/office/drawing/2014/main" id="{44133CA1-EDD3-4F70-8A80-016B7F68BC92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1"/>
                <a:gd name="T1" fmla="*/ 28 h 35"/>
                <a:gd name="T2" fmla="*/ 2 w 101"/>
                <a:gd name="T3" fmla="*/ 35 h 35"/>
                <a:gd name="T4" fmla="*/ 101 w 101"/>
                <a:gd name="T5" fmla="*/ 0 h 35"/>
                <a:gd name="T6" fmla="*/ 0 w 101"/>
                <a:gd name="T7" fmla="*/ 28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5">
                  <a:moveTo>
                    <a:pt x="0" y="28"/>
                  </a:moveTo>
                  <a:lnTo>
                    <a:pt x="2" y="35"/>
                  </a:lnTo>
                  <a:lnTo>
                    <a:pt x="101" y="0"/>
                  </a:lnTo>
                  <a:lnTo>
                    <a:pt x="0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9" name="Freeform 240">
              <a:extLst>
                <a:ext uri="{FF2B5EF4-FFF2-40B4-BE49-F238E27FC236}">
                  <a16:creationId xmlns:a16="http://schemas.microsoft.com/office/drawing/2014/main" id="{D52F8A00-BD74-49EA-94D3-4BBCB955209A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9"/>
                <a:gd name="T1" fmla="*/ 35 h 42"/>
                <a:gd name="T2" fmla="*/ 3 w 99"/>
                <a:gd name="T3" fmla="*/ 42 h 42"/>
                <a:gd name="T4" fmla="*/ 99 w 99"/>
                <a:gd name="T5" fmla="*/ 0 h 42"/>
                <a:gd name="T6" fmla="*/ 0 w 99"/>
                <a:gd name="T7" fmla="*/ 35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0" y="35"/>
                  </a:moveTo>
                  <a:lnTo>
                    <a:pt x="3" y="42"/>
                  </a:lnTo>
                  <a:lnTo>
                    <a:pt x="99" y="0"/>
                  </a:lnTo>
                  <a:lnTo>
                    <a:pt x="0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0" name="Freeform 241">
              <a:extLst>
                <a:ext uri="{FF2B5EF4-FFF2-40B4-BE49-F238E27FC236}">
                  <a16:creationId xmlns:a16="http://schemas.microsoft.com/office/drawing/2014/main" id="{77E77613-E83A-4780-B85F-C08B3FB42D9C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6"/>
                <a:gd name="T1" fmla="*/ 42 h 48"/>
                <a:gd name="T2" fmla="*/ 3 w 96"/>
                <a:gd name="T3" fmla="*/ 48 h 48"/>
                <a:gd name="T4" fmla="*/ 96 w 96"/>
                <a:gd name="T5" fmla="*/ 0 h 48"/>
                <a:gd name="T6" fmla="*/ 0 w 96"/>
                <a:gd name="T7" fmla="*/ 42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8">
                  <a:moveTo>
                    <a:pt x="0" y="42"/>
                  </a:moveTo>
                  <a:lnTo>
                    <a:pt x="3" y="48"/>
                  </a:lnTo>
                  <a:lnTo>
                    <a:pt x="96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1" name="Freeform 242">
              <a:extLst>
                <a:ext uri="{FF2B5EF4-FFF2-40B4-BE49-F238E27FC236}">
                  <a16:creationId xmlns:a16="http://schemas.microsoft.com/office/drawing/2014/main" id="{3E897340-F5FD-443A-8096-8C839F267C27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3"/>
                <a:gd name="T1" fmla="*/ 48 h 54"/>
                <a:gd name="T2" fmla="*/ 3 w 93"/>
                <a:gd name="T3" fmla="*/ 54 h 54"/>
                <a:gd name="T4" fmla="*/ 93 w 93"/>
                <a:gd name="T5" fmla="*/ 0 h 54"/>
                <a:gd name="T6" fmla="*/ 0 w 93"/>
                <a:gd name="T7" fmla="*/ 48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4">
                  <a:moveTo>
                    <a:pt x="0" y="48"/>
                  </a:moveTo>
                  <a:lnTo>
                    <a:pt x="3" y="54"/>
                  </a:lnTo>
                  <a:lnTo>
                    <a:pt x="93" y="0"/>
                  </a:lnTo>
                  <a:lnTo>
                    <a:pt x="0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2" name="Freeform 243">
              <a:extLst>
                <a:ext uri="{FF2B5EF4-FFF2-40B4-BE49-F238E27FC236}">
                  <a16:creationId xmlns:a16="http://schemas.microsoft.com/office/drawing/2014/main" id="{221D4594-FC0B-4C54-9DF2-B338743F4BFF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0"/>
                <a:gd name="T1" fmla="*/ 54 h 60"/>
                <a:gd name="T2" fmla="*/ 4 w 90"/>
                <a:gd name="T3" fmla="*/ 60 h 60"/>
                <a:gd name="T4" fmla="*/ 90 w 90"/>
                <a:gd name="T5" fmla="*/ 0 h 60"/>
                <a:gd name="T6" fmla="*/ 0 w 90"/>
                <a:gd name="T7" fmla="*/ 54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0" y="54"/>
                  </a:moveTo>
                  <a:lnTo>
                    <a:pt x="4" y="60"/>
                  </a:lnTo>
                  <a:lnTo>
                    <a:pt x="90" y="0"/>
                  </a:lnTo>
                  <a:lnTo>
                    <a:pt x="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3" name="Freeform 244">
              <a:extLst>
                <a:ext uri="{FF2B5EF4-FFF2-40B4-BE49-F238E27FC236}">
                  <a16:creationId xmlns:a16="http://schemas.microsoft.com/office/drawing/2014/main" id="{2D2904F4-89D6-444A-982A-2D3A159C5665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6"/>
                <a:gd name="T1" fmla="*/ 60 h 66"/>
                <a:gd name="T2" fmla="*/ 5 w 86"/>
                <a:gd name="T3" fmla="*/ 66 h 66"/>
                <a:gd name="T4" fmla="*/ 86 w 86"/>
                <a:gd name="T5" fmla="*/ 0 h 66"/>
                <a:gd name="T6" fmla="*/ 0 w 86"/>
                <a:gd name="T7" fmla="*/ 60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0" y="60"/>
                  </a:moveTo>
                  <a:lnTo>
                    <a:pt x="5" y="66"/>
                  </a:lnTo>
                  <a:lnTo>
                    <a:pt x="86" y="0"/>
                  </a:lnTo>
                  <a:lnTo>
                    <a:pt x="0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4" name="Freeform 245">
              <a:extLst>
                <a:ext uri="{FF2B5EF4-FFF2-40B4-BE49-F238E27FC236}">
                  <a16:creationId xmlns:a16="http://schemas.microsoft.com/office/drawing/2014/main" id="{5B4A30F2-A1FE-4D52-8F94-3BD949C4869C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1"/>
                <a:gd name="T1" fmla="*/ 66 h 72"/>
                <a:gd name="T2" fmla="*/ 4 w 81"/>
                <a:gd name="T3" fmla="*/ 72 h 72"/>
                <a:gd name="T4" fmla="*/ 81 w 81"/>
                <a:gd name="T5" fmla="*/ 0 h 72"/>
                <a:gd name="T6" fmla="*/ 0 w 81"/>
                <a:gd name="T7" fmla="*/ 66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0" y="66"/>
                  </a:moveTo>
                  <a:lnTo>
                    <a:pt x="4" y="72"/>
                  </a:lnTo>
                  <a:lnTo>
                    <a:pt x="81" y="0"/>
                  </a:lnTo>
                  <a:lnTo>
                    <a:pt x="0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5" name="Freeform 246">
              <a:extLst>
                <a:ext uri="{FF2B5EF4-FFF2-40B4-BE49-F238E27FC236}">
                  <a16:creationId xmlns:a16="http://schemas.microsoft.com/office/drawing/2014/main" id="{12F67384-36F8-4E99-BD01-90D7FABBEC93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7"/>
                <a:gd name="T1" fmla="*/ 72 h 77"/>
                <a:gd name="T2" fmla="*/ 5 w 77"/>
                <a:gd name="T3" fmla="*/ 77 h 77"/>
                <a:gd name="T4" fmla="*/ 77 w 77"/>
                <a:gd name="T5" fmla="*/ 0 h 77"/>
                <a:gd name="T6" fmla="*/ 0 w 77"/>
                <a:gd name="T7" fmla="*/ 72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0" y="72"/>
                  </a:moveTo>
                  <a:lnTo>
                    <a:pt x="5" y="77"/>
                  </a:lnTo>
                  <a:lnTo>
                    <a:pt x="77" y="0"/>
                  </a:lnTo>
                  <a:lnTo>
                    <a:pt x="0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6" name="Freeform 247">
              <a:extLst>
                <a:ext uri="{FF2B5EF4-FFF2-40B4-BE49-F238E27FC236}">
                  <a16:creationId xmlns:a16="http://schemas.microsoft.com/office/drawing/2014/main" id="{3E9DF12E-B2CE-4F66-9041-82B2C72167A6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2"/>
                <a:gd name="T1" fmla="*/ 77 h 81"/>
                <a:gd name="T2" fmla="*/ 6 w 72"/>
                <a:gd name="T3" fmla="*/ 81 h 81"/>
                <a:gd name="T4" fmla="*/ 72 w 72"/>
                <a:gd name="T5" fmla="*/ 0 h 81"/>
                <a:gd name="T6" fmla="*/ 0 w 72"/>
                <a:gd name="T7" fmla="*/ 77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0" y="77"/>
                  </a:moveTo>
                  <a:lnTo>
                    <a:pt x="6" y="81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7" name="Freeform 248">
              <a:extLst>
                <a:ext uri="{FF2B5EF4-FFF2-40B4-BE49-F238E27FC236}">
                  <a16:creationId xmlns:a16="http://schemas.microsoft.com/office/drawing/2014/main" id="{4A80CDE2-FCB3-4C22-B8B8-E49FBF8D9ECA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6"/>
                <a:gd name="T1" fmla="*/ 81 h 86"/>
                <a:gd name="T2" fmla="*/ 6 w 66"/>
                <a:gd name="T3" fmla="*/ 86 h 86"/>
                <a:gd name="T4" fmla="*/ 66 w 66"/>
                <a:gd name="T5" fmla="*/ 0 h 86"/>
                <a:gd name="T6" fmla="*/ 0 w 66"/>
                <a:gd name="T7" fmla="*/ 81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0" y="81"/>
                  </a:moveTo>
                  <a:lnTo>
                    <a:pt x="6" y="86"/>
                  </a:lnTo>
                  <a:lnTo>
                    <a:pt x="66" y="0"/>
                  </a:lnTo>
                  <a:lnTo>
                    <a:pt x="0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8" name="Freeform 249">
              <a:extLst>
                <a:ext uri="{FF2B5EF4-FFF2-40B4-BE49-F238E27FC236}">
                  <a16:creationId xmlns:a16="http://schemas.microsoft.com/office/drawing/2014/main" id="{B0317A1D-AD0A-446F-9A52-1F7AE3D8BD75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0"/>
                <a:gd name="T1" fmla="*/ 86 h 90"/>
                <a:gd name="T2" fmla="*/ 6 w 60"/>
                <a:gd name="T3" fmla="*/ 90 h 90"/>
                <a:gd name="T4" fmla="*/ 60 w 60"/>
                <a:gd name="T5" fmla="*/ 0 h 90"/>
                <a:gd name="T6" fmla="*/ 0 w 60"/>
                <a:gd name="T7" fmla="*/ 86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0" y="86"/>
                  </a:moveTo>
                  <a:lnTo>
                    <a:pt x="6" y="90"/>
                  </a:lnTo>
                  <a:lnTo>
                    <a:pt x="60" y="0"/>
                  </a:lnTo>
                  <a:lnTo>
                    <a:pt x="0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9" name="Freeform 250">
              <a:extLst>
                <a:ext uri="{FF2B5EF4-FFF2-40B4-BE49-F238E27FC236}">
                  <a16:creationId xmlns:a16="http://schemas.microsoft.com/office/drawing/2014/main" id="{4865280C-EB6C-4761-A695-7E076112A9C7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54"/>
                <a:gd name="T1" fmla="*/ 90 h 93"/>
                <a:gd name="T2" fmla="*/ 6 w 54"/>
                <a:gd name="T3" fmla="*/ 93 h 93"/>
                <a:gd name="T4" fmla="*/ 54 w 54"/>
                <a:gd name="T5" fmla="*/ 0 h 93"/>
                <a:gd name="T6" fmla="*/ 0 w 54"/>
                <a:gd name="T7" fmla="*/ 9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3">
                  <a:moveTo>
                    <a:pt x="0" y="90"/>
                  </a:moveTo>
                  <a:lnTo>
                    <a:pt x="6" y="93"/>
                  </a:lnTo>
                  <a:lnTo>
                    <a:pt x="54" y="0"/>
                  </a:lnTo>
                  <a:lnTo>
                    <a:pt x="0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" name="Freeform 251">
              <a:extLst>
                <a:ext uri="{FF2B5EF4-FFF2-40B4-BE49-F238E27FC236}">
                  <a16:creationId xmlns:a16="http://schemas.microsoft.com/office/drawing/2014/main" id="{B20BA34A-9B0E-4E75-BEBA-7A9C9A621EE5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48"/>
                <a:gd name="T1" fmla="*/ 93 h 96"/>
                <a:gd name="T2" fmla="*/ 6 w 48"/>
                <a:gd name="T3" fmla="*/ 96 h 96"/>
                <a:gd name="T4" fmla="*/ 48 w 48"/>
                <a:gd name="T5" fmla="*/ 0 h 96"/>
                <a:gd name="T6" fmla="*/ 0 w 48"/>
                <a:gd name="T7" fmla="*/ 9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6">
                  <a:moveTo>
                    <a:pt x="0" y="93"/>
                  </a:moveTo>
                  <a:lnTo>
                    <a:pt x="6" y="96"/>
                  </a:lnTo>
                  <a:lnTo>
                    <a:pt x="48" y="0"/>
                  </a:lnTo>
                  <a:lnTo>
                    <a:pt x="0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5" name="Group 453">
            <a:extLst>
              <a:ext uri="{FF2B5EF4-FFF2-40B4-BE49-F238E27FC236}">
                <a16:creationId xmlns:a16="http://schemas.microsoft.com/office/drawing/2014/main" id="{BEBC25C1-9A6F-4982-8484-B8E78E79ECFF}"/>
              </a:ext>
            </a:extLst>
          </xdr:cNvPr>
          <xdr:cNvGrpSpPr>
            <a:grpSpLocks/>
          </xdr:cNvGrpSpPr>
        </xdr:nvGrpSpPr>
        <xdr:grpSpPr bwMode="auto">
          <a:xfrm>
            <a:off x="930" y="188"/>
            <a:ext cx="262" cy="16"/>
            <a:chOff x="930" y="188"/>
            <a:chExt cx="262" cy="16"/>
          </a:xfrm>
        </xdr:grpSpPr>
        <xdr:sp macro="" textlink="">
          <xdr:nvSpPr>
            <xdr:cNvPr id="141" name="Freeform 253">
              <a:extLst>
                <a:ext uri="{FF2B5EF4-FFF2-40B4-BE49-F238E27FC236}">
                  <a16:creationId xmlns:a16="http://schemas.microsoft.com/office/drawing/2014/main" id="{B486612E-ED6A-4E6F-AD69-FB0D31F660FD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42"/>
                <a:gd name="T1" fmla="*/ 96 h 99"/>
                <a:gd name="T2" fmla="*/ 7 w 42"/>
                <a:gd name="T3" fmla="*/ 99 h 99"/>
                <a:gd name="T4" fmla="*/ 42 w 42"/>
                <a:gd name="T5" fmla="*/ 0 h 99"/>
                <a:gd name="T6" fmla="*/ 0 w 42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0" y="96"/>
                  </a:moveTo>
                  <a:lnTo>
                    <a:pt x="7" y="99"/>
                  </a:lnTo>
                  <a:lnTo>
                    <a:pt x="42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2" name="Freeform 254">
              <a:extLst>
                <a:ext uri="{FF2B5EF4-FFF2-40B4-BE49-F238E27FC236}">
                  <a16:creationId xmlns:a16="http://schemas.microsoft.com/office/drawing/2014/main" id="{0B4552F8-7E6B-45F7-8174-1B8AAB94FDA9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35"/>
                <a:gd name="T1" fmla="*/ 99 h 101"/>
                <a:gd name="T2" fmla="*/ 7 w 35"/>
                <a:gd name="T3" fmla="*/ 101 h 101"/>
                <a:gd name="T4" fmla="*/ 35 w 35"/>
                <a:gd name="T5" fmla="*/ 0 h 101"/>
                <a:gd name="T6" fmla="*/ 0 w 35"/>
                <a:gd name="T7" fmla="*/ 99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0" y="99"/>
                  </a:moveTo>
                  <a:lnTo>
                    <a:pt x="7" y="101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3" name="Freeform 255">
              <a:extLst>
                <a:ext uri="{FF2B5EF4-FFF2-40B4-BE49-F238E27FC236}">
                  <a16:creationId xmlns:a16="http://schemas.microsoft.com/office/drawing/2014/main" id="{955434BC-855B-4CCE-8C36-4D1B5234CF5A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8"/>
                <a:gd name="T1" fmla="*/ 101 h 103"/>
                <a:gd name="T2" fmla="*/ 7 w 28"/>
                <a:gd name="T3" fmla="*/ 103 h 103"/>
                <a:gd name="T4" fmla="*/ 28 w 28"/>
                <a:gd name="T5" fmla="*/ 0 h 103"/>
                <a:gd name="T6" fmla="*/ 0 w 28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0" y="101"/>
                  </a:moveTo>
                  <a:lnTo>
                    <a:pt x="7" y="103"/>
                  </a:lnTo>
                  <a:lnTo>
                    <a:pt x="28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4" name="Freeform 256">
              <a:extLst>
                <a:ext uri="{FF2B5EF4-FFF2-40B4-BE49-F238E27FC236}">
                  <a16:creationId xmlns:a16="http://schemas.microsoft.com/office/drawing/2014/main" id="{D0425E1E-2FC2-4A3B-8B60-C24D9B18F7E7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1"/>
                <a:gd name="T1" fmla="*/ 103 h 104"/>
                <a:gd name="T2" fmla="*/ 7 w 21"/>
                <a:gd name="T3" fmla="*/ 104 h 104"/>
                <a:gd name="T4" fmla="*/ 21 w 21"/>
                <a:gd name="T5" fmla="*/ 0 h 104"/>
                <a:gd name="T6" fmla="*/ 0 w 21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4">
                  <a:moveTo>
                    <a:pt x="0" y="103"/>
                  </a:moveTo>
                  <a:lnTo>
                    <a:pt x="7" y="104"/>
                  </a:lnTo>
                  <a:lnTo>
                    <a:pt x="21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5" name="Freeform 257">
              <a:extLst>
                <a:ext uri="{FF2B5EF4-FFF2-40B4-BE49-F238E27FC236}">
                  <a16:creationId xmlns:a16="http://schemas.microsoft.com/office/drawing/2014/main" id="{BAA6371D-EAB4-4F4A-A399-B4803834922D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14"/>
                <a:gd name="T1" fmla="*/ 104 h 105"/>
                <a:gd name="T2" fmla="*/ 7 w 14"/>
                <a:gd name="T3" fmla="*/ 105 h 105"/>
                <a:gd name="T4" fmla="*/ 14 w 14"/>
                <a:gd name="T5" fmla="*/ 0 h 105"/>
                <a:gd name="T6" fmla="*/ 0 w 14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0" y="104"/>
                  </a:moveTo>
                  <a:lnTo>
                    <a:pt x="7" y="105"/>
                  </a:lnTo>
                  <a:lnTo>
                    <a:pt x="14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6" name="Freeform 258">
              <a:extLst>
                <a:ext uri="{FF2B5EF4-FFF2-40B4-BE49-F238E27FC236}">
                  <a16:creationId xmlns:a16="http://schemas.microsoft.com/office/drawing/2014/main" id="{70CAB48F-B0AC-4C38-9F1E-A7CD7A891FE6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7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7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7" name="Freeform 259">
              <a:extLst>
                <a:ext uri="{FF2B5EF4-FFF2-40B4-BE49-F238E27FC236}">
                  <a16:creationId xmlns:a16="http://schemas.microsoft.com/office/drawing/2014/main" id="{F22F2604-3B87-44D3-8E1B-345C0C8F4079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8" name="Freeform 260">
              <a:extLst>
                <a:ext uri="{FF2B5EF4-FFF2-40B4-BE49-F238E27FC236}">
                  <a16:creationId xmlns:a16="http://schemas.microsoft.com/office/drawing/2014/main" id="{09E54567-4B07-4AA2-B64C-004478F836BB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9" name="Freeform 261">
              <a:extLst>
                <a:ext uri="{FF2B5EF4-FFF2-40B4-BE49-F238E27FC236}">
                  <a16:creationId xmlns:a16="http://schemas.microsoft.com/office/drawing/2014/main" id="{DDE128D0-4429-4ACC-AE32-0ECBDFAD1A5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0" name="Freeform 262">
              <a:extLst>
                <a:ext uri="{FF2B5EF4-FFF2-40B4-BE49-F238E27FC236}">
                  <a16:creationId xmlns:a16="http://schemas.microsoft.com/office/drawing/2014/main" id="{0FCAEB2E-B7D2-4FB8-9032-5B43C8EC3CB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2 w 29"/>
                <a:gd name="T1" fmla="*/ 103 h 103"/>
                <a:gd name="T2" fmla="*/ 29 w 29"/>
                <a:gd name="T3" fmla="*/ 101 h 103"/>
                <a:gd name="T4" fmla="*/ 0 w 29"/>
                <a:gd name="T5" fmla="*/ 0 h 103"/>
                <a:gd name="T6" fmla="*/ 22 w 29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2" y="103"/>
                  </a:moveTo>
                  <a:lnTo>
                    <a:pt x="29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1" name="Freeform 263">
              <a:extLst>
                <a:ext uri="{FF2B5EF4-FFF2-40B4-BE49-F238E27FC236}">
                  <a16:creationId xmlns:a16="http://schemas.microsoft.com/office/drawing/2014/main" id="{7AD83C0E-095E-4822-A29C-9BCA665B69D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9 w 35"/>
                <a:gd name="T1" fmla="*/ 101 h 101"/>
                <a:gd name="T2" fmla="*/ 35 w 35"/>
                <a:gd name="T3" fmla="*/ 99 h 101"/>
                <a:gd name="T4" fmla="*/ 0 w 35"/>
                <a:gd name="T5" fmla="*/ 0 h 101"/>
                <a:gd name="T6" fmla="*/ 29 w 35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29" y="101"/>
                  </a:moveTo>
                  <a:lnTo>
                    <a:pt x="35" y="99"/>
                  </a:lnTo>
                  <a:lnTo>
                    <a:pt x="0" y="0"/>
                  </a:lnTo>
                  <a:lnTo>
                    <a:pt x="29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2" name="Freeform 264">
              <a:extLst>
                <a:ext uri="{FF2B5EF4-FFF2-40B4-BE49-F238E27FC236}">
                  <a16:creationId xmlns:a16="http://schemas.microsoft.com/office/drawing/2014/main" id="{26B1D1D7-80CF-41C7-88F7-92DCB4C6BB26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2"/>
            </a:xfrm>
            <a:custGeom>
              <a:avLst/>
              <a:gdLst>
                <a:gd name="T0" fmla="*/ 35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5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5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5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3" name="Freeform 265">
              <a:extLst>
                <a:ext uri="{FF2B5EF4-FFF2-40B4-BE49-F238E27FC236}">
                  <a16:creationId xmlns:a16="http://schemas.microsoft.com/office/drawing/2014/main" id="{38E6C648-27A1-4B9D-9D6A-85261C2BCBA5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2 w 49"/>
                <a:gd name="T1" fmla="*/ 96 h 96"/>
                <a:gd name="T2" fmla="*/ 49 w 49"/>
                <a:gd name="T3" fmla="*/ 93 h 96"/>
                <a:gd name="T4" fmla="*/ 0 w 49"/>
                <a:gd name="T5" fmla="*/ 0 h 96"/>
                <a:gd name="T6" fmla="*/ 42 w 49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6">
                  <a:moveTo>
                    <a:pt x="42" y="96"/>
                  </a:moveTo>
                  <a:lnTo>
                    <a:pt x="49" y="93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4" name="Freeform 266">
              <a:extLst>
                <a:ext uri="{FF2B5EF4-FFF2-40B4-BE49-F238E27FC236}">
                  <a16:creationId xmlns:a16="http://schemas.microsoft.com/office/drawing/2014/main" id="{F578539C-B0B5-439F-883E-ABFAB565996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9 w 55"/>
                <a:gd name="T1" fmla="*/ 93 h 93"/>
                <a:gd name="T2" fmla="*/ 55 w 55"/>
                <a:gd name="T3" fmla="*/ 90 h 93"/>
                <a:gd name="T4" fmla="*/ 0 w 55"/>
                <a:gd name="T5" fmla="*/ 0 h 93"/>
                <a:gd name="T6" fmla="*/ 49 w 55"/>
                <a:gd name="T7" fmla="*/ 93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3">
                  <a:moveTo>
                    <a:pt x="49" y="93"/>
                  </a:moveTo>
                  <a:lnTo>
                    <a:pt x="55" y="90"/>
                  </a:lnTo>
                  <a:lnTo>
                    <a:pt x="0" y="0"/>
                  </a:lnTo>
                  <a:lnTo>
                    <a:pt x="49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5" name="Freeform 267">
              <a:extLst>
                <a:ext uri="{FF2B5EF4-FFF2-40B4-BE49-F238E27FC236}">
                  <a16:creationId xmlns:a16="http://schemas.microsoft.com/office/drawing/2014/main" id="{E3054C8B-0157-4081-8323-C0B08E023C3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55 w 61"/>
                <a:gd name="T1" fmla="*/ 90 h 90"/>
                <a:gd name="T2" fmla="*/ 61 w 61"/>
                <a:gd name="T3" fmla="*/ 86 h 90"/>
                <a:gd name="T4" fmla="*/ 0 w 61"/>
                <a:gd name="T5" fmla="*/ 0 h 90"/>
                <a:gd name="T6" fmla="*/ 55 w 61"/>
                <a:gd name="T7" fmla="*/ 9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55" y="90"/>
                  </a:moveTo>
                  <a:lnTo>
                    <a:pt x="61" y="86"/>
                  </a:lnTo>
                  <a:lnTo>
                    <a:pt x="0" y="0"/>
                  </a:lnTo>
                  <a:lnTo>
                    <a:pt x="55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6" name="Freeform 268">
              <a:extLst>
                <a:ext uri="{FF2B5EF4-FFF2-40B4-BE49-F238E27FC236}">
                  <a16:creationId xmlns:a16="http://schemas.microsoft.com/office/drawing/2014/main" id="{1731D43D-B56F-41DD-BC23-2572A41D50B1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1 w 67"/>
                <a:gd name="T1" fmla="*/ 86 h 86"/>
                <a:gd name="T2" fmla="*/ 67 w 67"/>
                <a:gd name="T3" fmla="*/ 81 h 86"/>
                <a:gd name="T4" fmla="*/ 0 w 67"/>
                <a:gd name="T5" fmla="*/ 0 h 86"/>
                <a:gd name="T6" fmla="*/ 61 w 67"/>
                <a:gd name="T7" fmla="*/ 86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1" y="86"/>
                  </a:moveTo>
                  <a:lnTo>
                    <a:pt x="67" y="81"/>
                  </a:lnTo>
                  <a:lnTo>
                    <a:pt x="0" y="0"/>
                  </a:lnTo>
                  <a:lnTo>
                    <a:pt x="61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7" name="Freeform 269">
              <a:extLst>
                <a:ext uri="{FF2B5EF4-FFF2-40B4-BE49-F238E27FC236}">
                  <a16:creationId xmlns:a16="http://schemas.microsoft.com/office/drawing/2014/main" id="{F9D356A5-C62C-4EA5-8652-55406BD1A829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7 w 72"/>
                <a:gd name="T1" fmla="*/ 81 h 81"/>
                <a:gd name="T2" fmla="*/ 72 w 72"/>
                <a:gd name="T3" fmla="*/ 77 h 81"/>
                <a:gd name="T4" fmla="*/ 0 w 72"/>
                <a:gd name="T5" fmla="*/ 0 h 81"/>
                <a:gd name="T6" fmla="*/ 67 w 72"/>
                <a:gd name="T7" fmla="*/ 81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67" y="81"/>
                  </a:moveTo>
                  <a:lnTo>
                    <a:pt x="72" y="77"/>
                  </a:lnTo>
                  <a:lnTo>
                    <a:pt x="0" y="0"/>
                  </a:lnTo>
                  <a:lnTo>
                    <a:pt x="67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8" name="Freeform 270">
              <a:extLst>
                <a:ext uri="{FF2B5EF4-FFF2-40B4-BE49-F238E27FC236}">
                  <a16:creationId xmlns:a16="http://schemas.microsoft.com/office/drawing/2014/main" id="{3312D53F-F158-4EE0-B1B0-953107CC07C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2 w 77"/>
                <a:gd name="T1" fmla="*/ 77 h 77"/>
                <a:gd name="T2" fmla="*/ 77 w 77"/>
                <a:gd name="T3" fmla="*/ 72 h 77"/>
                <a:gd name="T4" fmla="*/ 0 w 77"/>
                <a:gd name="T5" fmla="*/ 0 h 77"/>
                <a:gd name="T6" fmla="*/ 72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2" y="77"/>
                  </a:moveTo>
                  <a:lnTo>
                    <a:pt x="77" y="72"/>
                  </a:lnTo>
                  <a:lnTo>
                    <a:pt x="0" y="0"/>
                  </a:lnTo>
                  <a:lnTo>
                    <a:pt x="72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9" name="Freeform 271">
              <a:extLst>
                <a:ext uri="{FF2B5EF4-FFF2-40B4-BE49-F238E27FC236}">
                  <a16:creationId xmlns:a16="http://schemas.microsoft.com/office/drawing/2014/main" id="{442587F9-26A5-48BD-890E-2DFE223EE63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7 w 82"/>
                <a:gd name="T1" fmla="*/ 72 h 72"/>
                <a:gd name="T2" fmla="*/ 82 w 82"/>
                <a:gd name="T3" fmla="*/ 66 h 72"/>
                <a:gd name="T4" fmla="*/ 0 w 82"/>
                <a:gd name="T5" fmla="*/ 0 h 72"/>
                <a:gd name="T6" fmla="*/ 77 w 82"/>
                <a:gd name="T7" fmla="*/ 72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77" y="72"/>
                  </a:moveTo>
                  <a:lnTo>
                    <a:pt x="82" y="66"/>
                  </a:lnTo>
                  <a:lnTo>
                    <a:pt x="0" y="0"/>
                  </a:lnTo>
                  <a:lnTo>
                    <a:pt x="77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0" name="Freeform 272">
              <a:extLst>
                <a:ext uri="{FF2B5EF4-FFF2-40B4-BE49-F238E27FC236}">
                  <a16:creationId xmlns:a16="http://schemas.microsoft.com/office/drawing/2014/main" id="{5C6D04F6-7E76-4E82-A348-9073AB86FC73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2 w 86"/>
                <a:gd name="T1" fmla="*/ 66 h 66"/>
                <a:gd name="T2" fmla="*/ 86 w 86"/>
                <a:gd name="T3" fmla="*/ 60 h 66"/>
                <a:gd name="T4" fmla="*/ 0 w 86"/>
                <a:gd name="T5" fmla="*/ 0 h 66"/>
                <a:gd name="T6" fmla="*/ 82 w 86"/>
                <a:gd name="T7" fmla="*/ 66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82" y="66"/>
                  </a:moveTo>
                  <a:lnTo>
                    <a:pt x="86" y="60"/>
                  </a:lnTo>
                  <a:lnTo>
                    <a:pt x="0" y="0"/>
                  </a:lnTo>
                  <a:lnTo>
                    <a:pt x="82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1" name="Freeform 273">
              <a:extLst>
                <a:ext uri="{FF2B5EF4-FFF2-40B4-BE49-F238E27FC236}">
                  <a16:creationId xmlns:a16="http://schemas.microsoft.com/office/drawing/2014/main" id="{ED95FFAB-4C31-435D-9DFE-61C67011953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6 w 90"/>
                <a:gd name="T1" fmla="*/ 60 h 60"/>
                <a:gd name="T2" fmla="*/ 90 w 90"/>
                <a:gd name="T3" fmla="*/ 54 h 60"/>
                <a:gd name="T4" fmla="*/ 0 w 90"/>
                <a:gd name="T5" fmla="*/ 0 h 60"/>
                <a:gd name="T6" fmla="*/ 86 w 90"/>
                <a:gd name="T7" fmla="*/ 60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86" y="60"/>
                  </a:moveTo>
                  <a:lnTo>
                    <a:pt x="90" y="54"/>
                  </a:lnTo>
                  <a:lnTo>
                    <a:pt x="0" y="0"/>
                  </a:lnTo>
                  <a:lnTo>
                    <a:pt x="86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2" name="Freeform 274">
              <a:extLst>
                <a:ext uri="{FF2B5EF4-FFF2-40B4-BE49-F238E27FC236}">
                  <a16:creationId xmlns:a16="http://schemas.microsoft.com/office/drawing/2014/main" id="{72A83810-39C1-4CD6-8087-450B889682B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0 w 94"/>
                <a:gd name="T1" fmla="*/ 54 h 54"/>
                <a:gd name="T2" fmla="*/ 94 w 94"/>
                <a:gd name="T3" fmla="*/ 48 h 54"/>
                <a:gd name="T4" fmla="*/ 0 w 94"/>
                <a:gd name="T5" fmla="*/ 0 h 54"/>
                <a:gd name="T6" fmla="*/ 90 w 94"/>
                <a:gd name="T7" fmla="*/ 54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4">
                  <a:moveTo>
                    <a:pt x="90" y="54"/>
                  </a:moveTo>
                  <a:lnTo>
                    <a:pt x="94" y="48"/>
                  </a:lnTo>
                  <a:lnTo>
                    <a:pt x="0" y="0"/>
                  </a:lnTo>
                  <a:lnTo>
                    <a:pt x="9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3" name="Freeform 275">
              <a:extLst>
                <a:ext uri="{FF2B5EF4-FFF2-40B4-BE49-F238E27FC236}">
                  <a16:creationId xmlns:a16="http://schemas.microsoft.com/office/drawing/2014/main" id="{5D523836-5165-43B9-BFD4-B24C8B880DA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4 w 97"/>
                <a:gd name="T1" fmla="*/ 48 h 48"/>
                <a:gd name="T2" fmla="*/ 97 w 97"/>
                <a:gd name="T3" fmla="*/ 42 h 48"/>
                <a:gd name="T4" fmla="*/ 0 w 97"/>
                <a:gd name="T5" fmla="*/ 0 h 48"/>
                <a:gd name="T6" fmla="*/ 94 w 97"/>
                <a:gd name="T7" fmla="*/ 48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8">
                  <a:moveTo>
                    <a:pt x="94" y="48"/>
                  </a:moveTo>
                  <a:lnTo>
                    <a:pt x="97" y="42"/>
                  </a:lnTo>
                  <a:lnTo>
                    <a:pt x="0" y="0"/>
                  </a:lnTo>
                  <a:lnTo>
                    <a:pt x="94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4" name="Freeform 276">
              <a:extLst>
                <a:ext uri="{FF2B5EF4-FFF2-40B4-BE49-F238E27FC236}">
                  <a16:creationId xmlns:a16="http://schemas.microsoft.com/office/drawing/2014/main" id="{1775E54C-8382-4EF5-A16F-DB98F069B50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7 w 99"/>
                <a:gd name="T1" fmla="*/ 42 h 42"/>
                <a:gd name="T2" fmla="*/ 99 w 99"/>
                <a:gd name="T3" fmla="*/ 35 h 42"/>
                <a:gd name="T4" fmla="*/ 0 w 99"/>
                <a:gd name="T5" fmla="*/ 0 h 42"/>
                <a:gd name="T6" fmla="*/ 97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7" y="42"/>
                  </a:moveTo>
                  <a:lnTo>
                    <a:pt x="99" y="35"/>
                  </a:lnTo>
                  <a:lnTo>
                    <a:pt x="0" y="0"/>
                  </a:lnTo>
                  <a:lnTo>
                    <a:pt x="97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5" name="Freeform 277">
              <a:extLst>
                <a:ext uri="{FF2B5EF4-FFF2-40B4-BE49-F238E27FC236}">
                  <a16:creationId xmlns:a16="http://schemas.microsoft.com/office/drawing/2014/main" id="{48AC4810-EDB5-4CFD-A309-580F582E4CC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99 w 102"/>
                <a:gd name="T1" fmla="*/ 35 h 35"/>
                <a:gd name="T2" fmla="*/ 102 w 102"/>
                <a:gd name="T3" fmla="*/ 28 h 35"/>
                <a:gd name="T4" fmla="*/ 0 w 102"/>
                <a:gd name="T5" fmla="*/ 0 h 35"/>
                <a:gd name="T6" fmla="*/ 99 w 102"/>
                <a:gd name="T7" fmla="*/ 35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99" y="35"/>
                  </a:moveTo>
                  <a:lnTo>
                    <a:pt x="102" y="28"/>
                  </a:lnTo>
                  <a:lnTo>
                    <a:pt x="0" y="0"/>
                  </a:lnTo>
                  <a:lnTo>
                    <a:pt x="99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6" name="Freeform 278">
              <a:extLst>
                <a:ext uri="{FF2B5EF4-FFF2-40B4-BE49-F238E27FC236}">
                  <a16:creationId xmlns:a16="http://schemas.microsoft.com/office/drawing/2014/main" id="{6A7C45B3-50FB-428F-BA3D-E13D5FF077B5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2 w 103"/>
                <a:gd name="T1" fmla="*/ 28 h 28"/>
                <a:gd name="T2" fmla="*/ 103 w 103"/>
                <a:gd name="T3" fmla="*/ 21 h 28"/>
                <a:gd name="T4" fmla="*/ 0 w 103"/>
                <a:gd name="T5" fmla="*/ 0 h 28"/>
                <a:gd name="T6" fmla="*/ 102 w 103"/>
                <a:gd name="T7" fmla="*/ 28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102" y="28"/>
                  </a:moveTo>
                  <a:lnTo>
                    <a:pt x="103" y="21"/>
                  </a:lnTo>
                  <a:lnTo>
                    <a:pt x="0" y="0"/>
                  </a:lnTo>
                  <a:lnTo>
                    <a:pt x="102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7" name="Freeform 279">
              <a:extLst>
                <a:ext uri="{FF2B5EF4-FFF2-40B4-BE49-F238E27FC236}">
                  <a16:creationId xmlns:a16="http://schemas.microsoft.com/office/drawing/2014/main" id="{3E4E9962-348A-4ECB-B736-5954A4BB22D9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3 w 104"/>
                <a:gd name="T1" fmla="*/ 21 h 21"/>
                <a:gd name="T2" fmla="*/ 104 w 104"/>
                <a:gd name="T3" fmla="*/ 14 h 21"/>
                <a:gd name="T4" fmla="*/ 0 w 104"/>
                <a:gd name="T5" fmla="*/ 0 h 21"/>
                <a:gd name="T6" fmla="*/ 103 w 104"/>
                <a:gd name="T7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103" y="21"/>
                  </a:moveTo>
                  <a:lnTo>
                    <a:pt x="104" y="14"/>
                  </a:lnTo>
                  <a:lnTo>
                    <a:pt x="0" y="0"/>
                  </a:lnTo>
                  <a:lnTo>
                    <a:pt x="103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8" name="Freeform 280">
              <a:extLst>
                <a:ext uri="{FF2B5EF4-FFF2-40B4-BE49-F238E27FC236}">
                  <a16:creationId xmlns:a16="http://schemas.microsoft.com/office/drawing/2014/main" id="{D5297B24-5876-4E24-9843-18B1AC8CE65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4 w 105"/>
                <a:gd name="T1" fmla="*/ 14 h 14"/>
                <a:gd name="T2" fmla="*/ 105 w 105"/>
                <a:gd name="T3" fmla="*/ 7 h 14"/>
                <a:gd name="T4" fmla="*/ 0 w 105"/>
                <a:gd name="T5" fmla="*/ 0 h 14"/>
                <a:gd name="T6" fmla="*/ 104 w 105"/>
                <a:gd name="T7" fmla="*/ 14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104" y="14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9" name="Freeform 281">
              <a:extLst>
                <a:ext uri="{FF2B5EF4-FFF2-40B4-BE49-F238E27FC236}">
                  <a16:creationId xmlns:a16="http://schemas.microsoft.com/office/drawing/2014/main" id="{C1BF09D4-D78C-4816-B87B-A549C5F8997B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0" name="Freeform 282">
              <a:extLst>
                <a:ext uri="{FF2B5EF4-FFF2-40B4-BE49-F238E27FC236}">
                  <a16:creationId xmlns:a16="http://schemas.microsoft.com/office/drawing/2014/main" id="{BE1F9305-5DB6-44A3-912A-03654761FAC9}"/>
                </a:ext>
              </a:extLst>
            </xdr:cNvPr>
            <xdr:cNvSpPr>
              <a:spLocks/>
            </xdr:cNvSpPr>
          </xdr:nvSpPr>
          <xdr:spPr bwMode="auto">
            <a:xfrm>
              <a:off x="1017" y="188"/>
              <a:ext cx="6" cy="9"/>
            </a:xfrm>
            <a:custGeom>
              <a:avLst/>
              <a:gdLst>
                <a:gd name="T0" fmla="*/ 351 w 351"/>
                <a:gd name="T1" fmla="*/ 439 h 526"/>
                <a:gd name="T2" fmla="*/ 264 w 351"/>
                <a:gd name="T3" fmla="*/ 526 h 526"/>
                <a:gd name="T4" fmla="*/ 87 w 351"/>
                <a:gd name="T5" fmla="*/ 526 h 526"/>
                <a:gd name="T6" fmla="*/ 0 w 351"/>
                <a:gd name="T7" fmla="*/ 439 h 526"/>
                <a:gd name="T8" fmla="*/ 0 w 351"/>
                <a:gd name="T9" fmla="*/ 88 h 526"/>
                <a:gd name="T10" fmla="*/ 87 w 351"/>
                <a:gd name="T11" fmla="*/ 0 h 526"/>
                <a:gd name="T12" fmla="*/ 264 w 351"/>
                <a:gd name="T13" fmla="*/ 0 h 526"/>
                <a:gd name="T14" fmla="*/ 351 w 351"/>
                <a:gd name="T15" fmla="*/ 88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351" h="526">
                  <a:moveTo>
                    <a:pt x="351" y="439"/>
                  </a:moveTo>
                  <a:lnTo>
                    <a:pt x="264" y="526"/>
                  </a:lnTo>
                  <a:lnTo>
                    <a:pt x="87" y="526"/>
                  </a:lnTo>
                  <a:lnTo>
                    <a:pt x="0" y="439"/>
                  </a:lnTo>
                  <a:lnTo>
                    <a:pt x="0" y="88"/>
                  </a:lnTo>
                  <a:lnTo>
                    <a:pt x="87" y="0"/>
                  </a:lnTo>
                  <a:lnTo>
                    <a:pt x="264" y="0"/>
                  </a:lnTo>
                  <a:lnTo>
                    <a:pt x="351" y="88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71" name="Freeform 283">
              <a:extLst>
                <a:ext uri="{FF2B5EF4-FFF2-40B4-BE49-F238E27FC236}">
                  <a16:creationId xmlns:a16="http://schemas.microsoft.com/office/drawing/2014/main" id="{7B8177D0-AA64-451F-BD5D-EC0559DA58B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8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8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2" name="Freeform 284">
              <a:extLst>
                <a:ext uri="{FF2B5EF4-FFF2-40B4-BE49-F238E27FC236}">
                  <a16:creationId xmlns:a16="http://schemas.microsoft.com/office/drawing/2014/main" id="{656D43EB-125A-4041-9227-B4B15EE2C2C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7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3" name="Freeform 285">
              <a:extLst>
                <a:ext uri="{FF2B5EF4-FFF2-40B4-BE49-F238E27FC236}">
                  <a16:creationId xmlns:a16="http://schemas.microsoft.com/office/drawing/2014/main" id="{D5DB9FC5-C2BA-4E59-8FC1-F2B1B322FDAD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4 w 104"/>
                <a:gd name="T1" fmla="*/ 8 h 23"/>
                <a:gd name="T2" fmla="*/ 103 w 104"/>
                <a:gd name="T3" fmla="*/ 0 h 23"/>
                <a:gd name="T4" fmla="*/ 0 w 104"/>
                <a:gd name="T5" fmla="*/ 23 h 23"/>
                <a:gd name="T6" fmla="*/ 104 w 104"/>
                <a:gd name="T7" fmla="*/ 8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04" y="8"/>
                  </a:moveTo>
                  <a:lnTo>
                    <a:pt x="103" y="0"/>
                  </a:lnTo>
                  <a:lnTo>
                    <a:pt x="0" y="23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4" name="Freeform 286">
              <a:extLst>
                <a:ext uri="{FF2B5EF4-FFF2-40B4-BE49-F238E27FC236}">
                  <a16:creationId xmlns:a16="http://schemas.microsoft.com/office/drawing/2014/main" id="{2A734FDB-E6BD-42D3-A4A3-22BC6C5D95B1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3 w 103"/>
                <a:gd name="T1" fmla="*/ 7 h 30"/>
                <a:gd name="T2" fmla="*/ 101 w 103"/>
                <a:gd name="T3" fmla="*/ 0 h 30"/>
                <a:gd name="T4" fmla="*/ 0 w 103"/>
                <a:gd name="T5" fmla="*/ 30 h 30"/>
                <a:gd name="T6" fmla="*/ 103 w 103"/>
                <a:gd name="T7" fmla="*/ 7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103" y="7"/>
                  </a:moveTo>
                  <a:lnTo>
                    <a:pt x="101" y="0"/>
                  </a:lnTo>
                  <a:lnTo>
                    <a:pt x="0" y="30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5" name="Freeform 287">
              <a:extLst>
                <a:ext uri="{FF2B5EF4-FFF2-40B4-BE49-F238E27FC236}">
                  <a16:creationId xmlns:a16="http://schemas.microsoft.com/office/drawing/2014/main" id="{52C44B89-EAC1-4B25-A4DA-3ABF48472936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1 w 101"/>
                <a:gd name="T1" fmla="*/ 7 h 37"/>
                <a:gd name="T2" fmla="*/ 99 w 101"/>
                <a:gd name="T3" fmla="*/ 0 h 37"/>
                <a:gd name="T4" fmla="*/ 0 w 101"/>
                <a:gd name="T5" fmla="*/ 37 h 37"/>
                <a:gd name="T6" fmla="*/ 101 w 101"/>
                <a:gd name="T7" fmla="*/ 7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101" y="7"/>
                  </a:moveTo>
                  <a:lnTo>
                    <a:pt x="99" y="0"/>
                  </a:lnTo>
                  <a:lnTo>
                    <a:pt x="0" y="37"/>
                  </a:lnTo>
                  <a:lnTo>
                    <a:pt x="101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6" name="Freeform 288">
              <a:extLst>
                <a:ext uri="{FF2B5EF4-FFF2-40B4-BE49-F238E27FC236}">
                  <a16:creationId xmlns:a16="http://schemas.microsoft.com/office/drawing/2014/main" id="{FFE8F5D8-AADB-4E9C-82D8-5DB659A5389C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9 w 99"/>
                <a:gd name="T1" fmla="*/ 7 h 44"/>
                <a:gd name="T2" fmla="*/ 96 w 99"/>
                <a:gd name="T3" fmla="*/ 0 h 44"/>
                <a:gd name="T4" fmla="*/ 0 w 99"/>
                <a:gd name="T5" fmla="*/ 44 h 44"/>
                <a:gd name="T6" fmla="*/ 99 w 99"/>
                <a:gd name="T7" fmla="*/ 7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99" y="7"/>
                  </a:moveTo>
                  <a:lnTo>
                    <a:pt x="96" y="0"/>
                  </a:lnTo>
                  <a:lnTo>
                    <a:pt x="0" y="44"/>
                  </a:lnTo>
                  <a:lnTo>
                    <a:pt x="99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7" name="Freeform 289">
              <a:extLst>
                <a:ext uri="{FF2B5EF4-FFF2-40B4-BE49-F238E27FC236}">
                  <a16:creationId xmlns:a16="http://schemas.microsoft.com/office/drawing/2014/main" id="{2D84E1C3-F135-4ED1-9985-8AF3A01E43C7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6 w 96"/>
                <a:gd name="T1" fmla="*/ 7 h 51"/>
                <a:gd name="T2" fmla="*/ 92 w 96"/>
                <a:gd name="T3" fmla="*/ 0 h 51"/>
                <a:gd name="T4" fmla="*/ 0 w 96"/>
                <a:gd name="T5" fmla="*/ 51 h 51"/>
                <a:gd name="T6" fmla="*/ 96 w 96"/>
                <a:gd name="T7" fmla="*/ 7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96" y="7"/>
                  </a:moveTo>
                  <a:lnTo>
                    <a:pt x="92" y="0"/>
                  </a:lnTo>
                  <a:lnTo>
                    <a:pt x="0" y="51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8" name="Freeform 290">
              <a:extLst>
                <a:ext uri="{FF2B5EF4-FFF2-40B4-BE49-F238E27FC236}">
                  <a16:creationId xmlns:a16="http://schemas.microsoft.com/office/drawing/2014/main" id="{090A6EDA-9643-4040-92F8-F7D4E349D4A0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2 w 92"/>
                <a:gd name="T1" fmla="*/ 6 h 57"/>
                <a:gd name="T2" fmla="*/ 88 w 92"/>
                <a:gd name="T3" fmla="*/ 0 h 57"/>
                <a:gd name="T4" fmla="*/ 0 w 92"/>
                <a:gd name="T5" fmla="*/ 57 h 57"/>
                <a:gd name="T6" fmla="*/ 92 w 92"/>
                <a:gd name="T7" fmla="*/ 6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92" y="6"/>
                  </a:moveTo>
                  <a:lnTo>
                    <a:pt x="88" y="0"/>
                  </a:lnTo>
                  <a:lnTo>
                    <a:pt x="0" y="57"/>
                  </a:lnTo>
                  <a:lnTo>
                    <a:pt x="92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9" name="Freeform 291">
              <a:extLst>
                <a:ext uri="{FF2B5EF4-FFF2-40B4-BE49-F238E27FC236}">
                  <a16:creationId xmlns:a16="http://schemas.microsoft.com/office/drawing/2014/main" id="{DF980554-A001-4199-BB02-B0C302A60582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8 w 88"/>
                <a:gd name="T1" fmla="*/ 6 h 63"/>
                <a:gd name="T2" fmla="*/ 84 w 88"/>
                <a:gd name="T3" fmla="*/ 0 h 63"/>
                <a:gd name="T4" fmla="*/ 0 w 88"/>
                <a:gd name="T5" fmla="*/ 63 h 63"/>
                <a:gd name="T6" fmla="*/ 88 w 88"/>
                <a:gd name="T7" fmla="*/ 6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8" y="6"/>
                  </a:moveTo>
                  <a:lnTo>
                    <a:pt x="84" y="0"/>
                  </a:lnTo>
                  <a:lnTo>
                    <a:pt x="0" y="63"/>
                  </a:lnTo>
                  <a:lnTo>
                    <a:pt x="88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0" name="Freeform 292">
              <a:extLst>
                <a:ext uri="{FF2B5EF4-FFF2-40B4-BE49-F238E27FC236}">
                  <a16:creationId xmlns:a16="http://schemas.microsoft.com/office/drawing/2014/main" id="{F95E3369-3DA6-4EBE-9B75-864BD66E5777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4 w 84"/>
                <a:gd name="T1" fmla="*/ 6 h 69"/>
                <a:gd name="T2" fmla="*/ 79 w 84"/>
                <a:gd name="T3" fmla="*/ 0 h 69"/>
                <a:gd name="T4" fmla="*/ 0 w 84"/>
                <a:gd name="T5" fmla="*/ 69 h 69"/>
                <a:gd name="T6" fmla="*/ 84 w 84"/>
                <a:gd name="T7" fmla="*/ 6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84" y="6"/>
                  </a:moveTo>
                  <a:lnTo>
                    <a:pt x="79" y="0"/>
                  </a:lnTo>
                  <a:lnTo>
                    <a:pt x="0" y="69"/>
                  </a:lnTo>
                  <a:lnTo>
                    <a:pt x="8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1" name="Freeform 293">
              <a:extLst>
                <a:ext uri="{FF2B5EF4-FFF2-40B4-BE49-F238E27FC236}">
                  <a16:creationId xmlns:a16="http://schemas.microsoft.com/office/drawing/2014/main" id="{1B1D6524-6E95-4B7D-B575-76F192CE66C9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79 w 79"/>
                <a:gd name="T1" fmla="*/ 6 h 75"/>
                <a:gd name="T2" fmla="*/ 74 w 79"/>
                <a:gd name="T3" fmla="*/ 0 h 75"/>
                <a:gd name="T4" fmla="*/ 0 w 79"/>
                <a:gd name="T5" fmla="*/ 75 h 75"/>
                <a:gd name="T6" fmla="*/ 79 w 79"/>
                <a:gd name="T7" fmla="*/ 6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5">
                  <a:moveTo>
                    <a:pt x="79" y="6"/>
                  </a:moveTo>
                  <a:lnTo>
                    <a:pt x="74" y="0"/>
                  </a:lnTo>
                  <a:lnTo>
                    <a:pt x="0" y="75"/>
                  </a:lnTo>
                  <a:lnTo>
                    <a:pt x="7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2" name="Freeform 294">
              <a:extLst>
                <a:ext uri="{FF2B5EF4-FFF2-40B4-BE49-F238E27FC236}">
                  <a16:creationId xmlns:a16="http://schemas.microsoft.com/office/drawing/2014/main" id="{B3BE7449-5F60-4E7B-B8F0-5F72EA3ADACF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74 w 74"/>
                <a:gd name="T1" fmla="*/ 5 h 80"/>
                <a:gd name="T2" fmla="*/ 69 w 74"/>
                <a:gd name="T3" fmla="*/ 0 h 80"/>
                <a:gd name="T4" fmla="*/ 0 w 74"/>
                <a:gd name="T5" fmla="*/ 80 h 80"/>
                <a:gd name="T6" fmla="*/ 74 w 74"/>
                <a:gd name="T7" fmla="*/ 5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74" y="5"/>
                  </a:moveTo>
                  <a:lnTo>
                    <a:pt x="69" y="0"/>
                  </a:lnTo>
                  <a:lnTo>
                    <a:pt x="0" y="80"/>
                  </a:lnTo>
                  <a:lnTo>
                    <a:pt x="74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3" name="Freeform 295">
              <a:extLst>
                <a:ext uri="{FF2B5EF4-FFF2-40B4-BE49-F238E27FC236}">
                  <a16:creationId xmlns:a16="http://schemas.microsoft.com/office/drawing/2014/main" id="{DD4A70AD-71EB-438F-9868-08477857CA98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9 w 69"/>
                <a:gd name="T1" fmla="*/ 5 h 85"/>
                <a:gd name="T2" fmla="*/ 63 w 69"/>
                <a:gd name="T3" fmla="*/ 0 h 85"/>
                <a:gd name="T4" fmla="*/ 0 w 69"/>
                <a:gd name="T5" fmla="*/ 85 h 85"/>
                <a:gd name="T6" fmla="*/ 69 w 69"/>
                <a:gd name="T7" fmla="*/ 5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9" y="5"/>
                  </a:moveTo>
                  <a:lnTo>
                    <a:pt x="63" y="0"/>
                  </a:lnTo>
                  <a:lnTo>
                    <a:pt x="0" y="85"/>
                  </a:lnTo>
                  <a:lnTo>
                    <a:pt x="69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4" name="Freeform 296">
              <a:extLst>
                <a:ext uri="{FF2B5EF4-FFF2-40B4-BE49-F238E27FC236}">
                  <a16:creationId xmlns:a16="http://schemas.microsoft.com/office/drawing/2014/main" id="{ADE18AF4-00AF-4DF5-9C36-18F945170271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3 w 63"/>
                <a:gd name="T1" fmla="*/ 4 h 89"/>
                <a:gd name="T2" fmla="*/ 57 w 63"/>
                <a:gd name="T3" fmla="*/ 0 h 89"/>
                <a:gd name="T4" fmla="*/ 0 w 63"/>
                <a:gd name="T5" fmla="*/ 89 h 89"/>
                <a:gd name="T6" fmla="*/ 63 w 63"/>
                <a:gd name="T7" fmla="*/ 4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3" y="4"/>
                  </a:moveTo>
                  <a:lnTo>
                    <a:pt x="57" y="0"/>
                  </a:lnTo>
                  <a:lnTo>
                    <a:pt x="0" y="89"/>
                  </a:lnTo>
                  <a:lnTo>
                    <a:pt x="63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5" name="Freeform 297">
              <a:extLst>
                <a:ext uri="{FF2B5EF4-FFF2-40B4-BE49-F238E27FC236}">
                  <a16:creationId xmlns:a16="http://schemas.microsoft.com/office/drawing/2014/main" id="{23F174A5-91B2-42F2-8209-5741200C817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57 w 57"/>
                <a:gd name="T1" fmla="*/ 4 h 93"/>
                <a:gd name="T2" fmla="*/ 50 w 57"/>
                <a:gd name="T3" fmla="*/ 0 h 93"/>
                <a:gd name="T4" fmla="*/ 0 w 57"/>
                <a:gd name="T5" fmla="*/ 93 h 93"/>
                <a:gd name="T6" fmla="*/ 57 w 57"/>
                <a:gd name="T7" fmla="*/ 4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57" y="4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6" name="Freeform 298">
              <a:extLst>
                <a:ext uri="{FF2B5EF4-FFF2-40B4-BE49-F238E27FC236}">
                  <a16:creationId xmlns:a16="http://schemas.microsoft.com/office/drawing/2014/main" id="{BD577116-6905-4BD4-A027-308070FB9D5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50 w 50"/>
                <a:gd name="T1" fmla="*/ 3 h 96"/>
                <a:gd name="T2" fmla="*/ 44 w 50"/>
                <a:gd name="T3" fmla="*/ 0 h 96"/>
                <a:gd name="T4" fmla="*/ 0 w 50"/>
                <a:gd name="T5" fmla="*/ 96 h 96"/>
                <a:gd name="T6" fmla="*/ 50 w 50"/>
                <a:gd name="T7" fmla="*/ 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50" y="3"/>
                  </a:moveTo>
                  <a:lnTo>
                    <a:pt x="44" y="0"/>
                  </a:lnTo>
                  <a:lnTo>
                    <a:pt x="0" y="96"/>
                  </a:lnTo>
                  <a:lnTo>
                    <a:pt x="50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7" name="Freeform 299">
              <a:extLst>
                <a:ext uri="{FF2B5EF4-FFF2-40B4-BE49-F238E27FC236}">
                  <a16:creationId xmlns:a16="http://schemas.microsoft.com/office/drawing/2014/main" id="{F0CBB06C-13A8-411C-B7ED-A1D94963E3A8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44 w 44"/>
                <a:gd name="T1" fmla="*/ 3 h 99"/>
                <a:gd name="T2" fmla="*/ 37 w 44"/>
                <a:gd name="T3" fmla="*/ 0 h 99"/>
                <a:gd name="T4" fmla="*/ 0 w 44"/>
                <a:gd name="T5" fmla="*/ 99 h 99"/>
                <a:gd name="T6" fmla="*/ 44 w 44"/>
                <a:gd name="T7" fmla="*/ 3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44" y="3"/>
                  </a:moveTo>
                  <a:lnTo>
                    <a:pt x="37" y="0"/>
                  </a:lnTo>
                  <a:lnTo>
                    <a:pt x="0" y="99"/>
                  </a:lnTo>
                  <a:lnTo>
                    <a:pt x="44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8" name="Freeform 300">
              <a:extLst>
                <a:ext uri="{FF2B5EF4-FFF2-40B4-BE49-F238E27FC236}">
                  <a16:creationId xmlns:a16="http://schemas.microsoft.com/office/drawing/2014/main" id="{E5B71112-20A4-4014-B1AE-539FE34736D9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7 w 37"/>
                <a:gd name="T1" fmla="*/ 2 h 101"/>
                <a:gd name="T2" fmla="*/ 30 w 37"/>
                <a:gd name="T3" fmla="*/ 0 h 101"/>
                <a:gd name="T4" fmla="*/ 0 w 37"/>
                <a:gd name="T5" fmla="*/ 101 h 101"/>
                <a:gd name="T6" fmla="*/ 37 w 37"/>
                <a:gd name="T7" fmla="*/ 2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7" y="2"/>
                  </a:moveTo>
                  <a:lnTo>
                    <a:pt x="30" y="0"/>
                  </a:lnTo>
                  <a:lnTo>
                    <a:pt x="0" y="101"/>
                  </a:lnTo>
                  <a:lnTo>
                    <a:pt x="37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9" name="Freeform 301">
              <a:extLst>
                <a:ext uri="{FF2B5EF4-FFF2-40B4-BE49-F238E27FC236}">
                  <a16:creationId xmlns:a16="http://schemas.microsoft.com/office/drawing/2014/main" id="{894EFE0D-E6DC-4A5B-AD32-4C6B2E907F28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0 w 30"/>
                <a:gd name="T1" fmla="*/ 2 h 103"/>
                <a:gd name="T2" fmla="*/ 22 w 30"/>
                <a:gd name="T3" fmla="*/ 0 h 103"/>
                <a:gd name="T4" fmla="*/ 0 w 30"/>
                <a:gd name="T5" fmla="*/ 103 h 103"/>
                <a:gd name="T6" fmla="*/ 30 w 30"/>
                <a:gd name="T7" fmla="*/ 2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30" y="2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30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0" name="Freeform 302">
              <a:extLst>
                <a:ext uri="{FF2B5EF4-FFF2-40B4-BE49-F238E27FC236}">
                  <a16:creationId xmlns:a16="http://schemas.microsoft.com/office/drawing/2014/main" id="{907BE449-34EC-4B4C-8FB8-1225CCB24E3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1" name="Freeform 303">
              <a:extLst>
                <a:ext uri="{FF2B5EF4-FFF2-40B4-BE49-F238E27FC236}">
                  <a16:creationId xmlns:a16="http://schemas.microsoft.com/office/drawing/2014/main" id="{3C7F5D1B-1729-4105-BCF4-003C1164B11D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2" name="Freeform 304">
              <a:extLst>
                <a:ext uri="{FF2B5EF4-FFF2-40B4-BE49-F238E27FC236}">
                  <a16:creationId xmlns:a16="http://schemas.microsoft.com/office/drawing/2014/main" id="{3E0D7EF3-A227-4AB0-AFE3-C5C5B77ABC11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3" name="Freeform 305">
              <a:extLst>
                <a:ext uri="{FF2B5EF4-FFF2-40B4-BE49-F238E27FC236}">
                  <a16:creationId xmlns:a16="http://schemas.microsoft.com/office/drawing/2014/main" id="{1070D7E7-121D-4B81-B048-67137F8C2226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8 w 8"/>
                <a:gd name="T1" fmla="*/ 0 h 106"/>
                <a:gd name="T2" fmla="*/ 0 w 8"/>
                <a:gd name="T3" fmla="*/ 1 h 106"/>
                <a:gd name="T4" fmla="*/ 8 w 8"/>
                <a:gd name="T5" fmla="*/ 106 h 106"/>
                <a:gd name="T6" fmla="*/ 8 w 8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6">
                  <a:moveTo>
                    <a:pt x="8" y="0"/>
                  </a:moveTo>
                  <a:lnTo>
                    <a:pt x="0" y="1"/>
                  </a:lnTo>
                  <a:lnTo>
                    <a:pt x="8" y="106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4" name="Freeform 306">
              <a:extLst>
                <a:ext uri="{FF2B5EF4-FFF2-40B4-BE49-F238E27FC236}">
                  <a16:creationId xmlns:a16="http://schemas.microsoft.com/office/drawing/2014/main" id="{CDF90F4E-FA8D-477C-A29F-BBAB8F7F9076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15"/>
                <a:gd name="T1" fmla="*/ 0 h 105"/>
                <a:gd name="T2" fmla="*/ 0 w 15"/>
                <a:gd name="T3" fmla="*/ 0 h 105"/>
                <a:gd name="T4" fmla="*/ 15 w 15"/>
                <a:gd name="T5" fmla="*/ 105 h 105"/>
                <a:gd name="T6" fmla="*/ 7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0"/>
                  </a:moveTo>
                  <a:lnTo>
                    <a:pt x="0" y="0"/>
                  </a:lnTo>
                  <a:lnTo>
                    <a:pt x="15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5" name="Freeform 307">
              <a:extLst>
                <a:ext uri="{FF2B5EF4-FFF2-40B4-BE49-F238E27FC236}">
                  <a16:creationId xmlns:a16="http://schemas.microsoft.com/office/drawing/2014/main" id="{A2E68950-D8F5-4B86-ABB0-E8F4076B4C3D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22"/>
                <a:gd name="T1" fmla="*/ 0 h 105"/>
                <a:gd name="T2" fmla="*/ 0 w 22"/>
                <a:gd name="T3" fmla="*/ 2 h 105"/>
                <a:gd name="T4" fmla="*/ 22 w 22"/>
                <a:gd name="T5" fmla="*/ 105 h 105"/>
                <a:gd name="T6" fmla="*/ 7 w 22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7" y="0"/>
                  </a:moveTo>
                  <a:lnTo>
                    <a:pt x="0" y="2"/>
                  </a:lnTo>
                  <a:lnTo>
                    <a:pt x="22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6" name="Freeform 308">
              <a:extLst>
                <a:ext uri="{FF2B5EF4-FFF2-40B4-BE49-F238E27FC236}">
                  <a16:creationId xmlns:a16="http://schemas.microsoft.com/office/drawing/2014/main" id="{E5D447E6-39F8-4252-8ECD-FDE259DAA180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8 w 30"/>
                <a:gd name="T1" fmla="*/ 0 h 103"/>
                <a:gd name="T2" fmla="*/ 0 w 30"/>
                <a:gd name="T3" fmla="*/ 2 h 103"/>
                <a:gd name="T4" fmla="*/ 30 w 30"/>
                <a:gd name="T5" fmla="*/ 103 h 103"/>
                <a:gd name="T6" fmla="*/ 8 w 30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8" y="0"/>
                  </a:moveTo>
                  <a:lnTo>
                    <a:pt x="0" y="2"/>
                  </a:lnTo>
                  <a:lnTo>
                    <a:pt x="30" y="10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7" name="Freeform 309">
              <a:extLst>
                <a:ext uri="{FF2B5EF4-FFF2-40B4-BE49-F238E27FC236}">
                  <a16:creationId xmlns:a16="http://schemas.microsoft.com/office/drawing/2014/main" id="{F35BD4DB-FF80-40F0-B238-709BA1C7CA7E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37"/>
                <a:gd name="T1" fmla="*/ 0 h 101"/>
                <a:gd name="T2" fmla="*/ 0 w 37"/>
                <a:gd name="T3" fmla="*/ 2 h 101"/>
                <a:gd name="T4" fmla="*/ 37 w 37"/>
                <a:gd name="T5" fmla="*/ 101 h 101"/>
                <a:gd name="T6" fmla="*/ 7 w 37"/>
                <a:gd name="T7" fmla="*/ 0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7" y="0"/>
                  </a:moveTo>
                  <a:lnTo>
                    <a:pt x="0" y="2"/>
                  </a:lnTo>
                  <a:lnTo>
                    <a:pt x="37" y="10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8" name="Freeform 310">
              <a:extLst>
                <a:ext uri="{FF2B5EF4-FFF2-40B4-BE49-F238E27FC236}">
                  <a16:creationId xmlns:a16="http://schemas.microsoft.com/office/drawing/2014/main" id="{64C69375-ECC4-4D7B-ADDA-E8655C385921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44"/>
                <a:gd name="T1" fmla="*/ 0 h 99"/>
                <a:gd name="T2" fmla="*/ 0 w 44"/>
                <a:gd name="T3" fmla="*/ 3 h 99"/>
                <a:gd name="T4" fmla="*/ 44 w 44"/>
                <a:gd name="T5" fmla="*/ 99 h 99"/>
                <a:gd name="T6" fmla="*/ 7 w 44"/>
                <a:gd name="T7" fmla="*/ 0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7" y="0"/>
                  </a:moveTo>
                  <a:lnTo>
                    <a:pt x="0" y="3"/>
                  </a:lnTo>
                  <a:lnTo>
                    <a:pt x="44" y="99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9" name="Freeform 311">
              <a:extLst>
                <a:ext uri="{FF2B5EF4-FFF2-40B4-BE49-F238E27FC236}">
                  <a16:creationId xmlns:a16="http://schemas.microsoft.com/office/drawing/2014/main" id="{9B89BD22-44FA-4B63-9F98-D6C785E16414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50"/>
                <a:gd name="T1" fmla="*/ 0 h 96"/>
                <a:gd name="T2" fmla="*/ 0 w 50"/>
                <a:gd name="T3" fmla="*/ 3 h 96"/>
                <a:gd name="T4" fmla="*/ 50 w 50"/>
                <a:gd name="T5" fmla="*/ 96 h 96"/>
                <a:gd name="T6" fmla="*/ 6 w 50"/>
                <a:gd name="T7" fmla="*/ 0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6" y="0"/>
                  </a:moveTo>
                  <a:lnTo>
                    <a:pt x="0" y="3"/>
                  </a:lnTo>
                  <a:lnTo>
                    <a:pt x="50" y="9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0" name="Freeform 312">
              <a:extLst>
                <a:ext uri="{FF2B5EF4-FFF2-40B4-BE49-F238E27FC236}">
                  <a16:creationId xmlns:a16="http://schemas.microsoft.com/office/drawing/2014/main" id="{600F28D5-4D1A-4BC9-8C40-160662A184D3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57"/>
                <a:gd name="T1" fmla="*/ 0 h 93"/>
                <a:gd name="T2" fmla="*/ 0 w 57"/>
                <a:gd name="T3" fmla="*/ 4 h 93"/>
                <a:gd name="T4" fmla="*/ 57 w 57"/>
                <a:gd name="T5" fmla="*/ 93 h 93"/>
                <a:gd name="T6" fmla="*/ 7 w 57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7" y="0"/>
                  </a:moveTo>
                  <a:lnTo>
                    <a:pt x="0" y="4"/>
                  </a:lnTo>
                  <a:lnTo>
                    <a:pt x="57" y="9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1" name="Freeform 313">
              <a:extLst>
                <a:ext uri="{FF2B5EF4-FFF2-40B4-BE49-F238E27FC236}">
                  <a16:creationId xmlns:a16="http://schemas.microsoft.com/office/drawing/2014/main" id="{95FA3F92-8869-4172-AD58-D72BF7112210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63"/>
                <a:gd name="T1" fmla="*/ 0 h 89"/>
                <a:gd name="T2" fmla="*/ 0 w 63"/>
                <a:gd name="T3" fmla="*/ 4 h 89"/>
                <a:gd name="T4" fmla="*/ 63 w 63"/>
                <a:gd name="T5" fmla="*/ 89 h 89"/>
                <a:gd name="T6" fmla="*/ 6 w 63"/>
                <a:gd name="T7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" y="0"/>
                  </a:moveTo>
                  <a:lnTo>
                    <a:pt x="0" y="4"/>
                  </a:lnTo>
                  <a:lnTo>
                    <a:pt x="63" y="89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2" name="Freeform 314">
              <a:extLst>
                <a:ext uri="{FF2B5EF4-FFF2-40B4-BE49-F238E27FC236}">
                  <a16:creationId xmlns:a16="http://schemas.microsoft.com/office/drawing/2014/main" id="{046CCD97-0C34-40C7-8CFB-A7F97C65C209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6 w 69"/>
                <a:gd name="T1" fmla="*/ 0 h 85"/>
                <a:gd name="T2" fmla="*/ 0 w 69"/>
                <a:gd name="T3" fmla="*/ 5 h 85"/>
                <a:gd name="T4" fmla="*/ 69 w 69"/>
                <a:gd name="T5" fmla="*/ 85 h 85"/>
                <a:gd name="T6" fmla="*/ 6 w 69"/>
                <a:gd name="T7" fmla="*/ 0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" y="0"/>
                  </a:moveTo>
                  <a:lnTo>
                    <a:pt x="0" y="5"/>
                  </a:lnTo>
                  <a:lnTo>
                    <a:pt x="69" y="8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3" name="Freeform 315">
              <a:extLst>
                <a:ext uri="{FF2B5EF4-FFF2-40B4-BE49-F238E27FC236}">
                  <a16:creationId xmlns:a16="http://schemas.microsoft.com/office/drawing/2014/main" id="{7DD91199-5341-4B3F-BC3A-401FA6219DD6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5 w 74"/>
                <a:gd name="T1" fmla="*/ 0 h 80"/>
                <a:gd name="T2" fmla="*/ 0 w 74"/>
                <a:gd name="T3" fmla="*/ 5 h 80"/>
                <a:gd name="T4" fmla="*/ 74 w 74"/>
                <a:gd name="T5" fmla="*/ 80 h 80"/>
                <a:gd name="T6" fmla="*/ 5 w 74"/>
                <a:gd name="T7" fmla="*/ 0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5" y="0"/>
                  </a:moveTo>
                  <a:lnTo>
                    <a:pt x="0" y="5"/>
                  </a:lnTo>
                  <a:lnTo>
                    <a:pt x="74" y="8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4" name="Freeform 316">
              <a:extLst>
                <a:ext uri="{FF2B5EF4-FFF2-40B4-BE49-F238E27FC236}">
                  <a16:creationId xmlns:a16="http://schemas.microsoft.com/office/drawing/2014/main" id="{57A5080C-8787-426A-88DF-848E0E29E25E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6 w 80"/>
                <a:gd name="T1" fmla="*/ 0 h 75"/>
                <a:gd name="T2" fmla="*/ 0 w 80"/>
                <a:gd name="T3" fmla="*/ 6 h 75"/>
                <a:gd name="T4" fmla="*/ 80 w 80"/>
                <a:gd name="T5" fmla="*/ 75 h 75"/>
                <a:gd name="T6" fmla="*/ 6 w 80"/>
                <a:gd name="T7" fmla="*/ 0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5">
                  <a:moveTo>
                    <a:pt x="6" y="0"/>
                  </a:moveTo>
                  <a:lnTo>
                    <a:pt x="0" y="6"/>
                  </a:lnTo>
                  <a:lnTo>
                    <a:pt x="80" y="7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5" name="Freeform 317">
              <a:extLst>
                <a:ext uri="{FF2B5EF4-FFF2-40B4-BE49-F238E27FC236}">
                  <a16:creationId xmlns:a16="http://schemas.microsoft.com/office/drawing/2014/main" id="{4E30FBE1-69CC-42E3-B58A-92BD7EC82F6D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84"/>
                <a:gd name="T1" fmla="*/ 0 h 69"/>
                <a:gd name="T2" fmla="*/ 0 w 84"/>
                <a:gd name="T3" fmla="*/ 6 h 69"/>
                <a:gd name="T4" fmla="*/ 84 w 84"/>
                <a:gd name="T5" fmla="*/ 69 h 69"/>
                <a:gd name="T6" fmla="*/ 4 w 84"/>
                <a:gd name="T7" fmla="*/ 0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4" y="0"/>
                  </a:moveTo>
                  <a:lnTo>
                    <a:pt x="0" y="6"/>
                  </a:lnTo>
                  <a:lnTo>
                    <a:pt x="84" y="69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6" name="Freeform 318">
              <a:extLst>
                <a:ext uri="{FF2B5EF4-FFF2-40B4-BE49-F238E27FC236}">
                  <a16:creationId xmlns:a16="http://schemas.microsoft.com/office/drawing/2014/main" id="{5A30F317-B59A-4F8B-A351-7809C94D4DF8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5 w 89"/>
                <a:gd name="T1" fmla="*/ 0 h 63"/>
                <a:gd name="T2" fmla="*/ 0 w 89"/>
                <a:gd name="T3" fmla="*/ 6 h 63"/>
                <a:gd name="T4" fmla="*/ 89 w 89"/>
                <a:gd name="T5" fmla="*/ 63 h 63"/>
                <a:gd name="T6" fmla="*/ 5 w 89"/>
                <a:gd name="T7" fmla="*/ 0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5" y="0"/>
                  </a:moveTo>
                  <a:lnTo>
                    <a:pt x="0" y="6"/>
                  </a:lnTo>
                  <a:lnTo>
                    <a:pt x="89" y="63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7" name="Freeform 319">
              <a:extLst>
                <a:ext uri="{FF2B5EF4-FFF2-40B4-BE49-F238E27FC236}">
                  <a16:creationId xmlns:a16="http://schemas.microsoft.com/office/drawing/2014/main" id="{F5DD6D90-AAD5-4783-82AF-C193757DD81C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2"/>
                <a:gd name="T1" fmla="*/ 0 h 57"/>
                <a:gd name="T2" fmla="*/ 0 w 92"/>
                <a:gd name="T3" fmla="*/ 6 h 57"/>
                <a:gd name="T4" fmla="*/ 92 w 92"/>
                <a:gd name="T5" fmla="*/ 57 h 57"/>
                <a:gd name="T6" fmla="*/ 3 w 92"/>
                <a:gd name="T7" fmla="*/ 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3" y="0"/>
                  </a:moveTo>
                  <a:lnTo>
                    <a:pt x="0" y="6"/>
                  </a:lnTo>
                  <a:lnTo>
                    <a:pt x="92" y="57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8" name="Freeform 320">
              <a:extLst>
                <a:ext uri="{FF2B5EF4-FFF2-40B4-BE49-F238E27FC236}">
                  <a16:creationId xmlns:a16="http://schemas.microsoft.com/office/drawing/2014/main" id="{F558D7F0-C71E-43D9-9AB8-AE9BDDFA4048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96"/>
                <a:gd name="T1" fmla="*/ 0 h 51"/>
                <a:gd name="T2" fmla="*/ 0 w 96"/>
                <a:gd name="T3" fmla="*/ 7 h 51"/>
                <a:gd name="T4" fmla="*/ 96 w 96"/>
                <a:gd name="T5" fmla="*/ 51 h 51"/>
                <a:gd name="T6" fmla="*/ 4 w 96"/>
                <a:gd name="T7" fmla="*/ 0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4" y="0"/>
                  </a:moveTo>
                  <a:lnTo>
                    <a:pt x="0" y="7"/>
                  </a:lnTo>
                  <a:lnTo>
                    <a:pt x="96" y="5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9" name="Freeform 321">
              <a:extLst>
                <a:ext uri="{FF2B5EF4-FFF2-40B4-BE49-F238E27FC236}">
                  <a16:creationId xmlns:a16="http://schemas.microsoft.com/office/drawing/2014/main" id="{AC32CFE3-62BE-4277-9F69-3A86D8063DB2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9"/>
                <a:gd name="T1" fmla="*/ 0 h 44"/>
                <a:gd name="T2" fmla="*/ 0 w 99"/>
                <a:gd name="T3" fmla="*/ 7 h 44"/>
                <a:gd name="T4" fmla="*/ 99 w 99"/>
                <a:gd name="T5" fmla="*/ 44 h 44"/>
                <a:gd name="T6" fmla="*/ 3 w 99"/>
                <a:gd name="T7" fmla="*/ 0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3" y="0"/>
                  </a:moveTo>
                  <a:lnTo>
                    <a:pt x="0" y="7"/>
                  </a:lnTo>
                  <a:lnTo>
                    <a:pt x="99" y="44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0" name="Freeform 322">
              <a:extLst>
                <a:ext uri="{FF2B5EF4-FFF2-40B4-BE49-F238E27FC236}">
                  <a16:creationId xmlns:a16="http://schemas.microsoft.com/office/drawing/2014/main" id="{CA4F7E97-0E2D-4987-AE6C-4DEF4C63CA98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1"/>
                <a:gd name="T1" fmla="*/ 0 h 37"/>
                <a:gd name="T2" fmla="*/ 0 w 101"/>
                <a:gd name="T3" fmla="*/ 7 h 37"/>
                <a:gd name="T4" fmla="*/ 101 w 101"/>
                <a:gd name="T5" fmla="*/ 37 h 37"/>
                <a:gd name="T6" fmla="*/ 2 w 101"/>
                <a:gd name="T7" fmla="*/ 0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2" y="0"/>
                  </a:moveTo>
                  <a:lnTo>
                    <a:pt x="0" y="7"/>
                  </a:lnTo>
                  <a:lnTo>
                    <a:pt x="101" y="37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1" name="Freeform 323">
              <a:extLst>
                <a:ext uri="{FF2B5EF4-FFF2-40B4-BE49-F238E27FC236}">
                  <a16:creationId xmlns:a16="http://schemas.microsoft.com/office/drawing/2014/main" id="{BCE6593D-72D8-482F-8DD5-19E413A5004D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3"/>
                <a:gd name="T1" fmla="*/ 0 h 30"/>
                <a:gd name="T2" fmla="*/ 0 w 103"/>
                <a:gd name="T3" fmla="*/ 7 h 30"/>
                <a:gd name="T4" fmla="*/ 103 w 103"/>
                <a:gd name="T5" fmla="*/ 30 h 30"/>
                <a:gd name="T6" fmla="*/ 2 w 103"/>
                <a:gd name="T7" fmla="*/ 0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2" y="0"/>
                  </a:moveTo>
                  <a:lnTo>
                    <a:pt x="0" y="7"/>
                  </a:lnTo>
                  <a:lnTo>
                    <a:pt x="103" y="3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2" name="Freeform 324">
              <a:extLst>
                <a:ext uri="{FF2B5EF4-FFF2-40B4-BE49-F238E27FC236}">
                  <a16:creationId xmlns:a16="http://schemas.microsoft.com/office/drawing/2014/main" id="{56BA1742-D87A-4E58-94EC-CA52A983F7E2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1 w 104"/>
                <a:gd name="T1" fmla="*/ 0 h 23"/>
                <a:gd name="T2" fmla="*/ 0 w 104"/>
                <a:gd name="T3" fmla="*/ 8 h 23"/>
                <a:gd name="T4" fmla="*/ 104 w 104"/>
                <a:gd name="T5" fmla="*/ 23 h 23"/>
                <a:gd name="T6" fmla="*/ 1 w 104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" y="0"/>
                  </a:moveTo>
                  <a:lnTo>
                    <a:pt x="0" y="8"/>
                  </a:lnTo>
                  <a:lnTo>
                    <a:pt x="104" y="2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3" name="Freeform 325">
              <a:extLst>
                <a:ext uri="{FF2B5EF4-FFF2-40B4-BE49-F238E27FC236}">
                  <a16:creationId xmlns:a16="http://schemas.microsoft.com/office/drawing/2014/main" id="{2496EC56-1270-433D-918B-8214D4E9B501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7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7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4" name="Freeform 326">
              <a:extLst>
                <a:ext uri="{FF2B5EF4-FFF2-40B4-BE49-F238E27FC236}">
                  <a16:creationId xmlns:a16="http://schemas.microsoft.com/office/drawing/2014/main" id="{FE547035-6C39-42A6-8015-36D3701DD8CF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8"/>
                <a:gd name="T2" fmla="*/ 0 w 105"/>
                <a:gd name="T3" fmla="*/ 8 h 8"/>
                <a:gd name="T4" fmla="*/ 105 w 105"/>
                <a:gd name="T5" fmla="*/ 8 h 8"/>
                <a:gd name="T6" fmla="*/ 0 w 105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0" y="0"/>
                  </a:moveTo>
                  <a:lnTo>
                    <a:pt x="0" y="8"/>
                  </a:lnTo>
                  <a:lnTo>
                    <a:pt x="105" y="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5" name="Freeform 327">
              <a:extLst>
                <a:ext uri="{FF2B5EF4-FFF2-40B4-BE49-F238E27FC236}">
                  <a16:creationId xmlns:a16="http://schemas.microsoft.com/office/drawing/2014/main" id="{750F9884-AB5D-40F7-8D10-A4824B3A262B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6" name="Freeform 328">
              <a:extLst>
                <a:ext uri="{FF2B5EF4-FFF2-40B4-BE49-F238E27FC236}">
                  <a16:creationId xmlns:a16="http://schemas.microsoft.com/office/drawing/2014/main" id="{AA93649B-7F33-4F01-8262-CDD724A23A84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7 h 15"/>
                <a:gd name="T2" fmla="*/ 1 w 105"/>
                <a:gd name="T3" fmla="*/ 15 h 15"/>
                <a:gd name="T4" fmla="*/ 105 w 105"/>
                <a:gd name="T5" fmla="*/ 0 h 15"/>
                <a:gd name="T6" fmla="*/ 0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0" y="7"/>
                  </a:moveTo>
                  <a:lnTo>
                    <a:pt x="1" y="15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7" name="Freeform 329">
              <a:extLst>
                <a:ext uri="{FF2B5EF4-FFF2-40B4-BE49-F238E27FC236}">
                  <a16:creationId xmlns:a16="http://schemas.microsoft.com/office/drawing/2014/main" id="{1CA44F99-952A-400F-8866-67DC7C984513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4"/>
                <a:gd name="T1" fmla="*/ 15 h 22"/>
                <a:gd name="T2" fmla="*/ 1 w 104"/>
                <a:gd name="T3" fmla="*/ 22 h 22"/>
                <a:gd name="T4" fmla="*/ 104 w 104"/>
                <a:gd name="T5" fmla="*/ 0 h 22"/>
                <a:gd name="T6" fmla="*/ 0 w 104"/>
                <a:gd name="T7" fmla="*/ 15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0" y="15"/>
                  </a:moveTo>
                  <a:lnTo>
                    <a:pt x="1" y="22"/>
                  </a:lnTo>
                  <a:lnTo>
                    <a:pt x="104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8" name="Freeform 330">
              <a:extLst>
                <a:ext uri="{FF2B5EF4-FFF2-40B4-BE49-F238E27FC236}">
                  <a16:creationId xmlns:a16="http://schemas.microsoft.com/office/drawing/2014/main" id="{84D3431B-2F02-4EDC-BC50-4F572120EDD5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3"/>
                <a:gd name="T1" fmla="*/ 22 h 29"/>
                <a:gd name="T2" fmla="*/ 2 w 103"/>
                <a:gd name="T3" fmla="*/ 29 h 29"/>
                <a:gd name="T4" fmla="*/ 103 w 103"/>
                <a:gd name="T5" fmla="*/ 0 h 29"/>
                <a:gd name="T6" fmla="*/ 0 w 103"/>
                <a:gd name="T7" fmla="*/ 22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0" y="22"/>
                  </a:moveTo>
                  <a:lnTo>
                    <a:pt x="2" y="29"/>
                  </a:lnTo>
                  <a:lnTo>
                    <a:pt x="103" y="0"/>
                  </a:lnTo>
                  <a:lnTo>
                    <a:pt x="0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9" name="Freeform 331">
              <a:extLst>
                <a:ext uri="{FF2B5EF4-FFF2-40B4-BE49-F238E27FC236}">
                  <a16:creationId xmlns:a16="http://schemas.microsoft.com/office/drawing/2014/main" id="{E19B1567-861C-4F33-80EF-01D5C42E8173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1"/>
                <a:gd name="T1" fmla="*/ 29 h 36"/>
                <a:gd name="T2" fmla="*/ 2 w 101"/>
                <a:gd name="T3" fmla="*/ 36 h 36"/>
                <a:gd name="T4" fmla="*/ 101 w 101"/>
                <a:gd name="T5" fmla="*/ 0 h 36"/>
                <a:gd name="T6" fmla="*/ 0 w 101"/>
                <a:gd name="T7" fmla="*/ 29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0" y="29"/>
                  </a:moveTo>
                  <a:lnTo>
                    <a:pt x="2" y="36"/>
                  </a:lnTo>
                  <a:lnTo>
                    <a:pt x="101" y="0"/>
                  </a:lnTo>
                  <a:lnTo>
                    <a:pt x="0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0" name="Freeform 332">
              <a:extLst>
                <a:ext uri="{FF2B5EF4-FFF2-40B4-BE49-F238E27FC236}">
                  <a16:creationId xmlns:a16="http://schemas.microsoft.com/office/drawing/2014/main" id="{660B118C-A512-49AD-AC6D-27E994DB2527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9"/>
                <a:gd name="T1" fmla="*/ 36 h 43"/>
                <a:gd name="T2" fmla="*/ 3 w 99"/>
                <a:gd name="T3" fmla="*/ 43 h 43"/>
                <a:gd name="T4" fmla="*/ 99 w 99"/>
                <a:gd name="T5" fmla="*/ 0 h 43"/>
                <a:gd name="T6" fmla="*/ 0 w 99"/>
                <a:gd name="T7" fmla="*/ 36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0" y="36"/>
                  </a:moveTo>
                  <a:lnTo>
                    <a:pt x="3" y="43"/>
                  </a:lnTo>
                  <a:lnTo>
                    <a:pt x="99" y="0"/>
                  </a:lnTo>
                  <a:lnTo>
                    <a:pt x="0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1" name="Freeform 333">
              <a:extLst>
                <a:ext uri="{FF2B5EF4-FFF2-40B4-BE49-F238E27FC236}">
                  <a16:creationId xmlns:a16="http://schemas.microsoft.com/office/drawing/2014/main" id="{CBE8ED3C-F35E-4CEA-A1E2-AF7DFFFFC848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6"/>
                <a:gd name="T1" fmla="*/ 43 h 50"/>
                <a:gd name="T2" fmla="*/ 4 w 96"/>
                <a:gd name="T3" fmla="*/ 50 h 50"/>
                <a:gd name="T4" fmla="*/ 96 w 96"/>
                <a:gd name="T5" fmla="*/ 0 h 50"/>
                <a:gd name="T6" fmla="*/ 0 w 96"/>
                <a:gd name="T7" fmla="*/ 43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0" y="43"/>
                  </a:moveTo>
                  <a:lnTo>
                    <a:pt x="4" y="50"/>
                  </a:lnTo>
                  <a:lnTo>
                    <a:pt x="96" y="0"/>
                  </a:lnTo>
                  <a:lnTo>
                    <a:pt x="0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2" name="Freeform 334">
              <a:extLst>
                <a:ext uri="{FF2B5EF4-FFF2-40B4-BE49-F238E27FC236}">
                  <a16:creationId xmlns:a16="http://schemas.microsoft.com/office/drawing/2014/main" id="{8687C7AE-3A65-4B23-A7CD-8CC78B870F19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2"/>
                <a:gd name="T1" fmla="*/ 50 h 57"/>
                <a:gd name="T2" fmla="*/ 3 w 92"/>
                <a:gd name="T3" fmla="*/ 57 h 57"/>
                <a:gd name="T4" fmla="*/ 92 w 92"/>
                <a:gd name="T5" fmla="*/ 0 h 57"/>
                <a:gd name="T6" fmla="*/ 0 w 92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0" y="50"/>
                  </a:moveTo>
                  <a:lnTo>
                    <a:pt x="3" y="57"/>
                  </a:lnTo>
                  <a:lnTo>
                    <a:pt x="92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3" name="Freeform 335">
              <a:extLst>
                <a:ext uri="{FF2B5EF4-FFF2-40B4-BE49-F238E27FC236}">
                  <a16:creationId xmlns:a16="http://schemas.microsoft.com/office/drawing/2014/main" id="{B13F5121-66B4-4147-BC00-073B6BFC3EC3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9"/>
                <a:gd name="T1" fmla="*/ 57 h 63"/>
                <a:gd name="T2" fmla="*/ 5 w 89"/>
                <a:gd name="T3" fmla="*/ 63 h 63"/>
                <a:gd name="T4" fmla="*/ 89 w 89"/>
                <a:gd name="T5" fmla="*/ 0 h 63"/>
                <a:gd name="T6" fmla="*/ 0 w 89"/>
                <a:gd name="T7" fmla="*/ 57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0" y="57"/>
                  </a:moveTo>
                  <a:lnTo>
                    <a:pt x="5" y="63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4" name="Freeform 336">
              <a:extLst>
                <a:ext uri="{FF2B5EF4-FFF2-40B4-BE49-F238E27FC236}">
                  <a16:creationId xmlns:a16="http://schemas.microsoft.com/office/drawing/2014/main" id="{C1C82E97-C740-4C24-B1AB-B216F4951243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4"/>
                <a:gd name="T1" fmla="*/ 63 h 69"/>
                <a:gd name="T2" fmla="*/ 4 w 84"/>
                <a:gd name="T3" fmla="*/ 69 h 69"/>
                <a:gd name="T4" fmla="*/ 84 w 84"/>
                <a:gd name="T5" fmla="*/ 0 h 69"/>
                <a:gd name="T6" fmla="*/ 0 w 84"/>
                <a:gd name="T7" fmla="*/ 63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0" y="63"/>
                  </a:moveTo>
                  <a:lnTo>
                    <a:pt x="4" y="69"/>
                  </a:lnTo>
                  <a:lnTo>
                    <a:pt x="84" y="0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5" name="Freeform 337">
              <a:extLst>
                <a:ext uri="{FF2B5EF4-FFF2-40B4-BE49-F238E27FC236}">
                  <a16:creationId xmlns:a16="http://schemas.microsoft.com/office/drawing/2014/main" id="{A1988980-7B2B-482D-97CB-77B80F262E37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0"/>
                <a:gd name="T1" fmla="*/ 69 h 74"/>
                <a:gd name="T2" fmla="*/ 6 w 80"/>
                <a:gd name="T3" fmla="*/ 74 h 74"/>
                <a:gd name="T4" fmla="*/ 80 w 80"/>
                <a:gd name="T5" fmla="*/ 0 h 74"/>
                <a:gd name="T6" fmla="*/ 0 w 80"/>
                <a:gd name="T7" fmla="*/ 69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4">
                  <a:moveTo>
                    <a:pt x="0" y="69"/>
                  </a:moveTo>
                  <a:lnTo>
                    <a:pt x="6" y="74"/>
                  </a:lnTo>
                  <a:lnTo>
                    <a:pt x="80" y="0"/>
                  </a:lnTo>
                  <a:lnTo>
                    <a:pt x="0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6" name="Freeform 338">
              <a:extLst>
                <a:ext uri="{FF2B5EF4-FFF2-40B4-BE49-F238E27FC236}">
                  <a16:creationId xmlns:a16="http://schemas.microsoft.com/office/drawing/2014/main" id="{838E9B06-E0BD-4C06-AA7F-F21ADA90887F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74"/>
                <a:gd name="T1" fmla="*/ 74 h 79"/>
                <a:gd name="T2" fmla="*/ 5 w 74"/>
                <a:gd name="T3" fmla="*/ 79 h 79"/>
                <a:gd name="T4" fmla="*/ 74 w 74"/>
                <a:gd name="T5" fmla="*/ 0 h 79"/>
                <a:gd name="T6" fmla="*/ 0 w 74"/>
                <a:gd name="T7" fmla="*/ 74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0" y="74"/>
                  </a:moveTo>
                  <a:lnTo>
                    <a:pt x="5" y="79"/>
                  </a:lnTo>
                  <a:lnTo>
                    <a:pt x="74" y="0"/>
                  </a:lnTo>
                  <a:lnTo>
                    <a:pt x="0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7" name="Freeform 339">
              <a:extLst>
                <a:ext uri="{FF2B5EF4-FFF2-40B4-BE49-F238E27FC236}">
                  <a16:creationId xmlns:a16="http://schemas.microsoft.com/office/drawing/2014/main" id="{332F92FA-E8D1-4731-9713-8F91CD514E69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69"/>
                <a:gd name="T1" fmla="*/ 79 h 84"/>
                <a:gd name="T2" fmla="*/ 6 w 69"/>
                <a:gd name="T3" fmla="*/ 84 h 84"/>
                <a:gd name="T4" fmla="*/ 69 w 69"/>
                <a:gd name="T5" fmla="*/ 0 h 84"/>
                <a:gd name="T6" fmla="*/ 0 w 69"/>
                <a:gd name="T7" fmla="*/ 79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0" y="79"/>
                  </a:moveTo>
                  <a:lnTo>
                    <a:pt x="6" y="84"/>
                  </a:lnTo>
                  <a:lnTo>
                    <a:pt x="69" y="0"/>
                  </a:lnTo>
                  <a:lnTo>
                    <a:pt x="0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8" name="Freeform 340">
              <a:extLst>
                <a:ext uri="{FF2B5EF4-FFF2-40B4-BE49-F238E27FC236}">
                  <a16:creationId xmlns:a16="http://schemas.microsoft.com/office/drawing/2014/main" id="{B9CFBDDA-5253-4F1D-9F89-A44512A0B4E8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63"/>
                <a:gd name="T1" fmla="*/ 84 h 88"/>
                <a:gd name="T2" fmla="*/ 6 w 63"/>
                <a:gd name="T3" fmla="*/ 88 h 88"/>
                <a:gd name="T4" fmla="*/ 63 w 63"/>
                <a:gd name="T5" fmla="*/ 0 h 88"/>
                <a:gd name="T6" fmla="*/ 0 w 63"/>
                <a:gd name="T7" fmla="*/ 84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0" y="84"/>
                  </a:moveTo>
                  <a:lnTo>
                    <a:pt x="6" y="88"/>
                  </a:lnTo>
                  <a:lnTo>
                    <a:pt x="63" y="0"/>
                  </a:lnTo>
                  <a:lnTo>
                    <a:pt x="0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9" name="Freeform 341">
              <a:extLst>
                <a:ext uri="{FF2B5EF4-FFF2-40B4-BE49-F238E27FC236}">
                  <a16:creationId xmlns:a16="http://schemas.microsoft.com/office/drawing/2014/main" id="{653132B6-FD18-4B01-9A3B-1A9627BB0DBE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7"/>
                <a:gd name="T1" fmla="*/ 88 h 92"/>
                <a:gd name="T2" fmla="*/ 7 w 57"/>
                <a:gd name="T3" fmla="*/ 92 h 92"/>
                <a:gd name="T4" fmla="*/ 57 w 57"/>
                <a:gd name="T5" fmla="*/ 0 h 92"/>
                <a:gd name="T6" fmla="*/ 0 w 57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0" y="88"/>
                  </a:moveTo>
                  <a:lnTo>
                    <a:pt x="7" y="92"/>
                  </a:lnTo>
                  <a:lnTo>
                    <a:pt x="57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0" name="Freeform 342">
              <a:extLst>
                <a:ext uri="{FF2B5EF4-FFF2-40B4-BE49-F238E27FC236}">
                  <a16:creationId xmlns:a16="http://schemas.microsoft.com/office/drawing/2014/main" id="{67DB2E55-6672-4D08-A9C3-516E81B345E7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0"/>
                <a:gd name="T1" fmla="*/ 92 h 95"/>
                <a:gd name="T2" fmla="*/ 6 w 50"/>
                <a:gd name="T3" fmla="*/ 95 h 95"/>
                <a:gd name="T4" fmla="*/ 50 w 50"/>
                <a:gd name="T5" fmla="*/ 0 h 95"/>
                <a:gd name="T6" fmla="*/ 0 w 50"/>
                <a:gd name="T7" fmla="*/ 92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0" y="92"/>
                  </a:moveTo>
                  <a:lnTo>
                    <a:pt x="6" y="95"/>
                  </a:lnTo>
                  <a:lnTo>
                    <a:pt x="50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1" name="Freeform 343">
              <a:extLst>
                <a:ext uri="{FF2B5EF4-FFF2-40B4-BE49-F238E27FC236}">
                  <a16:creationId xmlns:a16="http://schemas.microsoft.com/office/drawing/2014/main" id="{21D06D34-CCFE-4773-A33C-118E987863FB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44"/>
                <a:gd name="T1" fmla="*/ 95 h 98"/>
                <a:gd name="T2" fmla="*/ 7 w 44"/>
                <a:gd name="T3" fmla="*/ 98 h 98"/>
                <a:gd name="T4" fmla="*/ 44 w 44"/>
                <a:gd name="T5" fmla="*/ 0 h 98"/>
                <a:gd name="T6" fmla="*/ 0 w 44"/>
                <a:gd name="T7" fmla="*/ 95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0" y="95"/>
                  </a:moveTo>
                  <a:lnTo>
                    <a:pt x="7" y="98"/>
                  </a:lnTo>
                  <a:lnTo>
                    <a:pt x="44" y="0"/>
                  </a:lnTo>
                  <a:lnTo>
                    <a:pt x="0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2" name="Freeform 344">
              <a:extLst>
                <a:ext uri="{FF2B5EF4-FFF2-40B4-BE49-F238E27FC236}">
                  <a16:creationId xmlns:a16="http://schemas.microsoft.com/office/drawing/2014/main" id="{F130959D-ACC5-4E7A-8E4B-FF950CEA658B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7"/>
                <a:gd name="T1" fmla="*/ 98 h 101"/>
                <a:gd name="T2" fmla="*/ 7 w 37"/>
                <a:gd name="T3" fmla="*/ 101 h 101"/>
                <a:gd name="T4" fmla="*/ 37 w 37"/>
                <a:gd name="T5" fmla="*/ 0 h 101"/>
                <a:gd name="T6" fmla="*/ 0 w 37"/>
                <a:gd name="T7" fmla="*/ 98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0" y="98"/>
                  </a:moveTo>
                  <a:lnTo>
                    <a:pt x="7" y="101"/>
                  </a:lnTo>
                  <a:lnTo>
                    <a:pt x="37" y="0"/>
                  </a:lnTo>
                  <a:lnTo>
                    <a:pt x="0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3" name="Freeform 345">
              <a:extLst>
                <a:ext uri="{FF2B5EF4-FFF2-40B4-BE49-F238E27FC236}">
                  <a16:creationId xmlns:a16="http://schemas.microsoft.com/office/drawing/2014/main" id="{FB74E51A-70C8-4E38-B8FD-7A31C231C288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0"/>
                <a:gd name="T1" fmla="*/ 101 h 103"/>
                <a:gd name="T2" fmla="*/ 8 w 30"/>
                <a:gd name="T3" fmla="*/ 103 h 103"/>
                <a:gd name="T4" fmla="*/ 30 w 30"/>
                <a:gd name="T5" fmla="*/ 0 h 103"/>
                <a:gd name="T6" fmla="*/ 0 w 30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0" y="101"/>
                  </a:moveTo>
                  <a:lnTo>
                    <a:pt x="8" y="103"/>
                  </a:lnTo>
                  <a:lnTo>
                    <a:pt x="30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4" name="Freeform 346">
              <a:extLst>
                <a:ext uri="{FF2B5EF4-FFF2-40B4-BE49-F238E27FC236}">
                  <a16:creationId xmlns:a16="http://schemas.microsoft.com/office/drawing/2014/main" id="{642B5D7A-98B3-4B50-9CFA-DD1C0CD8AD26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22"/>
                <a:gd name="T1" fmla="*/ 103 h 104"/>
                <a:gd name="T2" fmla="*/ 7 w 22"/>
                <a:gd name="T3" fmla="*/ 104 h 104"/>
                <a:gd name="T4" fmla="*/ 22 w 22"/>
                <a:gd name="T5" fmla="*/ 0 h 104"/>
                <a:gd name="T6" fmla="*/ 0 w 22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0" y="103"/>
                  </a:moveTo>
                  <a:lnTo>
                    <a:pt x="7" y="104"/>
                  </a:lnTo>
                  <a:lnTo>
                    <a:pt x="22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5" name="Freeform 347">
              <a:extLst>
                <a:ext uri="{FF2B5EF4-FFF2-40B4-BE49-F238E27FC236}">
                  <a16:creationId xmlns:a16="http://schemas.microsoft.com/office/drawing/2014/main" id="{B1AAED5E-F62E-42BA-9CED-73CCF1A927B2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15"/>
                <a:gd name="T1" fmla="*/ 104 h 105"/>
                <a:gd name="T2" fmla="*/ 7 w 15"/>
                <a:gd name="T3" fmla="*/ 105 h 105"/>
                <a:gd name="T4" fmla="*/ 15 w 15"/>
                <a:gd name="T5" fmla="*/ 0 h 105"/>
                <a:gd name="T6" fmla="*/ 0 w 15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0" y="104"/>
                  </a:moveTo>
                  <a:lnTo>
                    <a:pt x="7" y="105"/>
                  </a:lnTo>
                  <a:lnTo>
                    <a:pt x="15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6" name="Freeform 348">
              <a:extLst>
                <a:ext uri="{FF2B5EF4-FFF2-40B4-BE49-F238E27FC236}">
                  <a16:creationId xmlns:a16="http://schemas.microsoft.com/office/drawing/2014/main" id="{A0D38C62-1D81-4595-BE06-57241C63868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8"/>
                <a:gd name="T1" fmla="*/ 105 h 105"/>
                <a:gd name="T2" fmla="*/ 8 w 8"/>
                <a:gd name="T3" fmla="*/ 105 h 105"/>
                <a:gd name="T4" fmla="*/ 8 w 8"/>
                <a:gd name="T5" fmla="*/ 0 h 105"/>
                <a:gd name="T6" fmla="*/ 0 w 8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5">
                  <a:moveTo>
                    <a:pt x="0" y="105"/>
                  </a:moveTo>
                  <a:lnTo>
                    <a:pt x="8" y="105"/>
                  </a:lnTo>
                  <a:lnTo>
                    <a:pt x="8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7" name="Freeform 349">
              <a:extLst>
                <a:ext uri="{FF2B5EF4-FFF2-40B4-BE49-F238E27FC236}">
                  <a16:creationId xmlns:a16="http://schemas.microsoft.com/office/drawing/2014/main" id="{25BC77BD-334D-493F-B878-2D5DBFC6EC9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8" name="Freeform 350">
              <a:extLst>
                <a:ext uri="{FF2B5EF4-FFF2-40B4-BE49-F238E27FC236}">
                  <a16:creationId xmlns:a16="http://schemas.microsoft.com/office/drawing/2014/main" id="{A158BBF3-62BB-46B7-9317-3A27562586BA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9" name="Freeform 351">
              <a:extLst>
                <a:ext uri="{FF2B5EF4-FFF2-40B4-BE49-F238E27FC236}">
                  <a16:creationId xmlns:a16="http://schemas.microsoft.com/office/drawing/2014/main" id="{9268EFB2-81F0-4B8B-8A2B-1690093F23A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0" name="Freeform 352">
              <a:extLst>
                <a:ext uri="{FF2B5EF4-FFF2-40B4-BE49-F238E27FC236}">
                  <a16:creationId xmlns:a16="http://schemas.microsoft.com/office/drawing/2014/main" id="{B9C19451-86C9-458C-B52A-5BA36AD1F109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22 w 30"/>
                <a:gd name="T1" fmla="*/ 103 h 103"/>
                <a:gd name="T2" fmla="*/ 30 w 30"/>
                <a:gd name="T3" fmla="*/ 101 h 103"/>
                <a:gd name="T4" fmla="*/ 0 w 30"/>
                <a:gd name="T5" fmla="*/ 0 h 103"/>
                <a:gd name="T6" fmla="*/ 22 w 30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22" y="103"/>
                  </a:moveTo>
                  <a:lnTo>
                    <a:pt x="30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1" name="Freeform 353">
              <a:extLst>
                <a:ext uri="{FF2B5EF4-FFF2-40B4-BE49-F238E27FC236}">
                  <a16:creationId xmlns:a16="http://schemas.microsoft.com/office/drawing/2014/main" id="{CC3358B8-8C98-448F-914C-9183842089B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0 w 37"/>
                <a:gd name="T1" fmla="*/ 101 h 101"/>
                <a:gd name="T2" fmla="*/ 37 w 37"/>
                <a:gd name="T3" fmla="*/ 98 h 101"/>
                <a:gd name="T4" fmla="*/ 0 w 37"/>
                <a:gd name="T5" fmla="*/ 0 h 101"/>
                <a:gd name="T6" fmla="*/ 30 w 37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0" y="101"/>
                  </a:moveTo>
                  <a:lnTo>
                    <a:pt x="37" y="98"/>
                  </a:lnTo>
                  <a:lnTo>
                    <a:pt x="0" y="0"/>
                  </a:lnTo>
                  <a:lnTo>
                    <a:pt x="3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2" name="Freeform 354">
              <a:extLst>
                <a:ext uri="{FF2B5EF4-FFF2-40B4-BE49-F238E27FC236}">
                  <a16:creationId xmlns:a16="http://schemas.microsoft.com/office/drawing/2014/main" id="{10FFC86B-CEAD-440C-AAA4-84884C5C6B3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7 w 44"/>
                <a:gd name="T1" fmla="*/ 98 h 98"/>
                <a:gd name="T2" fmla="*/ 44 w 44"/>
                <a:gd name="T3" fmla="*/ 95 h 98"/>
                <a:gd name="T4" fmla="*/ 0 w 44"/>
                <a:gd name="T5" fmla="*/ 0 h 98"/>
                <a:gd name="T6" fmla="*/ 37 w 44"/>
                <a:gd name="T7" fmla="*/ 98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37" y="98"/>
                  </a:moveTo>
                  <a:lnTo>
                    <a:pt x="44" y="95"/>
                  </a:lnTo>
                  <a:lnTo>
                    <a:pt x="0" y="0"/>
                  </a:lnTo>
                  <a:lnTo>
                    <a:pt x="37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3" name="Freeform 355">
              <a:extLst>
                <a:ext uri="{FF2B5EF4-FFF2-40B4-BE49-F238E27FC236}">
                  <a16:creationId xmlns:a16="http://schemas.microsoft.com/office/drawing/2014/main" id="{D66C4E75-E45E-4EC3-95EB-84E4B9F0EEF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1"/>
            </a:xfrm>
            <a:custGeom>
              <a:avLst/>
              <a:gdLst>
                <a:gd name="T0" fmla="*/ 44 w 50"/>
                <a:gd name="T1" fmla="*/ 95 h 95"/>
                <a:gd name="T2" fmla="*/ 50 w 50"/>
                <a:gd name="T3" fmla="*/ 92 h 95"/>
                <a:gd name="T4" fmla="*/ 0 w 50"/>
                <a:gd name="T5" fmla="*/ 0 h 95"/>
                <a:gd name="T6" fmla="*/ 44 w 50"/>
                <a:gd name="T7" fmla="*/ 95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44" y="95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4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4" name="Freeform 356">
              <a:extLst>
                <a:ext uri="{FF2B5EF4-FFF2-40B4-BE49-F238E27FC236}">
                  <a16:creationId xmlns:a16="http://schemas.microsoft.com/office/drawing/2014/main" id="{6F1C0C13-D9A4-418B-9885-CAA961F12203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0 w 57"/>
                <a:gd name="T1" fmla="*/ 92 h 92"/>
                <a:gd name="T2" fmla="*/ 57 w 57"/>
                <a:gd name="T3" fmla="*/ 88 h 92"/>
                <a:gd name="T4" fmla="*/ 0 w 57"/>
                <a:gd name="T5" fmla="*/ 0 h 92"/>
                <a:gd name="T6" fmla="*/ 50 w 57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50" y="92"/>
                  </a:moveTo>
                  <a:lnTo>
                    <a:pt x="57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5" name="Freeform 357">
              <a:extLst>
                <a:ext uri="{FF2B5EF4-FFF2-40B4-BE49-F238E27FC236}">
                  <a16:creationId xmlns:a16="http://schemas.microsoft.com/office/drawing/2014/main" id="{4C5E51B9-7544-47AD-8D74-EEAB19B83D05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7 w 63"/>
                <a:gd name="T1" fmla="*/ 88 h 88"/>
                <a:gd name="T2" fmla="*/ 63 w 63"/>
                <a:gd name="T3" fmla="*/ 84 h 88"/>
                <a:gd name="T4" fmla="*/ 0 w 63"/>
                <a:gd name="T5" fmla="*/ 0 h 88"/>
                <a:gd name="T6" fmla="*/ 57 w 63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57" y="88"/>
                  </a:moveTo>
                  <a:lnTo>
                    <a:pt x="63" y="84"/>
                  </a:lnTo>
                  <a:lnTo>
                    <a:pt x="0" y="0"/>
                  </a:lnTo>
                  <a:lnTo>
                    <a:pt x="57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6" name="Freeform 358">
              <a:extLst>
                <a:ext uri="{FF2B5EF4-FFF2-40B4-BE49-F238E27FC236}">
                  <a16:creationId xmlns:a16="http://schemas.microsoft.com/office/drawing/2014/main" id="{9CDB4297-8B38-41C3-9269-A6354181F19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3 w 69"/>
                <a:gd name="T1" fmla="*/ 84 h 84"/>
                <a:gd name="T2" fmla="*/ 69 w 69"/>
                <a:gd name="T3" fmla="*/ 79 h 84"/>
                <a:gd name="T4" fmla="*/ 0 w 69"/>
                <a:gd name="T5" fmla="*/ 0 h 84"/>
                <a:gd name="T6" fmla="*/ 63 w 69"/>
                <a:gd name="T7" fmla="*/ 84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63" y="84"/>
                  </a:moveTo>
                  <a:lnTo>
                    <a:pt x="69" y="79"/>
                  </a:lnTo>
                  <a:lnTo>
                    <a:pt x="0" y="0"/>
                  </a:lnTo>
                  <a:lnTo>
                    <a:pt x="63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7" name="Freeform 359">
              <a:extLst>
                <a:ext uri="{FF2B5EF4-FFF2-40B4-BE49-F238E27FC236}">
                  <a16:creationId xmlns:a16="http://schemas.microsoft.com/office/drawing/2014/main" id="{90018C9A-CD76-48F4-A14A-405F765227B3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9 w 74"/>
                <a:gd name="T1" fmla="*/ 79 h 79"/>
                <a:gd name="T2" fmla="*/ 74 w 74"/>
                <a:gd name="T3" fmla="*/ 74 h 79"/>
                <a:gd name="T4" fmla="*/ 0 w 74"/>
                <a:gd name="T5" fmla="*/ 0 h 79"/>
                <a:gd name="T6" fmla="*/ 69 w 74"/>
                <a:gd name="T7" fmla="*/ 79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69" y="79"/>
                  </a:moveTo>
                  <a:lnTo>
                    <a:pt x="74" y="74"/>
                  </a:lnTo>
                  <a:lnTo>
                    <a:pt x="0" y="0"/>
                  </a:lnTo>
                  <a:lnTo>
                    <a:pt x="69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8" name="Freeform 360">
              <a:extLst>
                <a:ext uri="{FF2B5EF4-FFF2-40B4-BE49-F238E27FC236}">
                  <a16:creationId xmlns:a16="http://schemas.microsoft.com/office/drawing/2014/main" id="{29240290-926F-40A9-87F8-10765660E0A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4 w 79"/>
                <a:gd name="T1" fmla="*/ 74 h 74"/>
                <a:gd name="T2" fmla="*/ 79 w 79"/>
                <a:gd name="T3" fmla="*/ 69 h 74"/>
                <a:gd name="T4" fmla="*/ 0 w 79"/>
                <a:gd name="T5" fmla="*/ 0 h 74"/>
                <a:gd name="T6" fmla="*/ 74 w 79"/>
                <a:gd name="T7" fmla="*/ 74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4">
                  <a:moveTo>
                    <a:pt x="74" y="74"/>
                  </a:moveTo>
                  <a:lnTo>
                    <a:pt x="79" y="69"/>
                  </a:lnTo>
                  <a:lnTo>
                    <a:pt x="0" y="0"/>
                  </a:lnTo>
                  <a:lnTo>
                    <a:pt x="74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9" name="Freeform 361">
              <a:extLst>
                <a:ext uri="{FF2B5EF4-FFF2-40B4-BE49-F238E27FC236}">
                  <a16:creationId xmlns:a16="http://schemas.microsoft.com/office/drawing/2014/main" id="{EA97AFD2-F405-4FC4-9F0E-7EDFCD7D9FF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9 w 84"/>
                <a:gd name="T1" fmla="*/ 69 h 69"/>
                <a:gd name="T2" fmla="*/ 84 w 84"/>
                <a:gd name="T3" fmla="*/ 63 h 69"/>
                <a:gd name="T4" fmla="*/ 0 w 84"/>
                <a:gd name="T5" fmla="*/ 0 h 69"/>
                <a:gd name="T6" fmla="*/ 79 w 84"/>
                <a:gd name="T7" fmla="*/ 69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79" y="69"/>
                  </a:moveTo>
                  <a:lnTo>
                    <a:pt x="84" y="63"/>
                  </a:lnTo>
                  <a:lnTo>
                    <a:pt x="0" y="0"/>
                  </a:lnTo>
                  <a:lnTo>
                    <a:pt x="79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0" name="Freeform 362">
              <a:extLst>
                <a:ext uri="{FF2B5EF4-FFF2-40B4-BE49-F238E27FC236}">
                  <a16:creationId xmlns:a16="http://schemas.microsoft.com/office/drawing/2014/main" id="{C904D646-A1D7-4E1F-9487-9305DBC3E60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4 w 88"/>
                <a:gd name="T1" fmla="*/ 63 h 63"/>
                <a:gd name="T2" fmla="*/ 88 w 88"/>
                <a:gd name="T3" fmla="*/ 57 h 63"/>
                <a:gd name="T4" fmla="*/ 0 w 88"/>
                <a:gd name="T5" fmla="*/ 0 h 63"/>
                <a:gd name="T6" fmla="*/ 84 w 88"/>
                <a:gd name="T7" fmla="*/ 63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4" y="63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4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1" name="Freeform 363">
              <a:extLst>
                <a:ext uri="{FF2B5EF4-FFF2-40B4-BE49-F238E27FC236}">
                  <a16:creationId xmlns:a16="http://schemas.microsoft.com/office/drawing/2014/main" id="{B2893B7B-D9B6-4AE8-817E-44B98A499F85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8 w 92"/>
                <a:gd name="T1" fmla="*/ 57 h 57"/>
                <a:gd name="T2" fmla="*/ 92 w 92"/>
                <a:gd name="T3" fmla="*/ 50 h 57"/>
                <a:gd name="T4" fmla="*/ 0 w 92"/>
                <a:gd name="T5" fmla="*/ 0 h 57"/>
                <a:gd name="T6" fmla="*/ 88 w 92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88" y="57"/>
                  </a:moveTo>
                  <a:lnTo>
                    <a:pt x="92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2" name="Freeform 364">
              <a:extLst>
                <a:ext uri="{FF2B5EF4-FFF2-40B4-BE49-F238E27FC236}">
                  <a16:creationId xmlns:a16="http://schemas.microsoft.com/office/drawing/2014/main" id="{32A79B42-9010-4FF4-B864-3C05D594601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2 w 96"/>
                <a:gd name="T1" fmla="*/ 50 h 50"/>
                <a:gd name="T2" fmla="*/ 96 w 96"/>
                <a:gd name="T3" fmla="*/ 43 h 50"/>
                <a:gd name="T4" fmla="*/ 0 w 96"/>
                <a:gd name="T5" fmla="*/ 0 h 50"/>
                <a:gd name="T6" fmla="*/ 92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2" y="50"/>
                  </a:moveTo>
                  <a:lnTo>
                    <a:pt x="96" y="43"/>
                  </a:lnTo>
                  <a:lnTo>
                    <a:pt x="0" y="0"/>
                  </a:lnTo>
                  <a:lnTo>
                    <a:pt x="92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3" name="Freeform 365">
              <a:extLst>
                <a:ext uri="{FF2B5EF4-FFF2-40B4-BE49-F238E27FC236}">
                  <a16:creationId xmlns:a16="http://schemas.microsoft.com/office/drawing/2014/main" id="{5CB9960B-BE0F-423F-B6B8-37A6921DB9A6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6 w 99"/>
                <a:gd name="T1" fmla="*/ 43 h 43"/>
                <a:gd name="T2" fmla="*/ 99 w 99"/>
                <a:gd name="T3" fmla="*/ 36 h 43"/>
                <a:gd name="T4" fmla="*/ 0 w 99"/>
                <a:gd name="T5" fmla="*/ 0 h 43"/>
                <a:gd name="T6" fmla="*/ 96 w 99"/>
                <a:gd name="T7" fmla="*/ 43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6" y="43"/>
                  </a:moveTo>
                  <a:lnTo>
                    <a:pt x="99" y="36"/>
                  </a:lnTo>
                  <a:lnTo>
                    <a:pt x="0" y="0"/>
                  </a:lnTo>
                  <a:lnTo>
                    <a:pt x="96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4" name="Freeform 366">
              <a:extLst>
                <a:ext uri="{FF2B5EF4-FFF2-40B4-BE49-F238E27FC236}">
                  <a16:creationId xmlns:a16="http://schemas.microsoft.com/office/drawing/2014/main" id="{4A88EB87-100B-4EB3-B57A-01BDC852062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99 w 101"/>
                <a:gd name="T1" fmla="*/ 36 h 36"/>
                <a:gd name="T2" fmla="*/ 101 w 101"/>
                <a:gd name="T3" fmla="*/ 29 h 36"/>
                <a:gd name="T4" fmla="*/ 0 w 101"/>
                <a:gd name="T5" fmla="*/ 0 h 36"/>
                <a:gd name="T6" fmla="*/ 99 w 101"/>
                <a:gd name="T7" fmla="*/ 36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99" y="36"/>
                  </a:moveTo>
                  <a:lnTo>
                    <a:pt x="101" y="29"/>
                  </a:lnTo>
                  <a:lnTo>
                    <a:pt x="0" y="0"/>
                  </a:lnTo>
                  <a:lnTo>
                    <a:pt x="99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5" name="Freeform 367">
              <a:extLst>
                <a:ext uri="{FF2B5EF4-FFF2-40B4-BE49-F238E27FC236}">
                  <a16:creationId xmlns:a16="http://schemas.microsoft.com/office/drawing/2014/main" id="{B2E89F80-5853-41A6-BDF9-6DAAA9AB767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1 w 103"/>
                <a:gd name="T1" fmla="*/ 29 h 29"/>
                <a:gd name="T2" fmla="*/ 103 w 103"/>
                <a:gd name="T3" fmla="*/ 22 h 29"/>
                <a:gd name="T4" fmla="*/ 0 w 103"/>
                <a:gd name="T5" fmla="*/ 0 h 29"/>
                <a:gd name="T6" fmla="*/ 101 w 103"/>
                <a:gd name="T7" fmla="*/ 29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1" y="29"/>
                  </a:moveTo>
                  <a:lnTo>
                    <a:pt x="103" y="22"/>
                  </a:lnTo>
                  <a:lnTo>
                    <a:pt x="0" y="0"/>
                  </a:lnTo>
                  <a:lnTo>
                    <a:pt x="101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6" name="Freeform 368">
              <a:extLst>
                <a:ext uri="{FF2B5EF4-FFF2-40B4-BE49-F238E27FC236}">
                  <a16:creationId xmlns:a16="http://schemas.microsoft.com/office/drawing/2014/main" id="{C7B4F379-E5D9-4153-AB80-B819FA97EF9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3 w 104"/>
                <a:gd name="T1" fmla="*/ 22 h 22"/>
                <a:gd name="T2" fmla="*/ 104 w 104"/>
                <a:gd name="T3" fmla="*/ 15 h 22"/>
                <a:gd name="T4" fmla="*/ 0 w 104"/>
                <a:gd name="T5" fmla="*/ 0 h 22"/>
                <a:gd name="T6" fmla="*/ 103 w 104"/>
                <a:gd name="T7" fmla="*/ 22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3" y="22"/>
                  </a:moveTo>
                  <a:lnTo>
                    <a:pt x="104" y="15"/>
                  </a:lnTo>
                  <a:lnTo>
                    <a:pt x="0" y="0"/>
                  </a:lnTo>
                  <a:lnTo>
                    <a:pt x="103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7" name="Freeform 369">
              <a:extLst>
                <a:ext uri="{FF2B5EF4-FFF2-40B4-BE49-F238E27FC236}">
                  <a16:creationId xmlns:a16="http://schemas.microsoft.com/office/drawing/2014/main" id="{97960EAF-DF75-4989-9637-939B0F2A69A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4 w 105"/>
                <a:gd name="T1" fmla="*/ 15 h 15"/>
                <a:gd name="T2" fmla="*/ 105 w 105"/>
                <a:gd name="T3" fmla="*/ 7 h 15"/>
                <a:gd name="T4" fmla="*/ 0 w 105"/>
                <a:gd name="T5" fmla="*/ 0 h 15"/>
                <a:gd name="T6" fmla="*/ 104 w 105"/>
                <a:gd name="T7" fmla="*/ 15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4" y="15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8" name="Freeform 370">
              <a:extLst>
                <a:ext uri="{FF2B5EF4-FFF2-40B4-BE49-F238E27FC236}">
                  <a16:creationId xmlns:a16="http://schemas.microsoft.com/office/drawing/2014/main" id="{FC8F96F6-89DA-44B0-9D7E-563BDCFDDBE6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9" name="Freeform 371">
              <a:extLst>
                <a:ext uri="{FF2B5EF4-FFF2-40B4-BE49-F238E27FC236}">
                  <a16:creationId xmlns:a16="http://schemas.microsoft.com/office/drawing/2014/main" id="{7FA1C310-7F93-4D1E-85F0-BA8E0A2068E9}"/>
                </a:ext>
              </a:extLst>
            </xdr:cNvPr>
            <xdr:cNvSpPr>
              <a:spLocks/>
            </xdr:cNvSpPr>
          </xdr:nvSpPr>
          <xdr:spPr bwMode="auto">
            <a:xfrm>
              <a:off x="1095" y="188"/>
              <a:ext cx="6" cy="9"/>
            </a:xfrm>
            <a:custGeom>
              <a:avLst/>
              <a:gdLst>
                <a:gd name="T0" fmla="*/ 0 w 352"/>
                <a:gd name="T1" fmla="*/ 526 h 526"/>
                <a:gd name="T2" fmla="*/ 0 w 352"/>
                <a:gd name="T3" fmla="*/ 0 h 526"/>
                <a:gd name="T4" fmla="*/ 264 w 352"/>
                <a:gd name="T5" fmla="*/ 0 h 526"/>
                <a:gd name="T6" fmla="*/ 352 w 352"/>
                <a:gd name="T7" fmla="*/ 88 h 526"/>
                <a:gd name="T8" fmla="*/ 352 w 352"/>
                <a:gd name="T9" fmla="*/ 175 h 526"/>
                <a:gd name="T10" fmla="*/ 264 w 352"/>
                <a:gd name="T11" fmla="*/ 263 h 526"/>
                <a:gd name="T12" fmla="*/ 0 w 352"/>
                <a:gd name="T13" fmla="*/ 263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352" h="526">
                  <a:moveTo>
                    <a:pt x="0" y="526"/>
                  </a:moveTo>
                  <a:lnTo>
                    <a:pt x="0" y="0"/>
                  </a:lnTo>
                  <a:lnTo>
                    <a:pt x="264" y="0"/>
                  </a:lnTo>
                  <a:lnTo>
                    <a:pt x="352" y="88"/>
                  </a:lnTo>
                  <a:lnTo>
                    <a:pt x="352" y="175"/>
                  </a:lnTo>
                  <a:lnTo>
                    <a:pt x="264" y="263"/>
                  </a:lnTo>
                  <a:lnTo>
                    <a:pt x="0" y="263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0" name="Freeform 372">
              <a:extLst>
                <a:ext uri="{FF2B5EF4-FFF2-40B4-BE49-F238E27FC236}">
                  <a16:creationId xmlns:a16="http://schemas.microsoft.com/office/drawing/2014/main" id="{B0DF3F8B-46F7-417F-85B2-EB626B35281D}"/>
                </a:ext>
              </a:extLst>
            </xdr:cNvPr>
            <xdr:cNvSpPr>
              <a:spLocks/>
            </xdr:cNvSpPr>
          </xdr:nvSpPr>
          <xdr:spPr bwMode="auto">
            <a:xfrm>
              <a:off x="1104" y="191"/>
              <a:ext cx="6" cy="6"/>
            </a:xfrm>
            <a:custGeom>
              <a:avLst/>
              <a:gdLst>
                <a:gd name="T0" fmla="*/ 351 w 351"/>
                <a:gd name="T1" fmla="*/ 0 h 351"/>
                <a:gd name="T2" fmla="*/ 88 w 351"/>
                <a:gd name="T3" fmla="*/ 0 h 351"/>
                <a:gd name="T4" fmla="*/ 0 w 351"/>
                <a:gd name="T5" fmla="*/ 88 h 351"/>
                <a:gd name="T6" fmla="*/ 0 w 351"/>
                <a:gd name="T7" fmla="*/ 264 h 351"/>
                <a:gd name="T8" fmla="*/ 88 w 351"/>
                <a:gd name="T9" fmla="*/ 351 h 351"/>
                <a:gd name="T10" fmla="*/ 351 w 351"/>
                <a:gd name="T11" fmla="*/ 351 h 3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351">
                  <a:moveTo>
                    <a:pt x="351" y="0"/>
                  </a:moveTo>
                  <a:lnTo>
                    <a:pt x="88" y="0"/>
                  </a:lnTo>
                  <a:lnTo>
                    <a:pt x="0" y="88"/>
                  </a:lnTo>
                  <a:lnTo>
                    <a:pt x="0" y="264"/>
                  </a:lnTo>
                  <a:lnTo>
                    <a:pt x="88" y="351"/>
                  </a:lnTo>
                  <a:lnTo>
                    <a:pt x="351" y="351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1" name="Freeform 373">
              <a:extLst>
                <a:ext uri="{FF2B5EF4-FFF2-40B4-BE49-F238E27FC236}">
                  <a16:creationId xmlns:a16="http://schemas.microsoft.com/office/drawing/2014/main" id="{1F2C3E3E-D876-4225-B0B4-B5DC182DEFB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9"/>
                <a:gd name="T2" fmla="*/ 105 w 105"/>
                <a:gd name="T3" fmla="*/ 0 h 9"/>
                <a:gd name="T4" fmla="*/ 0 w 105"/>
                <a:gd name="T5" fmla="*/ 9 h 9"/>
                <a:gd name="T6" fmla="*/ 105 w 105"/>
                <a:gd name="T7" fmla="*/ 9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9">
                  <a:moveTo>
                    <a:pt x="105" y="9"/>
                  </a:moveTo>
                  <a:lnTo>
                    <a:pt x="105" y="0"/>
                  </a:lnTo>
                  <a:lnTo>
                    <a:pt x="0" y="9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2" name="Freeform 374">
              <a:extLst>
                <a:ext uri="{FF2B5EF4-FFF2-40B4-BE49-F238E27FC236}">
                  <a16:creationId xmlns:a16="http://schemas.microsoft.com/office/drawing/2014/main" id="{306DE51F-564A-4AA2-9CFE-2DA50442924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18"/>
                <a:gd name="T2" fmla="*/ 104 w 105"/>
                <a:gd name="T3" fmla="*/ 0 h 18"/>
                <a:gd name="T4" fmla="*/ 0 w 105"/>
                <a:gd name="T5" fmla="*/ 18 h 18"/>
                <a:gd name="T6" fmla="*/ 105 w 105"/>
                <a:gd name="T7" fmla="*/ 9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8">
                  <a:moveTo>
                    <a:pt x="105" y="9"/>
                  </a:moveTo>
                  <a:lnTo>
                    <a:pt x="104" y="0"/>
                  </a:lnTo>
                  <a:lnTo>
                    <a:pt x="0" y="18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3" name="Freeform 375">
              <a:extLst>
                <a:ext uri="{FF2B5EF4-FFF2-40B4-BE49-F238E27FC236}">
                  <a16:creationId xmlns:a16="http://schemas.microsoft.com/office/drawing/2014/main" id="{B3018C19-248A-46C4-8C72-D19F25AAA229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4 w 104"/>
                <a:gd name="T1" fmla="*/ 8 h 26"/>
                <a:gd name="T2" fmla="*/ 102 w 104"/>
                <a:gd name="T3" fmla="*/ 0 h 26"/>
                <a:gd name="T4" fmla="*/ 0 w 104"/>
                <a:gd name="T5" fmla="*/ 26 h 26"/>
                <a:gd name="T6" fmla="*/ 104 w 104"/>
                <a:gd name="T7" fmla="*/ 8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4" y="8"/>
                  </a:moveTo>
                  <a:lnTo>
                    <a:pt x="102" y="0"/>
                  </a:lnTo>
                  <a:lnTo>
                    <a:pt x="0" y="26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4" name="Freeform 376">
              <a:extLst>
                <a:ext uri="{FF2B5EF4-FFF2-40B4-BE49-F238E27FC236}">
                  <a16:creationId xmlns:a16="http://schemas.microsoft.com/office/drawing/2014/main" id="{2E75520F-02D8-4F7F-ACFF-ABBD8C84B61C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2 w 102"/>
                <a:gd name="T1" fmla="*/ 9 h 35"/>
                <a:gd name="T2" fmla="*/ 99 w 102"/>
                <a:gd name="T3" fmla="*/ 0 h 35"/>
                <a:gd name="T4" fmla="*/ 0 w 102"/>
                <a:gd name="T5" fmla="*/ 35 h 35"/>
                <a:gd name="T6" fmla="*/ 102 w 102"/>
                <a:gd name="T7" fmla="*/ 9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102" y="9"/>
                  </a:moveTo>
                  <a:lnTo>
                    <a:pt x="99" y="0"/>
                  </a:lnTo>
                  <a:lnTo>
                    <a:pt x="0" y="35"/>
                  </a:lnTo>
                  <a:lnTo>
                    <a:pt x="102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5" name="Freeform 377">
              <a:extLst>
                <a:ext uri="{FF2B5EF4-FFF2-40B4-BE49-F238E27FC236}">
                  <a16:creationId xmlns:a16="http://schemas.microsoft.com/office/drawing/2014/main" id="{B69A6574-5794-432A-9FCC-599D23DCF0C1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9 w 99"/>
                <a:gd name="T1" fmla="*/ 8 h 43"/>
                <a:gd name="T2" fmla="*/ 96 w 99"/>
                <a:gd name="T3" fmla="*/ 0 h 43"/>
                <a:gd name="T4" fmla="*/ 0 w 99"/>
                <a:gd name="T5" fmla="*/ 43 h 43"/>
                <a:gd name="T6" fmla="*/ 99 w 99"/>
                <a:gd name="T7" fmla="*/ 8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9" y="8"/>
                  </a:moveTo>
                  <a:lnTo>
                    <a:pt x="96" y="0"/>
                  </a:lnTo>
                  <a:lnTo>
                    <a:pt x="0" y="43"/>
                  </a:lnTo>
                  <a:lnTo>
                    <a:pt x="99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6" name="Freeform 378">
              <a:extLst>
                <a:ext uri="{FF2B5EF4-FFF2-40B4-BE49-F238E27FC236}">
                  <a16:creationId xmlns:a16="http://schemas.microsoft.com/office/drawing/2014/main" id="{917AC066-2212-4655-A7E3-85CBB287B681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6 w 96"/>
                <a:gd name="T1" fmla="*/ 7 h 50"/>
                <a:gd name="T2" fmla="*/ 93 w 96"/>
                <a:gd name="T3" fmla="*/ 0 h 50"/>
                <a:gd name="T4" fmla="*/ 0 w 96"/>
                <a:gd name="T5" fmla="*/ 50 h 50"/>
                <a:gd name="T6" fmla="*/ 96 w 96"/>
                <a:gd name="T7" fmla="*/ 7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6" y="7"/>
                  </a:moveTo>
                  <a:lnTo>
                    <a:pt x="93" y="0"/>
                  </a:lnTo>
                  <a:lnTo>
                    <a:pt x="0" y="50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7" name="Freeform 379">
              <a:extLst>
                <a:ext uri="{FF2B5EF4-FFF2-40B4-BE49-F238E27FC236}">
                  <a16:creationId xmlns:a16="http://schemas.microsoft.com/office/drawing/2014/main" id="{0F2CF11B-FF6D-4784-AF7B-69B019763892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3 w 93"/>
                <a:gd name="T1" fmla="*/ 8 h 58"/>
                <a:gd name="T2" fmla="*/ 88 w 93"/>
                <a:gd name="T3" fmla="*/ 0 h 58"/>
                <a:gd name="T4" fmla="*/ 0 w 93"/>
                <a:gd name="T5" fmla="*/ 58 h 58"/>
                <a:gd name="T6" fmla="*/ 93 w 93"/>
                <a:gd name="T7" fmla="*/ 8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8">
                  <a:moveTo>
                    <a:pt x="93" y="8"/>
                  </a:moveTo>
                  <a:lnTo>
                    <a:pt x="88" y="0"/>
                  </a:lnTo>
                  <a:lnTo>
                    <a:pt x="0" y="58"/>
                  </a:lnTo>
                  <a:lnTo>
                    <a:pt x="93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8" name="Freeform 380">
              <a:extLst>
                <a:ext uri="{FF2B5EF4-FFF2-40B4-BE49-F238E27FC236}">
                  <a16:creationId xmlns:a16="http://schemas.microsoft.com/office/drawing/2014/main" id="{F02B4377-24E2-431F-91FC-441B74CD1AE8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8 w 88"/>
                <a:gd name="T1" fmla="*/ 7 h 65"/>
                <a:gd name="T2" fmla="*/ 83 w 88"/>
                <a:gd name="T3" fmla="*/ 0 h 65"/>
                <a:gd name="T4" fmla="*/ 0 w 88"/>
                <a:gd name="T5" fmla="*/ 65 h 65"/>
                <a:gd name="T6" fmla="*/ 88 w 88"/>
                <a:gd name="T7" fmla="*/ 7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5">
                  <a:moveTo>
                    <a:pt x="88" y="7"/>
                  </a:moveTo>
                  <a:lnTo>
                    <a:pt x="83" y="0"/>
                  </a:lnTo>
                  <a:lnTo>
                    <a:pt x="0" y="65"/>
                  </a:lnTo>
                  <a:lnTo>
                    <a:pt x="88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9" name="Freeform 381">
              <a:extLst>
                <a:ext uri="{FF2B5EF4-FFF2-40B4-BE49-F238E27FC236}">
                  <a16:creationId xmlns:a16="http://schemas.microsoft.com/office/drawing/2014/main" id="{3C751FAD-4541-4268-B530-70D749C5FAAB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3 w 83"/>
                <a:gd name="T1" fmla="*/ 7 h 72"/>
                <a:gd name="T2" fmla="*/ 77 w 83"/>
                <a:gd name="T3" fmla="*/ 0 h 72"/>
                <a:gd name="T4" fmla="*/ 0 w 83"/>
                <a:gd name="T5" fmla="*/ 72 h 72"/>
                <a:gd name="T6" fmla="*/ 83 w 83"/>
                <a:gd name="T7" fmla="*/ 7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2">
                  <a:moveTo>
                    <a:pt x="83" y="7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0" name="Freeform 382">
              <a:extLst>
                <a:ext uri="{FF2B5EF4-FFF2-40B4-BE49-F238E27FC236}">
                  <a16:creationId xmlns:a16="http://schemas.microsoft.com/office/drawing/2014/main" id="{C0CE8F03-3FCF-4E51-BF79-474177A736C3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77 w 77"/>
                <a:gd name="T1" fmla="*/ 6 h 78"/>
                <a:gd name="T2" fmla="*/ 71 w 77"/>
                <a:gd name="T3" fmla="*/ 0 h 78"/>
                <a:gd name="T4" fmla="*/ 0 w 77"/>
                <a:gd name="T5" fmla="*/ 78 h 78"/>
                <a:gd name="T6" fmla="*/ 77 w 77"/>
                <a:gd name="T7" fmla="*/ 6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8">
                  <a:moveTo>
                    <a:pt x="77" y="6"/>
                  </a:moveTo>
                  <a:lnTo>
                    <a:pt x="71" y="0"/>
                  </a:lnTo>
                  <a:lnTo>
                    <a:pt x="0" y="78"/>
                  </a:lnTo>
                  <a:lnTo>
                    <a:pt x="77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1" name="Freeform 383">
              <a:extLst>
                <a:ext uri="{FF2B5EF4-FFF2-40B4-BE49-F238E27FC236}">
                  <a16:creationId xmlns:a16="http://schemas.microsoft.com/office/drawing/2014/main" id="{75189FBB-FFCD-4109-B804-39185E37EF6D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71 w 71"/>
                <a:gd name="T1" fmla="*/ 5 h 83"/>
                <a:gd name="T2" fmla="*/ 65 w 71"/>
                <a:gd name="T3" fmla="*/ 0 h 83"/>
                <a:gd name="T4" fmla="*/ 0 w 71"/>
                <a:gd name="T5" fmla="*/ 83 h 83"/>
                <a:gd name="T6" fmla="*/ 71 w 71"/>
                <a:gd name="T7" fmla="*/ 5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71" y="5"/>
                  </a:moveTo>
                  <a:lnTo>
                    <a:pt x="65" y="0"/>
                  </a:lnTo>
                  <a:lnTo>
                    <a:pt x="0" y="83"/>
                  </a:lnTo>
                  <a:lnTo>
                    <a:pt x="71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2" name="Freeform 384">
              <a:extLst>
                <a:ext uri="{FF2B5EF4-FFF2-40B4-BE49-F238E27FC236}">
                  <a16:creationId xmlns:a16="http://schemas.microsoft.com/office/drawing/2014/main" id="{74416D2B-27A8-490A-A77C-3707ECC305BC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65 w 65"/>
                <a:gd name="T1" fmla="*/ 5 h 88"/>
                <a:gd name="T2" fmla="*/ 58 w 65"/>
                <a:gd name="T3" fmla="*/ 0 h 88"/>
                <a:gd name="T4" fmla="*/ 0 w 65"/>
                <a:gd name="T5" fmla="*/ 88 h 88"/>
                <a:gd name="T6" fmla="*/ 65 w 65"/>
                <a:gd name="T7" fmla="*/ 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65" y="5"/>
                  </a:moveTo>
                  <a:lnTo>
                    <a:pt x="58" y="0"/>
                  </a:lnTo>
                  <a:lnTo>
                    <a:pt x="0" y="88"/>
                  </a:lnTo>
                  <a:lnTo>
                    <a:pt x="65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3" name="Freeform 385">
              <a:extLst>
                <a:ext uri="{FF2B5EF4-FFF2-40B4-BE49-F238E27FC236}">
                  <a16:creationId xmlns:a16="http://schemas.microsoft.com/office/drawing/2014/main" id="{35A720B9-A459-4C2F-9F5C-223FD4D8398D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8 w 58"/>
                <a:gd name="T1" fmla="*/ 5 h 93"/>
                <a:gd name="T2" fmla="*/ 50 w 58"/>
                <a:gd name="T3" fmla="*/ 0 h 93"/>
                <a:gd name="T4" fmla="*/ 0 w 58"/>
                <a:gd name="T5" fmla="*/ 93 h 93"/>
                <a:gd name="T6" fmla="*/ 58 w 58"/>
                <a:gd name="T7" fmla="*/ 5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3">
                  <a:moveTo>
                    <a:pt x="58" y="5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8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4" name="Freeform 386">
              <a:extLst>
                <a:ext uri="{FF2B5EF4-FFF2-40B4-BE49-F238E27FC236}">
                  <a16:creationId xmlns:a16="http://schemas.microsoft.com/office/drawing/2014/main" id="{F25348D0-6A3D-4352-9BE9-8162E72805DD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0 w 50"/>
                <a:gd name="T1" fmla="*/ 4 h 97"/>
                <a:gd name="T2" fmla="*/ 42 w 50"/>
                <a:gd name="T3" fmla="*/ 0 h 97"/>
                <a:gd name="T4" fmla="*/ 0 w 50"/>
                <a:gd name="T5" fmla="*/ 97 h 97"/>
                <a:gd name="T6" fmla="*/ 50 w 50"/>
                <a:gd name="T7" fmla="*/ 4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7">
                  <a:moveTo>
                    <a:pt x="50" y="4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50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5" name="Freeform 387">
              <a:extLst>
                <a:ext uri="{FF2B5EF4-FFF2-40B4-BE49-F238E27FC236}">
                  <a16:creationId xmlns:a16="http://schemas.microsoft.com/office/drawing/2014/main" id="{F7AE5853-BA15-4C99-A606-7BD49ADED513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4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4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6" name="Freeform 388">
              <a:extLst>
                <a:ext uri="{FF2B5EF4-FFF2-40B4-BE49-F238E27FC236}">
                  <a16:creationId xmlns:a16="http://schemas.microsoft.com/office/drawing/2014/main" id="{A3363EB2-BAF6-4EE7-A797-B3CAB54A32CC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34 w 34"/>
                <a:gd name="T1" fmla="*/ 2 h 102"/>
                <a:gd name="T2" fmla="*/ 26 w 34"/>
                <a:gd name="T3" fmla="*/ 0 h 102"/>
                <a:gd name="T4" fmla="*/ 0 w 34"/>
                <a:gd name="T5" fmla="*/ 102 h 102"/>
                <a:gd name="T6" fmla="*/ 34 w 34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34" y="2"/>
                  </a:moveTo>
                  <a:lnTo>
                    <a:pt x="26" y="0"/>
                  </a:lnTo>
                  <a:lnTo>
                    <a:pt x="0" y="102"/>
                  </a:lnTo>
                  <a:lnTo>
                    <a:pt x="34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7" name="Freeform 389">
              <a:extLst>
                <a:ext uri="{FF2B5EF4-FFF2-40B4-BE49-F238E27FC236}">
                  <a16:creationId xmlns:a16="http://schemas.microsoft.com/office/drawing/2014/main" id="{87DFE9D3-2C0D-4F72-9028-6F0ABE28F17B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26 w 26"/>
                <a:gd name="T1" fmla="*/ 2 h 104"/>
                <a:gd name="T2" fmla="*/ 17 w 26"/>
                <a:gd name="T3" fmla="*/ 0 h 104"/>
                <a:gd name="T4" fmla="*/ 0 w 26"/>
                <a:gd name="T5" fmla="*/ 104 h 104"/>
                <a:gd name="T6" fmla="*/ 26 w 26"/>
                <a:gd name="T7" fmla="*/ 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26" y="2"/>
                  </a:moveTo>
                  <a:lnTo>
                    <a:pt x="17" y="0"/>
                  </a:lnTo>
                  <a:lnTo>
                    <a:pt x="0" y="104"/>
                  </a:lnTo>
                  <a:lnTo>
                    <a:pt x="26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8" name="Freeform 390">
              <a:extLst>
                <a:ext uri="{FF2B5EF4-FFF2-40B4-BE49-F238E27FC236}">
                  <a16:creationId xmlns:a16="http://schemas.microsoft.com/office/drawing/2014/main" id="{8075E753-FB4A-40DD-ABA0-E5B18F511518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17 w 17"/>
                <a:gd name="T1" fmla="*/ 1 h 105"/>
                <a:gd name="T2" fmla="*/ 9 w 17"/>
                <a:gd name="T3" fmla="*/ 0 h 105"/>
                <a:gd name="T4" fmla="*/ 0 w 17"/>
                <a:gd name="T5" fmla="*/ 105 h 105"/>
                <a:gd name="T6" fmla="*/ 17 w 17"/>
                <a:gd name="T7" fmla="*/ 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17" y="1"/>
                  </a:moveTo>
                  <a:lnTo>
                    <a:pt x="9" y="0"/>
                  </a:lnTo>
                  <a:lnTo>
                    <a:pt x="0" y="105"/>
                  </a:lnTo>
                  <a:lnTo>
                    <a:pt x="1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9" name="Freeform 391">
              <a:extLst>
                <a:ext uri="{FF2B5EF4-FFF2-40B4-BE49-F238E27FC236}">
                  <a16:creationId xmlns:a16="http://schemas.microsoft.com/office/drawing/2014/main" id="{F7DD03C1-A348-4B37-9BDA-C474293A4C0B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1 h 106"/>
                <a:gd name="T2" fmla="*/ 0 w 9"/>
                <a:gd name="T3" fmla="*/ 0 h 106"/>
                <a:gd name="T4" fmla="*/ 0 w 9"/>
                <a:gd name="T5" fmla="*/ 106 h 106"/>
                <a:gd name="T6" fmla="*/ 9 w 9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0" name="Freeform 392">
              <a:extLst>
                <a:ext uri="{FF2B5EF4-FFF2-40B4-BE49-F238E27FC236}">
                  <a16:creationId xmlns:a16="http://schemas.microsoft.com/office/drawing/2014/main" id="{98A8E1E7-685B-4769-A36E-A15A7D52F346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0 h 106"/>
                <a:gd name="T2" fmla="*/ 0 w 9"/>
                <a:gd name="T3" fmla="*/ 1 h 106"/>
                <a:gd name="T4" fmla="*/ 9 w 9"/>
                <a:gd name="T5" fmla="*/ 106 h 106"/>
                <a:gd name="T6" fmla="*/ 9 w 9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0"/>
                  </a:moveTo>
                  <a:lnTo>
                    <a:pt x="0" y="1"/>
                  </a:lnTo>
                  <a:lnTo>
                    <a:pt x="9" y="106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1" name="Freeform 393">
              <a:extLst>
                <a:ext uri="{FF2B5EF4-FFF2-40B4-BE49-F238E27FC236}">
                  <a16:creationId xmlns:a16="http://schemas.microsoft.com/office/drawing/2014/main" id="{6742A884-9767-4A03-A098-D02E18D4C218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18"/>
                <a:gd name="T1" fmla="*/ 0 h 105"/>
                <a:gd name="T2" fmla="*/ 0 w 18"/>
                <a:gd name="T3" fmla="*/ 1 h 105"/>
                <a:gd name="T4" fmla="*/ 18 w 18"/>
                <a:gd name="T5" fmla="*/ 105 h 105"/>
                <a:gd name="T6" fmla="*/ 9 w 18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9" y="0"/>
                  </a:moveTo>
                  <a:lnTo>
                    <a:pt x="0" y="1"/>
                  </a:lnTo>
                  <a:lnTo>
                    <a:pt x="18" y="105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2" name="Freeform 394">
              <a:extLst>
                <a:ext uri="{FF2B5EF4-FFF2-40B4-BE49-F238E27FC236}">
                  <a16:creationId xmlns:a16="http://schemas.microsoft.com/office/drawing/2014/main" id="{9626799A-3F31-430A-94EE-5D43C54F34DB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27"/>
                <a:gd name="T1" fmla="*/ 0 h 104"/>
                <a:gd name="T2" fmla="*/ 0 w 27"/>
                <a:gd name="T3" fmla="*/ 2 h 104"/>
                <a:gd name="T4" fmla="*/ 27 w 27"/>
                <a:gd name="T5" fmla="*/ 104 h 104"/>
                <a:gd name="T6" fmla="*/ 9 w 27"/>
                <a:gd name="T7" fmla="*/ 0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9" y="0"/>
                  </a:moveTo>
                  <a:lnTo>
                    <a:pt x="0" y="2"/>
                  </a:lnTo>
                  <a:lnTo>
                    <a:pt x="27" y="104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3" name="Freeform 395">
              <a:extLst>
                <a:ext uri="{FF2B5EF4-FFF2-40B4-BE49-F238E27FC236}">
                  <a16:creationId xmlns:a16="http://schemas.microsoft.com/office/drawing/2014/main" id="{73592569-F699-478C-AC9A-E91D18B6691C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8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8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8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4" name="Freeform 396">
              <a:extLst>
                <a:ext uri="{FF2B5EF4-FFF2-40B4-BE49-F238E27FC236}">
                  <a16:creationId xmlns:a16="http://schemas.microsoft.com/office/drawing/2014/main" id="{7E33DAF0-D32A-4096-928C-61C70C47CC2F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43"/>
                <a:gd name="T1" fmla="*/ 0 h 100"/>
                <a:gd name="T2" fmla="*/ 0 w 43"/>
                <a:gd name="T3" fmla="*/ 3 h 100"/>
                <a:gd name="T4" fmla="*/ 43 w 43"/>
                <a:gd name="T5" fmla="*/ 100 h 100"/>
                <a:gd name="T6" fmla="*/ 8 w 43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100">
                  <a:moveTo>
                    <a:pt x="8" y="0"/>
                  </a:moveTo>
                  <a:lnTo>
                    <a:pt x="0" y="3"/>
                  </a:lnTo>
                  <a:lnTo>
                    <a:pt x="43" y="100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5" name="Freeform 397">
              <a:extLst>
                <a:ext uri="{FF2B5EF4-FFF2-40B4-BE49-F238E27FC236}">
                  <a16:creationId xmlns:a16="http://schemas.microsoft.com/office/drawing/2014/main" id="{13A327B6-A1A2-4FBF-8C59-0B596E51679C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1"/>
                <a:gd name="T1" fmla="*/ 0 h 97"/>
                <a:gd name="T2" fmla="*/ 0 w 51"/>
                <a:gd name="T3" fmla="*/ 4 h 97"/>
                <a:gd name="T4" fmla="*/ 51 w 51"/>
                <a:gd name="T5" fmla="*/ 97 h 97"/>
                <a:gd name="T6" fmla="*/ 8 w 51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7">
                  <a:moveTo>
                    <a:pt x="8" y="0"/>
                  </a:moveTo>
                  <a:lnTo>
                    <a:pt x="0" y="4"/>
                  </a:lnTo>
                  <a:lnTo>
                    <a:pt x="51" y="97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6" name="Freeform 398">
              <a:extLst>
                <a:ext uri="{FF2B5EF4-FFF2-40B4-BE49-F238E27FC236}">
                  <a16:creationId xmlns:a16="http://schemas.microsoft.com/office/drawing/2014/main" id="{D0C4F55D-64F2-454C-961E-0FDC3301D148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9"/>
                <a:gd name="T1" fmla="*/ 0 h 93"/>
                <a:gd name="T2" fmla="*/ 0 w 59"/>
                <a:gd name="T3" fmla="*/ 5 h 93"/>
                <a:gd name="T4" fmla="*/ 59 w 59"/>
                <a:gd name="T5" fmla="*/ 93 h 93"/>
                <a:gd name="T6" fmla="*/ 8 w 59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3">
                  <a:moveTo>
                    <a:pt x="8" y="0"/>
                  </a:moveTo>
                  <a:lnTo>
                    <a:pt x="0" y="5"/>
                  </a:lnTo>
                  <a:lnTo>
                    <a:pt x="59" y="9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7" name="Freeform 399">
              <a:extLst>
                <a:ext uri="{FF2B5EF4-FFF2-40B4-BE49-F238E27FC236}">
                  <a16:creationId xmlns:a16="http://schemas.microsoft.com/office/drawing/2014/main" id="{7606F928-00AE-4B30-AE59-D27AAF8B99D9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7 w 66"/>
                <a:gd name="T1" fmla="*/ 0 h 88"/>
                <a:gd name="T2" fmla="*/ 0 w 66"/>
                <a:gd name="T3" fmla="*/ 5 h 88"/>
                <a:gd name="T4" fmla="*/ 66 w 66"/>
                <a:gd name="T5" fmla="*/ 88 h 88"/>
                <a:gd name="T6" fmla="*/ 7 w 66"/>
                <a:gd name="T7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7" y="0"/>
                  </a:moveTo>
                  <a:lnTo>
                    <a:pt x="0" y="5"/>
                  </a:lnTo>
                  <a:lnTo>
                    <a:pt x="66" y="88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8" name="Freeform 400">
              <a:extLst>
                <a:ext uri="{FF2B5EF4-FFF2-40B4-BE49-F238E27FC236}">
                  <a16:creationId xmlns:a16="http://schemas.microsoft.com/office/drawing/2014/main" id="{8449B05B-E5F6-4779-9AA8-F23AA8F55B11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6 w 72"/>
                <a:gd name="T1" fmla="*/ 0 h 83"/>
                <a:gd name="T2" fmla="*/ 0 w 72"/>
                <a:gd name="T3" fmla="*/ 5 h 83"/>
                <a:gd name="T4" fmla="*/ 72 w 72"/>
                <a:gd name="T5" fmla="*/ 83 h 83"/>
                <a:gd name="T6" fmla="*/ 6 w 72"/>
                <a:gd name="T7" fmla="*/ 0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6" y="0"/>
                  </a:moveTo>
                  <a:lnTo>
                    <a:pt x="0" y="5"/>
                  </a:lnTo>
                  <a:lnTo>
                    <a:pt x="72" y="83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9" name="Freeform 401">
              <a:extLst>
                <a:ext uri="{FF2B5EF4-FFF2-40B4-BE49-F238E27FC236}">
                  <a16:creationId xmlns:a16="http://schemas.microsoft.com/office/drawing/2014/main" id="{94D56C95-ACE0-491B-B948-3305C8DECEE3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78"/>
                <a:gd name="T1" fmla="*/ 0 h 78"/>
                <a:gd name="T2" fmla="*/ 0 w 78"/>
                <a:gd name="T3" fmla="*/ 6 h 78"/>
                <a:gd name="T4" fmla="*/ 78 w 78"/>
                <a:gd name="T5" fmla="*/ 78 h 78"/>
                <a:gd name="T6" fmla="*/ 6 w 78"/>
                <a:gd name="T7" fmla="*/ 0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8">
                  <a:moveTo>
                    <a:pt x="6" y="0"/>
                  </a:moveTo>
                  <a:lnTo>
                    <a:pt x="0" y="6"/>
                  </a:lnTo>
                  <a:lnTo>
                    <a:pt x="78" y="78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0" name="Freeform 402">
              <a:extLst>
                <a:ext uri="{FF2B5EF4-FFF2-40B4-BE49-F238E27FC236}">
                  <a16:creationId xmlns:a16="http://schemas.microsoft.com/office/drawing/2014/main" id="{BC9F4856-0BCF-45E5-80AE-0E01877655F7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84"/>
                <a:gd name="T1" fmla="*/ 0 h 72"/>
                <a:gd name="T2" fmla="*/ 0 w 84"/>
                <a:gd name="T3" fmla="*/ 7 h 72"/>
                <a:gd name="T4" fmla="*/ 84 w 84"/>
                <a:gd name="T5" fmla="*/ 72 h 72"/>
                <a:gd name="T6" fmla="*/ 6 w 84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2">
                  <a:moveTo>
                    <a:pt x="6" y="0"/>
                  </a:moveTo>
                  <a:lnTo>
                    <a:pt x="0" y="7"/>
                  </a:lnTo>
                  <a:lnTo>
                    <a:pt x="84" y="7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1" name="Freeform 403">
              <a:extLst>
                <a:ext uri="{FF2B5EF4-FFF2-40B4-BE49-F238E27FC236}">
                  <a16:creationId xmlns:a16="http://schemas.microsoft.com/office/drawing/2014/main" id="{7A543B32-63F3-44ED-91DA-4065D77220C4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89"/>
                <a:gd name="T1" fmla="*/ 0 h 65"/>
                <a:gd name="T2" fmla="*/ 0 w 89"/>
                <a:gd name="T3" fmla="*/ 7 h 65"/>
                <a:gd name="T4" fmla="*/ 89 w 89"/>
                <a:gd name="T5" fmla="*/ 65 h 65"/>
                <a:gd name="T6" fmla="*/ 5 w 89"/>
                <a:gd name="T7" fmla="*/ 0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5">
                  <a:moveTo>
                    <a:pt x="5" y="0"/>
                  </a:moveTo>
                  <a:lnTo>
                    <a:pt x="0" y="7"/>
                  </a:lnTo>
                  <a:lnTo>
                    <a:pt x="89" y="65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2" name="Freeform 404">
              <a:extLst>
                <a:ext uri="{FF2B5EF4-FFF2-40B4-BE49-F238E27FC236}">
                  <a16:creationId xmlns:a16="http://schemas.microsoft.com/office/drawing/2014/main" id="{15018548-9440-4708-84FE-9CBA8B6D282A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94"/>
                <a:gd name="T1" fmla="*/ 0 h 58"/>
                <a:gd name="T2" fmla="*/ 0 w 94"/>
                <a:gd name="T3" fmla="*/ 8 h 58"/>
                <a:gd name="T4" fmla="*/ 94 w 94"/>
                <a:gd name="T5" fmla="*/ 58 h 58"/>
                <a:gd name="T6" fmla="*/ 5 w 94"/>
                <a:gd name="T7" fmla="*/ 0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8">
                  <a:moveTo>
                    <a:pt x="5" y="0"/>
                  </a:moveTo>
                  <a:lnTo>
                    <a:pt x="0" y="8"/>
                  </a:lnTo>
                  <a:lnTo>
                    <a:pt x="94" y="58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3" name="Freeform 405">
              <a:extLst>
                <a:ext uri="{FF2B5EF4-FFF2-40B4-BE49-F238E27FC236}">
                  <a16:creationId xmlns:a16="http://schemas.microsoft.com/office/drawing/2014/main" id="{C1375169-041E-4B9F-ACEF-DB5214252CF1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3 w 97"/>
                <a:gd name="T1" fmla="*/ 0 h 50"/>
                <a:gd name="T2" fmla="*/ 0 w 97"/>
                <a:gd name="T3" fmla="*/ 7 h 50"/>
                <a:gd name="T4" fmla="*/ 97 w 97"/>
                <a:gd name="T5" fmla="*/ 50 h 50"/>
                <a:gd name="T6" fmla="*/ 3 w 97"/>
                <a:gd name="T7" fmla="*/ 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3" y="0"/>
                  </a:moveTo>
                  <a:lnTo>
                    <a:pt x="0" y="7"/>
                  </a:lnTo>
                  <a:lnTo>
                    <a:pt x="97" y="5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4" name="Freeform 406">
              <a:extLst>
                <a:ext uri="{FF2B5EF4-FFF2-40B4-BE49-F238E27FC236}">
                  <a16:creationId xmlns:a16="http://schemas.microsoft.com/office/drawing/2014/main" id="{E22ABDA3-E340-48F5-8C0E-17E2C9CA6625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4 w 101"/>
                <a:gd name="T1" fmla="*/ 0 h 43"/>
                <a:gd name="T2" fmla="*/ 0 w 101"/>
                <a:gd name="T3" fmla="*/ 8 h 43"/>
                <a:gd name="T4" fmla="*/ 101 w 101"/>
                <a:gd name="T5" fmla="*/ 43 h 43"/>
                <a:gd name="T6" fmla="*/ 4 w 101"/>
                <a:gd name="T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3">
                  <a:moveTo>
                    <a:pt x="4" y="0"/>
                  </a:moveTo>
                  <a:lnTo>
                    <a:pt x="0" y="8"/>
                  </a:lnTo>
                  <a:lnTo>
                    <a:pt x="101" y="43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5" name="Freeform 407">
              <a:extLst>
                <a:ext uri="{FF2B5EF4-FFF2-40B4-BE49-F238E27FC236}">
                  <a16:creationId xmlns:a16="http://schemas.microsoft.com/office/drawing/2014/main" id="{387EF809-DF02-46B6-9DF8-B650AE52E691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3"/>
                <a:gd name="T1" fmla="*/ 0 h 35"/>
                <a:gd name="T2" fmla="*/ 0 w 103"/>
                <a:gd name="T3" fmla="*/ 9 h 35"/>
                <a:gd name="T4" fmla="*/ 103 w 103"/>
                <a:gd name="T5" fmla="*/ 35 h 35"/>
                <a:gd name="T6" fmla="*/ 2 w 103"/>
                <a:gd name="T7" fmla="*/ 0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5">
                  <a:moveTo>
                    <a:pt x="2" y="0"/>
                  </a:moveTo>
                  <a:lnTo>
                    <a:pt x="0" y="9"/>
                  </a:lnTo>
                  <a:lnTo>
                    <a:pt x="103" y="35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6" name="Freeform 408">
              <a:extLst>
                <a:ext uri="{FF2B5EF4-FFF2-40B4-BE49-F238E27FC236}">
                  <a16:creationId xmlns:a16="http://schemas.microsoft.com/office/drawing/2014/main" id="{50B66DDC-1BFD-4C82-8F59-3F5FC18DE0F6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5"/>
                <a:gd name="T1" fmla="*/ 0 h 26"/>
                <a:gd name="T2" fmla="*/ 0 w 105"/>
                <a:gd name="T3" fmla="*/ 8 h 26"/>
                <a:gd name="T4" fmla="*/ 105 w 105"/>
                <a:gd name="T5" fmla="*/ 26 h 26"/>
                <a:gd name="T6" fmla="*/ 2 w 105"/>
                <a:gd name="T7" fmla="*/ 0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2" y="0"/>
                  </a:moveTo>
                  <a:lnTo>
                    <a:pt x="0" y="8"/>
                  </a:lnTo>
                  <a:lnTo>
                    <a:pt x="105" y="2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7" name="Freeform 409">
              <a:extLst>
                <a:ext uri="{FF2B5EF4-FFF2-40B4-BE49-F238E27FC236}">
                  <a16:creationId xmlns:a16="http://schemas.microsoft.com/office/drawing/2014/main" id="{E7D55536-343E-433C-9EDD-37ACB9F51181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1 w 106"/>
                <a:gd name="T1" fmla="*/ 0 h 18"/>
                <a:gd name="T2" fmla="*/ 0 w 106"/>
                <a:gd name="T3" fmla="*/ 9 h 18"/>
                <a:gd name="T4" fmla="*/ 106 w 106"/>
                <a:gd name="T5" fmla="*/ 18 h 18"/>
                <a:gd name="T6" fmla="*/ 1 w 106"/>
                <a:gd name="T7" fmla="*/ 0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8">
                  <a:moveTo>
                    <a:pt x="1" y="0"/>
                  </a:moveTo>
                  <a:lnTo>
                    <a:pt x="0" y="9"/>
                  </a:lnTo>
                  <a:lnTo>
                    <a:pt x="106" y="18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8" name="Freeform 410">
              <a:extLst>
                <a:ext uri="{FF2B5EF4-FFF2-40B4-BE49-F238E27FC236}">
                  <a16:creationId xmlns:a16="http://schemas.microsoft.com/office/drawing/2014/main" id="{A82A41C2-0A6F-4FB2-9104-249DCFBC6983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9"/>
                <a:gd name="T2" fmla="*/ 0 w 106"/>
                <a:gd name="T3" fmla="*/ 9 h 9"/>
                <a:gd name="T4" fmla="*/ 106 w 106"/>
                <a:gd name="T5" fmla="*/ 9 h 9"/>
                <a:gd name="T6" fmla="*/ 0 w 106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9">
                  <a:moveTo>
                    <a:pt x="0" y="0"/>
                  </a:moveTo>
                  <a:lnTo>
                    <a:pt x="0" y="9"/>
                  </a:lnTo>
                  <a:lnTo>
                    <a:pt x="106" y="9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9" name="Freeform 411">
              <a:extLst>
                <a:ext uri="{FF2B5EF4-FFF2-40B4-BE49-F238E27FC236}">
                  <a16:creationId xmlns:a16="http://schemas.microsoft.com/office/drawing/2014/main" id="{E83F4466-3C3F-4F53-A686-22C5685D5CB4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8"/>
                <a:gd name="T2" fmla="*/ 0 w 106"/>
                <a:gd name="T3" fmla="*/ 8 h 8"/>
                <a:gd name="T4" fmla="*/ 106 w 106"/>
                <a:gd name="T5" fmla="*/ 0 h 8"/>
                <a:gd name="T6" fmla="*/ 0 w 106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8">
                  <a:moveTo>
                    <a:pt x="0" y="0"/>
                  </a:moveTo>
                  <a:lnTo>
                    <a:pt x="0" y="8"/>
                  </a:lnTo>
                  <a:lnTo>
                    <a:pt x="10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0" name="Freeform 412">
              <a:extLst>
                <a:ext uri="{FF2B5EF4-FFF2-40B4-BE49-F238E27FC236}">
                  <a16:creationId xmlns:a16="http://schemas.microsoft.com/office/drawing/2014/main" id="{4C3648E5-1E04-46C5-BFC2-C8E0E82FB0D4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8 h 17"/>
                <a:gd name="T2" fmla="*/ 1 w 106"/>
                <a:gd name="T3" fmla="*/ 17 h 17"/>
                <a:gd name="T4" fmla="*/ 106 w 106"/>
                <a:gd name="T5" fmla="*/ 0 h 17"/>
                <a:gd name="T6" fmla="*/ 0 w 106"/>
                <a:gd name="T7" fmla="*/ 8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7">
                  <a:moveTo>
                    <a:pt x="0" y="8"/>
                  </a:moveTo>
                  <a:lnTo>
                    <a:pt x="1" y="17"/>
                  </a:lnTo>
                  <a:lnTo>
                    <a:pt x="106" y="0"/>
                  </a:lnTo>
                  <a:lnTo>
                    <a:pt x="0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1" name="Freeform 413">
              <a:extLst>
                <a:ext uri="{FF2B5EF4-FFF2-40B4-BE49-F238E27FC236}">
                  <a16:creationId xmlns:a16="http://schemas.microsoft.com/office/drawing/2014/main" id="{BB389546-8588-4BE0-876A-0E7BFE81C205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5"/>
                <a:gd name="T1" fmla="*/ 17 h 26"/>
                <a:gd name="T2" fmla="*/ 2 w 105"/>
                <a:gd name="T3" fmla="*/ 26 h 26"/>
                <a:gd name="T4" fmla="*/ 105 w 105"/>
                <a:gd name="T5" fmla="*/ 0 h 26"/>
                <a:gd name="T6" fmla="*/ 0 w 105"/>
                <a:gd name="T7" fmla="*/ 17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0" y="17"/>
                  </a:moveTo>
                  <a:lnTo>
                    <a:pt x="2" y="26"/>
                  </a:lnTo>
                  <a:lnTo>
                    <a:pt x="105" y="0"/>
                  </a:lnTo>
                  <a:lnTo>
                    <a:pt x="0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2" name="Freeform 414">
              <a:extLst>
                <a:ext uri="{FF2B5EF4-FFF2-40B4-BE49-F238E27FC236}">
                  <a16:creationId xmlns:a16="http://schemas.microsoft.com/office/drawing/2014/main" id="{ABA3E94C-32CD-4F3F-8030-A7A365FD4792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3"/>
                <a:gd name="T1" fmla="*/ 26 h 34"/>
                <a:gd name="T2" fmla="*/ 2 w 103"/>
                <a:gd name="T3" fmla="*/ 34 h 34"/>
                <a:gd name="T4" fmla="*/ 103 w 103"/>
                <a:gd name="T5" fmla="*/ 0 h 34"/>
                <a:gd name="T6" fmla="*/ 0 w 103"/>
                <a:gd name="T7" fmla="*/ 26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4">
                  <a:moveTo>
                    <a:pt x="0" y="26"/>
                  </a:moveTo>
                  <a:lnTo>
                    <a:pt x="2" y="34"/>
                  </a:lnTo>
                  <a:lnTo>
                    <a:pt x="103" y="0"/>
                  </a:lnTo>
                  <a:lnTo>
                    <a:pt x="0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3" name="Freeform 415">
              <a:extLst>
                <a:ext uri="{FF2B5EF4-FFF2-40B4-BE49-F238E27FC236}">
                  <a16:creationId xmlns:a16="http://schemas.microsoft.com/office/drawing/2014/main" id="{B321C252-8A22-426F-BF8B-95D1AC7DF3B5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1"/>
            </a:xfrm>
            <a:custGeom>
              <a:avLst/>
              <a:gdLst>
                <a:gd name="T0" fmla="*/ 0 w 101"/>
                <a:gd name="T1" fmla="*/ 34 h 42"/>
                <a:gd name="T2" fmla="*/ 4 w 101"/>
                <a:gd name="T3" fmla="*/ 42 h 42"/>
                <a:gd name="T4" fmla="*/ 101 w 101"/>
                <a:gd name="T5" fmla="*/ 0 h 42"/>
                <a:gd name="T6" fmla="*/ 0 w 101"/>
                <a:gd name="T7" fmla="*/ 34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2">
                  <a:moveTo>
                    <a:pt x="0" y="34"/>
                  </a:moveTo>
                  <a:lnTo>
                    <a:pt x="4" y="42"/>
                  </a:lnTo>
                  <a:lnTo>
                    <a:pt x="101" y="0"/>
                  </a:lnTo>
                  <a:lnTo>
                    <a:pt x="0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4" name="Freeform 416">
              <a:extLst>
                <a:ext uri="{FF2B5EF4-FFF2-40B4-BE49-F238E27FC236}">
                  <a16:creationId xmlns:a16="http://schemas.microsoft.com/office/drawing/2014/main" id="{A6287953-8D67-4F93-B33F-A99F28B33D08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7"/>
                <a:gd name="T1" fmla="*/ 42 h 50"/>
                <a:gd name="T2" fmla="*/ 3 w 97"/>
                <a:gd name="T3" fmla="*/ 50 h 50"/>
                <a:gd name="T4" fmla="*/ 97 w 97"/>
                <a:gd name="T5" fmla="*/ 0 h 50"/>
                <a:gd name="T6" fmla="*/ 0 w 97"/>
                <a:gd name="T7" fmla="*/ 42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0" y="42"/>
                  </a:moveTo>
                  <a:lnTo>
                    <a:pt x="3" y="50"/>
                  </a:lnTo>
                  <a:lnTo>
                    <a:pt x="97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5" name="Freeform 417">
              <a:extLst>
                <a:ext uri="{FF2B5EF4-FFF2-40B4-BE49-F238E27FC236}">
                  <a16:creationId xmlns:a16="http://schemas.microsoft.com/office/drawing/2014/main" id="{D4164126-87BC-4D76-8F59-E45B877A99C8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4"/>
                <a:gd name="T1" fmla="*/ 50 h 57"/>
                <a:gd name="T2" fmla="*/ 5 w 94"/>
                <a:gd name="T3" fmla="*/ 57 h 57"/>
                <a:gd name="T4" fmla="*/ 94 w 94"/>
                <a:gd name="T5" fmla="*/ 0 h 57"/>
                <a:gd name="T6" fmla="*/ 0 w 94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7">
                  <a:moveTo>
                    <a:pt x="0" y="50"/>
                  </a:moveTo>
                  <a:lnTo>
                    <a:pt x="5" y="57"/>
                  </a:lnTo>
                  <a:lnTo>
                    <a:pt x="94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6" name="Freeform 418">
              <a:extLst>
                <a:ext uri="{FF2B5EF4-FFF2-40B4-BE49-F238E27FC236}">
                  <a16:creationId xmlns:a16="http://schemas.microsoft.com/office/drawing/2014/main" id="{2777C73F-BE7E-4754-8A47-94287C2A77EC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9"/>
                <a:gd name="T1" fmla="*/ 57 h 64"/>
                <a:gd name="T2" fmla="*/ 5 w 89"/>
                <a:gd name="T3" fmla="*/ 64 h 64"/>
                <a:gd name="T4" fmla="*/ 89 w 89"/>
                <a:gd name="T5" fmla="*/ 0 h 64"/>
                <a:gd name="T6" fmla="*/ 0 w 89"/>
                <a:gd name="T7" fmla="*/ 57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4">
                  <a:moveTo>
                    <a:pt x="0" y="57"/>
                  </a:moveTo>
                  <a:lnTo>
                    <a:pt x="5" y="64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7" name="Freeform 419">
              <a:extLst>
                <a:ext uri="{FF2B5EF4-FFF2-40B4-BE49-F238E27FC236}">
                  <a16:creationId xmlns:a16="http://schemas.microsoft.com/office/drawing/2014/main" id="{7C291D8B-7075-490B-9BE8-A88C0DBA260F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4"/>
                <a:gd name="T1" fmla="*/ 64 h 71"/>
                <a:gd name="T2" fmla="*/ 6 w 84"/>
                <a:gd name="T3" fmla="*/ 71 h 71"/>
                <a:gd name="T4" fmla="*/ 84 w 84"/>
                <a:gd name="T5" fmla="*/ 0 h 71"/>
                <a:gd name="T6" fmla="*/ 0 w 84"/>
                <a:gd name="T7" fmla="*/ 64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1">
                  <a:moveTo>
                    <a:pt x="0" y="64"/>
                  </a:moveTo>
                  <a:lnTo>
                    <a:pt x="6" y="71"/>
                  </a:lnTo>
                  <a:lnTo>
                    <a:pt x="84" y="0"/>
                  </a:lnTo>
                  <a:lnTo>
                    <a:pt x="0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8" name="Freeform 420">
              <a:extLst>
                <a:ext uri="{FF2B5EF4-FFF2-40B4-BE49-F238E27FC236}">
                  <a16:creationId xmlns:a16="http://schemas.microsoft.com/office/drawing/2014/main" id="{83AC942B-42C9-4CFE-8EF9-BC50F631C82B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8"/>
                <a:gd name="T1" fmla="*/ 71 h 77"/>
                <a:gd name="T2" fmla="*/ 6 w 78"/>
                <a:gd name="T3" fmla="*/ 77 h 77"/>
                <a:gd name="T4" fmla="*/ 78 w 78"/>
                <a:gd name="T5" fmla="*/ 0 h 77"/>
                <a:gd name="T6" fmla="*/ 0 w 78"/>
                <a:gd name="T7" fmla="*/ 71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7">
                  <a:moveTo>
                    <a:pt x="0" y="71"/>
                  </a:moveTo>
                  <a:lnTo>
                    <a:pt x="6" y="77"/>
                  </a:lnTo>
                  <a:lnTo>
                    <a:pt x="78" y="0"/>
                  </a:lnTo>
                  <a:lnTo>
                    <a:pt x="0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9" name="Freeform 421">
              <a:extLst>
                <a:ext uri="{FF2B5EF4-FFF2-40B4-BE49-F238E27FC236}">
                  <a16:creationId xmlns:a16="http://schemas.microsoft.com/office/drawing/2014/main" id="{B6F397FD-2762-402D-A576-126B552B009A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2"/>
                <a:gd name="T1" fmla="*/ 77 h 83"/>
                <a:gd name="T2" fmla="*/ 6 w 72"/>
                <a:gd name="T3" fmla="*/ 83 h 83"/>
                <a:gd name="T4" fmla="*/ 72 w 72"/>
                <a:gd name="T5" fmla="*/ 0 h 83"/>
                <a:gd name="T6" fmla="*/ 0 w 72"/>
                <a:gd name="T7" fmla="*/ 77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0" y="77"/>
                  </a:moveTo>
                  <a:lnTo>
                    <a:pt x="6" y="83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0" name="Freeform 422">
              <a:extLst>
                <a:ext uri="{FF2B5EF4-FFF2-40B4-BE49-F238E27FC236}">
                  <a16:creationId xmlns:a16="http://schemas.microsoft.com/office/drawing/2014/main" id="{3C1D36D9-5422-454D-9456-FED060510C7B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66"/>
                <a:gd name="T1" fmla="*/ 83 h 88"/>
                <a:gd name="T2" fmla="*/ 7 w 66"/>
                <a:gd name="T3" fmla="*/ 88 h 88"/>
                <a:gd name="T4" fmla="*/ 66 w 66"/>
                <a:gd name="T5" fmla="*/ 0 h 88"/>
                <a:gd name="T6" fmla="*/ 0 w 66"/>
                <a:gd name="T7" fmla="*/ 83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0" y="83"/>
                  </a:moveTo>
                  <a:lnTo>
                    <a:pt x="7" y="88"/>
                  </a:lnTo>
                  <a:lnTo>
                    <a:pt x="66" y="0"/>
                  </a:lnTo>
                  <a:lnTo>
                    <a:pt x="0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1" name="Freeform 423">
              <a:extLst>
                <a:ext uri="{FF2B5EF4-FFF2-40B4-BE49-F238E27FC236}">
                  <a16:creationId xmlns:a16="http://schemas.microsoft.com/office/drawing/2014/main" id="{5F673B4D-5ECB-44BF-BC97-011982C321B3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9"/>
                <a:gd name="T1" fmla="*/ 88 h 92"/>
                <a:gd name="T2" fmla="*/ 8 w 59"/>
                <a:gd name="T3" fmla="*/ 92 h 92"/>
                <a:gd name="T4" fmla="*/ 59 w 59"/>
                <a:gd name="T5" fmla="*/ 0 h 92"/>
                <a:gd name="T6" fmla="*/ 0 w 59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2">
                  <a:moveTo>
                    <a:pt x="0" y="88"/>
                  </a:moveTo>
                  <a:lnTo>
                    <a:pt x="8" y="92"/>
                  </a:lnTo>
                  <a:lnTo>
                    <a:pt x="59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2" name="Freeform 424">
              <a:extLst>
                <a:ext uri="{FF2B5EF4-FFF2-40B4-BE49-F238E27FC236}">
                  <a16:creationId xmlns:a16="http://schemas.microsoft.com/office/drawing/2014/main" id="{91C5FCE5-D5B5-493E-881A-739E5AC46ED6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1"/>
                <a:gd name="T1" fmla="*/ 92 h 96"/>
                <a:gd name="T2" fmla="*/ 8 w 51"/>
                <a:gd name="T3" fmla="*/ 96 h 96"/>
                <a:gd name="T4" fmla="*/ 51 w 51"/>
                <a:gd name="T5" fmla="*/ 0 h 96"/>
                <a:gd name="T6" fmla="*/ 0 w 51"/>
                <a:gd name="T7" fmla="*/ 92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6">
                  <a:moveTo>
                    <a:pt x="0" y="92"/>
                  </a:moveTo>
                  <a:lnTo>
                    <a:pt x="8" y="96"/>
                  </a:lnTo>
                  <a:lnTo>
                    <a:pt x="51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3" name="Freeform 425">
              <a:extLst>
                <a:ext uri="{FF2B5EF4-FFF2-40B4-BE49-F238E27FC236}">
                  <a16:creationId xmlns:a16="http://schemas.microsoft.com/office/drawing/2014/main" id="{77FAF634-6DE4-4344-B703-C0CD36BBAAE3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2"/>
            </a:xfrm>
            <a:custGeom>
              <a:avLst/>
              <a:gdLst>
                <a:gd name="T0" fmla="*/ 0 w 43"/>
                <a:gd name="T1" fmla="*/ 96 h 99"/>
                <a:gd name="T2" fmla="*/ 8 w 43"/>
                <a:gd name="T3" fmla="*/ 99 h 99"/>
                <a:gd name="T4" fmla="*/ 43 w 43"/>
                <a:gd name="T5" fmla="*/ 0 h 99"/>
                <a:gd name="T6" fmla="*/ 0 w 43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99">
                  <a:moveTo>
                    <a:pt x="0" y="96"/>
                  </a:moveTo>
                  <a:lnTo>
                    <a:pt x="8" y="99"/>
                  </a:lnTo>
                  <a:lnTo>
                    <a:pt x="43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4" name="Freeform 426">
              <a:extLst>
                <a:ext uri="{FF2B5EF4-FFF2-40B4-BE49-F238E27FC236}">
                  <a16:creationId xmlns:a16="http://schemas.microsoft.com/office/drawing/2014/main" id="{996E6858-11C9-465D-8B73-24F016253225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35"/>
                <a:gd name="T1" fmla="*/ 99 h 102"/>
                <a:gd name="T2" fmla="*/ 8 w 35"/>
                <a:gd name="T3" fmla="*/ 102 h 102"/>
                <a:gd name="T4" fmla="*/ 35 w 35"/>
                <a:gd name="T5" fmla="*/ 0 h 102"/>
                <a:gd name="T6" fmla="*/ 0 w 35"/>
                <a:gd name="T7" fmla="*/ 99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0" y="99"/>
                  </a:moveTo>
                  <a:lnTo>
                    <a:pt x="8" y="102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5" name="Freeform 427">
              <a:extLst>
                <a:ext uri="{FF2B5EF4-FFF2-40B4-BE49-F238E27FC236}">
                  <a16:creationId xmlns:a16="http://schemas.microsoft.com/office/drawing/2014/main" id="{644EE2AA-9A8E-4E72-B131-D1C306FE864F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27"/>
                <a:gd name="T1" fmla="*/ 102 h 104"/>
                <a:gd name="T2" fmla="*/ 9 w 27"/>
                <a:gd name="T3" fmla="*/ 104 h 104"/>
                <a:gd name="T4" fmla="*/ 27 w 27"/>
                <a:gd name="T5" fmla="*/ 0 h 104"/>
                <a:gd name="T6" fmla="*/ 0 w 27"/>
                <a:gd name="T7" fmla="*/ 10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0" y="102"/>
                  </a:moveTo>
                  <a:lnTo>
                    <a:pt x="9" y="104"/>
                  </a:lnTo>
                  <a:lnTo>
                    <a:pt x="27" y="0"/>
                  </a:lnTo>
                  <a:lnTo>
                    <a:pt x="0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6" name="Freeform 428">
              <a:extLst>
                <a:ext uri="{FF2B5EF4-FFF2-40B4-BE49-F238E27FC236}">
                  <a16:creationId xmlns:a16="http://schemas.microsoft.com/office/drawing/2014/main" id="{8E93CF9E-F34F-4B98-AB55-4ABA2FCCC7C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18"/>
                <a:gd name="T1" fmla="*/ 104 h 105"/>
                <a:gd name="T2" fmla="*/ 9 w 18"/>
                <a:gd name="T3" fmla="*/ 105 h 105"/>
                <a:gd name="T4" fmla="*/ 18 w 18"/>
                <a:gd name="T5" fmla="*/ 0 h 105"/>
                <a:gd name="T6" fmla="*/ 0 w 18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0" y="104"/>
                  </a:moveTo>
                  <a:lnTo>
                    <a:pt x="9" y="105"/>
                  </a:lnTo>
                  <a:lnTo>
                    <a:pt x="18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7" name="Freeform 429">
              <a:extLst>
                <a:ext uri="{FF2B5EF4-FFF2-40B4-BE49-F238E27FC236}">
                  <a16:creationId xmlns:a16="http://schemas.microsoft.com/office/drawing/2014/main" id="{49FDC5EC-E08C-4810-9BF0-9AD8AFFD0AAF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9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9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8" name="Freeform 430">
              <a:extLst>
                <a:ext uri="{FF2B5EF4-FFF2-40B4-BE49-F238E27FC236}">
                  <a16:creationId xmlns:a16="http://schemas.microsoft.com/office/drawing/2014/main" id="{3705C196-042E-4429-B4EB-6D8B8A6AEC9F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0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9" name="Freeform 431">
              <a:extLst>
                <a:ext uri="{FF2B5EF4-FFF2-40B4-BE49-F238E27FC236}">
                  <a16:creationId xmlns:a16="http://schemas.microsoft.com/office/drawing/2014/main" id="{6A0C4450-A4BC-4CE6-8B1A-85A4C53B57C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9 w 17"/>
                <a:gd name="T1" fmla="*/ 105 h 105"/>
                <a:gd name="T2" fmla="*/ 17 w 17"/>
                <a:gd name="T3" fmla="*/ 104 h 105"/>
                <a:gd name="T4" fmla="*/ 0 w 17"/>
                <a:gd name="T5" fmla="*/ 0 h 105"/>
                <a:gd name="T6" fmla="*/ 9 w 1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9" y="105"/>
                  </a:moveTo>
                  <a:lnTo>
                    <a:pt x="17" y="104"/>
                  </a:lnTo>
                  <a:lnTo>
                    <a:pt x="0" y="0"/>
                  </a:lnTo>
                  <a:lnTo>
                    <a:pt x="9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0" name="Freeform 432">
              <a:extLst>
                <a:ext uri="{FF2B5EF4-FFF2-40B4-BE49-F238E27FC236}">
                  <a16:creationId xmlns:a16="http://schemas.microsoft.com/office/drawing/2014/main" id="{B30E8DC4-1DFA-4AC5-9E5A-A7A24170C34D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17 w 26"/>
                <a:gd name="T1" fmla="*/ 104 h 104"/>
                <a:gd name="T2" fmla="*/ 26 w 26"/>
                <a:gd name="T3" fmla="*/ 102 h 104"/>
                <a:gd name="T4" fmla="*/ 0 w 26"/>
                <a:gd name="T5" fmla="*/ 0 h 104"/>
                <a:gd name="T6" fmla="*/ 17 w 26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17" y="104"/>
                  </a:moveTo>
                  <a:lnTo>
                    <a:pt x="26" y="102"/>
                  </a:lnTo>
                  <a:lnTo>
                    <a:pt x="0" y="0"/>
                  </a:lnTo>
                  <a:lnTo>
                    <a:pt x="17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1" name="Freeform 433">
              <a:extLst>
                <a:ext uri="{FF2B5EF4-FFF2-40B4-BE49-F238E27FC236}">
                  <a16:creationId xmlns:a16="http://schemas.microsoft.com/office/drawing/2014/main" id="{14EBB518-5D8B-4659-A743-6BC7E3F1E9E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26 w 34"/>
                <a:gd name="T1" fmla="*/ 102 h 102"/>
                <a:gd name="T2" fmla="*/ 34 w 34"/>
                <a:gd name="T3" fmla="*/ 99 h 102"/>
                <a:gd name="T4" fmla="*/ 0 w 34"/>
                <a:gd name="T5" fmla="*/ 0 h 102"/>
                <a:gd name="T6" fmla="*/ 26 w 34"/>
                <a:gd name="T7" fmla="*/ 10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26" y="102"/>
                  </a:moveTo>
                  <a:lnTo>
                    <a:pt x="34" y="99"/>
                  </a:lnTo>
                  <a:lnTo>
                    <a:pt x="0" y="0"/>
                  </a:lnTo>
                  <a:lnTo>
                    <a:pt x="26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2" name="Freeform 434">
              <a:extLst>
                <a:ext uri="{FF2B5EF4-FFF2-40B4-BE49-F238E27FC236}">
                  <a16:creationId xmlns:a16="http://schemas.microsoft.com/office/drawing/2014/main" id="{658F9771-874F-46B7-8027-AB1B4A0B7F54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34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4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4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4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3" name="Freeform 435">
              <a:extLst>
                <a:ext uri="{FF2B5EF4-FFF2-40B4-BE49-F238E27FC236}">
                  <a16:creationId xmlns:a16="http://schemas.microsoft.com/office/drawing/2014/main" id="{21019186-1F32-4BC1-90EF-70AF71055D2F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42 w 50"/>
                <a:gd name="T1" fmla="*/ 96 h 96"/>
                <a:gd name="T2" fmla="*/ 50 w 50"/>
                <a:gd name="T3" fmla="*/ 92 h 96"/>
                <a:gd name="T4" fmla="*/ 0 w 50"/>
                <a:gd name="T5" fmla="*/ 0 h 96"/>
                <a:gd name="T6" fmla="*/ 42 w 50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42" y="96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4" name="Freeform 436">
              <a:extLst>
                <a:ext uri="{FF2B5EF4-FFF2-40B4-BE49-F238E27FC236}">
                  <a16:creationId xmlns:a16="http://schemas.microsoft.com/office/drawing/2014/main" id="{DCBA6D99-2547-4178-A471-67C2D02F442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0 w 58"/>
                <a:gd name="T1" fmla="*/ 92 h 92"/>
                <a:gd name="T2" fmla="*/ 58 w 58"/>
                <a:gd name="T3" fmla="*/ 88 h 92"/>
                <a:gd name="T4" fmla="*/ 0 w 58"/>
                <a:gd name="T5" fmla="*/ 0 h 92"/>
                <a:gd name="T6" fmla="*/ 50 w 58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2">
                  <a:moveTo>
                    <a:pt x="50" y="92"/>
                  </a:moveTo>
                  <a:lnTo>
                    <a:pt x="58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5" name="Freeform 437">
              <a:extLst>
                <a:ext uri="{FF2B5EF4-FFF2-40B4-BE49-F238E27FC236}">
                  <a16:creationId xmlns:a16="http://schemas.microsoft.com/office/drawing/2014/main" id="{08138A13-16B4-481E-A245-70EF488FF20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8 w 65"/>
                <a:gd name="T1" fmla="*/ 88 h 88"/>
                <a:gd name="T2" fmla="*/ 65 w 65"/>
                <a:gd name="T3" fmla="*/ 83 h 88"/>
                <a:gd name="T4" fmla="*/ 0 w 65"/>
                <a:gd name="T5" fmla="*/ 0 h 88"/>
                <a:gd name="T6" fmla="*/ 58 w 65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58" y="88"/>
                  </a:moveTo>
                  <a:lnTo>
                    <a:pt x="65" y="83"/>
                  </a:lnTo>
                  <a:lnTo>
                    <a:pt x="0" y="0"/>
                  </a:lnTo>
                  <a:lnTo>
                    <a:pt x="58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6" name="Freeform 438">
              <a:extLst>
                <a:ext uri="{FF2B5EF4-FFF2-40B4-BE49-F238E27FC236}">
                  <a16:creationId xmlns:a16="http://schemas.microsoft.com/office/drawing/2014/main" id="{1FE3B835-399E-4D5A-A265-E9ACEB4A4C5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65 w 71"/>
                <a:gd name="T1" fmla="*/ 83 h 83"/>
                <a:gd name="T2" fmla="*/ 71 w 71"/>
                <a:gd name="T3" fmla="*/ 77 h 83"/>
                <a:gd name="T4" fmla="*/ 0 w 71"/>
                <a:gd name="T5" fmla="*/ 0 h 83"/>
                <a:gd name="T6" fmla="*/ 65 w 71"/>
                <a:gd name="T7" fmla="*/ 83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65" y="83"/>
                  </a:moveTo>
                  <a:lnTo>
                    <a:pt x="71" y="77"/>
                  </a:lnTo>
                  <a:lnTo>
                    <a:pt x="0" y="0"/>
                  </a:lnTo>
                  <a:lnTo>
                    <a:pt x="65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7" name="Freeform 439">
              <a:extLst>
                <a:ext uri="{FF2B5EF4-FFF2-40B4-BE49-F238E27FC236}">
                  <a16:creationId xmlns:a16="http://schemas.microsoft.com/office/drawing/2014/main" id="{2CC4A8AF-AA20-4127-A213-57CEA01C37C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1 w 77"/>
                <a:gd name="T1" fmla="*/ 77 h 77"/>
                <a:gd name="T2" fmla="*/ 77 w 77"/>
                <a:gd name="T3" fmla="*/ 71 h 77"/>
                <a:gd name="T4" fmla="*/ 0 w 77"/>
                <a:gd name="T5" fmla="*/ 0 h 77"/>
                <a:gd name="T6" fmla="*/ 71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1" y="77"/>
                  </a:moveTo>
                  <a:lnTo>
                    <a:pt x="77" y="71"/>
                  </a:lnTo>
                  <a:lnTo>
                    <a:pt x="0" y="0"/>
                  </a:lnTo>
                  <a:lnTo>
                    <a:pt x="71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8" name="Freeform 440">
              <a:extLst>
                <a:ext uri="{FF2B5EF4-FFF2-40B4-BE49-F238E27FC236}">
                  <a16:creationId xmlns:a16="http://schemas.microsoft.com/office/drawing/2014/main" id="{36A30710-045A-4EC0-8EF4-2AA40A834CD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7 w 83"/>
                <a:gd name="T1" fmla="*/ 71 h 71"/>
                <a:gd name="T2" fmla="*/ 83 w 83"/>
                <a:gd name="T3" fmla="*/ 64 h 71"/>
                <a:gd name="T4" fmla="*/ 0 w 83"/>
                <a:gd name="T5" fmla="*/ 0 h 71"/>
                <a:gd name="T6" fmla="*/ 77 w 83"/>
                <a:gd name="T7" fmla="*/ 71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1">
                  <a:moveTo>
                    <a:pt x="77" y="71"/>
                  </a:moveTo>
                  <a:lnTo>
                    <a:pt x="83" y="64"/>
                  </a:lnTo>
                  <a:lnTo>
                    <a:pt x="0" y="0"/>
                  </a:lnTo>
                  <a:lnTo>
                    <a:pt x="77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9" name="Freeform 441">
              <a:extLst>
                <a:ext uri="{FF2B5EF4-FFF2-40B4-BE49-F238E27FC236}">
                  <a16:creationId xmlns:a16="http://schemas.microsoft.com/office/drawing/2014/main" id="{C544DC86-F5B0-429A-A78E-EE664540606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3 w 88"/>
                <a:gd name="T1" fmla="*/ 64 h 64"/>
                <a:gd name="T2" fmla="*/ 88 w 88"/>
                <a:gd name="T3" fmla="*/ 57 h 64"/>
                <a:gd name="T4" fmla="*/ 0 w 88"/>
                <a:gd name="T5" fmla="*/ 0 h 64"/>
                <a:gd name="T6" fmla="*/ 83 w 88"/>
                <a:gd name="T7" fmla="*/ 64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4">
                  <a:moveTo>
                    <a:pt x="83" y="64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3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0" name="Freeform 442">
              <a:extLst>
                <a:ext uri="{FF2B5EF4-FFF2-40B4-BE49-F238E27FC236}">
                  <a16:creationId xmlns:a16="http://schemas.microsoft.com/office/drawing/2014/main" id="{B92C89F2-076B-405A-ADA8-440A93B3022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8 w 93"/>
                <a:gd name="T1" fmla="*/ 57 h 57"/>
                <a:gd name="T2" fmla="*/ 93 w 93"/>
                <a:gd name="T3" fmla="*/ 50 h 57"/>
                <a:gd name="T4" fmla="*/ 0 w 93"/>
                <a:gd name="T5" fmla="*/ 0 h 57"/>
                <a:gd name="T6" fmla="*/ 88 w 93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7">
                  <a:moveTo>
                    <a:pt x="88" y="57"/>
                  </a:moveTo>
                  <a:lnTo>
                    <a:pt x="93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1" name="Freeform 443">
              <a:extLst>
                <a:ext uri="{FF2B5EF4-FFF2-40B4-BE49-F238E27FC236}">
                  <a16:creationId xmlns:a16="http://schemas.microsoft.com/office/drawing/2014/main" id="{C9B29B45-5B26-466D-A001-5830DAC903A3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3 w 96"/>
                <a:gd name="T1" fmla="*/ 50 h 50"/>
                <a:gd name="T2" fmla="*/ 96 w 96"/>
                <a:gd name="T3" fmla="*/ 42 h 50"/>
                <a:gd name="T4" fmla="*/ 0 w 96"/>
                <a:gd name="T5" fmla="*/ 0 h 50"/>
                <a:gd name="T6" fmla="*/ 93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3" y="50"/>
                  </a:moveTo>
                  <a:lnTo>
                    <a:pt x="96" y="42"/>
                  </a:lnTo>
                  <a:lnTo>
                    <a:pt x="0" y="0"/>
                  </a:lnTo>
                  <a:lnTo>
                    <a:pt x="93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2" name="Freeform 444">
              <a:extLst>
                <a:ext uri="{FF2B5EF4-FFF2-40B4-BE49-F238E27FC236}">
                  <a16:creationId xmlns:a16="http://schemas.microsoft.com/office/drawing/2014/main" id="{3ACC4C1C-4BC6-4CA6-A8A2-3A832B0DE805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6 w 99"/>
                <a:gd name="T1" fmla="*/ 42 h 42"/>
                <a:gd name="T2" fmla="*/ 99 w 99"/>
                <a:gd name="T3" fmla="*/ 34 h 42"/>
                <a:gd name="T4" fmla="*/ 0 w 99"/>
                <a:gd name="T5" fmla="*/ 0 h 42"/>
                <a:gd name="T6" fmla="*/ 96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6" y="42"/>
                  </a:moveTo>
                  <a:lnTo>
                    <a:pt x="99" y="34"/>
                  </a:lnTo>
                  <a:lnTo>
                    <a:pt x="0" y="0"/>
                  </a:lnTo>
                  <a:lnTo>
                    <a:pt x="96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3" name="Freeform 445">
              <a:extLst>
                <a:ext uri="{FF2B5EF4-FFF2-40B4-BE49-F238E27FC236}">
                  <a16:creationId xmlns:a16="http://schemas.microsoft.com/office/drawing/2014/main" id="{A9A6F9CE-87FB-4071-8268-5935B3134E76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99 w 102"/>
                <a:gd name="T1" fmla="*/ 34 h 34"/>
                <a:gd name="T2" fmla="*/ 102 w 102"/>
                <a:gd name="T3" fmla="*/ 26 h 34"/>
                <a:gd name="T4" fmla="*/ 0 w 102"/>
                <a:gd name="T5" fmla="*/ 0 h 34"/>
                <a:gd name="T6" fmla="*/ 99 w 102"/>
                <a:gd name="T7" fmla="*/ 34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4">
                  <a:moveTo>
                    <a:pt x="99" y="34"/>
                  </a:moveTo>
                  <a:lnTo>
                    <a:pt x="102" y="26"/>
                  </a:lnTo>
                  <a:lnTo>
                    <a:pt x="0" y="0"/>
                  </a:lnTo>
                  <a:lnTo>
                    <a:pt x="99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4" name="Freeform 446">
              <a:extLst>
                <a:ext uri="{FF2B5EF4-FFF2-40B4-BE49-F238E27FC236}">
                  <a16:creationId xmlns:a16="http://schemas.microsoft.com/office/drawing/2014/main" id="{A46413BB-E56C-48E0-A4E4-3EF728C5CDC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2 w 104"/>
                <a:gd name="T1" fmla="*/ 26 h 26"/>
                <a:gd name="T2" fmla="*/ 104 w 104"/>
                <a:gd name="T3" fmla="*/ 17 h 26"/>
                <a:gd name="T4" fmla="*/ 0 w 104"/>
                <a:gd name="T5" fmla="*/ 0 h 26"/>
                <a:gd name="T6" fmla="*/ 102 w 104"/>
                <a:gd name="T7" fmla="*/ 26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2" y="26"/>
                  </a:moveTo>
                  <a:lnTo>
                    <a:pt x="104" y="17"/>
                  </a:lnTo>
                  <a:lnTo>
                    <a:pt x="0" y="0"/>
                  </a:lnTo>
                  <a:lnTo>
                    <a:pt x="102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5" name="Freeform 447">
              <a:extLst>
                <a:ext uri="{FF2B5EF4-FFF2-40B4-BE49-F238E27FC236}">
                  <a16:creationId xmlns:a16="http://schemas.microsoft.com/office/drawing/2014/main" id="{B2D1A3FE-43F1-4F58-A6CB-1EB05ABED18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4 w 105"/>
                <a:gd name="T1" fmla="*/ 17 h 17"/>
                <a:gd name="T2" fmla="*/ 105 w 105"/>
                <a:gd name="T3" fmla="*/ 8 h 17"/>
                <a:gd name="T4" fmla="*/ 0 w 105"/>
                <a:gd name="T5" fmla="*/ 0 h 17"/>
                <a:gd name="T6" fmla="*/ 104 w 105"/>
                <a:gd name="T7" fmla="*/ 17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7">
                  <a:moveTo>
                    <a:pt x="104" y="17"/>
                  </a:moveTo>
                  <a:lnTo>
                    <a:pt x="105" y="8"/>
                  </a:lnTo>
                  <a:lnTo>
                    <a:pt x="0" y="0"/>
                  </a:lnTo>
                  <a:lnTo>
                    <a:pt x="104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6" name="Freeform 448">
              <a:extLst>
                <a:ext uri="{FF2B5EF4-FFF2-40B4-BE49-F238E27FC236}">
                  <a16:creationId xmlns:a16="http://schemas.microsoft.com/office/drawing/2014/main" id="{CF67F88C-3E40-4DEE-A369-A7C8CDF86C46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0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7" name="Freeform 449">
              <a:extLst>
                <a:ext uri="{FF2B5EF4-FFF2-40B4-BE49-F238E27FC236}">
                  <a16:creationId xmlns:a16="http://schemas.microsoft.com/office/drawing/2014/main" id="{DCD410A1-82A2-44AA-A4C2-7BF4C533A9E9}"/>
                </a:ext>
              </a:extLst>
            </xdr:cNvPr>
            <xdr:cNvSpPr>
              <a:spLocks/>
            </xdr:cNvSpPr>
          </xdr:nvSpPr>
          <xdr:spPr bwMode="auto">
            <a:xfrm>
              <a:off x="1178" y="188"/>
              <a:ext cx="6" cy="9"/>
            </a:xfrm>
            <a:custGeom>
              <a:avLst/>
              <a:gdLst>
                <a:gd name="T0" fmla="*/ 0 w 350"/>
                <a:gd name="T1" fmla="*/ 526 h 526"/>
                <a:gd name="T2" fmla="*/ 263 w 350"/>
                <a:gd name="T3" fmla="*/ 526 h 526"/>
                <a:gd name="T4" fmla="*/ 350 w 350"/>
                <a:gd name="T5" fmla="*/ 439 h 526"/>
                <a:gd name="T6" fmla="*/ 350 w 350"/>
                <a:gd name="T7" fmla="*/ 88 h 526"/>
                <a:gd name="T8" fmla="*/ 263 w 350"/>
                <a:gd name="T9" fmla="*/ 0 h 526"/>
                <a:gd name="T10" fmla="*/ 0 w 350"/>
                <a:gd name="T11" fmla="*/ 0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0" h="526">
                  <a:moveTo>
                    <a:pt x="0" y="526"/>
                  </a:moveTo>
                  <a:lnTo>
                    <a:pt x="263" y="526"/>
                  </a:lnTo>
                  <a:lnTo>
                    <a:pt x="350" y="439"/>
                  </a:lnTo>
                  <a:lnTo>
                    <a:pt x="350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38" name="Line 450">
              <a:extLst>
                <a:ext uri="{FF2B5EF4-FFF2-40B4-BE49-F238E27FC236}">
                  <a16:creationId xmlns:a16="http://schemas.microsoft.com/office/drawing/2014/main" id="{F2C88CCB-3E52-4BEC-B520-1173D2EDFBA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0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9" name="Freeform 451">
              <a:extLst>
                <a:ext uri="{FF2B5EF4-FFF2-40B4-BE49-F238E27FC236}">
                  <a16:creationId xmlns:a16="http://schemas.microsoft.com/office/drawing/2014/main" id="{DFCFE840-296B-4B70-A9EE-B53704AD4804}"/>
                </a:ext>
              </a:extLst>
            </xdr:cNvPr>
            <xdr:cNvSpPr>
              <a:spLocks/>
            </xdr:cNvSpPr>
          </xdr:nvSpPr>
          <xdr:spPr bwMode="auto">
            <a:xfrm>
              <a:off x="1190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40" name="Freeform 452">
              <a:extLst>
                <a:ext uri="{FF2B5EF4-FFF2-40B4-BE49-F238E27FC236}">
                  <a16:creationId xmlns:a16="http://schemas.microsoft.com/office/drawing/2014/main" id="{52A0CA8F-6069-4137-BF1E-F16A64CFE00D}"/>
                </a:ext>
              </a:extLst>
            </xdr:cNvPr>
            <xdr:cNvSpPr>
              <a:spLocks/>
            </xdr:cNvSpPr>
          </xdr:nvSpPr>
          <xdr:spPr bwMode="auto">
            <a:xfrm>
              <a:off x="1190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6" name="Freeform 454">
            <a:extLst>
              <a:ext uri="{FF2B5EF4-FFF2-40B4-BE49-F238E27FC236}">
                <a16:creationId xmlns:a16="http://schemas.microsoft.com/office/drawing/2014/main" id="{152F805E-E227-409D-A74D-881246D03378}"/>
              </a:ext>
            </a:extLst>
          </xdr:cNvPr>
          <xdr:cNvSpPr>
            <a:spLocks/>
          </xdr:cNvSpPr>
        </xdr:nvSpPr>
        <xdr:spPr bwMode="auto">
          <a:xfrm>
            <a:off x="1190" y="200"/>
            <a:ext cx="1" cy="2"/>
          </a:xfrm>
          <a:custGeom>
            <a:avLst/>
            <a:gdLst>
              <a:gd name="T0" fmla="*/ 53 w 53"/>
              <a:gd name="T1" fmla="*/ 14 h 106"/>
              <a:gd name="T2" fmla="*/ 0 w 53"/>
              <a:gd name="T3" fmla="*/ 0 h 106"/>
              <a:gd name="T4" fmla="*/ 0 w 53"/>
              <a:gd name="T5" fmla="*/ 106 h 106"/>
              <a:gd name="T6" fmla="*/ 53 w 53"/>
              <a:gd name="T7" fmla="*/ 14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14"/>
                </a:moveTo>
                <a:lnTo>
                  <a:pt x="0" y="0"/>
                </a:lnTo>
                <a:lnTo>
                  <a:pt x="0" y="106"/>
                </a:lnTo>
                <a:lnTo>
                  <a:pt x="53" y="14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Freeform 455">
            <a:extLst>
              <a:ext uri="{FF2B5EF4-FFF2-40B4-BE49-F238E27FC236}">
                <a16:creationId xmlns:a16="http://schemas.microsoft.com/office/drawing/2014/main" id="{49FD38BA-A3A2-465A-936B-23F96F9532C8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53 w 53"/>
              <a:gd name="T1" fmla="*/ 0 h 106"/>
              <a:gd name="T2" fmla="*/ 0 w 53"/>
              <a:gd name="T3" fmla="*/ 14 h 106"/>
              <a:gd name="T4" fmla="*/ 53 w 53"/>
              <a:gd name="T5" fmla="*/ 106 h 106"/>
              <a:gd name="T6" fmla="*/ 53 w 53"/>
              <a:gd name="T7" fmla="*/ 0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0"/>
                </a:moveTo>
                <a:lnTo>
                  <a:pt x="0" y="14"/>
                </a:lnTo>
                <a:lnTo>
                  <a:pt x="53" y="106"/>
                </a:lnTo>
                <a:lnTo>
                  <a:pt x="53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" name="Freeform 456">
            <a:extLst>
              <a:ext uri="{FF2B5EF4-FFF2-40B4-BE49-F238E27FC236}">
                <a16:creationId xmlns:a16="http://schemas.microsoft.com/office/drawing/2014/main" id="{446E8B6E-5E08-4530-989F-B01CDD93CD17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38 w 91"/>
              <a:gd name="T1" fmla="*/ 0 h 92"/>
              <a:gd name="T2" fmla="*/ 0 w 91"/>
              <a:gd name="T3" fmla="*/ 39 h 92"/>
              <a:gd name="T4" fmla="*/ 91 w 91"/>
              <a:gd name="T5" fmla="*/ 92 h 92"/>
              <a:gd name="T6" fmla="*/ 38 w 91"/>
              <a:gd name="T7" fmla="*/ 0 h 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2">
                <a:moveTo>
                  <a:pt x="38" y="0"/>
                </a:moveTo>
                <a:lnTo>
                  <a:pt x="0" y="39"/>
                </a:lnTo>
                <a:lnTo>
                  <a:pt x="91" y="92"/>
                </a:lnTo>
                <a:lnTo>
                  <a:pt x="38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Freeform 457">
            <a:extLst>
              <a:ext uri="{FF2B5EF4-FFF2-40B4-BE49-F238E27FC236}">
                <a16:creationId xmlns:a16="http://schemas.microsoft.com/office/drawing/2014/main" id="{1D4A373D-E905-42D2-9F4D-8E533730B967}"/>
              </a:ext>
            </a:extLst>
          </xdr:cNvPr>
          <xdr:cNvSpPr>
            <a:spLocks/>
          </xdr:cNvSpPr>
        </xdr:nvSpPr>
        <xdr:spPr bwMode="auto">
          <a:xfrm>
            <a:off x="1188" y="201"/>
            <a:ext cx="2" cy="1"/>
          </a:xfrm>
          <a:custGeom>
            <a:avLst/>
            <a:gdLst>
              <a:gd name="T0" fmla="*/ 15 w 106"/>
              <a:gd name="T1" fmla="*/ 0 h 53"/>
              <a:gd name="T2" fmla="*/ 0 w 106"/>
              <a:gd name="T3" fmla="*/ 53 h 53"/>
              <a:gd name="T4" fmla="*/ 106 w 106"/>
              <a:gd name="T5" fmla="*/ 53 h 53"/>
              <a:gd name="T6" fmla="*/ 15 w 106"/>
              <a:gd name="T7" fmla="*/ 0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3">
                <a:moveTo>
                  <a:pt x="15" y="0"/>
                </a:moveTo>
                <a:lnTo>
                  <a:pt x="0" y="53"/>
                </a:lnTo>
                <a:lnTo>
                  <a:pt x="106" y="53"/>
                </a:lnTo>
                <a:lnTo>
                  <a:pt x="15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" name="Freeform 458">
            <a:extLst>
              <a:ext uri="{FF2B5EF4-FFF2-40B4-BE49-F238E27FC236}">
                <a16:creationId xmlns:a16="http://schemas.microsoft.com/office/drawing/2014/main" id="{B4D71AC0-B320-423E-AEC7-52CF648697A4}"/>
              </a:ext>
            </a:extLst>
          </xdr:cNvPr>
          <xdr:cNvSpPr>
            <a:spLocks/>
          </xdr:cNvSpPr>
        </xdr:nvSpPr>
        <xdr:spPr bwMode="auto">
          <a:xfrm>
            <a:off x="1188" y="202"/>
            <a:ext cx="2" cy="1"/>
          </a:xfrm>
          <a:custGeom>
            <a:avLst/>
            <a:gdLst>
              <a:gd name="T0" fmla="*/ 0 w 106"/>
              <a:gd name="T1" fmla="*/ 0 h 52"/>
              <a:gd name="T2" fmla="*/ 15 w 106"/>
              <a:gd name="T3" fmla="*/ 52 h 52"/>
              <a:gd name="T4" fmla="*/ 106 w 106"/>
              <a:gd name="T5" fmla="*/ 0 h 52"/>
              <a:gd name="T6" fmla="*/ 0 w 106"/>
              <a:gd name="T7" fmla="*/ 0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2">
                <a:moveTo>
                  <a:pt x="0" y="0"/>
                </a:moveTo>
                <a:lnTo>
                  <a:pt x="15" y="52"/>
                </a:lnTo>
                <a:lnTo>
                  <a:pt x="106" y="0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" name="Freeform 459">
            <a:extLst>
              <a:ext uri="{FF2B5EF4-FFF2-40B4-BE49-F238E27FC236}">
                <a16:creationId xmlns:a16="http://schemas.microsoft.com/office/drawing/2014/main" id="{B3DE0393-08E3-49CE-BF17-809EC431AC6B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1"/>
          </a:xfrm>
          <a:custGeom>
            <a:avLst/>
            <a:gdLst>
              <a:gd name="T0" fmla="*/ 0 w 91"/>
              <a:gd name="T1" fmla="*/ 52 h 91"/>
              <a:gd name="T2" fmla="*/ 38 w 91"/>
              <a:gd name="T3" fmla="*/ 91 h 91"/>
              <a:gd name="T4" fmla="*/ 91 w 91"/>
              <a:gd name="T5" fmla="*/ 0 h 91"/>
              <a:gd name="T6" fmla="*/ 0 w 91"/>
              <a:gd name="T7" fmla="*/ 52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0" y="52"/>
                </a:moveTo>
                <a:lnTo>
                  <a:pt x="38" y="91"/>
                </a:lnTo>
                <a:lnTo>
                  <a:pt x="91" y="0"/>
                </a:lnTo>
                <a:lnTo>
                  <a:pt x="0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" name="Freeform 460">
            <a:extLst>
              <a:ext uri="{FF2B5EF4-FFF2-40B4-BE49-F238E27FC236}">
                <a16:creationId xmlns:a16="http://schemas.microsoft.com/office/drawing/2014/main" id="{CDF4BE17-AD2F-4601-AC20-3780C86D4EE2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2"/>
          </a:xfrm>
          <a:custGeom>
            <a:avLst/>
            <a:gdLst>
              <a:gd name="T0" fmla="*/ 0 w 53"/>
              <a:gd name="T1" fmla="*/ 91 h 105"/>
              <a:gd name="T2" fmla="*/ 53 w 53"/>
              <a:gd name="T3" fmla="*/ 105 h 105"/>
              <a:gd name="T4" fmla="*/ 53 w 53"/>
              <a:gd name="T5" fmla="*/ 0 h 105"/>
              <a:gd name="T6" fmla="*/ 0 w 53"/>
              <a:gd name="T7" fmla="*/ 9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91"/>
                </a:moveTo>
                <a:lnTo>
                  <a:pt x="53" y="105"/>
                </a:lnTo>
                <a:lnTo>
                  <a:pt x="53" y="0"/>
                </a:lnTo>
                <a:lnTo>
                  <a:pt x="0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" name="Freeform 461">
            <a:extLst>
              <a:ext uri="{FF2B5EF4-FFF2-40B4-BE49-F238E27FC236}">
                <a16:creationId xmlns:a16="http://schemas.microsoft.com/office/drawing/2014/main" id="{DF691DA3-057B-41C3-8099-029232CE7BBC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1" cy="2"/>
          </a:xfrm>
          <a:custGeom>
            <a:avLst/>
            <a:gdLst>
              <a:gd name="T0" fmla="*/ 0 w 53"/>
              <a:gd name="T1" fmla="*/ 105 h 105"/>
              <a:gd name="T2" fmla="*/ 53 w 53"/>
              <a:gd name="T3" fmla="*/ 91 h 105"/>
              <a:gd name="T4" fmla="*/ 0 w 53"/>
              <a:gd name="T5" fmla="*/ 0 h 105"/>
              <a:gd name="T6" fmla="*/ 0 w 53"/>
              <a:gd name="T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105"/>
                </a:moveTo>
                <a:lnTo>
                  <a:pt x="53" y="91"/>
                </a:lnTo>
                <a:lnTo>
                  <a:pt x="0" y="0"/>
                </a:lnTo>
                <a:lnTo>
                  <a:pt x="0" y="105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4" name="Freeform 462">
            <a:extLst>
              <a:ext uri="{FF2B5EF4-FFF2-40B4-BE49-F238E27FC236}">
                <a16:creationId xmlns:a16="http://schemas.microsoft.com/office/drawing/2014/main" id="{8C8FF71F-3F70-4929-BF5C-BB313E48A31E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53 w 91"/>
              <a:gd name="T1" fmla="*/ 91 h 91"/>
              <a:gd name="T2" fmla="*/ 91 w 91"/>
              <a:gd name="T3" fmla="*/ 52 h 91"/>
              <a:gd name="T4" fmla="*/ 0 w 91"/>
              <a:gd name="T5" fmla="*/ 0 h 91"/>
              <a:gd name="T6" fmla="*/ 53 w 91"/>
              <a:gd name="T7" fmla="*/ 91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53" y="91"/>
                </a:moveTo>
                <a:lnTo>
                  <a:pt x="91" y="52"/>
                </a:lnTo>
                <a:lnTo>
                  <a:pt x="0" y="0"/>
                </a:lnTo>
                <a:lnTo>
                  <a:pt x="53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" name="Freeform 463">
            <a:extLst>
              <a:ext uri="{FF2B5EF4-FFF2-40B4-BE49-F238E27FC236}">
                <a16:creationId xmlns:a16="http://schemas.microsoft.com/office/drawing/2014/main" id="{79AFAB5A-3AC8-4EBF-93BF-7ADD8A1D0B08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91 w 105"/>
              <a:gd name="T1" fmla="*/ 52 h 52"/>
              <a:gd name="T2" fmla="*/ 105 w 105"/>
              <a:gd name="T3" fmla="*/ 0 h 52"/>
              <a:gd name="T4" fmla="*/ 0 w 105"/>
              <a:gd name="T5" fmla="*/ 0 h 52"/>
              <a:gd name="T6" fmla="*/ 91 w 105"/>
              <a:gd name="T7" fmla="*/ 52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5" h="52">
                <a:moveTo>
                  <a:pt x="91" y="52"/>
                </a:moveTo>
                <a:lnTo>
                  <a:pt x="105" y="0"/>
                </a:lnTo>
                <a:lnTo>
                  <a:pt x="0" y="0"/>
                </a:lnTo>
                <a:lnTo>
                  <a:pt x="91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" name="Line 464">
            <a:extLst>
              <a:ext uri="{FF2B5EF4-FFF2-40B4-BE49-F238E27FC236}">
                <a16:creationId xmlns:a16="http://schemas.microsoft.com/office/drawing/2014/main" id="{90B4B55D-CADD-4C97-A3F1-573BB9323197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465">
            <a:extLst>
              <a:ext uri="{FF2B5EF4-FFF2-40B4-BE49-F238E27FC236}">
                <a16:creationId xmlns:a16="http://schemas.microsoft.com/office/drawing/2014/main" id="{8CF827DD-6AAA-4613-811D-8A83A94AA80D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466">
            <a:extLst>
              <a:ext uri="{FF2B5EF4-FFF2-40B4-BE49-F238E27FC236}">
                <a16:creationId xmlns:a16="http://schemas.microsoft.com/office/drawing/2014/main" id="{BDD757D5-D738-47FA-8D2A-094F2CABE920}"/>
              </a:ext>
            </a:extLst>
          </xdr:cNvPr>
          <xdr:cNvSpPr>
            <a:spLocks noChangeShapeType="1"/>
          </xdr:cNvSpPr>
        </xdr:nvSpPr>
        <xdr:spPr bwMode="auto">
          <a:xfrm>
            <a:off x="842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Freeform 467">
            <a:extLst>
              <a:ext uri="{FF2B5EF4-FFF2-40B4-BE49-F238E27FC236}">
                <a16:creationId xmlns:a16="http://schemas.microsoft.com/office/drawing/2014/main" id="{D764C27C-5C6E-45B3-8E44-F299335220E6}"/>
              </a:ext>
            </a:extLst>
          </xdr:cNvPr>
          <xdr:cNvSpPr>
            <a:spLocks/>
          </xdr:cNvSpPr>
        </xdr:nvSpPr>
        <xdr:spPr bwMode="auto">
          <a:xfrm>
            <a:off x="833" y="268"/>
            <a:ext cx="9" cy="2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" name="Freeform 468">
            <a:extLst>
              <a:ext uri="{FF2B5EF4-FFF2-40B4-BE49-F238E27FC236}">
                <a16:creationId xmlns:a16="http://schemas.microsoft.com/office/drawing/2014/main" id="{71D2E2F3-8DFD-4DB5-ACEB-3D1229769CAA}"/>
              </a:ext>
            </a:extLst>
          </xdr:cNvPr>
          <xdr:cNvSpPr>
            <a:spLocks/>
          </xdr:cNvSpPr>
        </xdr:nvSpPr>
        <xdr:spPr bwMode="auto">
          <a:xfrm>
            <a:off x="922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1" name="Line 474">
            <a:extLst>
              <a:ext uri="{FF2B5EF4-FFF2-40B4-BE49-F238E27FC236}">
                <a16:creationId xmlns:a16="http://schemas.microsoft.com/office/drawing/2014/main" id="{DA76182B-5C53-49AB-A4ED-D165C16519BC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75">
            <a:extLst>
              <a:ext uri="{FF2B5EF4-FFF2-40B4-BE49-F238E27FC236}">
                <a16:creationId xmlns:a16="http://schemas.microsoft.com/office/drawing/2014/main" id="{7A886497-D864-462D-AAED-ECF2C0BCECF8}"/>
              </a:ext>
            </a:extLst>
          </xdr:cNvPr>
          <xdr:cNvSpPr>
            <a:spLocks noChangeShapeType="1"/>
          </xdr:cNvSpPr>
        </xdr:nvSpPr>
        <xdr:spPr bwMode="auto">
          <a:xfrm>
            <a:off x="1029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76">
            <a:extLst>
              <a:ext uri="{FF2B5EF4-FFF2-40B4-BE49-F238E27FC236}">
                <a16:creationId xmlns:a16="http://schemas.microsoft.com/office/drawing/2014/main" id="{F089C570-596F-475C-B0BF-79EE86B3E49B}"/>
              </a:ext>
            </a:extLst>
          </xdr:cNvPr>
          <xdr:cNvSpPr>
            <a:spLocks noChangeShapeType="1"/>
          </xdr:cNvSpPr>
        </xdr:nvSpPr>
        <xdr:spPr bwMode="auto">
          <a:xfrm>
            <a:off x="940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Freeform 477">
            <a:extLst>
              <a:ext uri="{FF2B5EF4-FFF2-40B4-BE49-F238E27FC236}">
                <a16:creationId xmlns:a16="http://schemas.microsoft.com/office/drawing/2014/main" id="{0ECF4322-79C3-43A5-9AA5-735DFD4E6302}"/>
              </a:ext>
            </a:extLst>
          </xdr:cNvPr>
          <xdr:cNvSpPr>
            <a:spLocks/>
          </xdr:cNvSpPr>
        </xdr:nvSpPr>
        <xdr:spPr bwMode="auto">
          <a:xfrm>
            <a:off x="931" y="268"/>
            <a:ext cx="9" cy="2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8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8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5" name="Freeform 478">
            <a:extLst>
              <a:ext uri="{FF2B5EF4-FFF2-40B4-BE49-F238E27FC236}">
                <a16:creationId xmlns:a16="http://schemas.microsoft.com/office/drawing/2014/main" id="{02E67CF5-CB3C-4188-9A79-885A871F99DF}"/>
              </a:ext>
            </a:extLst>
          </xdr:cNvPr>
          <xdr:cNvSpPr>
            <a:spLocks/>
          </xdr:cNvSpPr>
        </xdr:nvSpPr>
        <xdr:spPr bwMode="auto">
          <a:xfrm>
            <a:off x="1020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6" name="Line 484">
            <a:extLst>
              <a:ext uri="{FF2B5EF4-FFF2-40B4-BE49-F238E27FC236}">
                <a16:creationId xmlns:a16="http://schemas.microsoft.com/office/drawing/2014/main" id="{F977D1CB-843F-4B9B-8F0A-C479CFC2B386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89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485">
            <a:extLst>
              <a:ext uri="{FF2B5EF4-FFF2-40B4-BE49-F238E27FC236}">
                <a16:creationId xmlns:a16="http://schemas.microsoft.com/office/drawing/2014/main" id="{004A3B22-7306-440B-885F-B7E21ACDC2DE}"/>
              </a:ext>
            </a:extLst>
          </xdr:cNvPr>
          <xdr:cNvSpPr>
            <a:spLocks noChangeShapeType="1"/>
          </xdr:cNvSpPr>
        </xdr:nvSpPr>
        <xdr:spPr bwMode="auto">
          <a:xfrm>
            <a:off x="1190" y="299"/>
            <a:ext cx="0" cy="3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86">
            <a:extLst>
              <a:ext uri="{FF2B5EF4-FFF2-40B4-BE49-F238E27FC236}">
                <a16:creationId xmlns:a16="http://schemas.microsoft.com/office/drawing/2014/main" id="{3AA6571F-7C98-4A58-8FE8-7337755D404E}"/>
              </a:ext>
            </a:extLst>
          </xdr:cNvPr>
          <xdr:cNvSpPr>
            <a:spLocks noChangeShapeType="1"/>
          </xdr:cNvSpPr>
        </xdr:nvSpPr>
        <xdr:spPr bwMode="auto">
          <a:xfrm>
            <a:off x="842" y="325"/>
            <a:ext cx="339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Freeform 487">
            <a:extLst>
              <a:ext uri="{FF2B5EF4-FFF2-40B4-BE49-F238E27FC236}">
                <a16:creationId xmlns:a16="http://schemas.microsoft.com/office/drawing/2014/main" id="{7F3760EF-8F2F-4658-9D2B-F1874AD7FE21}"/>
              </a:ext>
            </a:extLst>
          </xdr:cNvPr>
          <xdr:cNvSpPr>
            <a:spLocks/>
          </xdr:cNvSpPr>
        </xdr:nvSpPr>
        <xdr:spPr bwMode="auto">
          <a:xfrm>
            <a:off x="833" y="323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" name="Freeform 488">
            <a:extLst>
              <a:ext uri="{FF2B5EF4-FFF2-40B4-BE49-F238E27FC236}">
                <a16:creationId xmlns:a16="http://schemas.microsoft.com/office/drawing/2014/main" id="{74CBCDC0-0F66-4855-A668-781F7AD0781E}"/>
              </a:ext>
            </a:extLst>
          </xdr:cNvPr>
          <xdr:cNvSpPr>
            <a:spLocks/>
          </xdr:cNvSpPr>
        </xdr:nvSpPr>
        <xdr:spPr bwMode="auto">
          <a:xfrm>
            <a:off x="1181" y="323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" name="Line 494">
            <a:extLst>
              <a:ext uri="{FF2B5EF4-FFF2-40B4-BE49-F238E27FC236}">
                <a16:creationId xmlns:a16="http://schemas.microsoft.com/office/drawing/2014/main" id="{430618E4-0761-4D8E-9190-D48C1D9EAE1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29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495">
            <a:extLst>
              <a:ext uri="{FF2B5EF4-FFF2-40B4-BE49-F238E27FC236}">
                <a16:creationId xmlns:a16="http://schemas.microsoft.com/office/drawing/2014/main" id="{9AD81B99-9762-41D9-A5EF-E36048BC38C6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496">
            <a:extLst>
              <a:ext uri="{FF2B5EF4-FFF2-40B4-BE49-F238E27FC236}">
                <a16:creationId xmlns:a16="http://schemas.microsoft.com/office/drawing/2014/main" id="{EBD573CC-AF16-4A4A-AE32-CC085B4DADA5}"/>
              </a:ext>
            </a:extLst>
          </xdr:cNvPr>
          <xdr:cNvSpPr>
            <a:spLocks noChangeShapeType="1"/>
          </xdr:cNvSpPr>
        </xdr:nvSpPr>
        <xdr:spPr bwMode="auto">
          <a:xfrm>
            <a:off x="1038" y="86"/>
            <a:ext cx="6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Freeform 497">
            <a:extLst>
              <a:ext uri="{FF2B5EF4-FFF2-40B4-BE49-F238E27FC236}">
                <a16:creationId xmlns:a16="http://schemas.microsoft.com/office/drawing/2014/main" id="{6FF98977-896D-4AAD-B1F1-9FA23DBD2CD2}"/>
              </a:ext>
            </a:extLst>
          </xdr:cNvPr>
          <xdr:cNvSpPr>
            <a:spLocks/>
          </xdr:cNvSpPr>
        </xdr:nvSpPr>
        <xdr:spPr bwMode="auto">
          <a:xfrm>
            <a:off x="1029" y="84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7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7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" name="Freeform 498">
            <a:extLst>
              <a:ext uri="{FF2B5EF4-FFF2-40B4-BE49-F238E27FC236}">
                <a16:creationId xmlns:a16="http://schemas.microsoft.com/office/drawing/2014/main" id="{D3F5DDC3-B5A3-4616-83F3-E19C283712AB}"/>
              </a:ext>
            </a:extLst>
          </xdr:cNvPr>
          <xdr:cNvSpPr>
            <a:spLocks/>
          </xdr:cNvSpPr>
        </xdr:nvSpPr>
        <xdr:spPr bwMode="auto">
          <a:xfrm>
            <a:off x="1103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" name="Line 504">
            <a:extLst>
              <a:ext uri="{FF2B5EF4-FFF2-40B4-BE49-F238E27FC236}">
                <a16:creationId xmlns:a16="http://schemas.microsoft.com/office/drawing/2014/main" id="{381DAB6D-C7BA-4C47-A42B-DC4C09CDD2E0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505">
            <a:extLst>
              <a:ext uri="{FF2B5EF4-FFF2-40B4-BE49-F238E27FC236}">
                <a16:creationId xmlns:a16="http://schemas.microsoft.com/office/drawing/2014/main" id="{BF2F390C-801C-41E1-A8A5-7749694D48FF}"/>
              </a:ext>
            </a:extLst>
          </xdr:cNvPr>
          <xdr:cNvSpPr>
            <a:spLocks noChangeShapeType="1"/>
          </xdr:cNvSpPr>
        </xdr:nvSpPr>
        <xdr:spPr bwMode="auto">
          <a:xfrm flipV="1">
            <a:off x="1190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506">
            <a:extLst>
              <a:ext uri="{FF2B5EF4-FFF2-40B4-BE49-F238E27FC236}">
                <a16:creationId xmlns:a16="http://schemas.microsoft.com/office/drawing/2014/main" id="{12328790-D006-4484-B4E6-BEF74BFDDC04}"/>
              </a:ext>
            </a:extLst>
          </xdr:cNvPr>
          <xdr:cNvSpPr>
            <a:spLocks noChangeShapeType="1"/>
          </xdr:cNvSpPr>
        </xdr:nvSpPr>
        <xdr:spPr bwMode="auto">
          <a:xfrm>
            <a:off x="1121" y="86"/>
            <a:ext cx="6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Freeform 507">
            <a:extLst>
              <a:ext uri="{FF2B5EF4-FFF2-40B4-BE49-F238E27FC236}">
                <a16:creationId xmlns:a16="http://schemas.microsoft.com/office/drawing/2014/main" id="{9A07BB6E-8A20-4EE8-A8CD-A3CC703A5B5B}"/>
              </a:ext>
            </a:extLst>
          </xdr:cNvPr>
          <xdr:cNvSpPr>
            <a:spLocks/>
          </xdr:cNvSpPr>
        </xdr:nvSpPr>
        <xdr:spPr bwMode="auto">
          <a:xfrm>
            <a:off x="1112" y="84"/>
            <a:ext cx="9" cy="3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7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7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" name="Freeform 508">
            <a:extLst>
              <a:ext uri="{FF2B5EF4-FFF2-40B4-BE49-F238E27FC236}">
                <a16:creationId xmlns:a16="http://schemas.microsoft.com/office/drawing/2014/main" id="{4D2B6851-FDD0-42CD-91DC-47628774847B}"/>
              </a:ext>
            </a:extLst>
          </xdr:cNvPr>
          <xdr:cNvSpPr>
            <a:spLocks/>
          </xdr:cNvSpPr>
        </xdr:nvSpPr>
        <xdr:spPr bwMode="auto">
          <a:xfrm>
            <a:off x="1181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" name="Line 514">
            <a:extLst>
              <a:ext uri="{FF2B5EF4-FFF2-40B4-BE49-F238E27FC236}">
                <a16:creationId xmlns:a16="http://schemas.microsoft.com/office/drawing/2014/main" id="{56832BB1-EF13-4C26-9C10-266BFF7F5E2E}"/>
              </a:ext>
            </a:extLst>
          </xdr:cNvPr>
          <xdr:cNvSpPr>
            <a:spLocks noChangeShapeType="1"/>
          </xdr:cNvSpPr>
        </xdr:nvSpPr>
        <xdr:spPr bwMode="auto">
          <a:xfrm>
            <a:off x="1226" y="107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15">
            <a:extLst>
              <a:ext uri="{FF2B5EF4-FFF2-40B4-BE49-F238E27FC236}">
                <a16:creationId xmlns:a16="http://schemas.microsoft.com/office/drawing/2014/main" id="{628218BB-4A30-42E8-A6B1-7CD2C8FE8957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516">
            <a:extLst>
              <a:ext uri="{FF2B5EF4-FFF2-40B4-BE49-F238E27FC236}">
                <a16:creationId xmlns:a16="http://schemas.microsoft.com/office/drawing/2014/main" id="{FD2EE9E8-A338-45FA-B51F-F83957F3D6FD}"/>
              </a:ext>
            </a:extLst>
          </xdr:cNvPr>
          <xdr:cNvSpPr>
            <a:spLocks noChangeShapeType="1"/>
          </xdr:cNvSpPr>
        </xdr:nvSpPr>
        <xdr:spPr bwMode="auto">
          <a:xfrm>
            <a:off x="1240" y="116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517">
            <a:extLst>
              <a:ext uri="{FF2B5EF4-FFF2-40B4-BE49-F238E27FC236}">
                <a16:creationId xmlns:a16="http://schemas.microsoft.com/office/drawing/2014/main" id="{7965D33C-11D7-4C62-8F38-B3C9D9B642E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16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518">
            <a:extLst>
              <a:ext uri="{FF2B5EF4-FFF2-40B4-BE49-F238E27FC236}">
                <a16:creationId xmlns:a16="http://schemas.microsoft.com/office/drawing/2014/main" id="{2ACA953C-CA4F-45AD-B858-82BAE1207F61}"/>
              </a:ext>
            </a:extLst>
          </xdr:cNvPr>
          <xdr:cNvSpPr>
            <a:spLocks/>
          </xdr:cNvSpPr>
        </xdr:nvSpPr>
        <xdr:spPr bwMode="auto">
          <a:xfrm>
            <a:off x="1238" y="107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" name="Freeform 519">
            <a:extLst>
              <a:ext uri="{FF2B5EF4-FFF2-40B4-BE49-F238E27FC236}">
                <a16:creationId xmlns:a16="http://schemas.microsoft.com/office/drawing/2014/main" id="{0AED138B-39CC-468D-A074-E09421B3DF92}"/>
              </a:ext>
            </a:extLst>
          </xdr:cNvPr>
          <xdr:cNvSpPr>
            <a:spLocks/>
          </xdr:cNvSpPr>
        </xdr:nvSpPr>
        <xdr:spPr bwMode="auto">
          <a:xfrm>
            <a:off x="1238" y="193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7" name="Freeform 520">
            <a:extLst>
              <a:ext uri="{FF2B5EF4-FFF2-40B4-BE49-F238E27FC236}">
                <a16:creationId xmlns:a16="http://schemas.microsoft.com/office/drawing/2014/main" id="{CABF09A0-E9F7-4D2E-B5C7-CE3E83786F2B}"/>
              </a:ext>
            </a:extLst>
          </xdr:cNvPr>
          <xdr:cNvSpPr>
            <a:spLocks/>
          </xdr:cNvSpPr>
        </xdr:nvSpPr>
        <xdr:spPr bwMode="auto">
          <a:xfrm>
            <a:off x="1208" y="153"/>
            <a:ext cx="3" cy="5"/>
          </a:xfrm>
          <a:custGeom>
            <a:avLst/>
            <a:gdLst>
              <a:gd name="T0" fmla="*/ 140 w 210"/>
              <a:gd name="T1" fmla="*/ 280 h 280"/>
              <a:gd name="T2" fmla="*/ 70 w 210"/>
              <a:gd name="T3" fmla="*/ 280 h 280"/>
              <a:gd name="T4" fmla="*/ 0 w 210"/>
              <a:gd name="T5" fmla="*/ 210 h 280"/>
              <a:gd name="T6" fmla="*/ 0 w 210"/>
              <a:gd name="T7" fmla="*/ 70 h 280"/>
              <a:gd name="T8" fmla="*/ 70 w 210"/>
              <a:gd name="T9" fmla="*/ 0 h 280"/>
              <a:gd name="T10" fmla="*/ 140 w 210"/>
              <a:gd name="T11" fmla="*/ 0 h 280"/>
              <a:gd name="T12" fmla="*/ 210 w 210"/>
              <a:gd name="T13" fmla="*/ 70 h 280"/>
              <a:gd name="T14" fmla="*/ 210 w 210"/>
              <a:gd name="T15" fmla="*/ 210 h 280"/>
              <a:gd name="T16" fmla="*/ 140 w 21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0">
                <a:moveTo>
                  <a:pt x="14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10" y="70"/>
                </a:lnTo>
                <a:lnTo>
                  <a:pt x="210" y="210"/>
                </a:lnTo>
                <a:lnTo>
                  <a:pt x="140" y="28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Line 521">
            <a:extLst>
              <a:ext uri="{FF2B5EF4-FFF2-40B4-BE49-F238E27FC236}">
                <a16:creationId xmlns:a16="http://schemas.microsoft.com/office/drawing/2014/main" id="{7E7B28D4-2477-40AD-9374-CCFEBA7E6D56}"/>
              </a:ext>
            </a:extLst>
          </xdr:cNvPr>
          <xdr:cNvSpPr>
            <a:spLocks noChangeShapeType="1"/>
          </xdr:cNvSpPr>
        </xdr:nvSpPr>
        <xdr:spPr bwMode="auto">
          <a:xfrm>
            <a:off x="1211" y="157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522">
            <a:extLst>
              <a:ext uri="{FF2B5EF4-FFF2-40B4-BE49-F238E27FC236}">
                <a16:creationId xmlns:a16="http://schemas.microsoft.com/office/drawing/2014/main" id="{880D627F-AD31-4438-9C24-250441B81F8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157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Freeform 523">
            <a:extLst>
              <a:ext uri="{FF2B5EF4-FFF2-40B4-BE49-F238E27FC236}">
                <a16:creationId xmlns:a16="http://schemas.microsoft.com/office/drawing/2014/main" id="{3C79F260-89E8-4319-90DA-F1EC6B7C9077}"/>
              </a:ext>
            </a:extLst>
          </xdr:cNvPr>
          <xdr:cNvSpPr>
            <a:spLocks/>
          </xdr:cNvSpPr>
        </xdr:nvSpPr>
        <xdr:spPr bwMode="auto">
          <a:xfrm>
            <a:off x="1217" y="151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1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1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Line 524">
            <a:extLst>
              <a:ext uri="{FF2B5EF4-FFF2-40B4-BE49-F238E27FC236}">
                <a16:creationId xmlns:a16="http://schemas.microsoft.com/office/drawing/2014/main" id="{67A9013E-010D-4671-9787-7DCA4DD5EE2B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151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Freeform 525">
            <a:extLst>
              <a:ext uri="{FF2B5EF4-FFF2-40B4-BE49-F238E27FC236}">
                <a16:creationId xmlns:a16="http://schemas.microsoft.com/office/drawing/2014/main" id="{71E19C9A-371E-4BE9-A8F6-2D5CF3ADFFA2}"/>
              </a:ext>
            </a:extLst>
          </xdr:cNvPr>
          <xdr:cNvSpPr>
            <a:spLocks/>
          </xdr:cNvSpPr>
        </xdr:nvSpPr>
        <xdr:spPr bwMode="auto">
          <a:xfrm>
            <a:off x="1231" y="151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1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1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Line 526">
            <a:extLst>
              <a:ext uri="{FF2B5EF4-FFF2-40B4-BE49-F238E27FC236}">
                <a16:creationId xmlns:a16="http://schemas.microsoft.com/office/drawing/2014/main" id="{64A99CAF-394A-4B37-9E90-A23620855DE8}"/>
              </a:ext>
            </a:extLst>
          </xdr:cNvPr>
          <xdr:cNvSpPr>
            <a:spLocks noChangeShapeType="1"/>
          </xdr:cNvSpPr>
        </xdr:nvSpPr>
        <xdr:spPr bwMode="auto">
          <a:xfrm>
            <a:off x="1239" y="153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527">
            <a:extLst>
              <a:ext uri="{FF2B5EF4-FFF2-40B4-BE49-F238E27FC236}">
                <a16:creationId xmlns:a16="http://schemas.microsoft.com/office/drawing/2014/main" id="{15EEFE9D-67E2-4C7E-A2DE-128748E054E6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156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534">
            <a:extLst>
              <a:ext uri="{FF2B5EF4-FFF2-40B4-BE49-F238E27FC236}">
                <a16:creationId xmlns:a16="http://schemas.microsoft.com/office/drawing/2014/main" id="{60619A3D-FB65-4DD4-9304-3E48362F85D5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535">
            <a:extLst>
              <a:ext uri="{FF2B5EF4-FFF2-40B4-BE49-F238E27FC236}">
                <a16:creationId xmlns:a16="http://schemas.microsoft.com/office/drawing/2014/main" id="{6FD3E6FD-15BF-42D2-BD2A-10C65ED2752B}"/>
              </a:ext>
            </a:extLst>
          </xdr:cNvPr>
          <xdr:cNvSpPr>
            <a:spLocks noChangeShapeType="1"/>
          </xdr:cNvSpPr>
        </xdr:nvSpPr>
        <xdr:spPr bwMode="auto">
          <a:xfrm>
            <a:off x="1226" y="296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536">
            <a:extLst>
              <a:ext uri="{FF2B5EF4-FFF2-40B4-BE49-F238E27FC236}">
                <a16:creationId xmlns:a16="http://schemas.microsoft.com/office/drawing/2014/main" id="{FB42E2B3-7C11-4C02-A19C-0C6B575DBB08}"/>
              </a:ext>
            </a:extLst>
          </xdr:cNvPr>
          <xdr:cNvSpPr>
            <a:spLocks noChangeShapeType="1"/>
          </xdr:cNvSpPr>
        </xdr:nvSpPr>
        <xdr:spPr bwMode="auto">
          <a:xfrm>
            <a:off x="1240" y="211"/>
            <a:ext cx="0" cy="3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537">
            <a:extLst>
              <a:ext uri="{FF2B5EF4-FFF2-40B4-BE49-F238E27FC236}">
                <a16:creationId xmlns:a16="http://schemas.microsoft.com/office/drawing/2014/main" id="{22554DC0-8ECA-44AE-B39D-6ED85698FEF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255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Freeform 538">
            <a:extLst>
              <a:ext uri="{FF2B5EF4-FFF2-40B4-BE49-F238E27FC236}">
                <a16:creationId xmlns:a16="http://schemas.microsoft.com/office/drawing/2014/main" id="{52CAD301-D199-4A29-9404-E2A4CB244898}"/>
              </a:ext>
            </a:extLst>
          </xdr:cNvPr>
          <xdr:cNvSpPr>
            <a:spLocks/>
          </xdr:cNvSpPr>
        </xdr:nvSpPr>
        <xdr:spPr bwMode="auto">
          <a:xfrm>
            <a:off x="123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0" name="Freeform 539">
            <a:extLst>
              <a:ext uri="{FF2B5EF4-FFF2-40B4-BE49-F238E27FC236}">
                <a16:creationId xmlns:a16="http://schemas.microsoft.com/office/drawing/2014/main" id="{C9AFA05A-CEA2-43DD-A088-42FBAC3E7539}"/>
              </a:ext>
            </a:extLst>
          </xdr:cNvPr>
          <xdr:cNvSpPr>
            <a:spLocks/>
          </xdr:cNvSpPr>
        </xdr:nvSpPr>
        <xdr:spPr bwMode="auto">
          <a:xfrm>
            <a:off x="1238" y="288"/>
            <a:ext cx="3" cy="8"/>
          </a:xfrm>
          <a:custGeom>
            <a:avLst/>
            <a:gdLst>
              <a:gd name="T0" fmla="*/ 0 w 175"/>
              <a:gd name="T1" fmla="*/ 0 h 526"/>
              <a:gd name="T2" fmla="*/ 175 w 175"/>
              <a:gd name="T3" fmla="*/ 0 h 526"/>
              <a:gd name="T4" fmla="*/ 88 w 175"/>
              <a:gd name="T5" fmla="*/ 526 h 526"/>
              <a:gd name="T6" fmla="*/ 0 w 175"/>
              <a:gd name="T7" fmla="*/ 0 h 5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6">
                <a:moveTo>
                  <a:pt x="0" y="0"/>
                </a:moveTo>
                <a:lnTo>
                  <a:pt x="175" y="0"/>
                </a:lnTo>
                <a:lnTo>
                  <a:pt x="88" y="526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" name="Freeform 540">
            <a:extLst>
              <a:ext uri="{FF2B5EF4-FFF2-40B4-BE49-F238E27FC236}">
                <a16:creationId xmlns:a16="http://schemas.microsoft.com/office/drawing/2014/main" id="{453FC2CA-8CE7-4F47-8749-F8C983BFE714}"/>
              </a:ext>
            </a:extLst>
          </xdr:cNvPr>
          <xdr:cNvSpPr>
            <a:spLocks/>
          </xdr:cNvSpPr>
        </xdr:nvSpPr>
        <xdr:spPr bwMode="auto">
          <a:xfrm>
            <a:off x="1208" y="248"/>
            <a:ext cx="3" cy="5"/>
          </a:xfrm>
          <a:custGeom>
            <a:avLst/>
            <a:gdLst>
              <a:gd name="T0" fmla="*/ 140 w 210"/>
              <a:gd name="T1" fmla="*/ 281 h 281"/>
              <a:gd name="T2" fmla="*/ 70 w 210"/>
              <a:gd name="T3" fmla="*/ 281 h 281"/>
              <a:gd name="T4" fmla="*/ 0 w 210"/>
              <a:gd name="T5" fmla="*/ 211 h 281"/>
              <a:gd name="T6" fmla="*/ 0 w 210"/>
              <a:gd name="T7" fmla="*/ 71 h 281"/>
              <a:gd name="T8" fmla="*/ 70 w 210"/>
              <a:gd name="T9" fmla="*/ 0 h 281"/>
              <a:gd name="T10" fmla="*/ 140 w 210"/>
              <a:gd name="T11" fmla="*/ 0 h 281"/>
              <a:gd name="T12" fmla="*/ 210 w 210"/>
              <a:gd name="T13" fmla="*/ 71 h 281"/>
              <a:gd name="T14" fmla="*/ 210 w 210"/>
              <a:gd name="T15" fmla="*/ 211 h 281"/>
              <a:gd name="T16" fmla="*/ 140 w 210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1">
                <a:moveTo>
                  <a:pt x="140" y="281"/>
                </a:moveTo>
                <a:lnTo>
                  <a:pt x="70" y="281"/>
                </a:lnTo>
                <a:lnTo>
                  <a:pt x="0" y="211"/>
                </a:lnTo>
                <a:lnTo>
                  <a:pt x="0" y="71"/>
                </a:lnTo>
                <a:lnTo>
                  <a:pt x="70" y="0"/>
                </a:lnTo>
                <a:lnTo>
                  <a:pt x="140" y="0"/>
                </a:lnTo>
                <a:lnTo>
                  <a:pt x="210" y="71"/>
                </a:lnTo>
                <a:lnTo>
                  <a:pt x="210" y="211"/>
                </a:lnTo>
                <a:lnTo>
                  <a:pt x="140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Line 541">
            <a:extLst>
              <a:ext uri="{FF2B5EF4-FFF2-40B4-BE49-F238E27FC236}">
                <a16:creationId xmlns:a16="http://schemas.microsoft.com/office/drawing/2014/main" id="{8D4B2432-6ABD-4B6D-B8AF-6CB6CB5AC376}"/>
              </a:ext>
            </a:extLst>
          </xdr:cNvPr>
          <xdr:cNvSpPr>
            <a:spLocks noChangeShapeType="1"/>
          </xdr:cNvSpPr>
        </xdr:nvSpPr>
        <xdr:spPr bwMode="auto">
          <a:xfrm>
            <a:off x="1211" y="252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542">
            <a:extLst>
              <a:ext uri="{FF2B5EF4-FFF2-40B4-BE49-F238E27FC236}">
                <a16:creationId xmlns:a16="http://schemas.microsoft.com/office/drawing/2014/main" id="{81B8DD7D-7A4C-4F03-B99B-72294D0FCBDC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252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Freeform 543">
            <a:extLst>
              <a:ext uri="{FF2B5EF4-FFF2-40B4-BE49-F238E27FC236}">
                <a16:creationId xmlns:a16="http://schemas.microsoft.com/office/drawing/2014/main" id="{3370574A-AF13-469B-BDD4-214FEF18E7DD}"/>
              </a:ext>
            </a:extLst>
          </xdr:cNvPr>
          <xdr:cNvSpPr>
            <a:spLocks/>
          </xdr:cNvSpPr>
        </xdr:nvSpPr>
        <xdr:spPr bwMode="auto">
          <a:xfrm>
            <a:off x="1217" y="246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0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0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544">
            <a:extLst>
              <a:ext uri="{FF2B5EF4-FFF2-40B4-BE49-F238E27FC236}">
                <a16:creationId xmlns:a16="http://schemas.microsoft.com/office/drawing/2014/main" id="{428A7A6B-BF28-4923-88D3-BCD016EB699A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246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Freeform 545">
            <a:extLst>
              <a:ext uri="{FF2B5EF4-FFF2-40B4-BE49-F238E27FC236}">
                <a16:creationId xmlns:a16="http://schemas.microsoft.com/office/drawing/2014/main" id="{E2DA783D-C606-4179-8BC7-EE8E74F9DF50}"/>
              </a:ext>
            </a:extLst>
          </xdr:cNvPr>
          <xdr:cNvSpPr>
            <a:spLocks/>
          </xdr:cNvSpPr>
        </xdr:nvSpPr>
        <xdr:spPr bwMode="auto">
          <a:xfrm>
            <a:off x="1231" y="246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0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0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7" name="Line 546">
            <a:extLst>
              <a:ext uri="{FF2B5EF4-FFF2-40B4-BE49-F238E27FC236}">
                <a16:creationId xmlns:a16="http://schemas.microsoft.com/office/drawing/2014/main" id="{3DAE7EB8-EE48-4722-8101-86053221233A}"/>
              </a:ext>
            </a:extLst>
          </xdr:cNvPr>
          <xdr:cNvSpPr>
            <a:spLocks noChangeShapeType="1"/>
          </xdr:cNvSpPr>
        </xdr:nvSpPr>
        <xdr:spPr bwMode="auto">
          <a:xfrm>
            <a:off x="1239" y="248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547">
            <a:extLst>
              <a:ext uri="{FF2B5EF4-FFF2-40B4-BE49-F238E27FC236}">
                <a16:creationId xmlns:a16="http://schemas.microsoft.com/office/drawing/2014/main" id="{90A3E645-F232-4C9B-9033-44FE894D4F0A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250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554">
            <a:extLst>
              <a:ext uri="{FF2B5EF4-FFF2-40B4-BE49-F238E27FC236}">
                <a16:creationId xmlns:a16="http://schemas.microsoft.com/office/drawing/2014/main" id="{AC34DEFD-73AD-498A-AE2B-C4A22DA2793C}"/>
              </a:ext>
            </a:extLst>
          </xdr:cNvPr>
          <xdr:cNvSpPr>
            <a:spLocks noChangeShapeType="1"/>
          </xdr:cNvSpPr>
        </xdr:nvSpPr>
        <xdr:spPr bwMode="auto">
          <a:xfrm>
            <a:off x="1192" y="238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555">
            <a:extLst>
              <a:ext uri="{FF2B5EF4-FFF2-40B4-BE49-F238E27FC236}">
                <a16:creationId xmlns:a16="http://schemas.microsoft.com/office/drawing/2014/main" id="{2ECBCAE3-B81F-45DB-8434-AFA99F1FA50E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56">
            <a:extLst>
              <a:ext uri="{FF2B5EF4-FFF2-40B4-BE49-F238E27FC236}">
                <a16:creationId xmlns:a16="http://schemas.microsoft.com/office/drawing/2014/main" id="{79ED3E74-CD8A-4C67-AF95-41FAE6F4E0A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9" y="226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57">
            <a:extLst>
              <a:ext uri="{FF2B5EF4-FFF2-40B4-BE49-F238E27FC236}">
                <a16:creationId xmlns:a16="http://schemas.microsoft.com/office/drawing/2014/main" id="{9F098379-D7A1-463A-85E5-B54BC74C07AB}"/>
              </a:ext>
            </a:extLst>
          </xdr:cNvPr>
          <xdr:cNvSpPr>
            <a:spLocks noChangeShapeType="1"/>
          </xdr:cNvSpPr>
        </xdr:nvSpPr>
        <xdr:spPr bwMode="auto">
          <a:xfrm>
            <a:off x="1209" y="211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558">
            <a:extLst>
              <a:ext uri="{FF2B5EF4-FFF2-40B4-BE49-F238E27FC236}">
                <a16:creationId xmlns:a16="http://schemas.microsoft.com/office/drawing/2014/main" id="{9ABB197D-C2AA-4095-9647-39662C04285C}"/>
              </a:ext>
            </a:extLst>
          </xdr:cNvPr>
          <xdr:cNvSpPr>
            <a:spLocks/>
          </xdr:cNvSpPr>
        </xdr:nvSpPr>
        <xdr:spPr bwMode="auto">
          <a:xfrm>
            <a:off x="1208" y="229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4" name="Freeform 559">
            <a:extLst>
              <a:ext uri="{FF2B5EF4-FFF2-40B4-BE49-F238E27FC236}">
                <a16:creationId xmlns:a16="http://schemas.microsoft.com/office/drawing/2014/main" id="{CD1D955C-3D57-4EFB-90B7-41052B2F7FE2}"/>
              </a:ext>
            </a:extLst>
          </xdr:cNvPr>
          <xdr:cNvSpPr>
            <a:spLocks/>
          </xdr:cNvSpPr>
        </xdr:nvSpPr>
        <xdr:spPr bwMode="auto">
          <a:xfrm>
            <a:off x="120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" name="Line 564">
            <a:extLst>
              <a:ext uri="{FF2B5EF4-FFF2-40B4-BE49-F238E27FC236}">
                <a16:creationId xmlns:a16="http://schemas.microsoft.com/office/drawing/2014/main" id="{9993A746-13C9-46F9-A9AB-616BD1DCC8B7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38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65">
            <a:extLst>
              <a:ext uri="{FF2B5EF4-FFF2-40B4-BE49-F238E27FC236}">
                <a16:creationId xmlns:a16="http://schemas.microsoft.com/office/drawing/2014/main" id="{5DBDCE7F-2353-42B4-9248-49FD053274B9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02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66">
            <a:extLst>
              <a:ext uri="{FF2B5EF4-FFF2-40B4-BE49-F238E27FC236}">
                <a16:creationId xmlns:a16="http://schemas.microsoft.com/office/drawing/2014/main" id="{1C6023B7-82A6-4CA8-82FB-C6CD65AE6124}"/>
              </a:ext>
            </a:extLst>
          </xdr:cNvPr>
          <xdr:cNvSpPr>
            <a:spLocks noChangeShapeType="1"/>
          </xdr:cNvSpPr>
        </xdr:nvSpPr>
        <xdr:spPr bwMode="auto">
          <a:xfrm flipV="1">
            <a:off x="793" y="228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567">
            <a:extLst>
              <a:ext uri="{FF2B5EF4-FFF2-40B4-BE49-F238E27FC236}">
                <a16:creationId xmlns:a16="http://schemas.microsoft.com/office/drawing/2014/main" id="{F743FB8B-5C50-4AFA-9C92-B7BEAB0860E5}"/>
              </a:ext>
            </a:extLst>
          </xdr:cNvPr>
          <xdr:cNvSpPr>
            <a:spLocks noChangeShapeType="1"/>
          </xdr:cNvSpPr>
        </xdr:nvSpPr>
        <xdr:spPr bwMode="auto">
          <a:xfrm>
            <a:off x="793" y="211"/>
            <a:ext cx="0" cy="5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Freeform 568">
            <a:extLst>
              <a:ext uri="{FF2B5EF4-FFF2-40B4-BE49-F238E27FC236}">
                <a16:creationId xmlns:a16="http://schemas.microsoft.com/office/drawing/2014/main" id="{1DE20794-84CB-48BE-8AC3-292CB4D925CE}"/>
              </a:ext>
            </a:extLst>
          </xdr:cNvPr>
          <xdr:cNvSpPr>
            <a:spLocks/>
          </xdr:cNvSpPr>
        </xdr:nvSpPr>
        <xdr:spPr bwMode="auto">
          <a:xfrm>
            <a:off x="791" y="229"/>
            <a:ext cx="3" cy="9"/>
          </a:xfrm>
          <a:custGeom>
            <a:avLst/>
            <a:gdLst>
              <a:gd name="T0" fmla="*/ 0 w 176"/>
              <a:gd name="T1" fmla="*/ 0 h 527"/>
              <a:gd name="T2" fmla="*/ 176 w 176"/>
              <a:gd name="T3" fmla="*/ 0 h 527"/>
              <a:gd name="T4" fmla="*/ 89 w 176"/>
              <a:gd name="T5" fmla="*/ 527 h 527"/>
              <a:gd name="T6" fmla="*/ 0 w 176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0"/>
                </a:moveTo>
                <a:lnTo>
                  <a:pt x="176" y="0"/>
                </a:lnTo>
                <a:lnTo>
                  <a:pt x="89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0" name="Freeform 569">
            <a:extLst>
              <a:ext uri="{FF2B5EF4-FFF2-40B4-BE49-F238E27FC236}">
                <a16:creationId xmlns:a16="http://schemas.microsoft.com/office/drawing/2014/main" id="{2AA4EE2E-F783-4607-BC72-6DBAABC4D674}"/>
              </a:ext>
            </a:extLst>
          </xdr:cNvPr>
          <xdr:cNvSpPr>
            <a:spLocks/>
          </xdr:cNvSpPr>
        </xdr:nvSpPr>
        <xdr:spPr bwMode="auto">
          <a:xfrm>
            <a:off x="791" y="202"/>
            <a:ext cx="3" cy="9"/>
          </a:xfrm>
          <a:custGeom>
            <a:avLst/>
            <a:gdLst>
              <a:gd name="T0" fmla="*/ 0 w 176"/>
              <a:gd name="T1" fmla="*/ 527 h 527"/>
              <a:gd name="T2" fmla="*/ 176 w 176"/>
              <a:gd name="T3" fmla="*/ 527 h 527"/>
              <a:gd name="T4" fmla="*/ 89 w 176"/>
              <a:gd name="T5" fmla="*/ 0 h 527"/>
              <a:gd name="T6" fmla="*/ 0 w 176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527"/>
                </a:moveTo>
                <a:lnTo>
                  <a:pt x="176" y="527"/>
                </a:lnTo>
                <a:lnTo>
                  <a:pt x="89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1" name="Freeform 570">
            <a:extLst>
              <a:ext uri="{FF2B5EF4-FFF2-40B4-BE49-F238E27FC236}">
                <a16:creationId xmlns:a16="http://schemas.microsoft.com/office/drawing/2014/main" id="{89499D64-FBEF-42CF-ADEE-8AF880946956}"/>
              </a:ext>
            </a:extLst>
          </xdr:cNvPr>
          <xdr:cNvSpPr>
            <a:spLocks/>
          </xdr:cNvSpPr>
        </xdr:nvSpPr>
        <xdr:spPr bwMode="auto">
          <a:xfrm>
            <a:off x="760" y="221"/>
            <a:ext cx="4" cy="5"/>
          </a:xfrm>
          <a:custGeom>
            <a:avLst/>
            <a:gdLst>
              <a:gd name="T0" fmla="*/ 141 w 211"/>
              <a:gd name="T1" fmla="*/ 281 h 281"/>
              <a:gd name="T2" fmla="*/ 71 w 211"/>
              <a:gd name="T3" fmla="*/ 281 h 281"/>
              <a:gd name="T4" fmla="*/ 0 w 211"/>
              <a:gd name="T5" fmla="*/ 210 h 281"/>
              <a:gd name="T6" fmla="*/ 0 w 211"/>
              <a:gd name="T7" fmla="*/ 70 h 281"/>
              <a:gd name="T8" fmla="*/ 71 w 211"/>
              <a:gd name="T9" fmla="*/ 0 h 281"/>
              <a:gd name="T10" fmla="*/ 141 w 211"/>
              <a:gd name="T11" fmla="*/ 0 h 281"/>
              <a:gd name="T12" fmla="*/ 211 w 211"/>
              <a:gd name="T13" fmla="*/ 70 h 281"/>
              <a:gd name="T14" fmla="*/ 211 w 211"/>
              <a:gd name="T15" fmla="*/ 210 h 281"/>
              <a:gd name="T16" fmla="*/ 141 w 21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1" h="281">
                <a:moveTo>
                  <a:pt x="141" y="281"/>
                </a:moveTo>
                <a:lnTo>
                  <a:pt x="71" y="281"/>
                </a:lnTo>
                <a:lnTo>
                  <a:pt x="0" y="210"/>
                </a:lnTo>
                <a:lnTo>
                  <a:pt x="0" y="70"/>
                </a:lnTo>
                <a:lnTo>
                  <a:pt x="71" y="0"/>
                </a:lnTo>
                <a:lnTo>
                  <a:pt x="141" y="0"/>
                </a:lnTo>
                <a:lnTo>
                  <a:pt x="211" y="70"/>
                </a:lnTo>
                <a:lnTo>
                  <a:pt x="211" y="210"/>
                </a:lnTo>
                <a:lnTo>
                  <a:pt x="141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2" name="Line 571">
            <a:extLst>
              <a:ext uri="{FF2B5EF4-FFF2-40B4-BE49-F238E27FC236}">
                <a16:creationId xmlns:a16="http://schemas.microsoft.com/office/drawing/2014/main" id="{4CE78BF5-5630-4219-BC26-386A10DFEE05}"/>
              </a:ext>
            </a:extLst>
          </xdr:cNvPr>
          <xdr:cNvSpPr>
            <a:spLocks noChangeShapeType="1"/>
          </xdr:cNvSpPr>
        </xdr:nvSpPr>
        <xdr:spPr bwMode="auto">
          <a:xfrm>
            <a:off x="764" y="224"/>
            <a:ext cx="1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572">
            <a:extLst>
              <a:ext uri="{FF2B5EF4-FFF2-40B4-BE49-F238E27FC236}">
                <a16:creationId xmlns:a16="http://schemas.microsoft.com/office/drawing/2014/main" id="{4669DE26-6615-4B66-8522-17AB2CB9C614}"/>
              </a:ext>
            </a:extLst>
          </xdr:cNvPr>
          <xdr:cNvSpPr>
            <a:spLocks noChangeShapeType="1"/>
          </xdr:cNvSpPr>
        </xdr:nvSpPr>
        <xdr:spPr bwMode="auto">
          <a:xfrm flipV="1">
            <a:off x="768" y="224"/>
            <a:ext cx="0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573">
            <a:extLst>
              <a:ext uri="{FF2B5EF4-FFF2-40B4-BE49-F238E27FC236}">
                <a16:creationId xmlns:a16="http://schemas.microsoft.com/office/drawing/2014/main" id="{1FCDF2C2-F953-40A2-9AEB-530DE4E05C85}"/>
              </a:ext>
            </a:extLst>
          </xdr:cNvPr>
          <xdr:cNvSpPr>
            <a:spLocks noChangeShapeType="1"/>
          </xdr:cNvSpPr>
        </xdr:nvSpPr>
        <xdr:spPr bwMode="auto">
          <a:xfrm flipV="1">
            <a:off x="770" y="219"/>
            <a:ext cx="0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Freeform 574">
            <a:extLst>
              <a:ext uri="{FF2B5EF4-FFF2-40B4-BE49-F238E27FC236}">
                <a16:creationId xmlns:a16="http://schemas.microsoft.com/office/drawing/2014/main" id="{8D03443D-5C70-437A-9D75-7851E53018B2}"/>
              </a:ext>
            </a:extLst>
          </xdr:cNvPr>
          <xdr:cNvSpPr>
            <a:spLocks/>
          </xdr:cNvSpPr>
        </xdr:nvSpPr>
        <xdr:spPr bwMode="auto">
          <a:xfrm>
            <a:off x="770" y="221"/>
            <a:ext cx="5" cy="5"/>
          </a:xfrm>
          <a:custGeom>
            <a:avLst/>
            <a:gdLst>
              <a:gd name="T0" fmla="*/ 0 w 281"/>
              <a:gd name="T1" fmla="*/ 140 h 281"/>
              <a:gd name="T2" fmla="*/ 140 w 281"/>
              <a:gd name="T3" fmla="*/ 0 h 281"/>
              <a:gd name="T4" fmla="*/ 210 w 281"/>
              <a:gd name="T5" fmla="*/ 0 h 281"/>
              <a:gd name="T6" fmla="*/ 281 w 281"/>
              <a:gd name="T7" fmla="*/ 70 h 281"/>
              <a:gd name="T8" fmla="*/ 281 w 281"/>
              <a:gd name="T9" fmla="*/ 210 h 281"/>
              <a:gd name="T10" fmla="*/ 210 w 281"/>
              <a:gd name="T11" fmla="*/ 281 h 281"/>
              <a:gd name="T12" fmla="*/ 140 w 281"/>
              <a:gd name="T13" fmla="*/ 281 h 281"/>
              <a:gd name="T14" fmla="*/ 0 w 281"/>
              <a:gd name="T15" fmla="*/ 140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1"/>
                </a:lnTo>
                <a:lnTo>
                  <a:pt x="140" y="281"/>
                </a:lnTo>
                <a:lnTo>
                  <a:pt x="0" y="14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Line 575">
            <a:extLst>
              <a:ext uri="{FF2B5EF4-FFF2-40B4-BE49-F238E27FC236}">
                <a16:creationId xmlns:a16="http://schemas.microsoft.com/office/drawing/2014/main" id="{CB4DF900-A1A9-488E-854E-20532E564F23}"/>
              </a:ext>
            </a:extLst>
          </xdr:cNvPr>
          <xdr:cNvSpPr>
            <a:spLocks noChangeShapeType="1"/>
          </xdr:cNvSpPr>
        </xdr:nvSpPr>
        <xdr:spPr bwMode="auto">
          <a:xfrm flipV="1">
            <a:off x="777" y="219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Freeform 576">
            <a:extLst>
              <a:ext uri="{FF2B5EF4-FFF2-40B4-BE49-F238E27FC236}">
                <a16:creationId xmlns:a16="http://schemas.microsoft.com/office/drawing/2014/main" id="{11C77EC7-8B0D-4651-A69D-0D608728D89C}"/>
              </a:ext>
            </a:extLst>
          </xdr:cNvPr>
          <xdr:cNvSpPr>
            <a:spLocks/>
          </xdr:cNvSpPr>
        </xdr:nvSpPr>
        <xdr:spPr bwMode="auto">
          <a:xfrm>
            <a:off x="784" y="219"/>
            <a:ext cx="5" cy="7"/>
          </a:xfrm>
          <a:custGeom>
            <a:avLst/>
            <a:gdLst>
              <a:gd name="T0" fmla="*/ 0 w 280"/>
              <a:gd name="T1" fmla="*/ 71 h 422"/>
              <a:gd name="T2" fmla="*/ 70 w 280"/>
              <a:gd name="T3" fmla="*/ 0 h 422"/>
              <a:gd name="T4" fmla="*/ 210 w 280"/>
              <a:gd name="T5" fmla="*/ 0 h 422"/>
              <a:gd name="T6" fmla="*/ 280 w 280"/>
              <a:gd name="T7" fmla="*/ 71 h 422"/>
              <a:gd name="T8" fmla="*/ 280 w 280"/>
              <a:gd name="T9" fmla="*/ 141 h 422"/>
              <a:gd name="T10" fmla="*/ 210 w 280"/>
              <a:gd name="T11" fmla="*/ 211 h 422"/>
              <a:gd name="T12" fmla="*/ 70 w 280"/>
              <a:gd name="T13" fmla="*/ 211 h 422"/>
              <a:gd name="T14" fmla="*/ 0 w 280"/>
              <a:gd name="T15" fmla="*/ 281 h 422"/>
              <a:gd name="T16" fmla="*/ 0 w 280"/>
              <a:gd name="T17" fmla="*/ 422 h 422"/>
              <a:gd name="T18" fmla="*/ 280 w 280"/>
              <a:gd name="T19" fmla="*/ 42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0" h="422">
                <a:moveTo>
                  <a:pt x="0" y="71"/>
                </a:move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141"/>
                </a:lnTo>
                <a:lnTo>
                  <a:pt x="210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2"/>
                </a:lnTo>
                <a:lnTo>
                  <a:pt x="280" y="422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Line 577">
            <a:extLst>
              <a:ext uri="{FF2B5EF4-FFF2-40B4-BE49-F238E27FC236}">
                <a16:creationId xmlns:a16="http://schemas.microsoft.com/office/drawing/2014/main" id="{CB9FBFA3-FE33-4B2A-8918-9B5917BF8250}"/>
              </a:ext>
            </a:extLst>
          </xdr:cNvPr>
          <xdr:cNvSpPr>
            <a:spLocks noChangeShapeType="1"/>
          </xdr:cNvSpPr>
        </xdr:nvSpPr>
        <xdr:spPr bwMode="auto">
          <a:xfrm>
            <a:off x="791" y="221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578">
            <a:extLst>
              <a:ext uri="{FF2B5EF4-FFF2-40B4-BE49-F238E27FC236}">
                <a16:creationId xmlns:a16="http://schemas.microsoft.com/office/drawing/2014/main" id="{1AFDBD4D-3A14-486F-A25F-E275F606995E}"/>
              </a:ext>
            </a:extLst>
          </xdr:cNvPr>
          <xdr:cNvSpPr>
            <a:spLocks noChangeShapeType="1"/>
          </xdr:cNvSpPr>
        </xdr:nvSpPr>
        <xdr:spPr bwMode="auto">
          <a:xfrm flipH="1">
            <a:off x="791" y="223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Freeform 586">
            <a:extLst>
              <a:ext uri="{FF2B5EF4-FFF2-40B4-BE49-F238E27FC236}">
                <a16:creationId xmlns:a16="http://schemas.microsoft.com/office/drawing/2014/main" id="{01ECA729-CA97-4B5C-B119-C8A79DA0891C}"/>
              </a:ext>
            </a:extLst>
          </xdr:cNvPr>
          <xdr:cNvSpPr>
            <a:spLocks/>
          </xdr:cNvSpPr>
        </xdr:nvSpPr>
        <xdr:spPr bwMode="auto">
          <a:xfrm>
            <a:off x="1201" y="96"/>
            <a:ext cx="4" cy="4"/>
          </a:xfrm>
          <a:custGeom>
            <a:avLst/>
            <a:gdLst>
              <a:gd name="T0" fmla="*/ 0 w 282"/>
              <a:gd name="T1" fmla="*/ 210 h 210"/>
              <a:gd name="T2" fmla="*/ 212 w 282"/>
              <a:gd name="T3" fmla="*/ 210 h 210"/>
              <a:gd name="T4" fmla="*/ 282 w 282"/>
              <a:gd name="T5" fmla="*/ 140 h 210"/>
              <a:gd name="T6" fmla="*/ 282 w 282"/>
              <a:gd name="T7" fmla="*/ 70 h 210"/>
              <a:gd name="T8" fmla="*/ 212 w 282"/>
              <a:gd name="T9" fmla="*/ 0 h 210"/>
              <a:gd name="T10" fmla="*/ 70 w 282"/>
              <a:gd name="T11" fmla="*/ 0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2" h="210">
                <a:moveTo>
                  <a:pt x="0" y="210"/>
                </a:moveTo>
                <a:lnTo>
                  <a:pt x="212" y="210"/>
                </a:lnTo>
                <a:lnTo>
                  <a:pt x="282" y="140"/>
                </a:lnTo>
                <a:lnTo>
                  <a:pt x="282" y="70"/>
                </a:lnTo>
                <a:lnTo>
                  <a:pt x="212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Freeform 587">
            <a:extLst>
              <a:ext uri="{FF2B5EF4-FFF2-40B4-BE49-F238E27FC236}">
                <a16:creationId xmlns:a16="http://schemas.microsoft.com/office/drawing/2014/main" id="{C97A32F0-14BD-40F4-8A5B-D4BCEFCBAF50}"/>
              </a:ext>
            </a:extLst>
          </xdr:cNvPr>
          <xdr:cNvSpPr>
            <a:spLocks/>
          </xdr:cNvSpPr>
        </xdr:nvSpPr>
        <xdr:spPr bwMode="auto">
          <a:xfrm>
            <a:off x="1201" y="93"/>
            <a:ext cx="4" cy="3"/>
          </a:xfrm>
          <a:custGeom>
            <a:avLst/>
            <a:gdLst>
              <a:gd name="T0" fmla="*/ 212 w 282"/>
              <a:gd name="T1" fmla="*/ 211 h 211"/>
              <a:gd name="T2" fmla="*/ 282 w 282"/>
              <a:gd name="T3" fmla="*/ 141 h 211"/>
              <a:gd name="T4" fmla="*/ 282 w 282"/>
              <a:gd name="T5" fmla="*/ 70 h 211"/>
              <a:gd name="T6" fmla="*/ 212 w 282"/>
              <a:gd name="T7" fmla="*/ 0 h 211"/>
              <a:gd name="T8" fmla="*/ 0 w 282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2" h="211">
                <a:moveTo>
                  <a:pt x="212" y="211"/>
                </a:moveTo>
                <a:lnTo>
                  <a:pt x="282" y="141"/>
                </a:lnTo>
                <a:lnTo>
                  <a:pt x="282" y="70"/>
                </a:lnTo>
                <a:lnTo>
                  <a:pt x="212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Line 588">
            <a:extLst>
              <a:ext uri="{FF2B5EF4-FFF2-40B4-BE49-F238E27FC236}">
                <a16:creationId xmlns:a16="http://schemas.microsoft.com/office/drawing/2014/main" id="{9EDEBE41-3975-45F2-8D29-CC2618B483DF}"/>
              </a:ext>
            </a:extLst>
          </xdr:cNvPr>
          <xdr:cNvSpPr>
            <a:spLocks noChangeShapeType="1"/>
          </xdr:cNvSpPr>
        </xdr:nvSpPr>
        <xdr:spPr bwMode="auto">
          <a:xfrm>
            <a:off x="1202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Freeform 589">
            <a:extLst>
              <a:ext uri="{FF2B5EF4-FFF2-40B4-BE49-F238E27FC236}">
                <a16:creationId xmlns:a16="http://schemas.microsoft.com/office/drawing/2014/main" id="{A0AE3E5C-548B-4A99-91CE-23929E055B8F}"/>
              </a:ext>
            </a:extLst>
          </xdr:cNvPr>
          <xdr:cNvSpPr>
            <a:spLocks/>
          </xdr:cNvSpPr>
        </xdr:nvSpPr>
        <xdr:spPr bwMode="auto">
          <a:xfrm>
            <a:off x="1208" y="95"/>
            <a:ext cx="5" cy="5"/>
          </a:xfrm>
          <a:custGeom>
            <a:avLst/>
            <a:gdLst>
              <a:gd name="T0" fmla="*/ 210 w 281"/>
              <a:gd name="T1" fmla="*/ 280 h 280"/>
              <a:gd name="T2" fmla="*/ 70 w 281"/>
              <a:gd name="T3" fmla="*/ 280 h 280"/>
              <a:gd name="T4" fmla="*/ 0 w 281"/>
              <a:gd name="T5" fmla="*/ 210 h 280"/>
              <a:gd name="T6" fmla="*/ 0 w 281"/>
              <a:gd name="T7" fmla="*/ 70 h 280"/>
              <a:gd name="T8" fmla="*/ 70 w 281"/>
              <a:gd name="T9" fmla="*/ 0 h 280"/>
              <a:gd name="T10" fmla="*/ 210 w 281"/>
              <a:gd name="T11" fmla="*/ 0 h 280"/>
              <a:gd name="T12" fmla="*/ 281 w 281"/>
              <a:gd name="T13" fmla="*/ 70 h 280"/>
              <a:gd name="T14" fmla="*/ 281 w 281"/>
              <a:gd name="T15" fmla="*/ 210 h 280"/>
              <a:gd name="T16" fmla="*/ 210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Line 590">
            <a:extLst>
              <a:ext uri="{FF2B5EF4-FFF2-40B4-BE49-F238E27FC236}">
                <a16:creationId xmlns:a16="http://schemas.microsoft.com/office/drawing/2014/main" id="{F16BD0EA-6D1A-4B20-9DB6-0326374269D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Freeform 591">
            <a:extLst>
              <a:ext uri="{FF2B5EF4-FFF2-40B4-BE49-F238E27FC236}">
                <a16:creationId xmlns:a16="http://schemas.microsoft.com/office/drawing/2014/main" id="{10DB1898-F1B4-43EE-B78F-776B7A3FFD96}"/>
              </a:ext>
            </a:extLst>
          </xdr:cNvPr>
          <xdr:cNvSpPr>
            <a:spLocks/>
          </xdr:cNvSpPr>
        </xdr:nvSpPr>
        <xdr:spPr bwMode="auto">
          <a:xfrm>
            <a:off x="1215" y="95"/>
            <a:ext cx="5" cy="3"/>
          </a:xfrm>
          <a:custGeom>
            <a:avLst/>
            <a:gdLst>
              <a:gd name="T0" fmla="*/ 0 w 281"/>
              <a:gd name="T1" fmla="*/ 140 h 140"/>
              <a:gd name="T2" fmla="*/ 140 w 281"/>
              <a:gd name="T3" fmla="*/ 0 h 140"/>
              <a:gd name="T4" fmla="*/ 210 w 281"/>
              <a:gd name="T5" fmla="*/ 0 h 140"/>
              <a:gd name="T6" fmla="*/ 281 w 281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1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6" name="Freeform 592">
            <a:extLst>
              <a:ext uri="{FF2B5EF4-FFF2-40B4-BE49-F238E27FC236}">
                <a16:creationId xmlns:a16="http://schemas.microsoft.com/office/drawing/2014/main" id="{F18F0794-98C3-43F2-B2D1-29850D5918BD}"/>
              </a:ext>
            </a:extLst>
          </xdr:cNvPr>
          <xdr:cNvSpPr>
            <a:spLocks/>
          </xdr:cNvSpPr>
        </xdr:nvSpPr>
        <xdr:spPr bwMode="auto">
          <a:xfrm>
            <a:off x="1222" y="95"/>
            <a:ext cx="5" cy="5"/>
          </a:xfrm>
          <a:custGeom>
            <a:avLst/>
            <a:gdLst>
              <a:gd name="T0" fmla="*/ 280 w 280"/>
              <a:gd name="T1" fmla="*/ 140 h 280"/>
              <a:gd name="T2" fmla="*/ 140 w 280"/>
              <a:gd name="T3" fmla="*/ 280 h 280"/>
              <a:gd name="T4" fmla="*/ 70 w 280"/>
              <a:gd name="T5" fmla="*/ 280 h 280"/>
              <a:gd name="T6" fmla="*/ 0 w 280"/>
              <a:gd name="T7" fmla="*/ 210 h 280"/>
              <a:gd name="T8" fmla="*/ 0 w 280"/>
              <a:gd name="T9" fmla="*/ 70 h 280"/>
              <a:gd name="T10" fmla="*/ 70 w 280"/>
              <a:gd name="T11" fmla="*/ 0 h 280"/>
              <a:gd name="T12" fmla="*/ 140 w 280"/>
              <a:gd name="T13" fmla="*/ 0 h 280"/>
              <a:gd name="T14" fmla="*/ 280 w 280"/>
              <a:gd name="T15" fmla="*/ 14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0" h="280">
                <a:moveTo>
                  <a:pt x="280" y="140"/>
                </a:moveTo>
                <a:lnTo>
                  <a:pt x="140" y="280"/>
                </a:ln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80" y="14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593">
            <a:extLst>
              <a:ext uri="{FF2B5EF4-FFF2-40B4-BE49-F238E27FC236}">
                <a16:creationId xmlns:a16="http://schemas.microsoft.com/office/drawing/2014/main" id="{95B3A2E4-D74D-41C2-9131-EDFE734D17A4}"/>
              </a:ext>
            </a:extLst>
          </xdr:cNvPr>
          <xdr:cNvSpPr>
            <a:spLocks noChangeShapeType="1"/>
          </xdr:cNvSpPr>
        </xdr:nvSpPr>
        <xdr:spPr bwMode="auto">
          <a:xfrm>
            <a:off x="1227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Freeform 594">
            <a:extLst>
              <a:ext uri="{FF2B5EF4-FFF2-40B4-BE49-F238E27FC236}">
                <a16:creationId xmlns:a16="http://schemas.microsoft.com/office/drawing/2014/main" id="{35373C7E-3401-4CF7-9754-8D671803E1A5}"/>
              </a:ext>
            </a:extLst>
          </xdr:cNvPr>
          <xdr:cNvSpPr>
            <a:spLocks/>
          </xdr:cNvSpPr>
        </xdr:nvSpPr>
        <xdr:spPr bwMode="auto">
          <a:xfrm>
            <a:off x="1229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" name="Freeform 595">
            <a:extLst>
              <a:ext uri="{FF2B5EF4-FFF2-40B4-BE49-F238E27FC236}">
                <a16:creationId xmlns:a16="http://schemas.microsoft.com/office/drawing/2014/main" id="{04DACE58-5622-4A7B-952C-319F92BF982F}"/>
              </a:ext>
            </a:extLst>
          </xdr:cNvPr>
          <xdr:cNvSpPr>
            <a:spLocks/>
          </xdr:cNvSpPr>
        </xdr:nvSpPr>
        <xdr:spPr bwMode="auto">
          <a:xfrm>
            <a:off x="1244" y="95"/>
            <a:ext cx="4" cy="5"/>
          </a:xfrm>
          <a:custGeom>
            <a:avLst/>
            <a:gdLst>
              <a:gd name="T0" fmla="*/ 0 w 281"/>
              <a:gd name="T1" fmla="*/ 140 h 280"/>
              <a:gd name="T2" fmla="*/ 211 w 281"/>
              <a:gd name="T3" fmla="*/ 140 h 280"/>
              <a:gd name="T4" fmla="*/ 281 w 281"/>
              <a:gd name="T5" fmla="*/ 70 h 280"/>
              <a:gd name="T6" fmla="*/ 211 w 281"/>
              <a:gd name="T7" fmla="*/ 0 h 280"/>
              <a:gd name="T8" fmla="*/ 70 w 281"/>
              <a:gd name="T9" fmla="*/ 0 h 280"/>
              <a:gd name="T10" fmla="*/ 0 w 281"/>
              <a:gd name="T11" fmla="*/ 70 h 280"/>
              <a:gd name="T12" fmla="*/ 0 w 281"/>
              <a:gd name="T13" fmla="*/ 210 h 280"/>
              <a:gd name="T14" fmla="*/ 70 w 281"/>
              <a:gd name="T15" fmla="*/ 280 h 280"/>
              <a:gd name="T16" fmla="*/ 211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0" y="140"/>
                </a:moveTo>
                <a:lnTo>
                  <a:pt x="211" y="140"/>
                </a:lnTo>
                <a:lnTo>
                  <a:pt x="281" y="70"/>
                </a:lnTo>
                <a:lnTo>
                  <a:pt x="211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1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0" name="Line 596">
            <a:extLst>
              <a:ext uri="{FF2B5EF4-FFF2-40B4-BE49-F238E27FC236}">
                <a16:creationId xmlns:a16="http://schemas.microsoft.com/office/drawing/2014/main" id="{EED7AD4B-CBB6-4F14-B4DF-B981B1D32A7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597">
            <a:extLst>
              <a:ext uri="{FF2B5EF4-FFF2-40B4-BE49-F238E27FC236}">
                <a16:creationId xmlns:a16="http://schemas.microsoft.com/office/drawing/2014/main" id="{FC5E8DC0-5EB7-4E3F-A6EF-69F6ADA41F65}"/>
              </a:ext>
            </a:extLst>
          </xdr:cNvPr>
          <xdr:cNvSpPr>
            <a:spLocks noChangeShapeType="1"/>
          </xdr:cNvSpPr>
        </xdr:nvSpPr>
        <xdr:spPr bwMode="auto">
          <a:xfrm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598">
            <a:extLst>
              <a:ext uri="{FF2B5EF4-FFF2-40B4-BE49-F238E27FC236}">
                <a16:creationId xmlns:a16="http://schemas.microsoft.com/office/drawing/2014/main" id="{8584488A-40D2-497C-BB88-F6C1B62A85A3}"/>
              </a:ext>
            </a:extLst>
          </xdr:cNvPr>
          <xdr:cNvSpPr>
            <a:spLocks noChangeShapeType="1"/>
          </xdr:cNvSpPr>
        </xdr:nvSpPr>
        <xdr:spPr bwMode="auto">
          <a:xfrm>
            <a:off x="1258" y="95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Freeform 599">
            <a:extLst>
              <a:ext uri="{FF2B5EF4-FFF2-40B4-BE49-F238E27FC236}">
                <a16:creationId xmlns:a16="http://schemas.microsoft.com/office/drawing/2014/main" id="{68D2D293-027E-4855-A63E-C8B055433447}"/>
              </a:ext>
            </a:extLst>
          </xdr:cNvPr>
          <xdr:cNvSpPr>
            <a:spLocks/>
          </xdr:cNvSpPr>
        </xdr:nvSpPr>
        <xdr:spPr bwMode="auto">
          <a:xfrm>
            <a:off x="1260" y="93"/>
            <a:ext cx="3" cy="7"/>
          </a:xfrm>
          <a:custGeom>
            <a:avLst/>
            <a:gdLst>
              <a:gd name="T0" fmla="*/ 0 w 141"/>
              <a:gd name="T1" fmla="*/ 0 h 421"/>
              <a:gd name="T2" fmla="*/ 0 w 141"/>
              <a:gd name="T3" fmla="*/ 351 h 421"/>
              <a:gd name="T4" fmla="*/ 70 w 141"/>
              <a:gd name="T5" fmla="*/ 421 h 421"/>
              <a:gd name="T6" fmla="*/ 141 w 141"/>
              <a:gd name="T7" fmla="*/ 35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1">
                <a:moveTo>
                  <a:pt x="0" y="0"/>
                </a:moveTo>
                <a:lnTo>
                  <a:pt x="0" y="351"/>
                </a:lnTo>
                <a:lnTo>
                  <a:pt x="70" y="421"/>
                </a:lnTo>
                <a:lnTo>
                  <a:pt x="141" y="35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4" name="Freeform 600">
            <a:extLst>
              <a:ext uri="{FF2B5EF4-FFF2-40B4-BE49-F238E27FC236}">
                <a16:creationId xmlns:a16="http://schemas.microsoft.com/office/drawing/2014/main" id="{784A7045-E492-4C5F-BF75-B23D73240685}"/>
              </a:ext>
            </a:extLst>
          </xdr:cNvPr>
          <xdr:cNvSpPr>
            <a:spLocks/>
          </xdr:cNvSpPr>
        </xdr:nvSpPr>
        <xdr:spPr bwMode="auto">
          <a:xfrm>
            <a:off x="1265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" name="Line 601">
            <a:extLst>
              <a:ext uri="{FF2B5EF4-FFF2-40B4-BE49-F238E27FC236}">
                <a16:creationId xmlns:a16="http://schemas.microsoft.com/office/drawing/2014/main" id="{2B1F5B18-6A8C-4C6D-B993-15683004D214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2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Freeform 602">
            <a:extLst>
              <a:ext uri="{FF2B5EF4-FFF2-40B4-BE49-F238E27FC236}">
                <a16:creationId xmlns:a16="http://schemas.microsoft.com/office/drawing/2014/main" id="{9E7A6D23-4366-4991-8A45-F6739CA5CE33}"/>
              </a:ext>
            </a:extLst>
          </xdr:cNvPr>
          <xdr:cNvSpPr>
            <a:spLocks/>
          </xdr:cNvSpPr>
        </xdr:nvSpPr>
        <xdr:spPr bwMode="auto">
          <a:xfrm>
            <a:off x="1272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" name="Line 603">
            <a:extLst>
              <a:ext uri="{FF2B5EF4-FFF2-40B4-BE49-F238E27FC236}">
                <a16:creationId xmlns:a16="http://schemas.microsoft.com/office/drawing/2014/main" id="{4FC4D0B2-97C7-4598-AF56-9B51FE335EB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604">
            <a:extLst>
              <a:ext uri="{FF2B5EF4-FFF2-40B4-BE49-F238E27FC236}">
                <a16:creationId xmlns:a16="http://schemas.microsoft.com/office/drawing/2014/main" id="{73581B93-EAA9-429D-8564-F259C9A18B7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Freeform 605">
            <a:extLst>
              <a:ext uri="{FF2B5EF4-FFF2-40B4-BE49-F238E27FC236}">
                <a16:creationId xmlns:a16="http://schemas.microsoft.com/office/drawing/2014/main" id="{D9E4DBCB-E624-4127-BC8D-72175FEBC9E3}"/>
              </a:ext>
            </a:extLst>
          </xdr:cNvPr>
          <xdr:cNvSpPr>
            <a:spLocks/>
          </xdr:cNvSpPr>
        </xdr:nvSpPr>
        <xdr:spPr bwMode="auto">
          <a:xfrm>
            <a:off x="1282" y="95"/>
            <a:ext cx="4" cy="5"/>
          </a:xfrm>
          <a:custGeom>
            <a:avLst/>
            <a:gdLst>
              <a:gd name="T0" fmla="*/ 210 w 280"/>
              <a:gd name="T1" fmla="*/ 280 h 280"/>
              <a:gd name="T2" fmla="*/ 70 w 280"/>
              <a:gd name="T3" fmla="*/ 280 h 280"/>
              <a:gd name="T4" fmla="*/ 0 w 280"/>
              <a:gd name="T5" fmla="*/ 210 h 280"/>
              <a:gd name="T6" fmla="*/ 0 w 280"/>
              <a:gd name="T7" fmla="*/ 70 h 280"/>
              <a:gd name="T8" fmla="*/ 70 w 280"/>
              <a:gd name="T9" fmla="*/ 0 h 280"/>
              <a:gd name="T10" fmla="*/ 210 w 280"/>
              <a:gd name="T11" fmla="*/ 0 h 280"/>
              <a:gd name="T12" fmla="*/ 280 w 280"/>
              <a:gd name="T13" fmla="*/ 70 h 280"/>
              <a:gd name="T14" fmla="*/ 280 w 280"/>
              <a:gd name="T15" fmla="*/ 21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0" y="70"/>
                </a:lnTo>
                <a:lnTo>
                  <a:pt x="280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" name="Line 606">
            <a:extLst>
              <a:ext uri="{FF2B5EF4-FFF2-40B4-BE49-F238E27FC236}">
                <a16:creationId xmlns:a16="http://schemas.microsoft.com/office/drawing/2014/main" id="{72202BF3-F2FF-4E01-B765-4350D53D054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Freeform 607">
            <a:extLst>
              <a:ext uri="{FF2B5EF4-FFF2-40B4-BE49-F238E27FC236}">
                <a16:creationId xmlns:a16="http://schemas.microsoft.com/office/drawing/2014/main" id="{F76390E6-D68A-4942-AE6A-4C684D9117D1}"/>
              </a:ext>
            </a:extLst>
          </xdr:cNvPr>
          <xdr:cNvSpPr>
            <a:spLocks/>
          </xdr:cNvSpPr>
        </xdr:nvSpPr>
        <xdr:spPr bwMode="auto">
          <a:xfrm>
            <a:off x="1289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" name="Freeform 608">
            <a:extLst>
              <a:ext uri="{FF2B5EF4-FFF2-40B4-BE49-F238E27FC236}">
                <a16:creationId xmlns:a16="http://schemas.microsoft.com/office/drawing/2014/main" id="{81F2369A-8023-43A5-8F54-A6A0F7A6DFC7}"/>
              </a:ext>
            </a:extLst>
          </xdr:cNvPr>
          <xdr:cNvSpPr>
            <a:spLocks/>
          </xdr:cNvSpPr>
        </xdr:nvSpPr>
        <xdr:spPr bwMode="auto">
          <a:xfrm>
            <a:off x="1206" y="307"/>
            <a:ext cx="5" cy="3"/>
          </a:xfrm>
          <a:custGeom>
            <a:avLst/>
            <a:gdLst>
              <a:gd name="T0" fmla="*/ 0 w 280"/>
              <a:gd name="T1" fmla="*/ 211 h 211"/>
              <a:gd name="T2" fmla="*/ 210 w 280"/>
              <a:gd name="T3" fmla="*/ 211 h 211"/>
              <a:gd name="T4" fmla="*/ 280 w 280"/>
              <a:gd name="T5" fmla="*/ 141 h 211"/>
              <a:gd name="T6" fmla="*/ 280 w 280"/>
              <a:gd name="T7" fmla="*/ 70 h 211"/>
              <a:gd name="T8" fmla="*/ 210 w 280"/>
              <a:gd name="T9" fmla="*/ 0 h 211"/>
              <a:gd name="T10" fmla="*/ 70 w 280"/>
              <a:gd name="T11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0" h="211">
                <a:moveTo>
                  <a:pt x="0" y="211"/>
                </a:moveTo>
                <a:lnTo>
                  <a:pt x="210" y="211"/>
                </a:lnTo>
                <a:lnTo>
                  <a:pt x="280" y="141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" name="Freeform 609">
            <a:extLst>
              <a:ext uri="{FF2B5EF4-FFF2-40B4-BE49-F238E27FC236}">
                <a16:creationId xmlns:a16="http://schemas.microsoft.com/office/drawing/2014/main" id="{B4AC5519-5408-475A-80CB-3236C288921A}"/>
              </a:ext>
            </a:extLst>
          </xdr:cNvPr>
          <xdr:cNvSpPr>
            <a:spLocks/>
          </xdr:cNvSpPr>
        </xdr:nvSpPr>
        <xdr:spPr bwMode="auto">
          <a:xfrm>
            <a:off x="1206" y="303"/>
            <a:ext cx="5" cy="4"/>
          </a:xfrm>
          <a:custGeom>
            <a:avLst/>
            <a:gdLst>
              <a:gd name="T0" fmla="*/ 210 w 280"/>
              <a:gd name="T1" fmla="*/ 211 h 211"/>
              <a:gd name="T2" fmla="*/ 280 w 280"/>
              <a:gd name="T3" fmla="*/ 140 h 211"/>
              <a:gd name="T4" fmla="*/ 280 w 280"/>
              <a:gd name="T5" fmla="*/ 70 h 211"/>
              <a:gd name="T6" fmla="*/ 210 w 280"/>
              <a:gd name="T7" fmla="*/ 0 h 211"/>
              <a:gd name="T8" fmla="*/ 0 w 280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0" h="211">
                <a:moveTo>
                  <a:pt x="210" y="211"/>
                </a:moveTo>
                <a:lnTo>
                  <a:pt x="280" y="140"/>
                </a:lnTo>
                <a:lnTo>
                  <a:pt x="280" y="70"/>
                </a:lnTo>
                <a:lnTo>
                  <a:pt x="210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" name="Line 610">
            <a:extLst>
              <a:ext uri="{FF2B5EF4-FFF2-40B4-BE49-F238E27FC236}">
                <a16:creationId xmlns:a16="http://schemas.microsoft.com/office/drawing/2014/main" id="{9FB6C095-D947-47C3-A411-8F9B7DA5854B}"/>
              </a:ext>
            </a:extLst>
          </xdr:cNvPr>
          <xdr:cNvSpPr>
            <a:spLocks noChangeShapeType="1"/>
          </xdr:cNvSpPr>
        </xdr:nvSpPr>
        <xdr:spPr bwMode="auto">
          <a:xfrm>
            <a:off x="1208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Freeform 611">
            <a:extLst>
              <a:ext uri="{FF2B5EF4-FFF2-40B4-BE49-F238E27FC236}">
                <a16:creationId xmlns:a16="http://schemas.microsoft.com/office/drawing/2014/main" id="{FF602EC0-CA50-4AD4-B7C5-49BE5E2BCB24}"/>
              </a:ext>
            </a:extLst>
          </xdr:cNvPr>
          <xdr:cNvSpPr>
            <a:spLocks/>
          </xdr:cNvSpPr>
        </xdr:nvSpPr>
        <xdr:spPr bwMode="auto">
          <a:xfrm>
            <a:off x="1213" y="305"/>
            <a:ext cx="5" cy="5"/>
          </a:xfrm>
          <a:custGeom>
            <a:avLst/>
            <a:gdLst>
              <a:gd name="T0" fmla="*/ 210 w 280"/>
              <a:gd name="T1" fmla="*/ 282 h 282"/>
              <a:gd name="T2" fmla="*/ 70 w 280"/>
              <a:gd name="T3" fmla="*/ 282 h 282"/>
              <a:gd name="T4" fmla="*/ 0 w 280"/>
              <a:gd name="T5" fmla="*/ 212 h 282"/>
              <a:gd name="T6" fmla="*/ 0 w 280"/>
              <a:gd name="T7" fmla="*/ 71 h 282"/>
              <a:gd name="T8" fmla="*/ 70 w 280"/>
              <a:gd name="T9" fmla="*/ 0 h 282"/>
              <a:gd name="T10" fmla="*/ 210 w 280"/>
              <a:gd name="T11" fmla="*/ 0 h 282"/>
              <a:gd name="T12" fmla="*/ 280 w 280"/>
              <a:gd name="T13" fmla="*/ 71 h 282"/>
              <a:gd name="T14" fmla="*/ 280 w 280"/>
              <a:gd name="T15" fmla="*/ 212 h 282"/>
              <a:gd name="T16" fmla="*/ 210 w 280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" name="Line 612">
            <a:extLst>
              <a:ext uri="{FF2B5EF4-FFF2-40B4-BE49-F238E27FC236}">
                <a16:creationId xmlns:a16="http://schemas.microsoft.com/office/drawing/2014/main" id="{368B31EE-3E43-4DE3-8DBC-0624C076639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1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Freeform 613">
            <a:extLst>
              <a:ext uri="{FF2B5EF4-FFF2-40B4-BE49-F238E27FC236}">
                <a16:creationId xmlns:a16="http://schemas.microsoft.com/office/drawing/2014/main" id="{FF837AFD-D1D5-4344-8F1D-0D493E465AAB}"/>
              </a:ext>
            </a:extLst>
          </xdr:cNvPr>
          <xdr:cNvSpPr>
            <a:spLocks/>
          </xdr:cNvSpPr>
        </xdr:nvSpPr>
        <xdr:spPr bwMode="auto">
          <a:xfrm>
            <a:off x="1221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" name="Freeform 614">
            <a:extLst>
              <a:ext uri="{FF2B5EF4-FFF2-40B4-BE49-F238E27FC236}">
                <a16:creationId xmlns:a16="http://schemas.microsoft.com/office/drawing/2014/main" id="{BBB62CEB-EC96-4A3B-A6A2-9E8578A14B67}"/>
              </a:ext>
            </a:extLst>
          </xdr:cNvPr>
          <xdr:cNvSpPr>
            <a:spLocks/>
          </xdr:cNvSpPr>
        </xdr:nvSpPr>
        <xdr:spPr bwMode="auto">
          <a:xfrm>
            <a:off x="1228" y="305"/>
            <a:ext cx="5" cy="5"/>
          </a:xfrm>
          <a:custGeom>
            <a:avLst/>
            <a:gdLst>
              <a:gd name="T0" fmla="*/ 281 w 281"/>
              <a:gd name="T1" fmla="*/ 141 h 282"/>
              <a:gd name="T2" fmla="*/ 141 w 281"/>
              <a:gd name="T3" fmla="*/ 282 h 282"/>
              <a:gd name="T4" fmla="*/ 71 w 281"/>
              <a:gd name="T5" fmla="*/ 282 h 282"/>
              <a:gd name="T6" fmla="*/ 0 w 281"/>
              <a:gd name="T7" fmla="*/ 212 h 282"/>
              <a:gd name="T8" fmla="*/ 0 w 281"/>
              <a:gd name="T9" fmla="*/ 71 h 282"/>
              <a:gd name="T10" fmla="*/ 71 w 281"/>
              <a:gd name="T11" fmla="*/ 0 h 282"/>
              <a:gd name="T12" fmla="*/ 141 w 281"/>
              <a:gd name="T13" fmla="*/ 0 h 282"/>
              <a:gd name="T14" fmla="*/ 281 w 281"/>
              <a:gd name="T15" fmla="*/ 141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2">
                <a:moveTo>
                  <a:pt x="281" y="141"/>
                </a:moveTo>
                <a:lnTo>
                  <a:pt x="141" y="282"/>
                </a:lnTo>
                <a:lnTo>
                  <a:pt x="71" y="282"/>
                </a:lnTo>
                <a:lnTo>
                  <a:pt x="0" y="212"/>
                </a:lnTo>
                <a:lnTo>
                  <a:pt x="0" y="71"/>
                </a:lnTo>
                <a:lnTo>
                  <a:pt x="71" y="0"/>
                </a:lnTo>
                <a:lnTo>
                  <a:pt x="141" y="0"/>
                </a:lnTo>
                <a:lnTo>
                  <a:pt x="281" y="141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" name="Line 615">
            <a:extLst>
              <a:ext uri="{FF2B5EF4-FFF2-40B4-BE49-F238E27FC236}">
                <a16:creationId xmlns:a16="http://schemas.microsoft.com/office/drawing/2014/main" id="{D79FD3CC-E79A-41C7-8C2F-73924494453A}"/>
              </a:ext>
            </a:extLst>
          </xdr:cNvPr>
          <xdr:cNvSpPr>
            <a:spLocks noChangeShapeType="1"/>
          </xdr:cNvSpPr>
        </xdr:nvSpPr>
        <xdr:spPr bwMode="auto">
          <a:xfrm>
            <a:off x="1233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Freeform 616">
            <a:extLst>
              <a:ext uri="{FF2B5EF4-FFF2-40B4-BE49-F238E27FC236}">
                <a16:creationId xmlns:a16="http://schemas.microsoft.com/office/drawing/2014/main" id="{17D31C46-21EE-473F-8491-3AEFAC1A4444}"/>
              </a:ext>
            </a:extLst>
          </xdr:cNvPr>
          <xdr:cNvSpPr>
            <a:spLocks/>
          </xdr:cNvSpPr>
        </xdr:nvSpPr>
        <xdr:spPr bwMode="auto">
          <a:xfrm>
            <a:off x="1235" y="305"/>
            <a:ext cx="5" cy="5"/>
          </a:xfrm>
          <a:custGeom>
            <a:avLst/>
            <a:gdLst>
              <a:gd name="T0" fmla="*/ 0 w 281"/>
              <a:gd name="T1" fmla="*/ 141 h 282"/>
              <a:gd name="T2" fmla="*/ 211 w 281"/>
              <a:gd name="T3" fmla="*/ 141 h 282"/>
              <a:gd name="T4" fmla="*/ 281 w 281"/>
              <a:gd name="T5" fmla="*/ 71 h 282"/>
              <a:gd name="T6" fmla="*/ 211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1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1" y="141"/>
                </a:lnTo>
                <a:lnTo>
                  <a:pt x="281" y="71"/>
                </a:lnTo>
                <a:lnTo>
                  <a:pt x="211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1" name="Line 617">
            <a:extLst>
              <a:ext uri="{FF2B5EF4-FFF2-40B4-BE49-F238E27FC236}">
                <a16:creationId xmlns:a16="http://schemas.microsoft.com/office/drawing/2014/main" id="{97501D4C-DEA5-4E81-A277-369C0C68043E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Line 618">
            <a:extLst>
              <a:ext uri="{FF2B5EF4-FFF2-40B4-BE49-F238E27FC236}">
                <a16:creationId xmlns:a16="http://schemas.microsoft.com/office/drawing/2014/main" id="{F36EA4EB-732B-4B36-B0B2-B84150B6733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619">
            <a:extLst>
              <a:ext uri="{FF2B5EF4-FFF2-40B4-BE49-F238E27FC236}">
                <a16:creationId xmlns:a16="http://schemas.microsoft.com/office/drawing/2014/main" id="{9D6D301A-1D4D-49A3-ABA1-27467A654A78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2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Freeform 620">
            <a:extLst>
              <a:ext uri="{FF2B5EF4-FFF2-40B4-BE49-F238E27FC236}">
                <a16:creationId xmlns:a16="http://schemas.microsoft.com/office/drawing/2014/main" id="{55936EB6-15C5-4542-AF17-B8C66A43DB80}"/>
              </a:ext>
            </a:extLst>
          </xdr:cNvPr>
          <xdr:cNvSpPr>
            <a:spLocks/>
          </xdr:cNvSpPr>
        </xdr:nvSpPr>
        <xdr:spPr bwMode="auto">
          <a:xfrm>
            <a:off x="1252" y="305"/>
            <a:ext cx="4" cy="5"/>
          </a:xfrm>
          <a:custGeom>
            <a:avLst/>
            <a:gdLst>
              <a:gd name="T0" fmla="*/ 0 w 281"/>
              <a:gd name="T1" fmla="*/ 141 h 282"/>
              <a:gd name="T2" fmla="*/ 141 w 281"/>
              <a:gd name="T3" fmla="*/ 0 h 282"/>
              <a:gd name="T4" fmla="*/ 211 w 281"/>
              <a:gd name="T5" fmla="*/ 0 h 282"/>
              <a:gd name="T6" fmla="*/ 281 w 281"/>
              <a:gd name="T7" fmla="*/ 71 h 282"/>
              <a:gd name="T8" fmla="*/ 281 w 281"/>
              <a:gd name="T9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141" y="0"/>
                </a:lnTo>
                <a:lnTo>
                  <a:pt x="211" y="0"/>
                </a:lnTo>
                <a:lnTo>
                  <a:pt x="281" y="71"/>
                </a:lnTo>
                <a:lnTo>
                  <a:pt x="28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" name="Line 621">
            <a:extLst>
              <a:ext uri="{FF2B5EF4-FFF2-40B4-BE49-F238E27FC236}">
                <a16:creationId xmlns:a16="http://schemas.microsoft.com/office/drawing/2014/main" id="{BC97E7A0-AE05-409C-A6B8-B55CE8D45E43}"/>
              </a:ext>
            </a:extLst>
          </xdr:cNvPr>
          <xdr:cNvSpPr>
            <a:spLocks noChangeShapeType="1"/>
          </xdr:cNvSpPr>
        </xdr:nvSpPr>
        <xdr:spPr bwMode="auto">
          <a:xfrm>
            <a:off x="1259" y="305"/>
            <a:ext cx="4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Freeform 622">
            <a:extLst>
              <a:ext uri="{FF2B5EF4-FFF2-40B4-BE49-F238E27FC236}">
                <a16:creationId xmlns:a16="http://schemas.microsoft.com/office/drawing/2014/main" id="{255164A3-C1A7-4E25-AB3E-3596BD351A6C}"/>
              </a:ext>
            </a:extLst>
          </xdr:cNvPr>
          <xdr:cNvSpPr>
            <a:spLocks/>
          </xdr:cNvSpPr>
        </xdr:nvSpPr>
        <xdr:spPr bwMode="auto">
          <a:xfrm>
            <a:off x="1261" y="303"/>
            <a:ext cx="2" cy="7"/>
          </a:xfrm>
          <a:custGeom>
            <a:avLst/>
            <a:gdLst>
              <a:gd name="T0" fmla="*/ 0 w 141"/>
              <a:gd name="T1" fmla="*/ 0 h 422"/>
              <a:gd name="T2" fmla="*/ 0 w 141"/>
              <a:gd name="T3" fmla="*/ 352 h 422"/>
              <a:gd name="T4" fmla="*/ 71 w 141"/>
              <a:gd name="T5" fmla="*/ 422 h 422"/>
              <a:gd name="T6" fmla="*/ 141 w 141"/>
              <a:gd name="T7" fmla="*/ 35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2">
                <a:moveTo>
                  <a:pt x="0" y="0"/>
                </a:moveTo>
                <a:lnTo>
                  <a:pt x="0" y="352"/>
                </a:lnTo>
                <a:lnTo>
                  <a:pt x="71" y="422"/>
                </a:lnTo>
                <a:lnTo>
                  <a:pt x="141" y="35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7" name="Freeform 623">
            <a:extLst>
              <a:ext uri="{FF2B5EF4-FFF2-40B4-BE49-F238E27FC236}">
                <a16:creationId xmlns:a16="http://schemas.microsoft.com/office/drawing/2014/main" id="{4163735B-5047-4BB2-8E0C-28379A3114BC}"/>
              </a:ext>
            </a:extLst>
          </xdr:cNvPr>
          <xdr:cNvSpPr>
            <a:spLocks/>
          </xdr:cNvSpPr>
        </xdr:nvSpPr>
        <xdr:spPr bwMode="auto">
          <a:xfrm>
            <a:off x="1266" y="305"/>
            <a:ext cx="5" cy="5"/>
          </a:xfrm>
          <a:custGeom>
            <a:avLst/>
            <a:gdLst>
              <a:gd name="T0" fmla="*/ 0 w 281"/>
              <a:gd name="T1" fmla="*/ 141 h 282"/>
              <a:gd name="T2" fmla="*/ 210 w 281"/>
              <a:gd name="T3" fmla="*/ 141 h 282"/>
              <a:gd name="T4" fmla="*/ 281 w 281"/>
              <a:gd name="T5" fmla="*/ 71 h 282"/>
              <a:gd name="T6" fmla="*/ 210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0" y="141"/>
                </a:lnTo>
                <a:lnTo>
                  <a:pt x="281" y="71"/>
                </a:lnTo>
                <a:lnTo>
                  <a:pt x="210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0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" name="Line 624">
            <a:extLst>
              <a:ext uri="{FF2B5EF4-FFF2-40B4-BE49-F238E27FC236}">
                <a16:creationId xmlns:a16="http://schemas.microsoft.com/office/drawing/2014/main" id="{98B76E39-934F-422D-AC6D-8D90C30E720E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3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Freeform 625">
            <a:extLst>
              <a:ext uri="{FF2B5EF4-FFF2-40B4-BE49-F238E27FC236}">
                <a16:creationId xmlns:a16="http://schemas.microsoft.com/office/drawing/2014/main" id="{9C850868-DD93-426E-BD3B-2A058092967E}"/>
              </a:ext>
            </a:extLst>
          </xdr:cNvPr>
          <xdr:cNvSpPr>
            <a:spLocks/>
          </xdr:cNvSpPr>
        </xdr:nvSpPr>
        <xdr:spPr bwMode="auto">
          <a:xfrm>
            <a:off x="1273" y="305"/>
            <a:ext cx="5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0" name="Line 626">
            <a:extLst>
              <a:ext uri="{FF2B5EF4-FFF2-40B4-BE49-F238E27FC236}">
                <a16:creationId xmlns:a16="http://schemas.microsoft.com/office/drawing/2014/main" id="{D42657B2-2A53-4C1B-A3E3-21E99361EAE4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627">
            <a:extLst>
              <a:ext uri="{FF2B5EF4-FFF2-40B4-BE49-F238E27FC236}">
                <a16:creationId xmlns:a16="http://schemas.microsoft.com/office/drawing/2014/main" id="{29B61ADD-0DAE-47BF-B674-C6F6A69386D8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Freeform 628">
            <a:extLst>
              <a:ext uri="{FF2B5EF4-FFF2-40B4-BE49-F238E27FC236}">
                <a16:creationId xmlns:a16="http://schemas.microsoft.com/office/drawing/2014/main" id="{E4502D51-61E1-4FB6-B53E-ECB0F98BE43E}"/>
              </a:ext>
            </a:extLst>
          </xdr:cNvPr>
          <xdr:cNvSpPr>
            <a:spLocks/>
          </xdr:cNvSpPr>
        </xdr:nvSpPr>
        <xdr:spPr bwMode="auto">
          <a:xfrm>
            <a:off x="1283" y="305"/>
            <a:ext cx="4" cy="5"/>
          </a:xfrm>
          <a:custGeom>
            <a:avLst/>
            <a:gdLst>
              <a:gd name="T0" fmla="*/ 210 w 281"/>
              <a:gd name="T1" fmla="*/ 282 h 282"/>
              <a:gd name="T2" fmla="*/ 70 w 281"/>
              <a:gd name="T3" fmla="*/ 282 h 282"/>
              <a:gd name="T4" fmla="*/ 0 w 281"/>
              <a:gd name="T5" fmla="*/ 212 h 282"/>
              <a:gd name="T6" fmla="*/ 0 w 281"/>
              <a:gd name="T7" fmla="*/ 71 h 282"/>
              <a:gd name="T8" fmla="*/ 70 w 281"/>
              <a:gd name="T9" fmla="*/ 0 h 282"/>
              <a:gd name="T10" fmla="*/ 210 w 281"/>
              <a:gd name="T11" fmla="*/ 0 h 282"/>
              <a:gd name="T12" fmla="*/ 281 w 281"/>
              <a:gd name="T13" fmla="*/ 71 h 282"/>
              <a:gd name="T14" fmla="*/ 281 w 281"/>
              <a:gd name="T15" fmla="*/ 21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1" y="71"/>
                </a:lnTo>
                <a:lnTo>
                  <a:pt x="281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" name="Line 629">
            <a:extLst>
              <a:ext uri="{FF2B5EF4-FFF2-40B4-BE49-F238E27FC236}">
                <a16:creationId xmlns:a16="http://schemas.microsoft.com/office/drawing/2014/main" id="{357B9E58-B02E-4D84-9F3C-5C416FA8F83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9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Freeform 630">
            <a:extLst>
              <a:ext uri="{FF2B5EF4-FFF2-40B4-BE49-F238E27FC236}">
                <a16:creationId xmlns:a16="http://schemas.microsoft.com/office/drawing/2014/main" id="{25B2BFD2-8DE9-4AF3-92AF-EA4D7D18C22F}"/>
              </a:ext>
            </a:extLst>
          </xdr:cNvPr>
          <xdr:cNvSpPr>
            <a:spLocks/>
          </xdr:cNvSpPr>
        </xdr:nvSpPr>
        <xdr:spPr bwMode="auto">
          <a:xfrm>
            <a:off x="1290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5" name="Freeform 631">
            <a:extLst>
              <a:ext uri="{FF2B5EF4-FFF2-40B4-BE49-F238E27FC236}">
                <a16:creationId xmlns:a16="http://schemas.microsoft.com/office/drawing/2014/main" id="{3B24598A-AC4C-4787-8CDC-F44FA1F4969B}"/>
              </a:ext>
            </a:extLst>
          </xdr:cNvPr>
          <xdr:cNvSpPr>
            <a:spLocks/>
          </xdr:cNvSpPr>
        </xdr:nvSpPr>
        <xdr:spPr bwMode="auto">
          <a:xfrm>
            <a:off x="864" y="189"/>
            <a:ext cx="5" cy="7"/>
          </a:xfrm>
          <a:custGeom>
            <a:avLst/>
            <a:gdLst>
              <a:gd name="T0" fmla="*/ 0 w 282"/>
              <a:gd name="T1" fmla="*/ 422 h 422"/>
              <a:gd name="T2" fmla="*/ 0 w 282"/>
              <a:gd name="T3" fmla="*/ 0 h 422"/>
              <a:gd name="T4" fmla="*/ 282 w 282"/>
              <a:gd name="T5" fmla="*/ 0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82" h="422">
                <a:moveTo>
                  <a:pt x="0" y="422"/>
                </a:moveTo>
                <a:lnTo>
                  <a:pt x="0" y="0"/>
                </a:lnTo>
                <a:lnTo>
                  <a:pt x="282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6" name="Line 632">
            <a:extLst>
              <a:ext uri="{FF2B5EF4-FFF2-40B4-BE49-F238E27FC236}">
                <a16:creationId xmlns:a16="http://schemas.microsoft.com/office/drawing/2014/main" id="{F9E85BC0-7562-4736-8E4C-B175EBBFBE86}"/>
              </a:ext>
            </a:extLst>
          </xdr:cNvPr>
          <xdr:cNvSpPr>
            <a:spLocks noChangeShapeType="1"/>
          </xdr:cNvSpPr>
        </xdr:nvSpPr>
        <xdr:spPr bwMode="auto">
          <a:xfrm>
            <a:off x="864" y="193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633">
            <a:extLst>
              <a:ext uri="{FF2B5EF4-FFF2-40B4-BE49-F238E27FC236}">
                <a16:creationId xmlns:a16="http://schemas.microsoft.com/office/drawing/2014/main" id="{3633FAAD-2E6F-44AA-9B55-41653A7B773C}"/>
              </a:ext>
            </a:extLst>
          </xdr:cNvPr>
          <xdr:cNvSpPr>
            <a:spLocks noChangeShapeType="1"/>
          </xdr:cNvSpPr>
        </xdr:nvSpPr>
        <xdr:spPr bwMode="auto">
          <a:xfrm>
            <a:off x="864" y="196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Freeform 634">
            <a:extLst>
              <a:ext uri="{FF2B5EF4-FFF2-40B4-BE49-F238E27FC236}">
                <a16:creationId xmlns:a16="http://schemas.microsoft.com/office/drawing/2014/main" id="{FCF136C2-52A6-4604-A53E-EC39118908CD}"/>
              </a:ext>
            </a:extLst>
          </xdr:cNvPr>
          <xdr:cNvSpPr>
            <a:spLocks/>
          </xdr:cNvSpPr>
        </xdr:nvSpPr>
        <xdr:spPr bwMode="auto">
          <a:xfrm>
            <a:off x="871" y="192"/>
            <a:ext cx="4" cy="7"/>
          </a:xfrm>
          <a:custGeom>
            <a:avLst/>
            <a:gdLst>
              <a:gd name="T0" fmla="*/ 0 w 211"/>
              <a:gd name="T1" fmla="*/ 351 h 421"/>
              <a:gd name="T2" fmla="*/ 70 w 211"/>
              <a:gd name="T3" fmla="*/ 421 h 421"/>
              <a:gd name="T4" fmla="*/ 141 w 211"/>
              <a:gd name="T5" fmla="*/ 421 h 421"/>
              <a:gd name="T6" fmla="*/ 211 w 211"/>
              <a:gd name="T7" fmla="*/ 351 h 421"/>
              <a:gd name="T8" fmla="*/ 211 w 211"/>
              <a:gd name="T9" fmla="*/ 0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11" h="421">
                <a:moveTo>
                  <a:pt x="0" y="351"/>
                </a:moveTo>
                <a:lnTo>
                  <a:pt x="70" y="421"/>
                </a:lnTo>
                <a:lnTo>
                  <a:pt x="141" y="421"/>
                </a:lnTo>
                <a:lnTo>
                  <a:pt x="211" y="351"/>
                </a:lnTo>
                <a:lnTo>
                  <a:pt x="211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9" name="Line 635">
            <a:extLst>
              <a:ext uri="{FF2B5EF4-FFF2-40B4-BE49-F238E27FC236}">
                <a16:creationId xmlns:a16="http://schemas.microsoft.com/office/drawing/2014/main" id="{5C3096BB-9B71-4BFA-A657-BC06F1B9EE1B}"/>
              </a:ext>
            </a:extLst>
          </xdr:cNvPr>
          <xdr:cNvSpPr>
            <a:spLocks noChangeShapeType="1"/>
          </xdr:cNvSpPr>
        </xdr:nvSpPr>
        <xdr:spPr bwMode="auto">
          <a:xfrm flipV="1">
            <a:off x="875" y="189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Freeform 636">
            <a:extLst>
              <a:ext uri="{FF2B5EF4-FFF2-40B4-BE49-F238E27FC236}">
                <a16:creationId xmlns:a16="http://schemas.microsoft.com/office/drawing/2014/main" id="{44814253-F804-4613-BC58-C5E04D0BB917}"/>
              </a:ext>
            </a:extLst>
          </xdr:cNvPr>
          <xdr:cNvSpPr>
            <a:spLocks/>
          </xdr:cNvSpPr>
        </xdr:nvSpPr>
        <xdr:spPr bwMode="auto">
          <a:xfrm>
            <a:off x="877" y="192"/>
            <a:ext cx="5" cy="4"/>
          </a:xfrm>
          <a:custGeom>
            <a:avLst/>
            <a:gdLst>
              <a:gd name="T0" fmla="*/ 0 w 281"/>
              <a:gd name="T1" fmla="*/ 140 h 281"/>
              <a:gd name="T2" fmla="*/ 210 w 281"/>
              <a:gd name="T3" fmla="*/ 140 h 281"/>
              <a:gd name="T4" fmla="*/ 281 w 281"/>
              <a:gd name="T5" fmla="*/ 70 h 281"/>
              <a:gd name="T6" fmla="*/ 210 w 281"/>
              <a:gd name="T7" fmla="*/ 0 h 281"/>
              <a:gd name="T8" fmla="*/ 70 w 281"/>
              <a:gd name="T9" fmla="*/ 0 h 281"/>
              <a:gd name="T10" fmla="*/ 0 w 281"/>
              <a:gd name="T11" fmla="*/ 70 h 281"/>
              <a:gd name="T12" fmla="*/ 0 w 281"/>
              <a:gd name="T13" fmla="*/ 210 h 281"/>
              <a:gd name="T14" fmla="*/ 70 w 281"/>
              <a:gd name="T15" fmla="*/ 281 h 281"/>
              <a:gd name="T16" fmla="*/ 210 w 28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210" y="140"/>
                </a:lnTo>
                <a:lnTo>
                  <a:pt x="281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1"/>
                </a:lnTo>
                <a:lnTo>
                  <a:pt x="210" y="28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</xdr:col>
      <xdr:colOff>236604</xdr:colOff>
      <xdr:row>11</xdr:row>
      <xdr:rowOff>109497</xdr:rowOff>
    </xdr:from>
    <xdr:to>
      <xdr:col>2</xdr:col>
      <xdr:colOff>236606</xdr:colOff>
      <xdr:row>14</xdr:row>
      <xdr:rowOff>144876</xdr:rowOff>
    </xdr:to>
    <xdr:cxnSp macro="">
      <xdr:nvCxnSpPr>
        <xdr:cNvPr id="541" name="Conector recto de flecha 540">
          <a:extLst>
            <a:ext uri="{FF2B5EF4-FFF2-40B4-BE49-F238E27FC236}">
              <a16:creationId xmlns:a16="http://schemas.microsoft.com/office/drawing/2014/main" id="{ADC6CE89-0451-4387-B91E-1FCA4FA22E33}"/>
            </a:ext>
          </a:extLst>
        </xdr:cNvPr>
        <xdr:cNvCxnSpPr/>
      </xdr:nvCxnSpPr>
      <xdr:spPr>
        <a:xfrm>
          <a:off x="2446404" y="2224047"/>
          <a:ext cx="2" cy="7307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</xdr:colOff>
      <xdr:row>11</xdr:row>
      <xdr:rowOff>108857</xdr:rowOff>
    </xdr:from>
    <xdr:to>
      <xdr:col>2</xdr:col>
      <xdr:colOff>228600</xdr:colOff>
      <xdr:row>11</xdr:row>
      <xdr:rowOff>108857</xdr:rowOff>
    </xdr:to>
    <xdr:cxnSp macro="">
      <xdr:nvCxnSpPr>
        <xdr:cNvPr id="542" name="Conector recto de flecha 541">
          <a:extLst>
            <a:ext uri="{FF2B5EF4-FFF2-40B4-BE49-F238E27FC236}">
              <a16:creationId xmlns:a16="http://schemas.microsoft.com/office/drawing/2014/main" id="{752E3B19-36EB-4C5C-B26A-E79D13AEE055}"/>
            </a:ext>
          </a:extLst>
        </xdr:cNvPr>
        <xdr:cNvCxnSpPr/>
      </xdr:nvCxnSpPr>
      <xdr:spPr>
        <a:xfrm flipH="1">
          <a:off x="2231571" y="2223407"/>
          <a:ext cx="2068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621907</xdr:colOff>
      <xdr:row>39</xdr:row>
      <xdr:rowOff>11350</xdr:rowOff>
    </xdr:from>
    <xdr:to>
      <xdr:col>7</xdr:col>
      <xdr:colOff>565367</xdr:colOff>
      <xdr:row>57</xdr:row>
      <xdr:rowOff>180078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id="{82218E3C-173E-46EB-A621-1A0A8867A3AA}"/>
            </a:ext>
          </a:extLst>
        </xdr:cNvPr>
        <xdr:cNvGrpSpPr>
          <a:grpSpLocks noChangeAspect="1"/>
        </xdr:cNvGrpSpPr>
      </xdr:nvGrpSpPr>
      <xdr:grpSpPr bwMode="auto">
        <a:xfrm>
          <a:off x="621907" y="7767421"/>
          <a:ext cx="6698434" cy="3667708"/>
          <a:chOff x="753" y="57"/>
          <a:chExt cx="550" cy="299"/>
        </a:xfrm>
      </xdr:grpSpPr>
      <xdr:sp macro="" textlink="">
        <xdr:nvSpPr>
          <xdr:cNvPr id="3" name="AutoShape 50">
            <a:extLst>
              <a:ext uri="{FF2B5EF4-FFF2-40B4-BE49-F238E27FC236}">
                <a16:creationId xmlns:a16="http://schemas.microsoft.com/office/drawing/2014/main" id="{B9EC47D7-B33B-47B9-9C0B-6F182CC7FA7F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753" y="57"/>
            <a:ext cx="550" cy="2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grpSp>
        <xdr:nvGrpSpPr>
          <xdr:cNvPr id="4" name="Group 252">
            <a:extLst>
              <a:ext uri="{FF2B5EF4-FFF2-40B4-BE49-F238E27FC236}">
                <a16:creationId xmlns:a16="http://schemas.microsoft.com/office/drawing/2014/main" id="{FFE9C2A0-1C2A-4E75-9864-94FD37BC5ACE}"/>
              </a:ext>
            </a:extLst>
          </xdr:cNvPr>
          <xdr:cNvGrpSpPr>
            <a:grpSpLocks/>
          </xdr:cNvGrpSpPr>
        </xdr:nvGrpSpPr>
        <xdr:grpSpPr bwMode="auto">
          <a:xfrm>
            <a:off x="821" y="106"/>
            <a:ext cx="402" cy="191"/>
            <a:chOff x="821" y="106"/>
            <a:chExt cx="402" cy="191"/>
          </a:xfrm>
        </xdr:grpSpPr>
        <xdr:sp macro="" textlink="">
          <xdr:nvSpPr>
            <xdr:cNvPr id="341" name="Line 52">
              <a:extLst>
                <a:ext uri="{FF2B5EF4-FFF2-40B4-BE49-F238E27FC236}">
                  <a16:creationId xmlns:a16="http://schemas.microsoft.com/office/drawing/2014/main" id="{0CF0EE95-5CE5-493F-B45B-463C4402C10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23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2" name="Line 53">
              <a:extLst>
                <a:ext uri="{FF2B5EF4-FFF2-40B4-BE49-F238E27FC236}">
                  <a16:creationId xmlns:a16="http://schemas.microsoft.com/office/drawing/2014/main" id="{9434CEB5-E3D0-4717-9C9A-125447D34FD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32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3" name="Line 54">
              <a:extLst>
                <a:ext uri="{FF2B5EF4-FFF2-40B4-BE49-F238E27FC236}">
                  <a16:creationId xmlns:a16="http://schemas.microsoft.com/office/drawing/2014/main" id="{CA320603-19EA-459C-9854-BE674679497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0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4" name="Line 55">
              <a:extLst>
                <a:ext uri="{FF2B5EF4-FFF2-40B4-BE49-F238E27FC236}">
                  <a16:creationId xmlns:a16="http://schemas.microsoft.com/office/drawing/2014/main" id="{ED1F8691-BB2F-41DA-BDA7-1CDBEB21B6B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9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5" name="Line 56">
              <a:extLst>
                <a:ext uri="{FF2B5EF4-FFF2-40B4-BE49-F238E27FC236}">
                  <a16:creationId xmlns:a16="http://schemas.microsoft.com/office/drawing/2014/main" id="{885305BC-1314-4621-B923-5E116075DEA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57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6" name="Line 57">
              <a:extLst>
                <a:ext uri="{FF2B5EF4-FFF2-40B4-BE49-F238E27FC236}">
                  <a16:creationId xmlns:a16="http://schemas.microsoft.com/office/drawing/2014/main" id="{C2AE3629-97E3-4DD1-81DF-526D4EBC2AD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66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7" name="Line 58">
              <a:extLst>
                <a:ext uri="{FF2B5EF4-FFF2-40B4-BE49-F238E27FC236}">
                  <a16:creationId xmlns:a16="http://schemas.microsoft.com/office/drawing/2014/main" id="{5BD768CE-9F80-42FD-BFD2-046261BC09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74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8" name="Line 59">
              <a:extLst>
                <a:ext uri="{FF2B5EF4-FFF2-40B4-BE49-F238E27FC236}">
                  <a16:creationId xmlns:a16="http://schemas.microsoft.com/office/drawing/2014/main" id="{7580A870-E1B8-48ED-A443-E4E3793A98F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83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9" name="Line 60">
              <a:extLst>
                <a:ext uri="{FF2B5EF4-FFF2-40B4-BE49-F238E27FC236}">
                  <a16:creationId xmlns:a16="http://schemas.microsoft.com/office/drawing/2014/main" id="{9F199114-9A57-4101-A49E-CE6A571BB87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91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0" name="Line 61">
              <a:extLst>
                <a:ext uri="{FF2B5EF4-FFF2-40B4-BE49-F238E27FC236}">
                  <a16:creationId xmlns:a16="http://schemas.microsoft.com/office/drawing/2014/main" id="{92CF56C3-831E-4099-B585-B6654C40769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0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1" name="Line 62">
              <a:extLst>
                <a:ext uri="{FF2B5EF4-FFF2-40B4-BE49-F238E27FC236}">
                  <a16:creationId xmlns:a16="http://schemas.microsoft.com/office/drawing/2014/main" id="{3D15C511-8623-4EB2-9786-94821ECE784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8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2" name="Line 63">
              <a:extLst>
                <a:ext uri="{FF2B5EF4-FFF2-40B4-BE49-F238E27FC236}">
                  <a16:creationId xmlns:a16="http://schemas.microsoft.com/office/drawing/2014/main" id="{E8B2067F-0630-47B6-B676-007A0FB3670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17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3" name="Line 64">
              <a:extLst>
                <a:ext uri="{FF2B5EF4-FFF2-40B4-BE49-F238E27FC236}">
                  <a16:creationId xmlns:a16="http://schemas.microsoft.com/office/drawing/2014/main" id="{0F801F6A-7C1A-4D2C-8D27-7CEE6D52724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25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4" name="Line 65">
              <a:extLst>
                <a:ext uri="{FF2B5EF4-FFF2-40B4-BE49-F238E27FC236}">
                  <a16:creationId xmlns:a16="http://schemas.microsoft.com/office/drawing/2014/main" id="{6FB74A4A-FEFF-47D0-8372-84EF63287FA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34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5" name="Line 66">
              <a:extLst>
                <a:ext uri="{FF2B5EF4-FFF2-40B4-BE49-F238E27FC236}">
                  <a16:creationId xmlns:a16="http://schemas.microsoft.com/office/drawing/2014/main" id="{07FA36C9-05A3-47C8-8D5D-FD650EE8919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42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6" name="Line 67">
              <a:extLst>
                <a:ext uri="{FF2B5EF4-FFF2-40B4-BE49-F238E27FC236}">
                  <a16:creationId xmlns:a16="http://schemas.microsoft.com/office/drawing/2014/main" id="{5A376B56-B290-4844-94D8-10ADBE2C954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1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7" name="Line 68">
              <a:extLst>
                <a:ext uri="{FF2B5EF4-FFF2-40B4-BE49-F238E27FC236}">
                  <a16:creationId xmlns:a16="http://schemas.microsoft.com/office/drawing/2014/main" id="{D36C5907-10B2-4A26-A9B5-91AF0878F3F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9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8" name="Line 69">
              <a:extLst>
                <a:ext uri="{FF2B5EF4-FFF2-40B4-BE49-F238E27FC236}">
                  <a16:creationId xmlns:a16="http://schemas.microsoft.com/office/drawing/2014/main" id="{A0775B1A-AB6F-49E6-9863-9F4A81A3BC8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68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9" name="Line 70">
              <a:extLst>
                <a:ext uri="{FF2B5EF4-FFF2-40B4-BE49-F238E27FC236}">
                  <a16:creationId xmlns:a16="http://schemas.microsoft.com/office/drawing/2014/main" id="{182FE1DD-07A3-48E3-9078-6E985DB81CB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76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0" name="Line 71">
              <a:extLst>
                <a:ext uri="{FF2B5EF4-FFF2-40B4-BE49-F238E27FC236}">
                  <a16:creationId xmlns:a16="http://schemas.microsoft.com/office/drawing/2014/main" id="{C8D5CBE5-389C-478C-BDA7-2A04ABC364E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5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1" name="Line 72">
              <a:extLst>
                <a:ext uri="{FF2B5EF4-FFF2-40B4-BE49-F238E27FC236}">
                  <a16:creationId xmlns:a16="http://schemas.microsoft.com/office/drawing/2014/main" id="{5E8AD62D-94D9-43C1-9269-EDDCCEC6EAA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8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2" name="Line 73">
              <a:extLst>
                <a:ext uri="{FF2B5EF4-FFF2-40B4-BE49-F238E27FC236}">
                  <a16:creationId xmlns:a16="http://schemas.microsoft.com/office/drawing/2014/main" id="{F164CC56-BD7C-440F-891E-6C880007842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3" name="Line 74">
              <a:extLst>
                <a:ext uri="{FF2B5EF4-FFF2-40B4-BE49-F238E27FC236}">
                  <a16:creationId xmlns:a16="http://schemas.microsoft.com/office/drawing/2014/main" id="{43CCD0BC-11CC-4AC8-B6EC-0AA9045D1BA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8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4" name="Line 75">
              <a:extLst>
                <a:ext uri="{FF2B5EF4-FFF2-40B4-BE49-F238E27FC236}">
                  <a16:creationId xmlns:a16="http://schemas.microsoft.com/office/drawing/2014/main" id="{99844DB6-E33F-4A9C-B9D2-4096EB39271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7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5" name="Line 76">
              <a:extLst>
                <a:ext uri="{FF2B5EF4-FFF2-40B4-BE49-F238E27FC236}">
                  <a16:creationId xmlns:a16="http://schemas.microsoft.com/office/drawing/2014/main" id="{58A537A2-DB4B-4BFD-87E6-05CACB74B64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6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6" name="Line 77">
              <a:extLst>
                <a:ext uri="{FF2B5EF4-FFF2-40B4-BE49-F238E27FC236}">
                  <a16:creationId xmlns:a16="http://schemas.microsoft.com/office/drawing/2014/main" id="{BF3ED644-8D15-472C-B362-A2687259E72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5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7" name="Line 78">
              <a:extLst>
                <a:ext uri="{FF2B5EF4-FFF2-40B4-BE49-F238E27FC236}">
                  <a16:creationId xmlns:a16="http://schemas.microsoft.com/office/drawing/2014/main" id="{BCE5F035-839B-41DD-960C-7847ABC6829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47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8" name="Line 79">
              <a:extLst>
                <a:ext uri="{FF2B5EF4-FFF2-40B4-BE49-F238E27FC236}">
                  <a16:creationId xmlns:a16="http://schemas.microsoft.com/office/drawing/2014/main" id="{AF438F99-AF15-40BB-A1DD-14123158EC6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9" name="Line 80">
              <a:extLst>
                <a:ext uri="{FF2B5EF4-FFF2-40B4-BE49-F238E27FC236}">
                  <a16:creationId xmlns:a16="http://schemas.microsoft.com/office/drawing/2014/main" id="{1098997F-1BDD-41D0-A6AD-C54D640FF33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0" name="Line 81">
              <a:extLst>
                <a:ext uri="{FF2B5EF4-FFF2-40B4-BE49-F238E27FC236}">
                  <a16:creationId xmlns:a16="http://schemas.microsoft.com/office/drawing/2014/main" id="{2FC0CF87-0C06-4457-8A13-7B69843CDBC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2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1" name="Line 82">
              <a:extLst>
                <a:ext uri="{FF2B5EF4-FFF2-40B4-BE49-F238E27FC236}">
                  <a16:creationId xmlns:a16="http://schemas.microsoft.com/office/drawing/2014/main" id="{675DB6C0-8E65-42DB-A2D9-C47C9603DAC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1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2" name="Line 83">
              <a:extLst>
                <a:ext uri="{FF2B5EF4-FFF2-40B4-BE49-F238E27FC236}">
                  <a16:creationId xmlns:a16="http://schemas.microsoft.com/office/drawing/2014/main" id="{63E96670-6D02-4E14-B9E3-C369C820EAD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3" name="Freeform 84">
              <a:extLst>
                <a:ext uri="{FF2B5EF4-FFF2-40B4-BE49-F238E27FC236}">
                  <a16:creationId xmlns:a16="http://schemas.microsoft.com/office/drawing/2014/main" id="{8D36B21C-6003-4382-B9FC-E4034D1FFE1B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105 h 105"/>
                <a:gd name="T2" fmla="*/ 1979 w 1979"/>
                <a:gd name="T3" fmla="*/ 0 h 105"/>
                <a:gd name="T4" fmla="*/ 0 w 1979"/>
                <a:gd name="T5" fmla="*/ 105 h 105"/>
                <a:gd name="T6" fmla="*/ 1979 w 197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105"/>
                  </a:moveTo>
                  <a:lnTo>
                    <a:pt x="1979" y="0"/>
                  </a:lnTo>
                  <a:lnTo>
                    <a:pt x="0" y="105"/>
                  </a:lnTo>
                  <a:lnTo>
                    <a:pt x="1979" y="10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4" name="Freeform 85">
              <a:extLst>
                <a:ext uri="{FF2B5EF4-FFF2-40B4-BE49-F238E27FC236}">
                  <a16:creationId xmlns:a16="http://schemas.microsoft.com/office/drawing/2014/main" id="{D86BB715-DC9A-46E8-B717-84D4DD321DC9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0 h 105"/>
                <a:gd name="T2" fmla="*/ 0 w 1979"/>
                <a:gd name="T3" fmla="*/ 105 h 105"/>
                <a:gd name="T4" fmla="*/ 18 w 1979"/>
                <a:gd name="T5" fmla="*/ 0 h 105"/>
                <a:gd name="T6" fmla="*/ 1979 w 1979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0"/>
                  </a:moveTo>
                  <a:lnTo>
                    <a:pt x="0" y="105"/>
                  </a:lnTo>
                  <a:lnTo>
                    <a:pt x="18" y="0"/>
                  </a:lnTo>
                  <a:lnTo>
                    <a:pt x="197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5" name="Freeform 86">
              <a:extLst>
                <a:ext uri="{FF2B5EF4-FFF2-40B4-BE49-F238E27FC236}">
                  <a16:creationId xmlns:a16="http://schemas.microsoft.com/office/drawing/2014/main" id="{49E8126F-5183-43BF-B245-A0EB413E7727}"/>
                </a:ext>
              </a:extLst>
            </xdr:cNvPr>
            <xdr:cNvSpPr>
              <a:spLocks/>
            </xdr:cNvSpPr>
          </xdr:nvSpPr>
          <xdr:spPr bwMode="auto">
            <a:xfrm>
              <a:off x="1028" y="238"/>
              <a:ext cx="162" cy="59"/>
            </a:xfrm>
            <a:custGeom>
              <a:avLst/>
              <a:gdLst>
                <a:gd name="T0" fmla="*/ 9523 w 9541"/>
                <a:gd name="T1" fmla="*/ 3477 h 3477"/>
                <a:gd name="T2" fmla="*/ 9541 w 9541"/>
                <a:gd name="T3" fmla="*/ 3372 h 3477"/>
                <a:gd name="T4" fmla="*/ 0 w 9541"/>
                <a:gd name="T5" fmla="*/ 0 h 3477"/>
                <a:gd name="T6" fmla="*/ 9523 w 9541"/>
                <a:gd name="T7" fmla="*/ 3477 h 34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7">
                  <a:moveTo>
                    <a:pt x="9523" y="3477"/>
                  </a:moveTo>
                  <a:lnTo>
                    <a:pt x="9541" y="3372"/>
                  </a:lnTo>
                  <a:lnTo>
                    <a:pt x="0" y="0"/>
                  </a:lnTo>
                  <a:lnTo>
                    <a:pt x="9523" y="347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6" name="Freeform 87">
              <a:extLst>
                <a:ext uri="{FF2B5EF4-FFF2-40B4-BE49-F238E27FC236}">
                  <a16:creationId xmlns:a16="http://schemas.microsoft.com/office/drawing/2014/main" id="{A9FC386F-3D84-4AF4-B32F-05E8C9526416}"/>
                </a:ext>
              </a:extLst>
            </xdr:cNvPr>
            <xdr:cNvSpPr>
              <a:spLocks/>
            </xdr:cNvSpPr>
          </xdr:nvSpPr>
          <xdr:spPr bwMode="auto">
            <a:xfrm>
              <a:off x="1028" y="237"/>
              <a:ext cx="162" cy="59"/>
            </a:xfrm>
            <a:custGeom>
              <a:avLst/>
              <a:gdLst>
                <a:gd name="T0" fmla="*/ 9541 w 9541"/>
                <a:gd name="T1" fmla="*/ 3478 h 3478"/>
                <a:gd name="T2" fmla="*/ 0 w 9541"/>
                <a:gd name="T3" fmla="*/ 106 h 3478"/>
                <a:gd name="T4" fmla="*/ 18 w 9541"/>
                <a:gd name="T5" fmla="*/ 0 h 3478"/>
                <a:gd name="T6" fmla="*/ 9541 w 9541"/>
                <a:gd name="T7" fmla="*/ 3478 h 34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8">
                  <a:moveTo>
                    <a:pt x="9541" y="3478"/>
                  </a:moveTo>
                  <a:lnTo>
                    <a:pt x="0" y="106"/>
                  </a:lnTo>
                  <a:lnTo>
                    <a:pt x="18" y="0"/>
                  </a:lnTo>
                  <a:lnTo>
                    <a:pt x="9541" y="3478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7" name="Freeform 88">
              <a:extLst>
                <a:ext uri="{FF2B5EF4-FFF2-40B4-BE49-F238E27FC236}">
                  <a16:creationId xmlns:a16="http://schemas.microsoft.com/office/drawing/2014/main" id="{39D26ED6-B893-48F0-8C3C-7350624FE8A8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35 w 11553"/>
                <a:gd name="T1" fmla="*/ 106 h 106"/>
                <a:gd name="T2" fmla="*/ 11553 w 11553"/>
                <a:gd name="T3" fmla="*/ 0 h 106"/>
                <a:gd name="T4" fmla="*/ 0 w 11553"/>
                <a:gd name="T5" fmla="*/ 106 h 106"/>
                <a:gd name="T6" fmla="*/ 11535 w 11553"/>
                <a:gd name="T7" fmla="*/ 106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35" y="106"/>
                  </a:moveTo>
                  <a:lnTo>
                    <a:pt x="11553" y="0"/>
                  </a:lnTo>
                  <a:lnTo>
                    <a:pt x="0" y="106"/>
                  </a:lnTo>
                  <a:lnTo>
                    <a:pt x="11535" y="10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8" name="Freeform 89">
              <a:extLst>
                <a:ext uri="{FF2B5EF4-FFF2-40B4-BE49-F238E27FC236}">
                  <a16:creationId xmlns:a16="http://schemas.microsoft.com/office/drawing/2014/main" id="{4008603E-9A07-4250-8BBA-523DF4D7CCE7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53 w 11553"/>
                <a:gd name="T1" fmla="*/ 0 h 106"/>
                <a:gd name="T2" fmla="*/ 0 w 11553"/>
                <a:gd name="T3" fmla="*/ 106 h 106"/>
                <a:gd name="T4" fmla="*/ 0 w 11553"/>
                <a:gd name="T5" fmla="*/ 0 h 106"/>
                <a:gd name="T6" fmla="*/ 11553 w 115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53" y="0"/>
                  </a:moveTo>
                  <a:lnTo>
                    <a:pt x="0" y="106"/>
                  </a:lnTo>
                  <a:lnTo>
                    <a:pt x="0" y="0"/>
                  </a:lnTo>
                  <a:lnTo>
                    <a:pt x="1155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9" name="Freeform 90">
              <a:extLst>
                <a:ext uri="{FF2B5EF4-FFF2-40B4-BE49-F238E27FC236}">
                  <a16:creationId xmlns:a16="http://schemas.microsoft.com/office/drawing/2014/main" id="{C0AB1C8E-B2CE-4CBE-91AB-968EC800152F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76"/>
                <a:gd name="T1" fmla="*/ 7696 h 7794"/>
                <a:gd name="T2" fmla="*/ 36 w 21076"/>
                <a:gd name="T3" fmla="*/ 7794 h 7794"/>
                <a:gd name="T4" fmla="*/ 21076 w 21076"/>
                <a:gd name="T5" fmla="*/ 0 h 7794"/>
                <a:gd name="T6" fmla="*/ 0 w 21076"/>
                <a:gd name="T7" fmla="*/ 7696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76" h="7794">
                  <a:moveTo>
                    <a:pt x="0" y="7696"/>
                  </a:moveTo>
                  <a:lnTo>
                    <a:pt x="36" y="7794"/>
                  </a:lnTo>
                  <a:lnTo>
                    <a:pt x="21076" y="0"/>
                  </a:lnTo>
                  <a:lnTo>
                    <a:pt x="0" y="769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0" name="Freeform 91">
              <a:extLst>
                <a:ext uri="{FF2B5EF4-FFF2-40B4-BE49-F238E27FC236}">
                  <a16:creationId xmlns:a16="http://schemas.microsoft.com/office/drawing/2014/main" id="{13FE221C-A0D5-4C8C-B779-556CEDBC5DD9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58"/>
                <a:gd name="T1" fmla="*/ 7794 h 7794"/>
                <a:gd name="T2" fmla="*/ 21040 w 21058"/>
                <a:gd name="T3" fmla="*/ 0 h 7794"/>
                <a:gd name="T4" fmla="*/ 21058 w 21058"/>
                <a:gd name="T5" fmla="*/ 107 h 7794"/>
                <a:gd name="T6" fmla="*/ 0 w 21058"/>
                <a:gd name="T7" fmla="*/ 7794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58" h="7794">
                  <a:moveTo>
                    <a:pt x="0" y="7794"/>
                  </a:moveTo>
                  <a:lnTo>
                    <a:pt x="21040" y="0"/>
                  </a:lnTo>
                  <a:lnTo>
                    <a:pt x="21058" y="107"/>
                  </a:lnTo>
                  <a:lnTo>
                    <a:pt x="0" y="779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1" name="Freeform 92">
              <a:extLst>
                <a:ext uri="{FF2B5EF4-FFF2-40B4-BE49-F238E27FC236}">
                  <a16:creationId xmlns:a16="http://schemas.microsoft.com/office/drawing/2014/main" id="{9F9C473F-CC9F-4944-BF8E-43549F72B824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79"/>
                <a:gd name="T1" fmla="*/ 0 h 107"/>
                <a:gd name="T2" fmla="*/ 18 w 1979"/>
                <a:gd name="T3" fmla="*/ 107 h 107"/>
                <a:gd name="T4" fmla="*/ 1979 w 1979"/>
                <a:gd name="T5" fmla="*/ 0 h 107"/>
                <a:gd name="T6" fmla="*/ 0 w 1979"/>
                <a:gd name="T7" fmla="*/ 0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7">
                  <a:moveTo>
                    <a:pt x="0" y="0"/>
                  </a:moveTo>
                  <a:lnTo>
                    <a:pt x="18" y="107"/>
                  </a:lnTo>
                  <a:lnTo>
                    <a:pt x="1979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2" name="Freeform 93">
              <a:extLst>
                <a:ext uri="{FF2B5EF4-FFF2-40B4-BE49-F238E27FC236}">
                  <a16:creationId xmlns:a16="http://schemas.microsoft.com/office/drawing/2014/main" id="{9900C145-3D04-48F2-8172-BFD80E02E83C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61"/>
                <a:gd name="T1" fmla="*/ 107 h 107"/>
                <a:gd name="T2" fmla="*/ 1961 w 1961"/>
                <a:gd name="T3" fmla="*/ 0 h 107"/>
                <a:gd name="T4" fmla="*/ 1961 w 1961"/>
                <a:gd name="T5" fmla="*/ 107 h 107"/>
                <a:gd name="T6" fmla="*/ 0 w 1961"/>
                <a:gd name="T7" fmla="*/ 107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61" h="107">
                  <a:moveTo>
                    <a:pt x="0" y="107"/>
                  </a:moveTo>
                  <a:lnTo>
                    <a:pt x="1961" y="0"/>
                  </a:lnTo>
                  <a:lnTo>
                    <a:pt x="1961" y="107"/>
                  </a:lnTo>
                  <a:lnTo>
                    <a:pt x="0" y="10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3" name="Line 94">
              <a:extLst>
                <a:ext uri="{FF2B5EF4-FFF2-40B4-BE49-F238E27FC236}">
                  <a16:creationId xmlns:a16="http://schemas.microsoft.com/office/drawing/2014/main" id="{8BB53400-CEA3-4F51-A7ED-7546C50685D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928" y="202"/>
              <a:ext cx="262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4" name="Line 95">
              <a:extLst>
                <a:ext uri="{FF2B5EF4-FFF2-40B4-BE49-F238E27FC236}">
                  <a16:creationId xmlns:a16="http://schemas.microsoft.com/office/drawing/2014/main" id="{52491237-1A86-4DB1-AC96-0326A09A3DC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93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5" name="Line 96">
              <a:extLst>
                <a:ext uri="{FF2B5EF4-FFF2-40B4-BE49-F238E27FC236}">
                  <a16:creationId xmlns:a16="http://schemas.microsoft.com/office/drawing/2014/main" id="{FD117F3F-F3BF-46E1-9293-32BA7567997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8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6" name="Line 97">
              <a:extLst>
                <a:ext uri="{FF2B5EF4-FFF2-40B4-BE49-F238E27FC236}">
                  <a16:creationId xmlns:a16="http://schemas.microsoft.com/office/drawing/2014/main" id="{098522B8-22F6-41F9-8949-2B4CDA9D0B6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7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7" name="Line 98">
              <a:extLst>
                <a:ext uri="{FF2B5EF4-FFF2-40B4-BE49-F238E27FC236}">
                  <a16:creationId xmlns:a16="http://schemas.microsoft.com/office/drawing/2014/main" id="{87CC6B16-168B-409B-B076-8EF66AE2432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6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8" name="Line 99">
              <a:extLst>
                <a:ext uri="{FF2B5EF4-FFF2-40B4-BE49-F238E27FC236}">
                  <a16:creationId xmlns:a16="http://schemas.microsoft.com/office/drawing/2014/main" id="{5CD16D4F-B25C-49C7-B5EE-504EB9B2DED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9" name="Line 100">
              <a:extLst>
                <a:ext uri="{FF2B5EF4-FFF2-40B4-BE49-F238E27FC236}">
                  <a16:creationId xmlns:a16="http://schemas.microsoft.com/office/drawing/2014/main" id="{3B1EEB6A-C6E0-4393-8908-8923D72E102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0" name="Line 101">
              <a:extLst>
                <a:ext uri="{FF2B5EF4-FFF2-40B4-BE49-F238E27FC236}">
                  <a16:creationId xmlns:a16="http://schemas.microsoft.com/office/drawing/2014/main" id="{58AA2985-70CA-434B-9817-4880CCA0848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4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1" name="Line 102">
              <a:extLst>
                <a:ext uri="{FF2B5EF4-FFF2-40B4-BE49-F238E27FC236}">
                  <a16:creationId xmlns:a16="http://schemas.microsoft.com/office/drawing/2014/main" id="{E2C6843E-DD25-4484-B67E-B57BE5FBCDE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3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2" name="Line 103">
              <a:extLst>
                <a:ext uri="{FF2B5EF4-FFF2-40B4-BE49-F238E27FC236}">
                  <a16:creationId xmlns:a16="http://schemas.microsoft.com/office/drawing/2014/main" id="{1FCA5B92-DB48-43BD-AE79-655D159D35C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2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3" name="Line 104">
              <a:extLst>
                <a:ext uri="{FF2B5EF4-FFF2-40B4-BE49-F238E27FC236}">
                  <a16:creationId xmlns:a16="http://schemas.microsoft.com/office/drawing/2014/main" id="{94E06031-429E-4144-8CE9-68CE2E799B3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1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4" name="Line 105">
              <a:extLst>
                <a:ext uri="{FF2B5EF4-FFF2-40B4-BE49-F238E27FC236}">
                  <a16:creationId xmlns:a16="http://schemas.microsoft.com/office/drawing/2014/main" id="{5481C790-F215-47A9-ABB8-E2C8F65E945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5" name="Line 106">
              <a:extLst>
                <a:ext uri="{FF2B5EF4-FFF2-40B4-BE49-F238E27FC236}">
                  <a16:creationId xmlns:a16="http://schemas.microsoft.com/office/drawing/2014/main" id="{020DAD27-4912-4153-89C4-8FDC3EEDE51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2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6" name="Line 107">
              <a:extLst>
                <a:ext uri="{FF2B5EF4-FFF2-40B4-BE49-F238E27FC236}">
                  <a16:creationId xmlns:a16="http://schemas.microsoft.com/office/drawing/2014/main" id="{28864AC1-E07C-430D-962C-4B1EA17255D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7" name="Line 108">
              <a:extLst>
                <a:ext uri="{FF2B5EF4-FFF2-40B4-BE49-F238E27FC236}">
                  <a16:creationId xmlns:a16="http://schemas.microsoft.com/office/drawing/2014/main" id="{E863AF8E-F052-4EFD-99BD-BF2547D3D8F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8" name="Line 109">
              <a:extLst>
                <a:ext uri="{FF2B5EF4-FFF2-40B4-BE49-F238E27FC236}">
                  <a16:creationId xmlns:a16="http://schemas.microsoft.com/office/drawing/2014/main" id="{20759E8F-CFE4-4007-B2F4-42542E89CFD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9" name="Line 110">
              <a:extLst>
                <a:ext uri="{FF2B5EF4-FFF2-40B4-BE49-F238E27FC236}">
                  <a16:creationId xmlns:a16="http://schemas.microsoft.com/office/drawing/2014/main" id="{4744A390-2990-4D87-A4C6-641036117F8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0" name="Line 111">
              <a:extLst>
                <a:ext uri="{FF2B5EF4-FFF2-40B4-BE49-F238E27FC236}">
                  <a16:creationId xmlns:a16="http://schemas.microsoft.com/office/drawing/2014/main" id="{03598AE1-4056-4145-8F45-7DD24B15A5F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1" name="Line 112">
              <a:extLst>
                <a:ext uri="{FF2B5EF4-FFF2-40B4-BE49-F238E27FC236}">
                  <a16:creationId xmlns:a16="http://schemas.microsoft.com/office/drawing/2014/main" id="{A66ED3E3-2660-47C1-82B3-A2DB679437E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2" name="Line 113">
              <a:extLst>
                <a:ext uri="{FF2B5EF4-FFF2-40B4-BE49-F238E27FC236}">
                  <a16:creationId xmlns:a16="http://schemas.microsoft.com/office/drawing/2014/main" id="{66717896-FA1D-43A3-AE33-A07C23171D6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3" name="Line 114">
              <a:extLst>
                <a:ext uri="{FF2B5EF4-FFF2-40B4-BE49-F238E27FC236}">
                  <a16:creationId xmlns:a16="http://schemas.microsoft.com/office/drawing/2014/main" id="{D8C016D2-C392-4910-AC15-D5AC8B40EAD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4" name="Line 115">
              <a:extLst>
                <a:ext uri="{FF2B5EF4-FFF2-40B4-BE49-F238E27FC236}">
                  <a16:creationId xmlns:a16="http://schemas.microsoft.com/office/drawing/2014/main" id="{6C969EFA-F491-462E-A33E-3A9650A1AC4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5" name="Line 116">
              <a:extLst>
                <a:ext uri="{FF2B5EF4-FFF2-40B4-BE49-F238E27FC236}">
                  <a16:creationId xmlns:a16="http://schemas.microsoft.com/office/drawing/2014/main" id="{24E3CCC0-6346-4CB1-A83F-FB99B6A03CC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6" name="Line 117">
              <a:extLst>
                <a:ext uri="{FF2B5EF4-FFF2-40B4-BE49-F238E27FC236}">
                  <a16:creationId xmlns:a16="http://schemas.microsoft.com/office/drawing/2014/main" id="{EBEEC860-4CB4-4576-866C-EDA50718332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7" name="Line 118">
              <a:extLst>
                <a:ext uri="{FF2B5EF4-FFF2-40B4-BE49-F238E27FC236}">
                  <a16:creationId xmlns:a16="http://schemas.microsoft.com/office/drawing/2014/main" id="{C4D7FD6A-587E-4271-8387-6F8A78B3B6E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8" name="Line 119">
              <a:extLst>
                <a:ext uri="{FF2B5EF4-FFF2-40B4-BE49-F238E27FC236}">
                  <a16:creationId xmlns:a16="http://schemas.microsoft.com/office/drawing/2014/main" id="{B6396723-C0CE-4C94-A2D3-26837FADB9E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9" name="Line 120">
              <a:extLst>
                <a:ext uri="{FF2B5EF4-FFF2-40B4-BE49-F238E27FC236}">
                  <a16:creationId xmlns:a16="http://schemas.microsoft.com/office/drawing/2014/main" id="{69838376-7057-4D4A-9CF3-21CB289B274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0" name="Line 121">
              <a:extLst>
                <a:ext uri="{FF2B5EF4-FFF2-40B4-BE49-F238E27FC236}">
                  <a16:creationId xmlns:a16="http://schemas.microsoft.com/office/drawing/2014/main" id="{75D19CA6-C49F-4F65-8E3D-84BC9A9F6F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1" name="Line 122">
              <a:extLst>
                <a:ext uri="{FF2B5EF4-FFF2-40B4-BE49-F238E27FC236}">
                  <a16:creationId xmlns:a16="http://schemas.microsoft.com/office/drawing/2014/main" id="{87B32870-B24C-480D-A0A9-9A8FE5D17A5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2" name="Line 123">
              <a:extLst>
                <a:ext uri="{FF2B5EF4-FFF2-40B4-BE49-F238E27FC236}">
                  <a16:creationId xmlns:a16="http://schemas.microsoft.com/office/drawing/2014/main" id="{B042DC44-9423-4A65-94E1-04BD7C859A9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3" name="Line 124">
              <a:extLst>
                <a:ext uri="{FF2B5EF4-FFF2-40B4-BE49-F238E27FC236}">
                  <a16:creationId xmlns:a16="http://schemas.microsoft.com/office/drawing/2014/main" id="{7A3D419C-7E0A-4CE9-975D-64CAF77A994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4" name="Line 125">
              <a:extLst>
                <a:ext uri="{FF2B5EF4-FFF2-40B4-BE49-F238E27FC236}">
                  <a16:creationId xmlns:a16="http://schemas.microsoft.com/office/drawing/2014/main" id="{04EE8FF8-D467-4AE9-983C-D3D04FF31CF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5" name="Line 126">
              <a:extLst>
                <a:ext uri="{FF2B5EF4-FFF2-40B4-BE49-F238E27FC236}">
                  <a16:creationId xmlns:a16="http://schemas.microsoft.com/office/drawing/2014/main" id="{496C8165-4994-4AE8-8F1A-EF15B31BE05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6" name="Line 127">
              <a:extLst>
                <a:ext uri="{FF2B5EF4-FFF2-40B4-BE49-F238E27FC236}">
                  <a16:creationId xmlns:a16="http://schemas.microsoft.com/office/drawing/2014/main" id="{9C5DF0A7-D7C5-4F62-AEEF-F4C8E24EC32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7" name="Line 128">
              <a:extLst>
                <a:ext uri="{FF2B5EF4-FFF2-40B4-BE49-F238E27FC236}">
                  <a16:creationId xmlns:a16="http://schemas.microsoft.com/office/drawing/2014/main" id="{7B3CE628-18BB-4A94-8BD2-178AEC85463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8" name="Line 129">
              <a:extLst>
                <a:ext uri="{FF2B5EF4-FFF2-40B4-BE49-F238E27FC236}">
                  <a16:creationId xmlns:a16="http://schemas.microsoft.com/office/drawing/2014/main" id="{34F851D4-5B5A-4880-A288-5012C0D1D0C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9" name="Line 130">
              <a:extLst>
                <a:ext uri="{FF2B5EF4-FFF2-40B4-BE49-F238E27FC236}">
                  <a16:creationId xmlns:a16="http://schemas.microsoft.com/office/drawing/2014/main" id="{BC565092-D52C-49BD-881A-D546810A288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0" name="Line 131">
              <a:extLst>
                <a:ext uri="{FF2B5EF4-FFF2-40B4-BE49-F238E27FC236}">
                  <a16:creationId xmlns:a16="http://schemas.microsoft.com/office/drawing/2014/main" id="{2043AAEF-32B1-4F98-A994-7A4D14A2DBF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1" name="Line 132">
              <a:extLst>
                <a:ext uri="{FF2B5EF4-FFF2-40B4-BE49-F238E27FC236}">
                  <a16:creationId xmlns:a16="http://schemas.microsoft.com/office/drawing/2014/main" id="{EE015393-0D7E-483F-95EB-D21FC6B15A4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2" name="Line 133">
              <a:extLst>
                <a:ext uri="{FF2B5EF4-FFF2-40B4-BE49-F238E27FC236}">
                  <a16:creationId xmlns:a16="http://schemas.microsoft.com/office/drawing/2014/main" id="{9F6E1861-B190-4E7D-9DA7-FC4CE88684C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3" name="Line 134">
              <a:extLst>
                <a:ext uri="{FF2B5EF4-FFF2-40B4-BE49-F238E27FC236}">
                  <a16:creationId xmlns:a16="http://schemas.microsoft.com/office/drawing/2014/main" id="{B4E74B27-39E7-48DF-816C-F820A8FD157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4" name="Line 135">
              <a:extLst>
                <a:ext uri="{FF2B5EF4-FFF2-40B4-BE49-F238E27FC236}">
                  <a16:creationId xmlns:a16="http://schemas.microsoft.com/office/drawing/2014/main" id="{2FAB51FD-82BF-4004-B125-DF6E53BAAEE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5" name="Line 136">
              <a:extLst>
                <a:ext uri="{FF2B5EF4-FFF2-40B4-BE49-F238E27FC236}">
                  <a16:creationId xmlns:a16="http://schemas.microsoft.com/office/drawing/2014/main" id="{27B7DD43-B107-4C4F-9E23-DDDAA4D09A9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6" name="Line 137">
              <a:extLst>
                <a:ext uri="{FF2B5EF4-FFF2-40B4-BE49-F238E27FC236}">
                  <a16:creationId xmlns:a16="http://schemas.microsoft.com/office/drawing/2014/main" id="{1DE3393B-1EF5-4A22-895F-8FA39D931FD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7" name="Line 138">
              <a:extLst>
                <a:ext uri="{FF2B5EF4-FFF2-40B4-BE49-F238E27FC236}">
                  <a16:creationId xmlns:a16="http://schemas.microsoft.com/office/drawing/2014/main" id="{B1AF7C73-D21C-4071-9161-9583DD50901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8" name="Line 139">
              <a:extLst>
                <a:ext uri="{FF2B5EF4-FFF2-40B4-BE49-F238E27FC236}">
                  <a16:creationId xmlns:a16="http://schemas.microsoft.com/office/drawing/2014/main" id="{BE9BDF0B-542C-4E50-B282-1F3726AD0A1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9" name="Line 140">
              <a:extLst>
                <a:ext uri="{FF2B5EF4-FFF2-40B4-BE49-F238E27FC236}">
                  <a16:creationId xmlns:a16="http://schemas.microsoft.com/office/drawing/2014/main" id="{CF9EE83E-A28B-46B4-AED1-89AFFCE0761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0" name="Line 141">
              <a:extLst>
                <a:ext uri="{FF2B5EF4-FFF2-40B4-BE49-F238E27FC236}">
                  <a16:creationId xmlns:a16="http://schemas.microsoft.com/office/drawing/2014/main" id="{88AA2CAB-D39E-4B66-B728-C13E8ADC968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1" name="Line 142">
              <a:extLst>
                <a:ext uri="{FF2B5EF4-FFF2-40B4-BE49-F238E27FC236}">
                  <a16:creationId xmlns:a16="http://schemas.microsoft.com/office/drawing/2014/main" id="{66F479E1-65DE-430E-8EF7-48E0CA56FCD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2" name="Line 143">
              <a:extLst>
                <a:ext uri="{FF2B5EF4-FFF2-40B4-BE49-F238E27FC236}">
                  <a16:creationId xmlns:a16="http://schemas.microsoft.com/office/drawing/2014/main" id="{0684A69F-2E08-40E6-B5A2-4E61B2BED3B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3" name="Line 144">
              <a:extLst>
                <a:ext uri="{FF2B5EF4-FFF2-40B4-BE49-F238E27FC236}">
                  <a16:creationId xmlns:a16="http://schemas.microsoft.com/office/drawing/2014/main" id="{1BC80BA8-B85A-4AB6-BE1F-066F8E833E4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4" name="Line 145">
              <a:extLst>
                <a:ext uri="{FF2B5EF4-FFF2-40B4-BE49-F238E27FC236}">
                  <a16:creationId xmlns:a16="http://schemas.microsoft.com/office/drawing/2014/main" id="{28DEA949-03B6-4B40-ADD7-C859FC2B994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5" name="Line 146">
              <a:extLst>
                <a:ext uri="{FF2B5EF4-FFF2-40B4-BE49-F238E27FC236}">
                  <a16:creationId xmlns:a16="http://schemas.microsoft.com/office/drawing/2014/main" id="{C6767E42-38A9-46B6-BEBD-BE0F6F54B30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6" name="Line 147">
              <a:extLst>
                <a:ext uri="{FF2B5EF4-FFF2-40B4-BE49-F238E27FC236}">
                  <a16:creationId xmlns:a16="http://schemas.microsoft.com/office/drawing/2014/main" id="{0CE15F32-C0DE-48F1-83E5-4922711A2A4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7" name="Line 148">
              <a:extLst>
                <a:ext uri="{FF2B5EF4-FFF2-40B4-BE49-F238E27FC236}">
                  <a16:creationId xmlns:a16="http://schemas.microsoft.com/office/drawing/2014/main" id="{0BC244E4-B72D-40DD-99F0-B7C85A09A06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8" name="Line 149">
              <a:extLst>
                <a:ext uri="{FF2B5EF4-FFF2-40B4-BE49-F238E27FC236}">
                  <a16:creationId xmlns:a16="http://schemas.microsoft.com/office/drawing/2014/main" id="{DFD0FDF7-02DE-4817-8D1E-BEC01B01FBE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9" name="Line 150">
              <a:extLst>
                <a:ext uri="{FF2B5EF4-FFF2-40B4-BE49-F238E27FC236}">
                  <a16:creationId xmlns:a16="http://schemas.microsoft.com/office/drawing/2014/main" id="{5C6B06C8-DB68-45AC-AAC2-ECE287AC9D9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0" name="Line 151">
              <a:extLst>
                <a:ext uri="{FF2B5EF4-FFF2-40B4-BE49-F238E27FC236}">
                  <a16:creationId xmlns:a16="http://schemas.microsoft.com/office/drawing/2014/main" id="{AF7299D4-84D3-48CD-A7E6-BA28638F0E6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1" name="Line 152">
              <a:extLst>
                <a:ext uri="{FF2B5EF4-FFF2-40B4-BE49-F238E27FC236}">
                  <a16:creationId xmlns:a16="http://schemas.microsoft.com/office/drawing/2014/main" id="{F16CC2BF-CF0A-4DDA-8B38-30DE2E894A6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2" name="Line 153">
              <a:extLst>
                <a:ext uri="{FF2B5EF4-FFF2-40B4-BE49-F238E27FC236}">
                  <a16:creationId xmlns:a16="http://schemas.microsoft.com/office/drawing/2014/main" id="{C8AA7746-B6F6-4D7C-B650-AAB0E454D06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3" name="Line 154">
              <a:extLst>
                <a:ext uri="{FF2B5EF4-FFF2-40B4-BE49-F238E27FC236}">
                  <a16:creationId xmlns:a16="http://schemas.microsoft.com/office/drawing/2014/main" id="{DA611531-7D9D-4676-8454-9F41D375703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4" name="Line 155">
              <a:extLst>
                <a:ext uri="{FF2B5EF4-FFF2-40B4-BE49-F238E27FC236}">
                  <a16:creationId xmlns:a16="http://schemas.microsoft.com/office/drawing/2014/main" id="{B7ABF2DD-A7FD-4CDB-8D46-E34577E68FB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5" name="Line 156">
              <a:extLst>
                <a:ext uri="{FF2B5EF4-FFF2-40B4-BE49-F238E27FC236}">
                  <a16:creationId xmlns:a16="http://schemas.microsoft.com/office/drawing/2014/main" id="{F8FD917A-B928-4303-B0FD-22C4CAF81F4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6" name="Line 157">
              <a:extLst>
                <a:ext uri="{FF2B5EF4-FFF2-40B4-BE49-F238E27FC236}">
                  <a16:creationId xmlns:a16="http://schemas.microsoft.com/office/drawing/2014/main" id="{AADEE54E-A979-453A-A86F-16D7A5052A1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7" name="Line 158">
              <a:extLst>
                <a:ext uri="{FF2B5EF4-FFF2-40B4-BE49-F238E27FC236}">
                  <a16:creationId xmlns:a16="http://schemas.microsoft.com/office/drawing/2014/main" id="{4AD9EFEA-D9EF-464F-9FEE-B0CC8BD501C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8" name="Line 159">
              <a:extLst>
                <a:ext uri="{FF2B5EF4-FFF2-40B4-BE49-F238E27FC236}">
                  <a16:creationId xmlns:a16="http://schemas.microsoft.com/office/drawing/2014/main" id="{0AF38096-6BB4-44F5-B8A2-12BDFD86621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9" name="Line 160">
              <a:extLst>
                <a:ext uri="{FF2B5EF4-FFF2-40B4-BE49-F238E27FC236}">
                  <a16:creationId xmlns:a16="http://schemas.microsoft.com/office/drawing/2014/main" id="{3066EB1E-E572-4C3B-BEE7-80541F77247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0" name="Line 161">
              <a:extLst>
                <a:ext uri="{FF2B5EF4-FFF2-40B4-BE49-F238E27FC236}">
                  <a16:creationId xmlns:a16="http://schemas.microsoft.com/office/drawing/2014/main" id="{6FBF76DB-439C-47B2-AD47-C6EF70B2F46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1" name="Line 162">
              <a:extLst>
                <a:ext uri="{FF2B5EF4-FFF2-40B4-BE49-F238E27FC236}">
                  <a16:creationId xmlns:a16="http://schemas.microsoft.com/office/drawing/2014/main" id="{79BCA8B1-DD6A-4F3B-B128-E5C1DBE00AE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2" name="Line 163">
              <a:extLst>
                <a:ext uri="{FF2B5EF4-FFF2-40B4-BE49-F238E27FC236}">
                  <a16:creationId xmlns:a16="http://schemas.microsoft.com/office/drawing/2014/main" id="{6207B9CA-5CE5-4ECA-87F1-986082F45BE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3" name="Line 164">
              <a:extLst>
                <a:ext uri="{FF2B5EF4-FFF2-40B4-BE49-F238E27FC236}">
                  <a16:creationId xmlns:a16="http://schemas.microsoft.com/office/drawing/2014/main" id="{704B4DE3-E6D7-4E61-8AA5-73EB05D997F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4" name="Line 165">
              <a:extLst>
                <a:ext uri="{FF2B5EF4-FFF2-40B4-BE49-F238E27FC236}">
                  <a16:creationId xmlns:a16="http://schemas.microsoft.com/office/drawing/2014/main" id="{A7580AE1-EF85-4E43-B930-244ACC11698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5" name="Line 166">
              <a:extLst>
                <a:ext uri="{FF2B5EF4-FFF2-40B4-BE49-F238E27FC236}">
                  <a16:creationId xmlns:a16="http://schemas.microsoft.com/office/drawing/2014/main" id="{113F5F0B-E017-4F84-897F-A69DC2E264C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6" name="Line 167">
              <a:extLst>
                <a:ext uri="{FF2B5EF4-FFF2-40B4-BE49-F238E27FC236}">
                  <a16:creationId xmlns:a16="http://schemas.microsoft.com/office/drawing/2014/main" id="{77C1A542-2B4D-4D5A-954A-93658FA9742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7" name="Line 168">
              <a:extLst>
                <a:ext uri="{FF2B5EF4-FFF2-40B4-BE49-F238E27FC236}">
                  <a16:creationId xmlns:a16="http://schemas.microsoft.com/office/drawing/2014/main" id="{66C02E6C-E77A-47E0-B299-C3A808CC864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8" name="Line 169">
              <a:extLst>
                <a:ext uri="{FF2B5EF4-FFF2-40B4-BE49-F238E27FC236}">
                  <a16:creationId xmlns:a16="http://schemas.microsoft.com/office/drawing/2014/main" id="{BE7FFA5F-6756-42A4-9189-39247339065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9" name="Line 170">
              <a:extLst>
                <a:ext uri="{FF2B5EF4-FFF2-40B4-BE49-F238E27FC236}">
                  <a16:creationId xmlns:a16="http://schemas.microsoft.com/office/drawing/2014/main" id="{41F52439-9C01-4417-9517-B4B20B4316E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0" name="Line 171">
              <a:extLst>
                <a:ext uri="{FF2B5EF4-FFF2-40B4-BE49-F238E27FC236}">
                  <a16:creationId xmlns:a16="http://schemas.microsoft.com/office/drawing/2014/main" id="{A149D8CC-978B-4BC9-8F5B-1A73F473A0B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33" y="202"/>
              <a:ext cx="95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1" name="Freeform 172">
              <a:extLst>
                <a:ext uri="{FF2B5EF4-FFF2-40B4-BE49-F238E27FC236}">
                  <a16:creationId xmlns:a16="http://schemas.microsoft.com/office/drawing/2014/main" id="{8717C513-A67A-46C1-8D9B-7BABF181969A}"/>
                </a:ext>
              </a:extLst>
            </xdr:cNvPr>
            <xdr:cNvSpPr>
              <a:spLocks/>
            </xdr:cNvSpPr>
          </xdr:nvSpPr>
          <xdr:spPr bwMode="auto">
            <a:xfrm>
              <a:off x="821" y="188"/>
              <a:ext cx="6" cy="9"/>
            </a:xfrm>
            <a:custGeom>
              <a:avLst/>
              <a:gdLst>
                <a:gd name="T0" fmla="*/ 0 w 351"/>
                <a:gd name="T1" fmla="*/ 526 h 526"/>
                <a:gd name="T2" fmla="*/ 0 w 351"/>
                <a:gd name="T3" fmla="*/ 351 h 526"/>
                <a:gd name="T4" fmla="*/ 176 w 351"/>
                <a:gd name="T5" fmla="*/ 0 h 526"/>
                <a:gd name="T6" fmla="*/ 351 w 351"/>
                <a:gd name="T7" fmla="*/ 351 h 526"/>
                <a:gd name="T8" fmla="*/ 351 w 351"/>
                <a:gd name="T9" fmla="*/ 526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526">
                  <a:moveTo>
                    <a:pt x="0" y="526"/>
                  </a:moveTo>
                  <a:lnTo>
                    <a:pt x="0" y="351"/>
                  </a:lnTo>
                  <a:lnTo>
                    <a:pt x="176" y="0"/>
                  </a:lnTo>
                  <a:lnTo>
                    <a:pt x="351" y="351"/>
                  </a:lnTo>
                  <a:lnTo>
                    <a:pt x="351" y="526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62" name="Line 173">
              <a:extLst>
                <a:ext uri="{FF2B5EF4-FFF2-40B4-BE49-F238E27FC236}">
                  <a16:creationId xmlns:a16="http://schemas.microsoft.com/office/drawing/2014/main" id="{232ABB9D-A75E-4303-8D1C-A6F4005F9A6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1" y="194"/>
              <a:ext cx="6" cy="0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3" name="Freeform 174">
              <a:extLst>
                <a:ext uri="{FF2B5EF4-FFF2-40B4-BE49-F238E27FC236}">
                  <a16:creationId xmlns:a16="http://schemas.microsoft.com/office/drawing/2014/main" id="{1B1613B4-4533-4D4A-99C6-771A967A8279}"/>
                </a:ext>
              </a:extLst>
            </xdr:cNvPr>
            <xdr:cNvSpPr>
              <a:spLocks/>
            </xdr:cNvSpPr>
          </xdr:nvSpPr>
          <xdr:spPr bwMode="auto">
            <a:xfrm>
              <a:off x="833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4" name="Freeform 175">
              <a:extLst>
                <a:ext uri="{FF2B5EF4-FFF2-40B4-BE49-F238E27FC236}">
                  <a16:creationId xmlns:a16="http://schemas.microsoft.com/office/drawing/2014/main" id="{ECFC981A-BEAC-4CFA-9889-8580F3B63F9C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5" name="Freeform 176">
              <a:extLst>
                <a:ext uri="{FF2B5EF4-FFF2-40B4-BE49-F238E27FC236}">
                  <a16:creationId xmlns:a16="http://schemas.microsoft.com/office/drawing/2014/main" id="{3D25A7B6-02DC-432F-9500-C29712961844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1" cy="2"/>
            </a:xfrm>
            <a:custGeom>
              <a:avLst/>
              <a:gdLst>
                <a:gd name="T0" fmla="*/ 53 w 53"/>
                <a:gd name="T1" fmla="*/ 14 h 106"/>
                <a:gd name="T2" fmla="*/ 0 w 53"/>
                <a:gd name="T3" fmla="*/ 0 h 106"/>
                <a:gd name="T4" fmla="*/ 0 w 53"/>
                <a:gd name="T5" fmla="*/ 106 h 106"/>
                <a:gd name="T6" fmla="*/ 53 w 53"/>
                <a:gd name="T7" fmla="*/ 14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14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53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6" name="Freeform 177">
              <a:extLst>
                <a:ext uri="{FF2B5EF4-FFF2-40B4-BE49-F238E27FC236}">
                  <a16:creationId xmlns:a16="http://schemas.microsoft.com/office/drawing/2014/main" id="{F80DAD66-FC12-469A-898E-9581E6A57B82}"/>
                </a:ext>
              </a:extLst>
            </xdr:cNvPr>
            <xdr:cNvSpPr>
              <a:spLocks/>
            </xdr:cNvSpPr>
          </xdr:nvSpPr>
          <xdr:spPr bwMode="auto">
            <a:xfrm>
              <a:off x="832" y="200"/>
              <a:ext cx="1" cy="2"/>
            </a:xfrm>
            <a:custGeom>
              <a:avLst/>
              <a:gdLst>
                <a:gd name="T0" fmla="*/ 53 w 53"/>
                <a:gd name="T1" fmla="*/ 0 h 106"/>
                <a:gd name="T2" fmla="*/ 0 w 53"/>
                <a:gd name="T3" fmla="*/ 14 h 106"/>
                <a:gd name="T4" fmla="*/ 53 w 53"/>
                <a:gd name="T5" fmla="*/ 106 h 106"/>
                <a:gd name="T6" fmla="*/ 53 w 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0"/>
                  </a:moveTo>
                  <a:lnTo>
                    <a:pt x="0" y="14"/>
                  </a:lnTo>
                  <a:lnTo>
                    <a:pt x="53" y="106"/>
                  </a:lnTo>
                  <a:lnTo>
                    <a:pt x="5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7" name="Freeform 178">
              <a:extLst>
                <a:ext uri="{FF2B5EF4-FFF2-40B4-BE49-F238E27FC236}">
                  <a16:creationId xmlns:a16="http://schemas.microsoft.com/office/drawing/2014/main" id="{A7CB749E-C7A8-4D95-AE19-A49BC6F45CAB}"/>
                </a:ext>
              </a:extLst>
            </xdr:cNvPr>
            <xdr:cNvSpPr>
              <a:spLocks/>
            </xdr:cNvSpPr>
          </xdr:nvSpPr>
          <xdr:spPr bwMode="auto">
            <a:xfrm>
              <a:off x="831" y="200"/>
              <a:ext cx="2" cy="2"/>
            </a:xfrm>
            <a:custGeom>
              <a:avLst/>
              <a:gdLst>
                <a:gd name="T0" fmla="*/ 38 w 91"/>
                <a:gd name="T1" fmla="*/ 0 h 92"/>
                <a:gd name="T2" fmla="*/ 0 w 91"/>
                <a:gd name="T3" fmla="*/ 39 h 92"/>
                <a:gd name="T4" fmla="*/ 91 w 91"/>
                <a:gd name="T5" fmla="*/ 92 h 92"/>
                <a:gd name="T6" fmla="*/ 38 w 91"/>
                <a:gd name="T7" fmla="*/ 0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38" y="0"/>
                  </a:moveTo>
                  <a:lnTo>
                    <a:pt x="0" y="39"/>
                  </a:lnTo>
                  <a:lnTo>
                    <a:pt x="91" y="92"/>
                  </a:lnTo>
                  <a:lnTo>
                    <a:pt x="3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8" name="Freeform 179">
              <a:extLst>
                <a:ext uri="{FF2B5EF4-FFF2-40B4-BE49-F238E27FC236}">
                  <a16:creationId xmlns:a16="http://schemas.microsoft.com/office/drawing/2014/main" id="{2B81A8C1-016E-4210-AFF8-8C5DA4E2698C}"/>
                </a:ext>
              </a:extLst>
            </xdr:cNvPr>
            <xdr:cNvSpPr>
              <a:spLocks/>
            </xdr:cNvSpPr>
          </xdr:nvSpPr>
          <xdr:spPr bwMode="auto">
            <a:xfrm>
              <a:off x="831" y="201"/>
              <a:ext cx="2" cy="1"/>
            </a:xfrm>
            <a:custGeom>
              <a:avLst/>
              <a:gdLst>
                <a:gd name="T0" fmla="*/ 14 w 105"/>
                <a:gd name="T1" fmla="*/ 0 h 53"/>
                <a:gd name="T2" fmla="*/ 0 w 105"/>
                <a:gd name="T3" fmla="*/ 53 h 53"/>
                <a:gd name="T4" fmla="*/ 105 w 105"/>
                <a:gd name="T5" fmla="*/ 53 h 53"/>
                <a:gd name="T6" fmla="*/ 14 w 105"/>
                <a:gd name="T7" fmla="*/ 0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4" y="0"/>
                  </a:moveTo>
                  <a:lnTo>
                    <a:pt x="0" y="53"/>
                  </a:lnTo>
                  <a:lnTo>
                    <a:pt x="105" y="53"/>
                  </a:lnTo>
                  <a:lnTo>
                    <a:pt x="1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9" name="Freeform 180">
              <a:extLst>
                <a:ext uri="{FF2B5EF4-FFF2-40B4-BE49-F238E27FC236}">
                  <a16:creationId xmlns:a16="http://schemas.microsoft.com/office/drawing/2014/main" id="{C95BF942-2E19-4BE9-BEB0-B4F311E49C21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105"/>
                <a:gd name="T1" fmla="*/ 0 h 52"/>
                <a:gd name="T2" fmla="*/ 14 w 105"/>
                <a:gd name="T3" fmla="*/ 52 h 52"/>
                <a:gd name="T4" fmla="*/ 105 w 105"/>
                <a:gd name="T5" fmla="*/ 0 h 52"/>
                <a:gd name="T6" fmla="*/ 0 w 105"/>
                <a:gd name="T7" fmla="*/ 0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0" y="0"/>
                  </a:moveTo>
                  <a:lnTo>
                    <a:pt x="14" y="52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0" name="Freeform 181">
              <a:extLst>
                <a:ext uri="{FF2B5EF4-FFF2-40B4-BE49-F238E27FC236}">
                  <a16:creationId xmlns:a16="http://schemas.microsoft.com/office/drawing/2014/main" id="{D23F5FA1-2742-45FC-9F4C-370642AFE3EF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91"/>
                <a:gd name="T1" fmla="*/ 52 h 91"/>
                <a:gd name="T2" fmla="*/ 38 w 91"/>
                <a:gd name="T3" fmla="*/ 91 h 91"/>
                <a:gd name="T4" fmla="*/ 91 w 91"/>
                <a:gd name="T5" fmla="*/ 0 h 91"/>
                <a:gd name="T6" fmla="*/ 0 w 91"/>
                <a:gd name="T7" fmla="*/ 52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0" y="52"/>
                  </a:moveTo>
                  <a:lnTo>
                    <a:pt x="38" y="91"/>
                  </a:lnTo>
                  <a:lnTo>
                    <a:pt x="91" y="0"/>
                  </a:lnTo>
                  <a:lnTo>
                    <a:pt x="0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1" name="Freeform 182">
              <a:extLst>
                <a:ext uri="{FF2B5EF4-FFF2-40B4-BE49-F238E27FC236}">
                  <a16:creationId xmlns:a16="http://schemas.microsoft.com/office/drawing/2014/main" id="{F785161B-69F5-4AD3-9431-A760B129811E}"/>
                </a:ext>
              </a:extLst>
            </xdr:cNvPr>
            <xdr:cNvSpPr>
              <a:spLocks/>
            </xdr:cNvSpPr>
          </xdr:nvSpPr>
          <xdr:spPr bwMode="auto">
            <a:xfrm>
              <a:off x="832" y="202"/>
              <a:ext cx="1" cy="2"/>
            </a:xfrm>
            <a:custGeom>
              <a:avLst/>
              <a:gdLst>
                <a:gd name="T0" fmla="*/ 0 w 53"/>
                <a:gd name="T1" fmla="*/ 91 h 105"/>
                <a:gd name="T2" fmla="*/ 53 w 53"/>
                <a:gd name="T3" fmla="*/ 105 h 105"/>
                <a:gd name="T4" fmla="*/ 53 w 53"/>
                <a:gd name="T5" fmla="*/ 0 h 105"/>
                <a:gd name="T6" fmla="*/ 0 w 53"/>
                <a:gd name="T7" fmla="*/ 9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91"/>
                  </a:moveTo>
                  <a:lnTo>
                    <a:pt x="53" y="105"/>
                  </a:lnTo>
                  <a:lnTo>
                    <a:pt x="53" y="0"/>
                  </a:lnTo>
                  <a:lnTo>
                    <a:pt x="0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2" name="Freeform 183">
              <a:extLst>
                <a:ext uri="{FF2B5EF4-FFF2-40B4-BE49-F238E27FC236}">
                  <a16:creationId xmlns:a16="http://schemas.microsoft.com/office/drawing/2014/main" id="{BC612574-0212-4109-A93E-74B07DBCA6CB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1" cy="2"/>
            </a:xfrm>
            <a:custGeom>
              <a:avLst/>
              <a:gdLst>
                <a:gd name="T0" fmla="*/ 0 w 53"/>
                <a:gd name="T1" fmla="*/ 105 h 105"/>
                <a:gd name="T2" fmla="*/ 53 w 53"/>
                <a:gd name="T3" fmla="*/ 91 h 105"/>
                <a:gd name="T4" fmla="*/ 0 w 53"/>
                <a:gd name="T5" fmla="*/ 0 h 105"/>
                <a:gd name="T6" fmla="*/ 0 w 53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105"/>
                  </a:moveTo>
                  <a:lnTo>
                    <a:pt x="53" y="91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3" name="Freeform 184">
              <a:extLst>
                <a:ext uri="{FF2B5EF4-FFF2-40B4-BE49-F238E27FC236}">
                  <a16:creationId xmlns:a16="http://schemas.microsoft.com/office/drawing/2014/main" id="{02F0DB76-FE05-4CF2-93A2-315E7946730A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53 w 91"/>
                <a:gd name="T1" fmla="*/ 91 h 91"/>
                <a:gd name="T2" fmla="*/ 91 w 91"/>
                <a:gd name="T3" fmla="*/ 52 h 91"/>
                <a:gd name="T4" fmla="*/ 0 w 91"/>
                <a:gd name="T5" fmla="*/ 0 h 91"/>
                <a:gd name="T6" fmla="*/ 53 w 91"/>
                <a:gd name="T7" fmla="*/ 91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53" y="91"/>
                  </a:moveTo>
                  <a:lnTo>
                    <a:pt x="91" y="52"/>
                  </a:lnTo>
                  <a:lnTo>
                    <a:pt x="0" y="0"/>
                  </a:lnTo>
                  <a:lnTo>
                    <a:pt x="53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4" name="Freeform 185">
              <a:extLst>
                <a:ext uri="{FF2B5EF4-FFF2-40B4-BE49-F238E27FC236}">
                  <a16:creationId xmlns:a16="http://schemas.microsoft.com/office/drawing/2014/main" id="{881D1BB2-6B63-4744-BE5D-43A2D8F7A070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91 w 105"/>
                <a:gd name="T1" fmla="*/ 52 h 52"/>
                <a:gd name="T2" fmla="*/ 105 w 105"/>
                <a:gd name="T3" fmla="*/ 0 h 52"/>
                <a:gd name="T4" fmla="*/ 0 w 105"/>
                <a:gd name="T5" fmla="*/ 0 h 52"/>
                <a:gd name="T6" fmla="*/ 91 w 105"/>
                <a:gd name="T7" fmla="*/ 52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91" y="52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91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5" name="Freeform 186">
              <a:extLst>
                <a:ext uri="{FF2B5EF4-FFF2-40B4-BE49-F238E27FC236}">
                  <a16:creationId xmlns:a16="http://schemas.microsoft.com/office/drawing/2014/main" id="{391280B1-5C8F-450F-9B1C-B845CD9FF419}"/>
                </a:ext>
              </a:extLst>
            </xdr:cNvPr>
            <xdr:cNvSpPr>
              <a:spLocks/>
            </xdr:cNvSpPr>
          </xdr:nvSpPr>
          <xdr:spPr bwMode="auto">
            <a:xfrm>
              <a:off x="916" y="192"/>
              <a:ext cx="6" cy="5"/>
            </a:xfrm>
            <a:custGeom>
              <a:avLst/>
              <a:gdLst>
                <a:gd name="T0" fmla="*/ 0 w 351"/>
                <a:gd name="T1" fmla="*/ 263 h 263"/>
                <a:gd name="T2" fmla="*/ 263 w 351"/>
                <a:gd name="T3" fmla="*/ 263 h 263"/>
                <a:gd name="T4" fmla="*/ 351 w 351"/>
                <a:gd name="T5" fmla="*/ 176 h 263"/>
                <a:gd name="T6" fmla="*/ 351 w 351"/>
                <a:gd name="T7" fmla="*/ 88 h 263"/>
                <a:gd name="T8" fmla="*/ 263 w 351"/>
                <a:gd name="T9" fmla="*/ 0 h 263"/>
                <a:gd name="T10" fmla="*/ 88 w 351"/>
                <a:gd name="T11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263">
                  <a:moveTo>
                    <a:pt x="0" y="263"/>
                  </a:moveTo>
                  <a:lnTo>
                    <a:pt x="263" y="263"/>
                  </a:lnTo>
                  <a:lnTo>
                    <a:pt x="351" y="176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88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6" name="Freeform 187">
              <a:extLst>
                <a:ext uri="{FF2B5EF4-FFF2-40B4-BE49-F238E27FC236}">
                  <a16:creationId xmlns:a16="http://schemas.microsoft.com/office/drawing/2014/main" id="{B619F014-A252-4E0C-B4BA-B37EDBCF5302}"/>
                </a:ext>
              </a:extLst>
            </xdr:cNvPr>
            <xdr:cNvSpPr>
              <a:spLocks/>
            </xdr:cNvSpPr>
          </xdr:nvSpPr>
          <xdr:spPr bwMode="auto">
            <a:xfrm>
              <a:off x="916" y="188"/>
              <a:ext cx="6" cy="4"/>
            </a:xfrm>
            <a:custGeom>
              <a:avLst/>
              <a:gdLst>
                <a:gd name="T0" fmla="*/ 263 w 351"/>
                <a:gd name="T1" fmla="*/ 263 h 263"/>
                <a:gd name="T2" fmla="*/ 351 w 351"/>
                <a:gd name="T3" fmla="*/ 175 h 263"/>
                <a:gd name="T4" fmla="*/ 351 w 351"/>
                <a:gd name="T5" fmla="*/ 88 h 263"/>
                <a:gd name="T6" fmla="*/ 263 w 351"/>
                <a:gd name="T7" fmla="*/ 0 h 263"/>
                <a:gd name="T8" fmla="*/ 0 w 351"/>
                <a:gd name="T9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263">
                  <a:moveTo>
                    <a:pt x="263" y="263"/>
                  </a:moveTo>
                  <a:lnTo>
                    <a:pt x="351" y="175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7" name="Line 188">
              <a:extLst>
                <a:ext uri="{FF2B5EF4-FFF2-40B4-BE49-F238E27FC236}">
                  <a16:creationId xmlns:a16="http://schemas.microsoft.com/office/drawing/2014/main" id="{E1C4E05B-E607-4606-9744-B9DA9598B15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18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8" name="Freeform 189">
              <a:extLst>
                <a:ext uri="{FF2B5EF4-FFF2-40B4-BE49-F238E27FC236}">
                  <a16:creationId xmlns:a16="http://schemas.microsoft.com/office/drawing/2014/main" id="{324BFB6B-CFDA-44C8-9CB5-04DF4E6D4501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7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7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9" name="Freeform 190">
              <a:extLst>
                <a:ext uri="{FF2B5EF4-FFF2-40B4-BE49-F238E27FC236}">
                  <a16:creationId xmlns:a16="http://schemas.microsoft.com/office/drawing/2014/main" id="{A7B4814A-66DD-4A03-9AA9-0967325E215C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8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8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8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0" name="Freeform 191">
              <a:extLst>
                <a:ext uri="{FF2B5EF4-FFF2-40B4-BE49-F238E27FC236}">
                  <a16:creationId xmlns:a16="http://schemas.microsoft.com/office/drawing/2014/main" id="{C2D026FA-0E15-4E41-8C9B-9F43669C3D37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4 w 104"/>
                <a:gd name="T1" fmla="*/ 7 h 22"/>
                <a:gd name="T2" fmla="*/ 103 w 104"/>
                <a:gd name="T3" fmla="*/ 0 h 22"/>
                <a:gd name="T4" fmla="*/ 0 w 104"/>
                <a:gd name="T5" fmla="*/ 22 h 22"/>
                <a:gd name="T6" fmla="*/ 104 w 104"/>
                <a:gd name="T7" fmla="*/ 7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4" y="7"/>
                  </a:moveTo>
                  <a:lnTo>
                    <a:pt x="103" y="0"/>
                  </a:lnTo>
                  <a:lnTo>
                    <a:pt x="0" y="22"/>
                  </a:lnTo>
                  <a:lnTo>
                    <a:pt x="104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1" name="Freeform 192">
              <a:extLst>
                <a:ext uri="{FF2B5EF4-FFF2-40B4-BE49-F238E27FC236}">
                  <a16:creationId xmlns:a16="http://schemas.microsoft.com/office/drawing/2014/main" id="{D1B0AB30-CD66-429B-BD01-98DDBCCBD799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3 w 103"/>
                <a:gd name="T1" fmla="*/ 7 h 29"/>
                <a:gd name="T2" fmla="*/ 102 w 103"/>
                <a:gd name="T3" fmla="*/ 0 h 29"/>
                <a:gd name="T4" fmla="*/ 0 w 103"/>
                <a:gd name="T5" fmla="*/ 29 h 29"/>
                <a:gd name="T6" fmla="*/ 103 w 103"/>
                <a:gd name="T7" fmla="*/ 7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3" y="7"/>
                  </a:moveTo>
                  <a:lnTo>
                    <a:pt x="102" y="0"/>
                  </a:lnTo>
                  <a:lnTo>
                    <a:pt x="0" y="29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2" name="Freeform 193">
              <a:extLst>
                <a:ext uri="{FF2B5EF4-FFF2-40B4-BE49-F238E27FC236}">
                  <a16:creationId xmlns:a16="http://schemas.microsoft.com/office/drawing/2014/main" id="{F86677D0-923A-49E0-BD85-0138B92D9BFF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2 w 102"/>
                <a:gd name="T1" fmla="*/ 7 h 36"/>
                <a:gd name="T2" fmla="*/ 99 w 102"/>
                <a:gd name="T3" fmla="*/ 0 h 36"/>
                <a:gd name="T4" fmla="*/ 0 w 102"/>
                <a:gd name="T5" fmla="*/ 36 h 36"/>
                <a:gd name="T6" fmla="*/ 102 w 102"/>
                <a:gd name="T7" fmla="*/ 7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6">
                  <a:moveTo>
                    <a:pt x="102" y="7"/>
                  </a:moveTo>
                  <a:lnTo>
                    <a:pt x="99" y="0"/>
                  </a:lnTo>
                  <a:lnTo>
                    <a:pt x="0" y="36"/>
                  </a:lnTo>
                  <a:lnTo>
                    <a:pt x="102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3" name="Freeform 194">
              <a:extLst>
                <a:ext uri="{FF2B5EF4-FFF2-40B4-BE49-F238E27FC236}">
                  <a16:creationId xmlns:a16="http://schemas.microsoft.com/office/drawing/2014/main" id="{94F79D77-64E5-4F0A-A652-72CFBC1EA1F2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9 w 99"/>
                <a:gd name="T1" fmla="*/ 6 h 42"/>
                <a:gd name="T2" fmla="*/ 97 w 99"/>
                <a:gd name="T3" fmla="*/ 0 h 42"/>
                <a:gd name="T4" fmla="*/ 0 w 99"/>
                <a:gd name="T5" fmla="*/ 42 h 42"/>
                <a:gd name="T6" fmla="*/ 99 w 99"/>
                <a:gd name="T7" fmla="*/ 6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9" y="6"/>
                  </a:moveTo>
                  <a:lnTo>
                    <a:pt x="97" y="0"/>
                  </a:lnTo>
                  <a:lnTo>
                    <a:pt x="0" y="42"/>
                  </a:lnTo>
                  <a:lnTo>
                    <a:pt x="9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4" name="Freeform 195">
              <a:extLst>
                <a:ext uri="{FF2B5EF4-FFF2-40B4-BE49-F238E27FC236}">
                  <a16:creationId xmlns:a16="http://schemas.microsoft.com/office/drawing/2014/main" id="{7C8FF021-5F97-4E90-BF65-B53DDF059CF8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7 w 97"/>
                <a:gd name="T1" fmla="*/ 7 h 49"/>
                <a:gd name="T2" fmla="*/ 94 w 97"/>
                <a:gd name="T3" fmla="*/ 0 h 49"/>
                <a:gd name="T4" fmla="*/ 0 w 97"/>
                <a:gd name="T5" fmla="*/ 49 h 49"/>
                <a:gd name="T6" fmla="*/ 97 w 97"/>
                <a:gd name="T7" fmla="*/ 7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9">
                  <a:moveTo>
                    <a:pt x="97" y="7"/>
                  </a:moveTo>
                  <a:lnTo>
                    <a:pt x="94" y="0"/>
                  </a:lnTo>
                  <a:lnTo>
                    <a:pt x="0" y="49"/>
                  </a:lnTo>
                  <a:lnTo>
                    <a:pt x="97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5" name="Freeform 196">
              <a:extLst>
                <a:ext uri="{FF2B5EF4-FFF2-40B4-BE49-F238E27FC236}">
                  <a16:creationId xmlns:a16="http://schemas.microsoft.com/office/drawing/2014/main" id="{2ECDB793-491A-42E3-8BD4-62F79346ABD8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4 w 94"/>
                <a:gd name="T1" fmla="*/ 6 h 55"/>
                <a:gd name="T2" fmla="*/ 90 w 94"/>
                <a:gd name="T3" fmla="*/ 0 h 55"/>
                <a:gd name="T4" fmla="*/ 0 w 94"/>
                <a:gd name="T5" fmla="*/ 55 h 55"/>
                <a:gd name="T6" fmla="*/ 94 w 94"/>
                <a:gd name="T7" fmla="*/ 6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5">
                  <a:moveTo>
                    <a:pt x="94" y="6"/>
                  </a:moveTo>
                  <a:lnTo>
                    <a:pt x="90" y="0"/>
                  </a:lnTo>
                  <a:lnTo>
                    <a:pt x="0" y="55"/>
                  </a:lnTo>
                  <a:lnTo>
                    <a:pt x="9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6" name="Freeform 197">
              <a:extLst>
                <a:ext uri="{FF2B5EF4-FFF2-40B4-BE49-F238E27FC236}">
                  <a16:creationId xmlns:a16="http://schemas.microsoft.com/office/drawing/2014/main" id="{466178CE-9095-4D96-B1DD-CF91A6EDBFF5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0 w 90"/>
                <a:gd name="T1" fmla="*/ 6 h 61"/>
                <a:gd name="T2" fmla="*/ 86 w 90"/>
                <a:gd name="T3" fmla="*/ 0 h 61"/>
                <a:gd name="T4" fmla="*/ 0 w 90"/>
                <a:gd name="T5" fmla="*/ 61 h 61"/>
                <a:gd name="T6" fmla="*/ 90 w 90"/>
                <a:gd name="T7" fmla="*/ 6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90" y="6"/>
                  </a:moveTo>
                  <a:lnTo>
                    <a:pt x="86" y="0"/>
                  </a:lnTo>
                  <a:lnTo>
                    <a:pt x="0" y="61"/>
                  </a:lnTo>
                  <a:lnTo>
                    <a:pt x="90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7" name="Freeform 198">
              <a:extLst>
                <a:ext uri="{FF2B5EF4-FFF2-40B4-BE49-F238E27FC236}">
                  <a16:creationId xmlns:a16="http://schemas.microsoft.com/office/drawing/2014/main" id="{C69AC832-DD18-4FBC-999C-B1491C2191BC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6 w 86"/>
                <a:gd name="T1" fmla="*/ 6 h 67"/>
                <a:gd name="T2" fmla="*/ 82 w 86"/>
                <a:gd name="T3" fmla="*/ 0 h 67"/>
                <a:gd name="T4" fmla="*/ 0 w 86"/>
                <a:gd name="T5" fmla="*/ 67 h 67"/>
                <a:gd name="T6" fmla="*/ 86 w 86"/>
                <a:gd name="T7" fmla="*/ 6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86" y="6"/>
                  </a:moveTo>
                  <a:lnTo>
                    <a:pt x="82" y="0"/>
                  </a:lnTo>
                  <a:lnTo>
                    <a:pt x="0" y="67"/>
                  </a:lnTo>
                  <a:lnTo>
                    <a:pt x="86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8" name="Freeform 199">
              <a:extLst>
                <a:ext uri="{FF2B5EF4-FFF2-40B4-BE49-F238E27FC236}">
                  <a16:creationId xmlns:a16="http://schemas.microsoft.com/office/drawing/2014/main" id="{7E69BD82-C306-4E44-862A-00662D526340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2 w 82"/>
                <a:gd name="T1" fmla="*/ 5 h 72"/>
                <a:gd name="T2" fmla="*/ 77 w 82"/>
                <a:gd name="T3" fmla="*/ 0 h 72"/>
                <a:gd name="T4" fmla="*/ 0 w 82"/>
                <a:gd name="T5" fmla="*/ 72 h 72"/>
                <a:gd name="T6" fmla="*/ 82 w 82"/>
                <a:gd name="T7" fmla="*/ 5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82" y="5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9" name="Freeform 200">
              <a:extLst>
                <a:ext uri="{FF2B5EF4-FFF2-40B4-BE49-F238E27FC236}">
                  <a16:creationId xmlns:a16="http://schemas.microsoft.com/office/drawing/2014/main" id="{516E916A-C15E-42A5-8D62-B5AAA3765BB2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77 w 77"/>
                <a:gd name="T1" fmla="*/ 5 h 77"/>
                <a:gd name="T2" fmla="*/ 72 w 77"/>
                <a:gd name="T3" fmla="*/ 0 h 77"/>
                <a:gd name="T4" fmla="*/ 0 w 77"/>
                <a:gd name="T5" fmla="*/ 77 h 77"/>
                <a:gd name="T6" fmla="*/ 77 w 77"/>
                <a:gd name="T7" fmla="*/ 5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7" y="5"/>
                  </a:moveTo>
                  <a:lnTo>
                    <a:pt x="72" y="0"/>
                  </a:lnTo>
                  <a:lnTo>
                    <a:pt x="0" y="77"/>
                  </a:lnTo>
                  <a:lnTo>
                    <a:pt x="77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0" name="Freeform 201">
              <a:extLst>
                <a:ext uri="{FF2B5EF4-FFF2-40B4-BE49-F238E27FC236}">
                  <a16:creationId xmlns:a16="http://schemas.microsoft.com/office/drawing/2014/main" id="{7EA3F598-DB49-4D2B-94C6-9B15654954BC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72 w 72"/>
                <a:gd name="T1" fmla="*/ 5 h 82"/>
                <a:gd name="T2" fmla="*/ 67 w 72"/>
                <a:gd name="T3" fmla="*/ 0 h 82"/>
                <a:gd name="T4" fmla="*/ 0 w 72"/>
                <a:gd name="T5" fmla="*/ 82 h 82"/>
                <a:gd name="T6" fmla="*/ 72 w 72"/>
                <a:gd name="T7" fmla="*/ 5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72" y="5"/>
                  </a:moveTo>
                  <a:lnTo>
                    <a:pt x="67" y="0"/>
                  </a:lnTo>
                  <a:lnTo>
                    <a:pt x="0" y="82"/>
                  </a:lnTo>
                  <a:lnTo>
                    <a:pt x="7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1" name="Freeform 202">
              <a:extLst>
                <a:ext uri="{FF2B5EF4-FFF2-40B4-BE49-F238E27FC236}">
                  <a16:creationId xmlns:a16="http://schemas.microsoft.com/office/drawing/2014/main" id="{0CF4E72E-0065-47D7-982C-26C4FC49DCCD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7 w 67"/>
                <a:gd name="T1" fmla="*/ 4 h 86"/>
                <a:gd name="T2" fmla="*/ 61 w 67"/>
                <a:gd name="T3" fmla="*/ 0 h 86"/>
                <a:gd name="T4" fmla="*/ 0 w 67"/>
                <a:gd name="T5" fmla="*/ 86 h 86"/>
                <a:gd name="T6" fmla="*/ 67 w 67"/>
                <a:gd name="T7" fmla="*/ 4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7" y="4"/>
                  </a:moveTo>
                  <a:lnTo>
                    <a:pt x="61" y="0"/>
                  </a:lnTo>
                  <a:lnTo>
                    <a:pt x="0" y="86"/>
                  </a:lnTo>
                  <a:lnTo>
                    <a:pt x="6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2" name="Freeform 203">
              <a:extLst>
                <a:ext uri="{FF2B5EF4-FFF2-40B4-BE49-F238E27FC236}">
                  <a16:creationId xmlns:a16="http://schemas.microsoft.com/office/drawing/2014/main" id="{D8926E89-5DF7-4E44-87EB-FD2C780C1CED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1 w 61"/>
                <a:gd name="T1" fmla="*/ 4 h 90"/>
                <a:gd name="T2" fmla="*/ 55 w 61"/>
                <a:gd name="T3" fmla="*/ 0 h 90"/>
                <a:gd name="T4" fmla="*/ 0 w 61"/>
                <a:gd name="T5" fmla="*/ 90 h 90"/>
                <a:gd name="T6" fmla="*/ 61 w 61"/>
                <a:gd name="T7" fmla="*/ 4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61" y="4"/>
                  </a:moveTo>
                  <a:lnTo>
                    <a:pt x="55" y="0"/>
                  </a:lnTo>
                  <a:lnTo>
                    <a:pt x="0" y="90"/>
                  </a:lnTo>
                  <a:lnTo>
                    <a:pt x="61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3" name="Freeform 204">
              <a:extLst>
                <a:ext uri="{FF2B5EF4-FFF2-40B4-BE49-F238E27FC236}">
                  <a16:creationId xmlns:a16="http://schemas.microsoft.com/office/drawing/2014/main" id="{FDA51A6A-E661-4217-9C05-17282772AD3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55 w 55"/>
                <a:gd name="T1" fmla="*/ 4 h 94"/>
                <a:gd name="T2" fmla="*/ 49 w 55"/>
                <a:gd name="T3" fmla="*/ 0 h 94"/>
                <a:gd name="T4" fmla="*/ 0 w 55"/>
                <a:gd name="T5" fmla="*/ 94 h 94"/>
                <a:gd name="T6" fmla="*/ 55 w 55"/>
                <a:gd name="T7" fmla="*/ 4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4">
                  <a:moveTo>
                    <a:pt x="55" y="4"/>
                  </a:moveTo>
                  <a:lnTo>
                    <a:pt x="49" y="0"/>
                  </a:lnTo>
                  <a:lnTo>
                    <a:pt x="0" y="94"/>
                  </a:lnTo>
                  <a:lnTo>
                    <a:pt x="55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4" name="Freeform 205">
              <a:extLst>
                <a:ext uri="{FF2B5EF4-FFF2-40B4-BE49-F238E27FC236}">
                  <a16:creationId xmlns:a16="http://schemas.microsoft.com/office/drawing/2014/main" id="{559C51B5-722D-4B15-BFE3-AE53C9D53955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9 w 49"/>
                <a:gd name="T1" fmla="*/ 3 h 97"/>
                <a:gd name="T2" fmla="*/ 42 w 49"/>
                <a:gd name="T3" fmla="*/ 0 h 97"/>
                <a:gd name="T4" fmla="*/ 0 w 49"/>
                <a:gd name="T5" fmla="*/ 97 h 97"/>
                <a:gd name="T6" fmla="*/ 49 w 49"/>
                <a:gd name="T7" fmla="*/ 3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7">
                  <a:moveTo>
                    <a:pt x="49" y="3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49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5" name="Freeform 206">
              <a:extLst>
                <a:ext uri="{FF2B5EF4-FFF2-40B4-BE49-F238E27FC236}">
                  <a16:creationId xmlns:a16="http://schemas.microsoft.com/office/drawing/2014/main" id="{95157B49-8EB9-4A41-9811-DB57BD5ADDB7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5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5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6" name="Freeform 207">
              <a:extLst>
                <a:ext uri="{FF2B5EF4-FFF2-40B4-BE49-F238E27FC236}">
                  <a16:creationId xmlns:a16="http://schemas.microsoft.com/office/drawing/2014/main" id="{DEBB2F50-4958-42AC-994F-844147F70FAF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35 w 35"/>
                <a:gd name="T1" fmla="*/ 2 h 102"/>
                <a:gd name="T2" fmla="*/ 29 w 35"/>
                <a:gd name="T3" fmla="*/ 0 h 102"/>
                <a:gd name="T4" fmla="*/ 0 w 35"/>
                <a:gd name="T5" fmla="*/ 102 h 102"/>
                <a:gd name="T6" fmla="*/ 35 w 35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35" y="2"/>
                  </a:moveTo>
                  <a:lnTo>
                    <a:pt x="29" y="0"/>
                  </a:lnTo>
                  <a:lnTo>
                    <a:pt x="0" y="102"/>
                  </a:lnTo>
                  <a:lnTo>
                    <a:pt x="35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7" name="Freeform 208">
              <a:extLst>
                <a:ext uri="{FF2B5EF4-FFF2-40B4-BE49-F238E27FC236}">
                  <a16:creationId xmlns:a16="http://schemas.microsoft.com/office/drawing/2014/main" id="{35321086-C022-4E1A-AC74-85A1328A181F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9 w 29"/>
                <a:gd name="T1" fmla="*/ 1 h 103"/>
                <a:gd name="T2" fmla="*/ 22 w 29"/>
                <a:gd name="T3" fmla="*/ 0 h 103"/>
                <a:gd name="T4" fmla="*/ 0 w 29"/>
                <a:gd name="T5" fmla="*/ 103 h 103"/>
                <a:gd name="T6" fmla="*/ 29 w 29"/>
                <a:gd name="T7" fmla="*/ 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9" y="1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2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8" name="Freeform 209">
              <a:extLst>
                <a:ext uri="{FF2B5EF4-FFF2-40B4-BE49-F238E27FC236}">
                  <a16:creationId xmlns:a16="http://schemas.microsoft.com/office/drawing/2014/main" id="{4E33CF7F-CA05-4FE4-8B28-33096D27875A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9" name="Freeform 210">
              <a:extLst>
                <a:ext uri="{FF2B5EF4-FFF2-40B4-BE49-F238E27FC236}">
                  <a16:creationId xmlns:a16="http://schemas.microsoft.com/office/drawing/2014/main" id="{18347F30-581D-4D7C-AFFA-2FAB788D5E9C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0" name="Freeform 211">
              <a:extLst>
                <a:ext uri="{FF2B5EF4-FFF2-40B4-BE49-F238E27FC236}">
                  <a16:creationId xmlns:a16="http://schemas.microsoft.com/office/drawing/2014/main" id="{A9F56841-A96C-45CD-9746-C54D319DC933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1" name="Freeform 212">
              <a:extLst>
                <a:ext uri="{FF2B5EF4-FFF2-40B4-BE49-F238E27FC236}">
                  <a16:creationId xmlns:a16="http://schemas.microsoft.com/office/drawing/2014/main" id="{32FCC792-0F22-43C8-92FA-663DC9072389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0 h 106"/>
                <a:gd name="T2" fmla="*/ 0 w 7"/>
                <a:gd name="T3" fmla="*/ 1 h 106"/>
                <a:gd name="T4" fmla="*/ 7 w 7"/>
                <a:gd name="T5" fmla="*/ 106 h 106"/>
                <a:gd name="T6" fmla="*/ 7 w 7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0"/>
                  </a:moveTo>
                  <a:lnTo>
                    <a:pt x="0" y="1"/>
                  </a:lnTo>
                  <a:lnTo>
                    <a:pt x="7" y="106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2" name="Freeform 213">
              <a:extLst>
                <a:ext uri="{FF2B5EF4-FFF2-40B4-BE49-F238E27FC236}">
                  <a16:creationId xmlns:a16="http://schemas.microsoft.com/office/drawing/2014/main" id="{4743EAE3-56CF-451F-948F-7F79DEE848B8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14"/>
                <a:gd name="T1" fmla="*/ 0 h 105"/>
                <a:gd name="T2" fmla="*/ 0 w 14"/>
                <a:gd name="T3" fmla="*/ 0 h 105"/>
                <a:gd name="T4" fmla="*/ 14 w 14"/>
                <a:gd name="T5" fmla="*/ 105 h 105"/>
                <a:gd name="T6" fmla="*/ 7 w 14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7" y="0"/>
                  </a:moveTo>
                  <a:lnTo>
                    <a:pt x="0" y="0"/>
                  </a:lnTo>
                  <a:lnTo>
                    <a:pt x="14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3" name="Freeform 214">
              <a:extLst>
                <a:ext uri="{FF2B5EF4-FFF2-40B4-BE49-F238E27FC236}">
                  <a16:creationId xmlns:a16="http://schemas.microsoft.com/office/drawing/2014/main" id="{84841BE3-D683-4FA5-AA20-BA7C9786C66A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1"/>
                <a:gd name="T1" fmla="*/ 0 h 105"/>
                <a:gd name="T2" fmla="*/ 0 w 21"/>
                <a:gd name="T3" fmla="*/ 2 h 105"/>
                <a:gd name="T4" fmla="*/ 21 w 21"/>
                <a:gd name="T5" fmla="*/ 105 h 105"/>
                <a:gd name="T6" fmla="*/ 7 w 21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5">
                  <a:moveTo>
                    <a:pt x="7" y="0"/>
                  </a:moveTo>
                  <a:lnTo>
                    <a:pt x="0" y="2"/>
                  </a:lnTo>
                  <a:lnTo>
                    <a:pt x="21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4" name="Freeform 215">
              <a:extLst>
                <a:ext uri="{FF2B5EF4-FFF2-40B4-BE49-F238E27FC236}">
                  <a16:creationId xmlns:a16="http://schemas.microsoft.com/office/drawing/2014/main" id="{372BCBDB-6CB5-45BB-9DF2-8DE8337A292C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8"/>
                <a:gd name="T1" fmla="*/ 0 h 103"/>
                <a:gd name="T2" fmla="*/ 0 w 28"/>
                <a:gd name="T3" fmla="*/ 1 h 103"/>
                <a:gd name="T4" fmla="*/ 28 w 28"/>
                <a:gd name="T5" fmla="*/ 103 h 103"/>
                <a:gd name="T6" fmla="*/ 7 w 28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7" y="0"/>
                  </a:moveTo>
                  <a:lnTo>
                    <a:pt x="0" y="1"/>
                  </a:lnTo>
                  <a:lnTo>
                    <a:pt x="28" y="10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5" name="Freeform 216">
              <a:extLst>
                <a:ext uri="{FF2B5EF4-FFF2-40B4-BE49-F238E27FC236}">
                  <a16:creationId xmlns:a16="http://schemas.microsoft.com/office/drawing/2014/main" id="{0C83EBCC-0562-4CC4-A57F-F58E6F2A04CD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7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7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6" name="Freeform 217">
              <a:extLst>
                <a:ext uri="{FF2B5EF4-FFF2-40B4-BE49-F238E27FC236}">
                  <a16:creationId xmlns:a16="http://schemas.microsoft.com/office/drawing/2014/main" id="{4DBB5691-71DA-4132-932D-D91DCD1004E2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42"/>
                <a:gd name="T1" fmla="*/ 0 h 100"/>
                <a:gd name="T2" fmla="*/ 0 w 42"/>
                <a:gd name="T3" fmla="*/ 3 h 100"/>
                <a:gd name="T4" fmla="*/ 42 w 42"/>
                <a:gd name="T5" fmla="*/ 100 h 100"/>
                <a:gd name="T6" fmla="*/ 7 w 42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7" y="0"/>
                  </a:moveTo>
                  <a:lnTo>
                    <a:pt x="0" y="3"/>
                  </a:lnTo>
                  <a:lnTo>
                    <a:pt x="42" y="10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7" name="Freeform 218">
              <a:extLst>
                <a:ext uri="{FF2B5EF4-FFF2-40B4-BE49-F238E27FC236}">
                  <a16:creationId xmlns:a16="http://schemas.microsoft.com/office/drawing/2014/main" id="{30244BA9-7466-4156-8BE4-0900AB574DC5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48"/>
                <a:gd name="T1" fmla="*/ 0 h 97"/>
                <a:gd name="T2" fmla="*/ 0 w 48"/>
                <a:gd name="T3" fmla="*/ 3 h 97"/>
                <a:gd name="T4" fmla="*/ 48 w 48"/>
                <a:gd name="T5" fmla="*/ 97 h 97"/>
                <a:gd name="T6" fmla="*/ 6 w 48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7">
                  <a:moveTo>
                    <a:pt x="6" y="0"/>
                  </a:moveTo>
                  <a:lnTo>
                    <a:pt x="0" y="3"/>
                  </a:lnTo>
                  <a:lnTo>
                    <a:pt x="48" y="97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8" name="Freeform 219">
              <a:extLst>
                <a:ext uri="{FF2B5EF4-FFF2-40B4-BE49-F238E27FC236}">
                  <a16:creationId xmlns:a16="http://schemas.microsoft.com/office/drawing/2014/main" id="{E20C5255-11D4-45CE-B42A-F025000FA5F8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54"/>
                <a:gd name="T1" fmla="*/ 0 h 94"/>
                <a:gd name="T2" fmla="*/ 0 w 54"/>
                <a:gd name="T3" fmla="*/ 4 h 94"/>
                <a:gd name="T4" fmla="*/ 54 w 54"/>
                <a:gd name="T5" fmla="*/ 94 h 94"/>
                <a:gd name="T6" fmla="*/ 6 w 54"/>
                <a:gd name="T7" fmla="*/ 0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4">
                  <a:moveTo>
                    <a:pt x="6" y="0"/>
                  </a:moveTo>
                  <a:lnTo>
                    <a:pt x="0" y="4"/>
                  </a:lnTo>
                  <a:lnTo>
                    <a:pt x="54" y="94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9" name="Freeform 220">
              <a:extLst>
                <a:ext uri="{FF2B5EF4-FFF2-40B4-BE49-F238E27FC236}">
                  <a16:creationId xmlns:a16="http://schemas.microsoft.com/office/drawing/2014/main" id="{2EFAEACA-B17C-47AF-88E8-568D6B29B408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0"/>
                <a:gd name="T1" fmla="*/ 0 h 90"/>
                <a:gd name="T2" fmla="*/ 0 w 60"/>
                <a:gd name="T3" fmla="*/ 4 h 90"/>
                <a:gd name="T4" fmla="*/ 60 w 60"/>
                <a:gd name="T5" fmla="*/ 90 h 90"/>
                <a:gd name="T6" fmla="*/ 6 w 60"/>
                <a:gd name="T7" fmla="*/ 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6" y="0"/>
                  </a:moveTo>
                  <a:lnTo>
                    <a:pt x="0" y="4"/>
                  </a:lnTo>
                  <a:lnTo>
                    <a:pt x="60" y="9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0" name="Freeform 221">
              <a:extLst>
                <a:ext uri="{FF2B5EF4-FFF2-40B4-BE49-F238E27FC236}">
                  <a16:creationId xmlns:a16="http://schemas.microsoft.com/office/drawing/2014/main" id="{27F0AA5D-00A0-453A-9D86-CC57F0DA086E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6"/>
                <a:gd name="T1" fmla="*/ 0 h 86"/>
                <a:gd name="T2" fmla="*/ 0 w 66"/>
                <a:gd name="T3" fmla="*/ 4 h 86"/>
                <a:gd name="T4" fmla="*/ 66 w 66"/>
                <a:gd name="T5" fmla="*/ 86 h 86"/>
                <a:gd name="T6" fmla="*/ 6 w 66"/>
                <a:gd name="T7" fmla="*/ 0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6" y="0"/>
                  </a:moveTo>
                  <a:lnTo>
                    <a:pt x="0" y="4"/>
                  </a:lnTo>
                  <a:lnTo>
                    <a:pt x="66" y="8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1" name="Freeform 222">
              <a:extLst>
                <a:ext uri="{FF2B5EF4-FFF2-40B4-BE49-F238E27FC236}">
                  <a16:creationId xmlns:a16="http://schemas.microsoft.com/office/drawing/2014/main" id="{1C447A45-92CE-44EE-9651-ADA4A9C34D65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72"/>
                <a:gd name="T1" fmla="*/ 0 h 82"/>
                <a:gd name="T2" fmla="*/ 0 w 72"/>
                <a:gd name="T3" fmla="*/ 5 h 82"/>
                <a:gd name="T4" fmla="*/ 72 w 72"/>
                <a:gd name="T5" fmla="*/ 82 h 82"/>
                <a:gd name="T6" fmla="*/ 6 w 72"/>
                <a:gd name="T7" fmla="*/ 0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6" y="0"/>
                  </a:moveTo>
                  <a:lnTo>
                    <a:pt x="0" y="5"/>
                  </a:lnTo>
                  <a:lnTo>
                    <a:pt x="72" y="8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2" name="Freeform 223">
              <a:extLst>
                <a:ext uri="{FF2B5EF4-FFF2-40B4-BE49-F238E27FC236}">
                  <a16:creationId xmlns:a16="http://schemas.microsoft.com/office/drawing/2014/main" id="{69D9CEB2-EB02-4648-AD95-74B4CCC3E086}"/>
                </a:ext>
              </a:extLst>
            </xdr:cNvPr>
            <xdr:cNvSpPr>
              <a:spLocks/>
            </xdr:cNvSpPr>
          </xdr:nvSpPr>
          <xdr:spPr bwMode="auto">
            <a:xfrm>
              <a:off x="930" y="201"/>
              <a:ext cx="1" cy="1"/>
            </a:xfrm>
            <a:custGeom>
              <a:avLst/>
              <a:gdLst>
                <a:gd name="T0" fmla="*/ 5 w 77"/>
                <a:gd name="T1" fmla="*/ 0 h 77"/>
                <a:gd name="T2" fmla="*/ 0 w 77"/>
                <a:gd name="T3" fmla="*/ 5 h 77"/>
                <a:gd name="T4" fmla="*/ 77 w 77"/>
                <a:gd name="T5" fmla="*/ 77 h 77"/>
                <a:gd name="T6" fmla="*/ 5 w 77"/>
                <a:gd name="T7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5" y="0"/>
                  </a:moveTo>
                  <a:lnTo>
                    <a:pt x="0" y="5"/>
                  </a:lnTo>
                  <a:lnTo>
                    <a:pt x="77" y="7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3" name="Freeform 224">
              <a:extLst>
                <a:ext uri="{FF2B5EF4-FFF2-40B4-BE49-F238E27FC236}">
                  <a16:creationId xmlns:a16="http://schemas.microsoft.com/office/drawing/2014/main" id="{9EEC4062-F25C-4B86-9B90-6A1AD96AC4E3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81"/>
                <a:gd name="T1" fmla="*/ 0 h 72"/>
                <a:gd name="T2" fmla="*/ 0 w 81"/>
                <a:gd name="T3" fmla="*/ 5 h 72"/>
                <a:gd name="T4" fmla="*/ 81 w 81"/>
                <a:gd name="T5" fmla="*/ 72 h 72"/>
                <a:gd name="T6" fmla="*/ 4 w 81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4" y="0"/>
                  </a:moveTo>
                  <a:lnTo>
                    <a:pt x="0" y="5"/>
                  </a:lnTo>
                  <a:lnTo>
                    <a:pt x="81" y="7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4" name="Freeform 225">
              <a:extLst>
                <a:ext uri="{FF2B5EF4-FFF2-40B4-BE49-F238E27FC236}">
                  <a16:creationId xmlns:a16="http://schemas.microsoft.com/office/drawing/2014/main" id="{9D36A2C6-00CB-495A-ACF0-CF4E4233E29B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5 w 86"/>
                <a:gd name="T1" fmla="*/ 0 h 67"/>
                <a:gd name="T2" fmla="*/ 0 w 86"/>
                <a:gd name="T3" fmla="*/ 6 h 67"/>
                <a:gd name="T4" fmla="*/ 86 w 86"/>
                <a:gd name="T5" fmla="*/ 67 h 67"/>
                <a:gd name="T6" fmla="*/ 5 w 86"/>
                <a:gd name="T7" fmla="*/ 0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5" y="0"/>
                  </a:moveTo>
                  <a:lnTo>
                    <a:pt x="0" y="6"/>
                  </a:lnTo>
                  <a:lnTo>
                    <a:pt x="86" y="6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5" name="Freeform 226">
              <a:extLst>
                <a:ext uri="{FF2B5EF4-FFF2-40B4-BE49-F238E27FC236}">
                  <a16:creationId xmlns:a16="http://schemas.microsoft.com/office/drawing/2014/main" id="{8BA39AF9-63E5-405B-93BB-1BDE0423BAC8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90"/>
                <a:gd name="T1" fmla="*/ 0 h 61"/>
                <a:gd name="T2" fmla="*/ 0 w 90"/>
                <a:gd name="T3" fmla="*/ 6 h 61"/>
                <a:gd name="T4" fmla="*/ 90 w 90"/>
                <a:gd name="T5" fmla="*/ 61 h 61"/>
                <a:gd name="T6" fmla="*/ 4 w 90"/>
                <a:gd name="T7" fmla="*/ 0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4" y="0"/>
                  </a:moveTo>
                  <a:lnTo>
                    <a:pt x="0" y="6"/>
                  </a:lnTo>
                  <a:lnTo>
                    <a:pt x="90" y="6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6" name="Freeform 227">
              <a:extLst>
                <a:ext uri="{FF2B5EF4-FFF2-40B4-BE49-F238E27FC236}">
                  <a16:creationId xmlns:a16="http://schemas.microsoft.com/office/drawing/2014/main" id="{B52F724E-EB62-44A5-92FC-0CEB25B858D3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3"/>
                <a:gd name="T1" fmla="*/ 0 h 55"/>
                <a:gd name="T2" fmla="*/ 0 w 93"/>
                <a:gd name="T3" fmla="*/ 6 h 55"/>
                <a:gd name="T4" fmla="*/ 93 w 93"/>
                <a:gd name="T5" fmla="*/ 55 h 55"/>
                <a:gd name="T6" fmla="*/ 3 w 93"/>
                <a:gd name="T7" fmla="*/ 0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5">
                  <a:moveTo>
                    <a:pt x="3" y="0"/>
                  </a:moveTo>
                  <a:lnTo>
                    <a:pt x="0" y="6"/>
                  </a:lnTo>
                  <a:lnTo>
                    <a:pt x="93" y="55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7" name="Freeform 228">
              <a:extLst>
                <a:ext uri="{FF2B5EF4-FFF2-40B4-BE49-F238E27FC236}">
                  <a16:creationId xmlns:a16="http://schemas.microsoft.com/office/drawing/2014/main" id="{BF868E08-F278-4417-922A-0B80A9C74E58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6"/>
                <a:gd name="T1" fmla="*/ 0 h 49"/>
                <a:gd name="T2" fmla="*/ 0 w 96"/>
                <a:gd name="T3" fmla="*/ 7 h 49"/>
                <a:gd name="T4" fmla="*/ 96 w 96"/>
                <a:gd name="T5" fmla="*/ 49 h 49"/>
                <a:gd name="T6" fmla="*/ 3 w 96"/>
                <a:gd name="T7" fmla="*/ 0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9">
                  <a:moveTo>
                    <a:pt x="3" y="0"/>
                  </a:moveTo>
                  <a:lnTo>
                    <a:pt x="0" y="7"/>
                  </a:lnTo>
                  <a:lnTo>
                    <a:pt x="96" y="49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8" name="Freeform 229">
              <a:extLst>
                <a:ext uri="{FF2B5EF4-FFF2-40B4-BE49-F238E27FC236}">
                  <a16:creationId xmlns:a16="http://schemas.microsoft.com/office/drawing/2014/main" id="{C0AB5308-B738-4177-BF7E-98150C1FAA18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9"/>
                <a:gd name="T1" fmla="*/ 0 h 42"/>
                <a:gd name="T2" fmla="*/ 0 w 99"/>
                <a:gd name="T3" fmla="*/ 6 h 42"/>
                <a:gd name="T4" fmla="*/ 99 w 99"/>
                <a:gd name="T5" fmla="*/ 42 h 42"/>
                <a:gd name="T6" fmla="*/ 3 w 99"/>
                <a:gd name="T7" fmla="*/ 0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3" y="0"/>
                  </a:moveTo>
                  <a:lnTo>
                    <a:pt x="0" y="6"/>
                  </a:lnTo>
                  <a:lnTo>
                    <a:pt x="99" y="4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9" name="Freeform 230">
              <a:extLst>
                <a:ext uri="{FF2B5EF4-FFF2-40B4-BE49-F238E27FC236}">
                  <a16:creationId xmlns:a16="http://schemas.microsoft.com/office/drawing/2014/main" id="{A5F9B7EF-BBD4-4702-84FF-E66FA27BFB63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1"/>
                <a:gd name="T1" fmla="*/ 0 h 36"/>
                <a:gd name="T2" fmla="*/ 0 w 101"/>
                <a:gd name="T3" fmla="*/ 7 h 36"/>
                <a:gd name="T4" fmla="*/ 101 w 101"/>
                <a:gd name="T5" fmla="*/ 36 h 36"/>
                <a:gd name="T6" fmla="*/ 2 w 101"/>
                <a:gd name="T7" fmla="*/ 0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2" y="0"/>
                  </a:moveTo>
                  <a:lnTo>
                    <a:pt x="0" y="7"/>
                  </a:lnTo>
                  <a:lnTo>
                    <a:pt x="101" y="3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0" name="Freeform 231">
              <a:extLst>
                <a:ext uri="{FF2B5EF4-FFF2-40B4-BE49-F238E27FC236}">
                  <a16:creationId xmlns:a16="http://schemas.microsoft.com/office/drawing/2014/main" id="{EFAA3E47-12B9-4348-A6C8-006DA850DB5F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3"/>
                <a:gd name="T1" fmla="*/ 0 h 29"/>
                <a:gd name="T2" fmla="*/ 0 w 103"/>
                <a:gd name="T3" fmla="*/ 7 h 29"/>
                <a:gd name="T4" fmla="*/ 103 w 103"/>
                <a:gd name="T5" fmla="*/ 29 h 29"/>
                <a:gd name="T6" fmla="*/ 2 w 103"/>
                <a:gd name="T7" fmla="*/ 0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2" y="0"/>
                  </a:moveTo>
                  <a:lnTo>
                    <a:pt x="0" y="7"/>
                  </a:lnTo>
                  <a:lnTo>
                    <a:pt x="103" y="29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1" name="Freeform 232">
              <a:extLst>
                <a:ext uri="{FF2B5EF4-FFF2-40B4-BE49-F238E27FC236}">
                  <a16:creationId xmlns:a16="http://schemas.microsoft.com/office/drawing/2014/main" id="{6496E53A-81F6-43BA-95C7-004C2BBD18F5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1 w 104"/>
                <a:gd name="T1" fmla="*/ 0 h 22"/>
                <a:gd name="T2" fmla="*/ 0 w 104"/>
                <a:gd name="T3" fmla="*/ 7 h 22"/>
                <a:gd name="T4" fmla="*/ 104 w 104"/>
                <a:gd name="T5" fmla="*/ 22 h 22"/>
                <a:gd name="T6" fmla="*/ 1 w 104"/>
                <a:gd name="T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" y="0"/>
                  </a:moveTo>
                  <a:lnTo>
                    <a:pt x="0" y="7"/>
                  </a:lnTo>
                  <a:lnTo>
                    <a:pt x="104" y="2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2" name="Freeform 233">
              <a:extLst>
                <a:ext uri="{FF2B5EF4-FFF2-40B4-BE49-F238E27FC236}">
                  <a16:creationId xmlns:a16="http://schemas.microsoft.com/office/drawing/2014/main" id="{74C60666-09D5-45AF-A5A0-EE01F0276675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8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8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3" name="Freeform 234">
              <a:extLst>
                <a:ext uri="{FF2B5EF4-FFF2-40B4-BE49-F238E27FC236}">
                  <a16:creationId xmlns:a16="http://schemas.microsoft.com/office/drawing/2014/main" id="{AD8B042A-8B2E-4B34-984B-2DDAAC80C54D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7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4" name="Freeform 235">
              <a:extLst>
                <a:ext uri="{FF2B5EF4-FFF2-40B4-BE49-F238E27FC236}">
                  <a16:creationId xmlns:a16="http://schemas.microsoft.com/office/drawing/2014/main" id="{5ACA2247-46CC-4B7D-98D9-046A7D0F5998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5" name="Freeform 236">
              <a:extLst>
                <a:ext uri="{FF2B5EF4-FFF2-40B4-BE49-F238E27FC236}">
                  <a16:creationId xmlns:a16="http://schemas.microsoft.com/office/drawing/2014/main" id="{CC937EE9-C127-44B1-947C-BC3DD3AB4104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7 h 14"/>
                <a:gd name="T2" fmla="*/ 1 w 105"/>
                <a:gd name="T3" fmla="*/ 14 h 14"/>
                <a:gd name="T4" fmla="*/ 105 w 105"/>
                <a:gd name="T5" fmla="*/ 0 h 14"/>
                <a:gd name="T6" fmla="*/ 0 w 105"/>
                <a:gd name="T7" fmla="*/ 7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0" y="7"/>
                  </a:moveTo>
                  <a:lnTo>
                    <a:pt x="1" y="14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6" name="Freeform 237">
              <a:extLst>
                <a:ext uri="{FF2B5EF4-FFF2-40B4-BE49-F238E27FC236}">
                  <a16:creationId xmlns:a16="http://schemas.microsoft.com/office/drawing/2014/main" id="{8EB686DA-69D8-4298-B020-2BFE7CEFFE18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4"/>
                <a:gd name="T1" fmla="*/ 14 h 21"/>
                <a:gd name="T2" fmla="*/ 1 w 104"/>
                <a:gd name="T3" fmla="*/ 21 h 21"/>
                <a:gd name="T4" fmla="*/ 104 w 104"/>
                <a:gd name="T5" fmla="*/ 0 h 21"/>
                <a:gd name="T6" fmla="*/ 0 w 104"/>
                <a:gd name="T7" fmla="*/ 14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0" y="14"/>
                  </a:moveTo>
                  <a:lnTo>
                    <a:pt x="1" y="21"/>
                  </a:lnTo>
                  <a:lnTo>
                    <a:pt x="104" y="0"/>
                  </a:lnTo>
                  <a:lnTo>
                    <a:pt x="0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7" name="Freeform 238">
              <a:extLst>
                <a:ext uri="{FF2B5EF4-FFF2-40B4-BE49-F238E27FC236}">
                  <a16:creationId xmlns:a16="http://schemas.microsoft.com/office/drawing/2014/main" id="{E5F42662-77F1-44F1-B210-EDDB6EFA9CA4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3"/>
                <a:gd name="T1" fmla="*/ 21 h 28"/>
                <a:gd name="T2" fmla="*/ 2 w 103"/>
                <a:gd name="T3" fmla="*/ 28 h 28"/>
                <a:gd name="T4" fmla="*/ 103 w 103"/>
                <a:gd name="T5" fmla="*/ 0 h 28"/>
                <a:gd name="T6" fmla="*/ 0 w 103"/>
                <a:gd name="T7" fmla="*/ 21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0" y="21"/>
                  </a:moveTo>
                  <a:lnTo>
                    <a:pt x="2" y="28"/>
                  </a:lnTo>
                  <a:lnTo>
                    <a:pt x="103" y="0"/>
                  </a:lnTo>
                  <a:lnTo>
                    <a:pt x="0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8" name="Freeform 239">
              <a:extLst>
                <a:ext uri="{FF2B5EF4-FFF2-40B4-BE49-F238E27FC236}">
                  <a16:creationId xmlns:a16="http://schemas.microsoft.com/office/drawing/2014/main" id="{C2957D87-F7D9-4208-A63B-DD2AE4FBBCCA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1"/>
                <a:gd name="T1" fmla="*/ 28 h 35"/>
                <a:gd name="T2" fmla="*/ 2 w 101"/>
                <a:gd name="T3" fmla="*/ 35 h 35"/>
                <a:gd name="T4" fmla="*/ 101 w 101"/>
                <a:gd name="T5" fmla="*/ 0 h 35"/>
                <a:gd name="T6" fmla="*/ 0 w 101"/>
                <a:gd name="T7" fmla="*/ 28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5">
                  <a:moveTo>
                    <a:pt x="0" y="28"/>
                  </a:moveTo>
                  <a:lnTo>
                    <a:pt x="2" y="35"/>
                  </a:lnTo>
                  <a:lnTo>
                    <a:pt x="101" y="0"/>
                  </a:lnTo>
                  <a:lnTo>
                    <a:pt x="0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9" name="Freeform 240">
              <a:extLst>
                <a:ext uri="{FF2B5EF4-FFF2-40B4-BE49-F238E27FC236}">
                  <a16:creationId xmlns:a16="http://schemas.microsoft.com/office/drawing/2014/main" id="{F8071483-428D-4706-BB54-72F6E487FF54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9"/>
                <a:gd name="T1" fmla="*/ 35 h 42"/>
                <a:gd name="T2" fmla="*/ 3 w 99"/>
                <a:gd name="T3" fmla="*/ 42 h 42"/>
                <a:gd name="T4" fmla="*/ 99 w 99"/>
                <a:gd name="T5" fmla="*/ 0 h 42"/>
                <a:gd name="T6" fmla="*/ 0 w 99"/>
                <a:gd name="T7" fmla="*/ 35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0" y="35"/>
                  </a:moveTo>
                  <a:lnTo>
                    <a:pt x="3" y="42"/>
                  </a:lnTo>
                  <a:lnTo>
                    <a:pt x="99" y="0"/>
                  </a:lnTo>
                  <a:lnTo>
                    <a:pt x="0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0" name="Freeform 241">
              <a:extLst>
                <a:ext uri="{FF2B5EF4-FFF2-40B4-BE49-F238E27FC236}">
                  <a16:creationId xmlns:a16="http://schemas.microsoft.com/office/drawing/2014/main" id="{984BC0A7-8F60-4779-8491-FDCCC43E788F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6"/>
                <a:gd name="T1" fmla="*/ 42 h 48"/>
                <a:gd name="T2" fmla="*/ 3 w 96"/>
                <a:gd name="T3" fmla="*/ 48 h 48"/>
                <a:gd name="T4" fmla="*/ 96 w 96"/>
                <a:gd name="T5" fmla="*/ 0 h 48"/>
                <a:gd name="T6" fmla="*/ 0 w 96"/>
                <a:gd name="T7" fmla="*/ 42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8">
                  <a:moveTo>
                    <a:pt x="0" y="42"/>
                  </a:moveTo>
                  <a:lnTo>
                    <a:pt x="3" y="48"/>
                  </a:lnTo>
                  <a:lnTo>
                    <a:pt x="96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1" name="Freeform 242">
              <a:extLst>
                <a:ext uri="{FF2B5EF4-FFF2-40B4-BE49-F238E27FC236}">
                  <a16:creationId xmlns:a16="http://schemas.microsoft.com/office/drawing/2014/main" id="{EE4AF212-D043-40F1-808A-1F76EC82C8EA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3"/>
                <a:gd name="T1" fmla="*/ 48 h 54"/>
                <a:gd name="T2" fmla="*/ 3 w 93"/>
                <a:gd name="T3" fmla="*/ 54 h 54"/>
                <a:gd name="T4" fmla="*/ 93 w 93"/>
                <a:gd name="T5" fmla="*/ 0 h 54"/>
                <a:gd name="T6" fmla="*/ 0 w 93"/>
                <a:gd name="T7" fmla="*/ 48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4">
                  <a:moveTo>
                    <a:pt x="0" y="48"/>
                  </a:moveTo>
                  <a:lnTo>
                    <a:pt x="3" y="54"/>
                  </a:lnTo>
                  <a:lnTo>
                    <a:pt x="93" y="0"/>
                  </a:lnTo>
                  <a:lnTo>
                    <a:pt x="0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2" name="Freeform 243">
              <a:extLst>
                <a:ext uri="{FF2B5EF4-FFF2-40B4-BE49-F238E27FC236}">
                  <a16:creationId xmlns:a16="http://schemas.microsoft.com/office/drawing/2014/main" id="{EBDD380E-8D1F-44E9-9C05-552C3D50B16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0"/>
                <a:gd name="T1" fmla="*/ 54 h 60"/>
                <a:gd name="T2" fmla="*/ 4 w 90"/>
                <a:gd name="T3" fmla="*/ 60 h 60"/>
                <a:gd name="T4" fmla="*/ 90 w 90"/>
                <a:gd name="T5" fmla="*/ 0 h 60"/>
                <a:gd name="T6" fmla="*/ 0 w 90"/>
                <a:gd name="T7" fmla="*/ 54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0" y="54"/>
                  </a:moveTo>
                  <a:lnTo>
                    <a:pt x="4" y="60"/>
                  </a:lnTo>
                  <a:lnTo>
                    <a:pt x="90" y="0"/>
                  </a:lnTo>
                  <a:lnTo>
                    <a:pt x="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3" name="Freeform 244">
              <a:extLst>
                <a:ext uri="{FF2B5EF4-FFF2-40B4-BE49-F238E27FC236}">
                  <a16:creationId xmlns:a16="http://schemas.microsoft.com/office/drawing/2014/main" id="{FF24A2FD-3DBB-4B89-9F0D-DC1D69237412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6"/>
                <a:gd name="T1" fmla="*/ 60 h 66"/>
                <a:gd name="T2" fmla="*/ 5 w 86"/>
                <a:gd name="T3" fmla="*/ 66 h 66"/>
                <a:gd name="T4" fmla="*/ 86 w 86"/>
                <a:gd name="T5" fmla="*/ 0 h 66"/>
                <a:gd name="T6" fmla="*/ 0 w 86"/>
                <a:gd name="T7" fmla="*/ 60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0" y="60"/>
                  </a:moveTo>
                  <a:lnTo>
                    <a:pt x="5" y="66"/>
                  </a:lnTo>
                  <a:lnTo>
                    <a:pt x="86" y="0"/>
                  </a:lnTo>
                  <a:lnTo>
                    <a:pt x="0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4" name="Freeform 245">
              <a:extLst>
                <a:ext uri="{FF2B5EF4-FFF2-40B4-BE49-F238E27FC236}">
                  <a16:creationId xmlns:a16="http://schemas.microsoft.com/office/drawing/2014/main" id="{F2A5DC17-2A82-49A3-893B-7ECB8DC4B7B7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1"/>
                <a:gd name="T1" fmla="*/ 66 h 72"/>
                <a:gd name="T2" fmla="*/ 4 w 81"/>
                <a:gd name="T3" fmla="*/ 72 h 72"/>
                <a:gd name="T4" fmla="*/ 81 w 81"/>
                <a:gd name="T5" fmla="*/ 0 h 72"/>
                <a:gd name="T6" fmla="*/ 0 w 81"/>
                <a:gd name="T7" fmla="*/ 66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0" y="66"/>
                  </a:moveTo>
                  <a:lnTo>
                    <a:pt x="4" y="72"/>
                  </a:lnTo>
                  <a:lnTo>
                    <a:pt x="81" y="0"/>
                  </a:lnTo>
                  <a:lnTo>
                    <a:pt x="0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5" name="Freeform 246">
              <a:extLst>
                <a:ext uri="{FF2B5EF4-FFF2-40B4-BE49-F238E27FC236}">
                  <a16:creationId xmlns:a16="http://schemas.microsoft.com/office/drawing/2014/main" id="{D8551502-7C94-451C-A336-F8AE4A2E4871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7"/>
                <a:gd name="T1" fmla="*/ 72 h 77"/>
                <a:gd name="T2" fmla="*/ 5 w 77"/>
                <a:gd name="T3" fmla="*/ 77 h 77"/>
                <a:gd name="T4" fmla="*/ 77 w 77"/>
                <a:gd name="T5" fmla="*/ 0 h 77"/>
                <a:gd name="T6" fmla="*/ 0 w 77"/>
                <a:gd name="T7" fmla="*/ 72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0" y="72"/>
                  </a:moveTo>
                  <a:lnTo>
                    <a:pt x="5" y="77"/>
                  </a:lnTo>
                  <a:lnTo>
                    <a:pt x="77" y="0"/>
                  </a:lnTo>
                  <a:lnTo>
                    <a:pt x="0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6" name="Freeform 247">
              <a:extLst>
                <a:ext uri="{FF2B5EF4-FFF2-40B4-BE49-F238E27FC236}">
                  <a16:creationId xmlns:a16="http://schemas.microsoft.com/office/drawing/2014/main" id="{25E84B56-8760-4244-A779-CA04C221DA21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2"/>
                <a:gd name="T1" fmla="*/ 77 h 81"/>
                <a:gd name="T2" fmla="*/ 6 w 72"/>
                <a:gd name="T3" fmla="*/ 81 h 81"/>
                <a:gd name="T4" fmla="*/ 72 w 72"/>
                <a:gd name="T5" fmla="*/ 0 h 81"/>
                <a:gd name="T6" fmla="*/ 0 w 72"/>
                <a:gd name="T7" fmla="*/ 77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0" y="77"/>
                  </a:moveTo>
                  <a:lnTo>
                    <a:pt x="6" y="81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7" name="Freeform 248">
              <a:extLst>
                <a:ext uri="{FF2B5EF4-FFF2-40B4-BE49-F238E27FC236}">
                  <a16:creationId xmlns:a16="http://schemas.microsoft.com/office/drawing/2014/main" id="{527C4285-774F-48EA-9C3A-2481E4C381EA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6"/>
                <a:gd name="T1" fmla="*/ 81 h 86"/>
                <a:gd name="T2" fmla="*/ 6 w 66"/>
                <a:gd name="T3" fmla="*/ 86 h 86"/>
                <a:gd name="T4" fmla="*/ 66 w 66"/>
                <a:gd name="T5" fmla="*/ 0 h 86"/>
                <a:gd name="T6" fmla="*/ 0 w 66"/>
                <a:gd name="T7" fmla="*/ 81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0" y="81"/>
                  </a:moveTo>
                  <a:lnTo>
                    <a:pt x="6" y="86"/>
                  </a:lnTo>
                  <a:lnTo>
                    <a:pt x="66" y="0"/>
                  </a:lnTo>
                  <a:lnTo>
                    <a:pt x="0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8" name="Freeform 249">
              <a:extLst>
                <a:ext uri="{FF2B5EF4-FFF2-40B4-BE49-F238E27FC236}">
                  <a16:creationId xmlns:a16="http://schemas.microsoft.com/office/drawing/2014/main" id="{7CA12977-A750-4C81-9E1F-2AE4C9C73C19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0"/>
                <a:gd name="T1" fmla="*/ 86 h 90"/>
                <a:gd name="T2" fmla="*/ 6 w 60"/>
                <a:gd name="T3" fmla="*/ 90 h 90"/>
                <a:gd name="T4" fmla="*/ 60 w 60"/>
                <a:gd name="T5" fmla="*/ 0 h 90"/>
                <a:gd name="T6" fmla="*/ 0 w 60"/>
                <a:gd name="T7" fmla="*/ 86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0" y="86"/>
                  </a:moveTo>
                  <a:lnTo>
                    <a:pt x="6" y="90"/>
                  </a:lnTo>
                  <a:lnTo>
                    <a:pt x="60" y="0"/>
                  </a:lnTo>
                  <a:lnTo>
                    <a:pt x="0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9" name="Freeform 250">
              <a:extLst>
                <a:ext uri="{FF2B5EF4-FFF2-40B4-BE49-F238E27FC236}">
                  <a16:creationId xmlns:a16="http://schemas.microsoft.com/office/drawing/2014/main" id="{0245D398-C3F7-4B40-8AC7-C33AED38D85A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54"/>
                <a:gd name="T1" fmla="*/ 90 h 93"/>
                <a:gd name="T2" fmla="*/ 6 w 54"/>
                <a:gd name="T3" fmla="*/ 93 h 93"/>
                <a:gd name="T4" fmla="*/ 54 w 54"/>
                <a:gd name="T5" fmla="*/ 0 h 93"/>
                <a:gd name="T6" fmla="*/ 0 w 54"/>
                <a:gd name="T7" fmla="*/ 9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3">
                  <a:moveTo>
                    <a:pt x="0" y="90"/>
                  </a:moveTo>
                  <a:lnTo>
                    <a:pt x="6" y="93"/>
                  </a:lnTo>
                  <a:lnTo>
                    <a:pt x="54" y="0"/>
                  </a:lnTo>
                  <a:lnTo>
                    <a:pt x="0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" name="Freeform 251">
              <a:extLst>
                <a:ext uri="{FF2B5EF4-FFF2-40B4-BE49-F238E27FC236}">
                  <a16:creationId xmlns:a16="http://schemas.microsoft.com/office/drawing/2014/main" id="{74473364-F078-45F6-8C5D-B9736C551634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48"/>
                <a:gd name="T1" fmla="*/ 93 h 96"/>
                <a:gd name="T2" fmla="*/ 6 w 48"/>
                <a:gd name="T3" fmla="*/ 96 h 96"/>
                <a:gd name="T4" fmla="*/ 48 w 48"/>
                <a:gd name="T5" fmla="*/ 0 h 96"/>
                <a:gd name="T6" fmla="*/ 0 w 48"/>
                <a:gd name="T7" fmla="*/ 9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6">
                  <a:moveTo>
                    <a:pt x="0" y="93"/>
                  </a:moveTo>
                  <a:lnTo>
                    <a:pt x="6" y="96"/>
                  </a:lnTo>
                  <a:lnTo>
                    <a:pt x="48" y="0"/>
                  </a:lnTo>
                  <a:lnTo>
                    <a:pt x="0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5" name="Group 453">
            <a:extLst>
              <a:ext uri="{FF2B5EF4-FFF2-40B4-BE49-F238E27FC236}">
                <a16:creationId xmlns:a16="http://schemas.microsoft.com/office/drawing/2014/main" id="{EF7E039A-C7E0-4B98-A167-C2B9F9BE5D35}"/>
              </a:ext>
            </a:extLst>
          </xdr:cNvPr>
          <xdr:cNvGrpSpPr>
            <a:grpSpLocks/>
          </xdr:cNvGrpSpPr>
        </xdr:nvGrpSpPr>
        <xdr:grpSpPr bwMode="auto">
          <a:xfrm>
            <a:off x="930" y="188"/>
            <a:ext cx="262" cy="16"/>
            <a:chOff x="930" y="188"/>
            <a:chExt cx="262" cy="16"/>
          </a:xfrm>
        </xdr:grpSpPr>
        <xdr:sp macro="" textlink="">
          <xdr:nvSpPr>
            <xdr:cNvPr id="141" name="Freeform 253">
              <a:extLst>
                <a:ext uri="{FF2B5EF4-FFF2-40B4-BE49-F238E27FC236}">
                  <a16:creationId xmlns:a16="http://schemas.microsoft.com/office/drawing/2014/main" id="{122B7984-3A65-49CD-A245-E15CFFB82369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42"/>
                <a:gd name="T1" fmla="*/ 96 h 99"/>
                <a:gd name="T2" fmla="*/ 7 w 42"/>
                <a:gd name="T3" fmla="*/ 99 h 99"/>
                <a:gd name="T4" fmla="*/ 42 w 42"/>
                <a:gd name="T5" fmla="*/ 0 h 99"/>
                <a:gd name="T6" fmla="*/ 0 w 42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0" y="96"/>
                  </a:moveTo>
                  <a:lnTo>
                    <a:pt x="7" y="99"/>
                  </a:lnTo>
                  <a:lnTo>
                    <a:pt x="42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2" name="Freeform 254">
              <a:extLst>
                <a:ext uri="{FF2B5EF4-FFF2-40B4-BE49-F238E27FC236}">
                  <a16:creationId xmlns:a16="http://schemas.microsoft.com/office/drawing/2014/main" id="{4A695128-D1EE-4B35-AF65-5489785E9D6F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35"/>
                <a:gd name="T1" fmla="*/ 99 h 101"/>
                <a:gd name="T2" fmla="*/ 7 w 35"/>
                <a:gd name="T3" fmla="*/ 101 h 101"/>
                <a:gd name="T4" fmla="*/ 35 w 35"/>
                <a:gd name="T5" fmla="*/ 0 h 101"/>
                <a:gd name="T6" fmla="*/ 0 w 35"/>
                <a:gd name="T7" fmla="*/ 99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0" y="99"/>
                  </a:moveTo>
                  <a:lnTo>
                    <a:pt x="7" y="101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3" name="Freeform 255">
              <a:extLst>
                <a:ext uri="{FF2B5EF4-FFF2-40B4-BE49-F238E27FC236}">
                  <a16:creationId xmlns:a16="http://schemas.microsoft.com/office/drawing/2014/main" id="{71B4F3F5-30E2-4933-A7B3-9935BC16CCD8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8"/>
                <a:gd name="T1" fmla="*/ 101 h 103"/>
                <a:gd name="T2" fmla="*/ 7 w 28"/>
                <a:gd name="T3" fmla="*/ 103 h 103"/>
                <a:gd name="T4" fmla="*/ 28 w 28"/>
                <a:gd name="T5" fmla="*/ 0 h 103"/>
                <a:gd name="T6" fmla="*/ 0 w 28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0" y="101"/>
                  </a:moveTo>
                  <a:lnTo>
                    <a:pt x="7" y="103"/>
                  </a:lnTo>
                  <a:lnTo>
                    <a:pt x="28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4" name="Freeform 256">
              <a:extLst>
                <a:ext uri="{FF2B5EF4-FFF2-40B4-BE49-F238E27FC236}">
                  <a16:creationId xmlns:a16="http://schemas.microsoft.com/office/drawing/2014/main" id="{4D60F5B8-1519-4643-A949-B4411B11F30C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1"/>
                <a:gd name="T1" fmla="*/ 103 h 104"/>
                <a:gd name="T2" fmla="*/ 7 w 21"/>
                <a:gd name="T3" fmla="*/ 104 h 104"/>
                <a:gd name="T4" fmla="*/ 21 w 21"/>
                <a:gd name="T5" fmla="*/ 0 h 104"/>
                <a:gd name="T6" fmla="*/ 0 w 21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4">
                  <a:moveTo>
                    <a:pt x="0" y="103"/>
                  </a:moveTo>
                  <a:lnTo>
                    <a:pt x="7" y="104"/>
                  </a:lnTo>
                  <a:lnTo>
                    <a:pt x="21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5" name="Freeform 257">
              <a:extLst>
                <a:ext uri="{FF2B5EF4-FFF2-40B4-BE49-F238E27FC236}">
                  <a16:creationId xmlns:a16="http://schemas.microsoft.com/office/drawing/2014/main" id="{87FCC52F-97C1-45A1-A891-1A7BDD07AA8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14"/>
                <a:gd name="T1" fmla="*/ 104 h 105"/>
                <a:gd name="T2" fmla="*/ 7 w 14"/>
                <a:gd name="T3" fmla="*/ 105 h 105"/>
                <a:gd name="T4" fmla="*/ 14 w 14"/>
                <a:gd name="T5" fmla="*/ 0 h 105"/>
                <a:gd name="T6" fmla="*/ 0 w 14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0" y="104"/>
                  </a:moveTo>
                  <a:lnTo>
                    <a:pt x="7" y="105"/>
                  </a:lnTo>
                  <a:lnTo>
                    <a:pt x="14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6" name="Freeform 258">
              <a:extLst>
                <a:ext uri="{FF2B5EF4-FFF2-40B4-BE49-F238E27FC236}">
                  <a16:creationId xmlns:a16="http://schemas.microsoft.com/office/drawing/2014/main" id="{8067EED0-C892-4155-8859-B753935E7CD6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7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7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7" name="Freeform 259">
              <a:extLst>
                <a:ext uri="{FF2B5EF4-FFF2-40B4-BE49-F238E27FC236}">
                  <a16:creationId xmlns:a16="http://schemas.microsoft.com/office/drawing/2014/main" id="{EAB94D59-0E63-49C5-89A6-6993A0F24CA1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8" name="Freeform 260">
              <a:extLst>
                <a:ext uri="{FF2B5EF4-FFF2-40B4-BE49-F238E27FC236}">
                  <a16:creationId xmlns:a16="http://schemas.microsoft.com/office/drawing/2014/main" id="{DE4EC1EF-C360-4F97-BCE9-5614E30D2BB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9" name="Freeform 261">
              <a:extLst>
                <a:ext uri="{FF2B5EF4-FFF2-40B4-BE49-F238E27FC236}">
                  <a16:creationId xmlns:a16="http://schemas.microsoft.com/office/drawing/2014/main" id="{6E0B7601-4531-4DAC-A5B4-A30F24C3BEA1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0" name="Freeform 262">
              <a:extLst>
                <a:ext uri="{FF2B5EF4-FFF2-40B4-BE49-F238E27FC236}">
                  <a16:creationId xmlns:a16="http://schemas.microsoft.com/office/drawing/2014/main" id="{64D5E265-3317-40FB-B3B3-122D8824F1A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2 w 29"/>
                <a:gd name="T1" fmla="*/ 103 h 103"/>
                <a:gd name="T2" fmla="*/ 29 w 29"/>
                <a:gd name="T3" fmla="*/ 101 h 103"/>
                <a:gd name="T4" fmla="*/ 0 w 29"/>
                <a:gd name="T5" fmla="*/ 0 h 103"/>
                <a:gd name="T6" fmla="*/ 22 w 29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2" y="103"/>
                  </a:moveTo>
                  <a:lnTo>
                    <a:pt x="29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1" name="Freeform 263">
              <a:extLst>
                <a:ext uri="{FF2B5EF4-FFF2-40B4-BE49-F238E27FC236}">
                  <a16:creationId xmlns:a16="http://schemas.microsoft.com/office/drawing/2014/main" id="{3AFDE7CF-6CA7-4431-9D15-3755B3C53D1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9 w 35"/>
                <a:gd name="T1" fmla="*/ 101 h 101"/>
                <a:gd name="T2" fmla="*/ 35 w 35"/>
                <a:gd name="T3" fmla="*/ 99 h 101"/>
                <a:gd name="T4" fmla="*/ 0 w 35"/>
                <a:gd name="T5" fmla="*/ 0 h 101"/>
                <a:gd name="T6" fmla="*/ 29 w 35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29" y="101"/>
                  </a:moveTo>
                  <a:lnTo>
                    <a:pt x="35" y="99"/>
                  </a:lnTo>
                  <a:lnTo>
                    <a:pt x="0" y="0"/>
                  </a:lnTo>
                  <a:lnTo>
                    <a:pt x="29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2" name="Freeform 264">
              <a:extLst>
                <a:ext uri="{FF2B5EF4-FFF2-40B4-BE49-F238E27FC236}">
                  <a16:creationId xmlns:a16="http://schemas.microsoft.com/office/drawing/2014/main" id="{EBD206B3-602F-4A22-ABAD-98A073D45EA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2"/>
            </a:xfrm>
            <a:custGeom>
              <a:avLst/>
              <a:gdLst>
                <a:gd name="T0" fmla="*/ 35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5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5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5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3" name="Freeform 265">
              <a:extLst>
                <a:ext uri="{FF2B5EF4-FFF2-40B4-BE49-F238E27FC236}">
                  <a16:creationId xmlns:a16="http://schemas.microsoft.com/office/drawing/2014/main" id="{A1002ECA-36A1-4AFB-AF52-353EB58C1666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2 w 49"/>
                <a:gd name="T1" fmla="*/ 96 h 96"/>
                <a:gd name="T2" fmla="*/ 49 w 49"/>
                <a:gd name="T3" fmla="*/ 93 h 96"/>
                <a:gd name="T4" fmla="*/ 0 w 49"/>
                <a:gd name="T5" fmla="*/ 0 h 96"/>
                <a:gd name="T6" fmla="*/ 42 w 49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6">
                  <a:moveTo>
                    <a:pt x="42" y="96"/>
                  </a:moveTo>
                  <a:lnTo>
                    <a:pt x="49" y="93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4" name="Freeform 266">
              <a:extLst>
                <a:ext uri="{FF2B5EF4-FFF2-40B4-BE49-F238E27FC236}">
                  <a16:creationId xmlns:a16="http://schemas.microsoft.com/office/drawing/2014/main" id="{7B0FC5A2-04F5-4585-93E0-6A9178FC967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9 w 55"/>
                <a:gd name="T1" fmla="*/ 93 h 93"/>
                <a:gd name="T2" fmla="*/ 55 w 55"/>
                <a:gd name="T3" fmla="*/ 90 h 93"/>
                <a:gd name="T4" fmla="*/ 0 w 55"/>
                <a:gd name="T5" fmla="*/ 0 h 93"/>
                <a:gd name="T6" fmla="*/ 49 w 55"/>
                <a:gd name="T7" fmla="*/ 93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3">
                  <a:moveTo>
                    <a:pt x="49" y="93"/>
                  </a:moveTo>
                  <a:lnTo>
                    <a:pt x="55" y="90"/>
                  </a:lnTo>
                  <a:lnTo>
                    <a:pt x="0" y="0"/>
                  </a:lnTo>
                  <a:lnTo>
                    <a:pt x="49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5" name="Freeform 267">
              <a:extLst>
                <a:ext uri="{FF2B5EF4-FFF2-40B4-BE49-F238E27FC236}">
                  <a16:creationId xmlns:a16="http://schemas.microsoft.com/office/drawing/2014/main" id="{A2966E67-76FD-4F4D-BA89-B3F6F567743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55 w 61"/>
                <a:gd name="T1" fmla="*/ 90 h 90"/>
                <a:gd name="T2" fmla="*/ 61 w 61"/>
                <a:gd name="T3" fmla="*/ 86 h 90"/>
                <a:gd name="T4" fmla="*/ 0 w 61"/>
                <a:gd name="T5" fmla="*/ 0 h 90"/>
                <a:gd name="T6" fmla="*/ 55 w 61"/>
                <a:gd name="T7" fmla="*/ 9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55" y="90"/>
                  </a:moveTo>
                  <a:lnTo>
                    <a:pt x="61" y="86"/>
                  </a:lnTo>
                  <a:lnTo>
                    <a:pt x="0" y="0"/>
                  </a:lnTo>
                  <a:lnTo>
                    <a:pt x="55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6" name="Freeform 268">
              <a:extLst>
                <a:ext uri="{FF2B5EF4-FFF2-40B4-BE49-F238E27FC236}">
                  <a16:creationId xmlns:a16="http://schemas.microsoft.com/office/drawing/2014/main" id="{A96F5E88-06FB-4CE8-A484-34BD85151D3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1 w 67"/>
                <a:gd name="T1" fmla="*/ 86 h 86"/>
                <a:gd name="T2" fmla="*/ 67 w 67"/>
                <a:gd name="T3" fmla="*/ 81 h 86"/>
                <a:gd name="T4" fmla="*/ 0 w 67"/>
                <a:gd name="T5" fmla="*/ 0 h 86"/>
                <a:gd name="T6" fmla="*/ 61 w 67"/>
                <a:gd name="T7" fmla="*/ 86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1" y="86"/>
                  </a:moveTo>
                  <a:lnTo>
                    <a:pt x="67" y="81"/>
                  </a:lnTo>
                  <a:lnTo>
                    <a:pt x="0" y="0"/>
                  </a:lnTo>
                  <a:lnTo>
                    <a:pt x="61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7" name="Freeform 269">
              <a:extLst>
                <a:ext uri="{FF2B5EF4-FFF2-40B4-BE49-F238E27FC236}">
                  <a16:creationId xmlns:a16="http://schemas.microsoft.com/office/drawing/2014/main" id="{BC9B34FF-B340-44F8-973C-08C38DA5C3E5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7 w 72"/>
                <a:gd name="T1" fmla="*/ 81 h 81"/>
                <a:gd name="T2" fmla="*/ 72 w 72"/>
                <a:gd name="T3" fmla="*/ 77 h 81"/>
                <a:gd name="T4" fmla="*/ 0 w 72"/>
                <a:gd name="T5" fmla="*/ 0 h 81"/>
                <a:gd name="T6" fmla="*/ 67 w 72"/>
                <a:gd name="T7" fmla="*/ 81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67" y="81"/>
                  </a:moveTo>
                  <a:lnTo>
                    <a:pt x="72" y="77"/>
                  </a:lnTo>
                  <a:lnTo>
                    <a:pt x="0" y="0"/>
                  </a:lnTo>
                  <a:lnTo>
                    <a:pt x="67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8" name="Freeform 270">
              <a:extLst>
                <a:ext uri="{FF2B5EF4-FFF2-40B4-BE49-F238E27FC236}">
                  <a16:creationId xmlns:a16="http://schemas.microsoft.com/office/drawing/2014/main" id="{DF34CAD3-8F42-4AD4-8D94-8375A6ABD681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2 w 77"/>
                <a:gd name="T1" fmla="*/ 77 h 77"/>
                <a:gd name="T2" fmla="*/ 77 w 77"/>
                <a:gd name="T3" fmla="*/ 72 h 77"/>
                <a:gd name="T4" fmla="*/ 0 w 77"/>
                <a:gd name="T5" fmla="*/ 0 h 77"/>
                <a:gd name="T6" fmla="*/ 72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2" y="77"/>
                  </a:moveTo>
                  <a:lnTo>
                    <a:pt x="77" y="72"/>
                  </a:lnTo>
                  <a:lnTo>
                    <a:pt x="0" y="0"/>
                  </a:lnTo>
                  <a:lnTo>
                    <a:pt x="72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9" name="Freeform 271">
              <a:extLst>
                <a:ext uri="{FF2B5EF4-FFF2-40B4-BE49-F238E27FC236}">
                  <a16:creationId xmlns:a16="http://schemas.microsoft.com/office/drawing/2014/main" id="{E4A2523A-D4EB-4246-8AB4-2436E3F2F197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7 w 82"/>
                <a:gd name="T1" fmla="*/ 72 h 72"/>
                <a:gd name="T2" fmla="*/ 82 w 82"/>
                <a:gd name="T3" fmla="*/ 66 h 72"/>
                <a:gd name="T4" fmla="*/ 0 w 82"/>
                <a:gd name="T5" fmla="*/ 0 h 72"/>
                <a:gd name="T6" fmla="*/ 77 w 82"/>
                <a:gd name="T7" fmla="*/ 72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77" y="72"/>
                  </a:moveTo>
                  <a:lnTo>
                    <a:pt x="82" y="66"/>
                  </a:lnTo>
                  <a:lnTo>
                    <a:pt x="0" y="0"/>
                  </a:lnTo>
                  <a:lnTo>
                    <a:pt x="77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0" name="Freeform 272">
              <a:extLst>
                <a:ext uri="{FF2B5EF4-FFF2-40B4-BE49-F238E27FC236}">
                  <a16:creationId xmlns:a16="http://schemas.microsoft.com/office/drawing/2014/main" id="{6F81C020-D6B2-4A61-AE3B-504FF9F1A1F3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2 w 86"/>
                <a:gd name="T1" fmla="*/ 66 h 66"/>
                <a:gd name="T2" fmla="*/ 86 w 86"/>
                <a:gd name="T3" fmla="*/ 60 h 66"/>
                <a:gd name="T4" fmla="*/ 0 w 86"/>
                <a:gd name="T5" fmla="*/ 0 h 66"/>
                <a:gd name="T6" fmla="*/ 82 w 86"/>
                <a:gd name="T7" fmla="*/ 66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82" y="66"/>
                  </a:moveTo>
                  <a:lnTo>
                    <a:pt x="86" y="60"/>
                  </a:lnTo>
                  <a:lnTo>
                    <a:pt x="0" y="0"/>
                  </a:lnTo>
                  <a:lnTo>
                    <a:pt x="82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1" name="Freeform 273">
              <a:extLst>
                <a:ext uri="{FF2B5EF4-FFF2-40B4-BE49-F238E27FC236}">
                  <a16:creationId xmlns:a16="http://schemas.microsoft.com/office/drawing/2014/main" id="{1FFAE6FA-4561-49B1-9E52-ED80DE1AA5B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6 w 90"/>
                <a:gd name="T1" fmla="*/ 60 h 60"/>
                <a:gd name="T2" fmla="*/ 90 w 90"/>
                <a:gd name="T3" fmla="*/ 54 h 60"/>
                <a:gd name="T4" fmla="*/ 0 w 90"/>
                <a:gd name="T5" fmla="*/ 0 h 60"/>
                <a:gd name="T6" fmla="*/ 86 w 90"/>
                <a:gd name="T7" fmla="*/ 60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86" y="60"/>
                  </a:moveTo>
                  <a:lnTo>
                    <a:pt x="90" y="54"/>
                  </a:lnTo>
                  <a:lnTo>
                    <a:pt x="0" y="0"/>
                  </a:lnTo>
                  <a:lnTo>
                    <a:pt x="86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2" name="Freeform 274">
              <a:extLst>
                <a:ext uri="{FF2B5EF4-FFF2-40B4-BE49-F238E27FC236}">
                  <a16:creationId xmlns:a16="http://schemas.microsoft.com/office/drawing/2014/main" id="{9EE98B86-88FC-40E6-9F39-BC6613C01FF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0 w 94"/>
                <a:gd name="T1" fmla="*/ 54 h 54"/>
                <a:gd name="T2" fmla="*/ 94 w 94"/>
                <a:gd name="T3" fmla="*/ 48 h 54"/>
                <a:gd name="T4" fmla="*/ 0 w 94"/>
                <a:gd name="T5" fmla="*/ 0 h 54"/>
                <a:gd name="T6" fmla="*/ 90 w 94"/>
                <a:gd name="T7" fmla="*/ 54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4">
                  <a:moveTo>
                    <a:pt x="90" y="54"/>
                  </a:moveTo>
                  <a:lnTo>
                    <a:pt x="94" y="48"/>
                  </a:lnTo>
                  <a:lnTo>
                    <a:pt x="0" y="0"/>
                  </a:lnTo>
                  <a:lnTo>
                    <a:pt x="9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3" name="Freeform 275">
              <a:extLst>
                <a:ext uri="{FF2B5EF4-FFF2-40B4-BE49-F238E27FC236}">
                  <a16:creationId xmlns:a16="http://schemas.microsoft.com/office/drawing/2014/main" id="{0FDFFFB4-23F2-4AA7-A3AC-6007ADF5619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4 w 97"/>
                <a:gd name="T1" fmla="*/ 48 h 48"/>
                <a:gd name="T2" fmla="*/ 97 w 97"/>
                <a:gd name="T3" fmla="*/ 42 h 48"/>
                <a:gd name="T4" fmla="*/ 0 w 97"/>
                <a:gd name="T5" fmla="*/ 0 h 48"/>
                <a:gd name="T6" fmla="*/ 94 w 97"/>
                <a:gd name="T7" fmla="*/ 48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8">
                  <a:moveTo>
                    <a:pt x="94" y="48"/>
                  </a:moveTo>
                  <a:lnTo>
                    <a:pt x="97" y="42"/>
                  </a:lnTo>
                  <a:lnTo>
                    <a:pt x="0" y="0"/>
                  </a:lnTo>
                  <a:lnTo>
                    <a:pt x="94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4" name="Freeform 276">
              <a:extLst>
                <a:ext uri="{FF2B5EF4-FFF2-40B4-BE49-F238E27FC236}">
                  <a16:creationId xmlns:a16="http://schemas.microsoft.com/office/drawing/2014/main" id="{97D55B42-D195-443E-A863-83AF5DCF8573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7 w 99"/>
                <a:gd name="T1" fmla="*/ 42 h 42"/>
                <a:gd name="T2" fmla="*/ 99 w 99"/>
                <a:gd name="T3" fmla="*/ 35 h 42"/>
                <a:gd name="T4" fmla="*/ 0 w 99"/>
                <a:gd name="T5" fmla="*/ 0 h 42"/>
                <a:gd name="T6" fmla="*/ 97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7" y="42"/>
                  </a:moveTo>
                  <a:lnTo>
                    <a:pt x="99" y="35"/>
                  </a:lnTo>
                  <a:lnTo>
                    <a:pt x="0" y="0"/>
                  </a:lnTo>
                  <a:lnTo>
                    <a:pt x="97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5" name="Freeform 277">
              <a:extLst>
                <a:ext uri="{FF2B5EF4-FFF2-40B4-BE49-F238E27FC236}">
                  <a16:creationId xmlns:a16="http://schemas.microsoft.com/office/drawing/2014/main" id="{A48F3B09-19BB-4E30-8E15-CEE774B7AC81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99 w 102"/>
                <a:gd name="T1" fmla="*/ 35 h 35"/>
                <a:gd name="T2" fmla="*/ 102 w 102"/>
                <a:gd name="T3" fmla="*/ 28 h 35"/>
                <a:gd name="T4" fmla="*/ 0 w 102"/>
                <a:gd name="T5" fmla="*/ 0 h 35"/>
                <a:gd name="T6" fmla="*/ 99 w 102"/>
                <a:gd name="T7" fmla="*/ 35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99" y="35"/>
                  </a:moveTo>
                  <a:lnTo>
                    <a:pt x="102" y="28"/>
                  </a:lnTo>
                  <a:lnTo>
                    <a:pt x="0" y="0"/>
                  </a:lnTo>
                  <a:lnTo>
                    <a:pt x="99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6" name="Freeform 278">
              <a:extLst>
                <a:ext uri="{FF2B5EF4-FFF2-40B4-BE49-F238E27FC236}">
                  <a16:creationId xmlns:a16="http://schemas.microsoft.com/office/drawing/2014/main" id="{5FB28685-2B05-4C7B-A835-B710481C8F73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2 w 103"/>
                <a:gd name="T1" fmla="*/ 28 h 28"/>
                <a:gd name="T2" fmla="*/ 103 w 103"/>
                <a:gd name="T3" fmla="*/ 21 h 28"/>
                <a:gd name="T4" fmla="*/ 0 w 103"/>
                <a:gd name="T5" fmla="*/ 0 h 28"/>
                <a:gd name="T6" fmla="*/ 102 w 103"/>
                <a:gd name="T7" fmla="*/ 28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102" y="28"/>
                  </a:moveTo>
                  <a:lnTo>
                    <a:pt x="103" y="21"/>
                  </a:lnTo>
                  <a:lnTo>
                    <a:pt x="0" y="0"/>
                  </a:lnTo>
                  <a:lnTo>
                    <a:pt x="102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7" name="Freeform 279">
              <a:extLst>
                <a:ext uri="{FF2B5EF4-FFF2-40B4-BE49-F238E27FC236}">
                  <a16:creationId xmlns:a16="http://schemas.microsoft.com/office/drawing/2014/main" id="{E8CDC65F-A46D-4E4F-8E44-5A42FA105C0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3 w 104"/>
                <a:gd name="T1" fmla="*/ 21 h 21"/>
                <a:gd name="T2" fmla="*/ 104 w 104"/>
                <a:gd name="T3" fmla="*/ 14 h 21"/>
                <a:gd name="T4" fmla="*/ 0 w 104"/>
                <a:gd name="T5" fmla="*/ 0 h 21"/>
                <a:gd name="T6" fmla="*/ 103 w 104"/>
                <a:gd name="T7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103" y="21"/>
                  </a:moveTo>
                  <a:lnTo>
                    <a:pt x="104" y="14"/>
                  </a:lnTo>
                  <a:lnTo>
                    <a:pt x="0" y="0"/>
                  </a:lnTo>
                  <a:lnTo>
                    <a:pt x="103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8" name="Freeform 280">
              <a:extLst>
                <a:ext uri="{FF2B5EF4-FFF2-40B4-BE49-F238E27FC236}">
                  <a16:creationId xmlns:a16="http://schemas.microsoft.com/office/drawing/2014/main" id="{B2E9657D-D1F1-43FF-AEBD-9638274511D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4 w 105"/>
                <a:gd name="T1" fmla="*/ 14 h 14"/>
                <a:gd name="T2" fmla="*/ 105 w 105"/>
                <a:gd name="T3" fmla="*/ 7 h 14"/>
                <a:gd name="T4" fmla="*/ 0 w 105"/>
                <a:gd name="T5" fmla="*/ 0 h 14"/>
                <a:gd name="T6" fmla="*/ 104 w 105"/>
                <a:gd name="T7" fmla="*/ 14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104" y="14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9" name="Freeform 281">
              <a:extLst>
                <a:ext uri="{FF2B5EF4-FFF2-40B4-BE49-F238E27FC236}">
                  <a16:creationId xmlns:a16="http://schemas.microsoft.com/office/drawing/2014/main" id="{32CED559-75A5-4374-A81A-7FEF0A89A0E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0" name="Freeform 282">
              <a:extLst>
                <a:ext uri="{FF2B5EF4-FFF2-40B4-BE49-F238E27FC236}">
                  <a16:creationId xmlns:a16="http://schemas.microsoft.com/office/drawing/2014/main" id="{88F5818E-825F-43F4-8970-B847D4E2A4D3}"/>
                </a:ext>
              </a:extLst>
            </xdr:cNvPr>
            <xdr:cNvSpPr>
              <a:spLocks/>
            </xdr:cNvSpPr>
          </xdr:nvSpPr>
          <xdr:spPr bwMode="auto">
            <a:xfrm>
              <a:off x="1017" y="188"/>
              <a:ext cx="6" cy="9"/>
            </a:xfrm>
            <a:custGeom>
              <a:avLst/>
              <a:gdLst>
                <a:gd name="T0" fmla="*/ 351 w 351"/>
                <a:gd name="T1" fmla="*/ 439 h 526"/>
                <a:gd name="T2" fmla="*/ 264 w 351"/>
                <a:gd name="T3" fmla="*/ 526 h 526"/>
                <a:gd name="T4" fmla="*/ 87 w 351"/>
                <a:gd name="T5" fmla="*/ 526 h 526"/>
                <a:gd name="T6" fmla="*/ 0 w 351"/>
                <a:gd name="T7" fmla="*/ 439 h 526"/>
                <a:gd name="T8" fmla="*/ 0 w 351"/>
                <a:gd name="T9" fmla="*/ 88 h 526"/>
                <a:gd name="T10" fmla="*/ 87 w 351"/>
                <a:gd name="T11" fmla="*/ 0 h 526"/>
                <a:gd name="T12" fmla="*/ 264 w 351"/>
                <a:gd name="T13" fmla="*/ 0 h 526"/>
                <a:gd name="T14" fmla="*/ 351 w 351"/>
                <a:gd name="T15" fmla="*/ 88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351" h="526">
                  <a:moveTo>
                    <a:pt x="351" y="439"/>
                  </a:moveTo>
                  <a:lnTo>
                    <a:pt x="264" y="526"/>
                  </a:lnTo>
                  <a:lnTo>
                    <a:pt x="87" y="526"/>
                  </a:lnTo>
                  <a:lnTo>
                    <a:pt x="0" y="439"/>
                  </a:lnTo>
                  <a:lnTo>
                    <a:pt x="0" y="88"/>
                  </a:lnTo>
                  <a:lnTo>
                    <a:pt x="87" y="0"/>
                  </a:lnTo>
                  <a:lnTo>
                    <a:pt x="264" y="0"/>
                  </a:lnTo>
                  <a:lnTo>
                    <a:pt x="351" y="88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71" name="Freeform 283">
              <a:extLst>
                <a:ext uri="{FF2B5EF4-FFF2-40B4-BE49-F238E27FC236}">
                  <a16:creationId xmlns:a16="http://schemas.microsoft.com/office/drawing/2014/main" id="{2D880696-4939-43C5-8E69-165C2FCD53E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8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8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2" name="Freeform 284">
              <a:extLst>
                <a:ext uri="{FF2B5EF4-FFF2-40B4-BE49-F238E27FC236}">
                  <a16:creationId xmlns:a16="http://schemas.microsoft.com/office/drawing/2014/main" id="{B7CF1DF9-0097-44C9-8C05-4084AE27CA6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7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3" name="Freeform 285">
              <a:extLst>
                <a:ext uri="{FF2B5EF4-FFF2-40B4-BE49-F238E27FC236}">
                  <a16:creationId xmlns:a16="http://schemas.microsoft.com/office/drawing/2014/main" id="{25FA864F-C468-4940-8AFA-BA8B968D4F20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4 w 104"/>
                <a:gd name="T1" fmla="*/ 8 h 23"/>
                <a:gd name="T2" fmla="*/ 103 w 104"/>
                <a:gd name="T3" fmla="*/ 0 h 23"/>
                <a:gd name="T4" fmla="*/ 0 w 104"/>
                <a:gd name="T5" fmla="*/ 23 h 23"/>
                <a:gd name="T6" fmla="*/ 104 w 104"/>
                <a:gd name="T7" fmla="*/ 8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04" y="8"/>
                  </a:moveTo>
                  <a:lnTo>
                    <a:pt x="103" y="0"/>
                  </a:lnTo>
                  <a:lnTo>
                    <a:pt x="0" y="23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4" name="Freeform 286">
              <a:extLst>
                <a:ext uri="{FF2B5EF4-FFF2-40B4-BE49-F238E27FC236}">
                  <a16:creationId xmlns:a16="http://schemas.microsoft.com/office/drawing/2014/main" id="{8DFFA3D3-6552-441A-9B9A-F7D0FAF8C0E9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3 w 103"/>
                <a:gd name="T1" fmla="*/ 7 h 30"/>
                <a:gd name="T2" fmla="*/ 101 w 103"/>
                <a:gd name="T3" fmla="*/ 0 h 30"/>
                <a:gd name="T4" fmla="*/ 0 w 103"/>
                <a:gd name="T5" fmla="*/ 30 h 30"/>
                <a:gd name="T6" fmla="*/ 103 w 103"/>
                <a:gd name="T7" fmla="*/ 7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103" y="7"/>
                  </a:moveTo>
                  <a:lnTo>
                    <a:pt x="101" y="0"/>
                  </a:lnTo>
                  <a:lnTo>
                    <a:pt x="0" y="30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5" name="Freeform 287">
              <a:extLst>
                <a:ext uri="{FF2B5EF4-FFF2-40B4-BE49-F238E27FC236}">
                  <a16:creationId xmlns:a16="http://schemas.microsoft.com/office/drawing/2014/main" id="{B8DB910A-7BD8-4A57-BDD2-3AFC868F8104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1 w 101"/>
                <a:gd name="T1" fmla="*/ 7 h 37"/>
                <a:gd name="T2" fmla="*/ 99 w 101"/>
                <a:gd name="T3" fmla="*/ 0 h 37"/>
                <a:gd name="T4" fmla="*/ 0 w 101"/>
                <a:gd name="T5" fmla="*/ 37 h 37"/>
                <a:gd name="T6" fmla="*/ 101 w 101"/>
                <a:gd name="T7" fmla="*/ 7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101" y="7"/>
                  </a:moveTo>
                  <a:lnTo>
                    <a:pt x="99" y="0"/>
                  </a:lnTo>
                  <a:lnTo>
                    <a:pt x="0" y="37"/>
                  </a:lnTo>
                  <a:lnTo>
                    <a:pt x="101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6" name="Freeform 288">
              <a:extLst>
                <a:ext uri="{FF2B5EF4-FFF2-40B4-BE49-F238E27FC236}">
                  <a16:creationId xmlns:a16="http://schemas.microsoft.com/office/drawing/2014/main" id="{6D9EB5B4-AB21-4C0E-8590-3009B04B0ABF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9 w 99"/>
                <a:gd name="T1" fmla="*/ 7 h 44"/>
                <a:gd name="T2" fmla="*/ 96 w 99"/>
                <a:gd name="T3" fmla="*/ 0 h 44"/>
                <a:gd name="T4" fmla="*/ 0 w 99"/>
                <a:gd name="T5" fmla="*/ 44 h 44"/>
                <a:gd name="T6" fmla="*/ 99 w 99"/>
                <a:gd name="T7" fmla="*/ 7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99" y="7"/>
                  </a:moveTo>
                  <a:lnTo>
                    <a:pt x="96" y="0"/>
                  </a:lnTo>
                  <a:lnTo>
                    <a:pt x="0" y="44"/>
                  </a:lnTo>
                  <a:lnTo>
                    <a:pt x="99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7" name="Freeform 289">
              <a:extLst>
                <a:ext uri="{FF2B5EF4-FFF2-40B4-BE49-F238E27FC236}">
                  <a16:creationId xmlns:a16="http://schemas.microsoft.com/office/drawing/2014/main" id="{5D9FED55-FA32-495B-9746-C520ACB80E8B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6 w 96"/>
                <a:gd name="T1" fmla="*/ 7 h 51"/>
                <a:gd name="T2" fmla="*/ 92 w 96"/>
                <a:gd name="T3" fmla="*/ 0 h 51"/>
                <a:gd name="T4" fmla="*/ 0 w 96"/>
                <a:gd name="T5" fmla="*/ 51 h 51"/>
                <a:gd name="T6" fmla="*/ 96 w 96"/>
                <a:gd name="T7" fmla="*/ 7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96" y="7"/>
                  </a:moveTo>
                  <a:lnTo>
                    <a:pt x="92" y="0"/>
                  </a:lnTo>
                  <a:lnTo>
                    <a:pt x="0" y="51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8" name="Freeform 290">
              <a:extLst>
                <a:ext uri="{FF2B5EF4-FFF2-40B4-BE49-F238E27FC236}">
                  <a16:creationId xmlns:a16="http://schemas.microsoft.com/office/drawing/2014/main" id="{3F6461B8-C73D-40CC-9D6D-6BF813E156A2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2 w 92"/>
                <a:gd name="T1" fmla="*/ 6 h 57"/>
                <a:gd name="T2" fmla="*/ 88 w 92"/>
                <a:gd name="T3" fmla="*/ 0 h 57"/>
                <a:gd name="T4" fmla="*/ 0 w 92"/>
                <a:gd name="T5" fmla="*/ 57 h 57"/>
                <a:gd name="T6" fmla="*/ 92 w 92"/>
                <a:gd name="T7" fmla="*/ 6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92" y="6"/>
                  </a:moveTo>
                  <a:lnTo>
                    <a:pt x="88" y="0"/>
                  </a:lnTo>
                  <a:lnTo>
                    <a:pt x="0" y="57"/>
                  </a:lnTo>
                  <a:lnTo>
                    <a:pt x="92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9" name="Freeform 291">
              <a:extLst>
                <a:ext uri="{FF2B5EF4-FFF2-40B4-BE49-F238E27FC236}">
                  <a16:creationId xmlns:a16="http://schemas.microsoft.com/office/drawing/2014/main" id="{02257495-0331-4994-8489-0B68842C6FF1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8 w 88"/>
                <a:gd name="T1" fmla="*/ 6 h 63"/>
                <a:gd name="T2" fmla="*/ 84 w 88"/>
                <a:gd name="T3" fmla="*/ 0 h 63"/>
                <a:gd name="T4" fmla="*/ 0 w 88"/>
                <a:gd name="T5" fmla="*/ 63 h 63"/>
                <a:gd name="T6" fmla="*/ 88 w 88"/>
                <a:gd name="T7" fmla="*/ 6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8" y="6"/>
                  </a:moveTo>
                  <a:lnTo>
                    <a:pt x="84" y="0"/>
                  </a:lnTo>
                  <a:lnTo>
                    <a:pt x="0" y="63"/>
                  </a:lnTo>
                  <a:lnTo>
                    <a:pt x="88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0" name="Freeform 292">
              <a:extLst>
                <a:ext uri="{FF2B5EF4-FFF2-40B4-BE49-F238E27FC236}">
                  <a16:creationId xmlns:a16="http://schemas.microsoft.com/office/drawing/2014/main" id="{2D01D566-234A-4AFC-942F-CB1552540EF4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4 w 84"/>
                <a:gd name="T1" fmla="*/ 6 h 69"/>
                <a:gd name="T2" fmla="*/ 79 w 84"/>
                <a:gd name="T3" fmla="*/ 0 h 69"/>
                <a:gd name="T4" fmla="*/ 0 w 84"/>
                <a:gd name="T5" fmla="*/ 69 h 69"/>
                <a:gd name="T6" fmla="*/ 84 w 84"/>
                <a:gd name="T7" fmla="*/ 6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84" y="6"/>
                  </a:moveTo>
                  <a:lnTo>
                    <a:pt x="79" y="0"/>
                  </a:lnTo>
                  <a:lnTo>
                    <a:pt x="0" y="69"/>
                  </a:lnTo>
                  <a:lnTo>
                    <a:pt x="8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1" name="Freeform 293">
              <a:extLst>
                <a:ext uri="{FF2B5EF4-FFF2-40B4-BE49-F238E27FC236}">
                  <a16:creationId xmlns:a16="http://schemas.microsoft.com/office/drawing/2014/main" id="{41C126BC-1E01-4F95-8A6D-FC1BA15BBAC7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79 w 79"/>
                <a:gd name="T1" fmla="*/ 6 h 75"/>
                <a:gd name="T2" fmla="*/ 74 w 79"/>
                <a:gd name="T3" fmla="*/ 0 h 75"/>
                <a:gd name="T4" fmla="*/ 0 w 79"/>
                <a:gd name="T5" fmla="*/ 75 h 75"/>
                <a:gd name="T6" fmla="*/ 79 w 79"/>
                <a:gd name="T7" fmla="*/ 6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5">
                  <a:moveTo>
                    <a:pt x="79" y="6"/>
                  </a:moveTo>
                  <a:lnTo>
                    <a:pt x="74" y="0"/>
                  </a:lnTo>
                  <a:lnTo>
                    <a:pt x="0" y="75"/>
                  </a:lnTo>
                  <a:lnTo>
                    <a:pt x="7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2" name="Freeform 294">
              <a:extLst>
                <a:ext uri="{FF2B5EF4-FFF2-40B4-BE49-F238E27FC236}">
                  <a16:creationId xmlns:a16="http://schemas.microsoft.com/office/drawing/2014/main" id="{0C7645AE-60D4-4C98-8D5E-E2E333B55FBB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74 w 74"/>
                <a:gd name="T1" fmla="*/ 5 h 80"/>
                <a:gd name="T2" fmla="*/ 69 w 74"/>
                <a:gd name="T3" fmla="*/ 0 h 80"/>
                <a:gd name="T4" fmla="*/ 0 w 74"/>
                <a:gd name="T5" fmla="*/ 80 h 80"/>
                <a:gd name="T6" fmla="*/ 74 w 74"/>
                <a:gd name="T7" fmla="*/ 5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74" y="5"/>
                  </a:moveTo>
                  <a:lnTo>
                    <a:pt x="69" y="0"/>
                  </a:lnTo>
                  <a:lnTo>
                    <a:pt x="0" y="80"/>
                  </a:lnTo>
                  <a:lnTo>
                    <a:pt x="74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3" name="Freeform 295">
              <a:extLst>
                <a:ext uri="{FF2B5EF4-FFF2-40B4-BE49-F238E27FC236}">
                  <a16:creationId xmlns:a16="http://schemas.microsoft.com/office/drawing/2014/main" id="{AE22483B-3ED3-490B-ABE8-9D978F397FB5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9 w 69"/>
                <a:gd name="T1" fmla="*/ 5 h 85"/>
                <a:gd name="T2" fmla="*/ 63 w 69"/>
                <a:gd name="T3" fmla="*/ 0 h 85"/>
                <a:gd name="T4" fmla="*/ 0 w 69"/>
                <a:gd name="T5" fmla="*/ 85 h 85"/>
                <a:gd name="T6" fmla="*/ 69 w 69"/>
                <a:gd name="T7" fmla="*/ 5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9" y="5"/>
                  </a:moveTo>
                  <a:lnTo>
                    <a:pt x="63" y="0"/>
                  </a:lnTo>
                  <a:lnTo>
                    <a:pt x="0" y="85"/>
                  </a:lnTo>
                  <a:lnTo>
                    <a:pt x="69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4" name="Freeform 296">
              <a:extLst>
                <a:ext uri="{FF2B5EF4-FFF2-40B4-BE49-F238E27FC236}">
                  <a16:creationId xmlns:a16="http://schemas.microsoft.com/office/drawing/2014/main" id="{F46606CE-6CBB-4967-B51B-7EC438343538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3 w 63"/>
                <a:gd name="T1" fmla="*/ 4 h 89"/>
                <a:gd name="T2" fmla="*/ 57 w 63"/>
                <a:gd name="T3" fmla="*/ 0 h 89"/>
                <a:gd name="T4" fmla="*/ 0 w 63"/>
                <a:gd name="T5" fmla="*/ 89 h 89"/>
                <a:gd name="T6" fmla="*/ 63 w 63"/>
                <a:gd name="T7" fmla="*/ 4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3" y="4"/>
                  </a:moveTo>
                  <a:lnTo>
                    <a:pt x="57" y="0"/>
                  </a:lnTo>
                  <a:lnTo>
                    <a:pt x="0" y="89"/>
                  </a:lnTo>
                  <a:lnTo>
                    <a:pt x="63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5" name="Freeform 297">
              <a:extLst>
                <a:ext uri="{FF2B5EF4-FFF2-40B4-BE49-F238E27FC236}">
                  <a16:creationId xmlns:a16="http://schemas.microsoft.com/office/drawing/2014/main" id="{A3EA0EED-5F8C-4D20-A22E-A195FA8F984D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57 w 57"/>
                <a:gd name="T1" fmla="*/ 4 h 93"/>
                <a:gd name="T2" fmla="*/ 50 w 57"/>
                <a:gd name="T3" fmla="*/ 0 h 93"/>
                <a:gd name="T4" fmla="*/ 0 w 57"/>
                <a:gd name="T5" fmla="*/ 93 h 93"/>
                <a:gd name="T6" fmla="*/ 57 w 57"/>
                <a:gd name="T7" fmla="*/ 4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57" y="4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6" name="Freeform 298">
              <a:extLst>
                <a:ext uri="{FF2B5EF4-FFF2-40B4-BE49-F238E27FC236}">
                  <a16:creationId xmlns:a16="http://schemas.microsoft.com/office/drawing/2014/main" id="{CC5520E5-4EA7-4E95-B31C-F0B09943EA9E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50 w 50"/>
                <a:gd name="T1" fmla="*/ 3 h 96"/>
                <a:gd name="T2" fmla="*/ 44 w 50"/>
                <a:gd name="T3" fmla="*/ 0 h 96"/>
                <a:gd name="T4" fmla="*/ 0 w 50"/>
                <a:gd name="T5" fmla="*/ 96 h 96"/>
                <a:gd name="T6" fmla="*/ 50 w 50"/>
                <a:gd name="T7" fmla="*/ 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50" y="3"/>
                  </a:moveTo>
                  <a:lnTo>
                    <a:pt x="44" y="0"/>
                  </a:lnTo>
                  <a:lnTo>
                    <a:pt x="0" y="96"/>
                  </a:lnTo>
                  <a:lnTo>
                    <a:pt x="50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7" name="Freeform 299">
              <a:extLst>
                <a:ext uri="{FF2B5EF4-FFF2-40B4-BE49-F238E27FC236}">
                  <a16:creationId xmlns:a16="http://schemas.microsoft.com/office/drawing/2014/main" id="{C12AAD7E-EB61-4B07-A51C-7C295879E253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44 w 44"/>
                <a:gd name="T1" fmla="*/ 3 h 99"/>
                <a:gd name="T2" fmla="*/ 37 w 44"/>
                <a:gd name="T3" fmla="*/ 0 h 99"/>
                <a:gd name="T4" fmla="*/ 0 w 44"/>
                <a:gd name="T5" fmla="*/ 99 h 99"/>
                <a:gd name="T6" fmla="*/ 44 w 44"/>
                <a:gd name="T7" fmla="*/ 3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44" y="3"/>
                  </a:moveTo>
                  <a:lnTo>
                    <a:pt x="37" y="0"/>
                  </a:lnTo>
                  <a:lnTo>
                    <a:pt x="0" y="99"/>
                  </a:lnTo>
                  <a:lnTo>
                    <a:pt x="44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8" name="Freeform 300">
              <a:extLst>
                <a:ext uri="{FF2B5EF4-FFF2-40B4-BE49-F238E27FC236}">
                  <a16:creationId xmlns:a16="http://schemas.microsoft.com/office/drawing/2014/main" id="{352A382A-E5CE-4C8D-868E-4075B4902787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7 w 37"/>
                <a:gd name="T1" fmla="*/ 2 h 101"/>
                <a:gd name="T2" fmla="*/ 30 w 37"/>
                <a:gd name="T3" fmla="*/ 0 h 101"/>
                <a:gd name="T4" fmla="*/ 0 w 37"/>
                <a:gd name="T5" fmla="*/ 101 h 101"/>
                <a:gd name="T6" fmla="*/ 37 w 37"/>
                <a:gd name="T7" fmla="*/ 2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7" y="2"/>
                  </a:moveTo>
                  <a:lnTo>
                    <a:pt x="30" y="0"/>
                  </a:lnTo>
                  <a:lnTo>
                    <a:pt x="0" y="101"/>
                  </a:lnTo>
                  <a:lnTo>
                    <a:pt x="37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9" name="Freeform 301">
              <a:extLst>
                <a:ext uri="{FF2B5EF4-FFF2-40B4-BE49-F238E27FC236}">
                  <a16:creationId xmlns:a16="http://schemas.microsoft.com/office/drawing/2014/main" id="{A7E50AAF-AD40-40FF-BE3D-C76C5BF010DD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0 w 30"/>
                <a:gd name="T1" fmla="*/ 2 h 103"/>
                <a:gd name="T2" fmla="*/ 22 w 30"/>
                <a:gd name="T3" fmla="*/ 0 h 103"/>
                <a:gd name="T4" fmla="*/ 0 w 30"/>
                <a:gd name="T5" fmla="*/ 103 h 103"/>
                <a:gd name="T6" fmla="*/ 30 w 30"/>
                <a:gd name="T7" fmla="*/ 2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30" y="2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30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0" name="Freeform 302">
              <a:extLst>
                <a:ext uri="{FF2B5EF4-FFF2-40B4-BE49-F238E27FC236}">
                  <a16:creationId xmlns:a16="http://schemas.microsoft.com/office/drawing/2014/main" id="{DB17B419-D938-4480-A200-B158F453181A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1" name="Freeform 303">
              <a:extLst>
                <a:ext uri="{FF2B5EF4-FFF2-40B4-BE49-F238E27FC236}">
                  <a16:creationId xmlns:a16="http://schemas.microsoft.com/office/drawing/2014/main" id="{455F3BF8-6CF2-4B8B-BE17-5BFF47A02632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2" name="Freeform 304">
              <a:extLst>
                <a:ext uri="{FF2B5EF4-FFF2-40B4-BE49-F238E27FC236}">
                  <a16:creationId xmlns:a16="http://schemas.microsoft.com/office/drawing/2014/main" id="{401716A1-8842-4179-91C8-D8619D67CDF4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3" name="Freeform 305">
              <a:extLst>
                <a:ext uri="{FF2B5EF4-FFF2-40B4-BE49-F238E27FC236}">
                  <a16:creationId xmlns:a16="http://schemas.microsoft.com/office/drawing/2014/main" id="{7D12DFCB-B003-4B75-85BA-9B53D92D0FA0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8 w 8"/>
                <a:gd name="T1" fmla="*/ 0 h 106"/>
                <a:gd name="T2" fmla="*/ 0 w 8"/>
                <a:gd name="T3" fmla="*/ 1 h 106"/>
                <a:gd name="T4" fmla="*/ 8 w 8"/>
                <a:gd name="T5" fmla="*/ 106 h 106"/>
                <a:gd name="T6" fmla="*/ 8 w 8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6">
                  <a:moveTo>
                    <a:pt x="8" y="0"/>
                  </a:moveTo>
                  <a:lnTo>
                    <a:pt x="0" y="1"/>
                  </a:lnTo>
                  <a:lnTo>
                    <a:pt x="8" y="106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4" name="Freeform 306">
              <a:extLst>
                <a:ext uri="{FF2B5EF4-FFF2-40B4-BE49-F238E27FC236}">
                  <a16:creationId xmlns:a16="http://schemas.microsoft.com/office/drawing/2014/main" id="{0E5AAD3C-E5A1-4F4D-8065-D6E504F3E1A2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15"/>
                <a:gd name="T1" fmla="*/ 0 h 105"/>
                <a:gd name="T2" fmla="*/ 0 w 15"/>
                <a:gd name="T3" fmla="*/ 0 h 105"/>
                <a:gd name="T4" fmla="*/ 15 w 15"/>
                <a:gd name="T5" fmla="*/ 105 h 105"/>
                <a:gd name="T6" fmla="*/ 7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0"/>
                  </a:moveTo>
                  <a:lnTo>
                    <a:pt x="0" y="0"/>
                  </a:lnTo>
                  <a:lnTo>
                    <a:pt x="15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5" name="Freeform 307">
              <a:extLst>
                <a:ext uri="{FF2B5EF4-FFF2-40B4-BE49-F238E27FC236}">
                  <a16:creationId xmlns:a16="http://schemas.microsoft.com/office/drawing/2014/main" id="{82A9A0C5-D065-4C22-A17F-EE5A2CA6B47E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22"/>
                <a:gd name="T1" fmla="*/ 0 h 105"/>
                <a:gd name="T2" fmla="*/ 0 w 22"/>
                <a:gd name="T3" fmla="*/ 2 h 105"/>
                <a:gd name="T4" fmla="*/ 22 w 22"/>
                <a:gd name="T5" fmla="*/ 105 h 105"/>
                <a:gd name="T6" fmla="*/ 7 w 22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7" y="0"/>
                  </a:moveTo>
                  <a:lnTo>
                    <a:pt x="0" y="2"/>
                  </a:lnTo>
                  <a:lnTo>
                    <a:pt x="22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6" name="Freeform 308">
              <a:extLst>
                <a:ext uri="{FF2B5EF4-FFF2-40B4-BE49-F238E27FC236}">
                  <a16:creationId xmlns:a16="http://schemas.microsoft.com/office/drawing/2014/main" id="{C23F9CB1-B46E-4EA8-88FC-5F9CFCB1DB40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8 w 30"/>
                <a:gd name="T1" fmla="*/ 0 h 103"/>
                <a:gd name="T2" fmla="*/ 0 w 30"/>
                <a:gd name="T3" fmla="*/ 2 h 103"/>
                <a:gd name="T4" fmla="*/ 30 w 30"/>
                <a:gd name="T5" fmla="*/ 103 h 103"/>
                <a:gd name="T6" fmla="*/ 8 w 30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8" y="0"/>
                  </a:moveTo>
                  <a:lnTo>
                    <a:pt x="0" y="2"/>
                  </a:lnTo>
                  <a:lnTo>
                    <a:pt x="30" y="10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7" name="Freeform 309">
              <a:extLst>
                <a:ext uri="{FF2B5EF4-FFF2-40B4-BE49-F238E27FC236}">
                  <a16:creationId xmlns:a16="http://schemas.microsoft.com/office/drawing/2014/main" id="{55961197-0B9C-4503-BDE4-64D16B90894C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37"/>
                <a:gd name="T1" fmla="*/ 0 h 101"/>
                <a:gd name="T2" fmla="*/ 0 w 37"/>
                <a:gd name="T3" fmla="*/ 2 h 101"/>
                <a:gd name="T4" fmla="*/ 37 w 37"/>
                <a:gd name="T5" fmla="*/ 101 h 101"/>
                <a:gd name="T6" fmla="*/ 7 w 37"/>
                <a:gd name="T7" fmla="*/ 0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7" y="0"/>
                  </a:moveTo>
                  <a:lnTo>
                    <a:pt x="0" y="2"/>
                  </a:lnTo>
                  <a:lnTo>
                    <a:pt x="37" y="10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8" name="Freeform 310">
              <a:extLst>
                <a:ext uri="{FF2B5EF4-FFF2-40B4-BE49-F238E27FC236}">
                  <a16:creationId xmlns:a16="http://schemas.microsoft.com/office/drawing/2014/main" id="{4720889C-EACE-4D34-9E4F-D9F159C7B4FF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44"/>
                <a:gd name="T1" fmla="*/ 0 h 99"/>
                <a:gd name="T2" fmla="*/ 0 w 44"/>
                <a:gd name="T3" fmla="*/ 3 h 99"/>
                <a:gd name="T4" fmla="*/ 44 w 44"/>
                <a:gd name="T5" fmla="*/ 99 h 99"/>
                <a:gd name="T6" fmla="*/ 7 w 44"/>
                <a:gd name="T7" fmla="*/ 0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7" y="0"/>
                  </a:moveTo>
                  <a:lnTo>
                    <a:pt x="0" y="3"/>
                  </a:lnTo>
                  <a:lnTo>
                    <a:pt x="44" y="99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9" name="Freeform 311">
              <a:extLst>
                <a:ext uri="{FF2B5EF4-FFF2-40B4-BE49-F238E27FC236}">
                  <a16:creationId xmlns:a16="http://schemas.microsoft.com/office/drawing/2014/main" id="{26745328-F484-467F-B284-7461D971698D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50"/>
                <a:gd name="T1" fmla="*/ 0 h 96"/>
                <a:gd name="T2" fmla="*/ 0 w 50"/>
                <a:gd name="T3" fmla="*/ 3 h 96"/>
                <a:gd name="T4" fmla="*/ 50 w 50"/>
                <a:gd name="T5" fmla="*/ 96 h 96"/>
                <a:gd name="T6" fmla="*/ 6 w 50"/>
                <a:gd name="T7" fmla="*/ 0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6" y="0"/>
                  </a:moveTo>
                  <a:lnTo>
                    <a:pt x="0" y="3"/>
                  </a:lnTo>
                  <a:lnTo>
                    <a:pt x="50" y="9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0" name="Freeform 312">
              <a:extLst>
                <a:ext uri="{FF2B5EF4-FFF2-40B4-BE49-F238E27FC236}">
                  <a16:creationId xmlns:a16="http://schemas.microsoft.com/office/drawing/2014/main" id="{070166FB-A51B-4F4C-A54D-E00D6CEDB58E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57"/>
                <a:gd name="T1" fmla="*/ 0 h 93"/>
                <a:gd name="T2" fmla="*/ 0 w 57"/>
                <a:gd name="T3" fmla="*/ 4 h 93"/>
                <a:gd name="T4" fmla="*/ 57 w 57"/>
                <a:gd name="T5" fmla="*/ 93 h 93"/>
                <a:gd name="T6" fmla="*/ 7 w 57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7" y="0"/>
                  </a:moveTo>
                  <a:lnTo>
                    <a:pt x="0" y="4"/>
                  </a:lnTo>
                  <a:lnTo>
                    <a:pt x="57" y="9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1" name="Freeform 313">
              <a:extLst>
                <a:ext uri="{FF2B5EF4-FFF2-40B4-BE49-F238E27FC236}">
                  <a16:creationId xmlns:a16="http://schemas.microsoft.com/office/drawing/2014/main" id="{3DB5069A-EC5A-4511-B5A1-4559D884B67C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63"/>
                <a:gd name="T1" fmla="*/ 0 h 89"/>
                <a:gd name="T2" fmla="*/ 0 w 63"/>
                <a:gd name="T3" fmla="*/ 4 h 89"/>
                <a:gd name="T4" fmla="*/ 63 w 63"/>
                <a:gd name="T5" fmla="*/ 89 h 89"/>
                <a:gd name="T6" fmla="*/ 6 w 63"/>
                <a:gd name="T7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" y="0"/>
                  </a:moveTo>
                  <a:lnTo>
                    <a:pt x="0" y="4"/>
                  </a:lnTo>
                  <a:lnTo>
                    <a:pt x="63" y="89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2" name="Freeform 314">
              <a:extLst>
                <a:ext uri="{FF2B5EF4-FFF2-40B4-BE49-F238E27FC236}">
                  <a16:creationId xmlns:a16="http://schemas.microsoft.com/office/drawing/2014/main" id="{97D9E955-4C4B-4B0F-9A1A-B368DC5E56C2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6 w 69"/>
                <a:gd name="T1" fmla="*/ 0 h 85"/>
                <a:gd name="T2" fmla="*/ 0 w 69"/>
                <a:gd name="T3" fmla="*/ 5 h 85"/>
                <a:gd name="T4" fmla="*/ 69 w 69"/>
                <a:gd name="T5" fmla="*/ 85 h 85"/>
                <a:gd name="T6" fmla="*/ 6 w 69"/>
                <a:gd name="T7" fmla="*/ 0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" y="0"/>
                  </a:moveTo>
                  <a:lnTo>
                    <a:pt x="0" y="5"/>
                  </a:lnTo>
                  <a:lnTo>
                    <a:pt x="69" y="8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3" name="Freeform 315">
              <a:extLst>
                <a:ext uri="{FF2B5EF4-FFF2-40B4-BE49-F238E27FC236}">
                  <a16:creationId xmlns:a16="http://schemas.microsoft.com/office/drawing/2014/main" id="{FB7A58C6-9EF4-4D25-904B-3725E8D998A1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5 w 74"/>
                <a:gd name="T1" fmla="*/ 0 h 80"/>
                <a:gd name="T2" fmla="*/ 0 w 74"/>
                <a:gd name="T3" fmla="*/ 5 h 80"/>
                <a:gd name="T4" fmla="*/ 74 w 74"/>
                <a:gd name="T5" fmla="*/ 80 h 80"/>
                <a:gd name="T6" fmla="*/ 5 w 74"/>
                <a:gd name="T7" fmla="*/ 0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5" y="0"/>
                  </a:moveTo>
                  <a:lnTo>
                    <a:pt x="0" y="5"/>
                  </a:lnTo>
                  <a:lnTo>
                    <a:pt x="74" y="8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4" name="Freeform 316">
              <a:extLst>
                <a:ext uri="{FF2B5EF4-FFF2-40B4-BE49-F238E27FC236}">
                  <a16:creationId xmlns:a16="http://schemas.microsoft.com/office/drawing/2014/main" id="{696A9BC7-DB0D-4731-B2C2-6140C1C98A0F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6 w 80"/>
                <a:gd name="T1" fmla="*/ 0 h 75"/>
                <a:gd name="T2" fmla="*/ 0 w 80"/>
                <a:gd name="T3" fmla="*/ 6 h 75"/>
                <a:gd name="T4" fmla="*/ 80 w 80"/>
                <a:gd name="T5" fmla="*/ 75 h 75"/>
                <a:gd name="T6" fmla="*/ 6 w 80"/>
                <a:gd name="T7" fmla="*/ 0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5">
                  <a:moveTo>
                    <a:pt x="6" y="0"/>
                  </a:moveTo>
                  <a:lnTo>
                    <a:pt x="0" y="6"/>
                  </a:lnTo>
                  <a:lnTo>
                    <a:pt x="80" y="7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5" name="Freeform 317">
              <a:extLst>
                <a:ext uri="{FF2B5EF4-FFF2-40B4-BE49-F238E27FC236}">
                  <a16:creationId xmlns:a16="http://schemas.microsoft.com/office/drawing/2014/main" id="{BADE2991-38E3-4171-B26F-FDF1ACD4A36C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84"/>
                <a:gd name="T1" fmla="*/ 0 h 69"/>
                <a:gd name="T2" fmla="*/ 0 w 84"/>
                <a:gd name="T3" fmla="*/ 6 h 69"/>
                <a:gd name="T4" fmla="*/ 84 w 84"/>
                <a:gd name="T5" fmla="*/ 69 h 69"/>
                <a:gd name="T6" fmla="*/ 4 w 84"/>
                <a:gd name="T7" fmla="*/ 0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4" y="0"/>
                  </a:moveTo>
                  <a:lnTo>
                    <a:pt x="0" y="6"/>
                  </a:lnTo>
                  <a:lnTo>
                    <a:pt x="84" y="69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6" name="Freeform 318">
              <a:extLst>
                <a:ext uri="{FF2B5EF4-FFF2-40B4-BE49-F238E27FC236}">
                  <a16:creationId xmlns:a16="http://schemas.microsoft.com/office/drawing/2014/main" id="{8E00BBC9-3C7B-4CC6-99A5-F82260FCCAA3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5 w 89"/>
                <a:gd name="T1" fmla="*/ 0 h 63"/>
                <a:gd name="T2" fmla="*/ 0 w 89"/>
                <a:gd name="T3" fmla="*/ 6 h 63"/>
                <a:gd name="T4" fmla="*/ 89 w 89"/>
                <a:gd name="T5" fmla="*/ 63 h 63"/>
                <a:gd name="T6" fmla="*/ 5 w 89"/>
                <a:gd name="T7" fmla="*/ 0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5" y="0"/>
                  </a:moveTo>
                  <a:lnTo>
                    <a:pt x="0" y="6"/>
                  </a:lnTo>
                  <a:lnTo>
                    <a:pt x="89" y="63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7" name="Freeform 319">
              <a:extLst>
                <a:ext uri="{FF2B5EF4-FFF2-40B4-BE49-F238E27FC236}">
                  <a16:creationId xmlns:a16="http://schemas.microsoft.com/office/drawing/2014/main" id="{A9AF5F2B-EE0E-4E77-968C-603E47E56D2F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2"/>
                <a:gd name="T1" fmla="*/ 0 h 57"/>
                <a:gd name="T2" fmla="*/ 0 w 92"/>
                <a:gd name="T3" fmla="*/ 6 h 57"/>
                <a:gd name="T4" fmla="*/ 92 w 92"/>
                <a:gd name="T5" fmla="*/ 57 h 57"/>
                <a:gd name="T6" fmla="*/ 3 w 92"/>
                <a:gd name="T7" fmla="*/ 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3" y="0"/>
                  </a:moveTo>
                  <a:lnTo>
                    <a:pt x="0" y="6"/>
                  </a:lnTo>
                  <a:lnTo>
                    <a:pt x="92" y="57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8" name="Freeform 320">
              <a:extLst>
                <a:ext uri="{FF2B5EF4-FFF2-40B4-BE49-F238E27FC236}">
                  <a16:creationId xmlns:a16="http://schemas.microsoft.com/office/drawing/2014/main" id="{B68EB47A-0135-452F-98F2-75E2A072E747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96"/>
                <a:gd name="T1" fmla="*/ 0 h 51"/>
                <a:gd name="T2" fmla="*/ 0 w 96"/>
                <a:gd name="T3" fmla="*/ 7 h 51"/>
                <a:gd name="T4" fmla="*/ 96 w 96"/>
                <a:gd name="T5" fmla="*/ 51 h 51"/>
                <a:gd name="T6" fmla="*/ 4 w 96"/>
                <a:gd name="T7" fmla="*/ 0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4" y="0"/>
                  </a:moveTo>
                  <a:lnTo>
                    <a:pt x="0" y="7"/>
                  </a:lnTo>
                  <a:lnTo>
                    <a:pt x="96" y="5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9" name="Freeform 321">
              <a:extLst>
                <a:ext uri="{FF2B5EF4-FFF2-40B4-BE49-F238E27FC236}">
                  <a16:creationId xmlns:a16="http://schemas.microsoft.com/office/drawing/2014/main" id="{15AE034A-77D7-487D-9D07-481F2F0CB2AA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9"/>
                <a:gd name="T1" fmla="*/ 0 h 44"/>
                <a:gd name="T2" fmla="*/ 0 w 99"/>
                <a:gd name="T3" fmla="*/ 7 h 44"/>
                <a:gd name="T4" fmla="*/ 99 w 99"/>
                <a:gd name="T5" fmla="*/ 44 h 44"/>
                <a:gd name="T6" fmla="*/ 3 w 99"/>
                <a:gd name="T7" fmla="*/ 0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3" y="0"/>
                  </a:moveTo>
                  <a:lnTo>
                    <a:pt x="0" y="7"/>
                  </a:lnTo>
                  <a:lnTo>
                    <a:pt x="99" y="44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0" name="Freeform 322">
              <a:extLst>
                <a:ext uri="{FF2B5EF4-FFF2-40B4-BE49-F238E27FC236}">
                  <a16:creationId xmlns:a16="http://schemas.microsoft.com/office/drawing/2014/main" id="{05FB24D7-B382-43A5-AEDD-651640853D67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1"/>
                <a:gd name="T1" fmla="*/ 0 h 37"/>
                <a:gd name="T2" fmla="*/ 0 w 101"/>
                <a:gd name="T3" fmla="*/ 7 h 37"/>
                <a:gd name="T4" fmla="*/ 101 w 101"/>
                <a:gd name="T5" fmla="*/ 37 h 37"/>
                <a:gd name="T6" fmla="*/ 2 w 101"/>
                <a:gd name="T7" fmla="*/ 0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2" y="0"/>
                  </a:moveTo>
                  <a:lnTo>
                    <a:pt x="0" y="7"/>
                  </a:lnTo>
                  <a:lnTo>
                    <a:pt x="101" y="37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1" name="Freeform 323">
              <a:extLst>
                <a:ext uri="{FF2B5EF4-FFF2-40B4-BE49-F238E27FC236}">
                  <a16:creationId xmlns:a16="http://schemas.microsoft.com/office/drawing/2014/main" id="{3C330578-36F5-4BB7-B745-FE5ECC93AB26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3"/>
                <a:gd name="T1" fmla="*/ 0 h 30"/>
                <a:gd name="T2" fmla="*/ 0 w 103"/>
                <a:gd name="T3" fmla="*/ 7 h 30"/>
                <a:gd name="T4" fmla="*/ 103 w 103"/>
                <a:gd name="T5" fmla="*/ 30 h 30"/>
                <a:gd name="T6" fmla="*/ 2 w 103"/>
                <a:gd name="T7" fmla="*/ 0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2" y="0"/>
                  </a:moveTo>
                  <a:lnTo>
                    <a:pt x="0" y="7"/>
                  </a:lnTo>
                  <a:lnTo>
                    <a:pt x="103" y="3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2" name="Freeform 324">
              <a:extLst>
                <a:ext uri="{FF2B5EF4-FFF2-40B4-BE49-F238E27FC236}">
                  <a16:creationId xmlns:a16="http://schemas.microsoft.com/office/drawing/2014/main" id="{92EDE746-1FCB-4813-8F74-F92EC3597FF5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1 w 104"/>
                <a:gd name="T1" fmla="*/ 0 h 23"/>
                <a:gd name="T2" fmla="*/ 0 w 104"/>
                <a:gd name="T3" fmla="*/ 8 h 23"/>
                <a:gd name="T4" fmla="*/ 104 w 104"/>
                <a:gd name="T5" fmla="*/ 23 h 23"/>
                <a:gd name="T6" fmla="*/ 1 w 104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" y="0"/>
                  </a:moveTo>
                  <a:lnTo>
                    <a:pt x="0" y="8"/>
                  </a:lnTo>
                  <a:lnTo>
                    <a:pt x="104" y="2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3" name="Freeform 325">
              <a:extLst>
                <a:ext uri="{FF2B5EF4-FFF2-40B4-BE49-F238E27FC236}">
                  <a16:creationId xmlns:a16="http://schemas.microsoft.com/office/drawing/2014/main" id="{029C3F52-CCD7-4C6C-A301-E4B4C95A4488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7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7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4" name="Freeform 326">
              <a:extLst>
                <a:ext uri="{FF2B5EF4-FFF2-40B4-BE49-F238E27FC236}">
                  <a16:creationId xmlns:a16="http://schemas.microsoft.com/office/drawing/2014/main" id="{869C8656-370F-4687-9287-6B5F204E1E2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8"/>
                <a:gd name="T2" fmla="*/ 0 w 105"/>
                <a:gd name="T3" fmla="*/ 8 h 8"/>
                <a:gd name="T4" fmla="*/ 105 w 105"/>
                <a:gd name="T5" fmla="*/ 8 h 8"/>
                <a:gd name="T6" fmla="*/ 0 w 105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0" y="0"/>
                  </a:moveTo>
                  <a:lnTo>
                    <a:pt x="0" y="8"/>
                  </a:lnTo>
                  <a:lnTo>
                    <a:pt x="105" y="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5" name="Freeform 327">
              <a:extLst>
                <a:ext uri="{FF2B5EF4-FFF2-40B4-BE49-F238E27FC236}">
                  <a16:creationId xmlns:a16="http://schemas.microsoft.com/office/drawing/2014/main" id="{21D9D369-48B4-40BA-8D23-F8032B5518CB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6" name="Freeform 328">
              <a:extLst>
                <a:ext uri="{FF2B5EF4-FFF2-40B4-BE49-F238E27FC236}">
                  <a16:creationId xmlns:a16="http://schemas.microsoft.com/office/drawing/2014/main" id="{CDFCF733-FD54-49B6-8FAB-CC523C8C4EB8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7 h 15"/>
                <a:gd name="T2" fmla="*/ 1 w 105"/>
                <a:gd name="T3" fmla="*/ 15 h 15"/>
                <a:gd name="T4" fmla="*/ 105 w 105"/>
                <a:gd name="T5" fmla="*/ 0 h 15"/>
                <a:gd name="T6" fmla="*/ 0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0" y="7"/>
                  </a:moveTo>
                  <a:lnTo>
                    <a:pt x="1" y="15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7" name="Freeform 329">
              <a:extLst>
                <a:ext uri="{FF2B5EF4-FFF2-40B4-BE49-F238E27FC236}">
                  <a16:creationId xmlns:a16="http://schemas.microsoft.com/office/drawing/2014/main" id="{C2485E06-C236-47ED-9BCC-ACDBA4D43163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4"/>
                <a:gd name="T1" fmla="*/ 15 h 22"/>
                <a:gd name="T2" fmla="*/ 1 w 104"/>
                <a:gd name="T3" fmla="*/ 22 h 22"/>
                <a:gd name="T4" fmla="*/ 104 w 104"/>
                <a:gd name="T5" fmla="*/ 0 h 22"/>
                <a:gd name="T6" fmla="*/ 0 w 104"/>
                <a:gd name="T7" fmla="*/ 15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0" y="15"/>
                  </a:moveTo>
                  <a:lnTo>
                    <a:pt x="1" y="22"/>
                  </a:lnTo>
                  <a:lnTo>
                    <a:pt x="104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8" name="Freeform 330">
              <a:extLst>
                <a:ext uri="{FF2B5EF4-FFF2-40B4-BE49-F238E27FC236}">
                  <a16:creationId xmlns:a16="http://schemas.microsoft.com/office/drawing/2014/main" id="{79258473-642B-4B1D-B465-1E9F3DDBE0E5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3"/>
                <a:gd name="T1" fmla="*/ 22 h 29"/>
                <a:gd name="T2" fmla="*/ 2 w 103"/>
                <a:gd name="T3" fmla="*/ 29 h 29"/>
                <a:gd name="T4" fmla="*/ 103 w 103"/>
                <a:gd name="T5" fmla="*/ 0 h 29"/>
                <a:gd name="T6" fmla="*/ 0 w 103"/>
                <a:gd name="T7" fmla="*/ 22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0" y="22"/>
                  </a:moveTo>
                  <a:lnTo>
                    <a:pt x="2" y="29"/>
                  </a:lnTo>
                  <a:lnTo>
                    <a:pt x="103" y="0"/>
                  </a:lnTo>
                  <a:lnTo>
                    <a:pt x="0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9" name="Freeform 331">
              <a:extLst>
                <a:ext uri="{FF2B5EF4-FFF2-40B4-BE49-F238E27FC236}">
                  <a16:creationId xmlns:a16="http://schemas.microsoft.com/office/drawing/2014/main" id="{AF119615-F540-4931-ACB5-AE7F715FEE15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1"/>
                <a:gd name="T1" fmla="*/ 29 h 36"/>
                <a:gd name="T2" fmla="*/ 2 w 101"/>
                <a:gd name="T3" fmla="*/ 36 h 36"/>
                <a:gd name="T4" fmla="*/ 101 w 101"/>
                <a:gd name="T5" fmla="*/ 0 h 36"/>
                <a:gd name="T6" fmla="*/ 0 w 101"/>
                <a:gd name="T7" fmla="*/ 29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0" y="29"/>
                  </a:moveTo>
                  <a:lnTo>
                    <a:pt x="2" y="36"/>
                  </a:lnTo>
                  <a:lnTo>
                    <a:pt x="101" y="0"/>
                  </a:lnTo>
                  <a:lnTo>
                    <a:pt x="0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0" name="Freeform 332">
              <a:extLst>
                <a:ext uri="{FF2B5EF4-FFF2-40B4-BE49-F238E27FC236}">
                  <a16:creationId xmlns:a16="http://schemas.microsoft.com/office/drawing/2014/main" id="{0B9E9492-84A8-4279-B129-A726E13C2533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9"/>
                <a:gd name="T1" fmla="*/ 36 h 43"/>
                <a:gd name="T2" fmla="*/ 3 w 99"/>
                <a:gd name="T3" fmla="*/ 43 h 43"/>
                <a:gd name="T4" fmla="*/ 99 w 99"/>
                <a:gd name="T5" fmla="*/ 0 h 43"/>
                <a:gd name="T6" fmla="*/ 0 w 99"/>
                <a:gd name="T7" fmla="*/ 36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0" y="36"/>
                  </a:moveTo>
                  <a:lnTo>
                    <a:pt x="3" y="43"/>
                  </a:lnTo>
                  <a:lnTo>
                    <a:pt x="99" y="0"/>
                  </a:lnTo>
                  <a:lnTo>
                    <a:pt x="0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1" name="Freeform 333">
              <a:extLst>
                <a:ext uri="{FF2B5EF4-FFF2-40B4-BE49-F238E27FC236}">
                  <a16:creationId xmlns:a16="http://schemas.microsoft.com/office/drawing/2014/main" id="{3AA3846D-2246-42C1-AEF7-03A181BC21D2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6"/>
                <a:gd name="T1" fmla="*/ 43 h 50"/>
                <a:gd name="T2" fmla="*/ 4 w 96"/>
                <a:gd name="T3" fmla="*/ 50 h 50"/>
                <a:gd name="T4" fmla="*/ 96 w 96"/>
                <a:gd name="T5" fmla="*/ 0 h 50"/>
                <a:gd name="T6" fmla="*/ 0 w 96"/>
                <a:gd name="T7" fmla="*/ 43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0" y="43"/>
                  </a:moveTo>
                  <a:lnTo>
                    <a:pt x="4" y="50"/>
                  </a:lnTo>
                  <a:lnTo>
                    <a:pt x="96" y="0"/>
                  </a:lnTo>
                  <a:lnTo>
                    <a:pt x="0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2" name="Freeform 334">
              <a:extLst>
                <a:ext uri="{FF2B5EF4-FFF2-40B4-BE49-F238E27FC236}">
                  <a16:creationId xmlns:a16="http://schemas.microsoft.com/office/drawing/2014/main" id="{58ABEEA5-F0AD-48A8-8B2B-01D648884FCC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2"/>
                <a:gd name="T1" fmla="*/ 50 h 57"/>
                <a:gd name="T2" fmla="*/ 3 w 92"/>
                <a:gd name="T3" fmla="*/ 57 h 57"/>
                <a:gd name="T4" fmla="*/ 92 w 92"/>
                <a:gd name="T5" fmla="*/ 0 h 57"/>
                <a:gd name="T6" fmla="*/ 0 w 92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0" y="50"/>
                  </a:moveTo>
                  <a:lnTo>
                    <a:pt x="3" y="57"/>
                  </a:lnTo>
                  <a:lnTo>
                    <a:pt x="92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3" name="Freeform 335">
              <a:extLst>
                <a:ext uri="{FF2B5EF4-FFF2-40B4-BE49-F238E27FC236}">
                  <a16:creationId xmlns:a16="http://schemas.microsoft.com/office/drawing/2014/main" id="{188D86F9-57C4-4CD9-B813-F8916B016DCF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9"/>
                <a:gd name="T1" fmla="*/ 57 h 63"/>
                <a:gd name="T2" fmla="*/ 5 w 89"/>
                <a:gd name="T3" fmla="*/ 63 h 63"/>
                <a:gd name="T4" fmla="*/ 89 w 89"/>
                <a:gd name="T5" fmla="*/ 0 h 63"/>
                <a:gd name="T6" fmla="*/ 0 w 89"/>
                <a:gd name="T7" fmla="*/ 57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0" y="57"/>
                  </a:moveTo>
                  <a:lnTo>
                    <a:pt x="5" y="63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4" name="Freeform 336">
              <a:extLst>
                <a:ext uri="{FF2B5EF4-FFF2-40B4-BE49-F238E27FC236}">
                  <a16:creationId xmlns:a16="http://schemas.microsoft.com/office/drawing/2014/main" id="{81C8E626-341A-44D8-B2DE-C65E837E1E9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4"/>
                <a:gd name="T1" fmla="*/ 63 h 69"/>
                <a:gd name="T2" fmla="*/ 4 w 84"/>
                <a:gd name="T3" fmla="*/ 69 h 69"/>
                <a:gd name="T4" fmla="*/ 84 w 84"/>
                <a:gd name="T5" fmla="*/ 0 h 69"/>
                <a:gd name="T6" fmla="*/ 0 w 84"/>
                <a:gd name="T7" fmla="*/ 63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0" y="63"/>
                  </a:moveTo>
                  <a:lnTo>
                    <a:pt x="4" y="69"/>
                  </a:lnTo>
                  <a:lnTo>
                    <a:pt x="84" y="0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5" name="Freeform 337">
              <a:extLst>
                <a:ext uri="{FF2B5EF4-FFF2-40B4-BE49-F238E27FC236}">
                  <a16:creationId xmlns:a16="http://schemas.microsoft.com/office/drawing/2014/main" id="{C38EC355-D65A-4FEA-9AF5-187BBDF76DD4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0"/>
                <a:gd name="T1" fmla="*/ 69 h 74"/>
                <a:gd name="T2" fmla="*/ 6 w 80"/>
                <a:gd name="T3" fmla="*/ 74 h 74"/>
                <a:gd name="T4" fmla="*/ 80 w 80"/>
                <a:gd name="T5" fmla="*/ 0 h 74"/>
                <a:gd name="T6" fmla="*/ 0 w 80"/>
                <a:gd name="T7" fmla="*/ 69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4">
                  <a:moveTo>
                    <a:pt x="0" y="69"/>
                  </a:moveTo>
                  <a:lnTo>
                    <a:pt x="6" y="74"/>
                  </a:lnTo>
                  <a:lnTo>
                    <a:pt x="80" y="0"/>
                  </a:lnTo>
                  <a:lnTo>
                    <a:pt x="0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6" name="Freeform 338">
              <a:extLst>
                <a:ext uri="{FF2B5EF4-FFF2-40B4-BE49-F238E27FC236}">
                  <a16:creationId xmlns:a16="http://schemas.microsoft.com/office/drawing/2014/main" id="{6F4E8B11-3117-4810-BC59-AEE921CAC69E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74"/>
                <a:gd name="T1" fmla="*/ 74 h 79"/>
                <a:gd name="T2" fmla="*/ 5 w 74"/>
                <a:gd name="T3" fmla="*/ 79 h 79"/>
                <a:gd name="T4" fmla="*/ 74 w 74"/>
                <a:gd name="T5" fmla="*/ 0 h 79"/>
                <a:gd name="T6" fmla="*/ 0 w 74"/>
                <a:gd name="T7" fmla="*/ 74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0" y="74"/>
                  </a:moveTo>
                  <a:lnTo>
                    <a:pt x="5" y="79"/>
                  </a:lnTo>
                  <a:lnTo>
                    <a:pt x="74" y="0"/>
                  </a:lnTo>
                  <a:lnTo>
                    <a:pt x="0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7" name="Freeform 339">
              <a:extLst>
                <a:ext uri="{FF2B5EF4-FFF2-40B4-BE49-F238E27FC236}">
                  <a16:creationId xmlns:a16="http://schemas.microsoft.com/office/drawing/2014/main" id="{C397354D-3F1A-4156-B65C-86640697C4B5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69"/>
                <a:gd name="T1" fmla="*/ 79 h 84"/>
                <a:gd name="T2" fmla="*/ 6 w 69"/>
                <a:gd name="T3" fmla="*/ 84 h 84"/>
                <a:gd name="T4" fmla="*/ 69 w 69"/>
                <a:gd name="T5" fmla="*/ 0 h 84"/>
                <a:gd name="T6" fmla="*/ 0 w 69"/>
                <a:gd name="T7" fmla="*/ 79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0" y="79"/>
                  </a:moveTo>
                  <a:lnTo>
                    <a:pt x="6" y="84"/>
                  </a:lnTo>
                  <a:lnTo>
                    <a:pt x="69" y="0"/>
                  </a:lnTo>
                  <a:lnTo>
                    <a:pt x="0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8" name="Freeform 340">
              <a:extLst>
                <a:ext uri="{FF2B5EF4-FFF2-40B4-BE49-F238E27FC236}">
                  <a16:creationId xmlns:a16="http://schemas.microsoft.com/office/drawing/2014/main" id="{2D81CE00-930F-4C71-9835-8D6EBA8B9D64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63"/>
                <a:gd name="T1" fmla="*/ 84 h 88"/>
                <a:gd name="T2" fmla="*/ 6 w 63"/>
                <a:gd name="T3" fmla="*/ 88 h 88"/>
                <a:gd name="T4" fmla="*/ 63 w 63"/>
                <a:gd name="T5" fmla="*/ 0 h 88"/>
                <a:gd name="T6" fmla="*/ 0 w 63"/>
                <a:gd name="T7" fmla="*/ 84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0" y="84"/>
                  </a:moveTo>
                  <a:lnTo>
                    <a:pt x="6" y="88"/>
                  </a:lnTo>
                  <a:lnTo>
                    <a:pt x="63" y="0"/>
                  </a:lnTo>
                  <a:lnTo>
                    <a:pt x="0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9" name="Freeform 341">
              <a:extLst>
                <a:ext uri="{FF2B5EF4-FFF2-40B4-BE49-F238E27FC236}">
                  <a16:creationId xmlns:a16="http://schemas.microsoft.com/office/drawing/2014/main" id="{726B0461-7288-414F-AA21-897B41355E65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7"/>
                <a:gd name="T1" fmla="*/ 88 h 92"/>
                <a:gd name="T2" fmla="*/ 7 w 57"/>
                <a:gd name="T3" fmla="*/ 92 h 92"/>
                <a:gd name="T4" fmla="*/ 57 w 57"/>
                <a:gd name="T5" fmla="*/ 0 h 92"/>
                <a:gd name="T6" fmla="*/ 0 w 57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0" y="88"/>
                  </a:moveTo>
                  <a:lnTo>
                    <a:pt x="7" y="92"/>
                  </a:lnTo>
                  <a:lnTo>
                    <a:pt x="57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0" name="Freeform 342">
              <a:extLst>
                <a:ext uri="{FF2B5EF4-FFF2-40B4-BE49-F238E27FC236}">
                  <a16:creationId xmlns:a16="http://schemas.microsoft.com/office/drawing/2014/main" id="{757D1520-64BE-4242-ADF1-786E399B3F95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0"/>
                <a:gd name="T1" fmla="*/ 92 h 95"/>
                <a:gd name="T2" fmla="*/ 6 w 50"/>
                <a:gd name="T3" fmla="*/ 95 h 95"/>
                <a:gd name="T4" fmla="*/ 50 w 50"/>
                <a:gd name="T5" fmla="*/ 0 h 95"/>
                <a:gd name="T6" fmla="*/ 0 w 50"/>
                <a:gd name="T7" fmla="*/ 92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0" y="92"/>
                  </a:moveTo>
                  <a:lnTo>
                    <a:pt x="6" y="95"/>
                  </a:lnTo>
                  <a:lnTo>
                    <a:pt x="50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1" name="Freeform 343">
              <a:extLst>
                <a:ext uri="{FF2B5EF4-FFF2-40B4-BE49-F238E27FC236}">
                  <a16:creationId xmlns:a16="http://schemas.microsoft.com/office/drawing/2014/main" id="{BFB6A24D-499D-45FE-A843-98D498DF2739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44"/>
                <a:gd name="T1" fmla="*/ 95 h 98"/>
                <a:gd name="T2" fmla="*/ 7 w 44"/>
                <a:gd name="T3" fmla="*/ 98 h 98"/>
                <a:gd name="T4" fmla="*/ 44 w 44"/>
                <a:gd name="T5" fmla="*/ 0 h 98"/>
                <a:gd name="T6" fmla="*/ 0 w 44"/>
                <a:gd name="T7" fmla="*/ 95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0" y="95"/>
                  </a:moveTo>
                  <a:lnTo>
                    <a:pt x="7" y="98"/>
                  </a:lnTo>
                  <a:lnTo>
                    <a:pt x="44" y="0"/>
                  </a:lnTo>
                  <a:lnTo>
                    <a:pt x="0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2" name="Freeform 344">
              <a:extLst>
                <a:ext uri="{FF2B5EF4-FFF2-40B4-BE49-F238E27FC236}">
                  <a16:creationId xmlns:a16="http://schemas.microsoft.com/office/drawing/2014/main" id="{A1571D63-7CFF-4CC9-98CD-24C4E6412057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7"/>
                <a:gd name="T1" fmla="*/ 98 h 101"/>
                <a:gd name="T2" fmla="*/ 7 w 37"/>
                <a:gd name="T3" fmla="*/ 101 h 101"/>
                <a:gd name="T4" fmla="*/ 37 w 37"/>
                <a:gd name="T5" fmla="*/ 0 h 101"/>
                <a:gd name="T6" fmla="*/ 0 w 37"/>
                <a:gd name="T7" fmla="*/ 98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0" y="98"/>
                  </a:moveTo>
                  <a:lnTo>
                    <a:pt x="7" y="101"/>
                  </a:lnTo>
                  <a:lnTo>
                    <a:pt x="37" y="0"/>
                  </a:lnTo>
                  <a:lnTo>
                    <a:pt x="0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3" name="Freeform 345">
              <a:extLst>
                <a:ext uri="{FF2B5EF4-FFF2-40B4-BE49-F238E27FC236}">
                  <a16:creationId xmlns:a16="http://schemas.microsoft.com/office/drawing/2014/main" id="{8885DDE2-C69E-44BB-974D-85D9BFAA1649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0"/>
                <a:gd name="T1" fmla="*/ 101 h 103"/>
                <a:gd name="T2" fmla="*/ 8 w 30"/>
                <a:gd name="T3" fmla="*/ 103 h 103"/>
                <a:gd name="T4" fmla="*/ 30 w 30"/>
                <a:gd name="T5" fmla="*/ 0 h 103"/>
                <a:gd name="T6" fmla="*/ 0 w 30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0" y="101"/>
                  </a:moveTo>
                  <a:lnTo>
                    <a:pt x="8" y="103"/>
                  </a:lnTo>
                  <a:lnTo>
                    <a:pt x="30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4" name="Freeform 346">
              <a:extLst>
                <a:ext uri="{FF2B5EF4-FFF2-40B4-BE49-F238E27FC236}">
                  <a16:creationId xmlns:a16="http://schemas.microsoft.com/office/drawing/2014/main" id="{F37D7CB5-FA33-47D2-9BA5-FB0BAC7A7CB6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22"/>
                <a:gd name="T1" fmla="*/ 103 h 104"/>
                <a:gd name="T2" fmla="*/ 7 w 22"/>
                <a:gd name="T3" fmla="*/ 104 h 104"/>
                <a:gd name="T4" fmla="*/ 22 w 22"/>
                <a:gd name="T5" fmla="*/ 0 h 104"/>
                <a:gd name="T6" fmla="*/ 0 w 22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0" y="103"/>
                  </a:moveTo>
                  <a:lnTo>
                    <a:pt x="7" y="104"/>
                  </a:lnTo>
                  <a:lnTo>
                    <a:pt x="22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5" name="Freeform 347">
              <a:extLst>
                <a:ext uri="{FF2B5EF4-FFF2-40B4-BE49-F238E27FC236}">
                  <a16:creationId xmlns:a16="http://schemas.microsoft.com/office/drawing/2014/main" id="{A4ECB115-1480-42B9-8387-EA650D76376B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15"/>
                <a:gd name="T1" fmla="*/ 104 h 105"/>
                <a:gd name="T2" fmla="*/ 7 w 15"/>
                <a:gd name="T3" fmla="*/ 105 h 105"/>
                <a:gd name="T4" fmla="*/ 15 w 15"/>
                <a:gd name="T5" fmla="*/ 0 h 105"/>
                <a:gd name="T6" fmla="*/ 0 w 15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0" y="104"/>
                  </a:moveTo>
                  <a:lnTo>
                    <a:pt x="7" y="105"/>
                  </a:lnTo>
                  <a:lnTo>
                    <a:pt x="15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6" name="Freeform 348">
              <a:extLst>
                <a:ext uri="{FF2B5EF4-FFF2-40B4-BE49-F238E27FC236}">
                  <a16:creationId xmlns:a16="http://schemas.microsoft.com/office/drawing/2014/main" id="{0DDFEDDA-9430-458B-91D4-54CCEA8195B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8"/>
                <a:gd name="T1" fmla="*/ 105 h 105"/>
                <a:gd name="T2" fmla="*/ 8 w 8"/>
                <a:gd name="T3" fmla="*/ 105 h 105"/>
                <a:gd name="T4" fmla="*/ 8 w 8"/>
                <a:gd name="T5" fmla="*/ 0 h 105"/>
                <a:gd name="T6" fmla="*/ 0 w 8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5">
                  <a:moveTo>
                    <a:pt x="0" y="105"/>
                  </a:moveTo>
                  <a:lnTo>
                    <a:pt x="8" y="105"/>
                  </a:lnTo>
                  <a:lnTo>
                    <a:pt x="8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7" name="Freeform 349">
              <a:extLst>
                <a:ext uri="{FF2B5EF4-FFF2-40B4-BE49-F238E27FC236}">
                  <a16:creationId xmlns:a16="http://schemas.microsoft.com/office/drawing/2014/main" id="{A97B84C5-9BDA-46FC-BD95-4CCF464EB4F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8" name="Freeform 350">
              <a:extLst>
                <a:ext uri="{FF2B5EF4-FFF2-40B4-BE49-F238E27FC236}">
                  <a16:creationId xmlns:a16="http://schemas.microsoft.com/office/drawing/2014/main" id="{1FF3B990-DD44-490D-9D52-B1A077ACA35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9" name="Freeform 351">
              <a:extLst>
                <a:ext uri="{FF2B5EF4-FFF2-40B4-BE49-F238E27FC236}">
                  <a16:creationId xmlns:a16="http://schemas.microsoft.com/office/drawing/2014/main" id="{C2A4C944-BC25-42FE-B2F5-421AF73CD34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0" name="Freeform 352">
              <a:extLst>
                <a:ext uri="{FF2B5EF4-FFF2-40B4-BE49-F238E27FC236}">
                  <a16:creationId xmlns:a16="http://schemas.microsoft.com/office/drawing/2014/main" id="{A4115C9B-F71D-434E-B1F3-174AA2493BD5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22 w 30"/>
                <a:gd name="T1" fmla="*/ 103 h 103"/>
                <a:gd name="T2" fmla="*/ 30 w 30"/>
                <a:gd name="T3" fmla="*/ 101 h 103"/>
                <a:gd name="T4" fmla="*/ 0 w 30"/>
                <a:gd name="T5" fmla="*/ 0 h 103"/>
                <a:gd name="T6" fmla="*/ 22 w 30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22" y="103"/>
                  </a:moveTo>
                  <a:lnTo>
                    <a:pt x="30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1" name="Freeform 353">
              <a:extLst>
                <a:ext uri="{FF2B5EF4-FFF2-40B4-BE49-F238E27FC236}">
                  <a16:creationId xmlns:a16="http://schemas.microsoft.com/office/drawing/2014/main" id="{DD069C0A-3F5A-43B9-BD31-D11146BA32E6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0 w 37"/>
                <a:gd name="T1" fmla="*/ 101 h 101"/>
                <a:gd name="T2" fmla="*/ 37 w 37"/>
                <a:gd name="T3" fmla="*/ 98 h 101"/>
                <a:gd name="T4" fmla="*/ 0 w 37"/>
                <a:gd name="T5" fmla="*/ 0 h 101"/>
                <a:gd name="T6" fmla="*/ 30 w 37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0" y="101"/>
                  </a:moveTo>
                  <a:lnTo>
                    <a:pt x="37" y="98"/>
                  </a:lnTo>
                  <a:lnTo>
                    <a:pt x="0" y="0"/>
                  </a:lnTo>
                  <a:lnTo>
                    <a:pt x="3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2" name="Freeform 354">
              <a:extLst>
                <a:ext uri="{FF2B5EF4-FFF2-40B4-BE49-F238E27FC236}">
                  <a16:creationId xmlns:a16="http://schemas.microsoft.com/office/drawing/2014/main" id="{E3E3555D-F82A-4A5B-9E08-87198E1C8866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7 w 44"/>
                <a:gd name="T1" fmla="*/ 98 h 98"/>
                <a:gd name="T2" fmla="*/ 44 w 44"/>
                <a:gd name="T3" fmla="*/ 95 h 98"/>
                <a:gd name="T4" fmla="*/ 0 w 44"/>
                <a:gd name="T5" fmla="*/ 0 h 98"/>
                <a:gd name="T6" fmla="*/ 37 w 44"/>
                <a:gd name="T7" fmla="*/ 98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37" y="98"/>
                  </a:moveTo>
                  <a:lnTo>
                    <a:pt x="44" y="95"/>
                  </a:lnTo>
                  <a:lnTo>
                    <a:pt x="0" y="0"/>
                  </a:lnTo>
                  <a:lnTo>
                    <a:pt x="37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3" name="Freeform 355">
              <a:extLst>
                <a:ext uri="{FF2B5EF4-FFF2-40B4-BE49-F238E27FC236}">
                  <a16:creationId xmlns:a16="http://schemas.microsoft.com/office/drawing/2014/main" id="{40381571-C628-468D-96B9-8E3E8E44E95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1"/>
            </a:xfrm>
            <a:custGeom>
              <a:avLst/>
              <a:gdLst>
                <a:gd name="T0" fmla="*/ 44 w 50"/>
                <a:gd name="T1" fmla="*/ 95 h 95"/>
                <a:gd name="T2" fmla="*/ 50 w 50"/>
                <a:gd name="T3" fmla="*/ 92 h 95"/>
                <a:gd name="T4" fmla="*/ 0 w 50"/>
                <a:gd name="T5" fmla="*/ 0 h 95"/>
                <a:gd name="T6" fmla="*/ 44 w 50"/>
                <a:gd name="T7" fmla="*/ 95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44" y="95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4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4" name="Freeform 356">
              <a:extLst>
                <a:ext uri="{FF2B5EF4-FFF2-40B4-BE49-F238E27FC236}">
                  <a16:creationId xmlns:a16="http://schemas.microsoft.com/office/drawing/2014/main" id="{85205B37-BCBC-4841-BF27-E263A0F28E3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0 w 57"/>
                <a:gd name="T1" fmla="*/ 92 h 92"/>
                <a:gd name="T2" fmla="*/ 57 w 57"/>
                <a:gd name="T3" fmla="*/ 88 h 92"/>
                <a:gd name="T4" fmla="*/ 0 w 57"/>
                <a:gd name="T5" fmla="*/ 0 h 92"/>
                <a:gd name="T6" fmla="*/ 50 w 57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50" y="92"/>
                  </a:moveTo>
                  <a:lnTo>
                    <a:pt x="57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5" name="Freeform 357">
              <a:extLst>
                <a:ext uri="{FF2B5EF4-FFF2-40B4-BE49-F238E27FC236}">
                  <a16:creationId xmlns:a16="http://schemas.microsoft.com/office/drawing/2014/main" id="{9DD5222B-BBA2-496A-AA1B-9A0535FB875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7 w 63"/>
                <a:gd name="T1" fmla="*/ 88 h 88"/>
                <a:gd name="T2" fmla="*/ 63 w 63"/>
                <a:gd name="T3" fmla="*/ 84 h 88"/>
                <a:gd name="T4" fmla="*/ 0 w 63"/>
                <a:gd name="T5" fmla="*/ 0 h 88"/>
                <a:gd name="T6" fmla="*/ 57 w 63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57" y="88"/>
                  </a:moveTo>
                  <a:lnTo>
                    <a:pt x="63" y="84"/>
                  </a:lnTo>
                  <a:lnTo>
                    <a:pt x="0" y="0"/>
                  </a:lnTo>
                  <a:lnTo>
                    <a:pt x="57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6" name="Freeform 358">
              <a:extLst>
                <a:ext uri="{FF2B5EF4-FFF2-40B4-BE49-F238E27FC236}">
                  <a16:creationId xmlns:a16="http://schemas.microsoft.com/office/drawing/2014/main" id="{5CC14889-5CE3-4D14-B99B-E84DFEE3CDA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3 w 69"/>
                <a:gd name="T1" fmla="*/ 84 h 84"/>
                <a:gd name="T2" fmla="*/ 69 w 69"/>
                <a:gd name="T3" fmla="*/ 79 h 84"/>
                <a:gd name="T4" fmla="*/ 0 w 69"/>
                <a:gd name="T5" fmla="*/ 0 h 84"/>
                <a:gd name="T6" fmla="*/ 63 w 69"/>
                <a:gd name="T7" fmla="*/ 84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63" y="84"/>
                  </a:moveTo>
                  <a:lnTo>
                    <a:pt x="69" y="79"/>
                  </a:lnTo>
                  <a:lnTo>
                    <a:pt x="0" y="0"/>
                  </a:lnTo>
                  <a:lnTo>
                    <a:pt x="63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7" name="Freeform 359">
              <a:extLst>
                <a:ext uri="{FF2B5EF4-FFF2-40B4-BE49-F238E27FC236}">
                  <a16:creationId xmlns:a16="http://schemas.microsoft.com/office/drawing/2014/main" id="{2644F97C-1817-411E-BEC4-9071FE3BF1A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9 w 74"/>
                <a:gd name="T1" fmla="*/ 79 h 79"/>
                <a:gd name="T2" fmla="*/ 74 w 74"/>
                <a:gd name="T3" fmla="*/ 74 h 79"/>
                <a:gd name="T4" fmla="*/ 0 w 74"/>
                <a:gd name="T5" fmla="*/ 0 h 79"/>
                <a:gd name="T6" fmla="*/ 69 w 74"/>
                <a:gd name="T7" fmla="*/ 79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69" y="79"/>
                  </a:moveTo>
                  <a:lnTo>
                    <a:pt x="74" y="74"/>
                  </a:lnTo>
                  <a:lnTo>
                    <a:pt x="0" y="0"/>
                  </a:lnTo>
                  <a:lnTo>
                    <a:pt x="69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8" name="Freeform 360">
              <a:extLst>
                <a:ext uri="{FF2B5EF4-FFF2-40B4-BE49-F238E27FC236}">
                  <a16:creationId xmlns:a16="http://schemas.microsoft.com/office/drawing/2014/main" id="{E0C2C936-6E40-466F-B73D-F9D07C94965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4 w 79"/>
                <a:gd name="T1" fmla="*/ 74 h 74"/>
                <a:gd name="T2" fmla="*/ 79 w 79"/>
                <a:gd name="T3" fmla="*/ 69 h 74"/>
                <a:gd name="T4" fmla="*/ 0 w 79"/>
                <a:gd name="T5" fmla="*/ 0 h 74"/>
                <a:gd name="T6" fmla="*/ 74 w 79"/>
                <a:gd name="T7" fmla="*/ 74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4">
                  <a:moveTo>
                    <a:pt x="74" y="74"/>
                  </a:moveTo>
                  <a:lnTo>
                    <a:pt x="79" y="69"/>
                  </a:lnTo>
                  <a:lnTo>
                    <a:pt x="0" y="0"/>
                  </a:lnTo>
                  <a:lnTo>
                    <a:pt x="74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9" name="Freeform 361">
              <a:extLst>
                <a:ext uri="{FF2B5EF4-FFF2-40B4-BE49-F238E27FC236}">
                  <a16:creationId xmlns:a16="http://schemas.microsoft.com/office/drawing/2014/main" id="{AE1B7488-EB35-42C8-80C3-6C5F44A4585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9 w 84"/>
                <a:gd name="T1" fmla="*/ 69 h 69"/>
                <a:gd name="T2" fmla="*/ 84 w 84"/>
                <a:gd name="T3" fmla="*/ 63 h 69"/>
                <a:gd name="T4" fmla="*/ 0 w 84"/>
                <a:gd name="T5" fmla="*/ 0 h 69"/>
                <a:gd name="T6" fmla="*/ 79 w 84"/>
                <a:gd name="T7" fmla="*/ 69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79" y="69"/>
                  </a:moveTo>
                  <a:lnTo>
                    <a:pt x="84" y="63"/>
                  </a:lnTo>
                  <a:lnTo>
                    <a:pt x="0" y="0"/>
                  </a:lnTo>
                  <a:lnTo>
                    <a:pt x="79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0" name="Freeform 362">
              <a:extLst>
                <a:ext uri="{FF2B5EF4-FFF2-40B4-BE49-F238E27FC236}">
                  <a16:creationId xmlns:a16="http://schemas.microsoft.com/office/drawing/2014/main" id="{B69C96C0-809A-4441-94A0-B2EDC3FDC96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4 w 88"/>
                <a:gd name="T1" fmla="*/ 63 h 63"/>
                <a:gd name="T2" fmla="*/ 88 w 88"/>
                <a:gd name="T3" fmla="*/ 57 h 63"/>
                <a:gd name="T4" fmla="*/ 0 w 88"/>
                <a:gd name="T5" fmla="*/ 0 h 63"/>
                <a:gd name="T6" fmla="*/ 84 w 88"/>
                <a:gd name="T7" fmla="*/ 63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4" y="63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4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1" name="Freeform 363">
              <a:extLst>
                <a:ext uri="{FF2B5EF4-FFF2-40B4-BE49-F238E27FC236}">
                  <a16:creationId xmlns:a16="http://schemas.microsoft.com/office/drawing/2014/main" id="{98C28DAA-7283-4FC2-8A9D-B9ECB07A27F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8 w 92"/>
                <a:gd name="T1" fmla="*/ 57 h 57"/>
                <a:gd name="T2" fmla="*/ 92 w 92"/>
                <a:gd name="T3" fmla="*/ 50 h 57"/>
                <a:gd name="T4" fmla="*/ 0 w 92"/>
                <a:gd name="T5" fmla="*/ 0 h 57"/>
                <a:gd name="T6" fmla="*/ 88 w 92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88" y="57"/>
                  </a:moveTo>
                  <a:lnTo>
                    <a:pt x="92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2" name="Freeform 364">
              <a:extLst>
                <a:ext uri="{FF2B5EF4-FFF2-40B4-BE49-F238E27FC236}">
                  <a16:creationId xmlns:a16="http://schemas.microsoft.com/office/drawing/2014/main" id="{49CA3314-0223-4641-9CD8-A8AE13D0696E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2 w 96"/>
                <a:gd name="T1" fmla="*/ 50 h 50"/>
                <a:gd name="T2" fmla="*/ 96 w 96"/>
                <a:gd name="T3" fmla="*/ 43 h 50"/>
                <a:gd name="T4" fmla="*/ 0 w 96"/>
                <a:gd name="T5" fmla="*/ 0 h 50"/>
                <a:gd name="T6" fmla="*/ 92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2" y="50"/>
                  </a:moveTo>
                  <a:lnTo>
                    <a:pt x="96" y="43"/>
                  </a:lnTo>
                  <a:lnTo>
                    <a:pt x="0" y="0"/>
                  </a:lnTo>
                  <a:lnTo>
                    <a:pt x="92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3" name="Freeform 365">
              <a:extLst>
                <a:ext uri="{FF2B5EF4-FFF2-40B4-BE49-F238E27FC236}">
                  <a16:creationId xmlns:a16="http://schemas.microsoft.com/office/drawing/2014/main" id="{CCE54D81-CFBB-4A8C-AC86-BAE6A4D8A29A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6 w 99"/>
                <a:gd name="T1" fmla="*/ 43 h 43"/>
                <a:gd name="T2" fmla="*/ 99 w 99"/>
                <a:gd name="T3" fmla="*/ 36 h 43"/>
                <a:gd name="T4" fmla="*/ 0 w 99"/>
                <a:gd name="T5" fmla="*/ 0 h 43"/>
                <a:gd name="T6" fmla="*/ 96 w 99"/>
                <a:gd name="T7" fmla="*/ 43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6" y="43"/>
                  </a:moveTo>
                  <a:lnTo>
                    <a:pt x="99" y="36"/>
                  </a:lnTo>
                  <a:lnTo>
                    <a:pt x="0" y="0"/>
                  </a:lnTo>
                  <a:lnTo>
                    <a:pt x="96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4" name="Freeform 366">
              <a:extLst>
                <a:ext uri="{FF2B5EF4-FFF2-40B4-BE49-F238E27FC236}">
                  <a16:creationId xmlns:a16="http://schemas.microsoft.com/office/drawing/2014/main" id="{129364B5-C93F-42E4-B445-F5201EDE165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99 w 101"/>
                <a:gd name="T1" fmla="*/ 36 h 36"/>
                <a:gd name="T2" fmla="*/ 101 w 101"/>
                <a:gd name="T3" fmla="*/ 29 h 36"/>
                <a:gd name="T4" fmla="*/ 0 w 101"/>
                <a:gd name="T5" fmla="*/ 0 h 36"/>
                <a:gd name="T6" fmla="*/ 99 w 101"/>
                <a:gd name="T7" fmla="*/ 36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99" y="36"/>
                  </a:moveTo>
                  <a:lnTo>
                    <a:pt x="101" y="29"/>
                  </a:lnTo>
                  <a:lnTo>
                    <a:pt x="0" y="0"/>
                  </a:lnTo>
                  <a:lnTo>
                    <a:pt x="99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5" name="Freeform 367">
              <a:extLst>
                <a:ext uri="{FF2B5EF4-FFF2-40B4-BE49-F238E27FC236}">
                  <a16:creationId xmlns:a16="http://schemas.microsoft.com/office/drawing/2014/main" id="{889F00AC-E8F0-4F72-8D6E-6A11442A4E7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1 w 103"/>
                <a:gd name="T1" fmla="*/ 29 h 29"/>
                <a:gd name="T2" fmla="*/ 103 w 103"/>
                <a:gd name="T3" fmla="*/ 22 h 29"/>
                <a:gd name="T4" fmla="*/ 0 w 103"/>
                <a:gd name="T5" fmla="*/ 0 h 29"/>
                <a:gd name="T6" fmla="*/ 101 w 103"/>
                <a:gd name="T7" fmla="*/ 29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1" y="29"/>
                  </a:moveTo>
                  <a:lnTo>
                    <a:pt x="103" y="22"/>
                  </a:lnTo>
                  <a:lnTo>
                    <a:pt x="0" y="0"/>
                  </a:lnTo>
                  <a:lnTo>
                    <a:pt x="101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6" name="Freeform 368">
              <a:extLst>
                <a:ext uri="{FF2B5EF4-FFF2-40B4-BE49-F238E27FC236}">
                  <a16:creationId xmlns:a16="http://schemas.microsoft.com/office/drawing/2014/main" id="{A30F17F5-611E-4449-9E38-D8F2EB6C1A1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3 w 104"/>
                <a:gd name="T1" fmla="*/ 22 h 22"/>
                <a:gd name="T2" fmla="*/ 104 w 104"/>
                <a:gd name="T3" fmla="*/ 15 h 22"/>
                <a:gd name="T4" fmla="*/ 0 w 104"/>
                <a:gd name="T5" fmla="*/ 0 h 22"/>
                <a:gd name="T6" fmla="*/ 103 w 104"/>
                <a:gd name="T7" fmla="*/ 22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3" y="22"/>
                  </a:moveTo>
                  <a:lnTo>
                    <a:pt x="104" y="15"/>
                  </a:lnTo>
                  <a:lnTo>
                    <a:pt x="0" y="0"/>
                  </a:lnTo>
                  <a:lnTo>
                    <a:pt x="103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7" name="Freeform 369">
              <a:extLst>
                <a:ext uri="{FF2B5EF4-FFF2-40B4-BE49-F238E27FC236}">
                  <a16:creationId xmlns:a16="http://schemas.microsoft.com/office/drawing/2014/main" id="{81167B57-47C0-4BF5-9B47-385A60C97D1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4 w 105"/>
                <a:gd name="T1" fmla="*/ 15 h 15"/>
                <a:gd name="T2" fmla="*/ 105 w 105"/>
                <a:gd name="T3" fmla="*/ 7 h 15"/>
                <a:gd name="T4" fmla="*/ 0 w 105"/>
                <a:gd name="T5" fmla="*/ 0 h 15"/>
                <a:gd name="T6" fmla="*/ 104 w 105"/>
                <a:gd name="T7" fmla="*/ 15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4" y="15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8" name="Freeform 370">
              <a:extLst>
                <a:ext uri="{FF2B5EF4-FFF2-40B4-BE49-F238E27FC236}">
                  <a16:creationId xmlns:a16="http://schemas.microsoft.com/office/drawing/2014/main" id="{2471EEE7-CB96-4CE0-B3EB-33D66C86A81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9" name="Freeform 371">
              <a:extLst>
                <a:ext uri="{FF2B5EF4-FFF2-40B4-BE49-F238E27FC236}">
                  <a16:creationId xmlns:a16="http://schemas.microsoft.com/office/drawing/2014/main" id="{D8729B88-901F-4C17-AE4D-28CB9A5B0933}"/>
                </a:ext>
              </a:extLst>
            </xdr:cNvPr>
            <xdr:cNvSpPr>
              <a:spLocks/>
            </xdr:cNvSpPr>
          </xdr:nvSpPr>
          <xdr:spPr bwMode="auto">
            <a:xfrm>
              <a:off x="1095" y="188"/>
              <a:ext cx="6" cy="9"/>
            </a:xfrm>
            <a:custGeom>
              <a:avLst/>
              <a:gdLst>
                <a:gd name="T0" fmla="*/ 0 w 352"/>
                <a:gd name="T1" fmla="*/ 526 h 526"/>
                <a:gd name="T2" fmla="*/ 0 w 352"/>
                <a:gd name="T3" fmla="*/ 0 h 526"/>
                <a:gd name="T4" fmla="*/ 264 w 352"/>
                <a:gd name="T5" fmla="*/ 0 h 526"/>
                <a:gd name="T6" fmla="*/ 352 w 352"/>
                <a:gd name="T7" fmla="*/ 88 h 526"/>
                <a:gd name="T8" fmla="*/ 352 w 352"/>
                <a:gd name="T9" fmla="*/ 175 h 526"/>
                <a:gd name="T10" fmla="*/ 264 w 352"/>
                <a:gd name="T11" fmla="*/ 263 h 526"/>
                <a:gd name="T12" fmla="*/ 0 w 352"/>
                <a:gd name="T13" fmla="*/ 263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352" h="526">
                  <a:moveTo>
                    <a:pt x="0" y="526"/>
                  </a:moveTo>
                  <a:lnTo>
                    <a:pt x="0" y="0"/>
                  </a:lnTo>
                  <a:lnTo>
                    <a:pt x="264" y="0"/>
                  </a:lnTo>
                  <a:lnTo>
                    <a:pt x="352" y="88"/>
                  </a:lnTo>
                  <a:lnTo>
                    <a:pt x="352" y="175"/>
                  </a:lnTo>
                  <a:lnTo>
                    <a:pt x="264" y="263"/>
                  </a:lnTo>
                  <a:lnTo>
                    <a:pt x="0" y="263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0" name="Freeform 372">
              <a:extLst>
                <a:ext uri="{FF2B5EF4-FFF2-40B4-BE49-F238E27FC236}">
                  <a16:creationId xmlns:a16="http://schemas.microsoft.com/office/drawing/2014/main" id="{54D3C83A-6EC4-4D05-9B71-59C802096880}"/>
                </a:ext>
              </a:extLst>
            </xdr:cNvPr>
            <xdr:cNvSpPr>
              <a:spLocks/>
            </xdr:cNvSpPr>
          </xdr:nvSpPr>
          <xdr:spPr bwMode="auto">
            <a:xfrm>
              <a:off x="1104" y="191"/>
              <a:ext cx="6" cy="6"/>
            </a:xfrm>
            <a:custGeom>
              <a:avLst/>
              <a:gdLst>
                <a:gd name="T0" fmla="*/ 351 w 351"/>
                <a:gd name="T1" fmla="*/ 0 h 351"/>
                <a:gd name="T2" fmla="*/ 88 w 351"/>
                <a:gd name="T3" fmla="*/ 0 h 351"/>
                <a:gd name="T4" fmla="*/ 0 w 351"/>
                <a:gd name="T5" fmla="*/ 88 h 351"/>
                <a:gd name="T6" fmla="*/ 0 w 351"/>
                <a:gd name="T7" fmla="*/ 264 h 351"/>
                <a:gd name="T8" fmla="*/ 88 w 351"/>
                <a:gd name="T9" fmla="*/ 351 h 351"/>
                <a:gd name="T10" fmla="*/ 351 w 351"/>
                <a:gd name="T11" fmla="*/ 351 h 3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351">
                  <a:moveTo>
                    <a:pt x="351" y="0"/>
                  </a:moveTo>
                  <a:lnTo>
                    <a:pt x="88" y="0"/>
                  </a:lnTo>
                  <a:lnTo>
                    <a:pt x="0" y="88"/>
                  </a:lnTo>
                  <a:lnTo>
                    <a:pt x="0" y="264"/>
                  </a:lnTo>
                  <a:lnTo>
                    <a:pt x="88" y="351"/>
                  </a:lnTo>
                  <a:lnTo>
                    <a:pt x="351" y="351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1" name="Freeform 373">
              <a:extLst>
                <a:ext uri="{FF2B5EF4-FFF2-40B4-BE49-F238E27FC236}">
                  <a16:creationId xmlns:a16="http://schemas.microsoft.com/office/drawing/2014/main" id="{E37D3930-E3C2-4C0B-813B-6973D9C88863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9"/>
                <a:gd name="T2" fmla="*/ 105 w 105"/>
                <a:gd name="T3" fmla="*/ 0 h 9"/>
                <a:gd name="T4" fmla="*/ 0 w 105"/>
                <a:gd name="T5" fmla="*/ 9 h 9"/>
                <a:gd name="T6" fmla="*/ 105 w 105"/>
                <a:gd name="T7" fmla="*/ 9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9">
                  <a:moveTo>
                    <a:pt x="105" y="9"/>
                  </a:moveTo>
                  <a:lnTo>
                    <a:pt x="105" y="0"/>
                  </a:lnTo>
                  <a:lnTo>
                    <a:pt x="0" y="9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2" name="Freeform 374">
              <a:extLst>
                <a:ext uri="{FF2B5EF4-FFF2-40B4-BE49-F238E27FC236}">
                  <a16:creationId xmlns:a16="http://schemas.microsoft.com/office/drawing/2014/main" id="{1CCC6460-32F2-4255-A520-F49C55B62B34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18"/>
                <a:gd name="T2" fmla="*/ 104 w 105"/>
                <a:gd name="T3" fmla="*/ 0 h 18"/>
                <a:gd name="T4" fmla="*/ 0 w 105"/>
                <a:gd name="T5" fmla="*/ 18 h 18"/>
                <a:gd name="T6" fmla="*/ 105 w 105"/>
                <a:gd name="T7" fmla="*/ 9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8">
                  <a:moveTo>
                    <a:pt x="105" y="9"/>
                  </a:moveTo>
                  <a:lnTo>
                    <a:pt x="104" y="0"/>
                  </a:lnTo>
                  <a:lnTo>
                    <a:pt x="0" y="18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3" name="Freeform 375">
              <a:extLst>
                <a:ext uri="{FF2B5EF4-FFF2-40B4-BE49-F238E27FC236}">
                  <a16:creationId xmlns:a16="http://schemas.microsoft.com/office/drawing/2014/main" id="{9BD7BBC2-623C-41D0-AA30-482299B25548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4 w 104"/>
                <a:gd name="T1" fmla="*/ 8 h 26"/>
                <a:gd name="T2" fmla="*/ 102 w 104"/>
                <a:gd name="T3" fmla="*/ 0 h 26"/>
                <a:gd name="T4" fmla="*/ 0 w 104"/>
                <a:gd name="T5" fmla="*/ 26 h 26"/>
                <a:gd name="T6" fmla="*/ 104 w 104"/>
                <a:gd name="T7" fmla="*/ 8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4" y="8"/>
                  </a:moveTo>
                  <a:lnTo>
                    <a:pt x="102" y="0"/>
                  </a:lnTo>
                  <a:lnTo>
                    <a:pt x="0" y="26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4" name="Freeform 376">
              <a:extLst>
                <a:ext uri="{FF2B5EF4-FFF2-40B4-BE49-F238E27FC236}">
                  <a16:creationId xmlns:a16="http://schemas.microsoft.com/office/drawing/2014/main" id="{76D2DA98-6B99-4FE0-9E15-F3BD8022668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2 w 102"/>
                <a:gd name="T1" fmla="*/ 9 h 35"/>
                <a:gd name="T2" fmla="*/ 99 w 102"/>
                <a:gd name="T3" fmla="*/ 0 h 35"/>
                <a:gd name="T4" fmla="*/ 0 w 102"/>
                <a:gd name="T5" fmla="*/ 35 h 35"/>
                <a:gd name="T6" fmla="*/ 102 w 102"/>
                <a:gd name="T7" fmla="*/ 9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102" y="9"/>
                  </a:moveTo>
                  <a:lnTo>
                    <a:pt x="99" y="0"/>
                  </a:lnTo>
                  <a:lnTo>
                    <a:pt x="0" y="35"/>
                  </a:lnTo>
                  <a:lnTo>
                    <a:pt x="102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5" name="Freeform 377">
              <a:extLst>
                <a:ext uri="{FF2B5EF4-FFF2-40B4-BE49-F238E27FC236}">
                  <a16:creationId xmlns:a16="http://schemas.microsoft.com/office/drawing/2014/main" id="{2A7DF215-6A87-4A0B-AB10-30F70B55AFC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9 w 99"/>
                <a:gd name="T1" fmla="*/ 8 h 43"/>
                <a:gd name="T2" fmla="*/ 96 w 99"/>
                <a:gd name="T3" fmla="*/ 0 h 43"/>
                <a:gd name="T4" fmla="*/ 0 w 99"/>
                <a:gd name="T5" fmla="*/ 43 h 43"/>
                <a:gd name="T6" fmla="*/ 99 w 99"/>
                <a:gd name="T7" fmla="*/ 8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9" y="8"/>
                  </a:moveTo>
                  <a:lnTo>
                    <a:pt x="96" y="0"/>
                  </a:lnTo>
                  <a:lnTo>
                    <a:pt x="0" y="43"/>
                  </a:lnTo>
                  <a:lnTo>
                    <a:pt x="99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6" name="Freeform 378">
              <a:extLst>
                <a:ext uri="{FF2B5EF4-FFF2-40B4-BE49-F238E27FC236}">
                  <a16:creationId xmlns:a16="http://schemas.microsoft.com/office/drawing/2014/main" id="{B5BA6213-5F42-4D2E-BC16-6A0DA2E8240C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6 w 96"/>
                <a:gd name="T1" fmla="*/ 7 h 50"/>
                <a:gd name="T2" fmla="*/ 93 w 96"/>
                <a:gd name="T3" fmla="*/ 0 h 50"/>
                <a:gd name="T4" fmla="*/ 0 w 96"/>
                <a:gd name="T5" fmla="*/ 50 h 50"/>
                <a:gd name="T6" fmla="*/ 96 w 96"/>
                <a:gd name="T7" fmla="*/ 7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6" y="7"/>
                  </a:moveTo>
                  <a:lnTo>
                    <a:pt x="93" y="0"/>
                  </a:lnTo>
                  <a:lnTo>
                    <a:pt x="0" y="50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7" name="Freeform 379">
              <a:extLst>
                <a:ext uri="{FF2B5EF4-FFF2-40B4-BE49-F238E27FC236}">
                  <a16:creationId xmlns:a16="http://schemas.microsoft.com/office/drawing/2014/main" id="{9E9C23A5-092E-40D9-A536-C89E225A33E7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3 w 93"/>
                <a:gd name="T1" fmla="*/ 8 h 58"/>
                <a:gd name="T2" fmla="*/ 88 w 93"/>
                <a:gd name="T3" fmla="*/ 0 h 58"/>
                <a:gd name="T4" fmla="*/ 0 w 93"/>
                <a:gd name="T5" fmla="*/ 58 h 58"/>
                <a:gd name="T6" fmla="*/ 93 w 93"/>
                <a:gd name="T7" fmla="*/ 8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8">
                  <a:moveTo>
                    <a:pt x="93" y="8"/>
                  </a:moveTo>
                  <a:lnTo>
                    <a:pt x="88" y="0"/>
                  </a:lnTo>
                  <a:lnTo>
                    <a:pt x="0" y="58"/>
                  </a:lnTo>
                  <a:lnTo>
                    <a:pt x="93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8" name="Freeform 380">
              <a:extLst>
                <a:ext uri="{FF2B5EF4-FFF2-40B4-BE49-F238E27FC236}">
                  <a16:creationId xmlns:a16="http://schemas.microsoft.com/office/drawing/2014/main" id="{311D14FA-760A-428F-8850-2637E9B59218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8 w 88"/>
                <a:gd name="T1" fmla="*/ 7 h 65"/>
                <a:gd name="T2" fmla="*/ 83 w 88"/>
                <a:gd name="T3" fmla="*/ 0 h 65"/>
                <a:gd name="T4" fmla="*/ 0 w 88"/>
                <a:gd name="T5" fmla="*/ 65 h 65"/>
                <a:gd name="T6" fmla="*/ 88 w 88"/>
                <a:gd name="T7" fmla="*/ 7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5">
                  <a:moveTo>
                    <a:pt x="88" y="7"/>
                  </a:moveTo>
                  <a:lnTo>
                    <a:pt x="83" y="0"/>
                  </a:lnTo>
                  <a:lnTo>
                    <a:pt x="0" y="65"/>
                  </a:lnTo>
                  <a:lnTo>
                    <a:pt x="88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9" name="Freeform 381">
              <a:extLst>
                <a:ext uri="{FF2B5EF4-FFF2-40B4-BE49-F238E27FC236}">
                  <a16:creationId xmlns:a16="http://schemas.microsoft.com/office/drawing/2014/main" id="{5BD0A6E1-D9D6-4A07-B113-2D08EA919D80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3 w 83"/>
                <a:gd name="T1" fmla="*/ 7 h 72"/>
                <a:gd name="T2" fmla="*/ 77 w 83"/>
                <a:gd name="T3" fmla="*/ 0 h 72"/>
                <a:gd name="T4" fmla="*/ 0 w 83"/>
                <a:gd name="T5" fmla="*/ 72 h 72"/>
                <a:gd name="T6" fmla="*/ 83 w 83"/>
                <a:gd name="T7" fmla="*/ 7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2">
                  <a:moveTo>
                    <a:pt x="83" y="7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0" name="Freeform 382">
              <a:extLst>
                <a:ext uri="{FF2B5EF4-FFF2-40B4-BE49-F238E27FC236}">
                  <a16:creationId xmlns:a16="http://schemas.microsoft.com/office/drawing/2014/main" id="{E64D152F-54F2-4A73-9527-FB37A77FA04E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77 w 77"/>
                <a:gd name="T1" fmla="*/ 6 h 78"/>
                <a:gd name="T2" fmla="*/ 71 w 77"/>
                <a:gd name="T3" fmla="*/ 0 h 78"/>
                <a:gd name="T4" fmla="*/ 0 w 77"/>
                <a:gd name="T5" fmla="*/ 78 h 78"/>
                <a:gd name="T6" fmla="*/ 77 w 77"/>
                <a:gd name="T7" fmla="*/ 6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8">
                  <a:moveTo>
                    <a:pt x="77" y="6"/>
                  </a:moveTo>
                  <a:lnTo>
                    <a:pt x="71" y="0"/>
                  </a:lnTo>
                  <a:lnTo>
                    <a:pt x="0" y="78"/>
                  </a:lnTo>
                  <a:lnTo>
                    <a:pt x="77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1" name="Freeform 383">
              <a:extLst>
                <a:ext uri="{FF2B5EF4-FFF2-40B4-BE49-F238E27FC236}">
                  <a16:creationId xmlns:a16="http://schemas.microsoft.com/office/drawing/2014/main" id="{CA4D70B5-F383-4BA9-A209-93648B6C0323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71 w 71"/>
                <a:gd name="T1" fmla="*/ 5 h 83"/>
                <a:gd name="T2" fmla="*/ 65 w 71"/>
                <a:gd name="T3" fmla="*/ 0 h 83"/>
                <a:gd name="T4" fmla="*/ 0 w 71"/>
                <a:gd name="T5" fmla="*/ 83 h 83"/>
                <a:gd name="T6" fmla="*/ 71 w 71"/>
                <a:gd name="T7" fmla="*/ 5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71" y="5"/>
                  </a:moveTo>
                  <a:lnTo>
                    <a:pt x="65" y="0"/>
                  </a:lnTo>
                  <a:lnTo>
                    <a:pt x="0" y="83"/>
                  </a:lnTo>
                  <a:lnTo>
                    <a:pt x="71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2" name="Freeform 384">
              <a:extLst>
                <a:ext uri="{FF2B5EF4-FFF2-40B4-BE49-F238E27FC236}">
                  <a16:creationId xmlns:a16="http://schemas.microsoft.com/office/drawing/2014/main" id="{BAE27629-A1F9-4C40-8C5A-5B174DEA3BBF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65 w 65"/>
                <a:gd name="T1" fmla="*/ 5 h 88"/>
                <a:gd name="T2" fmla="*/ 58 w 65"/>
                <a:gd name="T3" fmla="*/ 0 h 88"/>
                <a:gd name="T4" fmla="*/ 0 w 65"/>
                <a:gd name="T5" fmla="*/ 88 h 88"/>
                <a:gd name="T6" fmla="*/ 65 w 65"/>
                <a:gd name="T7" fmla="*/ 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65" y="5"/>
                  </a:moveTo>
                  <a:lnTo>
                    <a:pt x="58" y="0"/>
                  </a:lnTo>
                  <a:lnTo>
                    <a:pt x="0" y="88"/>
                  </a:lnTo>
                  <a:lnTo>
                    <a:pt x="65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3" name="Freeform 385">
              <a:extLst>
                <a:ext uri="{FF2B5EF4-FFF2-40B4-BE49-F238E27FC236}">
                  <a16:creationId xmlns:a16="http://schemas.microsoft.com/office/drawing/2014/main" id="{36F552BF-03F9-4609-A5D3-685B35FF5D9C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8 w 58"/>
                <a:gd name="T1" fmla="*/ 5 h 93"/>
                <a:gd name="T2" fmla="*/ 50 w 58"/>
                <a:gd name="T3" fmla="*/ 0 h 93"/>
                <a:gd name="T4" fmla="*/ 0 w 58"/>
                <a:gd name="T5" fmla="*/ 93 h 93"/>
                <a:gd name="T6" fmla="*/ 58 w 58"/>
                <a:gd name="T7" fmla="*/ 5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3">
                  <a:moveTo>
                    <a:pt x="58" y="5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8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4" name="Freeform 386">
              <a:extLst>
                <a:ext uri="{FF2B5EF4-FFF2-40B4-BE49-F238E27FC236}">
                  <a16:creationId xmlns:a16="http://schemas.microsoft.com/office/drawing/2014/main" id="{ED453DC8-5E87-414B-895A-46797E0F9796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0 w 50"/>
                <a:gd name="T1" fmla="*/ 4 h 97"/>
                <a:gd name="T2" fmla="*/ 42 w 50"/>
                <a:gd name="T3" fmla="*/ 0 h 97"/>
                <a:gd name="T4" fmla="*/ 0 w 50"/>
                <a:gd name="T5" fmla="*/ 97 h 97"/>
                <a:gd name="T6" fmla="*/ 50 w 50"/>
                <a:gd name="T7" fmla="*/ 4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7">
                  <a:moveTo>
                    <a:pt x="50" y="4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50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5" name="Freeform 387">
              <a:extLst>
                <a:ext uri="{FF2B5EF4-FFF2-40B4-BE49-F238E27FC236}">
                  <a16:creationId xmlns:a16="http://schemas.microsoft.com/office/drawing/2014/main" id="{A18AA2B1-8739-4D5C-8266-B261345C6DFE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4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4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6" name="Freeform 388">
              <a:extLst>
                <a:ext uri="{FF2B5EF4-FFF2-40B4-BE49-F238E27FC236}">
                  <a16:creationId xmlns:a16="http://schemas.microsoft.com/office/drawing/2014/main" id="{B61B68E0-0574-498B-9EAB-C91A440C1072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34 w 34"/>
                <a:gd name="T1" fmla="*/ 2 h 102"/>
                <a:gd name="T2" fmla="*/ 26 w 34"/>
                <a:gd name="T3" fmla="*/ 0 h 102"/>
                <a:gd name="T4" fmla="*/ 0 w 34"/>
                <a:gd name="T5" fmla="*/ 102 h 102"/>
                <a:gd name="T6" fmla="*/ 34 w 34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34" y="2"/>
                  </a:moveTo>
                  <a:lnTo>
                    <a:pt x="26" y="0"/>
                  </a:lnTo>
                  <a:lnTo>
                    <a:pt x="0" y="102"/>
                  </a:lnTo>
                  <a:lnTo>
                    <a:pt x="34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7" name="Freeform 389">
              <a:extLst>
                <a:ext uri="{FF2B5EF4-FFF2-40B4-BE49-F238E27FC236}">
                  <a16:creationId xmlns:a16="http://schemas.microsoft.com/office/drawing/2014/main" id="{578EFE4B-5D53-4ED5-9CC1-15C08269C9D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26 w 26"/>
                <a:gd name="T1" fmla="*/ 2 h 104"/>
                <a:gd name="T2" fmla="*/ 17 w 26"/>
                <a:gd name="T3" fmla="*/ 0 h 104"/>
                <a:gd name="T4" fmla="*/ 0 w 26"/>
                <a:gd name="T5" fmla="*/ 104 h 104"/>
                <a:gd name="T6" fmla="*/ 26 w 26"/>
                <a:gd name="T7" fmla="*/ 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26" y="2"/>
                  </a:moveTo>
                  <a:lnTo>
                    <a:pt x="17" y="0"/>
                  </a:lnTo>
                  <a:lnTo>
                    <a:pt x="0" y="104"/>
                  </a:lnTo>
                  <a:lnTo>
                    <a:pt x="26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8" name="Freeform 390">
              <a:extLst>
                <a:ext uri="{FF2B5EF4-FFF2-40B4-BE49-F238E27FC236}">
                  <a16:creationId xmlns:a16="http://schemas.microsoft.com/office/drawing/2014/main" id="{30D8CE1E-8074-493D-9CD1-E244582A8432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17 w 17"/>
                <a:gd name="T1" fmla="*/ 1 h 105"/>
                <a:gd name="T2" fmla="*/ 9 w 17"/>
                <a:gd name="T3" fmla="*/ 0 h 105"/>
                <a:gd name="T4" fmla="*/ 0 w 17"/>
                <a:gd name="T5" fmla="*/ 105 h 105"/>
                <a:gd name="T6" fmla="*/ 17 w 17"/>
                <a:gd name="T7" fmla="*/ 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17" y="1"/>
                  </a:moveTo>
                  <a:lnTo>
                    <a:pt x="9" y="0"/>
                  </a:lnTo>
                  <a:lnTo>
                    <a:pt x="0" y="105"/>
                  </a:lnTo>
                  <a:lnTo>
                    <a:pt x="1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9" name="Freeform 391">
              <a:extLst>
                <a:ext uri="{FF2B5EF4-FFF2-40B4-BE49-F238E27FC236}">
                  <a16:creationId xmlns:a16="http://schemas.microsoft.com/office/drawing/2014/main" id="{39CDD863-13A6-4097-934C-5430CCFCD447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1 h 106"/>
                <a:gd name="T2" fmla="*/ 0 w 9"/>
                <a:gd name="T3" fmla="*/ 0 h 106"/>
                <a:gd name="T4" fmla="*/ 0 w 9"/>
                <a:gd name="T5" fmla="*/ 106 h 106"/>
                <a:gd name="T6" fmla="*/ 9 w 9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0" name="Freeform 392">
              <a:extLst>
                <a:ext uri="{FF2B5EF4-FFF2-40B4-BE49-F238E27FC236}">
                  <a16:creationId xmlns:a16="http://schemas.microsoft.com/office/drawing/2014/main" id="{E61DA3B0-2593-4C63-835C-564475CE1165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0 h 106"/>
                <a:gd name="T2" fmla="*/ 0 w 9"/>
                <a:gd name="T3" fmla="*/ 1 h 106"/>
                <a:gd name="T4" fmla="*/ 9 w 9"/>
                <a:gd name="T5" fmla="*/ 106 h 106"/>
                <a:gd name="T6" fmla="*/ 9 w 9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0"/>
                  </a:moveTo>
                  <a:lnTo>
                    <a:pt x="0" y="1"/>
                  </a:lnTo>
                  <a:lnTo>
                    <a:pt x="9" y="106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1" name="Freeform 393">
              <a:extLst>
                <a:ext uri="{FF2B5EF4-FFF2-40B4-BE49-F238E27FC236}">
                  <a16:creationId xmlns:a16="http://schemas.microsoft.com/office/drawing/2014/main" id="{8B62C7A3-5CF2-4027-A75D-037A525F9F2C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18"/>
                <a:gd name="T1" fmla="*/ 0 h 105"/>
                <a:gd name="T2" fmla="*/ 0 w 18"/>
                <a:gd name="T3" fmla="*/ 1 h 105"/>
                <a:gd name="T4" fmla="*/ 18 w 18"/>
                <a:gd name="T5" fmla="*/ 105 h 105"/>
                <a:gd name="T6" fmla="*/ 9 w 18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9" y="0"/>
                  </a:moveTo>
                  <a:lnTo>
                    <a:pt x="0" y="1"/>
                  </a:lnTo>
                  <a:lnTo>
                    <a:pt x="18" y="105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2" name="Freeform 394">
              <a:extLst>
                <a:ext uri="{FF2B5EF4-FFF2-40B4-BE49-F238E27FC236}">
                  <a16:creationId xmlns:a16="http://schemas.microsoft.com/office/drawing/2014/main" id="{1C6F179D-99DD-45B3-AEB9-11063C1D98F6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27"/>
                <a:gd name="T1" fmla="*/ 0 h 104"/>
                <a:gd name="T2" fmla="*/ 0 w 27"/>
                <a:gd name="T3" fmla="*/ 2 h 104"/>
                <a:gd name="T4" fmla="*/ 27 w 27"/>
                <a:gd name="T5" fmla="*/ 104 h 104"/>
                <a:gd name="T6" fmla="*/ 9 w 27"/>
                <a:gd name="T7" fmla="*/ 0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9" y="0"/>
                  </a:moveTo>
                  <a:lnTo>
                    <a:pt x="0" y="2"/>
                  </a:lnTo>
                  <a:lnTo>
                    <a:pt x="27" y="104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3" name="Freeform 395">
              <a:extLst>
                <a:ext uri="{FF2B5EF4-FFF2-40B4-BE49-F238E27FC236}">
                  <a16:creationId xmlns:a16="http://schemas.microsoft.com/office/drawing/2014/main" id="{0A4BABAC-A503-49C8-B8AA-C40CA2706415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8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8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8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4" name="Freeform 396">
              <a:extLst>
                <a:ext uri="{FF2B5EF4-FFF2-40B4-BE49-F238E27FC236}">
                  <a16:creationId xmlns:a16="http://schemas.microsoft.com/office/drawing/2014/main" id="{F9D73A99-837D-43AB-8AA2-4C3F52B67C95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43"/>
                <a:gd name="T1" fmla="*/ 0 h 100"/>
                <a:gd name="T2" fmla="*/ 0 w 43"/>
                <a:gd name="T3" fmla="*/ 3 h 100"/>
                <a:gd name="T4" fmla="*/ 43 w 43"/>
                <a:gd name="T5" fmla="*/ 100 h 100"/>
                <a:gd name="T6" fmla="*/ 8 w 43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100">
                  <a:moveTo>
                    <a:pt x="8" y="0"/>
                  </a:moveTo>
                  <a:lnTo>
                    <a:pt x="0" y="3"/>
                  </a:lnTo>
                  <a:lnTo>
                    <a:pt x="43" y="100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5" name="Freeform 397">
              <a:extLst>
                <a:ext uri="{FF2B5EF4-FFF2-40B4-BE49-F238E27FC236}">
                  <a16:creationId xmlns:a16="http://schemas.microsoft.com/office/drawing/2014/main" id="{DDB2FF0D-8B90-4644-8399-B1EA240896BC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1"/>
                <a:gd name="T1" fmla="*/ 0 h 97"/>
                <a:gd name="T2" fmla="*/ 0 w 51"/>
                <a:gd name="T3" fmla="*/ 4 h 97"/>
                <a:gd name="T4" fmla="*/ 51 w 51"/>
                <a:gd name="T5" fmla="*/ 97 h 97"/>
                <a:gd name="T6" fmla="*/ 8 w 51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7">
                  <a:moveTo>
                    <a:pt x="8" y="0"/>
                  </a:moveTo>
                  <a:lnTo>
                    <a:pt x="0" y="4"/>
                  </a:lnTo>
                  <a:lnTo>
                    <a:pt x="51" y="97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6" name="Freeform 398">
              <a:extLst>
                <a:ext uri="{FF2B5EF4-FFF2-40B4-BE49-F238E27FC236}">
                  <a16:creationId xmlns:a16="http://schemas.microsoft.com/office/drawing/2014/main" id="{6F9D1F8E-57BF-454B-9517-004C5BF9A1AE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9"/>
                <a:gd name="T1" fmla="*/ 0 h 93"/>
                <a:gd name="T2" fmla="*/ 0 w 59"/>
                <a:gd name="T3" fmla="*/ 5 h 93"/>
                <a:gd name="T4" fmla="*/ 59 w 59"/>
                <a:gd name="T5" fmla="*/ 93 h 93"/>
                <a:gd name="T6" fmla="*/ 8 w 59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3">
                  <a:moveTo>
                    <a:pt x="8" y="0"/>
                  </a:moveTo>
                  <a:lnTo>
                    <a:pt x="0" y="5"/>
                  </a:lnTo>
                  <a:lnTo>
                    <a:pt x="59" y="9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7" name="Freeform 399">
              <a:extLst>
                <a:ext uri="{FF2B5EF4-FFF2-40B4-BE49-F238E27FC236}">
                  <a16:creationId xmlns:a16="http://schemas.microsoft.com/office/drawing/2014/main" id="{BCD5C706-3555-4572-B6D1-B42382019F45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7 w 66"/>
                <a:gd name="T1" fmla="*/ 0 h 88"/>
                <a:gd name="T2" fmla="*/ 0 w 66"/>
                <a:gd name="T3" fmla="*/ 5 h 88"/>
                <a:gd name="T4" fmla="*/ 66 w 66"/>
                <a:gd name="T5" fmla="*/ 88 h 88"/>
                <a:gd name="T6" fmla="*/ 7 w 66"/>
                <a:gd name="T7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7" y="0"/>
                  </a:moveTo>
                  <a:lnTo>
                    <a:pt x="0" y="5"/>
                  </a:lnTo>
                  <a:lnTo>
                    <a:pt x="66" y="88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8" name="Freeform 400">
              <a:extLst>
                <a:ext uri="{FF2B5EF4-FFF2-40B4-BE49-F238E27FC236}">
                  <a16:creationId xmlns:a16="http://schemas.microsoft.com/office/drawing/2014/main" id="{5580B143-A925-4FC9-B286-C57EC73CDDE3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6 w 72"/>
                <a:gd name="T1" fmla="*/ 0 h 83"/>
                <a:gd name="T2" fmla="*/ 0 w 72"/>
                <a:gd name="T3" fmla="*/ 5 h 83"/>
                <a:gd name="T4" fmla="*/ 72 w 72"/>
                <a:gd name="T5" fmla="*/ 83 h 83"/>
                <a:gd name="T6" fmla="*/ 6 w 72"/>
                <a:gd name="T7" fmla="*/ 0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6" y="0"/>
                  </a:moveTo>
                  <a:lnTo>
                    <a:pt x="0" y="5"/>
                  </a:lnTo>
                  <a:lnTo>
                    <a:pt x="72" y="83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9" name="Freeform 401">
              <a:extLst>
                <a:ext uri="{FF2B5EF4-FFF2-40B4-BE49-F238E27FC236}">
                  <a16:creationId xmlns:a16="http://schemas.microsoft.com/office/drawing/2014/main" id="{3D9C01DC-5DF8-4E58-BA8A-259E5BFF52C8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78"/>
                <a:gd name="T1" fmla="*/ 0 h 78"/>
                <a:gd name="T2" fmla="*/ 0 w 78"/>
                <a:gd name="T3" fmla="*/ 6 h 78"/>
                <a:gd name="T4" fmla="*/ 78 w 78"/>
                <a:gd name="T5" fmla="*/ 78 h 78"/>
                <a:gd name="T6" fmla="*/ 6 w 78"/>
                <a:gd name="T7" fmla="*/ 0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8">
                  <a:moveTo>
                    <a:pt x="6" y="0"/>
                  </a:moveTo>
                  <a:lnTo>
                    <a:pt x="0" y="6"/>
                  </a:lnTo>
                  <a:lnTo>
                    <a:pt x="78" y="78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0" name="Freeform 402">
              <a:extLst>
                <a:ext uri="{FF2B5EF4-FFF2-40B4-BE49-F238E27FC236}">
                  <a16:creationId xmlns:a16="http://schemas.microsoft.com/office/drawing/2014/main" id="{5747B031-AE04-4326-9D47-C2D647E30E07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84"/>
                <a:gd name="T1" fmla="*/ 0 h 72"/>
                <a:gd name="T2" fmla="*/ 0 w 84"/>
                <a:gd name="T3" fmla="*/ 7 h 72"/>
                <a:gd name="T4" fmla="*/ 84 w 84"/>
                <a:gd name="T5" fmla="*/ 72 h 72"/>
                <a:gd name="T6" fmla="*/ 6 w 84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2">
                  <a:moveTo>
                    <a:pt x="6" y="0"/>
                  </a:moveTo>
                  <a:lnTo>
                    <a:pt x="0" y="7"/>
                  </a:lnTo>
                  <a:lnTo>
                    <a:pt x="84" y="7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1" name="Freeform 403">
              <a:extLst>
                <a:ext uri="{FF2B5EF4-FFF2-40B4-BE49-F238E27FC236}">
                  <a16:creationId xmlns:a16="http://schemas.microsoft.com/office/drawing/2014/main" id="{27E71115-E939-4503-BB53-5B935FBC6003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89"/>
                <a:gd name="T1" fmla="*/ 0 h 65"/>
                <a:gd name="T2" fmla="*/ 0 w 89"/>
                <a:gd name="T3" fmla="*/ 7 h 65"/>
                <a:gd name="T4" fmla="*/ 89 w 89"/>
                <a:gd name="T5" fmla="*/ 65 h 65"/>
                <a:gd name="T6" fmla="*/ 5 w 89"/>
                <a:gd name="T7" fmla="*/ 0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5">
                  <a:moveTo>
                    <a:pt x="5" y="0"/>
                  </a:moveTo>
                  <a:lnTo>
                    <a:pt x="0" y="7"/>
                  </a:lnTo>
                  <a:lnTo>
                    <a:pt x="89" y="65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2" name="Freeform 404">
              <a:extLst>
                <a:ext uri="{FF2B5EF4-FFF2-40B4-BE49-F238E27FC236}">
                  <a16:creationId xmlns:a16="http://schemas.microsoft.com/office/drawing/2014/main" id="{761D9517-42FA-41CF-A9BA-62FF2AEB806B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94"/>
                <a:gd name="T1" fmla="*/ 0 h 58"/>
                <a:gd name="T2" fmla="*/ 0 w 94"/>
                <a:gd name="T3" fmla="*/ 8 h 58"/>
                <a:gd name="T4" fmla="*/ 94 w 94"/>
                <a:gd name="T5" fmla="*/ 58 h 58"/>
                <a:gd name="T6" fmla="*/ 5 w 94"/>
                <a:gd name="T7" fmla="*/ 0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8">
                  <a:moveTo>
                    <a:pt x="5" y="0"/>
                  </a:moveTo>
                  <a:lnTo>
                    <a:pt x="0" y="8"/>
                  </a:lnTo>
                  <a:lnTo>
                    <a:pt x="94" y="58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3" name="Freeform 405">
              <a:extLst>
                <a:ext uri="{FF2B5EF4-FFF2-40B4-BE49-F238E27FC236}">
                  <a16:creationId xmlns:a16="http://schemas.microsoft.com/office/drawing/2014/main" id="{B9D68A42-3A99-4C37-8D6A-EDACF56341C2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3 w 97"/>
                <a:gd name="T1" fmla="*/ 0 h 50"/>
                <a:gd name="T2" fmla="*/ 0 w 97"/>
                <a:gd name="T3" fmla="*/ 7 h 50"/>
                <a:gd name="T4" fmla="*/ 97 w 97"/>
                <a:gd name="T5" fmla="*/ 50 h 50"/>
                <a:gd name="T6" fmla="*/ 3 w 97"/>
                <a:gd name="T7" fmla="*/ 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3" y="0"/>
                  </a:moveTo>
                  <a:lnTo>
                    <a:pt x="0" y="7"/>
                  </a:lnTo>
                  <a:lnTo>
                    <a:pt x="97" y="5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4" name="Freeform 406">
              <a:extLst>
                <a:ext uri="{FF2B5EF4-FFF2-40B4-BE49-F238E27FC236}">
                  <a16:creationId xmlns:a16="http://schemas.microsoft.com/office/drawing/2014/main" id="{BF71895C-A677-4930-A49D-5DDAF03D56A8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4 w 101"/>
                <a:gd name="T1" fmla="*/ 0 h 43"/>
                <a:gd name="T2" fmla="*/ 0 w 101"/>
                <a:gd name="T3" fmla="*/ 8 h 43"/>
                <a:gd name="T4" fmla="*/ 101 w 101"/>
                <a:gd name="T5" fmla="*/ 43 h 43"/>
                <a:gd name="T6" fmla="*/ 4 w 101"/>
                <a:gd name="T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3">
                  <a:moveTo>
                    <a:pt x="4" y="0"/>
                  </a:moveTo>
                  <a:lnTo>
                    <a:pt x="0" y="8"/>
                  </a:lnTo>
                  <a:lnTo>
                    <a:pt x="101" y="43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5" name="Freeform 407">
              <a:extLst>
                <a:ext uri="{FF2B5EF4-FFF2-40B4-BE49-F238E27FC236}">
                  <a16:creationId xmlns:a16="http://schemas.microsoft.com/office/drawing/2014/main" id="{99422357-A787-4BBB-895F-F3122A50D778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3"/>
                <a:gd name="T1" fmla="*/ 0 h 35"/>
                <a:gd name="T2" fmla="*/ 0 w 103"/>
                <a:gd name="T3" fmla="*/ 9 h 35"/>
                <a:gd name="T4" fmla="*/ 103 w 103"/>
                <a:gd name="T5" fmla="*/ 35 h 35"/>
                <a:gd name="T6" fmla="*/ 2 w 103"/>
                <a:gd name="T7" fmla="*/ 0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5">
                  <a:moveTo>
                    <a:pt x="2" y="0"/>
                  </a:moveTo>
                  <a:lnTo>
                    <a:pt x="0" y="9"/>
                  </a:lnTo>
                  <a:lnTo>
                    <a:pt x="103" y="35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6" name="Freeform 408">
              <a:extLst>
                <a:ext uri="{FF2B5EF4-FFF2-40B4-BE49-F238E27FC236}">
                  <a16:creationId xmlns:a16="http://schemas.microsoft.com/office/drawing/2014/main" id="{70DB36A4-722B-405F-9D9D-E553927605FD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5"/>
                <a:gd name="T1" fmla="*/ 0 h 26"/>
                <a:gd name="T2" fmla="*/ 0 w 105"/>
                <a:gd name="T3" fmla="*/ 8 h 26"/>
                <a:gd name="T4" fmla="*/ 105 w 105"/>
                <a:gd name="T5" fmla="*/ 26 h 26"/>
                <a:gd name="T6" fmla="*/ 2 w 105"/>
                <a:gd name="T7" fmla="*/ 0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2" y="0"/>
                  </a:moveTo>
                  <a:lnTo>
                    <a:pt x="0" y="8"/>
                  </a:lnTo>
                  <a:lnTo>
                    <a:pt x="105" y="2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7" name="Freeform 409">
              <a:extLst>
                <a:ext uri="{FF2B5EF4-FFF2-40B4-BE49-F238E27FC236}">
                  <a16:creationId xmlns:a16="http://schemas.microsoft.com/office/drawing/2014/main" id="{5378574B-603C-47E3-9FCD-79D3397C7CBA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1 w 106"/>
                <a:gd name="T1" fmla="*/ 0 h 18"/>
                <a:gd name="T2" fmla="*/ 0 w 106"/>
                <a:gd name="T3" fmla="*/ 9 h 18"/>
                <a:gd name="T4" fmla="*/ 106 w 106"/>
                <a:gd name="T5" fmla="*/ 18 h 18"/>
                <a:gd name="T6" fmla="*/ 1 w 106"/>
                <a:gd name="T7" fmla="*/ 0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8">
                  <a:moveTo>
                    <a:pt x="1" y="0"/>
                  </a:moveTo>
                  <a:lnTo>
                    <a:pt x="0" y="9"/>
                  </a:lnTo>
                  <a:lnTo>
                    <a:pt x="106" y="18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8" name="Freeform 410">
              <a:extLst>
                <a:ext uri="{FF2B5EF4-FFF2-40B4-BE49-F238E27FC236}">
                  <a16:creationId xmlns:a16="http://schemas.microsoft.com/office/drawing/2014/main" id="{CDD6C9FA-C56A-4F4D-BD60-12991F77DF10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9"/>
                <a:gd name="T2" fmla="*/ 0 w 106"/>
                <a:gd name="T3" fmla="*/ 9 h 9"/>
                <a:gd name="T4" fmla="*/ 106 w 106"/>
                <a:gd name="T5" fmla="*/ 9 h 9"/>
                <a:gd name="T6" fmla="*/ 0 w 106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9">
                  <a:moveTo>
                    <a:pt x="0" y="0"/>
                  </a:moveTo>
                  <a:lnTo>
                    <a:pt x="0" y="9"/>
                  </a:lnTo>
                  <a:lnTo>
                    <a:pt x="106" y="9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9" name="Freeform 411">
              <a:extLst>
                <a:ext uri="{FF2B5EF4-FFF2-40B4-BE49-F238E27FC236}">
                  <a16:creationId xmlns:a16="http://schemas.microsoft.com/office/drawing/2014/main" id="{F52DE5C5-D1BE-44E3-8F4B-9A0BD00222C9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8"/>
                <a:gd name="T2" fmla="*/ 0 w 106"/>
                <a:gd name="T3" fmla="*/ 8 h 8"/>
                <a:gd name="T4" fmla="*/ 106 w 106"/>
                <a:gd name="T5" fmla="*/ 0 h 8"/>
                <a:gd name="T6" fmla="*/ 0 w 106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8">
                  <a:moveTo>
                    <a:pt x="0" y="0"/>
                  </a:moveTo>
                  <a:lnTo>
                    <a:pt x="0" y="8"/>
                  </a:lnTo>
                  <a:lnTo>
                    <a:pt x="10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0" name="Freeform 412">
              <a:extLst>
                <a:ext uri="{FF2B5EF4-FFF2-40B4-BE49-F238E27FC236}">
                  <a16:creationId xmlns:a16="http://schemas.microsoft.com/office/drawing/2014/main" id="{2B451A18-590E-4064-865D-F1843F9DDC98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8 h 17"/>
                <a:gd name="T2" fmla="*/ 1 w 106"/>
                <a:gd name="T3" fmla="*/ 17 h 17"/>
                <a:gd name="T4" fmla="*/ 106 w 106"/>
                <a:gd name="T5" fmla="*/ 0 h 17"/>
                <a:gd name="T6" fmla="*/ 0 w 106"/>
                <a:gd name="T7" fmla="*/ 8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7">
                  <a:moveTo>
                    <a:pt x="0" y="8"/>
                  </a:moveTo>
                  <a:lnTo>
                    <a:pt x="1" y="17"/>
                  </a:lnTo>
                  <a:lnTo>
                    <a:pt x="106" y="0"/>
                  </a:lnTo>
                  <a:lnTo>
                    <a:pt x="0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1" name="Freeform 413">
              <a:extLst>
                <a:ext uri="{FF2B5EF4-FFF2-40B4-BE49-F238E27FC236}">
                  <a16:creationId xmlns:a16="http://schemas.microsoft.com/office/drawing/2014/main" id="{4E440403-10E0-4111-889D-535924B6C93C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5"/>
                <a:gd name="T1" fmla="*/ 17 h 26"/>
                <a:gd name="T2" fmla="*/ 2 w 105"/>
                <a:gd name="T3" fmla="*/ 26 h 26"/>
                <a:gd name="T4" fmla="*/ 105 w 105"/>
                <a:gd name="T5" fmla="*/ 0 h 26"/>
                <a:gd name="T6" fmla="*/ 0 w 105"/>
                <a:gd name="T7" fmla="*/ 17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0" y="17"/>
                  </a:moveTo>
                  <a:lnTo>
                    <a:pt x="2" y="26"/>
                  </a:lnTo>
                  <a:lnTo>
                    <a:pt x="105" y="0"/>
                  </a:lnTo>
                  <a:lnTo>
                    <a:pt x="0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2" name="Freeform 414">
              <a:extLst>
                <a:ext uri="{FF2B5EF4-FFF2-40B4-BE49-F238E27FC236}">
                  <a16:creationId xmlns:a16="http://schemas.microsoft.com/office/drawing/2014/main" id="{8FB228A1-F71E-4143-B853-A3A4E02F8532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3"/>
                <a:gd name="T1" fmla="*/ 26 h 34"/>
                <a:gd name="T2" fmla="*/ 2 w 103"/>
                <a:gd name="T3" fmla="*/ 34 h 34"/>
                <a:gd name="T4" fmla="*/ 103 w 103"/>
                <a:gd name="T5" fmla="*/ 0 h 34"/>
                <a:gd name="T6" fmla="*/ 0 w 103"/>
                <a:gd name="T7" fmla="*/ 26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4">
                  <a:moveTo>
                    <a:pt x="0" y="26"/>
                  </a:moveTo>
                  <a:lnTo>
                    <a:pt x="2" y="34"/>
                  </a:lnTo>
                  <a:lnTo>
                    <a:pt x="103" y="0"/>
                  </a:lnTo>
                  <a:lnTo>
                    <a:pt x="0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3" name="Freeform 415">
              <a:extLst>
                <a:ext uri="{FF2B5EF4-FFF2-40B4-BE49-F238E27FC236}">
                  <a16:creationId xmlns:a16="http://schemas.microsoft.com/office/drawing/2014/main" id="{1FB9A743-2D94-4D15-A2D3-FC2855D912D2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1"/>
            </a:xfrm>
            <a:custGeom>
              <a:avLst/>
              <a:gdLst>
                <a:gd name="T0" fmla="*/ 0 w 101"/>
                <a:gd name="T1" fmla="*/ 34 h 42"/>
                <a:gd name="T2" fmla="*/ 4 w 101"/>
                <a:gd name="T3" fmla="*/ 42 h 42"/>
                <a:gd name="T4" fmla="*/ 101 w 101"/>
                <a:gd name="T5" fmla="*/ 0 h 42"/>
                <a:gd name="T6" fmla="*/ 0 w 101"/>
                <a:gd name="T7" fmla="*/ 34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2">
                  <a:moveTo>
                    <a:pt x="0" y="34"/>
                  </a:moveTo>
                  <a:lnTo>
                    <a:pt x="4" y="42"/>
                  </a:lnTo>
                  <a:lnTo>
                    <a:pt x="101" y="0"/>
                  </a:lnTo>
                  <a:lnTo>
                    <a:pt x="0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4" name="Freeform 416">
              <a:extLst>
                <a:ext uri="{FF2B5EF4-FFF2-40B4-BE49-F238E27FC236}">
                  <a16:creationId xmlns:a16="http://schemas.microsoft.com/office/drawing/2014/main" id="{13F8E738-1064-4AEA-9F90-ED7A3934132C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7"/>
                <a:gd name="T1" fmla="*/ 42 h 50"/>
                <a:gd name="T2" fmla="*/ 3 w 97"/>
                <a:gd name="T3" fmla="*/ 50 h 50"/>
                <a:gd name="T4" fmla="*/ 97 w 97"/>
                <a:gd name="T5" fmla="*/ 0 h 50"/>
                <a:gd name="T6" fmla="*/ 0 w 97"/>
                <a:gd name="T7" fmla="*/ 42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0" y="42"/>
                  </a:moveTo>
                  <a:lnTo>
                    <a:pt x="3" y="50"/>
                  </a:lnTo>
                  <a:lnTo>
                    <a:pt x="97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5" name="Freeform 417">
              <a:extLst>
                <a:ext uri="{FF2B5EF4-FFF2-40B4-BE49-F238E27FC236}">
                  <a16:creationId xmlns:a16="http://schemas.microsoft.com/office/drawing/2014/main" id="{520A064A-4C1C-4380-BC45-9B23F79AED8D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4"/>
                <a:gd name="T1" fmla="*/ 50 h 57"/>
                <a:gd name="T2" fmla="*/ 5 w 94"/>
                <a:gd name="T3" fmla="*/ 57 h 57"/>
                <a:gd name="T4" fmla="*/ 94 w 94"/>
                <a:gd name="T5" fmla="*/ 0 h 57"/>
                <a:gd name="T6" fmla="*/ 0 w 94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7">
                  <a:moveTo>
                    <a:pt x="0" y="50"/>
                  </a:moveTo>
                  <a:lnTo>
                    <a:pt x="5" y="57"/>
                  </a:lnTo>
                  <a:lnTo>
                    <a:pt x="94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6" name="Freeform 418">
              <a:extLst>
                <a:ext uri="{FF2B5EF4-FFF2-40B4-BE49-F238E27FC236}">
                  <a16:creationId xmlns:a16="http://schemas.microsoft.com/office/drawing/2014/main" id="{A7CF04E7-D48C-4042-942B-79D177B34912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9"/>
                <a:gd name="T1" fmla="*/ 57 h 64"/>
                <a:gd name="T2" fmla="*/ 5 w 89"/>
                <a:gd name="T3" fmla="*/ 64 h 64"/>
                <a:gd name="T4" fmla="*/ 89 w 89"/>
                <a:gd name="T5" fmla="*/ 0 h 64"/>
                <a:gd name="T6" fmla="*/ 0 w 89"/>
                <a:gd name="T7" fmla="*/ 57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4">
                  <a:moveTo>
                    <a:pt x="0" y="57"/>
                  </a:moveTo>
                  <a:lnTo>
                    <a:pt x="5" y="64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7" name="Freeform 419">
              <a:extLst>
                <a:ext uri="{FF2B5EF4-FFF2-40B4-BE49-F238E27FC236}">
                  <a16:creationId xmlns:a16="http://schemas.microsoft.com/office/drawing/2014/main" id="{CDCE6A7B-9F7D-4105-A368-BF774F82B2DA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4"/>
                <a:gd name="T1" fmla="*/ 64 h 71"/>
                <a:gd name="T2" fmla="*/ 6 w 84"/>
                <a:gd name="T3" fmla="*/ 71 h 71"/>
                <a:gd name="T4" fmla="*/ 84 w 84"/>
                <a:gd name="T5" fmla="*/ 0 h 71"/>
                <a:gd name="T6" fmla="*/ 0 w 84"/>
                <a:gd name="T7" fmla="*/ 64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1">
                  <a:moveTo>
                    <a:pt x="0" y="64"/>
                  </a:moveTo>
                  <a:lnTo>
                    <a:pt x="6" y="71"/>
                  </a:lnTo>
                  <a:lnTo>
                    <a:pt x="84" y="0"/>
                  </a:lnTo>
                  <a:lnTo>
                    <a:pt x="0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8" name="Freeform 420">
              <a:extLst>
                <a:ext uri="{FF2B5EF4-FFF2-40B4-BE49-F238E27FC236}">
                  <a16:creationId xmlns:a16="http://schemas.microsoft.com/office/drawing/2014/main" id="{3AD25806-1DF9-4257-AB96-AA864586D6F8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8"/>
                <a:gd name="T1" fmla="*/ 71 h 77"/>
                <a:gd name="T2" fmla="*/ 6 w 78"/>
                <a:gd name="T3" fmla="*/ 77 h 77"/>
                <a:gd name="T4" fmla="*/ 78 w 78"/>
                <a:gd name="T5" fmla="*/ 0 h 77"/>
                <a:gd name="T6" fmla="*/ 0 w 78"/>
                <a:gd name="T7" fmla="*/ 71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7">
                  <a:moveTo>
                    <a:pt x="0" y="71"/>
                  </a:moveTo>
                  <a:lnTo>
                    <a:pt x="6" y="77"/>
                  </a:lnTo>
                  <a:lnTo>
                    <a:pt x="78" y="0"/>
                  </a:lnTo>
                  <a:lnTo>
                    <a:pt x="0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9" name="Freeform 421">
              <a:extLst>
                <a:ext uri="{FF2B5EF4-FFF2-40B4-BE49-F238E27FC236}">
                  <a16:creationId xmlns:a16="http://schemas.microsoft.com/office/drawing/2014/main" id="{62F3EFB0-D5EC-4ECC-A9A1-726B7CE0E109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2"/>
                <a:gd name="T1" fmla="*/ 77 h 83"/>
                <a:gd name="T2" fmla="*/ 6 w 72"/>
                <a:gd name="T3" fmla="*/ 83 h 83"/>
                <a:gd name="T4" fmla="*/ 72 w 72"/>
                <a:gd name="T5" fmla="*/ 0 h 83"/>
                <a:gd name="T6" fmla="*/ 0 w 72"/>
                <a:gd name="T7" fmla="*/ 77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0" y="77"/>
                  </a:moveTo>
                  <a:lnTo>
                    <a:pt x="6" y="83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0" name="Freeform 422">
              <a:extLst>
                <a:ext uri="{FF2B5EF4-FFF2-40B4-BE49-F238E27FC236}">
                  <a16:creationId xmlns:a16="http://schemas.microsoft.com/office/drawing/2014/main" id="{C5922893-9401-4656-B296-AE57722290C6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66"/>
                <a:gd name="T1" fmla="*/ 83 h 88"/>
                <a:gd name="T2" fmla="*/ 7 w 66"/>
                <a:gd name="T3" fmla="*/ 88 h 88"/>
                <a:gd name="T4" fmla="*/ 66 w 66"/>
                <a:gd name="T5" fmla="*/ 0 h 88"/>
                <a:gd name="T6" fmla="*/ 0 w 66"/>
                <a:gd name="T7" fmla="*/ 83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0" y="83"/>
                  </a:moveTo>
                  <a:lnTo>
                    <a:pt x="7" y="88"/>
                  </a:lnTo>
                  <a:lnTo>
                    <a:pt x="66" y="0"/>
                  </a:lnTo>
                  <a:lnTo>
                    <a:pt x="0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1" name="Freeform 423">
              <a:extLst>
                <a:ext uri="{FF2B5EF4-FFF2-40B4-BE49-F238E27FC236}">
                  <a16:creationId xmlns:a16="http://schemas.microsoft.com/office/drawing/2014/main" id="{2D17E46B-1374-4DB0-AA58-D36B624B38D8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9"/>
                <a:gd name="T1" fmla="*/ 88 h 92"/>
                <a:gd name="T2" fmla="*/ 8 w 59"/>
                <a:gd name="T3" fmla="*/ 92 h 92"/>
                <a:gd name="T4" fmla="*/ 59 w 59"/>
                <a:gd name="T5" fmla="*/ 0 h 92"/>
                <a:gd name="T6" fmla="*/ 0 w 59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2">
                  <a:moveTo>
                    <a:pt x="0" y="88"/>
                  </a:moveTo>
                  <a:lnTo>
                    <a:pt x="8" y="92"/>
                  </a:lnTo>
                  <a:lnTo>
                    <a:pt x="59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2" name="Freeform 424">
              <a:extLst>
                <a:ext uri="{FF2B5EF4-FFF2-40B4-BE49-F238E27FC236}">
                  <a16:creationId xmlns:a16="http://schemas.microsoft.com/office/drawing/2014/main" id="{9CEE7DE9-E361-40FE-B4D3-3E500CE6283C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1"/>
                <a:gd name="T1" fmla="*/ 92 h 96"/>
                <a:gd name="T2" fmla="*/ 8 w 51"/>
                <a:gd name="T3" fmla="*/ 96 h 96"/>
                <a:gd name="T4" fmla="*/ 51 w 51"/>
                <a:gd name="T5" fmla="*/ 0 h 96"/>
                <a:gd name="T6" fmla="*/ 0 w 51"/>
                <a:gd name="T7" fmla="*/ 92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6">
                  <a:moveTo>
                    <a:pt x="0" y="92"/>
                  </a:moveTo>
                  <a:lnTo>
                    <a:pt x="8" y="96"/>
                  </a:lnTo>
                  <a:lnTo>
                    <a:pt x="51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3" name="Freeform 425">
              <a:extLst>
                <a:ext uri="{FF2B5EF4-FFF2-40B4-BE49-F238E27FC236}">
                  <a16:creationId xmlns:a16="http://schemas.microsoft.com/office/drawing/2014/main" id="{A04645A2-F98B-4957-9367-30D9E778D580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2"/>
            </a:xfrm>
            <a:custGeom>
              <a:avLst/>
              <a:gdLst>
                <a:gd name="T0" fmla="*/ 0 w 43"/>
                <a:gd name="T1" fmla="*/ 96 h 99"/>
                <a:gd name="T2" fmla="*/ 8 w 43"/>
                <a:gd name="T3" fmla="*/ 99 h 99"/>
                <a:gd name="T4" fmla="*/ 43 w 43"/>
                <a:gd name="T5" fmla="*/ 0 h 99"/>
                <a:gd name="T6" fmla="*/ 0 w 43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99">
                  <a:moveTo>
                    <a:pt x="0" y="96"/>
                  </a:moveTo>
                  <a:lnTo>
                    <a:pt x="8" y="99"/>
                  </a:lnTo>
                  <a:lnTo>
                    <a:pt x="43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4" name="Freeform 426">
              <a:extLst>
                <a:ext uri="{FF2B5EF4-FFF2-40B4-BE49-F238E27FC236}">
                  <a16:creationId xmlns:a16="http://schemas.microsoft.com/office/drawing/2014/main" id="{44E02E07-4331-4AE7-96AD-EC3106AAC22A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35"/>
                <a:gd name="T1" fmla="*/ 99 h 102"/>
                <a:gd name="T2" fmla="*/ 8 w 35"/>
                <a:gd name="T3" fmla="*/ 102 h 102"/>
                <a:gd name="T4" fmla="*/ 35 w 35"/>
                <a:gd name="T5" fmla="*/ 0 h 102"/>
                <a:gd name="T6" fmla="*/ 0 w 35"/>
                <a:gd name="T7" fmla="*/ 99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0" y="99"/>
                  </a:moveTo>
                  <a:lnTo>
                    <a:pt x="8" y="102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5" name="Freeform 427">
              <a:extLst>
                <a:ext uri="{FF2B5EF4-FFF2-40B4-BE49-F238E27FC236}">
                  <a16:creationId xmlns:a16="http://schemas.microsoft.com/office/drawing/2014/main" id="{8BEE4CCE-5205-4AC9-BAA9-E7F8CED157C3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27"/>
                <a:gd name="T1" fmla="*/ 102 h 104"/>
                <a:gd name="T2" fmla="*/ 9 w 27"/>
                <a:gd name="T3" fmla="*/ 104 h 104"/>
                <a:gd name="T4" fmla="*/ 27 w 27"/>
                <a:gd name="T5" fmla="*/ 0 h 104"/>
                <a:gd name="T6" fmla="*/ 0 w 27"/>
                <a:gd name="T7" fmla="*/ 10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0" y="102"/>
                  </a:moveTo>
                  <a:lnTo>
                    <a:pt x="9" y="104"/>
                  </a:lnTo>
                  <a:lnTo>
                    <a:pt x="27" y="0"/>
                  </a:lnTo>
                  <a:lnTo>
                    <a:pt x="0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6" name="Freeform 428">
              <a:extLst>
                <a:ext uri="{FF2B5EF4-FFF2-40B4-BE49-F238E27FC236}">
                  <a16:creationId xmlns:a16="http://schemas.microsoft.com/office/drawing/2014/main" id="{DB6DC56F-3318-4775-9DD7-83AC4F2AD9EA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18"/>
                <a:gd name="T1" fmla="*/ 104 h 105"/>
                <a:gd name="T2" fmla="*/ 9 w 18"/>
                <a:gd name="T3" fmla="*/ 105 h 105"/>
                <a:gd name="T4" fmla="*/ 18 w 18"/>
                <a:gd name="T5" fmla="*/ 0 h 105"/>
                <a:gd name="T6" fmla="*/ 0 w 18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0" y="104"/>
                  </a:moveTo>
                  <a:lnTo>
                    <a:pt x="9" y="105"/>
                  </a:lnTo>
                  <a:lnTo>
                    <a:pt x="18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7" name="Freeform 429">
              <a:extLst>
                <a:ext uri="{FF2B5EF4-FFF2-40B4-BE49-F238E27FC236}">
                  <a16:creationId xmlns:a16="http://schemas.microsoft.com/office/drawing/2014/main" id="{E390063D-576C-4F0A-9B8E-75610A3B37C4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9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9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8" name="Freeform 430">
              <a:extLst>
                <a:ext uri="{FF2B5EF4-FFF2-40B4-BE49-F238E27FC236}">
                  <a16:creationId xmlns:a16="http://schemas.microsoft.com/office/drawing/2014/main" id="{1946D3FC-922C-43B1-92C5-7D7FF6E1F4A4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0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9" name="Freeform 431">
              <a:extLst>
                <a:ext uri="{FF2B5EF4-FFF2-40B4-BE49-F238E27FC236}">
                  <a16:creationId xmlns:a16="http://schemas.microsoft.com/office/drawing/2014/main" id="{9AA9A3E1-A962-4298-A4DD-13C067B9D85D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9 w 17"/>
                <a:gd name="T1" fmla="*/ 105 h 105"/>
                <a:gd name="T2" fmla="*/ 17 w 17"/>
                <a:gd name="T3" fmla="*/ 104 h 105"/>
                <a:gd name="T4" fmla="*/ 0 w 17"/>
                <a:gd name="T5" fmla="*/ 0 h 105"/>
                <a:gd name="T6" fmla="*/ 9 w 1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9" y="105"/>
                  </a:moveTo>
                  <a:lnTo>
                    <a:pt x="17" y="104"/>
                  </a:lnTo>
                  <a:lnTo>
                    <a:pt x="0" y="0"/>
                  </a:lnTo>
                  <a:lnTo>
                    <a:pt x="9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0" name="Freeform 432">
              <a:extLst>
                <a:ext uri="{FF2B5EF4-FFF2-40B4-BE49-F238E27FC236}">
                  <a16:creationId xmlns:a16="http://schemas.microsoft.com/office/drawing/2014/main" id="{47BD1B11-FA35-4BA1-8F8A-39113286D30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17 w 26"/>
                <a:gd name="T1" fmla="*/ 104 h 104"/>
                <a:gd name="T2" fmla="*/ 26 w 26"/>
                <a:gd name="T3" fmla="*/ 102 h 104"/>
                <a:gd name="T4" fmla="*/ 0 w 26"/>
                <a:gd name="T5" fmla="*/ 0 h 104"/>
                <a:gd name="T6" fmla="*/ 17 w 26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17" y="104"/>
                  </a:moveTo>
                  <a:lnTo>
                    <a:pt x="26" y="102"/>
                  </a:lnTo>
                  <a:lnTo>
                    <a:pt x="0" y="0"/>
                  </a:lnTo>
                  <a:lnTo>
                    <a:pt x="17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1" name="Freeform 433">
              <a:extLst>
                <a:ext uri="{FF2B5EF4-FFF2-40B4-BE49-F238E27FC236}">
                  <a16:creationId xmlns:a16="http://schemas.microsoft.com/office/drawing/2014/main" id="{F3D004E4-CA98-43EC-BCE1-58DAC8FF3F2F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26 w 34"/>
                <a:gd name="T1" fmla="*/ 102 h 102"/>
                <a:gd name="T2" fmla="*/ 34 w 34"/>
                <a:gd name="T3" fmla="*/ 99 h 102"/>
                <a:gd name="T4" fmla="*/ 0 w 34"/>
                <a:gd name="T5" fmla="*/ 0 h 102"/>
                <a:gd name="T6" fmla="*/ 26 w 34"/>
                <a:gd name="T7" fmla="*/ 10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26" y="102"/>
                  </a:moveTo>
                  <a:lnTo>
                    <a:pt x="34" y="99"/>
                  </a:lnTo>
                  <a:lnTo>
                    <a:pt x="0" y="0"/>
                  </a:lnTo>
                  <a:lnTo>
                    <a:pt x="26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2" name="Freeform 434">
              <a:extLst>
                <a:ext uri="{FF2B5EF4-FFF2-40B4-BE49-F238E27FC236}">
                  <a16:creationId xmlns:a16="http://schemas.microsoft.com/office/drawing/2014/main" id="{0548BF35-E61C-41BD-800B-C09E567D12C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34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4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4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4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3" name="Freeform 435">
              <a:extLst>
                <a:ext uri="{FF2B5EF4-FFF2-40B4-BE49-F238E27FC236}">
                  <a16:creationId xmlns:a16="http://schemas.microsoft.com/office/drawing/2014/main" id="{B0CFBD0D-6678-41E8-A87B-967A08FF77E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42 w 50"/>
                <a:gd name="T1" fmla="*/ 96 h 96"/>
                <a:gd name="T2" fmla="*/ 50 w 50"/>
                <a:gd name="T3" fmla="*/ 92 h 96"/>
                <a:gd name="T4" fmla="*/ 0 w 50"/>
                <a:gd name="T5" fmla="*/ 0 h 96"/>
                <a:gd name="T6" fmla="*/ 42 w 50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42" y="96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4" name="Freeform 436">
              <a:extLst>
                <a:ext uri="{FF2B5EF4-FFF2-40B4-BE49-F238E27FC236}">
                  <a16:creationId xmlns:a16="http://schemas.microsoft.com/office/drawing/2014/main" id="{E81ED209-BD0A-40FF-9ECF-832F1AAEB893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0 w 58"/>
                <a:gd name="T1" fmla="*/ 92 h 92"/>
                <a:gd name="T2" fmla="*/ 58 w 58"/>
                <a:gd name="T3" fmla="*/ 88 h 92"/>
                <a:gd name="T4" fmla="*/ 0 w 58"/>
                <a:gd name="T5" fmla="*/ 0 h 92"/>
                <a:gd name="T6" fmla="*/ 50 w 58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2">
                  <a:moveTo>
                    <a:pt x="50" y="92"/>
                  </a:moveTo>
                  <a:lnTo>
                    <a:pt x="58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5" name="Freeform 437">
              <a:extLst>
                <a:ext uri="{FF2B5EF4-FFF2-40B4-BE49-F238E27FC236}">
                  <a16:creationId xmlns:a16="http://schemas.microsoft.com/office/drawing/2014/main" id="{49A76970-57CA-41B1-B9B5-DC72A033E55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8 w 65"/>
                <a:gd name="T1" fmla="*/ 88 h 88"/>
                <a:gd name="T2" fmla="*/ 65 w 65"/>
                <a:gd name="T3" fmla="*/ 83 h 88"/>
                <a:gd name="T4" fmla="*/ 0 w 65"/>
                <a:gd name="T5" fmla="*/ 0 h 88"/>
                <a:gd name="T6" fmla="*/ 58 w 65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58" y="88"/>
                  </a:moveTo>
                  <a:lnTo>
                    <a:pt x="65" y="83"/>
                  </a:lnTo>
                  <a:lnTo>
                    <a:pt x="0" y="0"/>
                  </a:lnTo>
                  <a:lnTo>
                    <a:pt x="58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6" name="Freeform 438">
              <a:extLst>
                <a:ext uri="{FF2B5EF4-FFF2-40B4-BE49-F238E27FC236}">
                  <a16:creationId xmlns:a16="http://schemas.microsoft.com/office/drawing/2014/main" id="{F57A23D0-3B80-4528-B3FA-CED3DA19742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65 w 71"/>
                <a:gd name="T1" fmla="*/ 83 h 83"/>
                <a:gd name="T2" fmla="*/ 71 w 71"/>
                <a:gd name="T3" fmla="*/ 77 h 83"/>
                <a:gd name="T4" fmla="*/ 0 w 71"/>
                <a:gd name="T5" fmla="*/ 0 h 83"/>
                <a:gd name="T6" fmla="*/ 65 w 71"/>
                <a:gd name="T7" fmla="*/ 83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65" y="83"/>
                  </a:moveTo>
                  <a:lnTo>
                    <a:pt x="71" y="77"/>
                  </a:lnTo>
                  <a:lnTo>
                    <a:pt x="0" y="0"/>
                  </a:lnTo>
                  <a:lnTo>
                    <a:pt x="65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7" name="Freeform 439">
              <a:extLst>
                <a:ext uri="{FF2B5EF4-FFF2-40B4-BE49-F238E27FC236}">
                  <a16:creationId xmlns:a16="http://schemas.microsoft.com/office/drawing/2014/main" id="{AABB29C3-A3AF-486D-A814-58802CB9668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1 w 77"/>
                <a:gd name="T1" fmla="*/ 77 h 77"/>
                <a:gd name="T2" fmla="*/ 77 w 77"/>
                <a:gd name="T3" fmla="*/ 71 h 77"/>
                <a:gd name="T4" fmla="*/ 0 w 77"/>
                <a:gd name="T5" fmla="*/ 0 h 77"/>
                <a:gd name="T6" fmla="*/ 71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1" y="77"/>
                  </a:moveTo>
                  <a:lnTo>
                    <a:pt x="77" y="71"/>
                  </a:lnTo>
                  <a:lnTo>
                    <a:pt x="0" y="0"/>
                  </a:lnTo>
                  <a:lnTo>
                    <a:pt x="71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8" name="Freeform 440">
              <a:extLst>
                <a:ext uri="{FF2B5EF4-FFF2-40B4-BE49-F238E27FC236}">
                  <a16:creationId xmlns:a16="http://schemas.microsoft.com/office/drawing/2014/main" id="{215492EE-CCA9-4714-A6F2-8C4D258B3C5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7 w 83"/>
                <a:gd name="T1" fmla="*/ 71 h 71"/>
                <a:gd name="T2" fmla="*/ 83 w 83"/>
                <a:gd name="T3" fmla="*/ 64 h 71"/>
                <a:gd name="T4" fmla="*/ 0 w 83"/>
                <a:gd name="T5" fmla="*/ 0 h 71"/>
                <a:gd name="T6" fmla="*/ 77 w 83"/>
                <a:gd name="T7" fmla="*/ 71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1">
                  <a:moveTo>
                    <a:pt x="77" y="71"/>
                  </a:moveTo>
                  <a:lnTo>
                    <a:pt x="83" y="64"/>
                  </a:lnTo>
                  <a:lnTo>
                    <a:pt x="0" y="0"/>
                  </a:lnTo>
                  <a:lnTo>
                    <a:pt x="77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9" name="Freeform 441">
              <a:extLst>
                <a:ext uri="{FF2B5EF4-FFF2-40B4-BE49-F238E27FC236}">
                  <a16:creationId xmlns:a16="http://schemas.microsoft.com/office/drawing/2014/main" id="{8DA91729-E83C-438D-9363-9BD8D708B2A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3 w 88"/>
                <a:gd name="T1" fmla="*/ 64 h 64"/>
                <a:gd name="T2" fmla="*/ 88 w 88"/>
                <a:gd name="T3" fmla="*/ 57 h 64"/>
                <a:gd name="T4" fmla="*/ 0 w 88"/>
                <a:gd name="T5" fmla="*/ 0 h 64"/>
                <a:gd name="T6" fmla="*/ 83 w 88"/>
                <a:gd name="T7" fmla="*/ 64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4">
                  <a:moveTo>
                    <a:pt x="83" y="64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3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0" name="Freeform 442">
              <a:extLst>
                <a:ext uri="{FF2B5EF4-FFF2-40B4-BE49-F238E27FC236}">
                  <a16:creationId xmlns:a16="http://schemas.microsoft.com/office/drawing/2014/main" id="{1C6833A0-FC73-413B-B941-C5751ABCD4A1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8 w 93"/>
                <a:gd name="T1" fmla="*/ 57 h 57"/>
                <a:gd name="T2" fmla="*/ 93 w 93"/>
                <a:gd name="T3" fmla="*/ 50 h 57"/>
                <a:gd name="T4" fmla="*/ 0 w 93"/>
                <a:gd name="T5" fmla="*/ 0 h 57"/>
                <a:gd name="T6" fmla="*/ 88 w 93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7">
                  <a:moveTo>
                    <a:pt x="88" y="57"/>
                  </a:moveTo>
                  <a:lnTo>
                    <a:pt x="93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1" name="Freeform 443">
              <a:extLst>
                <a:ext uri="{FF2B5EF4-FFF2-40B4-BE49-F238E27FC236}">
                  <a16:creationId xmlns:a16="http://schemas.microsoft.com/office/drawing/2014/main" id="{FC9965EB-9512-4CF2-A4C9-07C5A847E1AC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3 w 96"/>
                <a:gd name="T1" fmla="*/ 50 h 50"/>
                <a:gd name="T2" fmla="*/ 96 w 96"/>
                <a:gd name="T3" fmla="*/ 42 h 50"/>
                <a:gd name="T4" fmla="*/ 0 w 96"/>
                <a:gd name="T5" fmla="*/ 0 h 50"/>
                <a:gd name="T6" fmla="*/ 93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3" y="50"/>
                  </a:moveTo>
                  <a:lnTo>
                    <a:pt x="96" y="42"/>
                  </a:lnTo>
                  <a:lnTo>
                    <a:pt x="0" y="0"/>
                  </a:lnTo>
                  <a:lnTo>
                    <a:pt x="93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2" name="Freeform 444">
              <a:extLst>
                <a:ext uri="{FF2B5EF4-FFF2-40B4-BE49-F238E27FC236}">
                  <a16:creationId xmlns:a16="http://schemas.microsoft.com/office/drawing/2014/main" id="{7C1E1321-C4B6-49E0-B202-C1A105987670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6 w 99"/>
                <a:gd name="T1" fmla="*/ 42 h 42"/>
                <a:gd name="T2" fmla="*/ 99 w 99"/>
                <a:gd name="T3" fmla="*/ 34 h 42"/>
                <a:gd name="T4" fmla="*/ 0 w 99"/>
                <a:gd name="T5" fmla="*/ 0 h 42"/>
                <a:gd name="T6" fmla="*/ 96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6" y="42"/>
                  </a:moveTo>
                  <a:lnTo>
                    <a:pt x="99" y="34"/>
                  </a:lnTo>
                  <a:lnTo>
                    <a:pt x="0" y="0"/>
                  </a:lnTo>
                  <a:lnTo>
                    <a:pt x="96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3" name="Freeform 445">
              <a:extLst>
                <a:ext uri="{FF2B5EF4-FFF2-40B4-BE49-F238E27FC236}">
                  <a16:creationId xmlns:a16="http://schemas.microsoft.com/office/drawing/2014/main" id="{1060B837-DD20-4308-8360-72DB0485067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99 w 102"/>
                <a:gd name="T1" fmla="*/ 34 h 34"/>
                <a:gd name="T2" fmla="*/ 102 w 102"/>
                <a:gd name="T3" fmla="*/ 26 h 34"/>
                <a:gd name="T4" fmla="*/ 0 w 102"/>
                <a:gd name="T5" fmla="*/ 0 h 34"/>
                <a:gd name="T6" fmla="*/ 99 w 102"/>
                <a:gd name="T7" fmla="*/ 34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4">
                  <a:moveTo>
                    <a:pt x="99" y="34"/>
                  </a:moveTo>
                  <a:lnTo>
                    <a:pt x="102" y="26"/>
                  </a:lnTo>
                  <a:lnTo>
                    <a:pt x="0" y="0"/>
                  </a:lnTo>
                  <a:lnTo>
                    <a:pt x="99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4" name="Freeform 446">
              <a:extLst>
                <a:ext uri="{FF2B5EF4-FFF2-40B4-BE49-F238E27FC236}">
                  <a16:creationId xmlns:a16="http://schemas.microsoft.com/office/drawing/2014/main" id="{CB1FA6EE-F05C-405E-B36E-A3645CA33EE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2 w 104"/>
                <a:gd name="T1" fmla="*/ 26 h 26"/>
                <a:gd name="T2" fmla="*/ 104 w 104"/>
                <a:gd name="T3" fmla="*/ 17 h 26"/>
                <a:gd name="T4" fmla="*/ 0 w 104"/>
                <a:gd name="T5" fmla="*/ 0 h 26"/>
                <a:gd name="T6" fmla="*/ 102 w 104"/>
                <a:gd name="T7" fmla="*/ 26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2" y="26"/>
                  </a:moveTo>
                  <a:lnTo>
                    <a:pt x="104" y="17"/>
                  </a:lnTo>
                  <a:lnTo>
                    <a:pt x="0" y="0"/>
                  </a:lnTo>
                  <a:lnTo>
                    <a:pt x="102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5" name="Freeform 447">
              <a:extLst>
                <a:ext uri="{FF2B5EF4-FFF2-40B4-BE49-F238E27FC236}">
                  <a16:creationId xmlns:a16="http://schemas.microsoft.com/office/drawing/2014/main" id="{4F2848CF-7F39-4602-A115-0F062A8FCBC3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4 w 105"/>
                <a:gd name="T1" fmla="*/ 17 h 17"/>
                <a:gd name="T2" fmla="*/ 105 w 105"/>
                <a:gd name="T3" fmla="*/ 8 h 17"/>
                <a:gd name="T4" fmla="*/ 0 w 105"/>
                <a:gd name="T5" fmla="*/ 0 h 17"/>
                <a:gd name="T6" fmla="*/ 104 w 105"/>
                <a:gd name="T7" fmla="*/ 17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7">
                  <a:moveTo>
                    <a:pt x="104" y="17"/>
                  </a:moveTo>
                  <a:lnTo>
                    <a:pt x="105" y="8"/>
                  </a:lnTo>
                  <a:lnTo>
                    <a:pt x="0" y="0"/>
                  </a:lnTo>
                  <a:lnTo>
                    <a:pt x="104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6" name="Freeform 448">
              <a:extLst>
                <a:ext uri="{FF2B5EF4-FFF2-40B4-BE49-F238E27FC236}">
                  <a16:creationId xmlns:a16="http://schemas.microsoft.com/office/drawing/2014/main" id="{083BE7D7-15ED-47ED-B7F9-58CBE9887016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0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7" name="Freeform 449">
              <a:extLst>
                <a:ext uri="{FF2B5EF4-FFF2-40B4-BE49-F238E27FC236}">
                  <a16:creationId xmlns:a16="http://schemas.microsoft.com/office/drawing/2014/main" id="{41CBB68F-5703-4243-969C-655083588852}"/>
                </a:ext>
              </a:extLst>
            </xdr:cNvPr>
            <xdr:cNvSpPr>
              <a:spLocks/>
            </xdr:cNvSpPr>
          </xdr:nvSpPr>
          <xdr:spPr bwMode="auto">
            <a:xfrm>
              <a:off x="1178" y="188"/>
              <a:ext cx="6" cy="9"/>
            </a:xfrm>
            <a:custGeom>
              <a:avLst/>
              <a:gdLst>
                <a:gd name="T0" fmla="*/ 0 w 350"/>
                <a:gd name="T1" fmla="*/ 526 h 526"/>
                <a:gd name="T2" fmla="*/ 263 w 350"/>
                <a:gd name="T3" fmla="*/ 526 h 526"/>
                <a:gd name="T4" fmla="*/ 350 w 350"/>
                <a:gd name="T5" fmla="*/ 439 h 526"/>
                <a:gd name="T6" fmla="*/ 350 w 350"/>
                <a:gd name="T7" fmla="*/ 88 h 526"/>
                <a:gd name="T8" fmla="*/ 263 w 350"/>
                <a:gd name="T9" fmla="*/ 0 h 526"/>
                <a:gd name="T10" fmla="*/ 0 w 350"/>
                <a:gd name="T11" fmla="*/ 0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0" h="526">
                  <a:moveTo>
                    <a:pt x="0" y="526"/>
                  </a:moveTo>
                  <a:lnTo>
                    <a:pt x="263" y="526"/>
                  </a:lnTo>
                  <a:lnTo>
                    <a:pt x="350" y="439"/>
                  </a:lnTo>
                  <a:lnTo>
                    <a:pt x="350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38" name="Line 450">
              <a:extLst>
                <a:ext uri="{FF2B5EF4-FFF2-40B4-BE49-F238E27FC236}">
                  <a16:creationId xmlns:a16="http://schemas.microsoft.com/office/drawing/2014/main" id="{FAA030B6-FF6F-4E81-AC03-41E6C2CCF4B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0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9" name="Freeform 451">
              <a:extLst>
                <a:ext uri="{FF2B5EF4-FFF2-40B4-BE49-F238E27FC236}">
                  <a16:creationId xmlns:a16="http://schemas.microsoft.com/office/drawing/2014/main" id="{2E719904-CBC9-4238-8B96-1F0C3DA7FC77}"/>
                </a:ext>
              </a:extLst>
            </xdr:cNvPr>
            <xdr:cNvSpPr>
              <a:spLocks/>
            </xdr:cNvSpPr>
          </xdr:nvSpPr>
          <xdr:spPr bwMode="auto">
            <a:xfrm>
              <a:off x="1190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40" name="Freeform 452">
              <a:extLst>
                <a:ext uri="{FF2B5EF4-FFF2-40B4-BE49-F238E27FC236}">
                  <a16:creationId xmlns:a16="http://schemas.microsoft.com/office/drawing/2014/main" id="{853B78C5-A7E6-4AB0-9397-423B685B0B41}"/>
                </a:ext>
              </a:extLst>
            </xdr:cNvPr>
            <xdr:cNvSpPr>
              <a:spLocks/>
            </xdr:cNvSpPr>
          </xdr:nvSpPr>
          <xdr:spPr bwMode="auto">
            <a:xfrm>
              <a:off x="1190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6" name="Freeform 454">
            <a:extLst>
              <a:ext uri="{FF2B5EF4-FFF2-40B4-BE49-F238E27FC236}">
                <a16:creationId xmlns:a16="http://schemas.microsoft.com/office/drawing/2014/main" id="{7A675D8B-93D2-44F5-BF5B-28AEFAB5C021}"/>
              </a:ext>
            </a:extLst>
          </xdr:cNvPr>
          <xdr:cNvSpPr>
            <a:spLocks/>
          </xdr:cNvSpPr>
        </xdr:nvSpPr>
        <xdr:spPr bwMode="auto">
          <a:xfrm>
            <a:off x="1190" y="200"/>
            <a:ext cx="1" cy="2"/>
          </a:xfrm>
          <a:custGeom>
            <a:avLst/>
            <a:gdLst>
              <a:gd name="T0" fmla="*/ 53 w 53"/>
              <a:gd name="T1" fmla="*/ 14 h 106"/>
              <a:gd name="T2" fmla="*/ 0 w 53"/>
              <a:gd name="T3" fmla="*/ 0 h 106"/>
              <a:gd name="T4" fmla="*/ 0 w 53"/>
              <a:gd name="T5" fmla="*/ 106 h 106"/>
              <a:gd name="T6" fmla="*/ 53 w 53"/>
              <a:gd name="T7" fmla="*/ 14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14"/>
                </a:moveTo>
                <a:lnTo>
                  <a:pt x="0" y="0"/>
                </a:lnTo>
                <a:lnTo>
                  <a:pt x="0" y="106"/>
                </a:lnTo>
                <a:lnTo>
                  <a:pt x="53" y="14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Freeform 455">
            <a:extLst>
              <a:ext uri="{FF2B5EF4-FFF2-40B4-BE49-F238E27FC236}">
                <a16:creationId xmlns:a16="http://schemas.microsoft.com/office/drawing/2014/main" id="{E8A48A91-E036-4441-83E6-58692DFC18E3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53 w 53"/>
              <a:gd name="T1" fmla="*/ 0 h 106"/>
              <a:gd name="T2" fmla="*/ 0 w 53"/>
              <a:gd name="T3" fmla="*/ 14 h 106"/>
              <a:gd name="T4" fmla="*/ 53 w 53"/>
              <a:gd name="T5" fmla="*/ 106 h 106"/>
              <a:gd name="T6" fmla="*/ 53 w 53"/>
              <a:gd name="T7" fmla="*/ 0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0"/>
                </a:moveTo>
                <a:lnTo>
                  <a:pt x="0" y="14"/>
                </a:lnTo>
                <a:lnTo>
                  <a:pt x="53" y="106"/>
                </a:lnTo>
                <a:lnTo>
                  <a:pt x="53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" name="Freeform 456">
            <a:extLst>
              <a:ext uri="{FF2B5EF4-FFF2-40B4-BE49-F238E27FC236}">
                <a16:creationId xmlns:a16="http://schemas.microsoft.com/office/drawing/2014/main" id="{DD6E91E5-90C2-4B93-B5D8-52FEA90DCB96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38 w 91"/>
              <a:gd name="T1" fmla="*/ 0 h 92"/>
              <a:gd name="T2" fmla="*/ 0 w 91"/>
              <a:gd name="T3" fmla="*/ 39 h 92"/>
              <a:gd name="T4" fmla="*/ 91 w 91"/>
              <a:gd name="T5" fmla="*/ 92 h 92"/>
              <a:gd name="T6" fmla="*/ 38 w 91"/>
              <a:gd name="T7" fmla="*/ 0 h 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2">
                <a:moveTo>
                  <a:pt x="38" y="0"/>
                </a:moveTo>
                <a:lnTo>
                  <a:pt x="0" y="39"/>
                </a:lnTo>
                <a:lnTo>
                  <a:pt x="91" y="92"/>
                </a:lnTo>
                <a:lnTo>
                  <a:pt x="38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Freeform 457">
            <a:extLst>
              <a:ext uri="{FF2B5EF4-FFF2-40B4-BE49-F238E27FC236}">
                <a16:creationId xmlns:a16="http://schemas.microsoft.com/office/drawing/2014/main" id="{E9D799D9-6F9D-4C48-8C7C-2377B0B1459A}"/>
              </a:ext>
            </a:extLst>
          </xdr:cNvPr>
          <xdr:cNvSpPr>
            <a:spLocks/>
          </xdr:cNvSpPr>
        </xdr:nvSpPr>
        <xdr:spPr bwMode="auto">
          <a:xfrm>
            <a:off x="1188" y="201"/>
            <a:ext cx="2" cy="1"/>
          </a:xfrm>
          <a:custGeom>
            <a:avLst/>
            <a:gdLst>
              <a:gd name="T0" fmla="*/ 15 w 106"/>
              <a:gd name="T1" fmla="*/ 0 h 53"/>
              <a:gd name="T2" fmla="*/ 0 w 106"/>
              <a:gd name="T3" fmla="*/ 53 h 53"/>
              <a:gd name="T4" fmla="*/ 106 w 106"/>
              <a:gd name="T5" fmla="*/ 53 h 53"/>
              <a:gd name="T6" fmla="*/ 15 w 106"/>
              <a:gd name="T7" fmla="*/ 0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3">
                <a:moveTo>
                  <a:pt x="15" y="0"/>
                </a:moveTo>
                <a:lnTo>
                  <a:pt x="0" y="53"/>
                </a:lnTo>
                <a:lnTo>
                  <a:pt x="106" y="53"/>
                </a:lnTo>
                <a:lnTo>
                  <a:pt x="15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" name="Freeform 458">
            <a:extLst>
              <a:ext uri="{FF2B5EF4-FFF2-40B4-BE49-F238E27FC236}">
                <a16:creationId xmlns:a16="http://schemas.microsoft.com/office/drawing/2014/main" id="{CBF8951D-A864-4DCF-AD3B-6CF1FF2567AC}"/>
              </a:ext>
            </a:extLst>
          </xdr:cNvPr>
          <xdr:cNvSpPr>
            <a:spLocks/>
          </xdr:cNvSpPr>
        </xdr:nvSpPr>
        <xdr:spPr bwMode="auto">
          <a:xfrm>
            <a:off x="1188" y="202"/>
            <a:ext cx="2" cy="1"/>
          </a:xfrm>
          <a:custGeom>
            <a:avLst/>
            <a:gdLst>
              <a:gd name="T0" fmla="*/ 0 w 106"/>
              <a:gd name="T1" fmla="*/ 0 h 52"/>
              <a:gd name="T2" fmla="*/ 15 w 106"/>
              <a:gd name="T3" fmla="*/ 52 h 52"/>
              <a:gd name="T4" fmla="*/ 106 w 106"/>
              <a:gd name="T5" fmla="*/ 0 h 52"/>
              <a:gd name="T6" fmla="*/ 0 w 106"/>
              <a:gd name="T7" fmla="*/ 0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2">
                <a:moveTo>
                  <a:pt x="0" y="0"/>
                </a:moveTo>
                <a:lnTo>
                  <a:pt x="15" y="52"/>
                </a:lnTo>
                <a:lnTo>
                  <a:pt x="106" y="0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" name="Freeform 459">
            <a:extLst>
              <a:ext uri="{FF2B5EF4-FFF2-40B4-BE49-F238E27FC236}">
                <a16:creationId xmlns:a16="http://schemas.microsoft.com/office/drawing/2014/main" id="{30D3E1AC-D9C8-4C3F-A345-0D1D564AB3F1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1"/>
          </a:xfrm>
          <a:custGeom>
            <a:avLst/>
            <a:gdLst>
              <a:gd name="T0" fmla="*/ 0 w 91"/>
              <a:gd name="T1" fmla="*/ 52 h 91"/>
              <a:gd name="T2" fmla="*/ 38 w 91"/>
              <a:gd name="T3" fmla="*/ 91 h 91"/>
              <a:gd name="T4" fmla="*/ 91 w 91"/>
              <a:gd name="T5" fmla="*/ 0 h 91"/>
              <a:gd name="T6" fmla="*/ 0 w 91"/>
              <a:gd name="T7" fmla="*/ 52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0" y="52"/>
                </a:moveTo>
                <a:lnTo>
                  <a:pt x="38" y="91"/>
                </a:lnTo>
                <a:lnTo>
                  <a:pt x="91" y="0"/>
                </a:lnTo>
                <a:lnTo>
                  <a:pt x="0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" name="Freeform 460">
            <a:extLst>
              <a:ext uri="{FF2B5EF4-FFF2-40B4-BE49-F238E27FC236}">
                <a16:creationId xmlns:a16="http://schemas.microsoft.com/office/drawing/2014/main" id="{7066063C-8CCF-421E-976F-AB5BCD0B47F7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2"/>
          </a:xfrm>
          <a:custGeom>
            <a:avLst/>
            <a:gdLst>
              <a:gd name="T0" fmla="*/ 0 w 53"/>
              <a:gd name="T1" fmla="*/ 91 h 105"/>
              <a:gd name="T2" fmla="*/ 53 w 53"/>
              <a:gd name="T3" fmla="*/ 105 h 105"/>
              <a:gd name="T4" fmla="*/ 53 w 53"/>
              <a:gd name="T5" fmla="*/ 0 h 105"/>
              <a:gd name="T6" fmla="*/ 0 w 53"/>
              <a:gd name="T7" fmla="*/ 9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91"/>
                </a:moveTo>
                <a:lnTo>
                  <a:pt x="53" y="105"/>
                </a:lnTo>
                <a:lnTo>
                  <a:pt x="53" y="0"/>
                </a:lnTo>
                <a:lnTo>
                  <a:pt x="0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" name="Freeform 461">
            <a:extLst>
              <a:ext uri="{FF2B5EF4-FFF2-40B4-BE49-F238E27FC236}">
                <a16:creationId xmlns:a16="http://schemas.microsoft.com/office/drawing/2014/main" id="{7DEAB206-437F-4903-9897-8F5030129FE6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1" cy="2"/>
          </a:xfrm>
          <a:custGeom>
            <a:avLst/>
            <a:gdLst>
              <a:gd name="T0" fmla="*/ 0 w 53"/>
              <a:gd name="T1" fmla="*/ 105 h 105"/>
              <a:gd name="T2" fmla="*/ 53 w 53"/>
              <a:gd name="T3" fmla="*/ 91 h 105"/>
              <a:gd name="T4" fmla="*/ 0 w 53"/>
              <a:gd name="T5" fmla="*/ 0 h 105"/>
              <a:gd name="T6" fmla="*/ 0 w 53"/>
              <a:gd name="T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105"/>
                </a:moveTo>
                <a:lnTo>
                  <a:pt x="53" y="91"/>
                </a:lnTo>
                <a:lnTo>
                  <a:pt x="0" y="0"/>
                </a:lnTo>
                <a:lnTo>
                  <a:pt x="0" y="105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4" name="Freeform 462">
            <a:extLst>
              <a:ext uri="{FF2B5EF4-FFF2-40B4-BE49-F238E27FC236}">
                <a16:creationId xmlns:a16="http://schemas.microsoft.com/office/drawing/2014/main" id="{F2FC3C17-0447-4864-833F-DF766047F572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53 w 91"/>
              <a:gd name="T1" fmla="*/ 91 h 91"/>
              <a:gd name="T2" fmla="*/ 91 w 91"/>
              <a:gd name="T3" fmla="*/ 52 h 91"/>
              <a:gd name="T4" fmla="*/ 0 w 91"/>
              <a:gd name="T5" fmla="*/ 0 h 91"/>
              <a:gd name="T6" fmla="*/ 53 w 91"/>
              <a:gd name="T7" fmla="*/ 91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53" y="91"/>
                </a:moveTo>
                <a:lnTo>
                  <a:pt x="91" y="52"/>
                </a:lnTo>
                <a:lnTo>
                  <a:pt x="0" y="0"/>
                </a:lnTo>
                <a:lnTo>
                  <a:pt x="53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" name="Freeform 463">
            <a:extLst>
              <a:ext uri="{FF2B5EF4-FFF2-40B4-BE49-F238E27FC236}">
                <a16:creationId xmlns:a16="http://schemas.microsoft.com/office/drawing/2014/main" id="{9D34ECCC-B29F-4D60-8A2E-B3B6C009D595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91 w 105"/>
              <a:gd name="T1" fmla="*/ 52 h 52"/>
              <a:gd name="T2" fmla="*/ 105 w 105"/>
              <a:gd name="T3" fmla="*/ 0 h 52"/>
              <a:gd name="T4" fmla="*/ 0 w 105"/>
              <a:gd name="T5" fmla="*/ 0 h 52"/>
              <a:gd name="T6" fmla="*/ 91 w 105"/>
              <a:gd name="T7" fmla="*/ 52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5" h="52">
                <a:moveTo>
                  <a:pt x="91" y="52"/>
                </a:moveTo>
                <a:lnTo>
                  <a:pt x="105" y="0"/>
                </a:lnTo>
                <a:lnTo>
                  <a:pt x="0" y="0"/>
                </a:lnTo>
                <a:lnTo>
                  <a:pt x="91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" name="Line 464">
            <a:extLst>
              <a:ext uri="{FF2B5EF4-FFF2-40B4-BE49-F238E27FC236}">
                <a16:creationId xmlns:a16="http://schemas.microsoft.com/office/drawing/2014/main" id="{44413B16-8052-4AAD-A079-A72D024B02EA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465">
            <a:extLst>
              <a:ext uri="{FF2B5EF4-FFF2-40B4-BE49-F238E27FC236}">
                <a16:creationId xmlns:a16="http://schemas.microsoft.com/office/drawing/2014/main" id="{7412687C-B10F-4CB5-8F0E-0B719D7B79FB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466">
            <a:extLst>
              <a:ext uri="{FF2B5EF4-FFF2-40B4-BE49-F238E27FC236}">
                <a16:creationId xmlns:a16="http://schemas.microsoft.com/office/drawing/2014/main" id="{763B7E9A-B530-4DAE-A4AF-8DDC238D0B96}"/>
              </a:ext>
            </a:extLst>
          </xdr:cNvPr>
          <xdr:cNvSpPr>
            <a:spLocks noChangeShapeType="1"/>
          </xdr:cNvSpPr>
        </xdr:nvSpPr>
        <xdr:spPr bwMode="auto">
          <a:xfrm>
            <a:off x="842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Freeform 467">
            <a:extLst>
              <a:ext uri="{FF2B5EF4-FFF2-40B4-BE49-F238E27FC236}">
                <a16:creationId xmlns:a16="http://schemas.microsoft.com/office/drawing/2014/main" id="{9358B489-2FF0-4E81-9FBD-B29BE5B05EBE}"/>
              </a:ext>
            </a:extLst>
          </xdr:cNvPr>
          <xdr:cNvSpPr>
            <a:spLocks/>
          </xdr:cNvSpPr>
        </xdr:nvSpPr>
        <xdr:spPr bwMode="auto">
          <a:xfrm>
            <a:off x="833" y="268"/>
            <a:ext cx="9" cy="2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" name="Freeform 468">
            <a:extLst>
              <a:ext uri="{FF2B5EF4-FFF2-40B4-BE49-F238E27FC236}">
                <a16:creationId xmlns:a16="http://schemas.microsoft.com/office/drawing/2014/main" id="{828924D2-136B-4E7A-A80F-C68F585778CF}"/>
              </a:ext>
            </a:extLst>
          </xdr:cNvPr>
          <xdr:cNvSpPr>
            <a:spLocks/>
          </xdr:cNvSpPr>
        </xdr:nvSpPr>
        <xdr:spPr bwMode="auto">
          <a:xfrm>
            <a:off x="922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1" name="Line 474">
            <a:extLst>
              <a:ext uri="{FF2B5EF4-FFF2-40B4-BE49-F238E27FC236}">
                <a16:creationId xmlns:a16="http://schemas.microsoft.com/office/drawing/2014/main" id="{D67E369A-2867-45C2-A00B-9507FCA4D9DE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75">
            <a:extLst>
              <a:ext uri="{FF2B5EF4-FFF2-40B4-BE49-F238E27FC236}">
                <a16:creationId xmlns:a16="http://schemas.microsoft.com/office/drawing/2014/main" id="{42ABC95C-8296-4F6F-9DAA-C80F6FCA7259}"/>
              </a:ext>
            </a:extLst>
          </xdr:cNvPr>
          <xdr:cNvSpPr>
            <a:spLocks noChangeShapeType="1"/>
          </xdr:cNvSpPr>
        </xdr:nvSpPr>
        <xdr:spPr bwMode="auto">
          <a:xfrm>
            <a:off x="1029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76">
            <a:extLst>
              <a:ext uri="{FF2B5EF4-FFF2-40B4-BE49-F238E27FC236}">
                <a16:creationId xmlns:a16="http://schemas.microsoft.com/office/drawing/2014/main" id="{E8F78460-2095-45D6-B612-EF82BEB8C278}"/>
              </a:ext>
            </a:extLst>
          </xdr:cNvPr>
          <xdr:cNvSpPr>
            <a:spLocks noChangeShapeType="1"/>
          </xdr:cNvSpPr>
        </xdr:nvSpPr>
        <xdr:spPr bwMode="auto">
          <a:xfrm>
            <a:off x="940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Freeform 477">
            <a:extLst>
              <a:ext uri="{FF2B5EF4-FFF2-40B4-BE49-F238E27FC236}">
                <a16:creationId xmlns:a16="http://schemas.microsoft.com/office/drawing/2014/main" id="{AFE96674-96B6-410C-8CBD-E548ADD97176}"/>
              </a:ext>
            </a:extLst>
          </xdr:cNvPr>
          <xdr:cNvSpPr>
            <a:spLocks/>
          </xdr:cNvSpPr>
        </xdr:nvSpPr>
        <xdr:spPr bwMode="auto">
          <a:xfrm>
            <a:off x="931" y="268"/>
            <a:ext cx="9" cy="2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8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8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5" name="Freeform 478">
            <a:extLst>
              <a:ext uri="{FF2B5EF4-FFF2-40B4-BE49-F238E27FC236}">
                <a16:creationId xmlns:a16="http://schemas.microsoft.com/office/drawing/2014/main" id="{3D5A077D-2B28-41F7-8D60-0F09B60D1EBA}"/>
              </a:ext>
            </a:extLst>
          </xdr:cNvPr>
          <xdr:cNvSpPr>
            <a:spLocks/>
          </xdr:cNvSpPr>
        </xdr:nvSpPr>
        <xdr:spPr bwMode="auto">
          <a:xfrm>
            <a:off x="1020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6" name="Line 484">
            <a:extLst>
              <a:ext uri="{FF2B5EF4-FFF2-40B4-BE49-F238E27FC236}">
                <a16:creationId xmlns:a16="http://schemas.microsoft.com/office/drawing/2014/main" id="{5E92ADB2-572C-4146-80A1-EE1840346534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89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485">
            <a:extLst>
              <a:ext uri="{FF2B5EF4-FFF2-40B4-BE49-F238E27FC236}">
                <a16:creationId xmlns:a16="http://schemas.microsoft.com/office/drawing/2014/main" id="{76DEF38D-70FF-4360-A0EF-079F23ED6BF7}"/>
              </a:ext>
            </a:extLst>
          </xdr:cNvPr>
          <xdr:cNvSpPr>
            <a:spLocks noChangeShapeType="1"/>
          </xdr:cNvSpPr>
        </xdr:nvSpPr>
        <xdr:spPr bwMode="auto">
          <a:xfrm>
            <a:off x="1190" y="299"/>
            <a:ext cx="0" cy="3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86">
            <a:extLst>
              <a:ext uri="{FF2B5EF4-FFF2-40B4-BE49-F238E27FC236}">
                <a16:creationId xmlns:a16="http://schemas.microsoft.com/office/drawing/2014/main" id="{4523639D-EFA3-4AD3-95FA-19740D35E9E3}"/>
              </a:ext>
            </a:extLst>
          </xdr:cNvPr>
          <xdr:cNvSpPr>
            <a:spLocks noChangeShapeType="1"/>
          </xdr:cNvSpPr>
        </xdr:nvSpPr>
        <xdr:spPr bwMode="auto">
          <a:xfrm>
            <a:off x="842" y="325"/>
            <a:ext cx="339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Freeform 487">
            <a:extLst>
              <a:ext uri="{FF2B5EF4-FFF2-40B4-BE49-F238E27FC236}">
                <a16:creationId xmlns:a16="http://schemas.microsoft.com/office/drawing/2014/main" id="{C32827A8-09C3-47F4-839D-8AC9A4DC5CAB}"/>
              </a:ext>
            </a:extLst>
          </xdr:cNvPr>
          <xdr:cNvSpPr>
            <a:spLocks/>
          </xdr:cNvSpPr>
        </xdr:nvSpPr>
        <xdr:spPr bwMode="auto">
          <a:xfrm>
            <a:off x="833" y="323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" name="Freeform 488">
            <a:extLst>
              <a:ext uri="{FF2B5EF4-FFF2-40B4-BE49-F238E27FC236}">
                <a16:creationId xmlns:a16="http://schemas.microsoft.com/office/drawing/2014/main" id="{04229E41-47E6-4633-98EC-CB97E9BABA84}"/>
              </a:ext>
            </a:extLst>
          </xdr:cNvPr>
          <xdr:cNvSpPr>
            <a:spLocks/>
          </xdr:cNvSpPr>
        </xdr:nvSpPr>
        <xdr:spPr bwMode="auto">
          <a:xfrm>
            <a:off x="1181" y="323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" name="Line 494">
            <a:extLst>
              <a:ext uri="{FF2B5EF4-FFF2-40B4-BE49-F238E27FC236}">
                <a16:creationId xmlns:a16="http://schemas.microsoft.com/office/drawing/2014/main" id="{D0A9AB2F-FE2D-4E90-8F65-F1534394708D}"/>
              </a:ext>
            </a:extLst>
          </xdr:cNvPr>
          <xdr:cNvSpPr>
            <a:spLocks noChangeShapeType="1"/>
          </xdr:cNvSpPr>
        </xdr:nvSpPr>
        <xdr:spPr bwMode="auto">
          <a:xfrm flipV="1">
            <a:off x="1029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495">
            <a:extLst>
              <a:ext uri="{FF2B5EF4-FFF2-40B4-BE49-F238E27FC236}">
                <a16:creationId xmlns:a16="http://schemas.microsoft.com/office/drawing/2014/main" id="{CB57C8A1-5624-4605-BD25-F16BE79CC172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496">
            <a:extLst>
              <a:ext uri="{FF2B5EF4-FFF2-40B4-BE49-F238E27FC236}">
                <a16:creationId xmlns:a16="http://schemas.microsoft.com/office/drawing/2014/main" id="{AD57B6BA-FF1B-46F5-B0B0-DA9A18759195}"/>
              </a:ext>
            </a:extLst>
          </xdr:cNvPr>
          <xdr:cNvSpPr>
            <a:spLocks noChangeShapeType="1"/>
          </xdr:cNvSpPr>
        </xdr:nvSpPr>
        <xdr:spPr bwMode="auto">
          <a:xfrm>
            <a:off x="1038" y="86"/>
            <a:ext cx="6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Freeform 497">
            <a:extLst>
              <a:ext uri="{FF2B5EF4-FFF2-40B4-BE49-F238E27FC236}">
                <a16:creationId xmlns:a16="http://schemas.microsoft.com/office/drawing/2014/main" id="{F90FB6C8-CA32-4CF7-94DD-CE9317B5D064}"/>
              </a:ext>
            </a:extLst>
          </xdr:cNvPr>
          <xdr:cNvSpPr>
            <a:spLocks/>
          </xdr:cNvSpPr>
        </xdr:nvSpPr>
        <xdr:spPr bwMode="auto">
          <a:xfrm>
            <a:off x="1029" y="84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7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7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" name="Freeform 498">
            <a:extLst>
              <a:ext uri="{FF2B5EF4-FFF2-40B4-BE49-F238E27FC236}">
                <a16:creationId xmlns:a16="http://schemas.microsoft.com/office/drawing/2014/main" id="{272DCACC-6F71-492B-A734-FAF3DC9B928E}"/>
              </a:ext>
            </a:extLst>
          </xdr:cNvPr>
          <xdr:cNvSpPr>
            <a:spLocks/>
          </xdr:cNvSpPr>
        </xdr:nvSpPr>
        <xdr:spPr bwMode="auto">
          <a:xfrm>
            <a:off x="1103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" name="Line 504">
            <a:extLst>
              <a:ext uri="{FF2B5EF4-FFF2-40B4-BE49-F238E27FC236}">
                <a16:creationId xmlns:a16="http://schemas.microsoft.com/office/drawing/2014/main" id="{A65F6C44-A4DD-4ABE-B6E4-69526545093D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505">
            <a:extLst>
              <a:ext uri="{FF2B5EF4-FFF2-40B4-BE49-F238E27FC236}">
                <a16:creationId xmlns:a16="http://schemas.microsoft.com/office/drawing/2014/main" id="{AF050D2E-1F90-43EE-B550-8C12E37B58E0}"/>
              </a:ext>
            </a:extLst>
          </xdr:cNvPr>
          <xdr:cNvSpPr>
            <a:spLocks noChangeShapeType="1"/>
          </xdr:cNvSpPr>
        </xdr:nvSpPr>
        <xdr:spPr bwMode="auto">
          <a:xfrm flipV="1">
            <a:off x="1190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506">
            <a:extLst>
              <a:ext uri="{FF2B5EF4-FFF2-40B4-BE49-F238E27FC236}">
                <a16:creationId xmlns:a16="http://schemas.microsoft.com/office/drawing/2014/main" id="{BEB7C0ED-FD6B-4DBD-83FF-86E08DD8530A}"/>
              </a:ext>
            </a:extLst>
          </xdr:cNvPr>
          <xdr:cNvSpPr>
            <a:spLocks noChangeShapeType="1"/>
          </xdr:cNvSpPr>
        </xdr:nvSpPr>
        <xdr:spPr bwMode="auto">
          <a:xfrm>
            <a:off x="1121" y="86"/>
            <a:ext cx="6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Freeform 507">
            <a:extLst>
              <a:ext uri="{FF2B5EF4-FFF2-40B4-BE49-F238E27FC236}">
                <a16:creationId xmlns:a16="http://schemas.microsoft.com/office/drawing/2014/main" id="{BE8BB34F-165F-45A2-9761-AE3A10FB56BD}"/>
              </a:ext>
            </a:extLst>
          </xdr:cNvPr>
          <xdr:cNvSpPr>
            <a:spLocks/>
          </xdr:cNvSpPr>
        </xdr:nvSpPr>
        <xdr:spPr bwMode="auto">
          <a:xfrm>
            <a:off x="1112" y="84"/>
            <a:ext cx="9" cy="3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7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7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" name="Freeform 508">
            <a:extLst>
              <a:ext uri="{FF2B5EF4-FFF2-40B4-BE49-F238E27FC236}">
                <a16:creationId xmlns:a16="http://schemas.microsoft.com/office/drawing/2014/main" id="{8C299AFF-0A34-4272-AB7C-C935053ABA31}"/>
              </a:ext>
            </a:extLst>
          </xdr:cNvPr>
          <xdr:cNvSpPr>
            <a:spLocks/>
          </xdr:cNvSpPr>
        </xdr:nvSpPr>
        <xdr:spPr bwMode="auto">
          <a:xfrm>
            <a:off x="1181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" name="Line 514">
            <a:extLst>
              <a:ext uri="{FF2B5EF4-FFF2-40B4-BE49-F238E27FC236}">
                <a16:creationId xmlns:a16="http://schemas.microsoft.com/office/drawing/2014/main" id="{1BE90188-0975-4363-9A0A-69FB0AB1B502}"/>
              </a:ext>
            </a:extLst>
          </xdr:cNvPr>
          <xdr:cNvSpPr>
            <a:spLocks noChangeShapeType="1"/>
          </xdr:cNvSpPr>
        </xdr:nvSpPr>
        <xdr:spPr bwMode="auto">
          <a:xfrm>
            <a:off x="1226" y="107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15">
            <a:extLst>
              <a:ext uri="{FF2B5EF4-FFF2-40B4-BE49-F238E27FC236}">
                <a16:creationId xmlns:a16="http://schemas.microsoft.com/office/drawing/2014/main" id="{4F16BE7F-55F4-4A2C-86D9-23BAACE548E7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516">
            <a:extLst>
              <a:ext uri="{FF2B5EF4-FFF2-40B4-BE49-F238E27FC236}">
                <a16:creationId xmlns:a16="http://schemas.microsoft.com/office/drawing/2014/main" id="{CFDCCF73-271D-447A-A9AF-890486A9A674}"/>
              </a:ext>
            </a:extLst>
          </xdr:cNvPr>
          <xdr:cNvSpPr>
            <a:spLocks noChangeShapeType="1"/>
          </xdr:cNvSpPr>
        </xdr:nvSpPr>
        <xdr:spPr bwMode="auto">
          <a:xfrm>
            <a:off x="1240" y="116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517">
            <a:extLst>
              <a:ext uri="{FF2B5EF4-FFF2-40B4-BE49-F238E27FC236}">
                <a16:creationId xmlns:a16="http://schemas.microsoft.com/office/drawing/2014/main" id="{699527F2-F02C-49C9-9680-AB10CA585C7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16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518">
            <a:extLst>
              <a:ext uri="{FF2B5EF4-FFF2-40B4-BE49-F238E27FC236}">
                <a16:creationId xmlns:a16="http://schemas.microsoft.com/office/drawing/2014/main" id="{ABA8C683-05D9-461F-85E9-2386CCC83A8E}"/>
              </a:ext>
            </a:extLst>
          </xdr:cNvPr>
          <xdr:cNvSpPr>
            <a:spLocks/>
          </xdr:cNvSpPr>
        </xdr:nvSpPr>
        <xdr:spPr bwMode="auto">
          <a:xfrm>
            <a:off x="1238" y="107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" name="Freeform 519">
            <a:extLst>
              <a:ext uri="{FF2B5EF4-FFF2-40B4-BE49-F238E27FC236}">
                <a16:creationId xmlns:a16="http://schemas.microsoft.com/office/drawing/2014/main" id="{6B9B1E56-0869-47CC-9815-057EAF1A7B02}"/>
              </a:ext>
            </a:extLst>
          </xdr:cNvPr>
          <xdr:cNvSpPr>
            <a:spLocks/>
          </xdr:cNvSpPr>
        </xdr:nvSpPr>
        <xdr:spPr bwMode="auto">
          <a:xfrm>
            <a:off x="1238" y="193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7" name="Freeform 520">
            <a:extLst>
              <a:ext uri="{FF2B5EF4-FFF2-40B4-BE49-F238E27FC236}">
                <a16:creationId xmlns:a16="http://schemas.microsoft.com/office/drawing/2014/main" id="{FDFC8310-F1D6-4C77-BD20-C7C715D6FAA8}"/>
              </a:ext>
            </a:extLst>
          </xdr:cNvPr>
          <xdr:cNvSpPr>
            <a:spLocks/>
          </xdr:cNvSpPr>
        </xdr:nvSpPr>
        <xdr:spPr bwMode="auto">
          <a:xfrm>
            <a:off x="1208" y="153"/>
            <a:ext cx="3" cy="5"/>
          </a:xfrm>
          <a:custGeom>
            <a:avLst/>
            <a:gdLst>
              <a:gd name="T0" fmla="*/ 140 w 210"/>
              <a:gd name="T1" fmla="*/ 280 h 280"/>
              <a:gd name="T2" fmla="*/ 70 w 210"/>
              <a:gd name="T3" fmla="*/ 280 h 280"/>
              <a:gd name="T4" fmla="*/ 0 w 210"/>
              <a:gd name="T5" fmla="*/ 210 h 280"/>
              <a:gd name="T6" fmla="*/ 0 w 210"/>
              <a:gd name="T7" fmla="*/ 70 h 280"/>
              <a:gd name="T8" fmla="*/ 70 w 210"/>
              <a:gd name="T9" fmla="*/ 0 h 280"/>
              <a:gd name="T10" fmla="*/ 140 w 210"/>
              <a:gd name="T11" fmla="*/ 0 h 280"/>
              <a:gd name="T12" fmla="*/ 210 w 210"/>
              <a:gd name="T13" fmla="*/ 70 h 280"/>
              <a:gd name="T14" fmla="*/ 210 w 210"/>
              <a:gd name="T15" fmla="*/ 210 h 280"/>
              <a:gd name="T16" fmla="*/ 140 w 21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0">
                <a:moveTo>
                  <a:pt x="14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10" y="70"/>
                </a:lnTo>
                <a:lnTo>
                  <a:pt x="210" y="210"/>
                </a:lnTo>
                <a:lnTo>
                  <a:pt x="140" y="28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Line 521">
            <a:extLst>
              <a:ext uri="{FF2B5EF4-FFF2-40B4-BE49-F238E27FC236}">
                <a16:creationId xmlns:a16="http://schemas.microsoft.com/office/drawing/2014/main" id="{3183177F-A3F0-4C2D-930F-1A41A302A6C0}"/>
              </a:ext>
            </a:extLst>
          </xdr:cNvPr>
          <xdr:cNvSpPr>
            <a:spLocks noChangeShapeType="1"/>
          </xdr:cNvSpPr>
        </xdr:nvSpPr>
        <xdr:spPr bwMode="auto">
          <a:xfrm>
            <a:off x="1211" y="157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522">
            <a:extLst>
              <a:ext uri="{FF2B5EF4-FFF2-40B4-BE49-F238E27FC236}">
                <a16:creationId xmlns:a16="http://schemas.microsoft.com/office/drawing/2014/main" id="{12F310BD-3E7E-47CC-AFBC-547A0BB99588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157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Freeform 523">
            <a:extLst>
              <a:ext uri="{FF2B5EF4-FFF2-40B4-BE49-F238E27FC236}">
                <a16:creationId xmlns:a16="http://schemas.microsoft.com/office/drawing/2014/main" id="{188EF652-2BF2-48CB-B792-2BC25B2339B7}"/>
              </a:ext>
            </a:extLst>
          </xdr:cNvPr>
          <xdr:cNvSpPr>
            <a:spLocks/>
          </xdr:cNvSpPr>
        </xdr:nvSpPr>
        <xdr:spPr bwMode="auto">
          <a:xfrm>
            <a:off x="1217" y="151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1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1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Line 524">
            <a:extLst>
              <a:ext uri="{FF2B5EF4-FFF2-40B4-BE49-F238E27FC236}">
                <a16:creationId xmlns:a16="http://schemas.microsoft.com/office/drawing/2014/main" id="{FA2EF652-038C-4342-9B7D-88D85E3D9D6B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151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Freeform 525">
            <a:extLst>
              <a:ext uri="{FF2B5EF4-FFF2-40B4-BE49-F238E27FC236}">
                <a16:creationId xmlns:a16="http://schemas.microsoft.com/office/drawing/2014/main" id="{61301822-7F19-40F8-A503-359B4B69788E}"/>
              </a:ext>
            </a:extLst>
          </xdr:cNvPr>
          <xdr:cNvSpPr>
            <a:spLocks/>
          </xdr:cNvSpPr>
        </xdr:nvSpPr>
        <xdr:spPr bwMode="auto">
          <a:xfrm>
            <a:off x="1231" y="151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1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1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Line 526">
            <a:extLst>
              <a:ext uri="{FF2B5EF4-FFF2-40B4-BE49-F238E27FC236}">
                <a16:creationId xmlns:a16="http://schemas.microsoft.com/office/drawing/2014/main" id="{33D7EB6E-91EB-40D6-800C-2B32A293CB6E}"/>
              </a:ext>
            </a:extLst>
          </xdr:cNvPr>
          <xdr:cNvSpPr>
            <a:spLocks noChangeShapeType="1"/>
          </xdr:cNvSpPr>
        </xdr:nvSpPr>
        <xdr:spPr bwMode="auto">
          <a:xfrm>
            <a:off x="1239" y="153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527">
            <a:extLst>
              <a:ext uri="{FF2B5EF4-FFF2-40B4-BE49-F238E27FC236}">
                <a16:creationId xmlns:a16="http://schemas.microsoft.com/office/drawing/2014/main" id="{F2375F16-126E-45BC-856B-79E42A6543DC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156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534">
            <a:extLst>
              <a:ext uri="{FF2B5EF4-FFF2-40B4-BE49-F238E27FC236}">
                <a16:creationId xmlns:a16="http://schemas.microsoft.com/office/drawing/2014/main" id="{E798B032-E181-4F5C-8009-71731669B362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535">
            <a:extLst>
              <a:ext uri="{FF2B5EF4-FFF2-40B4-BE49-F238E27FC236}">
                <a16:creationId xmlns:a16="http://schemas.microsoft.com/office/drawing/2014/main" id="{C364C768-13EF-41D6-97FA-09BFA387DBB4}"/>
              </a:ext>
            </a:extLst>
          </xdr:cNvPr>
          <xdr:cNvSpPr>
            <a:spLocks noChangeShapeType="1"/>
          </xdr:cNvSpPr>
        </xdr:nvSpPr>
        <xdr:spPr bwMode="auto">
          <a:xfrm>
            <a:off x="1226" y="296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536">
            <a:extLst>
              <a:ext uri="{FF2B5EF4-FFF2-40B4-BE49-F238E27FC236}">
                <a16:creationId xmlns:a16="http://schemas.microsoft.com/office/drawing/2014/main" id="{C26ED8CD-EBB3-4DA5-A0A5-594900F5399D}"/>
              </a:ext>
            </a:extLst>
          </xdr:cNvPr>
          <xdr:cNvSpPr>
            <a:spLocks noChangeShapeType="1"/>
          </xdr:cNvSpPr>
        </xdr:nvSpPr>
        <xdr:spPr bwMode="auto">
          <a:xfrm>
            <a:off x="1240" y="211"/>
            <a:ext cx="0" cy="3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537">
            <a:extLst>
              <a:ext uri="{FF2B5EF4-FFF2-40B4-BE49-F238E27FC236}">
                <a16:creationId xmlns:a16="http://schemas.microsoft.com/office/drawing/2014/main" id="{7715B13E-9BE7-4797-BBD5-FD5F7C1E019D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255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Freeform 538">
            <a:extLst>
              <a:ext uri="{FF2B5EF4-FFF2-40B4-BE49-F238E27FC236}">
                <a16:creationId xmlns:a16="http://schemas.microsoft.com/office/drawing/2014/main" id="{D056794C-D3C2-46B4-9758-2B40FB3202DD}"/>
              </a:ext>
            </a:extLst>
          </xdr:cNvPr>
          <xdr:cNvSpPr>
            <a:spLocks/>
          </xdr:cNvSpPr>
        </xdr:nvSpPr>
        <xdr:spPr bwMode="auto">
          <a:xfrm>
            <a:off x="123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0" name="Freeform 539">
            <a:extLst>
              <a:ext uri="{FF2B5EF4-FFF2-40B4-BE49-F238E27FC236}">
                <a16:creationId xmlns:a16="http://schemas.microsoft.com/office/drawing/2014/main" id="{559A029C-93B5-490D-972A-AEBFFEDFD8D3}"/>
              </a:ext>
            </a:extLst>
          </xdr:cNvPr>
          <xdr:cNvSpPr>
            <a:spLocks/>
          </xdr:cNvSpPr>
        </xdr:nvSpPr>
        <xdr:spPr bwMode="auto">
          <a:xfrm>
            <a:off x="1238" y="288"/>
            <a:ext cx="3" cy="8"/>
          </a:xfrm>
          <a:custGeom>
            <a:avLst/>
            <a:gdLst>
              <a:gd name="T0" fmla="*/ 0 w 175"/>
              <a:gd name="T1" fmla="*/ 0 h 526"/>
              <a:gd name="T2" fmla="*/ 175 w 175"/>
              <a:gd name="T3" fmla="*/ 0 h 526"/>
              <a:gd name="T4" fmla="*/ 88 w 175"/>
              <a:gd name="T5" fmla="*/ 526 h 526"/>
              <a:gd name="T6" fmla="*/ 0 w 175"/>
              <a:gd name="T7" fmla="*/ 0 h 5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6">
                <a:moveTo>
                  <a:pt x="0" y="0"/>
                </a:moveTo>
                <a:lnTo>
                  <a:pt x="175" y="0"/>
                </a:lnTo>
                <a:lnTo>
                  <a:pt x="88" y="526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" name="Freeform 540">
            <a:extLst>
              <a:ext uri="{FF2B5EF4-FFF2-40B4-BE49-F238E27FC236}">
                <a16:creationId xmlns:a16="http://schemas.microsoft.com/office/drawing/2014/main" id="{18092B91-34F3-4F3E-9C9C-2D2AF8D5E8AD}"/>
              </a:ext>
            </a:extLst>
          </xdr:cNvPr>
          <xdr:cNvSpPr>
            <a:spLocks/>
          </xdr:cNvSpPr>
        </xdr:nvSpPr>
        <xdr:spPr bwMode="auto">
          <a:xfrm>
            <a:off x="1208" y="248"/>
            <a:ext cx="3" cy="5"/>
          </a:xfrm>
          <a:custGeom>
            <a:avLst/>
            <a:gdLst>
              <a:gd name="T0" fmla="*/ 140 w 210"/>
              <a:gd name="T1" fmla="*/ 281 h 281"/>
              <a:gd name="T2" fmla="*/ 70 w 210"/>
              <a:gd name="T3" fmla="*/ 281 h 281"/>
              <a:gd name="T4" fmla="*/ 0 w 210"/>
              <a:gd name="T5" fmla="*/ 211 h 281"/>
              <a:gd name="T6" fmla="*/ 0 w 210"/>
              <a:gd name="T7" fmla="*/ 71 h 281"/>
              <a:gd name="T8" fmla="*/ 70 w 210"/>
              <a:gd name="T9" fmla="*/ 0 h 281"/>
              <a:gd name="T10" fmla="*/ 140 w 210"/>
              <a:gd name="T11" fmla="*/ 0 h 281"/>
              <a:gd name="T12" fmla="*/ 210 w 210"/>
              <a:gd name="T13" fmla="*/ 71 h 281"/>
              <a:gd name="T14" fmla="*/ 210 w 210"/>
              <a:gd name="T15" fmla="*/ 211 h 281"/>
              <a:gd name="T16" fmla="*/ 140 w 210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1">
                <a:moveTo>
                  <a:pt x="140" y="281"/>
                </a:moveTo>
                <a:lnTo>
                  <a:pt x="70" y="281"/>
                </a:lnTo>
                <a:lnTo>
                  <a:pt x="0" y="211"/>
                </a:lnTo>
                <a:lnTo>
                  <a:pt x="0" y="71"/>
                </a:lnTo>
                <a:lnTo>
                  <a:pt x="70" y="0"/>
                </a:lnTo>
                <a:lnTo>
                  <a:pt x="140" y="0"/>
                </a:lnTo>
                <a:lnTo>
                  <a:pt x="210" y="71"/>
                </a:lnTo>
                <a:lnTo>
                  <a:pt x="210" y="211"/>
                </a:lnTo>
                <a:lnTo>
                  <a:pt x="140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Line 541">
            <a:extLst>
              <a:ext uri="{FF2B5EF4-FFF2-40B4-BE49-F238E27FC236}">
                <a16:creationId xmlns:a16="http://schemas.microsoft.com/office/drawing/2014/main" id="{E4E36270-4B19-45C7-AE33-2C498E4DBCE4}"/>
              </a:ext>
            </a:extLst>
          </xdr:cNvPr>
          <xdr:cNvSpPr>
            <a:spLocks noChangeShapeType="1"/>
          </xdr:cNvSpPr>
        </xdr:nvSpPr>
        <xdr:spPr bwMode="auto">
          <a:xfrm>
            <a:off x="1211" y="252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542">
            <a:extLst>
              <a:ext uri="{FF2B5EF4-FFF2-40B4-BE49-F238E27FC236}">
                <a16:creationId xmlns:a16="http://schemas.microsoft.com/office/drawing/2014/main" id="{1BF32B97-C0AE-484B-97CD-79E391F37D6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252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Freeform 543">
            <a:extLst>
              <a:ext uri="{FF2B5EF4-FFF2-40B4-BE49-F238E27FC236}">
                <a16:creationId xmlns:a16="http://schemas.microsoft.com/office/drawing/2014/main" id="{883BBE6A-B5B6-4712-BAC5-CCA265C00CED}"/>
              </a:ext>
            </a:extLst>
          </xdr:cNvPr>
          <xdr:cNvSpPr>
            <a:spLocks/>
          </xdr:cNvSpPr>
        </xdr:nvSpPr>
        <xdr:spPr bwMode="auto">
          <a:xfrm>
            <a:off x="1217" y="246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0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0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544">
            <a:extLst>
              <a:ext uri="{FF2B5EF4-FFF2-40B4-BE49-F238E27FC236}">
                <a16:creationId xmlns:a16="http://schemas.microsoft.com/office/drawing/2014/main" id="{6614B6B7-ED75-49AF-B01B-BEDEC6FE7E4C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246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Freeform 545">
            <a:extLst>
              <a:ext uri="{FF2B5EF4-FFF2-40B4-BE49-F238E27FC236}">
                <a16:creationId xmlns:a16="http://schemas.microsoft.com/office/drawing/2014/main" id="{3736A9B8-9862-4307-880B-E04D8870C21B}"/>
              </a:ext>
            </a:extLst>
          </xdr:cNvPr>
          <xdr:cNvSpPr>
            <a:spLocks/>
          </xdr:cNvSpPr>
        </xdr:nvSpPr>
        <xdr:spPr bwMode="auto">
          <a:xfrm>
            <a:off x="1231" y="246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0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0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7" name="Line 546">
            <a:extLst>
              <a:ext uri="{FF2B5EF4-FFF2-40B4-BE49-F238E27FC236}">
                <a16:creationId xmlns:a16="http://schemas.microsoft.com/office/drawing/2014/main" id="{52636FEF-2854-4E93-9B47-C8DB96CF58C0}"/>
              </a:ext>
            </a:extLst>
          </xdr:cNvPr>
          <xdr:cNvSpPr>
            <a:spLocks noChangeShapeType="1"/>
          </xdr:cNvSpPr>
        </xdr:nvSpPr>
        <xdr:spPr bwMode="auto">
          <a:xfrm>
            <a:off x="1239" y="248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547">
            <a:extLst>
              <a:ext uri="{FF2B5EF4-FFF2-40B4-BE49-F238E27FC236}">
                <a16:creationId xmlns:a16="http://schemas.microsoft.com/office/drawing/2014/main" id="{9D78CC32-0C9D-4451-958F-F80028B019B8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250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554">
            <a:extLst>
              <a:ext uri="{FF2B5EF4-FFF2-40B4-BE49-F238E27FC236}">
                <a16:creationId xmlns:a16="http://schemas.microsoft.com/office/drawing/2014/main" id="{72A4606A-2B27-4279-A7A3-B62E1076558D}"/>
              </a:ext>
            </a:extLst>
          </xdr:cNvPr>
          <xdr:cNvSpPr>
            <a:spLocks noChangeShapeType="1"/>
          </xdr:cNvSpPr>
        </xdr:nvSpPr>
        <xdr:spPr bwMode="auto">
          <a:xfrm>
            <a:off x="1192" y="238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555">
            <a:extLst>
              <a:ext uri="{FF2B5EF4-FFF2-40B4-BE49-F238E27FC236}">
                <a16:creationId xmlns:a16="http://schemas.microsoft.com/office/drawing/2014/main" id="{0B5690EF-F737-4220-913B-C9C5E25BB996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56">
            <a:extLst>
              <a:ext uri="{FF2B5EF4-FFF2-40B4-BE49-F238E27FC236}">
                <a16:creationId xmlns:a16="http://schemas.microsoft.com/office/drawing/2014/main" id="{EADFD089-C060-4DCD-9430-92261B96D719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9" y="226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57">
            <a:extLst>
              <a:ext uri="{FF2B5EF4-FFF2-40B4-BE49-F238E27FC236}">
                <a16:creationId xmlns:a16="http://schemas.microsoft.com/office/drawing/2014/main" id="{578430F5-F2D3-44BE-BB63-529EA15ACEB6}"/>
              </a:ext>
            </a:extLst>
          </xdr:cNvPr>
          <xdr:cNvSpPr>
            <a:spLocks noChangeShapeType="1"/>
          </xdr:cNvSpPr>
        </xdr:nvSpPr>
        <xdr:spPr bwMode="auto">
          <a:xfrm>
            <a:off x="1209" y="211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558">
            <a:extLst>
              <a:ext uri="{FF2B5EF4-FFF2-40B4-BE49-F238E27FC236}">
                <a16:creationId xmlns:a16="http://schemas.microsoft.com/office/drawing/2014/main" id="{9E07C3BD-7274-49C6-9084-8200B5D9243C}"/>
              </a:ext>
            </a:extLst>
          </xdr:cNvPr>
          <xdr:cNvSpPr>
            <a:spLocks/>
          </xdr:cNvSpPr>
        </xdr:nvSpPr>
        <xdr:spPr bwMode="auto">
          <a:xfrm>
            <a:off x="1208" y="229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4" name="Freeform 559">
            <a:extLst>
              <a:ext uri="{FF2B5EF4-FFF2-40B4-BE49-F238E27FC236}">
                <a16:creationId xmlns:a16="http://schemas.microsoft.com/office/drawing/2014/main" id="{F8FA15C6-8E58-4674-9D73-41592E20063E}"/>
              </a:ext>
            </a:extLst>
          </xdr:cNvPr>
          <xdr:cNvSpPr>
            <a:spLocks/>
          </xdr:cNvSpPr>
        </xdr:nvSpPr>
        <xdr:spPr bwMode="auto">
          <a:xfrm>
            <a:off x="120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" name="Line 564">
            <a:extLst>
              <a:ext uri="{FF2B5EF4-FFF2-40B4-BE49-F238E27FC236}">
                <a16:creationId xmlns:a16="http://schemas.microsoft.com/office/drawing/2014/main" id="{3E6BA91A-7DAA-4555-9633-B32C13DA43BE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38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65">
            <a:extLst>
              <a:ext uri="{FF2B5EF4-FFF2-40B4-BE49-F238E27FC236}">
                <a16:creationId xmlns:a16="http://schemas.microsoft.com/office/drawing/2014/main" id="{9712786D-693F-40EF-838F-4AC1619694E5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02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66">
            <a:extLst>
              <a:ext uri="{FF2B5EF4-FFF2-40B4-BE49-F238E27FC236}">
                <a16:creationId xmlns:a16="http://schemas.microsoft.com/office/drawing/2014/main" id="{8B44CE16-9410-43C5-8600-00E692D15D7F}"/>
              </a:ext>
            </a:extLst>
          </xdr:cNvPr>
          <xdr:cNvSpPr>
            <a:spLocks noChangeShapeType="1"/>
          </xdr:cNvSpPr>
        </xdr:nvSpPr>
        <xdr:spPr bwMode="auto">
          <a:xfrm flipV="1">
            <a:off x="793" y="228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567">
            <a:extLst>
              <a:ext uri="{FF2B5EF4-FFF2-40B4-BE49-F238E27FC236}">
                <a16:creationId xmlns:a16="http://schemas.microsoft.com/office/drawing/2014/main" id="{1F3A4DFC-B8EE-4612-87E1-5A750208B5B0}"/>
              </a:ext>
            </a:extLst>
          </xdr:cNvPr>
          <xdr:cNvSpPr>
            <a:spLocks noChangeShapeType="1"/>
          </xdr:cNvSpPr>
        </xdr:nvSpPr>
        <xdr:spPr bwMode="auto">
          <a:xfrm>
            <a:off x="793" y="211"/>
            <a:ext cx="0" cy="5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Freeform 568">
            <a:extLst>
              <a:ext uri="{FF2B5EF4-FFF2-40B4-BE49-F238E27FC236}">
                <a16:creationId xmlns:a16="http://schemas.microsoft.com/office/drawing/2014/main" id="{5DF43DBA-4C56-4AF9-8748-2765F6CF98DD}"/>
              </a:ext>
            </a:extLst>
          </xdr:cNvPr>
          <xdr:cNvSpPr>
            <a:spLocks/>
          </xdr:cNvSpPr>
        </xdr:nvSpPr>
        <xdr:spPr bwMode="auto">
          <a:xfrm>
            <a:off x="791" y="229"/>
            <a:ext cx="3" cy="9"/>
          </a:xfrm>
          <a:custGeom>
            <a:avLst/>
            <a:gdLst>
              <a:gd name="T0" fmla="*/ 0 w 176"/>
              <a:gd name="T1" fmla="*/ 0 h 527"/>
              <a:gd name="T2" fmla="*/ 176 w 176"/>
              <a:gd name="T3" fmla="*/ 0 h 527"/>
              <a:gd name="T4" fmla="*/ 89 w 176"/>
              <a:gd name="T5" fmla="*/ 527 h 527"/>
              <a:gd name="T6" fmla="*/ 0 w 176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0"/>
                </a:moveTo>
                <a:lnTo>
                  <a:pt x="176" y="0"/>
                </a:lnTo>
                <a:lnTo>
                  <a:pt x="89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0" name="Freeform 569">
            <a:extLst>
              <a:ext uri="{FF2B5EF4-FFF2-40B4-BE49-F238E27FC236}">
                <a16:creationId xmlns:a16="http://schemas.microsoft.com/office/drawing/2014/main" id="{AD4BCC5F-CD78-4D76-A80A-CBB488547FDC}"/>
              </a:ext>
            </a:extLst>
          </xdr:cNvPr>
          <xdr:cNvSpPr>
            <a:spLocks/>
          </xdr:cNvSpPr>
        </xdr:nvSpPr>
        <xdr:spPr bwMode="auto">
          <a:xfrm>
            <a:off x="791" y="202"/>
            <a:ext cx="3" cy="9"/>
          </a:xfrm>
          <a:custGeom>
            <a:avLst/>
            <a:gdLst>
              <a:gd name="T0" fmla="*/ 0 w 176"/>
              <a:gd name="T1" fmla="*/ 527 h 527"/>
              <a:gd name="T2" fmla="*/ 176 w 176"/>
              <a:gd name="T3" fmla="*/ 527 h 527"/>
              <a:gd name="T4" fmla="*/ 89 w 176"/>
              <a:gd name="T5" fmla="*/ 0 h 527"/>
              <a:gd name="T6" fmla="*/ 0 w 176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527"/>
                </a:moveTo>
                <a:lnTo>
                  <a:pt x="176" y="527"/>
                </a:lnTo>
                <a:lnTo>
                  <a:pt x="89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1" name="Freeform 570">
            <a:extLst>
              <a:ext uri="{FF2B5EF4-FFF2-40B4-BE49-F238E27FC236}">
                <a16:creationId xmlns:a16="http://schemas.microsoft.com/office/drawing/2014/main" id="{8C395ECB-6F8A-4D99-B1E9-B19901ECC01E}"/>
              </a:ext>
            </a:extLst>
          </xdr:cNvPr>
          <xdr:cNvSpPr>
            <a:spLocks/>
          </xdr:cNvSpPr>
        </xdr:nvSpPr>
        <xdr:spPr bwMode="auto">
          <a:xfrm>
            <a:off x="760" y="221"/>
            <a:ext cx="4" cy="5"/>
          </a:xfrm>
          <a:custGeom>
            <a:avLst/>
            <a:gdLst>
              <a:gd name="T0" fmla="*/ 141 w 211"/>
              <a:gd name="T1" fmla="*/ 281 h 281"/>
              <a:gd name="T2" fmla="*/ 71 w 211"/>
              <a:gd name="T3" fmla="*/ 281 h 281"/>
              <a:gd name="T4" fmla="*/ 0 w 211"/>
              <a:gd name="T5" fmla="*/ 210 h 281"/>
              <a:gd name="T6" fmla="*/ 0 w 211"/>
              <a:gd name="T7" fmla="*/ 70 h 281"/>
              <a:gd name="T8" fmla="*/ 71 w 211"/>
              <a:gd name="T9" fmla="*/ 0 h 281"/>
              <a:gd name="T10" fmla="*/ 141 w 211"/>
              <a:gd name="T11" fmla="*/ 0 h 281"/>
              <a:gd name="T12" fmla="*/ 211 w 211"/>
              <a:gd name="T13" fmla="*/ 70 h 281"/>
              <a:gd name="T14" fmla="*/ 211 w 211"/>
              <a:gd name="T15" fmla="*/ 210 h 281"/>
              <a:gd name="T16" fmla="*/ 141 w 21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1" h="281">
                <a:moveTo>
                  <a:pt x="141" y="281"/>
                </a:moveTo>
                <a:lnTo>
                  <a:pt x="71" y="281"/>
                </a:lnTo>
                <a:lnTo>
                  <a:pt x="0" y="210"/>
                </a:lnTo>
                <a:lnTo>
                  <a:pt x="0" y="70"/>
                </a:lnTo>
                <a:lnTo>
                  <a:pt x="71" y="0"/>
                </a:lnTo>
                <a:lnTo>
                  <a:pt x="141" y="0"/>
                </a:lnTo>
                <a:lnTo>
                  <a:pt x="211" y="70"/>
                </a:lnTo>
                <a:lnTo>
                  <a:pt x="211" y="210"/>
                </a:lnTo>
                <a:lnTo>
                  <a:pt x="141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2" name="Line 571">
            <a:extLst>
              <a:ext uri="{FF2B5EF4-FFF2-40B4-BE49-F238E27FC236}">
                <a16:creationId xmlns:a16="http://schemas.microsoft.com/office/drawing/2014/main" id="{4AE026D1-EF6D-462E-B790-2A4F15EAA6FA}"/>
              </a:ext>
            </a:extLst>
          </xdr:cNvPr>
          <xdr:cNvSpPr>
            <a:spLocks noChangeShapeType="1"/>
          </xdr:cNvSpPr>
        </xdr:nvSpPr>
        <xdr:spPr bwMode="auto">
          <a:xfrm>
            <a:off x="764" y="224"/>
            <a:ext cx="1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572">
            <a:extLst>
              <a:ext uri="{FF2B5EF4-FFF2-40B4-BE49-F238E27FC236}">
                <a16:creationId xmlns:a16="http://schemas.microsoft.com/office/drawing/2014/main" id="{32C4837F-5E73-429E-B4DB-709DE7D17DA9}"/>
              </a:ext>
            </a:extLst>
          </xdr:cNvPr>
          <xdr:cNvSpPr>
            <a:spLocks noChangeShapeType="1"/>
          </xdr:cNvSpPr>
        </xdr:nvSpPr>
        <xdr:spPr bwMode="auto">
          <a:xfrm flipV="1">
            <a:off x="768" y="224"/>
            <a:ext cx="0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573">
            <a:extLst>
              <a:ext uri="{FF2B5EF4-FFF2-40B4-BE49-F238E27FC236}">
                <a16:creationId xmlns:a16="http://schemas.microsoft.com/office/drawing/2014/main" id="{97881BA7-9BDC-43A7-9C63-8F18359A3B17}"/>
              </a:ext>
            </a:extLst>
          </xdr:cNvPr>
          <xdr:cNvSpPr>
            <a:spLocks noChangeShapeType="1"/>
          </xdr:cNvSpPr>
        </xdr:nvSpPr>
        <xdr:spPr bwMode="auto">
          <a:xfrm flipV="1">
            <a:off x="770" y="219"/>
            <a:ext cx="0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Freeform 574">
            <a:extLst>
              <a:ext uri="{FF2B5EF4-FFF2-40B4-BE49-F238E27FC236}">
                <a16:creationId xmlns:a16="http://schemas.microsoft.com/office/drawing/2014/main" id="{F91737D4-61D5-4CEB-AE95-39DCA78B9FF9}"/>
              </a:ext>
            </a:extLst>
          </xdr:cNvPr>
          <xdr:cNvSpPr>
            <a:spLocks/>
          </xdr:cNvSpPr>
        </xdr:nvSpPr>
        <xdr:spPr bwMode="auto">
          <a:xfrm>
            <a:off x="770" y="221"/>
            <a:ext cx="5" cy="5"/>
          </a:xfrm>
          <a:custGeom>
            <a:avLst/>
            <a:gdLst>
              <a:gd name="T0" fmla="*/ 0 w 281"/>
              <a:gd name="T1" fmla="*/ 140 h 281"/>
              <a:gd name="T2" fmla="*/ 140 w 281"/>
              <a:gd name="T3" fmla="*/ 0 h 281"/>
              <a:gd name="T4" fmla="*/ 210 w 281"/>
              <a:gd name="T5" fmla="*/ 0 h 281"/>
              <a:gd name="T6" fmla="*/ 281 w 281"/>
              <a:gd name="T7" fmla="*/ 70 h 281"/>
              <a:gd name="T8" fmla="*/ 281 w 281"/>
              <a:gd name="T9" fmla="*/ 210 h 281"/>
              <a:gd name="T10" fmla="*/ 210 w 281"/>
              <a:gd name="T11" fmla="*/ 281 h 281"/>
              <a:gd name="T12" fmla="*/ 140 w 281"/>
              <a:gd name="T13" fmla="*/ 281 h 281"/>
              <a:gd name="T14" fmla="*/ 0 w 281"/>
              <a:gd name="T15" fmla="*/ 140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1"/>
                </a:lnTo>
                <a:lnTo>
                  <a:pt x="140" y="281"/>
                </a:lnTo>
                <a:lnTo>
                  <a:pt x="0" y="14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Line 575">
            <a:extLst>
              <a:ext uri="{FF2B5EF4-FFF2-40B4-BE49-F238E27FC236}">
                <a16:creationId xmlns:a16="http://schemas.microsoft.com/office/drawing/2014/main" id="{13BCB180-A745-413E-A784-95040C916C58}"/>
              </a:ext>
            </a:extLst>
          </xdr:cNvPr>
          <xdr:cNvSpPr>
            <a:spLocks noChangeShapeType="1"/>
          </xdr:cNvSpPr>
        </xdr:nvSpPr>
        <xdr:spPr bwMode="auto">
          <a:xfrm flipV="1">
            <a:off x="777" y="219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Freeform 576">
            <a:extLst>
              <a:ext uri="{FF2B5EF4-FFF2-40B4-BE49-F238E27FC236}">
                <a16:creationId xmlns:a16="http://schemas.microsoft.com/office/drawing/2014/main" id="{059B8D99-C1DC-426D-AD86-C5B64A81EBEB}"/>
              </a:ext>
            </a:extLst>
          </xdr:cNvPr>
          <xdr:cNvSpPr>
            <a:spLocks/>
          </xdr:cNvSpPr>
        </xdr:nvSpPr>
        <xdr:spPr bwMode="auto">
          <a:xfrm>
            <a:off x="784" y="219"/>
            <a:ext cx="5" cy="7"/>
          </a:xfrm>
          <a:custGeom>
            <a:avLst/>
            <a:gdLst>
              <a:gd name="T0" fmla="*/ 0 w 280"/>
              <a:gd name="T1" fmla="*/ 71 h 422"/>
              <a:gd name="T2" fmla="*/ 70 w 280"/>
              <a:gd name="T3" fmla="*/ 0 h 422"/>
              <a:gd name="T4" fmla="*/ 210 w 280"/>
              <a:gd name="T5" fmla="*/ 0 h 422"/>
              <a:gd name="T6" fmla="*/ 280 w 280"/>
              <a:gd name="T7" fmla="*/ 71 h 422"/>
              <a:gd name="T8" fmla="*/ 280 w 280"/>
              <a:gd name="T9" fmla="*/ 141 h 422"/>
              <a:gd name="T10" fmla="*/ 210 w 280"/>
              <a:gd name="T11" fmla="*/ 211 h 422"/>
              <a:gd name="T12" fmla="*/ 70 w 280"/>
              <a:gd name="T13" fmla="*/ 211 h 422"/>
              <a:gd name="T14" fmla="*/ 0 w 280"/>
              <a:gd name="T15" fmla="*/ 281 h 422"/>
              <a:gd name="T16" fmla="*/ 0 w 280"/>
              <a:gd name="T17" fmla="*/ 422 h 422"/>
              <a:gd name="T18" fmla="*/ 280 w 280"/>
              <a:gd name="T19" fmla="*/ 42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0" h="422">
                <a:moveTo>
                  <a:pt x="0" y="71"/>
                </a:move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141"/>
                </a:lnTo>
                <a:lnTo>
                  <a:pt x="210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2"/>
                </a:lnTo>
                <a:lnTo>
                  <a:pt x="280" y="422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Line 577">
            <a:extLst>
              <a:ext uri="{FF2B5EF4-FFF2-40B4-BE49-F238E27FC236}">
                <a16:creationId xmlns:a16="http://schemas.microsoft.com/office/drawing/2014/main" id="{BD1D89E0-5532-46DF-B147-BB3039780BC7}"/>
              </a:ext>
            </a:extLst>
          </xdr:cNvPr>
          <xdr:cNvSpPr>
            <a:spLocks noChangeShapeType="1"/>
          </xdr:cNvSpPr>
        </xdr:nvSpPr>
        <xdr:spPr bwMode="auto">
          <a:xfrm>
            <a:off x="791" y="221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578">
            <a:extLst>
              <a:ext uri="{FF2B5EF4-FFF2-40B4-BE49-F238E27FC236}">
                <a16:creationId xmlns:a16="http://schemas.microsoft.com/office/drawing/2014/main" id="{9D499423-4671-46EA-B9B7-E023AF1AAAB3}"/>
              </a:ext>
            </a:extLst>
          </xdr:cNvPr>
          <xdr:cNvSpPr>
            <a:spLocks noChangeShapeType="1"/>
          </xdr:cNvSpPr>
        </xdr:nvSpPr>
        <xdr:spPr bwMode="auto">
          <a:xfrm flipH="1">
            <a:off x="791" y="223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Freeform 586">
            <a:extLst>
              <a:ext uri="{FF2B5EF4-FFF2-40B4-BE49-F238E27FC236}">
                <a16:creationId xmlns:a16="http://schemas.microsoft.com/office/drawing/2014/main" id="{320D807A-6220-4F94-A6D3-0A818A2634BB}"/>
              </a:ext>
            </a:extLst>
          </xdr:cNvPr>
          <xdr:cNvSpPr>
            <a:spLocks/>
          </xdr:cNvSpPr>
        </xdr:nvSpPr>
        <xdr:spPr bwMode="auto">
          <a:xfrm>
            <a:off x="1201" y="96"/>
            <a:ext cx="4" cy="4"/>
          </a:xfrm>
          <a:custGeom>
            <a:avLst/>
            <a:gdLst>
              <a:gd name="T0" fmla="*/ 0 w 282"/>
              <a:gd name="T1" fmla="*/ 210 h 210"/>
              <a:gd name="T2" fmla="*/ 212 w 282"/>
              <a:gd name="T3" fmla="*/ 210 h 210"/>
              <a:gd name="T4" fmla="*/ 282 w 282"/>
              <a:gd name="T5" fmla="*/ 140 h 210"/>
              <a:gd name="T6" fmla="*/ 282 w 282"/>
              <a:gd name="T7" fmla="*/ 70 h 210"/>
              <a:gd name="T8" fmla="*/ 212 w 282"/>
              <a:gd name="T9" fmla="*/ 0 h 210"/>
              <a:gd name="T10" fmla="*/ 70 w 282"/>
              <a:gd name="T11" fmla="*/ 0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2" h="210">
                <a:moveTo>
                  <a:pt x="0" y="210"/>
                </a:moveTo>
                <a:lnTo>
                  <a:pt x="212" y="210"/>
                </a:lnTo>
                <a:lnTo>
                  <a:pt x="282" y="140"/>
                </a:lnTo>
                <a:lnTo>
                  <a:pt x="282" y="70"/>
                </a:lnTo>
                <a:lnTo>
                  <a:pt x="212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Freeform 587">
            <a:extLst>
              <a:ext uri="{FF2B5EF4-FFF2-40B4-BE49-F238E27FC236}">
                <a16:creationId xmlns:a16="http://schemas.microsoft.com/office/drawing/2014/main" id="{142ABD14-403F-468D-B2F6-329F8C6BEE2A}"/>
              </a:ext>
            </a:extLst>
          </xdr:cNvPr>
          <xdr:cNvSpPr>
            <a:spLocks/>
          </xdr:cNvSpPr>
        </xdr:nvSpPr>
        <xdr:spPr bwMode="auto">
          <a:xfrm>
            <a:off x="1201" y="93"/>
            <a:ext cx="4" cy="3"/>
          </a:xfrm>
          <a:custGeom>
            <a:avLst/>
            <a:gdLst>
              <a:gd name="T0" fmla="*/ 212 w 282"/>
              <a:gd name="T1" fmla="*/ 211 h 211"/>
              <a:gd name="T2" fmla="*/ 282 w 282"/>
              <a:gd name="T3" fmla="*/ 141 h 211"/>
              <a:gd name="T4" fmla="*/ 282 w 282"/>
              <a:gd name="T5" fmla="*/ 70 h 211"/>
              <a:gd name="T6" fmla="*/ 212 w 282"/>
              <a:gd name="T7" fmla="*/ 0 h 211"/>
              <a:gd name="T8" fmla="*/ 0 w 282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2" h="211">
                <a:moveTo>
                  <a:pt x="212" y="211"/>
                </a:moveTo>
                <a:lnTo>
                  <a:pt x="282" y="141"/>
                </a:lnTo>
                <a:lnTo>
                  <a:pt x="282" y="70"/>
                </a:lnTo>
                <a:lnTo>
                  <a:pt x="212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Line 588">
            <a:extLst>
              <a:ext uri="{FF2B5EF4-FFF2-40B4-BE49-F238E27FC236}">
                <a16:creationId xmlns:a16="http://schemas.microsoft.com/office/drawing/2014/main" id="{B35A3109-312D-408A-9A5C-7CE4DCF4D5DE}"/>
              </a:ext>
            </a:extLst>
          </xdr:cNvPr>
          <xdr:cNvSpPr>
            <a:spLocks noChangeShapeType="1"/>
          </xdr:cNvSpPr>
        </xdr:nvSpPr>
        <xdr:spPr bwMode="auto">
          <a:xfrm>
            <a:off x="1202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Freeform 589">
            <a:extLst>
              <a:ext uri="{FF2B5EF4-FFF2-40B4-BE49-F238E27FC236}">
                <a16:creationId xmlns:a16="http://schemas.microsoft.com/office/drawing/2014/main" id="{6B5F602F-024A-4312-8E85-902F5E1CADDD}"/>
              </a:ext>
            </a:extLst>
          </xdr:cNvPr>
          <xdr:cNvSpPr>
            <a:spLocks/>
          </xdr:cNvSpPr>
        </xdr:nvSpPr>
        <xdr:spPr bwMode="auto">
          <a:xfrm>
            <a:off x="1208" y="95"/>
            <a:ext cx="5" cy="5"/>
          </a:xfrm>
          <a:custGeom>
            <a:avLst/>
            <a:gdLst>
              <a:gd name="T0" fmla="*/ 210 w 281"/>
              <a:gd name="T1" fmla="*/ 280 h 280"/>
              <a:gd name="T2" fmla="*/ 70 w 281"/>
              <a:gd name="T3" fmla="*/ 280 h 280"/>
              <a:gd name="T4" fmla="*/ 0 w 281"/>
              <a:gd name="T5" fmla="*/ 210 h 280"/>
              <a:gd name="T6" fmla="*/ 0 w 281"/>
              <a:gd name="T7" fmla="*/ 70 h 280"/>
              <a:gd name="T8" fmla="*/ 70 w 281"/>
              <a:gd name="T9" fmla="*/ 0 h 280"/>
              <a:gd name="T10" fmla="*/ 210 w 281"/>
              <a:gd name="T11" fmla="*/ 0 h 280"/>
              <a:gd name="T12" fmla="*/ 281 w 281"/>
              <a:gd name="T13" fmla="*/ 70 h 280"/>
              <a:gd name="T14" fmla="*/ 281 w 281"/>
              <a:gd name="T15" fmla="*/ 210 h 280"/>
              <a:gd name="T16" fmla="*/ 210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Line 590">
            <a:extLst>
              <a:ext uri="{FF2B5EF4-FFF2-40B4-BE49-F238E27FC236}">
                <a16:creationId xmlns:a16="http://schemas.microsoft.com/office/drawing/2014/main" id="{E2282150-AB64-4123-8779-203D913933CA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Freeform 591">
            <a:extLst>
              <a:ext uri="{FF2B5EF4-FFF2-40B4-BE49-F238E27FC236}">
                <a16:creationId xmlns:a16="http://schemas.microsoft.com/office/drawing/2014/main" id="{5A5ADE1D-FCAC-4B40-82C5-2EE6AE3DBF9A}"/>
              </a:ext>
            </a:extLst>
          </xdr:cNvPr>
          <xdr:cNvSpPr>
            <a:spLocks/>
          </xdr:cNvSpPr>
        </xdr:nvSpPr>
        <xdr:spPr bwMode="auto">
          <a:xfrm>
            <a:off x="1215" y="95"/>
            <a:ext cx="5" cy="3"/>
          </a:xfrm>
          <a:custGeom>
            <a:avLst/>
            <a:gdLst>
              <a:gd name="T0" fmla="*/ 0 w 281"/>
              <a:gd name="T1" fmla="*/ 140 h 140"/>
              <a:gd name="T2" fmla="*/ 140 w 281"/>
              <a:gd name="T3" fmla="*/ 0 h 140"/>
              <a:gd name="T4" fmla="*/ 210 w 281"/>
              <a:gd name="T5" fmla="*/ 0 h 140"/>
              <a:gd name="T6" fmla="*/ 281 w 281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1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6" name="Freeform 592">
            <a:extLst>
              <a:ext uri="{FF2B5EF4-FFF2-40B4-BE49-F238E27FC236}">
                <a16:creationId xmlns:a16="http://schemas.microsoft.com/office/drawing/2014/main" id="{21CBC55D-EAE1-4853-AE5D-1506C200491D}"/>
              </a:ext>
            </a:extLst>
          </xdr:cNvPr>
          <xdr:cNvSpPr>
            <a:spLocks/>
          </xdr:cNvSpPr>
        </xdr:nvSpPr>
        <xdr:spPr bwMode="auto">
          <a:xfrm>
            <a:off x="1222" y="95"/>
            <a:ext cx="5" cy="5"/>
          </a:xfrm>
          <a:custGeom>
            <a:avLst/>
            <a:gdLst>
              <a:gd name="T0" fmla="*/ 280 w 280"/>
              <a:gd name="T1" fmla="*/ 140 h 280"/>
              <a:gd name="T2" fmla="*/ 140 w 280"/>
              <a:gd name="T3" fmla="*/ 280 h 280"/>
              <a:gd name="T4" fmla="*/ 70 w 280"/>
              <a:gd name="T5" fmla="*/ 280 h 280"/>
              <a:gd name="T6" fmla="*/ 0 w 280"/>
              <a:gd name="T7" fmla="*/ 210 h 280"/>
              <a:gd name="T8" fmla="*/ 0 w 280"/>
              <a:gd name="T9" fmla="*/ 70 h 280"/>
              <a:gd name="T10" fmla="*/ 70 w 280"/>
              <a:gd name="T11" fmla="*/ 0 h 280"/>
              <a:gd name="T12" fmla="*/ 140 w 280"/>
              <a:gd name="T13" fmla="*/ 0 h 280"/>
              <a:gd name="T14" fmla="*/ 280 w 280"/>
              <a:gd name="T15" fmla="*/ 14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0" h="280">
                <a:moveTo>
                  <a:pt x="280" y="140"/>
                </a:moveTo>
                <a:lnTo>
                  <a:pt x="140" y="280"/>
                </a:ln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80" y="14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593">
            <a:extLst>
              <a:ext uri="{FF2B5EF4-FFF2-40B4-BE49-F238E27FC236}">
                <a16:creationId xmlns:a16="http://schemas.microsoft.com/office/drawing/2014/main" id="{17745F16-1A52-42EE-A6CD-05DDC04F5467}"/>
              </a:ext>
            </a:extLst>
          </xdr:cNvPr>
          <xdr:cNvSpPr>
            <a:spLocks noChangeShapeType="1"/>
          </xdr:cNvSpPr>
        </xdr:nvSpPr>
        <xdr:spPr bwMode="auto">
          <a:xfrm>
            <a:off x="1227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Freeform 594">
            <a:extLst>
              <a:ext uri="{FF2B5EF4-FFF2-40B4-BE49-F238E27FC236}">
                <a16:creationId xmlns:a16="http://schemas.microsoft.com/office/drawing/2014/main" id="{AF6A3545-C630-4428-A6BD-1C6491531D20}"/>
              </a:ext>
            </a:extLst>
          </xdr:cNvPr>
          <xdr:cNvSpPr>
            <a:spLocks/>
          </xdr:cNvSpPr>
        </xdr:nvSpPr>
        <xdr:spPr bwMode="auto">
          <a:xfrm>
            <a:off x="1229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" name="Freeform 595">
            <a:extLst>
              <a:ext uri="{FF2B5EF4-FFF2-40B4-BE49-F238E27FC236}">
                <a16:creationId xmlns:a16="http://schemas.microsoft.com/office/drawing/2014/main" id="{7F716220-FCE0-444F-8E8E-3D2A517342C9}"/>
              </a:ext>
            </a:extLst>
          </xdr:cNvPr>
          <xdr:cNvSpPr>
            <a:spLocks/>
          </xdr:cNvSpPr>
        </xdr:nvSpPr>
        <xdr:spPr bwMode="auto">
          <a:xfrm>
            <a:off x="1244" y="95"/>
            <a:ext cx="4" cy="5"/>
          </a:xfrm>
          <a:custGeom>
            <a:avLst/>
            <a:gdLst>
              <a:gd name="T0" fmla="*/ 0 w 281"/>
              <a:gd name="T1" fmla="*/ 140 h 280"/>
              <a:gd name="T2" fmla="*/ 211 w 281"/>
              <a:gd name="T3" fmla="*/ 140 h 280"/>
              <a:gd name="T4" fmla="*/ 281 w 281"/>
              <a:gd name="T5" fmla="*/ 70 h 280"/>
              <a:gd name="T6" fmla="*/ 211 w 281"/>
              <a:gd name="T7" fmla="*/ 0 h 280"/>
              <a:gd name="T8" fmla="*/ 70 w 281"/>
              <a:gd name="T9" fmla="*/ 0 h 280"/>
              <a:gd name="T10" fmla="*/ 0 w 281"/>
              <a:gd name="T11" fmla="*/ 70 h 280"/>
              <a:gd name="T12" fmla="*/ 0 w 281"/>
              <a:gd name="T13" fmla="*/ 210 h 280"/>
              <a:gd name="T14" fmla="*/ 70 w 281"/>
              <a:gd name="T15" fmla="*/ 280 h 280"/>
              <a:gd name="T16" fmla="*/ 211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0" y="140"/>
                </a:moveTo>
                <a:lnTo>
                  <a:pt x="211" y="140"/>
                </a:lnTo>
                <a:lnTo>
                  <a:pt x="281" y="70"/>
                </a:lnTo>
                <a:lnTo>
                  <a:pt x="211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1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0" name="Line 596">
            <a:extLst>
              <a:ext uri="{FF2B5EF4-FFF2-40B4-BE49-F238E27FC236}">
                <a16:creationId xmlns:a16="http://schemas.microsoft.com/office/drawing/2014/main" id="{6033715F-4074-41CF-A2D4-4B3D5A90D97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597">
            <a:extLst>
              <a:ext uri="{FF2B5EF4-FFF2-40B4-BE49-F238E27FC236}">
                <a16:creationId xmlns:a16="http://schemas.microsoft.com/office/drawing/2014/main" id="{E08C1796-4779-40CE-B339-C4FCA604D73E}"/>
              </a:ext>
            </a:extLst>
          </xdr:cNvPr>
          <xdr:cNvSpPr>
            <a:spLocks noChangeShapeType="1"/>
          </xdr:cNvSpPr>
        </xdr:nvSpPr>
        <xdr:spPr bwMode="auto">
          <a:xfrm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598">
            <a:extLst>
              <a:ext uri="{FF2B5EF4-FFF2-40B4-BE49-F238E27FC236}">
                <a16:creationId xmlns:a16="http://schemas.microsoft.com/office/drawing/2014/main" id="{A05C9A20-5047-485C-AB32-74CED5DD291F}"/>
              </a:ext>
            </a:extLst>
          </xdr:cNvPr>
          <xdr:cNvSpPr>
            <a:spLocks noChangeShapeType="1"/>
          </xdr:cNvSpPr>
        </xdr:nvSpPr>
        <xdr:spPr bwMode="auto">
          <a:xfrm>
            <a:off x="1258" y="95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Freeform 599">
            <a:extLst>
              <a:ext uri="{FF2B5EF4-FFF2-40B4-BE49-F238E27FC236}">
                <a16:creationId xmlns:a16="http://schemas.microsoft.com/office/drawing/2014/main" id="{509F8087-01C5-4E8F-81BC-AE049A3FE84B}"/>
              </a:ext>
            </a:extLst>
          </xdr:cNvPr>
          <xdr:cNvSpPr>
            <a:spLocks/>
          </xdr:cNvSpPr>
        </xdr:nvSpPr>
        <xdr:spPr bwMode="auto">
          <a:xfrm>
            <a:off x="1260" y="93"/>
            <a:ext cx="3" cy="7"/>
          </a:xfrm>
          <a:custGeom>
            <a:avLst/>
            <a:gdLst>
              <a:gd name="T0" fmla="*/ 0 w 141"/>
              <a:gd name="T1" fmla="*/ 0 h 421"/>
              <a:gd name="T2" fmla="*/ 0 w 141"/>
              <a:gd name="T3" fmla="*/ 351 h 421"/>
              <a:gd name="T4" fmla="*/ 70 w 141"/>
              <a:gd name="T5" fmla="*/ 421 h 421"/>
              <a:gd name="T6" fmla="*/ 141 w 141"/>
              <a:gd name="T7" fmla="*/ 35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1">
                <a:moveTo>
                  <a:pt x="0" y="0"/>
                </a:moveTo>
                <a:lnTo>
                  <a:pt x="0" y="351"/>
                </a:lnTo>
                <a:lnTo>
                  <a:pt x="70" y="421"/>
                </a:lnTo>
                <a:lnTo>
                  <a:pt x="141" y="35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4" name="Freeform 600">
            <a:extLst>
              <a:ext uri="{FF2B5EF4-FFF2-40B4-BE49-F238E27FC236}">
                <a16:creationId xmlns:a16="http://schemas.microsoft.com/office/drawing/2014/main" id="{D8EE1787-FA8A-4035-B784-CDBC17EDC370}"/>
              </a:ext>
            </a:extLst>
          </xdr:cNvPr>
          <xdr:cNvSpPr>
            <a:spLocks/>
          </xdr:cNvSpPr>
        </xdr:nvSpPr>
        <xdr:spPr bwMode="auto">
          <a:xfrm>
            <a:off x="1265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" name="Line 601">
            <a:extLst>
              <a:ext uri="{FF2B5EF4-FFF2-40B4-BE49-F238E27FC236}">
                <a16:creationId xmlns:a16="http://schemas.microsoft.com/office/drawing/2014/main" id="{982B54D5-98CB-421C-93E8-89F5E9E37ACB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2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Freeform 602">
            <a:extLst>
              <a:ext uri="{FF2B5EF4-FFF2-40B4-BE49-F238E27FC236}">
                <a16:creationId xmlns:a16="http://schemas.microsoft.com/office/drawing/2014/main" id="{BD2A3D38-5768-4C11-8A35-F78A546B0862}"/>
              </a:ext>
            </a:extLst>
          </xdr:cNvPr>
          <xdr:cNvSpPr>
            <a:spLocks/>
          </xdr:cNvSpPr>
        </xdr:nvSpPr>
        <xdr:spPr bwMode="auto">
          <a:xfrm>
            <a:off x="1272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" name="Line 603">
            <a:extLst>
              <a:ext uri="{FF2B5EF4-FFF2-40B4-BE49-F238E27FC236}">
                <a16:creationId xmlns:a16="http://schemas.microsoft.com/office/drawing/2014/main" id="{BAEDFD60-A42A-4098-BE96-E7675C63E708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604">
            <a:extLst>
              <a:ext uri="{FF2B5EF4-FFF2-40B4-BE49-F238E27FC236}">
                <a16:creationId xmlns:a16="http://schemas.microsoft.com/office/drawing/2014/main" id="{ABFAE0C7-F0AA-4408-816B-03FA9870AF5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Freeform 605">
            <a:extLst>
              <a:ext uri="{FF2B5EF4-FFF2-40B4-BE49-F238E27FC236}">
                <a16:creationId xmlns:a16="http://schemas.microsoft.com/office/drawing/2014/main" id="{B472248B-B2CB-4E99-AC78-7D66AC39C8CA}"/>
              </a:ext>
            </a:extLst>
          </xdr:cNvPr>
          <xdr:cNvSpPr>
            <a:spLocks/>
          </xdr:cNvSpPr>
        </xdr:nvSpPr>
        <xdr:spPr bwMode="auto">
          <a:xfrm>
            <a:off x="1282" y="95"/>
            <a:ext cx="4" cy="5"/>
          </a:xfrm>
          <a:custGeom>
            <a:avLst/>
            <a:gdLst>
              <a:gd name="T0" fmla="*/ 210 w 280"/>
              <a:gd name="T1" fmla="*/ 280 h 280"/>
              <a:gd name="T2" fmla="*/ 70 w 280"/>
              <a:gd name="T3" fmla="*/ 280 h 280"/>
              <a:gd name="T4" fmla="*/ 0 w 280"/>
              <a:gd name="T5" fmla="*/ 210 h 280"/>
              <a:gd name="T6" fmla="*/ 0 w 280"/>
              <a:gd name="T7" fmla="*/ 70 h 280"/>
              <a:gd name="T8" fmla="*/ 70 w 280"/>
              <a:gd name="T9" fmla="*/ 0 h 280"/>
              <a:gd name="T10" fmla="*/ 210 w 280"/>
              <a:gd name="T11" fmla="*/ 0 h 280"/>
              <a:gd name="T12" fmla="*/ 280 w 280"/>
              <a:gd name="T13" fmla="*/ 70 h 280"/>
              <a:gd name="T14" fmla="*/ 280 w 280"/>
              <a:gd name="T15" fmla="*/ 21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0" y="70"/>
                </a:lnTo>
                <a:lnTo>
                  <a:pt x="280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" name="Line 606">
            <a:extLst>
              <a:ext uri="{FF2B5EF4-FFF2-40B4-BE49-F238E27FC236}">
                <a16:creationId xmlns:a16="http://schemas.microsoft.com/office/drawing/2014/main" id="{8024AF00-4D46-4E0A-AE28-A7ECABF08B3D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Freeform 607">
            <a:extLst>
              <a:ext uri="{FF2B5EF4-FFF2-40B4-BE49-F238E27FC236}">
                <a16:creationId xmlns:a16="http://schemas.microsoft.com/office/drawing/2014/main" id="{91A9749D-73AF-4BDC-80E4-63878F73FDB8}"/>
              </a:ext>
            </a:extLst>
          </xdr:cNvPr>
          <xdr:cNvSpPr>
            <a:spLocks/>
          </xdr:cNvSpPr>
        </xdr:nvSpPr>
        <xdr:spPr bwMode="auto">
          <a:xfrm>
            <a:off x="1289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" name="Freeform 608">
            <a:extLst>
              <a:ext uri="{FF2B5EF4-FFF2-40B4-BE49-F238E27FC236}">
                <a16:creationId xmlns:a16="http://schemas.microsoft.com/office/drawing/2014/main" id="{181A84CC-A3B0-48E3-B9E9-57B7DF04A911}"/>
              </a:ext>
            </a:extLst>
          </xdr:cNvPr>
          <xdr:cNvSpPr>
            <a:spLocks/>
          </xdr:cNvSpPr>
        </xdr:nvSpPr>
        <xdr:spPr bwMode="auto">
          <a:xfrm>
            <a:off x="1206" y="307"/>
            <a:ext cx="5" cy="3"/>
          </a:xfrm>
          <a:custGeom>
            <a:avLst/>
            <a:gdLst>
              <a:gd name="T0" fmla="*/ 0 w 280"/>
              <a:gd name="T1" fmla="*/ 211 h 211"/>
              <a:gd name="T2" fmla="*/ 210 w 280"/>
              <a:gd name="T3" fmla="*/ 211 h 211"/>
              <a:gd name="T4" fmla="*/ 280 w 280"/>
              <a:gd name="T5" fmla="*/ 141 h 211"/>
              <a:gd name="T6" fmla="*/ 280 w 280"/>
              <a:gd name="T7" fmla="*/ 70 h 211"/>
              <a:gd name="T8" fmla="*/ 210 w 280"/>
              <a:gd name="T9" fmla="*/ 0 h 211"/>
              <a:gd name="T10" fmla="*/ 70 w 280"/>
              <a:gd name="T11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0" h="211">
                <a:moveTo>
                  <a:pt x="0" y="211"/>
                </a:moveTo>
                <a:lnTo>
                  <a:pt x="210" y="211"/>
                </a:lnTo>
                <a:lnTo>
                  <a:pt x="280" y="141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" name="Freeform 609">
            <a:extLst>
              <a:ext uri="{FF2B5EF4-FFF2-40B4-BE49-F238E27FC236}">
                <a16:creationId xmlns:a16="http://schemas.microsoft.com/office/drawing/2014/main" id="{7C3148AA-8CB6-437E-87C8-095A08EA815C}"/>
              </a:ext>
            </a:extLst>
          </xdr:cNvPr>
          <xdr:cNvSpPr>
            <a:spLocks/>
          </xdr:cNvSpPr>
        </xdr:nvSpPr>
        <xdr:spPr bwMode="auto">
          <a:xfrm>
            <a:off x="1206" y="303"/>
            <a:ext cx="5" cy="4"/>
          </a:xfrm>
          <a:custGeom>
            <a:avLst/>
            <a:gdLst>
              <a:gd name="T0" fmla="*/ 210 w 280"/>
              <a:gd name="T1" fmla="*/ 211 h 211"/>
              <a:gd name="T2" fmla="*/ 280 w 280"/>
              <a:gd name="T3" fmla="*/ 140 h 211"/>
              <a:gd name="T4" fmla="*/ 280 w 280"/>
              <a:gd name="T5" fmla="*/ 70 h 211"/>
              <a:gd name="T6" fmla="*/ 210 w 280"/>
              <a:gd name="T7" fmla="*/ 0 h 211"/>
              <a:gd name="T8" fmla="*/ 0 w 280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0" h="211">
                <a:moveTo>
                  <a:pt x="210" y="211"/>
                </a:moveTo>
                <a:lnTo>
                  <a:pt x="280" y="140"/>
                </a:lnTo>
                <a:lnTo>
                  <a:pt x="280" y="70"/>
                </a:lnTo>
                <a:lnTo>
                  <a:pt x="210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" name="Line 610">
            <a:extLst>
              <a:ext uri="{FF2B5EF4-FFF2-40B4-BE49-F238E27FC236}">
                <a16:creationId xmlns:a16="http://schemas.microsoft.com/office/drawing/2014/main" id="{2F008BE0-D8E8-49E5-8B5E-391FFE30AC87}"/>
              </a:ext>
            </a:extLst>
          </xdr:cNvPr>
          <xdr:cNvSpPr>
            <a:spLocks noChangeShapeType="1"/>
          </xdr:cNvSpPr>
        </xdr:nvSpPr>
        <xdr:spPr bwMode="auto">
          <a:xfrm>
            <a:off x="1208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Freeform 611">
            <a:extLst>
              <a:ext uri="{FF2B5EF4-FFF2-40B4-BE49-F238E27FC236}">
                <a16:creationId xmlns:a16="http://schemas.microsoft.com/office/drawing/2014/main" id="{89830FAB-A5C1-4A59-BFF2-8AD7B19A22A7}"/>
              </a:ext>
            </a:extLst>
          </xdr:cNvPr>
          <xdr:cNvSpPr>
            <a:spLocks/>
          </xdr:cNvSpPr>
        </xdr:nvSpPr>
        <xdr:spPr bwMode="auto">
          <a:xfrm>
            <a:off x="1213" y="305"/>
            <a:ext cx="5" cy="5"/>
          </a:xfrm>
          <a:custGeom>
            <a:avLst/>
            <a:gdLst>
              <a:gd name="T0" fmla="*/ 210 w 280"/>
              <a:gd name="T1" fmla="*/ 282 h 282"/>
              <a:gd name="T2" fmla="*/ 70 w 280"/>
              <a:gd name="T3" fmla="*/ 282 h 282"/>
              <a:gd name="T4" fmla="*/ 0 w 280"/>
              <a:gd name="T5" fmla="*/ 212 h 282"/>
              <a:gd name="T6" fmla="*/ 0 w 280"/>
              <a:gd name="T7" fmla="*/ 71 h 282"/>
              <a:gd name="T8" fmla="*/ 70 w 280"/>
              <a:gd name="T9" fmla="*/ 0 h 282"/>
              <a:gd name="T10" fmla="*/ 210 w 280"/>
              <a:gd name="T11" fmla="*/ 0 h 282"/>
              <a:gd name="T12" fmla="*/ 280 w 280"/>
              <a:gd name="T13" fmla="*/ 71 h 282"/>
              <a:gd name="T14" fmla="*/ 280 w 280"/>
              <a:gd name="T15" fmla="*/ 212 h 282"/>
              <a:gd name="T16" fmla="*/ 210 w 280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" name="Line 612">
            <a:extLst>
              <a:ext uri="{FF2B5EF4-FFF2-40B4-BE49-F238E27FC236}">
                <a16:creationId xmlns:a16="http://schemas.microsoft.com/office/drawing/2014/main" id="{BA77E8D6-65DC-440A-BE90-74D1AACDE2C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1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Freeform 613">
            <a:extLst>
              <a:ext uri="{FF2B5EF4-FFF2-40B4-BE49-F238E27FC236}">
                <a16:creationId xmlns:a16="http://schemas.microsoft.com/office/drawing/2014/main" id="{3D792CDD-FDE7-42C6-B5B8-E989D60BC0A8}"/>
              </a:ext>
            </a:extLst>
          </xdr:cNvPr>
          <xdr:cNvSpPr>
            <a:spLocks/>
          </xdr:cNvSpPr>
        </xdr:nvSpPr>
        <xdr:spPr bwMode="auto">
          <a:xfrm>
            <a:off x="1221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" name="Freeform 614">
            <a:extLst>
              <a:ext uri="{FF2B5EF4-FFF2-40B4-BE49-F238E27FC236}">
                <a16:creationId xmlns:a16="http://schemas.microsoft.com/office/drawing/2014/main" id="{9F2C756D-D995-444C-A6F6-E2B11956933E}"/>
              </a:ext>
            </a:extLst>
          </xdr:cNvPr>
          <xdr:cNvSpPr>
            <a:spLocks/>
          </xdr:cNvSpPr>
        </xdr:nvSpPr>
        <xdr:spPr bwMode="auto">
          <a:xfrm>
            <a:off x="1228" y="305"/>
            <a:ext cx="5" cy="5"/>
          </a:xfrm>
          <a:custGeom>
            <a:avLst/>
            <a:gdLst>
              <a:gd name="T0" fmla="*/ 281 w 281"/>
              <a:gd name="T1" fmla="*/ 141 h 282"/>
              <a:gd name="T2" fmla="*/ 141 w 281"/>
              <a:gd name="T3" fmla="*/ 282 h 282"/>
              <a:gd name="T4" fmla="*/ 71 w 281"/>
              <a:gd name="T5" fmla="*/ 282 h 282"/>
              <a:gd name="T6" fmla="*/ 0 w 281"/>
              <a:gd name="T7" fmla="*/ 212 h 282"/>
              <a:gd name="T8" fmla="*/ 0 w 281"/>
              <a:gd name="T9" fmla="*/ 71 h 282"/>
              <a:gd name="T10" fmla="*/ 71 w 281"/>
              <a:gd name="T11" fmla="*/ 0 h 282"/>
              <a:gd name="T12" fmla="*/ 141 w 281"/>
              <a:gd name="T13" fmla="*/ 0 h 282"/>
              <a:gd name="T14" fmla="*/ 281 w 281"/>
              <a:gd name="T15" fmla="*/ 141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2">
                <a:moveTo>
                  <a:pt x="281" y="141"/>
                </a:moveTo>
                <a:lnTo>
                  <a:pt x="141" y="282"/>
                </a:lnTo>
                <a:lnTo>
                  <a:pt x="71" y="282"/>
                </a:lnTo>
                <a:lnTo>
                  <a:pt x="0" y="212"/>
                </a:lnTo>
                <a:lnTo>
                  <a:pt x="0" y="71"/>
                </a:lnTo>
                <a:lnTo>
                  <a:pt x="71" y="0"/>
                </a:lnTo>
                <a:lnTo>
                  <a:pt x="141" y="0"/>
                </a:lnTo>
                <a:lnTo>
                  <a:pt x="281" y="141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" name="Line 615">
            <a:extLst>
              <a:ext uri="{FF2B5EF4-FFF2-40B4-BE49-F238E27FC236}">
                <a16:creationId xmlns:a16="http://schemas.microsoft.com/office/drawing/2014/main" id="{B6999466-190A-4698-8CD5-07A0CA191AD7}"/>
              </a:ext>
            </a:extLst>
          </xdr:cNvPr>
          <xdr:cNvSpPr>
            <a:spLocks noChangeShapeType="1"/>
          </xdr:cNvSpPr>
        </xdr:nvSpPr>
        <xdr:spPr bwMode="auto">
          <a:xfrm>
            <a:off x="1233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Freeform 616">
            <a:extLst>
              <a:ext uri="{FF2B5EF4-FFF2-40B4-BE49-F238E27FC236}">
                <a16:creationId xmlns:a16="http://schemas.microsoft.com/office/drawing/2014/main" id="{B846F723-226B-4B88-8158-0DFBA2AD0628}"/>
              </a:ext>
            </a:extLst>
          </xdr:cNvPr>
          <xdr:cNvSpPr>
            <a:spLocks/>
          </xdr:cNvSpPr>
        </xdr:nvSpPr>
        <xdr:spPr bwMode="auto">
          <a:xfrm>
            <a:off x="1235" y="305"/>
            <a:ext cx="5" cy="5"/>
          </a:xfrm>
          <a:custGeom>
            <a:avLst/>
            <a:gdLst>
              <a:gd name="T0" fmla="*/ 0 w 281"/>
              <a:gd name="T1" fmla="*/ 141 h 282"/>
              <a:gd name="T2" fmla="*/ 211 w 281"/>
              <a:gd name="T3" fmla="*/ 141 h 282"/>
              <a:gd name="T4" fmla="*/ 281 w 281"/>
              <a:gd name="T5" fmla="*/ 71 h 282"/>
              <a:gd name="T6" fmla="*/ 211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1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1" y="141"/>
                </a:lnTo>
                <a:lnTo>
                  <a:pt x="281" y="71"/>
                </a:lnTo>
                <a:lnTo>
                  <a:pt x="211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1" name="Line 617">
            <a:extLst>
              <a:ext uri="{FF2B5EF4-FFF2-40B4-BE49-F238E27FC236}">
                <a16:creationId xmlns:a16="http://schemas.microsoft.com/office/drawing/2014/main" id="{BD8376BA-228B-49D8-BD16-98B44C7F8DA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Line 618">
            <a:extLst>
              <a:ext uri="{FF2B5EF4-FFF2-40B4-BE49-F238E27FC236}">
                <a16:creationId xmlns:a16="http://schemas.microsoft.com/office/drawing/2014/main" id="{EF9BB33B-DEE8-4C81-9CBA-1DA13C5ACA3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619">
            <a:extLst>
              <a:ext uri="{FF2B5EF4-FFF2-40B4-BE49-F238E27FC236}">
                <a16:creationId xmlns:a16="http://schemas.microsoft.com/office/drawing/2014/main" id="{BF413CC6-481A-4775-815F-B31BF8F140CE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2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Freeform 620">
            <a:extLst>
              <a:ext uri="{FF2B5EF4-FFF2-40B4-BE49-F238E27FC236}">
                <a16:creationId xmlns:a16="http://schemas.microsoft.com/office/drawing/2014/main" id="{5B61C56F-02AD-49BC-9C3E-84CCE44914AB}"/>
              </a:ext>
            </a:extLst>
          </xdr:cNvPr>
          <xdr:cNvSpPr>
            <a:spLocks/>
          </xdr:cNvSpPr>
        </xdr:nvSpPr>
        <xdr:spPr bwMode="auto">
          <a:xfrm>
            <a:off x="1252" y="305"/>
            <a:ext cx="4" cy="5"/>
          </a:xfrm>
          <a:custGeom>
            <a:avLst/>
            <a:gdLst>
              <a:gd name="T0" fmla="*/ 0 w 281"/>
              <a:gd name="T1" fmla="*/ 141 h 282"/>
              <a:gd name="T2" fmla="*/ 141 w 281"/>
              <a:gd name="T3" fmla="*/ 0 h 282"/>
              <a:gd name="T4" fmla="*/ 211 w 281"/>
              <a:gd name="T5" fmla="*/ 0 h 282"/>
              <a:gd name="T6" fmla="*/ 281 w 281"/>
              <a:gd name="T7" fmla="*/ 71 h 282"/>
              <a:gd name="T8" fmla="*/ 281 w 281"/>
              <a:gd name="T9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141" y="0"/>
                </a:lnTo>
                <a:lnTo>
                  <a:pt x="211" y="0"/>
                </a:lnTo>
                <a:lnTo>
                  <a:pt x="281" y="71"/>
                </a:lnTo>
                <a:lnTo>
                  <a:pt x="28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" name="Line 621">
            <a:extLst>
              <a:ext uri="{FF2B5EF4-FFF2-40B4-BE49-F238E27FC236}">
                <a16:creationId xmlns:a16="http://schemas.microsoft.com/office/drawing/2014/main" id="{5E6F4327-468D-4E95-840E-A1F893BF85C2}"/>
              </a:ext>
            </a:extLst>
          </xdr:cNvPr>
          <xdr:cNvSpPr>
            <a:spLocks noChangeShapeType="1"/>
          </xdr:cNvSpPr>
        </xdr:nvSpPr>
        <xdr:spPr bwMode="auto">
          <a:xfrm>
            <a:off x="1259" y="305"/>
            <a:ext cx="4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Freeform 622">
            <a:extLst>
              <a:ext uri="{FF2B5EF4-FFF2-40B4-BE49-F238E27FC236}">
                <a16:creationId xmlns:a16="http://schemas.microsoft.com/office/drawing/2014/main" id="{80F28A3F-A204-4941-8179-F0E63714E494}"/>
              </a:ext>
            </a:extLst>
          </xdr:cNvPr>
          <xdr:cNvSpPr>
            <a:spLocks/>
          </xdr:cNvSpPr>
        </xdr:nvSpPr>
        <xdr:spPr bwMode="auto">
          <a:xfrm>
            <a:off x="1261" y="303"/>
            <a:ext cx="2" cy="7"/>
          </a:xfrm>
          <a:custGeom>
            <a:avLst/>
            <a:gdLst>
              <a:gd name="T0" fmla="*/ 0 w 141"/>
              <a:gd name="T1" fmla="*/ 0 h 422"/>
              <a:gd name="T2" fmla="*/ 0 w 141"/>
              <a:gd name="T3" fmla="*/ 352 h 422"/>
              <a:gd name="T4" fmla="*/ 71 w 141"/>
              <a:gd name="T5" fmla="*/ 422 h 422"/>
              <a:gd name="T6" fmla="*/ 141 w 141"/>
              <a:gd name="T7" fmla="*/ 35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2">
                <a:moveTo>
                  <a:pt x="0" y="0"/>
                </a:moveTo>
                <a:lnTo>
                  <a:pt x="0" y="352"/>
                </a:lnTo>
                <a:lnTo>
                  <a:pt x="71" y="422"/>
                </a:lnTo>
                <a:lnTo>
                  <a:pt x="141" y="35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7" name="Freeform 623">
            <a:extLst>
              <a:ext uri="{FF2B5EF4-FFF2-40B4-BE49-F238E27FC236}">
                <a16:creationId xmlns:a16="http://schemas.microsoft.com/office/drawing/2014/main" id="{31B212F2-BF15-406D-A731-7490D582955E}"/>
              </a:ext>
            </a:extLst>
          </xdr:cNvPr>
          <xdr:cNvSpPr>
            <a:spLocks/>
          </xdr:cNvSpPr>
        </xdr:nvSpPr>
        <xdr:spPr bwMode="auto">
          <a:xfrm>
            <a:off x="1266" y="305"/>
            <a:ext cx="5" cy="5"/>
          </a:xfrm>
          <a:custGeom>
            <a:avLst/>
            <a:gdLst>
              <a:gd name="T0" fmla="*/ 0 w 281"/>
              <a:gd name="T1" fmla="*/ 141 h 282"/>
              <a:gd name="T2" fmla="*/ 210 w 281"/>
              <a:gd name="T3" fmla="*/ 141 h 282"/>
              <a:gd name="T4" fmla="*/ 281 w 281"/>
              <a:gd name="T5" fmla="*/ 71 h 282"/>
              <a:gd name="T6" fmla="*/ 210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0" y="141"/>
                </a:lnTo>
                <a:lnTo>
                  <a:pt x="281" y="71"/>
                </a:lnTo>
                <a:lnTo>
                  <a:pt x="210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0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" name="Line 624">
            <a:extLst>
              <a:ext uri="{FF2B5EF4-FFF2-40B4-BE49-F238E27FC236}">
                <a16:creationId xmlns:a16="http://schemas.microsoft.com/office/drawing/2014/main" id="{67420DE3-210D-4EDA-9075-9689265A762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3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Freeform 625">
            <a:extLst>
              <a:ext uri="{FF2B5EF4-FFF2-40B4-BE49-F238E27FC236}">
                <a16:creationId xmlns:a16="http://schemas.microsoft.com/office/drawing/2014/main" id="{CCBDEEB6-667D-441C-B672-9BFF1ADAEB8E}"/>
              </a:ext>
            </a:extLst>
          </xdr:cNvPr>
          <xdr:cNvSpPr>
            <a:spLocks/>
          </xdr:cNvSpPr>
        </xdr:nvSpPr>
        <xdr:spPr bwMode="auto">
          <a:xfrm>
            <a:off x="1273" y="305"/>
            <a:ext cx="5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0" name="Line 626">
            <a:extLst>
              <a:ext uri="{FF2B5EF4-FFF2-40B4-BE49-F238E27FC236}">
                <a16:creationId xmlns:a16="http://schemas.microsoft.com/office/drawing/2014/main" id="{40D6DC10-0E7C-4E5A-BA16-19C8495CE0E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627">
            <a:extLst>
              <a:ext uri="{FF2B5EF4-FFF2-40B4-BE49-F238E27FC236}">
                <a16:creationId xmlns:a16="http://schemas.microsoft.com/office/drawing/2014/main" id="{621CB0AE-395A-4C5B-80C7-783C00C0C21F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Freeform 628">
            <a:extLst>
              <a:ext uri="{FF2B5EF4-FFF2-40B4-BE49-F238E27FC236}">
                <a16:creationId xmlns:a16="http://schemas.microsoft.com/office/drawing/2014/main" id="{68A57D1E-D82B-4AB4-8448-588349C7028C}"/>
              </a:ext>
            </a:extLst>
          </xdr:cNvPr>
          <xdr:cNvSpPr>
            <a:spLocks/>
          </xdr:cNvSpPr>
        </xdr:nvSpPr>
        <xdr:spPr bwMode="auto">
          <a:xfrm>
            <a:off x="1283" y="305"/>
            <a:ext cx="4" cy="5"/>
          </a:xfrm>
          <a:custGeom>
            <a:avLst/>
            <a:gdLst>
              <a:gd name="T0" fmla="*/ 210 w 281"/>
              <a:gd name="T1" fmla="*/ 282 h 282"/>
              <a:gd name="T2" fmla="*/ 70 w 281"/>
              <a:gd name="T3" fmla="*/ 282 h 282"/>
              <a:gd name="T4" fmla="*/ 0 w 281"/>
              <a:gd name="T5" fmla="*/ 212 h 282"/>
              <a:gd name="T6" fmla="*/ 0 w 281"/>
              <a:gd name="T7" fmla="*/ 71 h 282"/>
              <a:gd name="T8" fmla="*/ 70 w 281"/>
              <a:gd name="T9" fmla="*/ 0 h 282"/>
              <a:gd name="T10" fmla="*/ 210 w 281"/>
              <a:gd name="T11" fmla="*/ 0 h 282"/>
              <a:gd name="T12" fmla="*/ 281 w 281"/>
              <a:gd name="T13" fmla="*/ 71 h 282"/>
              <a:gd name="T14" fmla="*/ 281 w 281"/>
              <a:gd name="T15" fmla="*/ 21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1" y="71"/>
                </a:lnTo>
                <a:lnTo>
                  <a:pt x="281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" name="Line 629">
            <a:extLst>
              <a:ext uri="{FF2B5EF4-FFF2-40B4-BE49-F238E27FC236}">
                <a16:creationId xmlns:a16="http://schemas.microsoft.com/office/drawing/2014/main" id="{3D98D624-A435-4587-9889-3A5F963846DE}"/>
              </a:ext>
            </a:extLst>
          </xdr:cNvPr>
          <xdr:cNvSpPr>
            <a:spLocks noChangeShapeType="1"/>
          </xdr:cNvSpPr>
        </xdr:nvSpPr>
        <xdr:spPr bwMode="auto">
          <a:xfrm flipV="1">
            <a:off x="129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Freeform 630">
            <a:extLst>
              <a:ext uri="{FF2B5EF4-FFF2-40B4-BE49-F238E27FC236}">
                <a16:creationId xmlns:a16="http://schemas.microsoft.com/office/drawing/2014/main" id="{79730217-976F-4275-831D-A5AAD2745F78}"/>
              </a:ext>
            </a:extLst>
          </xdr:cNvPr>
          <xdr:cNvSpPr>
            <a:spLocks/>
          </xdr:cNvSpPr>
        </xdr:nvSpPr>
        <xdr:spPr bwMode="auto">
          <a:xfrm>
            <a:off x="1290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5" name="Freeform 631">
            <a:extLst>
              <a:ext uri="{FF2B5EF4-FFF2-40B4-BE49-F238E27FC236}">
                <a16:creationId xmlns:a16="http://schemas.microsoft.com/office/drawing/2014/main" id="{A892881C-C8FF-47A4-AB65-348856027464}"/>
              </a:ext>
            </a:extLst>
          </xdr:cNvPr>
          <xdr:cNvSpPr>
            <a:spLocks/>
          </xdr:cNvSpPr>
        </xdr:nvSpPr>
        <xdr:spPr bwMode="auto">
          <a:xfrm>
            <a:off x="864" y="189"/>
            <a:ext cx="5" cy="7"/>
          </a:xfrm>
          <a:custGeom>
            <a:avLst/>
            <a:gdLst>
              <a:gd name="T0" fmla="*/ 0 w 282"/>
              <a:gd name="T1" fmla="*/ 422 h 422"/>
              <a:gd name="T2" fmla="*/ 0 w 282"/>
              <a:gd name="T3" fmla="*/ 0 h 422"/>
              <a:gd name="T4" fmla="*/ 282 w 282"/>
              <a:gd name="T5" fmla="*/ 0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82" h="422">
                <a:moveTo>
                  <a:pt x="0" y="422"/>
                </a:moveTo>
                <a:lnTo>
                  <a:pt x="0" y="0"/>
                </a:lnTo>
                <a:lnTo>
                  <a:pt x="282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6" name="Line 632">
            <a:extLst>
              <a:ext uri="{FF2B5EF4-FFF2-40B4-BE49-F238E27FC236}">
                <a16:creationId xmlns:a16="http://schemas.microsoft.com/office/drawing/2014/main" id="{1011BE28-B3EF-4C75-834D-AC5F402A3A2A}"/>
              </a:ext>
            </a:extLst>
          </xdr:cNvPr>
          <xdr:cNvSpPr>
            <a:spLocks noChangeShapeType="1"/>
          </xdr:cNvSpPr>
        </xdr:nvSpPr>
        <xdr:spPr bwMode="auto">
          <a:xfrm>
            <a:off x="864" y="193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633">
            <a:extLst>
              <a:ext uri="{FF2B5EF4-FFF2-40B4-BE49-F238E27FC236}">
                <a16:creationId xmlns:a16="http://schemas.microsoft.com/office/drawing/2014/main" id="{239DD517-2998-45A4-B1B3-61B34FC22165}"/>
              </a:ext>
            </a:extLst>
          </xdr:cNvPr>
          <xdr:cNvSpPr>
            <a:spLocks noChangeShapeType="1"/>
          </xdr:cNvSpPr>
        </xdr:nvSpPr>
        <xdr:spPr bwMode="auto">
          <a:xfrm>
            <a:off x="864" y="196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Freeform 634">
            <a:extLst>
              <a:ext uri="{FF2B5EF4-FFF2-40B4-BE49-F238E27FC236}">
                <a16:creationId xmlns:a16="http://schemas.microsoft.com/office/drawing/2014/main" id="{B71410D2-0138-4110-9720-287A2F002868}"/>
              </a:ext>
            </a:extLst>
          </xdr:cNvPr>
          <xdr:cNvSpPr>
            <a:spLocks/>
          </xdr:cNvSpPr>
        </xdr:nvSpPr>
        <xdr:spPr bwMode="auto">
          <a:xfrm>
            <a:off x="871" y="192"/>
            <a:ext cx="4" cy="7"/>
          </a:xfrm>
          <a:custGeom>
            <a:avLst/>
            <a:gdLst>
              <a:gd name="T0" fmla="*/ 0 w 211"/>
              <a:gd name="T1" fmla="*/ 351 h 421"/>
              <a:gd name="T2" fmla="*/ 70 w 211"/>
              <a:gd name="T3" fmla="*/ 421 h 421"/>
              <a:gd name="T4" fmla="*/ 141 w 211"/>
              <a:gd name="T5" fmla="*/ 421 h 421"/>
              <a:gd name="T6" fmla="*/ 211 w 211"/>
              <a:gd name="T7" fmla="*/ 351 h 421"/>
              <a:gd name="T8" fmla="*/ 211 w 211"/>
              <a:gd name="T9" fmla="*/ 0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11" h="421">
                <a:moveTo>
                  <a:pt x="0" y="351"/>
                </a:moveTo>
                <a:lnTo>
                  <a:pt x="70" y="421"/>
                </a:lnTo>
                <a:lnTo>
                  <a:pt x="141" y="421"/>
                </a:lnTo>
                <a:lnTo>
                  <a:pt x="211" y="351"/>
                </a:lnTo>
                <a:lnTo>
                  <a:pt x="211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9" name="Line 635">
            <a:extLst>
              <a:ext uri="{FF2B5EF4-FFF2-40B4-BE49-F238E27FC236}">
                <a16:creationId xmlns:a16="http://schemas.microsoft.com/office/drawing/2014/main" id="{2878BA09-DBE7-45CD-9AF8-51B25C1C0252}"/>
              </a:ext>
            </a:extLst>
          </xdr:cNvPr>
          <xdr:cNvSpPr>
            <a:spLocks noChangeShapeType="1"/>
          </xdr:cNvSpPr>
        </xdr:nvSpPr>
        <xdr:spPr bwMode="auto">
          <a:xfrm flipV="1">
            <a:off x="875" y="189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Freeform 636">
            <a:extLst>
              <a:ext uri="{FF2B5EF4-FFF2-40B4-BE49-F238E27FC236}">
                <a16:creationId xmlns:a16="http://schemas.microsoft.com/office/drawing/2014/main" id="{E81473F5-AE19-4269-BB8E-72C7FD0D45AD}"/>
              </a:ext>
            </a:extLst>
          </xdr:cNvPr>
          <xdr:cNvSpPr>
            <a:spLocks/>
          </xdr:cNvSpPr>
        </xdr:nvSpPr>
        <xdr:spPr bwMode="auto">
          <a:xfrm>
            <a:off x="877" y="192"/>
            <a:ext cx="5" cy="4"/>
          </a:xfrm>
          <a:custGeom>
            <a:avLst/>
            <a:gdLst>
              <a:gd name="T0" fmla="*/ 0 w 281"/>
              <a:gd name="T1" fmla="*/ 140 h 281"/>
              <a:gd name="T2" fmla="*/ 210 w 281"/>
              <a:gd name="T3" fmla="*/ 140 h 281"/>
              <a:gd name="T4" fmla="*/ 281 w 281"/>
              <a:gd name="T5" fmla="*/ 70 h 281"/>
              <a:gd name="T6" fmla="*/ 210 w 281"/>
              <a:gd name="T7" fmla="*/ 0 h 281"/>
              <a:gd name="T8" fmla="*/ 70 w 281"/>
              <a:gd name="T9" fmla="*/ 0 h 281"/>
              <a:gd name="T10" fmla="*/ 0 w 281"/>
              <a:gd name="T11" fmla="*/ 70 h 281"/>
              <a:gd name="T12" fmla="*/ 0 w 281"/>
              <a:gd name="T13" fmla="*/ 210 h 281"/>
              <a:gd name="T14" fmla="*/ 70 w 281"/>
              <a:gd name="T15" fmla="*/ 281 h 281"/>
              <a:gd name="T16" fmla="*/ 210 w 28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210" y="140"/>
                </a:lnTo>
                <a:lnTo>
                  <a:pt x="281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1"/>
                </a:lnTo>
                <a:lnTo>
                  <a:pt x="210" y="28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</xdr:col>
      <xdr:colOff>236604</xdr:colOff>
      <xdr:row>11</xdr:row>
      <xdr:rowOff>109497</xdr:rowOff>
    </xdr:from>
    <xdr:to>
      <xdr:col>2</xdr:col>
      <xdr:colOff>236606</xdr:colOff>
      <xdr:row>14</xdr:row>
      <xdr:rowOff>144876</xdr:rowOff>
    </xdr:to>
    <xdr:cxnSp macro="">
      <xdr:nvCxnSpPr>
        <xdr:cNvPr id="541" name="Conector recto de flecha 540">
          <a:extLst>
            <a:ext uri="{FF2B5EF4-FFF2-40B4-BE49-F238E27FC236}">
              <a16:creationId xmlns:a16="http://schemas.microsoft.com/office/drawing/2014/main" id="{D63E2A23-88C4-4B05-AF05-42F2FFA35AB0}"/>
            </a:ext>
          </a:extLst>
        </xdr:cNvPr>
        <xdr:cNvCxnSpPr/>
      </xdr:nvCxnSpPr>
      <xdr:spPr>
        <a:xfrm>
          <a:off x="2446404" y="2224047"/>
          <a:ext cx="2" cy="7307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</xdr:colOff>
      <xdr:row>11</xdr:row>
      <xdr:rowOff>108857</xdr:rowOff>
    </xdr:from>
    <xdr:to>
      <xdr:col>2</xdr:col>
      <xdr:colOff>228600</xdr:colOff>
      <xdr:row>11</xdr:row>
      <xdr:rowOff>108857</xdr:rowOff>
    </xdr:to>
    <xdr:cxnSp macro="">
      <xdr:nvCxnSpPr>
        <xdr:cNvPr id="542" name="Conector recto de flecha 541">
          <a:extLst>
            <a:ext uri="{FF2B5EF4-FFF2-40B4-BE49-F238E27FC236}">
              <a16:creationId xmlns:a16="http://schemas.microsoft.com/office/drawing/2014/main" id="{958F8243-D63A-410A-B32A-511AA58F9E91}"/>
            </a:ext>
          </a:extLst>
        </xdr:cNvPr>
        <xdr:cNvCxnSpPr/>
      </xdr:nvCxnSpPr>
      <xdr:spPr>
        <a:xfrm flipH="1">
          <a:off x="2231571" y="2223407"/>
          <a:ext cx="2068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621907</xdr:colOff>
      <xdr:row>39</xdr:row>
      <xdr:rowOff>11350</xdr:rowOff>
    </xdr:from>
    <xdr:to>
      <xdr:col>7</xdr:col>
      <xdr:colOff>565367</xdr:colOff>
      <xdr:row>57</xdr:row>
      <xdr:rowOff>180078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id="{16FF624B-00E2-4000-88D0-4591E59B7722}"/>
            </a:ext>
          </a:extLst>
        </xdr:cNvPr>
        <xdr:cNvGrpSpPr>
          <a:grpSpLocks noChangeAspect="1"/>
        </xdr:cNvGrpSpPr>
      </xdr:nvGrpSpPr>
      <xdr:grpSpPr bwMode="auto">
        <a:xfrm>
          <a:off x="621907" y="7767421"/>
          <a:ext cx="6698434" cy="3667708"/>
          <a:chOff x="753" y="57"/>
          <a:chExt cx="550" cy="299"/>
        </a:xfrm>
      </xdr:grpSpPr>
      <xdr:sp macro="" textlink="">
        <xdr:nvSpPr>
          <xdr:cNvPr id="3" name="AutoShape 50">
            <a:extLst>
              <a:ext uri="{FF2B5EF4-FFF2-40B4-BE49-F238E27FC236}">
                <a16:creationId xmlns:a16="http://schemas.microsoft.com/office/drawing/2014/main" id="{6EC54895-DCB3-469D-AE2C-18B4713613F1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753" y="57"/>
            <a:ext cx="550" cy="2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grpSp>
        <xdr:nvGrpSpPr>
          <xdr:cNvPr id="4" name="Group 252">
            <a:extLst>
              <a:ext uri="{FF2B5EF4-FFF2-40B4-BE49-F238E27FC236}">
                <a16:creationId xmlns:a16="http://schemas.microsoft.com/office/drawing/2014/main" id="{0A7F75D8-2D13-481C-9ECB-4B1EE5D30E97}"/>
              </a:ext>
            </a:extLst>
          </xdr:cNvPr>
          <xdr:cNvGrpSpPr>
            <a:grpSpLocks/>
          </xdr:cNvGrpSpPr>
        </xdr:nvGrpSpPr>
        <xdr:grpSpPr bwMode="auto">
          <a:xfrm>
            <a:off x="821" y="106"/>
            <a:ext cx="402" cy="191"/>
            <a:chOff x="821" y="106"/>
            <a:chExt cx="402" cy="191"/>
          </a:xfrm>
        </xdr:grpSpPr>
        <xdr:sp macro="" textlink="">
          <xdr:nvSpPr>
            <xdr:cNvPr id="341" name="Line 52">
              <a:extLst>
                <a:ext uri="{FF2B5EF4-FFF2-40B4-BE49-F238E27FC236}">
                  <a16:creationId xmlns:a16="http://schemas.microsoft.com/office/drawing/2014/main" id="{EAE8885E-5055-4C8D-8EE3-ECA2507648C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23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2" name="Line 53">
              <a:extLst>
                <a:ext uri="{FF2B5EF4-FFF2-40B4-BE49-F238E27FC236}">
                  <a16:creationId xmlns:a16="http://schemas.microsoft.com/office/drawing/2014/main" id="{CA2FB2F9-9A3F-4759-9C90-D9DB98F1B4D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32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3" name="Line 54">
              <a:extLst>
                <a:ext uri="{FF2B5EF4-FFF2-40B4-BE49-F238E27FC236}">
                  <a16:creationId xmlns:a16="http://schemas.microsoft.com/office/drawing/2014/main" id="{0ADF7608-10CC-4AE6-987E-8E53B6F3717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0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4" name="Line 55">
              <a:extLst>
                <a:ext uri="{FF2B5EF4-FFF2-40B4-BE49-F238E27FC236}">
                  <a16:creationId xmlns:a16="http://schemas.microsoft.com/office/drawing/2014/main" id="{29A8D97A-7BA4-4D71-8FE2-0763BE90C85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49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5" name="Line 56">
              <a:extLst>
                <a:ext uri="{FF2B5EF4-FFF2-40B4-BE49-F238E27FC236}">
                  <a16:creationId xmlns:a16="http://schemas.microsoft.com/office/drawing/2014/main" id="{07CD5B31-E8F9-4EE4-8031-918D27426B3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57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6" name="Line 57">
              <a:extLst>
                <a:ext uri="{FF2B5EF4-FFF2-40B4-BE49-F238E27FC236}">
                  <a16:creationId xmlns:a16="http://schemas.microsoft.com/office/drawing/2014/main" id="{1AEE37A8-9538-4B03-99AD-6C77239B886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66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7" name="Line 58">
              <a:extLst>
                <a:ext uri="{FF2B5EF4-FFF2-40B4-BE49-F238E27FC236}">
                  <a16:creationId xmlns:a16="http://schemas.microsoft.com/office/drawing/2014/main" id="{6F45E9FC-E0DB-4131-B585-8C185EE062A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74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8" name="Line 59">
              <a:extLst>
                <a:ext uri="{FF2B5EF4-FFF2-40B4-BE49-F238E27FC236}">
                  <a16:creationId xmlns:a16="http://schemas.microsoft.com/office/drawing/2014/main" id="{51D6FAA4-8A1F-4240-A94A-2D662474BE0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83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9" name="Line 60">
              <a:extLst>
                <a:ext uri="{FF2B5EF4-FFF2-40B4-BE49-F238E27FC236}">
                  <a16:creationId xmlns:a16="http://schemas.microsoft.com/office/drawing/2014/main" id="{50D36077-0F68-4505-BBB4-D768FB7F235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91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0" name="Line 61">
              <a:extLst>
                <a:ext uri="{FF2B5EF4-FFF2-40B4-BE49-F238E27FC236}">
                  <a16:creationId xmlns:a16="http://schemas.microsoft.com/office/drawing/2014/main" id="{6B7FA8C9-AFB5-433C-ADF3-B0C03BEBAE8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0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1" name="Line 62">
              <a:extLst>
                <a:ext uri="{FF2B5EF4-FFF2-40B4-BE49-F238E27FC236}">
                  <a16:creationId xmlns:a16="http://schemas.microsoft.com/office/drawing/2014/main" id="{D8401FA9-8AB1-4E1B-865D-C3759FEA0B1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8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2" name="Line 63">
              <a:extLst>
                <a:ext uri="{FF2B5EF4-FFF2-40B4-BE49-F238E27FC236}">
                  <a16:creationId xmlns:a16="http://schemas.microsoft.com/office/drawing/2014/main" id="{092DA548-DA5A-4D5B-8F3D-0F150436C45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17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3" name="Line 64">
              <a:extLst>
                <a:ext uri="{FF2B5EF4-FFF2-40B4-BE49-F238E27FC236}">
                  <a16:creationId xmlns:a16="http://schemas.microsoft.com/office/drawing/2014/main" id="{B581C548-7013-439D-9938-298098FA0DD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25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4" name="Line 65">
              <a:extLst>
                <a:ext uri="{FF2B5EF4-FFF2-40B4-BE49-F238E27FC236}">
                  <a16:creationId xmlns:a16="http://schemas.microsoft.com/office/drawing/2014/main" id="{3943A83D-F901-43B0-9B15-3715CC38AA2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34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5" name="Line 66">
              <a:extLst>
                <a:ext uri="{FF2B5EF4-FFF2-40B4-BE49-F238E27FC236}">
                  <a16:creationId xmlns:a16="http://schemas.microsoft.com/office/drawing/2014/main" id="{2695162B-C1A5-4D49-B4AD-0D27F4504A6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42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6" name="Line 67">
              <a:extLst>
                <a:ext uri="{FF2B5EF4-FFF2-40B4-BE49-F238E27FC236}">
                  <a16:creationId xmlns:a16="http://schemas.microsoft.com/office/drawing/2014/main" id="{62EBECA2-6891-423E-A999-5B314C1313D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1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7" name="Line 68">
              <a:extLst>
                <a:ext uri="{FF2B5EF4-FFF2-40B4-BE49-F238E27FC236}">
                  <a16:creationId xmlns:a16="http://schemas.microsoft.com/office/drawing/2014/main" id="{ED1C2E97-9A90-4732-8F57-9F661C99BCD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9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8" name="Line 69">
              <a:extLst>
                <a:ext uri="{FF2B5EF4-FFF2-40B4-BE49-F238E27FC236}">
                  <a16:creationId xmlns:a16="http://schemas.microsoft.com/office/drawing/2014/main" id="{31C5C875-E4F6-48F3-B012-94361BA3971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68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9" name="Line 70">
              <a:extLst>
                <a:ext uri="{FF2B5EF4-FFF2-40B4-BE49-F238E27FC236}">
                  <a16:creationId xmlns:a16="http://schemas.microsoft.com/office/drawing/2014/main" id="{2667E32B-D74D-4E23-9609-3532538A0B7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76" y="238"/>
              <a:ext cx="6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0" name="Line 71">
              <a:extLst>
                <a:ext uri="{FF2B5EF4-FFF2-40B4-BE49-F238E27FC236}">
                  <a16:creationId xmlns:a16="http://schemas.microsoft.com/office/drawing/2014/main" id="{DC1BF6F7-E750-460A-9B90-AA09137B7C1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5" y="238"/>
              <a:ext cx="5" cy="0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1" name="Line 72">
              <a:extLst>
                <a:ext uri="{FF2B5EF4-FFF2-40B4-BE49-F238E27FC236}">
                  <a16:creationId xmlns:a16="http://schemas.microsoft.com/office/drawing/2014/main" id="{C5FCF0F1-322B-48D1-B546-0879BF10071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8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2" name="Line 73">
              <a:extLst>
                <a:ext uri="{FF2B5EF4-FFF2-40B4-BE49-F238E27FC236}">
                  <a16:creationId xmlns:a16="http://schemas.microsoft.com/office/drawing/2014/main" id="{569CC431-EB27-47D9-8FD3-1F2E2BFCCF6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9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3" name="Line 74">
              <a:extLst>
                <a:ext uri="{FF2B5EF4-FFF2-40B4-BE49-F238E27FC236}">
                  <a16:creationId xmlns:a16="http://schemas.microsoft.com/office/drawing/2014/main" id="{FD061C89-D1A8-402B-8B1E-A2567F3FF5D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8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4" name="Line 75">
              <a:extLst>
                <a:ext uri="{FF2B5EF4-FFF2-40B4-BE49-F238E27FC236}">
                  <a16:creationId xmlns:a16="http://schemas.microsoft.com/office/drawing/2014/main" id="{2DF22E41-CF01-4925-8507-53C48705744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7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5" name="Line 76">
              <a:extLst>
                <a:ext uri="{FF2B5EF4-FFF2-40B4-BE49-F238E27FC236}">
                  <a16:creationId xmlns:a16="http://schemas.microsoft.com/office/drawing/2014/main" id="{F062F1B8-AF82-47A2-B74B-5D806FCB2AE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6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6" name="Line 77">
              <a:extLst>
                <a:ext uri="{FF2B5EF4-FFF2-40B4-BE49-F238E27FC236}">
                  <a16:creationId xmlns:a16="http://schemas.microsoft.com/office/drawing/2014/main" id="{8DD2C75F-9AF1-4EC0-A204-DDEB84B8988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5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7" name="Line 78">
              <a:extLst>
                <a:ext uri="{FF2B5EF4-FFF2-40B4-BE49-F238E27FC236}">
                  <a16:creationId xmlns:a16="http://schemas.microsoft.com/office/drawing/2014/main" id="{0B7A7B5A-01D5-467A-BD7C-CDC8CE2737F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47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8" name="Line 79">
              <a:extLst>
                <a:ext uri="{FF2B5EF4-FFF2-40B4-BE49-F238E27FC236}">
                  <a16:creationId xmlns:a16="http://schemas.microsoft.com/office/drawing/2014/main" id="{9435CC26-130A-4C3C-956C-25441FEB766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9" name="Line 80">
              <a:extLst>
                <a:ext uri="{FF2B5EF4-FFF2-40B4-BE49-F238E27FC236}">
                  <a16:creationId xmlns:a16="http://schemas.microsoft.com/office/drawing/2014/main" id="{2A68B2ED-8446-4FC2-8611-9363031169E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30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0" name="Line 81">
              <a:extLst>
                <a:ext uri="{FF2B5EF4-FFF2-40B4-BE49-F238E27FC236}">
                  <a16:creationId xmlns:a16="http://schemas.microsoft.com/office/drawing/2014/main" id="{A4BA59E1-4D20-4C3F-B04E-B2DCDAA7A19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2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1" name="Line 82">
              <a:extLst>
                <a:ext uri="{FF2B5EF4-FFF2-40B4-BE49-F238E27FC236}">
                  <a16:creationId xmlns:a16="http://schemas.microsoft.com/office/drawing/2014/main" id="{8EC26A38-BA86-4E5F-B584-749D063F698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13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2" name="Line 83">
              <a:extLst>
                <a:ext uri="{FF2B5EF4-FFF2-40B4-BE49-F238E27FC236}">
                  <a16:creationId xmlns:a16="http://schemas.microsoft.com/office/drawing/2014/main" id="{6C4A7791-B027-4CFE-9CEE-4AE6FFD47C2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3" name="Freeform 84">
              <a:extLst>
                <a:ext uri="{FF2B5EF4-FFF2-40B4-BE49-F238E27FC236}">
                  <a16:creationId xmlns:a16="http://schemas.microsoft.com/office/drawing/2014/main" id="{411C275A-5609-4330-A559-C42323121BD1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105 h 105"/>
                <a:gd name="T2" fmla="*/ 1979 w 1979"/>
                <a:gd name="T3" fmla="*/ 0 h 105"/>
                <a:gd name="T4" fmla="*/ 0 w 1979"/>
                <a:gd name="T5" fmla="*/ 105 h 105"/>
                <a:gd name="T6" fmla="*/ 1979 w 197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105"/>
                  </a:moveTo>
                  <a:lnTo>
                    <a:pt x="1979" y="0"/>
                  </a:lnTo>
                  <a:lnTo>
                    <a:pt x="0" y="105"/>
                  </a:lnTo>
                  <a:lnTo>
                    <a:pt x="1979" y="10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4" name="Freeform 85">
              <a:extLst>
                <a:ext uri="{FF2B5EF4-FFF2-40B4-BE49-F238E27FC236}">
                  <a16:creationId xmlns:a16="http://schemas.microsoft.com/office/drawing/2014/main" id="{99F032DB-8DF0-4432-BC58-CDB1C0CE07B7}"/>
                </a:ext>
              </a:extLst>
            </xdr:cNvPr>
            <xdr:cNvSpPr>
              <a:spLocks/>
            </xdr:cNvSpPr>
          </xdr:nvSpPr>
          <xdr:spPr bwMode="auto">
            <a:xfrm>
              <a:off x="1190" y="296"/>
              <a:ext cx="33" cy="1"/>
            </a:xfrm>
            <a:custGeom>
              <a:avLst/>
              <a:gdLst>
                <a:gd name="T0" fmla="*/ 1979 w 1979"/>
                <a:gd name="T1" fmla="*/ 0 h 105"/>
                <a:gd name="T2" fmla="*/ 0 w 1979"/>
                <a:gd name="T3" fmla="*/ 105 h 105"/>
                <a:gd name="T4" fmla="*/ 18 w 1979"/>
                <a:gd name="T5" fmla="*/ 0 h 105"/>
                <a:gd name="T6" fmla="*/ 1979 w 1979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5">
                  <a:moveTo>
                    <a:pt x="1979" y="0"/>
                  </a:moveTo>
                  <a:lnTo>
                    <a:pt x="0" y="105"/>
                  </a:lnTo>
                  <a:lnTo>
                    <a:pt x="18" y="0"/>
                  </a:lnTo>
                  <a:lnTo>
                    <a:pt x="197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5" name="Freeform 86">
              <a:extLst>
                <a:ext uri="{FF2B5EF4-FFF2-40B4-BE49-F238E27FC236}">
                  <a16:creationId xmlns:a16="http://schemas.microsoft.com/office/drawing/2014/main" id="{6890AA42-FE6F-44A6-9660-AFF810B175D4}"/>
                </a:ext>
              </a:extLst>
            </xdr:cNvPr>
            <xdr:cNvSpPr>
              <a:spLocks/>
            </xdr:cNvSpPr>
          </xdr:nvSpPr>
          <xdr:spPr bwMode="auto">
            <a:xfrm>
              <a:off x="1028" y="238"/>
              <a:ext cx="162" cy="59"/>
            </a:xfrm>
            <a:custGeom>
              <a:avLst/>
              <a:gdLst>
                <a:gd name="T0" fmla="*/ 9523 w 9541"/>
                <a:gd name="T1" fmla="*/ 3477 h 3477"/>
                <a:gd name="T2" fmla="*/ 9541 w 9541"/>
                <a:gd name="T3" fmla="*/ 3372 h 3477"/>
                <a:gd name="T4" fmla="*/ 0 w 9541"/>
                <a:gd name="T5" fmla="*/ 0 h 3477"/>
                <a:gd name="T6" fmla="*/ 9523 w 9541"/>
                <a:gd name="T7" fmla="*/ 3477 h 34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7">
                  <a:moveTo>
                    <a:pt x="9523" y="3477"/>
                  </a:moveTo>
                  <a:lnTo>
                    <a:pt x="9541" y="3372"/>
                  </a:lnTo>
                  <a:lnTo>
                    <a:pt x="0" y="0"/>
                  </a:lnTo>
                  <a:lnTo>
                    <a:pt x="9523" y="347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6" name="Freeform 87">
              <a:extLst>
                <a:ext uri="{FF2B5EF4-FFF2-40B4-BE49-F238E27FC236}">
                  <a16:creationId xmlns:a16="http://schemas.microsoft.com/office/drawing/2014/main" id="{2EE0467D-938C-4CF3-9FCE-C44AB85290A0}"/>
                </a:ext>
              </a:extLst>
            </xdr:cNvPr>
            <xdr:cNvSpPr>
              <a:spLocks/>
            </xdr:cNvSpPr>
          </xdr:nvSpPr>
          <xdr:spPr bwMode="auto">
            <a:xfrm>
              <a:off x="1028" y="237"/>
              <a:ext cx="162" cy="59"/>
            </a:xfrm>
            <a:custGeom>
              <a:avLst/>
              <a:gdLst>
                <a:gd name="T0" fmla="*/ 9541 w 9541"/>
                <a:gd name="T1" fmla="*/ 3478 h 3478"/>
                <a:gd name="T2" fmla="*/ 0 w 9541"/>
                <a:gd name="T3" fmla="*/ 106 h 3478"/>
                <a:gd name="T4" fmla="*/ 18 w 9541"/>
                <a:gd name="T5" fmla="*/ 0 h 3478"/>
                <a:gd name="T6" fmla="*/ 9541 w 9541"/>
                <a:gd name="T7" fmla="*/ 3478 h 34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541" h="3478">
                  <a:moveTo>
                    <a:pt x="9541" y="3478"/>
                  </a:moveTo>
                  <a:lnTo>
                    <a:pt x="0" y="106"/>
                  </a:lnTo>
                  <a:lnTo>
                    <a:pt x="18" y="0"/>
                  </a:lnTo>
                  <a:lnTo>
                    <a:pt x="9541" y="3478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7" name="Freeform 88">
              <a:extLst>
                <a:ext uri="{FF2B5EF4-FFF2-40B4-BE49-F238E27FC236}">
                  <a16:creationId xmlns:a16="http://schemas.microsoft.com/office/drawing/2014/main" id="{6D9FBFF6-D726-47F5-974B-E28C9F14AD81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35 w 11553"/>
                <a:gd name="T1" fmla="*/ 106 h 106"/>
                <a:gd name="T2" fmla="*/ 11553 w 11553"/>
                <a:gd name="T3" fmla="*/ 0 h 106"/>
                <a:gd name="T4" fmla="*/ 0 w 11553"/>
                <a:gd name="T5" fmla="*/ 106 h 106"/>
                <a:gd name="T6" fmla="*/ 11535 w 11553"/>
                <a:gd name="T7" fmla="*/ 106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35" y="106"/>
                  </a:moveTo>
                  <a:lnTo>
                    <a:pt x="11553" y="0"/>
                  </a:lnTo>
                  <a:lnTo>
                    <a:pt x="0" y="106"/>
                  </a:lnTo>
                  <a:lnTo>
                    <a:pt x="11535" y="10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8" name="Freeform 89">
              <a:extLst>
                <a:ext uri="{FF2B5EF4-FFF2-40B4-BE49-F238E27FC236}">
                  <a16:creationId xmlns:a16="http://schemas.microsoft.com/office/drawing/2014/main" id="{35DB9A04-596A-486D-969C-8B930CACB79F}"/>
                </a:ext>
              </a:extLst>
            </xdr:cNvPr>
            <xdr:cNvSpPr>
              <a:spLocks/>
            </xdr:cNvSpPr>
          </xdr:nvSpPr>
          <xdr:spPr bwMode="auto">
            <a:xfrm>
              <a:off x="833" y="237"/>
              <a:ext cx="196" cy="1"/>
            </a:xfrm>
            <a:custGeom>
              <a:avLst/>
              <a:gdLst>
                <a:gd name="T0" fmla="*/ 11553 w 11553"/>
                <a:gd name="T1" fmla="*/ 0 h 106"/>
                <a:gd name="T2" fmla="*/ 0 w 11553"/>
                <a:gd name="T3" fmla="*/ 106 h 106"/>
                <a:gd name="T4" fmla="*/ 0 w 11553"/>
                <a:gd name="T5" fmla="*/ 0 h 106"/>
                <a:gd name="T6" fmla="*/ 11553 w 115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553" h="106">
                  <a:moveTo>
                    <a:pt x="11553" y="0"/>
                  </a:moveTo>
                  <a:lnTo>
                    <a:pt x="0" y="106"/>
                  </a:lnTo>
                  <a:lnTo>
                    <a:pt x="0" y="0"/>
                  </a:lnTo>
                  <a:lnTo>
                    <a:pt x="1155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9" name="Freeform 90">
              <a:extLst>
                <a:ext uri="{FF2B5EF4-FFF2-40B4-BE49-F238E27FC236}">
                  <a16:creationId xmlns:a16="http://schemas.microsoft.com/office/drawing/2014/main" id="{7A9BB4EB-09E6-499A-83E6-ADC716450989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76"/>
                <a:gd name="T1" fmla="*/ 7696 h 7794"/>
                <a:gd name="T2" fmla="*/ 36 w 21076"/>
                <a:gd name="T3" fmla="*/ 7794 h 7794"/>
                <a:gd name="T4" fmla="*/ 21076 w 21076"/>
                <a:gd name="T5" fmla="*/ 0 h 7794"/>
                <a:gd name="T6" fmla="*/ 0 w 21076"/>
                <a:gd name="T7" fmla="*/ 7696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76" h="7794">
                  <a:moveTo>
                    <a:pt x="0" y="7696"/>
                  </a:moveTo>
                  <a:lnTo>
                    <a:pt x="36" y="7794"/>
                  </a:lnTo>
                  <a:lnTo>
                    <a:pt x="21076" y="0"/>
                  </a:lnTo>
                  <a:lnTo>
                    <a:pt x="0" y="769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0" name="Freeform 91">
              <a:extLst>
                <a:ext uri="{FF2B5EF4-FFF2-40B4-BE49-F238E27FC236}">
                  <a16:creationId xmlns:a16="http://schemas.microsoft.com/office/drawing/2014/main" id="{D6FDD562-A2B9-4B37-AA38-E57425F24755}"/>
                </a:ext>
              </a:extLst>
            </xdr:cNvPr>
            <xdr:cNvSpPr>
              <a:spLocks/>
            </xdr:cNvSpPr>
          </xdr:nvSpPr>
          <xdr:spPr bwMode="auto">
            <a:xfrm>
              <a:off x="833" y="106"/>
              <a:ext cx="357" cy="132"/>
            </a:xfrm>
            <a:custGeom>
              <a:avLst/>
              <a:gdLst>
                <a:gd name="T0" fmla="*/ 0 w 21058"/>
                <a:gd name="T1" fmla="*/ 7794 h 7794"/>
                <a:gd name="T2" fmla="*/ 21040 w 21058"/>
                <a:gd name="T3" fmla="*/ 0 h 7794"/>
                <a:gd name="T4" fmla="*/ 21058 w 21058"/>
                <a:gd name="T5" fmla="*/ 107 h 7794"/>
                <a:gd name="T6" fmla="*/ 0 w 21058"/>
                <a:gd name="T7" fmla="*/ 7794 h 77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058" h="7794">
                  <a:moveTo>
                    <a:pt x="0" y="7794"/>
                  </a:moveTo>
                  <a:lnTo>
                    <a:pt x="21040" y="0"/>
                  </a:lnTo>
                  <a:lnTo>
                    <a:pt x="21058" y="107"/>
                  </a:lnTo>
                  <a:lnTo>
                    <a:pt x="0" y="779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1" name="Freeform 92">
              <a:extLst>
                <a:ext uri="{FF2B5EF4-FFF2-40B4-BE49-F238E27FC236}">
                  <a16:creationId xmlns:a16="http://schemas.microsoft.com/office/drawing/2014/main" id="{B340D0AC-FFA9-43CD-93AD-1CC05A40B24B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79"/>
                <a:gd name="T1" fmla="*/ 0 h 107"/>
                <a:gd name="T2" fmla="*/ 18 w 1979"/>
                <a:gd name="T3" fmla="*/ 107 h 107"/>
                <a:gd name="T4" fmla="*/ 1979 w 1979"/>
                <a:gd name="T5" fmla="*/ 0 h 107"/>
                <a:gd name="T6" fmla="*/ 0 w 1979"/>
                <a:gd name="T7" fmla="*/ 0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79" h="107">
                  <a:moveTo>
                    <a:pt x="0" y="0"/>
                  </a:moveTo>
                  <a:lnTo>
                    <a:pt x="18" y="107"/>
                  </a:lnTo>
                  <a:lnTo>
                    <a:pt x="1979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2" name="Freeform 93">
              <a:extLst>
                <a:ext uri="{FF2B5EF4-FFF2-40B4-BE49-F238E27FC236}">
                  <a16:creationId xmlns:a16="http://schemas.microsoft.com/office/drawing/2014/main" id="{EB22E368-D628-4049-A3E2-F548549CE223}"/>
                </a:ext>
              </a:extLst>
            </xdr:cNvPr>
            <xdr:cNvSpPr>
              <a:spLocks/>
            </xdr:cNvSpPr>
          </xdr:nvSpPr>
          <xdr:spPr bwMode="auto">
            <a:xfrm>
              <a:off x="1190" y="106"/>
              <a:ext cx="33" cy="2"/>
            </a:xfrm>
            <a:custGeom>
              <a:avLst/>
              <a:gdLst>
                <a:gd name="T0" fmla="*/ 0 w 1961"/>
                <a:gd name="T1" fmla="*/ 107 h 107"/>
                <a:gd name="T2" fmla="*/ 1961 w 1961"/>
                <a:gd name="T3" fmla="*/ 0 h 107"/>
                <a:gd name="T4" fmla="*/ 1961 w 1961"/>
                <a:gd name="T5" fmla="*/ 107 h 107"/>
                <a:gd name="T6" fmla="*/ 0 w 1961"/>
                <a:gd name="T7" fmla="*/ 107 h 10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961" h="107">
                  <a:moveTo>
                    <a:pt x="0" y="107"/>
                  </a:moveTo>
                  <a:lnTo>
                    <a:pt x="1961" y="0"/>
                  </a:lnTo>
                  <a:lnTo>
                    <a:pt x="1961" y="107"/>
                  </a:lnTo>
                  <a:lnTo>
                    <a:pt x="0" y="10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3" name="Line 94">
              <a:extLst>
                <a:ext uri="{FF2B5EF4-FFF2-40B4-BE49-F238E27FC236}">
                  <a16:creationId xmlns:a16="http://schemas.microsoft.com/office/drawing/2014/main" id="{40A2A63D-EC7E-4A6F-B4BF-E71CA78458E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928" y="202"/>
              <a:ext cx="262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4" name="Line 95">
              <a:extLst>
                <a:ext uri="{FF2B5EF4-FFF2-40B4-BE49-F238E27FC236}">
                  <a16:creationId xmlns:a16="http://schemas.microsoft.com/office/drawing/2014/main" id="{A4B35237-9D42-47CD-9119-D01FE787E48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93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5" name="Line 96">
              <a:extLst>
                <a:ext uri="{FF2B5EF4-FFF2-40B4-BE49-F238E27FC236}">
                  <a16:creationId xmlns:a16="http://schemas.microsoft.com/office/drawing/2014/main" id="{3AC642F3-382B-40B9-965C-2FBA9909353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8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6" name="Line 97">
              <a:extLst>
                <a:ext uri="{FF2B5EF4-FFF2-40B4-BE49-F238E27FC236}">
                  <a16:creationId xmlns:a16="http://schemas.microsoft.com/office/drawing/2014/main" id="{EB59993E-321B-401C-81D2-1727143B133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7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7" name="Line 98">
              <a:extLst>
                <a:ext uri="{FF2B5EF4-FFF2-40B4-BE49-F238E27FC236}">
                  <a16:creationId xmlns:a16="http://schemas.microsoft.com/office/drawing/2014/main" id="{7F5FAF99-8A40-4A41-9E4D-DB6B4140691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6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8" name="Line 99">
              <a:extLst>
                <a:ext uri="{FF2B5EF4-FFF2-40B4-BE49-F238E27FC236}">
                  <a16:creationId xmlns:a16="http://schemas.microsoft.com/office/drawing/2014/main" id="{7635AF68-1F6A-481A-B6A3-BB9DA17D8E1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9" name="Line 100">
              <a:extLst>
                <a:ext uri="{FF2B5EF4-FFF2-40B4-BE49-F238E27FC236}">
                  <a16:creationId xmlns:a16="http://schemas.microsoft.com/office/drawing/2014/main" id="{5F021CFF-5DE5-4100-950A-E774E2A015E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5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0" name="Line 101">
              <a:extLst>
                <a:ext uri="{FF2B5EF4-FFF2-40B4-BE49-F238E27FC236}">
                  <a16:creationId xmlns:a16="http://schemas.microsoft.com/office/drawing/2014/main" id="{813FEB89-5AA0-477B-9419-50D21873001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4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1" name="Line 102">
              <a:extLst>
                <a:ext uri="{FF2B5EF4-FFF2-40B4-BE49-F238E27FC236}">
                  <a16:creationId xmlns:a16="http://schemas.microsoft.com/office/drawing/2014/main" id="{AA67EFC0-B697-4D2F-A71C-3FC6EDA3C24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3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2" name="Line 103">
              <a:extLst>
                <a:ext uri="{FF2B5EF4-FFF2-40B4-BE49-F238E27FC236}">
                  <a16:creationId xmlns:a16="http://schemas.microsoft.com/office/drawing/2014/main" id="{6E6E65BC-E19A-44C9-AE26-D0726F154E9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2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3" name="Line 104">
              <a:extLst>
                <a:ext uri="{FF2B5EF4-FFF2-40B4-BE49-F238E27FC236}">
                  <a16:creationId xmlns:a16="http://schemas.microsoft.com/office/drawing/2014/main" id="{E80D4983-2505-4121-9204-95D40D60356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1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4" name="Line 105">
              <a:extLst>
                <a:ext uri="{FF2B5EF4-FFF2-40B4-BE49-F238E27FC236}">
                  <a16:creationId xmlns:a16="http://schemas.microsoft.com/office/drawing/2014/main" id="{42F31030-C7A8-48FF-9605-03A9668E676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5" name="Line 106">
              <a:extLst>
                <a:ext uri="{FF2B5EF4-FFF2-40B4-BE49-F238E27FC236}">
                  <a16:creationId xmlns:a16="http://schemas.microsoft.com/office/drawing/2014/main" id="{6953EEAB-EAE4-4247-AF40-BFAF81A3CFE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90" y="202"/>
              <a:ext cx="0" cy="3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6" name="Line 107">
              <a:extLst>
                <a:ext uri="{FF2B5EF4-FFF2-40B4-BE49-F238E27FC236}">
                  <a16:creationId xmlns:a16="http://schemas.microsoft.com/office/drawing/2014/main" id="{754ACD3E-2D3F-43B8-BF61-F0E778206AE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7" name="Line 108">
              <a:extLst>
                <a:ext uri="{FF2B5EF4-FFF2-40B4-BE49-F238E27FC236}">
                  <a16:creationId xmlns:a16="http://schemas.microsoft.com/office/drawing/2014/main" id="{E291CFAF-CA47-4BFC-8893-D5E0061F00A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8" name="Line 109">
              <a:extLst>
                <a:ext uri="{FF2B5EF4-FFF2-40B4-BE49-F238E27FC236}">
                  <a16:creationId xmlns:a16="http://schemas.microsoft.com/office/drawing/2014/main" id="{6DD0C948-C04C-4B70-BBA3-3B3D16644AA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9" name="Line 110">
              <a:extLst>
                <a:ext uri="{FF2B5EF4-FFF2-40B4-BE49-F238E27FC236}">
                  <a16:creationId xmlns:a16="http://schemas.microsoft.com/office/drawing/2014/main" id="{BE2A0B12-EB04-4D62-BB82-F2A8A1F2C7F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0" name="Line 111">
              <a:extLst>
                <a:ext uri="{FF2B5EF4-FFF2-40B4-BE49-F238E27FC236}">
                  <a16:creationId xmlns:a16="http://schemas.microsoft.com/office/drawing/2014/main" id="{F2B3FCFD-077C-4E5E-936E-C31D5C75D74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1" name="Line 112">
              <a:extLst>
                <a:ext uri="{FF2B5EF4-FFF2-40B4-BE49-F238E27FC236}">
                  <a16:creationId xmlns:a16="http://schemas.microsoft.com/office/drawing/2014/main" id="{87E3A2DD-C337-40F1-BCC8-207499DB746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2" name="Line 113">
              <a:extLst>
                <a:ext uri="{FF2B5EF4-FFF2-40B4-BE49-F238E27FC236}">
                  <a16:creationId xmlns:a16="http://schemas.microsoft.com/office/drawing/2014/main" id="{9C69E3B7-3351-4BA0-ADA7-80C02680477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3" name="Line 114">
              <a:extLst>
                <a:ext uri="{FF2B5EF4-FFF2-40B4-BE49-F238E27FC236}">
                  <a16:creationId xmlns:a16="http://schemas.microsoft.com/office/drawing/2014/main" id="{316C300C-3B70-4263-ADD4-F3BC15D6673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4" name="Line 115">
              <a:extLst>
                <a:ext uri="{FF2B5EF4-FFF2-40B4-BE49-F238E27FC236}">
                  <a16:creationId xmlns:a16="http://schemas.microsoft.com/office/drawing/2014/main" id="{A2227605-9949-4F4E-ABAC-A5E923A3D40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5" name="Line 116">
              <a:extLst>
                <a:ext uri="{FF2B5EF4-FFF2-40B4-BE49-F238E27FC236}">
                  <a16:creationId xmlns:a16="http://schemas.microsoft.com/office/drawing/2014/main" id="{7BD38225-4794-46D2-9BEE-2E7185D3909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6" name="Line 117">
              <a:extLst>
                <a:ext uri="{FF2B5EF4-FFF2-40B4-BE49-F238E27FC236}">
                  <a16:creationId xmlns:a16="http://schemas.microsoft.com/office/drawing/2014/main" id="{692362C5-8C48-41A8-AFD2-8D8E08FAB6B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7" name="Line 118">
              <a:extLst>
                <a:ext uri="{FF2B5EF4-FFF2-40B4-BE49-F238E27FC236}">
                  <a16:creationId xmlns:a16="http://schemas.microsoft.com/office/drawing/2014/main" id="{FB6A26B0-DA23-406D-8B19-1CBEBF1CCA7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8" name="Line 119">
              <a:extLst>
                <a:ext uri="{FF2B5EF4-FFF2-40B4-BE49-F238E27FC236}">
                  <a16:creationId xmlns:a16="http://schemas.microsoft.com/office/drawing/2014/main" id="{ABEEDAD8-15EA-486D-A38E-3320B577907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9" name="Line 120">
              <a:extLst>
                <a:ext uri="{FF2B5EF4-FFF2-40B4-BE49-F238E27FC236}">
                  <a16:creationId xmlns:a16="http://schemas.microsoft.com/office/drawing/2014/main" id="{2E1669CD-8C45-4F9C-B337-9F4A944687E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0" name="Line 121">
              <a:extLst>
                <a:ext uri="{FF2B5EF4-FFF2-40B4-BE49-F238E27FC236}">
                  <a16:creationId xmlns:a16="http://schemas.microsoft.com/office/drawing/2014/main" id="{3A613A6F-F4FA-423A-AD61-32B7E070735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1" name="Line 122">
              <a:extLst>
                <a:ext uri="{FF2B5EF4-FFF2-40B4-BE49-F238E27FC236}">
                  <a16:creationId xmlns:a16="http://schemas.microsoft.com/office/drawing/2014/main" id="{221801B6-E634-4866-87B4-64FA4790EDC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33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2" name="Line 123">
              <a:extLst>
                <a:ext uri="{FF2B5EF4-FFF2-40B4-BE49-F238E27FC236}">
                  <a16:creationId xmlns:a16="http://schemas.microsoft.com/office/drawing/2014/main" id="{B895C84F-6F6C-43CE-9124-D3A1BFD7EF3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3" name="Line 124">
              <a:extLst>
                <a:ext uri="{FF2B5EF4-FFF2-40B4-BE49-F238E27FC236}">
                  <a16:creationId xmlns:a16="http://schemas.microsoft.com/office/drawing/2014/main" id="{5FA773D0-805A-40F4-950B-3B10CE2208A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4" name="Line 125">
              <a:extLst>
                <a:ext uri="{FF2B5EF4-FFF2-40B4-BE49-F238E27FC236}">
                  <a16:creationId xmlns:a16="http://schemas.microsoft.com/office/drawing/2014/main" id="{CB32C22C-6FF0-4D25-8E34-82EF3140317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5" name="Line 126">
              <a:extLst>
                <a:ext uri="{FF2B5EF4-FFF2-40B4-BE49-F238E27FC236}">
                  <a16:creationId xmlns:a16="http://schemas.microsoft.com/office/drawing/2014/main" id="{2917027E-A958-4570-B52F-6E00F956F82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6" name="Line 127">
              <a:extLst>
                <a:ext uri="{FF2B5EF4-FFF2-40B4-BE49-F238E27FC236}">
                  <a16:creationId xmlns:a16="http://schemas.microsoft.com/office/drawing/2014/main" id="{1EAA11C6-928F-4FA2-A72A-DA140E016E4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7" name="Line 128">
              <a:extLst>
                <a:ext uri="{FF2B5EF4-FFF2-40B4-BE49-F238E27FC236}">
                  <a16:creationId xmlns:a16="http://schemas.microsoft.com/office/drawing/2014/main" id="{717C72AA-5875-4715-9197-8D7B0F69444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8" name="Line 129">
              <a:extLst>
                <a:ext uri="{FF2B5EF4-FFF2-40B4-BE49-F238E27FC236}">
                  <a16:creationId xmlns:a16="http://schemas.microsoft.com/office/drawing/2014/main" id="{87C56877-942B-4D2A-AEA1-00C5FEB6EA1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9" name="Line 130">
              <a:extLst>
                <a:ext uri="{FF2B5EF4-FFF2-40B4-BE49-F238E27FC236}">
                  <a16:creationId xmlns:a16="http://schemas.microsoft.com/office/drawing/2014/main" id="{F4885091-1C00-4E30-AB3B-2A6B992BE25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0" name="Line 131">
              <a:extLst>
                <a:ext uri="{FF2B5EF4-FFF2-40B4-BE49-F238E27FC236}">
                  <a16:creationId xmlns:a16="http://schemas.microsoft.com/office/drawing/2014/main" id="{0AF4C4E6-F8E1-41FA-ACDA-DB01C34EEA3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1" name="Line 132">
              <a:extLst>
                <a:ext uri="{FF2B5EF4-FFF2-40B4-BE49-F238E27FC236}">
                  <a16:creationId xmlns:a16="http://schemas.microsoft.com/office/drawing/2014/main" id="{5C63475E-013A-4EC7-B0FD-596D4C93B24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2" name="Line 133">
              <a:extLst>
                <a:ext uri="{FF2B5EF4-FFF2-40B4-BE49-F238E27FC236}">
                  <a16:creationId xmlns:a16="http://schemas.microsoft.com/office/drawing/2014/main" id="{6CD2BA3A-DE49-463F-8A32-4CBBABAB59F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3" name="Line 134">
              <a:extLst>
                <a:ext uri="{FF2B5EF4-FFF2-40B4-BE49-F238E27FC236}">
                  <a16:creationId xmlns:a16="http://schemas.microsoft.com/office/drawing/2014/main" id="{220EFEB1-05C8-4DE0-9F01-9B9E424A8FA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4" name="Line 135">
              <a:extLst>
                <a:ext uri="{FF2B5EF4-FFF2-40B4-BE49-F238E27FC236}">
                  <a16:creationId xmlns:a16="http://schemas.microsoft.com/office/drawing/2014/main" id="{6464D011-3F24-4851-ADDE-8AC3DC767A8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5" name="Line 136">
              <a:extLst>
                <a:ext uri="{FF2B5EF4-FFF2-40B4-BE49-F238E27FC236}">
                  <a16:creationId xmlns:a16="http://schemas.microsoft.com/office/drawing/2014/main" id="{35A54CA1-42FD-4E3A-92B8-44FE3D25854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6" name="Line 137">
              <a:extLst>
                <a:ext uri="{FF2B5EF4-FFF2-40B4-BE49-F238E27FC236}">
                  <a16:creationId xmlns:a16="http://schemas.microsoft.com/office/drawing/2014/main" id="{A6062415-68B4-4AEB-9C24-0D815E6A167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7" name="Line 138">
              <a:extLst>
                <a:ext uri="{FF2B5EF4-FFF2-40B4-BE49-F238E27FC236}">
                  <a16:creationId xmlns:a16="http://schemas.microsoft.com/office/drawing/2014/main" id="{4110C2D0-53C2-4091-8205-AF6D83AC285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1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8" name="Line 139">
              <a:extLst>
                <a:ext uri="{FF2B5EF4-FFF2-40B4-BE49-F238E27FC236}">
                  <a16:creationId xmlns:a16="http://schemas.microsoft.com/office/drawing/2014/main" id="{7910E3F0-033F-44D5-BB57-AA11F80FC98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9" name="Line 140">
              <a:extLst>
                <a:ext uri="{FF2B5EF4-FFF2-40B4-BE49-F238E27FC236}">
                  <a16:creationId xmlns:a16="http://schemas.microsoft.com/office/drawing/2014/main" id="{5503B583-6144-4569-828B-706EE915151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0" name="Line 141">
              <a:extLst>
                <a:ext uri="{FF2B5EF4-FFF2-40B4-BE49-F238E27FC236}">
                  <a16:creationId xmlns:a16="http://schemas.microsoft.com/office/drawing/2014/main" id="{4B19F922-9996-4603-B57A-79A0B02A3D9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1" name="Line 142">
              <a:extLst>
                <a:ext uri="{FF2B5EF4-FFF2-40B4-BE49-F238E27FC236}">
                  <a16:creationId xmlns:a16="http://schemas.microsoft.com/office/drawing/2014/main" id="{416BBF41-3BFF-4F28-BE16-F10A153C6C4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2" name="Line 143">
              <a:extLst>
                <a:ext uri="{FF2B5EF4-FFF2-40B4-BE49-F238E27FC236}">
                  <a16:creationId xmlns:a16="http://schemas.microsoft.com/office/drawing/2014/main" id="{3A0FE86F-8EB8-47C6-A4C8-9B37F409C31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3" name="Line 144">
              <a:extLst>
                <a:ext uri="{FF2B5EF4-FFF2-40B4-BE49-F238E27FC236}">
                  <a16:creationId xmlns:a16="http://schemas.microsoft.com/office/drawing/2014/main" id="{70F177A1-24E2-4460-9763-3A871FB9213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4" name="Line 145">
              <a:extLst>
                <a:ext uri="{FF2B5EF4-FFF2-40B4-BE49-F238E27FC236}">
                  <a16:creationId xmlns:a16="http://schemas.microsoft.com/office/drawing/2014/main" id="{7F4D2B99-C4B2-483E-8C08-284AB124BBC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5" name="Line 146">
              <a:extLst>
                <a:ext uri="{FF2B5EF4-FFF2-40B4-BE49-F238E27FC236}">
                  <a16:creationId xmlns:a16="http://schemas.microsoft.com/office/drawing/2014/main" id="{24D1944F-F586-483D-A24B-40D74BB639B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6" name="Line 147">
              <a:extLst>
                <a:ext uri="{FF2B5EF4-FFF2-40B4-BE49-F238E27FC236}">
                  <a16:creationId xmlns:a16="http://schemas.microsoft.com/office/drawing/2014/main" id="{107F3DBB-C303-47D2-95E4-5EFE4134B1C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7" name="Line 148">
              <a:extLst>
                <a:ext uri="{FF2B5EF4-FFF2-40B4-BE49-F238E27FC236}">
                  <a16:creationId xmlns:a16="http://schemas.microsoft.com/office/drawing/2014/main" id="{FBFD35F3-9166-48BB-B3E7-D0D91B52681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8" name="Line 149">
              <a:extLst>
                <a:ext uri="{FF2B5EF4-FFF2-40B4-BE49-F238E27FC236}">
                  <a16:creationId xmlns:a16="http://schemas.microsoft.com/office/drawing/2014/main" id="{9663F6A7-FA19-4CCF-86BA-14C1F6E30D3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9" name="Line 150">
              <a:extLst>
                <a:ext uri="{FF2B5EF4-FFF2-40B4-BE49-F238E27FC236}">
                  <a16:creationId xmlns:a16="http://schemas.microsoft.com/office/drawing/2014/main" id="{950935AC-387B-487C-B551-42759AA5FD5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0" name="Line 151">
              <a:extLst>
                <a:ext uri="{FF2B5EF4-FFF2-40B4-BE49-F238E27FC236}">
                  <a16:creationId xmlns:a16="http://schemas.microsoft.com/office/drawing/2014/main" id="{3AAAEBC5-34A3-493F-9EB2-4001A92C187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1" name="Line 152">
              <a:extLst>
                <a:ext uri="{FF2B5EF4-FFF2-40B4-BE49-F238E27FC236}">
                  <a16:creationId xmlns:a16="http://schemas.microsoft.com/office/drawing/2014/main" id="{DFBCE3AE-04C2-4E61-A7E4-D83E24AC130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2" name="Line 153">
              <a:extLst>
                <a:ext uri="{FF2B5EF4-FFF2-40B4-BE49-F238E27FC236}">
                  <a16:creationId xmlns:a16="http://schemas.microsoft.com/office/drawing/2014/main" id="{71901E24-15F0-4409-A440-09B4D071421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3" name="Line 154">
              <a:extLst>
                <a:ext uri="{FF2B5EF4-FFF2-40B4-BE49-F238E27FC236}">
                  <a16:creationId xmlns:a16="http://schemas.microsoft.com/office/drawing/2014/main" id="{A7AB2D08-62FF-4C8B-B5A6-2A52260998A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29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4" name="Line 155">
              <a:extLst>
                <a:ext uri="{FF2B5EF4-FFF2-40B4-BE49-F238E27FC236}">
                  <a16:creationId xmlns:a16="http://schemas.microsoft.com/office/drawing/2014/main" id="{D895C791-BDBE-4755-BC78-94FC3C8FC38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3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5" name="Line 156">
              <a:extLst>
                <a:ext uri="{FF2B5EF4-FFF2-40B4-BE49-F238E27FC236}">
                  <a16:creationId xmlns:a16="http://schemas.microsoft.com/office/drawing/2014/main" id="{46D2D3BB-4327-48EE-87D6-B0B9CBCAE32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25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6" name="Line 157">
              <a:extLst>
                <a:ext uri="{FF2B5EF4-FFF2-40B4-BE49-F238E27FC236}">
                  <a16:creationId xmlns:a16="http://schemas.microsoft.com/office/drawing/2014/main" id="{4FBE3B0A-18CB-4D72-9791-7B76FE51958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16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7" name="Line 158">
              <a:extLst>
                <a:ext uri="{FF2B5EF4-FFF2-40B4-BE49-F238E27FC236}">
                  <a16:creationId xmlns:a16="http://schemas.microsoft.com/office/drawing/2014/main" id="{344A9810-0B27-4BE8-A404-150FBD30935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208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8" name="Line 159">
              <a:extLst>
                <a:ext uri="{FF2B5EF4-FFF2-40B4-BE49-F238E27FC236}">
                  <a16:creationId xmlns:a16="http://schemas.microsoft.com/office/drawing/2014/main" id="{B01B8669-FDB4-4DBD-BE17-8EF04BB42CD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9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9" name="Line 160">
              <a:extLst>
                <a:ext uri="{FF2B5EF4-FFF2-40B4-BE49-F238E27FC236}">
                  <a16:creationId xmlns:a16="http://schemas.microsoft.com/office/drawing/2014/main" id="{2BEF446D-F632-48F0-86C4-5340BAAC26D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91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0" name="Line 161">
              <a:extLst>
                <a:ext uri="{FF2B5EF4-FFF2-40B4-BE49-F238E27FC236}">
                  <a16:creationId xmlns:a16="http://schemas.microsoft.com/office/drawing/2014/main" id="{65E439EF-64F0-448D-9B78-4E8F12E5D29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82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1" name="Line 162">
              <a:extLst>
                <a:ext uri="{FF2B5EF4-FFF2-40B4-BE49-F238E27FC236}">
                  <a16:creationId xmlns:a16="http://schemas.microsoft.com/office/drawing/2014/main" id="{F2544814-DB05-4EFF-BB4B-BF15B4744D0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74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2" name="Line 163">
              <a:extLst>
                <a:ext uri="{FF2B5EF4-FFF2-40B4-BE49-F238E27FC236}">
                  <a16:creationId xmlns:a16="http://schemas.microsoft.com/office/drawing/2014/main" id="{55E649BC-31BB-4CBD-B680-69E9EBD1629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65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3" name="Line 164">
              <a:extLst>
                <a:ext uri="{FF2B5EF4-FFF2-40B4-BE49-F238E27FC236}">
                  <a16:creationId xmlns:a16="http://schemas.microsoft.com/office/drawing/2014/main" id="{2B030189-C8AF-4599-AE8D-96F0B1546F9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57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4" name="Line 165">
              <a:extLst>
                <a:ext uri="{FF2B5EF4-FFF2-40B4-BE49-F238E27FC236}">
                  <a16:creationId xmlns:a16="http://schemas.microsoft.com/office/drawing/2014/main" id="{4DDCECB6-DC7C-4765-B2F6-65D4AE1D101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8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5" name="Line 166">
              <a:extLst>
                <a:ext uri="{FF2B5EF4-FFF2-40B4-BE49-F238E27FC236}">
                  <a16:creationId xmlns:a16="http://schemas.microsoft.com/office/drawing/2014/main" id="{B2F61719-4C59-4E44-8A7A-18DC2191F15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40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6" name="Line 167">
              <a:extLst>
                <a:ext uri="{FF2B5EF4-FFF2-40B4-BE49-F238E27FC236}">
                  <a16:creationId xmlns:a16="http://schemas.microsoft.com/office/drawing/2014/main" id="{2E482B03-A2F0-4194-9071-8FA3C2D49F7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31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7" name="Line 168">
              <a:extLst>
                <a:ext uri="{FF2B5EF4-FFF2-40B4-BE49-F238E27FC236}">
                  <a16:creationId xmlns:a16="http://schemas.microsoft.com/office/drawing/2014/main" id="{905DF682-26CA-4A59-ACC5-A12F6E10FED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23"/>
              <a:ext cx="0" cy="5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8" name="Line 169">
              <a:extLst>
                <a:ext uri="{FF2B5EF4-FFF2-40B4-BE49-F238E27FC236}">
                  <a16:creationId xmlns:a16="http://schemas.microsoft.com/office/drawing/2014/main" id="{B43EBB90-8E47-4836-A7FB-F732624292D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14"/>
              <a:ext cx="0" cy="6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9" name="Line 170">
              <a:extLst>
                <a:ext uri="{FF2B5EF4-FFF2-40B4-BE49-F238E27FC236}">
                  <a16:creationId xmlns:a16="http://schemas.microsoft.com/office/drawing/2014/main" id="{52CC71CB-475D-4147-BFA1-DEEDD7D6A72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12" y="107"/>
              <a:ext cx="0" cy="4"/>
            </a:xfrm>
            <a:prstGeom prst="line">
              <a:avLst/>
            </a:prstGeom>
            <a:noFill/>
            <a:ln w="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0" name="Line 171">
              <a:extLst>
                <a:ext uri="{FF2B5EF4-FFF2-40B4-BE49-F238E27FC236}">
                  <a16:creationId xmlns:a16="http://schemas.microsoft.com/office/drawing/2014/main" id="{9A81B9FB-5C06-4589-99B7-9359668DEA6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33" y="202"/>
              <a:ext cx="95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1" name="Freeform 172">
              <a:extLst>
                <a:ext uri="{FF2B5EF4-FFF2-40B4-BE49-F238E27FC236}">
                  <a16:creationId xmlns:a16="http://schemas.microsoft.com/office/drawing/2014/main" id="{EE00C748-A494-4A1A-9D1B-0E30239FB517}"/>
                </a:ext>
              </a:extLst>
            </xdr:cNvPr>
            <xdr:cNvSpPr>
              <a:spLocks/>
            </xdr:cNvSpPr>
          </xdr:nvSpPr>
          <xdr:spPr bwMode="auto">
            <a:xfrm>
              <a:off x="821" y="188"/>
              <a:ext cx="6" cy="9"/>
            </a:xfrm>
            <a:custGeom>
              <a:avLst/>
              <a:gdLst>
                <a:gd name="T0" fmla="*/ 0 w 351"/>
                <a:gd name="T1" fmla="*/ 526 h 526"/>
                <a:gd name="T2" fmla="*/ 0 w 351"/>
                <a:gd name="T3" fmla="*/ 351 h 526"/>
                <a:gd name="T4" fmla="*/ 176 w 351"/>
                <a:gd name="T5" fmla="*/ 0 h 526"/>
                <a:gd name="T6" fmla="*/ 351 w 351"/>
                <a:gd name="T7" fmla="*/ 351 h 526"/>
                <a:gd name="T8" fmla="*/ 351 w 351"/>
                <a:gd name="T9" fmla="*/ 526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526">
                  <a:moveTo>
                    <a:pt x="0" y="526"/>
                  </a:moveTo>
                  <a:lnTo>
                    <a:pt x="0" y="351"/>
                  </a:lnTo>
                  <a:lnTo>
                    <a:pt x="176" y="0"/>
                  </a:lnTo>
                  <a:lnTo>
                    <a:pt x="351" y="351"/>
                  </a:lnTo>
                  <a:lnTo>
                    <a:pt x="351" y="526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62" name="Line 173">
              <a:extLst>
                <a:ext uri="{FF2B5EF4-FFF2-40B4-BE49-F238E27FC236}">
                  <a16:creationId xmlns:a16="http://schemas.microsoft.com/office/drawing/2014/main" id="{B172CF19-C5E0-41FF-9D2F-CED0836F076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1" y="194"/>
              <a:ext cx="6" cy="0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3" name="Freeform 174">
              <a:extLst>
                <a:ext uri="{FF2B5EF4-FFF2-40B4-BE49-F238E27FC236}">
                  <a16:creationId xmlns:a16="http://schemas.microsoft.com/office/drawing/2014/main" id="{BD95FD76-0ABC-4C51-82F4-31F3CAF1403A}"/>
                </a:ext>
              </a:extLst>
            </xdr:cNvPr>
            <xdr:cNvSpPr>
              <a:spLocks/>
            </xdr:cNvSpPr>
          </xdr:nvSpPr>
          <xdr:spPr bwMode="auto">
            <a:xfrm>
              <a:off x="833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4" name="Freeform 175">
              <a:extLst>
                <a:ext uri="{FF2B5EF4-FFF2-40B4-BE49-F238E27FC236}">
                  <a16:creationId xmlns:a16="http://schemas.microsoft.com/office/drawing/2014/main" id="{AA8E7E6B-0C16-4A74-8FB0-E4E054AFAA7D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5" name="Freeform 176">
              <a:extLst>
                <a:ext uri="{FF2B5EF4-FFF2-40B4-BE49-F238E27FC236}">
                  <a16:creationId xmlns:a16="http://schemas.microsoft.com/office/drawing/2014/main" id="{805FEE5A-813D-4EFF-8994-E27DB40851BA}"/>
                </a:ext>
              </a:extLst>
            </xdr:cNvPr>
            <xdr:cNvSpPr>
              <a:spLocks/>
            </xdr:cNvSpPr>
          </xdr:nvSpPr>
          <xdr:spPr bwMode="auto">
            <a:xfrm>
              <a:off x="833" y="200"/>
              <a:ext cx="1" cy="2"/>
            </a:xfrm>
            <a:custGeom>
              <a:avLst/>
              <a:gdLst>
                <a:gd name="T0" fmla="*/ 53 w 53"/>
                <a:gd name="T1" fmla="*/ 14 h 106"/>
                <a:gd name="T2" fmla="*/ 0 w 53"/>
                <a:gd name="T3" fmla="*/ 0 h 106"/>
                <a:gd name="T4" fmla="*/ 0 w 53"/>
                <a:gd name="T5" fmla="*/ 106 h 106"/>
                <a:gd name="T6" fmla="*/ 53 w 53"/>
                <a:gd name="T7" fmla="*/ 14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14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53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6" name="Freeform 177">
              <a:extLst>
                <a:ext uri="{FF2B5EF4-FFF2-40B4-BE49-F238E27FC236}">
                  <a16:creationId xmlns:a16="http://schemas.microsoft.com/office/drawing/2014/main" id="{2172B0BF-04C2-42C2-8326-E7DF0CF551F8}"/>
                </a:ext>
              </a:extLst>
            </xdr:cNvPr>
            <xdr:cNvSpPr>
              <a:spLocks/>
            </xdr:cNvSpPr>
          </xdr:nvSpPr>
          <xdr:spPr bwMode="auto">
            <a:xfrm>
              <a:off x="832" y="200"/>
              <a:ext cx="1" cy="2"/>
            </a:xfrm>
            <a:custGeom>
              <a:avLst/>
              <a:gdLst>
                <a:gd name="T0" fmla="*/ 53 w 53"/>
                <a:gd name="T1" fmla="*/ 0 h 106"/>
                <a:gd name="T2" fmla="*/ 0 w 53"/>
                <a:gd name="T3" fmla="*/ 14 h 106"/>
                <a:gd name="T4" fmla="*/ 53 w 53"/>
                <a:gd name="T5" fmla="*/ 106 h 106"/>
                <a:gd name="T6" fmla="*/ 53 w 53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6">
                  <a:moveTo>
                    <a:pt x="53" y="0"/>
                  </a:moveTo>
                  <a:lnTo>
                    <a:pt x="0" y="14"/>
                  </a:lnTo>
                  <a:lnTo>
                    <a:pt x="53" y="106"/>
                  </a:lnTo>
                  <a:lnTo>
                    <a:pt x="5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7" name="Freeform 178">
              <a:extLst>
                <a:ext uri="{FF2B5EF4-FFF2-40B4-BE49-F238E27FC236}">
                  <a16:creationId xmlns:a16="http://schemas.microsoft.com/office/drawing/2014/main" id="{D21C9479-166C-497A-B781-45490FA2EB58}"/>
                </a:ext>
              </a:extLst>
            </xdr:cNvPr>
            <xdr:cNvSpPr>
              <a:spLocks/>
            </xdr:cNvSpPr>
          </xdr:nvSpPr>
          <xdr:spPr bwMode="auto">
            <a:xfrm>
              <a:off x="831" y="200"/>
              <a:ext cx="2" cy="2"/>
            </a:xfrm>
            <a:custGeom>
              <a:avLst/>
              <a:gdLst>
                <a:gd name="T0" fmla="*/ 38 w 91"/>
                <a:gd name="T1" fmla="*/ 0 h 92"/>
                <a:gd name="T2" fmla="*/ 0 w 91"/>
                <a:gd name="T3" fmla="*/ 39 h 92"/>
                <a:gd name="T4" fmla="*/ 91 w 91"/>
                <a:gd name="T5" fmla="*/ 92 h 92"/>
                <a:gd name="T6" fmla="*/ 38 w 91"/>
                <a:gd name="T7" fmla="*/ 0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38" y="0"/>
                  </a:moveTo>
                  <a:lnTo>
                    <a:pt x="0" y="39"/>
                  </a:lnTo>
                  <a:lnTo>
                    <a:pt x="91" y="92"/>
                  </a:lnTo>
                  <a:lnTo>
                    <a:pt x="3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8" name="Freeform 179">
              <a:extLst>
                <a:ext uri="{FF2B5EF4-FFF2-40B4-BE49-F238E27FC236}">
                  <a16:creationId xmlns:a16="http://schemas.microsoft.com/office/drawing/2014/main" id="{90CA3218-8F05-490F-BA1D-9C2864968DEA}"/>
                </a:ext>
              </a:extLst>
            </xdr:cNvPr>
            <xdr:cNvSpPr>
              <a:spLocks/>
            </xdr:cNvSpPr>
          </xdr:nvSpPr>
          <xdr:spPr bwMode="auto">
            <a:xfrm>
              <a:off x="831" y="201"/>
              <a:ext cx="2" cy="1"/>
            </a:xfrm>
            <a:custGeom>
              <a:avLst/>
              <a:gdLst>
                <a:gd name="T0" fmla="*/ 14 w 105"/>
                <a:gd name="T1" fmla="*/ 0 h 53"/>
                <a:gd name="T2" fmla="*/ 0 w 105"/>
                <a:gd name="T3" fmla="*/ 53 h 53"/>
                <a:gd name="T4" fmla="*/ 105 w 105"/>
                <a:gd name="T5" fmla="*/ 53 h 53"/>
                <a:gd name="T6" fmla="*/ 14 w 105"/>
                <a:gd name="T7" fmla="*/ 0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4" y="0"/>
                  </a:moveTo>
                  <a:lnTo>
                    <a:pt x="0" y="53"/>
                  </a:lnTo>
                  <a:lnTo>
                    <a:pt x="105" y="53"/>
                  </a:lnTo>
                  <a:lnTo>
                    <a:pt x="1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9" name="Freeform 180">
              <a:extLst>
                <a:ext uri="{FF2B5EF4-FFF2-40B4-BE49-F238E27FC236}">
                  <a16:creationId xmlns:a16="http://schemas.microsoft.com/office/drawing/2014/main" id="{323D82E3-21EF-408B-BA6D-5FFE24B7BD55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105"/>
                <a:gd name="T1" fmla="*/ 0 h 52"/>
                <a:gd name="T2" fmla="*/ 14 w 105"/>
                <a:gd name="T3" fmla="*/ 52 h 52"/>
                <a:gd name="T4" fmla="*/ 105 w 105"/>
                <a:gd name="T5" fmla="*/ 0 h 52"/>
                <a:gd name="T6" fmla="*/ 0 w 105"/>
                <a:gd name="T7" fmla="*/ 0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0" y="0"/>
                  </a:moveTo>
                  <a:lnTo>
                    <a:pt x="14" y="52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0" name="Freeform 181">
              <a:extLst>
                <a:ext uri="{FF2B5EF4-FFF2-40B4-BE49-F238E27FC236}">
                  <a16:creationId xmlns:a16="http://schemas.microsoft.com/office/drawing/2014/main" id="{29E054CE-EBC9-437A-A34D-3760CA015B4D}"/>
                </a:ext>
              </a:extLst>
            </xdr:cNvPr>
            <xdr:cNvSpPr>
              <a:spLocks/>
            </xdr:cNvSpPr>
          </xdr:nvSpPr>
          <xdr:spPr bwMode="auto">
            <a:xfrm>
              <a:off x="831" y="202"/>
              <a:ext cx="2" cy="1"/>
            </a:xfrm>
            <a:custGeom>
              <a:avLst/>
              <a:gdLst>
                <a:gd name="T0" fmla="*/ 0 w 91"/>
                <a:gd name="T1" fmla="*/ 52 h 91"/>
                <a:gd name="T2" fmla="*/ 38 w 91"/>
                <a:gd name="T3" fmla="*/ 91 h 91"/>
                <a:gd name="T4" fmla="*/ 91 w 91"/>
                <a:gd name="T5" fmla="*/ 0 h 91"/>
                <a:gd name="T6" fmla="*/ 0 w 91"/>
                <a:gd name="T7" fmla="*/ 52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0" y="52"/>
                  </a:moveTo>
                  <a:lnTo>
                    <a:pt x="38" y="91"/>
                  </a:lnTo>
                  <a:lnTo>
                    <a:pt x="91" y="0"/>
                  </a:lnTo>
                  <a:lnTo>
                    <a:pt x="0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1" name="Freeform 182">
              <a:extLst>
                <a:ext uri="{FF2B5EF4-FFF2-40B4-BE49-F238E27FC236}">
                  <a16:creationId xmlns:a16="http://schemas.microsoft.com/office/drawing/2014/main" id="{FF16256E-A70D-4A9E-ACB4-810A56346D0E}"/>
                </a:ext>
              </a:extLst>
            </xdr:cNvPr>
            <xdr:cNvSpPr>
              <a:spLocks/>
            </xdr:cNvSpPr>
          </xdr:nvSpPr>
          <xdr:spPr bwMode="auto">
            <a:xfrm>
              <a:off x="832" y="202"/>
              <a:ext cx="1" cy="2"/>
            </a:xfrm>
            <a:custGeom>
              <a:avLst/>
              <a:gdLst>
                <a:gd name="T0" fmla="*/ 0 w 53"/>
                <a:gd name="T1" fmla="*/ 91 h 105"/>
                <a:gd name="T2" fmla="*/ 53 w 53"/>
                <a:gd name="T3" fmla="*/ 105 h 105"/>
                <a:gd name="T4" fmla="*/ 53 w 53"/>
                <a:gd name="T5" fmla="*/ 0 h 105"/>
                <a:gd name="T6" fmla="*/ 0 w 53"/>
                <a:gd name="T7" fmla="*/ 9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91"/>
                  </a:moveTo>
                  <a:lnTo>
                    <a:pt x="53" y="105"/>
                  </a:lnTo>
                  <a:lnTo>
                    <a:pt x="53" y="0"/>
                  </a:lnTo>
                  <a:lnTo>
                    <a:pt x="0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2" name="Freeform 183">
              <a:extLst>
                <a:ext uri="{FF2B5EF4-FFF2-40B4-BE49-F238E27FC236}">
                  <a16:creationId xmlns:a16="http://schemas.microsoft.com/office/drawing/2014/main" id="{F41F75B2-28E1-4D13-B403-041EE6C1E1A9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1" cy="2"/>
            </a:xfrm>
            <a:custGeom>
              <a:avLst/>
              <a:gdLst>
                <a:gd name="T0" fmla="*/ 0 w 53"/>
                <a:gd name="T1" fmla="*/ 105 h 105"/>
                <a:gd name="T2" fmla="*/ 53 w 53"/>
                <a:gd name="T3" fmla="*/ 91 h 105"/>
                <a:gd name="T4" fmla="*/ 0 w 53"/>
                <a:gd name="T5" fmla="*/ 0 h 105"/>
                <a:gd name="T6" fmla="*/ 0 w 53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3" h="105">
                  <a:moveTo>
                    <a:pt x="0" y="105"/>
                  </a:moveTo>
                  <a:lnTo>
                    <a:pt x="53" y="91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3" name="Freeform 184">
              <a:extLst>
                <a:ext uri="{FF2B5EF4-FFF2-40B4-BE49-F238E27FC236}">
                  <a16:creationId xmlns:a16="http://schemas.microsoft.com/office/drawing/2014/main" id="{E065E227-0A49-4688-A35A-B6A4677F6B51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53 w 91"/>
                <a:gd name="T1" fmla="*/ 91 h 91"/>
                <a:gd name="T2" fmla="*/ 91 w 91"/>
                <a:gd name="T3" fmla="*/ 52 h 91"/>
                <a:gd name="T4" fmla="*/ 0 w 91"/>
                <a:gd name="T5" fmla="*/ 0 h 91"/>
                <a:gd name="T6" fmla="*/ 53 w 91"/>
                <a:gd name="T7" fmla="*/ 91 h 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1">
                  <a:moveTo>
                    <a:pt x="53" y="91"/>
                  </a:moveTo>
                  <a:lnTo>
                    <a:pt x="91" y="52"/>
                  </a:lnTo>
                  <a:lnTo>
                    <a:pt x="0" y="0"/>
                  </a:lnTo>
                  <a:lnTo>
                    <a:pt x="53" y="9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4" name="Freeform 185">
              <a:extLst>
                <a:ext uri="{FF2B5EF4-FFF2-40B4-BE49-F238E27FC236}">
                  <a16:creationId xmlns:a16="http://schemas.microsoft.com/office/drawing/2014/main" id="{60CA1145-ADF7-4417-BD58-47DC6F4644C5}"/>
                </a:ext>
              </a:extLst>
            </xdr:cNvPr>
            <xdr:cNvSpPr>
              <a:spLocks/>
            </xdr:cNvSpPr>
          </xdr:nvSpPr>
          <xdr:spPr bwMode="auto">
            <a:xfrm>
              <a:off x="833" y="202"/>
              <a:ext cx="2" cy="1"/>
            </a:xfrm>
            <a:custGeom>
              <a:avLst/>
              <a:gdLst>
                <a:gd name="T0" fmla="*/ 91 w 105"/>
                <a:gd name="T1" fmla="*/ 52 h 52"/>
                <a:gd name="T2" fmla="*/ 105 w 105"/>
                <a:gd name="T3" fmla="*/ 0 h 52"/>
                <a:gd name="T4" fmla="*/ 0 w 105"/>
                <a:gd name="T5" fmla="*/ 0 h 52"/>
                <a:gd name="T6" fmla="*/ 91 w 105"/>
                <a:gd name="T7" fmla="*/ 52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2">
                  <a:moveTo>
                    <a:pt x="91" y="52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91" y="5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5" name="Freeform 186">
              <a:extLst>
                <a:ext uri="{FF2B5EF4-FFF2-40B4-BE49-F238E27FC236}">
                  <a16:creationId xmlns:a16="http://schemas.microsoft.com/office/drawing/2014/main" id="{5B60284F-BA54-4608-ADD2-A2617AB78DEE}"/>
                </a:ext>
              </a:extLst>
            </xdr:cNvPr>
            <xdr:cNvSpPr>
              <a:spLocks/>
            </xdr:cNvSpPr>
          </xdr:nvSpPr>
          <xdr:spPr bwMode="auto">
            <a:xfrm>
              <a:off x="916" y="192"/>
              <a:ext cx="6" cy="5"/>
            </a:xfrm>
            <a:custGeom>
              <a:avLst/>
              <a:gdLst>
                <a:gd name="T0" fmla="*/ 0 w 351"/>
                <a:gd name="T1" fmla="*/ 263 h 263"/>
                <a:gd name="T2" fmla="*/ 263 w 351"/>
                <a:gd name="T3" fmla="*/ 263 h 263"/>
                <a:gd name="T4" fmla="*/ 351 w 351"/>
                <a:gd name="T5" fmla="*/ 176 h 263"/>
                <a:gd name="T6" fmla="*/ 351 w 351"/>
                <a:gd name="T7" fmla="*/ 88 h 263"/>
                <a:gd name="T8" fmla="*/ 263 w 351"/>
                <a:gd name="T9" fmla="*/ 0 h 263"/>
                <a:gd name="T10" fmla="*/ 88 w 351"/>
                <a:gd name="T11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263">
                  <a:moveTo>
                    <a:pt x="0" y="263"/>
                  </a:moveTo>
                  <a:lnTo>
                    <a:pt x="263" y="263"/>
                  </a:lnTo>
                  <a:lnTo>
                    <a:pt x="351" y="176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88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6" name="Freeform 187">
              <a:extLst>
                <a:ext uri="{FF2B5EF4-FFF2-40B4-BE49-F238E27FC236}">
                  <a16:creationId xmlns:a16="http://schemas.microsoft.com/office/drawing/2014/main" id="{E9A95046-FEC0-4CBF-A5FB-26DA9EDA142F}"/>
                </a:ext>
              </a:extLst>
            </xdr:cNvPr>
            <xdr:cNvSpPr>
              <a:spLocks/>
            </xdr:cNvSpPr>
          </xdr:nvSpPr>
          <xdr:spPr bwMode="auto">
            <a:xfrm>
              <a:off x="916" y="188"/>
              <a:ext cx="6" cy="4"/>
            </a:xfrm>
            <a:custGeom>
              <a:avLst/>
              <a:gdLst>
                <a:gd name="T0" fmla="*/ 263 w 351"/>
                <a:gd name="T1" fmla="*/ 263 h 263"/>
                <a:gd name="T2" fmla="*/ 351 w 351"/>
                <a:gd name="T3" fmla="*/ 175 h 263"/>
                <a:gd name="T4" fmla="*/ 351 w 351"/>
                <a:gd name="T5" fmla="*/ 88 h 263"/>
                <a:gd name="T6" fmla="*/ 263 w 351"/>
                <a:gd name="T7" fmla="*/ 0 h 263"/>
                <a:gd name="T8" fmla="*/ 0 w 351"/>
                <a:gd name="T9" fmla="*/ 0 h 2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1" h="263">
                  <a:moveTo>
                    <a:pt x="263" y="263"/>
                  </a:moveTo>
                  <a:lnTo>
                    <a:pt x="351" y="175"/>
                  </a:lnTo>
                  <a:lnTo>
                    <a:pt x="351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77" name="Line 188">
              <a:extLst>
                <a:ext uri="{FF2B5EF4-FFF2-40B4-BE49-F238E27FC236}">
                  <a16:creationId xmlns:a16="http://schemas.microsoft.com/office/drawing/2014/main" id="{FD0A6DB1-E056-4664-825D-2EC9CBE3A9F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18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8" name="Freeform 189">
              <a:extLst>
                <a:ext uri="{FF2B5EF4-FFF2-40B4-BE49-F238E27FC236}">
                  <a16:creationId xmlns:a16="http://schemas.microsoft.com/office/drawing/2014/main" id="{9C5BB306-8911-40E6-AFC7-05EC8C55BE6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7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7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9" name="Freeform 190">
              <a:extLst>
                <a:ext uri="{FF2B5EF4-FFF2-40B4-BE49-F238E27FC236}">
                  <a16:creationId xmlns:a16="http://schemas.microsoft.com/office/drawing/2014/main" id="{5AFD817E-F601-4789-A7F9-8ACB931DB70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8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8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8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0" name="Freeform 191">
              <a:extLst>
                <a:ext uri="{FF2B5EF4-FFF2-40B4-BE49-F238E27FC236}">
                  <a16:creationId xmlns:a16="http://schemas.microsoft.com/office/drawing/2014/main" id="{21BE4F14-8DDB-4A16-921D-C8E88E7F904E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4 w 104"/>
                <a:gd name="T1" fmla="*/ 7 h 22"/>
                <a:gd name="T2" fmla="*/ 103 w 104"/>
                <a:gd name="T3" fmla="*/ 0 h 22"/>
                <a:gd name="T4" fmla="*/ 0 w 104"/>
                <a:gd name="T5" fmla="*/ 22 h 22"/>
                <a:gd name="T6" fmla="*/ 104 w 104"/>
                <a:gd name="T7" fmla="*/ 7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4" y="7"/>
                  </a:moveTo>
                  <a:lnTo>
                    <a:pt x="103" y="0"/>
                  </a:lnTo>
                  <a:lnTo>
                    <a:pt x="0" y="22"/>
                  </a:lnTo>
                  <a:lnTo>
                    <a:pt x="104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1" name="Freeform 192">
              <a:extLst>
                <a:ext uri="{FF2B5EF4-FFF2-40B4-BE49-F238E27FC236}">
                  <a16:creationId xmlns:a16="http://schemas.microsoft.com/office/drawing/2014/main" id="{9B3BBBF4-069D-4826-B8D2-478B8A578C34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3 w 103"/>
                <a:gd name="T1" fmla="*/ 7 h 29"/>
                <a:gd name="T2" fmla="*/ 102 w 103"/>
                <a:gd name="T3" fmla="*/ 0 h 29"/>
                <a:gd name="T4" fmla="*/ 0 w 103"/>
                <a:gd name="T5" fmla="*/ 29 h 29"/>
                <a:gd name="T6" fmla="*/ 103 w 103"/>
                <a:gd name="T7" fmla="*/ 7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3" y="7"/>
                  </a:moveTo>
                  <a:lnTo>
                    <a:pt x="102" y="0"/>
                  </a:lnTo>
                  <a:lnTo>
                    <a:pt x="0" y="29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2" name="Freeform 193">
              <a:extLst>
                <a:ext uri="{FF2B5EF4-FFF2-40B4-BE49-F238E27FC236}">
                  <a16:creationId xmlns:a16="http://schemas.microsoft.com/office/drawing/2014/main" id="{AC403929-30C5-45ED-BD6B-D2D447C9FE2F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2" cy="1"/>
            </a:xfrm>
            <a:custGeom>
              <a:avLst/>
              <a:gdLst>
                <a:gd name="T0" fmla="*/ 102 w 102"/>
                <a:gd name="T1" fmla="*/ 7 h 36"/>
                <a:gd name="T2" fmla="*/ 99 w 102"/>
                <a:gd name="T3" fmla="*/ 0 h 36"/>
                <a:gd name="T4" fmla="*/ 0 w 102"/>
                <a:gd name="T5" fmla="*/ 36 h 36"/>
                <a:gd name="T6" fmla="*/ 102 w 102"/>
                <a:gd name="T7" fmla="*/ 7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6">
                  <a:moveTo>
                    <a:pt x="102" y="7"/>
                  </a:moveTo>
                  <a:lnTo>
                    <a:pt x="99" y="0"/>
                  </a:lnTo>
                  <a:lnTo>
                    <a:pt x="0" y="36"/>
                  </a:lnTo>
                  <a:lnTo>
                    <a:pt x="102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3" name="Freeform 194">
              <a:extLst>
                <a:ext uri="{FF2B5EF4-FFF2-40B4-BE49-F238E27FC236}">
                  <a16:creationId xmlns:a16="http://schemas.microsoft.com/office/drawing/2014/main" id="{E40780D0-19F2-4ADB-A523-62A12B5E155B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9 w 99"/>
                <a:gd name="T1" fmla="*/ 6 h 42"/>
                <a:gd name="T2" fmla="*/ 97 w 99"/>
                <a:gd name="T3" fmla="*/ 0 h 42"/>
                <a:gd name="T4" fmla="*/ 0 w 99"/>
                <a:gd name="T5" fmla="*/ 42 h 42"/>
                <a:gd name="T6" fmla="*/ 99 w 99"/>
                <a:gd name="T7" fmla="*/ 6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9" y="6"/>
                  </a:moveTo>
                  <a:lnTo>
                    <a:pt x="97" y="0"/>
                  </a:lnTo>
                  <a:lnTo>
                    <a:pt x="0" y="42"/>
                  </a:lnTo>
                  <a:lnTo>
                    <a:pt x="9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4" name="Freeform 195">
              <a:extLst>
                <a:ext uri="{FF2B5EF4-FFF2-40B4-BE49-F238E27FC236}">
                  <a16:creationId xmlns:a16="http://schemas.microsoft.com/office/drawing/2014/main" id="{A1253723-D1E5-42A9-A28C-D1B79FC7E544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7 w 97"/>
                <a:gd name="T1" fmla="*/ 7 h 49"/>
                <a:gd name="T2" fmla="*/ 94 w 97"/>
                <a:gd name="T3" fmla="*/ 0 h 49"/>
                <a:gd name="T4" fmla="*/ 0 w 97"/>
                <a:gd name="T5" fmla="*/ 49 h 49"/>
                <a:gd name="T6" fmla="*/ 97 w 97"/>
                <a:gd name="T7" fmla="*/ 7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9">
                  <a:moveTo>
                    <a:pt x="97" y="7"/>
                  </a:moveTo>
                  <a:lnTo>
                    <a:pt x="94" y="0"/>
                  </a:lnTo>
                  <a:lnTo>
                    <a:pt x="0" y="49"/>
                  </a:lnTo>
                  <a:lnTo>
                    <a:pt x="97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5" name="Freeform 196">
              <a:extLst>
                <a:ext uri="{FF2B5EF4-FFF2-40B4-BE49-F238E27FC236}">
                  <a16:creationId xmlns:a16="http://schemas.microsoft.com/office/drawing/2014/main" id="{102E435F-A12C-49CB-AAD0-287BD6A6B166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4 w 94"/>
                <a:gd name="T1" fmla="*/ 6 h 55"/>
                <a:gd name="T2" fmla="*/ 90 w 94"/>
                <a:gd name="T3" fmla="*/ 0 h 55"/>
                <a:gd name="T4" fmla="*/ 0 w 94"/>
                <a:gd name="T5" fmla="*/ 55 h 55"/>
                <a:gd name="T6" fmla="*/ 94 w 94"/>
                <a:gd name="T7" fmla="*/ 6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5">
                  <a:moveTo>
                    <a:pt x="94" y="6"/>
                  </a:moveTo>
                  <a:lnTo>
                    <a:pt x="90" y="0"/>
                  </a:lnTo>
                  <a:lnTo>
                    <a:pt x="0" y="55"/>
                  </a:lnTo>
                  <a:lnTo>
                    <a:pt x="9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6" name="Freeform 197">
              <a:extLst>
                <a:ext uri="{FF2B5EF4-FFF2-40B4-BE49-F238E27FC236}">
                  <a16:creationId xmlns:a16="http://schemas.microsoft.com/office/drawing/2014/main" id="{BC6CDF20-668B-474B-8C1C-E4733F74EE97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90 w 90"/>
                <a:gd name="T1" fmla="*/ 6 h 61"/>
                <a:gd name="T2" fmla="*/ 86 w 90"/>
                <a:gd name="T3" fmla="*/ 0 h 61"/>
                <a:gd name="T4" fmla="*/ 0 w 90"/>
                <a:gd name="T5" fmla="*/ 61 h 61"/>
                <a:gd name="T6" fmla="*/ 90 w 90"/>
                <a:gd name="T7" fmla="*/ 6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90" y="6"/>
                  </a:moveTo>
                  <a:lnTo>
                    <a:pt x="86" y="0"/>
                  </a:lnTo>
                  <a:lnTo>
                    <a:pt x="0" y="61"/>
                  </a:lnTo>
                  <a:lnTo>
                    <a:pt x="90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7" name="Freeform 198">
              <a:extLst>
                <a:ext uri="{FF2B5EF4-FFF2-40B4-BE49-F238E27FC236}">
                  <a16:creationId xmlns:a16="http://schemas.microsoft.com/office/drawing/2014/main" id="{49E83209-5DDE-4A32-A89B-0413F1AC5E2D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6 w 86"/>
                <a:gd name="T1" fmla="*/ 6 h 67"/>
                <a:gd name="T2" fmla="*/ 82 w 86"/>
                <a:gd name="T3" fmla="*/ 0 h 67"/>
                <a:gd name="T4" fmla="*/ 0 w 86"/>
                <a:gd name="T5" fmla="*/ 67 h 67"/>
                <a:gd name="T6" fmla="*/ 86 w 86"/>
                <a:gd name="T7" fmla="*/ 6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86" y="6"/>
                  </a:moveTo>
                  <a:lnTo>
                    <a:pt x="82" y="0"/>
                  </a:lnTo>
                  <a:lnTo>
                    <a:pt x="0" y="67"/>
                  </a:lnTo>
                  <a:lnTo>
                    <a:pt x="86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8" name="Freeform 199">
              <a:extLst>
                <a:ext uri="{FF2B5EF4-FFF2-40B4-BE49-F238E27FC236}">
                  <a16:creationId xmlns:a16="http://schemas.microsoft.com/office/drawing/2014/main" id="{4B3586F4-D3EA-4371-A848-9B9F7D8F5FAE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82 w 82"/>
                <a:gd name="T1" fmla="*/ 5 h 72"/>
                <a:gd name="T2" fmla="*/ 77 w 82"/>
                <a:gd name="T3" fmla="*/ 0 h 72"/>
                <a:gd name="T4" fmla="*/ 0 w 82"/>
                <a:gd name="T5" fmla="*/ 72 h 72"/>
                <a:gd name="T6" fmla="*/ 82 w 82"/>
                <a:gd name="T7" fmla="*/ 5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82" y="5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9" name="Freeform 200">
              <a:extLst>
                <a:ext uri="{FF2B5EF4-FFF2-40B4-BE49-F238E27FC236}">
                  <a16:creationId xmlns:a16="http://schemas.microsoft.com/office/drawing/2014/main" id="{CB16EDFF-346E-439B-A96D-198A73329F29}"/>
                </a:ext>
              </a:extLst>
            </xdr:cNvPr>
            <xdr:cNvSpPr>
              <a:spLocks/>
            </xdr:cNvSpPr>
          </xdr:nvSpPr>
          <xdr:spPr bwMode="auto">
            <a:xfrm>
              <a:off x="931" y="201"/>
              <a:ext cx="1" cy="1"/>
            </a:xfrm>
            <a:custGeom>
              <a:avLst/>
              <a:gdLst>
                <a:gd name="T0" fmla="*/ 77 w 77"/>
                <a:gd name="T1" fmla="*/ 5 h 77"/>
                <a:gd name="T2" fmla="*/ 72 w 77"/>
                <a:gd name="T3" fmla="*/ 0 h 77"/>
                <a:gd name="T4" fmla="*/ 0 w 77"/>
                <a:gd name="T5" fmla="*/ 77 h 77"/>
                <a:gd name="T6" fmla="*/ 77 w 77"/>
                <a:gd name="T7" fmla="*/ 5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7" y="5"/>
                  </a:moveTo>
                  <a:lnTo>
                    <a:pt x="72" y="0"/>
                  </a:lnTo>
                  <a:lnTo>
                    <a:pt x="0" y="77"/>
                  </a:lnTo>
                  <a:lnTo>
                    <a:pt x="77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0" name="Freeform 201">
              <a:extLst>
                <a:ext uri="{FF2B5EF4-FFF2-40B4-BE49-F238E27FC236}">
                  <a16:creationId xmlns:a16="http://schemas.microsoft.com/office/drawing/2014/main" id="{DB8A2C74-D940-4909-9928-272989AC9FD6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72 w 72"/>
                <a:gd name="T1" fmla="*/ 5 h 82"/>
                <a:gd name="T2" fmla="*/ 67 w 72"/>
                <a:gd name="T3" fmla="*/ 0 h 82"/>
                <a:gd name="T4" fmla="*/ 0 w 72"/>
                <a:gd name="T5" fmla="*/ 82 h 82"/>
                <a:gd name="T6" fmla="*/ 72 w 72"/>
                <a:gd name="T7" fmla="*/ 5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72" y="5"/>
                  </a:moveTo>
                  <a:lnTo>
                    <a:pt x="67" y="0"/>
                  </a:lnTo>
                  <a:lnTo>
                    <a:pt x="0" y="82"/>
                  </a:lnTo>
                  <a:lnTo>
                    <a:pt x="72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1" name="Freeform 202">
              <a:extLst>
                <a:ext uri="{FF2B5EF4-FFF2-40B4-BE49-F238E27FC236}">
                  <a16:creationId xmlns:a16="http://schemas.microsoft.com/office/drawing/2014/main" id="{A4A9F0E8-C3DD-4C74-8F96-80B52F7A74C7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7 w 67"/>
                <a:gd name="T1" fmla="*/ 4 h 86"/>
                <a:gd name="T2" fmla="*/ 61 w 67"/>
                <a:gd name="T3" fmla="*/ 0 h 86"/>
                <a:gd name="T4" fmla="*/ 0 w 67"/>
                <a:gd name="T5" fmla="*/ 86 h 86"/>
                <a:gd name="T6" fmla="*/ 67 w 67"/>
                <a:gd name="T7" fmla="*/ 4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7" y="4"/>
                  </a:moveTo>
                  <a:lnTo>
                    <a:pt x="61" y="0"/>
                  </a:lnTo>
                  <a:lnTo>
                    <a:pt x="0" y="86"/>
                  </a:lnTo>
                  <a:lnTo>
                    <a:pt x="6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2" name="Freeform 203">
              <a:extLst>
                <a:ext uri="{FF2B5EF4-FFF2-40B4-BE49-F238E27FC236}">
                  <a16:creationId xmlns:a16="http://schemas.microsoft.com/office/drawing/2014/main" id="{DDF227AA-C973-4C1D-ACC3-10B45750BB0B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61 w 61"/>
                <a:gd name="T1" fmla="*/ 4 h 90"/>
                <a:gd name="T2" fmla="*/ 55 w 61"/>
                <a:gd name="T3" fmla="*/ 0 h 90"/>
                <a:gd name="T4" fmla="*/ 0 w 61"/>
                <a:gd name="T5" fmla="*/ 90 h 90"/>
                <a:gd name="T6" fmla="*/ 61 w 61"/>
                <a:gd name="T7" fmla="*/ 4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61" y="4"/>
                  </a:moveTo>
                  <a:lnTo>
                    <a:pt x="55" y="0"/>
                  </a:lnTo>
                  <a:lnTo>
                    <a:pt x="0" y="90"/>
                  </a:lnTo>
                  <a:lnTo>
                    <a:pt x="61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3" name="Freeform 204">
              <a:extLst>
                <a:ext uri="{FF2B5EF4-FFF2-40B4-BE49-F238E27FC236}">
                  <a16:creationId xmlns:a16="http://schemas.microsoft.com/office/drawing/2014/main" id="{4342BD68-50F4-44DB-9E46-6BDF3B98C4F7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55 w 55"/>
                <a:gd name="T1" fmla="*/ 4 h 94"/>
                <a:gd name="T2" fmla="*/ 49 w 55"/>
                <a:gd name="T3" fmla="*/ 0 h 94"/>
                <a:gd name="T4" fmla="*/ 0 w 55"/>
                <a:gd name="T5" fmla="*/ 94 h 94"/>
                <a:gd name="T6" fmla="*/ 55 w 55"/>
                <a:gd name="T7" fmla="*/ 4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4">
                  <a:moveTo>
                    <a:pt x="55" y="4"/>
                  </a:moveTo>
                  <a:lnTo>
                    <a:pt x="49" y="0"/>
                  </a:lnTo>
                  <a:lnTo>
                    <a:pt x="0" y="94"/>
                  </a:lnTo>
                  <a:lnTo>
                    <a:pt x="55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4" name="Freeform 205">
              <a:extLst>
                <a:ext uri="{FF2B5EF4-FFF2-40B4-BE49-F238E27FC236}">
                  <a16:creationId xmlns:a16="http://schemas.microsoft.com/office/drawing/2014/main" id="{2B7F6C87-AB31-4D63-AE76-AEABB6358C82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9 w 49"/>
                <a:gd name="T1" fmla="*/ 3 h 97"/>
                <a:gd name="T2" fmla="*/ 42 w 49"/>
                <a:gd name="T3" fmla="*/ 0 h 97"/>
                <a:gd name="T4" fmla="*/ 0 w 49"/>
                <a:gd name="T5" fmla="*/ 97 h 97"/>
                <a:gd name="T6" fmla="*/ 49 w 49"/>
                <a:gd name="T7" fmla="*/ 3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7">
                  <a:moveTo>
                    <a:pt x="49" y="3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49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5" name="Freeform 206">
              <a:extLst>
                <a:ext uri="{FF2B5EF4-FFF2-40B4-BE49-F238E27FC236}">
                  <a16:creationId xmlns:a16="http://schemas.microsoft.com/office/drawing/2014/main" id="{9D9FD7D0-D63F-45BC-A0D1-18ED6237252D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5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5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6" name="Freeform 207">
              <a:extLst>
                <a:ext uri="{FF2B5EF4-FFF2-40B4-BE49-F238E27FC236}">
                  <a16:creationId xmlns:a16="http://schemas.microsoft.com/office/drawing/2014/main" id="{4C2544FE-8F6E-49D6-9F67-87B60A4B75E0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35 w 35"/>
                <a:gd name="T1" fmla="*/ 2 h 102"/>
                <a:gd name="T2" fmla="*/ 29 w 35"/>
                <a:gd name="T3" fmla="*/ 0 h 102"/>
                <a:gd name="T4" fmla="*/ 0 w 35"/>
                <a:gd name="T5" fmla="*/ 102 h 102"/>
                <a:gd name="T6" fmla="*/ 35 w 35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35" y="2"/>
                  </a:moveTo>
                  <a:lnTo>
                    <a:pt x="29" y="0"/>
                  </a:lnTo>
                  <a:lnTo>
                    <a:pt x="0" y="102"/>
                  </a:lnTo>
                  <a:lnTo>
                    <a:pt x="35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7" name="Freeform 208">
              <a:extLst>
                <a:ext uri="{FF2B5EF4-FFF2-40B4-BE49-F238E27FC236}">
                  <a16:creationId xmlns:a16="http://schemas.microsoft.com/office/drawing/2014/main" id="{D0CB320B-B072-4C34-9D8F-FB5D6B45D937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9 w 29"/>
                <a:gd name="T1" fmla="*/ 1 h 103"/>
                <a:gd name="T2" fmla="*/ 22 w 29"/>
                <a:gd name="T3" fmla="*/ 0 h 103"/>
                <a:gd name="T4" fmla="*/ 0 w 29"/>
                <a:gd name="T5" fmla="*/ 103 h 103"/>
                <a:gd name="T6" fmla="*/ 29 w 29"/>
                <a:gd name="T7" fmla="*/ 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9" y="1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2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8" name="Freeform 209">
              <a:extLst>
                <a:ext uri="{FF2B5EF4-FFF2-40B4-BE49-F238E27FC236}">
                  <a16:creationId xmlns:a16="http://schemas.microsoft.com/office/drawing/2014/main" id="{A24492D5-92BB-41BA-86D3-18103DF243E9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9" name="Freeform 210">
              <a:extLst>
                <a:ext uri="{FF2B5EF4-FFF2-40B4-BE49-F238E27FC236}">
                  <a16:creationId xmlns:a16="http://schemas.microsoft.com/office/drawing/2014/main" id="{729245FC-30F6-4F26-B328-9B2E95F7E099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0" name="Freeform 211">
              <a:extLst>
                <a:ext uri="{FF2B5EF4-FFF2-40B4-BE49-F238E27FC236}">
                  <a16:creationId xmlns:a16="http://schemas.microsoft.com/office/drawing/2014/main" id="{F43B39EF-3341-4A07-895F-D54C9BDEFDF4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1" name="Freeform 212">
              <a:extLst>
                <a:ext uri="{FF2B5EF4-FFF2-40B4-BE49-F238E27FC236}">
                  <a16:creationId xmlns:a16="http://schemas.microsoft.com/office/drawing/2014/main" id="{1596697A-E6FE-4595-B666-699E12B130E9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7"/>
                <a:gd name="T1" fmla="*/ 0 h 106"/>
                <a:gd name="T2" fmla="*/ 0 w 7"/>
                <a:gd name="T3" fmla="*/ 1 h 106"/>
                <a:gd name="T4" fmla="*/ 7 w 7"/>
                <a:gd name="T5" fmla="*/ 106 h 106"/>
                <a:gd name="T6" fmla="*/ 7 w 7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0"/>
                  </a:moveTo>
                  <a:lnTo>
                    <a:pt x="0" y="1"/>
                  </a:lnTo>
                  <a:lnTo>
                    <a:pt x="7" y="106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2" name="Freeform 213">
              <a:extLst>
                <a:ext uri="{FF2B5EF4-FFF2-40B4-BE49-F238E27FC236}">
                  <a16:creationId xmlns:a16="http://schemas.microsoft.com/office/drawing/2014/main" id="{D53BB901-052D-493A-B004-EBB460CA5EFA}"/>
                </a:ext>
              </a:extLst>
            </xdr:cNvPr>
            <xdr:cNvSpPr>
              <a:spLocks/>
            </xdr:cNvSpPr>
          </xdr:nvSpPr>
          <xdr:spPr bwMode="auto">
            <a:xfrm>
              <a:off x="931" y="200"/>
              <a:ext cx="0" cy="2"/>
            </a:xfrm>
            <a:custGeom>
              <a:avLst/>
              <a:gdLst>
                <a:gd name="T0" fmla="*/ 7 w 14"/>
                <a:gd name="T1" fmla="*/ 0 h 105"/>
                <a:gd name="T2" fmla="*/ 0 w 14"/>
                <a:gd name="T3" fmla="*/ 0 h 105"/>
                <a:gd name="T4" fmla="*/ 14 w 14"/>
                <a:gd name="T5" fmla="*/ 105 h 105"/>
                <a:gd name="T6" fmla="*/ 7 w 14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7" y="0"/>
                  </a:moveTo>
                  <a:lnTo>
                    <a:pt x="0" y="0"/>
                  </a:lnTo>
                  <a:lnTo>
                    <a:pt x="14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3" name="Freeform 214">
              <a:extLst>
                <a:ext uri="{FF2B5EF4-FFF2-40B4-BE49-F238E27FC236}">
                  <a16:creationId xmlns:a16="http://schemas.microsoft.com/office/drawing/2014/main" id="{B7032E5F-E90E-4D9D-B0A7-7AED73338A2C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1"/>
                <a:gd name="T1" fmla="*/ 0 h 105"/>
                <a:gd name="T2" fmla="*/ 0 w 21"/>
                <a:gd name="T3" fmla="*/ 2 h 105"/>
                <a:gd name="T4" fmla="*/ 21 w 21"/>
                <a:gd name="T5" fmla="*/ 105 h 105"/>
                <a:gd name="T6" fmla="*/ 7 w 21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5">
                  <a:moveTo>
                    <a:pt x="7" y="0"/>
                  </a:moveTo>
                  <a:lnTo>
                    <a:pt x="0" y="2"/>
                  </a:lnTo>
                  <a:lnTo>
                    <a:pt x="21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4" name="Freeform 215">
              <a:extLst>
                <a:ext uri="{FF2B5EF4-FFF2-40B4-BE49-F238E27FC236}">
                  <a16:creationId xmlns:a16="http://schemas.microsoft.com/office/drawing/2014/main" id="{9DAC7F49-2D86-45EB-A7AD-7D1F44EA23C0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28"/>
                <a:gd name="T1" fmla="*/ 0 h 103"/>
                <a:gd name="T2" fmla="*/ 0 w 28"/>
                <a:gd name="T3" fmla="*/ 1 h 103"/>
                <a:gd name="T4" fmla="*/ 28 w 28"/>
                <a:gd name="T5" fmla="*/ 103 h 103"/>
                <a:gd name="T6" fmla="*/ 7 w 28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7" y="0"/>
                  </a:moveTo>
                  <a:lnTo>
                    <a:pt x="0" y="1"/>
                  </a:lnTo>
                  <a:lnTo>
                    <a:pt x="28" y="10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5" name="Freeform 216">
              <a:extLst>
                <a:ext uri="{FF2B5EF4-FFF2-40B4-BE49-F238E27FC236}">
                  <a16:creationId xmlns:a16="http://schemas.microsoft.com/office/drawing/2014/main" id="{B63ABF82-1A35-402C-9C50-57146A93FC16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7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7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6" name="Freeform 217">
              <a:extLst>
                <a:ext uri="{FF2B5EF4-FFF2-40B4-BE49-F238E27FC236}">
                  <a16:creationId xmlns:a16="http://schemas.microsoft.com/office/drawing/2014/main" id="{3E93D52B-51B7-489E-A8D7-7675239F7E4A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7 w 42"/>
                <a:gd name="T1" fmla="*/ 0 h 100"/>
                <a:gd name="T2" fmla="*/ 0 w 42"/>
                <a:gd name="T3" fmla="*/ 3 h 100"/>
                <a:gd name="T4" fmla="*/ 42 w 42"/>
                <a:gd name="T5" fmla="*/ 100 h 100"/>
                <a:gd name="T6" fmla="*/ 7 w 42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7" y="0"/>
                  </a:moveTo>
                  <a:lnTo>
                    <a:pt x="0" y="3"/>
                  </a:lnTo>
                  <a:lnTo>
                    <a:pt x="42" y="10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7" name="Freeform 218">
              <a:extLst>
                <a:ext uri="{FF2B5EF4-FFF2-40B4-BE49-F238E27FC236}">
                  <a16:creationId xmlns:a16="http://schemas.microsoft.com/office/drawing/2014/main" id="{D3476CC2-3D57-4421-AD34-949A511045FB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48"/>
                <a:gd name="T1" fmla="*/ 0 h 97"/>
                <a:gd name="T2" fmla="*/ 0 w 48"/>
                <a:gd name="T3" fmla="*/ 3 h 97"/>
                <a:gd name="T4" fmla="*/ 48 w 48"/>
                <a:gd name="T5" fmla="*/ 97 h 97"/>
                <a:gd name="T6" fmla="*/ 6 w 48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7">
                  <a:moveTo>
                    <a:pt x="6" y="0"/>
                  </a:moveTo>
                  <a:lnTo>
                    <a:pt x="0" y="3"/>
                  </a:lnTo>
                  <a:lnTo>
                    <a:pt x="48" y="97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8" name="Freeform 219">
              <a:extLst>
                <a:ext uri="{FF2B5EF4-FFF2-40B4-BE49-F238E27FC236}">
                  <a16:creationId xmlns:a16="http://schemas.microsoft.com/office/drawing/2014/main" id="{1B6A3BF8-0AF2-46A5-A267-E173AEB82B5E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54"/>
                <a:gd name="T1" fmla="*/ 0 h 94"/>
                <a:gd name="T2" fmla="*/ 0 w 54"/>
                <a:gd name="T3" fmla="*/ 4 h 94"/>
                <a:gd name="T4" fmla="*/ 54 w 54"/>
                <a:gd name="T5" fmla="*/ 94 h 94"/>
                <a:gd name="T6" fmla="*/ 6 w 54"/>
                <a:gd name="T7" fmla="*/ 0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4">
                  <a:moveTo>
                    <a:pt x="6" y="0"/>
                  </a:moveTo>
                  <a:lnTo>
                    <a:pt x="0" y="4"/>
                  </a:lnTo>
                  <a:lnTo>
                    <a:pt x="54" y="94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9" name="Freeform 220">
              <a:extLst>
                <a:ext uri="{FF2B5EF4-FFF2-40B4-BE49-F238E27FC236}">
                  <a16:creationId xmlns:a16="http://schemas.microsoft.com/office/drawing/2014/main" id="{2FED4F9B-1C4D-4987-AE0D-3E99D25E92E6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0"/>
                <a:gd name="T1" fmla="*/ 0 h 90"/>
                <a:gd name="T2" fmla="*/ 0 w 60"/>
                <a:gd name="T3" fmla="*/ 4 h 90"/>
                <a:gd name="T4" fmla="*/ 60 w 60"/>
                <a:gd name="T5" fmla="*/ 90 h 90"/>
                <a:gd name="T6" fmla="*/ 6 w 60"/>
                <a:gd name="T7" fmla="*/ 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6" y="0"/>
                  </a:moveTo>
                  <a:lnTo>
                    <a:pt x="0" y="4"/>
                  </a:lnTo>
                  <a:lnTo>
                    <a:pt x="60" y="9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0" name="Freeform 221">
              <a:extLst>
                <a:ext uri="{FF2B5EF4-FFF2-40B4-BE49-F238E27FC236}">
                  <a16:creationId xmlns:a16="http://schemas.microsoft.com/office/drawing/2014/main" id="{D2429B01-301D-4F51-96E0-728C7FB57201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66"/>
                <a:gd name="T1" fmla="*/ 0 h 86"/>
                <a:gd name="T2" fmla="*/ 0 w 66"/>
                <a:gd name="T3" fmla="*/ 4 h 86"/>
                <a:gd name="T4" fmla="*/ 66 w 66"/>
                <a:gd name="T5" fmla="*/ 86 h 86"/>
                <a:gd name="T6" fmla="*/ 6 w 66"/>
                <a:gd name="T7" fmla="*/ 0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6" y="0"/>
                  </a:moveTo>
                  <a:lnTo>
                    <a:pt x="0" y="4"/>
                  </a:lnTo>
                  <a:lnTo>
                    <a:pt x="66" y="8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1" name="Freeform 222">
              <a:extLst>
                <a:ext uri="{FF2B5EF4-FFF2-40B4-BE49-F238E27FC236}">
                  <a16:creationId xmlns:a16="http://schemas.microsoft.com/office/drawing/2014/main" id="{BAF77B8D-8421-4E52-A95A-C2DF2A2F302D}"/>
                </a:ext>
              </a:extLst>
            </xdr:cNvPr>
            <xdr:cNvSpPr>
              <a:spLocks/>
            </xdr:cNvSpPr>
          </xdr:nvSpPr>
          <xdr:spPr bwMode="auto">
            <a:xfrm>
              <a:off x="930" y="200"/>
              <a:ext cx="1" cy="2"/>
            </a:xfrm>
            <a:custGeom>
              <a:avLst/>
              <a:gdLst>
                <a:gd name="T0" fmla="*/ 6 w 72"/>
                <a:gd name="T1" fmla="*/ 0 h 82"/>
                <a:gd name="T2" fmla="*/ 0 w 72"/>
                <a:gd name="T3" fmla="*/ 5 h 82"/>
                <a:gd name="T4" fmla="*/ 72 w 72"/>
                <a:gd name="T5" fmla="*/ 82 h 82"/>
                <a:gd name="T6" fmla="*/ 6 w 72"/>
                <a:gd name="T7" fmla="*/ 0 h 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2">
                  <a:moveTo>
                    <a:pt x="6" y="0"/>
                  </a:moveTo>
                  <a:lnTo>
                    <a:pt x="0" y="5"/>
                  </a:lnTo>
                  <a:lnTo>
                    <a:pt x="72" y="8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2" name="Freeform 223">
              <a:extLst>
                <a:ext uri="{FF2B5EF4-FFF2-40B4-BE49-F238E27FC236}">
                  <a16:creationId xmlns:a16="http://schemas.microsoft.com/office/drawing/2014/main" id="{7DB3AECF-1C4E-4A3D-A771-C8A939759E29}"/>
                </a:ext>
              </a:extLst>
            </xdr:cNvPr>
            <xdr:cNvSpPr>
              <a:spLocks/>
            </xdr:cNvSpPr>
          </xdr:nvSpPr>
          <xdr:spPr bwMode="auto">
            <a:xfrm>
              <a:off x="930" y="201"/>
              <a:ext cx="1" cy="1"/>
            </a:xfrm>
            <a:custGeom>
              <a:avLst/>
              <a:gdLst>
                <a:gd name="T0" fmla="*/ 5 w 77"/>
                <a:gd name="T1" fmla="*/ 0 h 77"/>
                <a:gd name="T2" fmla="*/ 0 w 77"/>
                <a:gd name="T3" fmla="*/ 5 h 77"/>
                <a:gd name="T4" fmla="*/ 77 w 77"/>
                <a:gd name="T5" fmla="*/ 77 h 77"/>
                <a:gd name="T6" fmla="*/ 5 w 77"/>
                <a:gd name="T7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5" y="0"/>
                  </a:moveTo>
                  <a:lnTo>
                    <a:pt x="0" y="5"/>
                  </a:lnTo>
                  <a:lnTo>
                    <a:pt x="77" y="7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3" name="Freeform 224">
              <a:extLst>
                <a:ext uri="{FF2B5EF4-FFF2-40B4-BE49-F238E27FC236}">
                  <a16:creationId xmlns:a16="http://schemas.microsoft.com/office/drawing/2014/main" id="{E802ADB7-4781-4A28-A55F-896CC03088B7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81"/>
                <a:gd name="T1" fmla="*/ 0 h 72"/>
                <a:gd name="T2" fmla="*/ 0 w 81"/>
                <a:gd name="T3" fmla="*/ 5 h 72"/>
                <a:gd name="T4" fmla="*/ 81 w 81"/>
                <a:gd name="T5" fmla="*/ 72 h 72"/>
                <a:gd name="T6" fmla="*/ 4 w 81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4" y="0"/>
                  </a:moveTo>
                  <a:lnTo>
                    <a:pt x="0" y="5"/>
                  </a:lnTo>
                  <a:lnTo>
                    <a:pt x="81" y="72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4" name="Freeform 225">
              <a:extLst>
                <a:ext uri="{FF2B5EF4-FFF2-40B4-BE49-F238E27FC236}">
                  <a16:creationId xmlns:a16="http://schemas.microsoft.com/office/drawing/2014/main" id="{25B59784-5905-4221-806D-1AA5175FF054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5 w 86"/>
                <a:gd name="T1" fmla="*/ 0 h 67"/>
                <a:gd name="T2" fmla="*/ 0 w 86"/>
                <a:gd name="T3" fmla="*/ 6 h 67"/>
                <a:gd name="T4" fmla="*/ 86 w 86"/>
                <a:gd name="T5" fmla="*/ 67 h 67"/>
                <a:gd name="T6" fmla="*/ 5 w 86"/>
                <a:gd name="T7" fmla="*/ 0 h 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7">
                  <a:moveTo>
                    <a:pt x="5" y="0"/>
                  </a:moveTo>
                  <a:lnTo>
                    <a:pt x="0" y="6"/>
                  </a:lnTo>
                  <a:lnTo>
                    <a:pt x="86" y="67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5" name="Freeform 226">
              <a:extLst>
                <a:ext uri="{FF2B5EF4-FFF2-40B4-BE49-F238E27FC236}">
                  <a16:creationId xmlns:a16="http://schemas.microsoft.com/office/drawing/2014/main" id="{BF9049D5-E9A8-4CA1-B440-FAD8824ABC98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4 w 90"/>
                <a:gd name="T1" fmla="*/ 0 h 61"/>
                <a:gd name="T2" fmla="*/ 0 w 90"/>
                <a:gd name="T3" fmla="*/ 6 h 61"/>
                <a:gd name="T4" fmla="*/ 90 w 90"/>
                <a:gd name="T5" fmla="*/ 61 h 61"/>
                <a:gd name="T6" fmla="*/ 4 w 90"/>
                <a:gd name="T7" fmla="*/ 0 h 6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1">
                  <a:moveTo>
                    <a:pt x="4" y="0"/>
                  </a:moveTo>
                  <a:lnTo>
                    <a:pt x="0" y="6"/>
                  </a:lnTo>
                  <a:lnTo>
                    <a:pt x="90" y="6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6" name="Freeform 227">
              <a:extLst>
                <a:ext uri="{FF2B5EF4-FFF2-40B4-BE49-F238E27FC236}">
                  <a16:creationId xmlns:a16="http://schemas.microsoft.com/office/drawing/2014/main" id="{E52619C2-776C-465D-B17F-4E6652594E51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3"/>
                <a:gd name="T1" fmla="*/ 0 h 55"/>
                <a:gd name="T2" fmla="*/ 0 w 93"/>
                <a:gd name="T3" fmla="*/ 6 h 55"/>
                <a:gd name="T4" fmla="*/ 93 w 93"/>
                <a:gd name="T5" fmla="*/ 55 h 55"/>
                <a:gd name="T6" fmla="*/ 3 w 93"/>
                <a:gd name="T7" fmla="*/ 0 h 5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5">
                  <a:moveTo>
                    <a:pt x="3" y="0"/>
                  </a:moveTo>
                  <a:lnTo>
                    <a:pt x="0" y="6"/>
                  </a:lnTo>
                  <a:lnTo>
                    <a:pt x="93" y="55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7" name="Freeform 228">
              <a:extLst>
                <a:ext uri="{FF2B5EF4-FFF2-40B4-BE49-F238E27FC236}">
                  <a16:creationId xmlns:a16="http://schemas.microsoft.com/office/drawing/2014/main" id="{8462F3A0-12AB-4C38-A014-09A9A9F4AF1F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6"/>
                <a:gd name="T1" fmla="*/ 0 h 49"/>
                <a:gd name="T2" fmla="*/ 0 w 96"/>
                <a:gd name="T3" fmla="*/ 7 h 49"/>
                <a:gd name="T4" fmla="*/ 96 w 96"/>
                <a:gd name="T5" fmla="*/ 49 h 49"/>
                <a:gd name="T6" fmla="*/ 3 w 96"/>
                <a:gd name="T7" fmla="*/ 0 h 4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9">
                  <a:moveTo>
                    <a:pt x="3" y="0"/>
                  </a:moveTo>
                  <a:lnTo>
                    <a:pt x="0" y="7"/>
                  </a:lnTo>
                  <a:lnTo>
                    <a:pt x="96" y="49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8" name="Freeform 229">
              <a:extLst>
                <a:ext uri="{FF2B5EF4-FFF2-40B4-BE49-F238E27FC236}">
                  <a16:creationId xmlns:a16="http://schemas.microsoft.com/office/drawing/2014/main" id="{167EFD00-379D-429D-B93F-8025D9B621EC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3 w 99"/>
                <a:gd name="T1" fmla="*/ 0 h 42"/>
                <a:gd name="T2" fmla="*/ 0 w 99"/>
                <a:gd name="T3" fmla="*/ 6 h 42"/>
                <a:gd name="T4" fmla="*/ 99 w 99"/>
                <a:gd name="T5" fmla="*/ 42 h 42"/>
                <a:gd name="T6" fmla="*/ 3 w 99"/>
                <a:gd name="T7" fmla="*/ 0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3" y="0"/>
                  </a:moveTo>
                  <a:lnTo>
                    <a:pt x="0" y="6"/>
                  </a:lnTo>
                  <a:lnTo>
                    <a:pt x="99" y="4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9" name="Freeform 230">
              <a:extLst>
                <a:ext uri="{FF2B5EF4-FFF2-40B4-BE49-F238E27FC236}">
                  <a16:creationId xmlns:a16="http://schemas.microsoft.com/office/drawing/2014/main" id="{6E9A7F41-8E0C-49F2-8BFC-5C64DBCC9611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1"/>
                <a:gd name="T1" fmla="*/ 0 h 36"/>
                <a:gd name="T2" fmla="*/ 0 w 101"/>
                <a:gd name="T3" fmla="*/ 7 h 36"/>
                <a:gd name="T4" fmla="*/ 101 w 101"/>
                <a:gd name="T5" fmla="*/ 36 h 36"/>
                <a:gd name="T6" fmla="*/ 2 w 101"/>
                <a:gd name="T7" fmla="*/ 0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2" y="0"/>
                  </a:moveTo>
                  <a:lnTo>
                    <a:pt x="0" y="7"/>
                  </a:lnTo>
                  <a:lnTo>
                    <a:pt x="101" y="3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0" name="Freeform 231">
              <a:extLst>
                <a:ext uri="{FF2B5EF4-FFF2-40B4-BE49-F238E27FC236}">
                  <a16:creationId xmlns:a16="http://schemas.microsoft.com/office/drawing/2014/main" id="{1155A815-597B-401E-9E9C-2583A93A8291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2 w 103"/>
                <a:gd name="T1" fmla="*/ 0 h 29"/>
                <a:gd name="T2" fmla="*/ 0 w 103"/>
                <a:gd name="T3" fmla="*/ 7 h 29"/>
                <a:gd name="T4" fmla="*/ 103 w 103"/>
                <a:gd name="T5" fmla="*/ 29 h 29"/>
                <a:gd name="T6" fmla="*/ 2 w 103"/>
                <a:gd name="T7" fmla="*/ 0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2" y="0"/>
                  </a:moveTo>
                  <a:lnTo>
                    <a:pt x="0" y="7"/>
                  </a:lnTo>
                  <a:lnTo>
                    <a:pt x="103" y="29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1" name="Freeform 232">
              <a:extLst>
                <a:ext uri="{FF2B5EF4-FFF2-40B4-BE49-F238E27FC236}">
                  <a16:creationId xmlns:a16="http://schemas.microsoft.com/office/drawing/2014/main" id="{398DAFF9-2B66-45B3-8B64-76B324A5A9D8}"/>
                </a:ext>
              </a:extLst>
            </xdr:cNvPr>
            <xdr:cNvSpPr>
              <a:spLocks/>
            </xdr:cNvSpPr>
          </xdr:nvSpPr>
          <xdr:spPr bwMode="auto">
            <a:xfrm>
              <a:off x="929" y="201"/>
              <a:ext cx="2" cy="1"/>
            </a:xfrm>
            <a:custGeom>
              <a:avLst/>
              <a:gdLst>
                <a:gd name="T0" fmla="*/ 1 w 104"/>
                <a:gd name="T1" fmla="*/ 0 h 22"/>
                <a:gd name="T2" fmla="*/ 0 w 104"/>
                <a:gd name="T3" fmla="*/ 7 h 22"/>
                <a:gd name="T4" fmla="*/ 104 w 104"/>
                <a:gd name="T5" fmla="*/ 22 h 22"/>
                <a:gd name="T6" fmla="*/ 1 w 104"/>
                <a:gd name="T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" y="0"/>
                  </a:moveTo>
                  <a:lnTo>
                    <a:pt x="0" y="7"/>
                  </a:lnTo>
                  <a:lnTo>
                    <a:pt x="104" y="2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2" name="Freeform 233">
              <a:extLst>
                <a:ext uri="{FF2B5EF4-FFF2-40B4-BE49-F238E27FC236}">
                  <a16:creationId xmlns:a16="http://schemas.microsoft.com/office/drawing/2014/main" id="{0A64F8EA-0710-456D-87FB-9AAE80F1DB3B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8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8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3" name="Freeform 234">
              <a:extLst>
                <a:ext uri="{FF2B5EF4-FFF2-40B4-BE49-F238E27FC236}">
                  <a16:creationId xmlns:a16="http://schemas.microsoft.com/office/drawing/2014/main" id="{A0863240-76F6-46D3-B6A6-D257CE36B2C7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7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4" name="Freeform 235">
              <a:extLst>
                <a:ext uri="{FF2B5EF4-FFF2-40B4-BE49-F238E27FC236}">
                  <a16:creationId xmlns:a16="http://schemas.microsoft.com/office/drawing/2014/main" id="{ED87F742-F1F8-4988-89E1-876907D99113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5" name="Freeform 236">
              <a:extLst>
                <a:ext uri="{FF2B5EF4-FFF2-40B4-BE49-F238E27FC236}">
                  <a16:creationId xmlns:a16="http://schemas.microsoft.com/office/drawing/2014/main" id="{0CBBB3FE-A95F-4423-8051-22BA3DCBC88B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5"/>
                <a:gd name="T1" fmla="*/ 7 h 14"/>
                <a:gd name="T2" fmla="*/ 1 w 105"/>
                <a:gd name="T3" fmla="*/ 14 h 14"/>
                <a:gd name="T4" fmla="*/ 105 w 105"/>
                <a:gd name="T5" fmla="*/ 0 h 14"/>
                <a:gd name="T6" fmla="*/ 0 w 105"/>
                <a:gd name="T7" fmla="*/ 7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0" y="7"/>
                  </a:moveTo>
                  <a:lnTo>
                    <a:pt x="1" y="14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6" name="Freeform 237">
              <a:extLst>
                <a:ext uri="{FF2B5EF4-FFF2-40B4-BE49-F238E27FC236}">
                  <a16:creationId xmlns:a16="http://schemas.microsoft.com/office/drawing/2014/main" id="{926FE4CD-7008-4F51-8D7A-A9EE4D305334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4"/>
                <a:gd name="T1" fmla="*/ 14 h 21"/>
                <a:gd name="T2" fmla="*/ 1 w 104"/>
                <a:gd name="T3" fmla="*/ 21 h 21"/>
                <a:gd name="T4" fmla="*/ 104 w 104"/>
                <a:gd name="T5" fmla="*/ 0 h 21"/>
                <a:gd name="T6" fmla="*/ 0 w 104"/>
                <a:gd name="T7" fmla="*/ 14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0" y="14"/>
                  </a:moveTo>
                  <a:lnTo>
                    <a:pt x="1" y="21"/>
                  </a:lnTo>
                  <a:lnTo>
                    <a:pt x="104" y="0"/>
                  </a:lnTo>
                  <a:lnTo>
                    <a:pt x="0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7" name="Freeform 238">
              <a:extLst>
                <a:ext uri="{FF2B5EF4-FFF2-40B4-BE49-F238E27FC236}">
                  <a16:creationId xmlns:a16="http://schemas.microsoft.com/office/drawing/2014/main" id="{85B88894-35EB-4926-A253-A54AC88A2D52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3"/>
                <a:gd name="T1" fmla="*/ 21 h 28"/>
                <a:gd name="T2" fmla="*/ 2 w 103"/>
                <a:gd name="T3" fmla="*/ 28 h 28"/>
                <a:gd name="T4" fmla="*/ 103 w 103"/>
                <a:gd name="T5" fmla="*/ 0 h 28"/>
                <a:gd name="T6" fmla="*/ 0 w 103"/>
                <a:gd name="T7" fmla="*/ 21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0" y="21"/>
                  </a:moveTo>
                  <a:lnTo>
                    <a:pt x="2" y="28"/>
                  </a:lnTo>
                  <a:lnTo>
                    <a:pt x="103" y="0"/>
                  </a:lnTo>
                  <a:lnTo>
                    <a:pt x="0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8" name="Freeform 239">
              <a:extLst>
                <a:ext uri="{FF2B5EF4-FFF2-40B4-BE49-F238E27FC236}">
                  <a16:creationId xmlns:a16="http://schemas.microsoft.com/office/drawing/2014/main" id="{40BCEF0A-6CD1-46B7-879F-147FEB7049A8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0"/>
            </a:xfrm>
            <a:custGeom>
              <a:avLst/>
              <a:gdLst>
                <a:gd name="T0" fmla="*/ 0 w 101"/>
                <a:gd name="T1" fmla="*/ 28 h 35"/>
                <a:gd name="T2" fmla="*/ 2 w 101"/>
                <a:gd name="T3" fmla="*/ 35 h 35"/>
                <a:gd name="T4" fmla="*/ 101 w 101"/>
                <a:gd name="T5" fmla="*/ 0 h 35"/>
                <a:gd name="T6" fmla="*/ 0 w 101"/>
                <a:gd name="T7" fmla="*/ 28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5">
                  <a:moveTo>
                    <a:pt x="0" y="28"/>
                  </a:moveTo>
                  <a:lnTo>
                    <a:pt x="2" y="35"/>
                  </a:lnTo>
                  <a:lnTo>
                    <a:pt x="101" y="0"/>
                  </a:lnTo>
                  <a:lnTo>
                    <a:pt x="0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9" name="Freeform 240">
              <a:extLst>
                <a:ext uri="{FF2B5EF4-FFF2-40B4-BE49-F238E27FC236}">
                  <a16:creationId xmlns:a16="http://schemas.microsoft.com/office/drawing/2014/main" id="{0B99F86B-FBDE-4A2C-B918-A07F2B7ECF89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9"/>
                <a:gd name="T1" fmla="*/ 35 h 42"/>
                <a:gd name="T2" fmla="*/ 3 w 99"/>
                <a:gd name="T3" fmla="*/ 42 h 42"/>
                <a:gd name="T4" fmla="*/ 99 w 99"/>
                <a:gd name="T5" fmla="*/ 0 h 42"/>
                <a:gd name="T6" fmla="*/ 0 w 99"/>
                <a:gd name="T7" fmla="*/ 35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0" y="35"/>
                  </a:moveTo>
                  <a:lnTo>
                    <a:pt x="3" y="42"/>
                  </a:lnTo>
                  <a:lnTo>
                    <a:pt x="99" y="0"/>
                  </a:lnTo>
                  <a:lnTo>
                    <a:pt x="0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0" name="Freeform 241">
              <a:extLst>
                <a:ext uri="{FF2B5EF4-FFF2-40B4-BE49-F238E27FC236}">
                  <a16:creationId xmlns:a16="http://schemas.microsoft.com/office/drawing/2014/main" id="{8EAA64C8-8ED6-42A2-998D-17A040BF6E7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6"/>
                <a:gd name="T1" fmla="*/ 42 h 48"/>
                <a:gd name="T2" fmla="*/ 3 w 96"/>
                <a:gd name="T3" fmla="*/ 48 h 48"/>
                <a:gd name="T4" fmla="*/ 96 w 96"/>
                <a:gd name="T5" fmla="*/ 0 h 48"/>
                <a:gd name="T6" fmla="*/ 0 w 96"/>
                <a:gd name="T7" fmla="*/ 42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48">
                  <a:moveTo>
                    <a:pt x="0" y="42"/>
                  </a:moveTo>
                  <a:lnTo>
                    <a:pt x="3" y="48"/>
                  </a:lnTo>
                  <a:lnTo>
                    <a:pt x="96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1" name="Freeform 242">
              <a:extLst>
                <a:ext uri="{FF2B5EF4-FFF2-40B4-BE49-F238E27FC236}">
                  <a16:creationId xmlns:a16="http://schemas.microsoft.com/office/drawing/2014/main" id="{5035ECE6-50FF-4D15-B4E7-6E89315B366E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3"/>
                <a:gd name="T1" fmla="*/ 48 h 54"/>
                <a:gd name="T2" fmla="*/ 3 w 93"/>
                <a:gd name="T3" fmla="*/ 54 h 54"/>
                <a:gd name="T4" fmla="*/ 93 w 93"/>
                <a:gd name="T5" fmla="*/ 0 h 54"/>
                <a:gd name="T6" fmla="*/ 0 w 93"/>
                <a:gd name="T7" fmla="*/ 48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4">
                  <a:moveTo>
                    <a:pt x="0" y="48"/>
                  </a:moveTo>
                  <a:lnTo>
                    <a:pt x="3" y="54"/>
                  </a:lnTo>
                  <a:lnTo>
                    <a:pt x="93" y="0"/>
                  </a:lnTo>
                  <a:lnTo>
                    <a:pt x="0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2" name="Freeform 243">
              <a:extLst>
                <a:ext uri="{FF2B5EF4-FFF2-40B4-BE49-F238E27FC236}">
                  <a16:creationId xmlns:a16="http://schemas.microsoft.com/office/drawing/2014/main" id="{B9AA2B27-FBDA-4B19-A332-2CBE40D81899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90"/>
                <a:gd name="T1" fmla="*/ 54 h 60"/>
                <a:gd name="T2" fmla="*/ 4 w 90"/>
                <a:gd name="T3" fmla="*/ 60 h 60"/>
                <a:gd name="T4" fmla="*/ 90 w 90"/>
                <a:gd name="T5" fmla="*/ 0 h 60"/>
                <a:gd name="T6" fmla="*/ 0 w 90"/>
                <a:gd name="T7" fmla="*/ 54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0" y="54"/>
                  </a:moveTo>
                  <a:lnTo>
                    <a:pt x="4" y="60"/>
                  </a:lnTo>
                  <a:lnTo>
                    <a:pt x="90" y="0"/>
                  </a:lnTo>
                  <a:lnTo>
                    <a:pt x="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3" name="Freeform 244">
              <a:extLst>
                <a:ext uri="{FF2B5EF4-FFF2-40B4-BE49-F238E27FC236}">
                  <a16:creationId xmlns:a16="http://schemas.microsoft.com/office/drawing/2014/main" id="{2018FDEF-2AF3-46FE-9190-F6C335A8D790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6"/>
                <a:gd name="T1" fmla="*/ 60 h 66"/>
                <a:gd name="T2" fmla="*/ 5 w 86"/>
                <a:gd name="T3" fmla="*/ 66 h 66"/>
                <a:gd name="T4" fmla="*/ 86 w 86"/>
                <a:gd name="T5" fmla="*/ 0 h 66"/>
                <a:gd name="T6" fmla="*/ 0 w 86"/>
                <a:gd name="T7" fmla="*/ 60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0" y="60"/>
                  </a:moveTo>
                  <a:lnTo>
                    <a:pt x="5" y="66"/>
                  </a:lnTo>
                  <a:lnTo>
                    <a:pt x="86" y="0"/>
                  </a:lnTo>
                  <a:lnTo>
                    <a:pt x="0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4" name="Freeform 245">
              <a:extLst>
                <a:ext uri="{FF2B5EF4-FFF2-40B4-BE49-F238E27FC236}">
                  <a16:creationId xmlns:a16="http://schemas.microsoft.com/office/drawing/2014/main" id="{09426054-8F9F-4109-A953-AE477AC9573A}"/>
                </a:ext>
              </a:extLst>
            </xdr:cNvPr>
            <xdr:cNvSpPr>
              <a:spLocks/>
            </xdr:cNvSpPr>
          </xdr:nvSpPr>
          <xdr:spPr bwMode="auto">
            <a:xfrm>
              <a:off x="929" y="202"/>
              <a:ext cx="2" cy="1"/>
            </a:xfrm>
            <a:custGeom>
              <a:avLst/>
              <a:gdLst>
                <a:gd name="T0" fmla="*/ 0 w 81"/>
                <a:gd name="T1" fmla="*/ 66 h 72"/>
                <a:gd name="T2" fmla="*/ 4 w 81"/>
                <a:gd name="T3" fmla="*/ 72 h 72"/>
                <a:gd name="T4" fmla="*/ 81 w 81"/>
                <a:gd name="T5" fmla="*/ 0 h 72"/>
                <a:gd name="T6" fmla="*/ 0 w 81"/>
                <a:gd name="T7" fmla="*/ 66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1" h="72">
                  <a:moveTo>
                    <a:pt x="0" y="66"/>
                  </a:moveTo>
                  <a:lnTo>
                    <a:pt x="4" y="72"/>
                  </a:lnTo>
                  <a:lnTo>
                    <a:pt x="81" y="0"/>
                  </a:lnTo>
                  <a:lnTo>
                    <a:pt x="0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5" name="Freeform 246">
              <a:extLst>
                <a:ext uri="{FF2B5EF4-FFF2-40B4-BE49-F238E27FC236}">
                  <a16:creationId xmlns:a16="http://schemas.microsoft.com/office/drawing/2014/main" id="{3679B763-D62B-4FB7-80F0-7C6048BF06F4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7"/>
                <a:gd name="T1" fmla="*/ 72 h 77"/>
                <a:gd name="T2" fmla="*/ 5 w 77"/>
                <a:gd name="T3" fmla="*/ 77 h 77"/>
                <a:gd name="T4" fmla="*/ 77 w 77"/>
                <a:gd name="T5" fmla="*/ 0 h 77"/>
                <a:gd name="T6" fmla="*/ 0 w 77"/>
                <a:gd name="T7" fmla="*/ 72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0" y="72"/>
                  </a:moveTo>
                  <a:lnTo>
                    <a:pt x="5" y="77"/>
                  </a:lnTo>
                  <a:lnTo>
                    <a:pt x="77" y="0"/>
                  </a:lnTo>
                  <a:lnTo>
                    <a:pt x="0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6" name="Freeform 247">
              <a:extLst>
                <a:ext uri="{FF2B5EF4-FFF2-40B4-BE49-F238E27FC236}">
                  <a16:creationId xmlns:a16="http://schemas.microsoft.com/office/drawing/2014/main" id="{F0475D84-AA82-4F11-A4AC-F18577E663D5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72"/>
                <a:gd name="T1" fmla="*/ 77 h 81"/>
                <a:gd name="T2" fmla="*/ 6 w 72"/>
                <a:gd name="T3" fmla="*/ 81 h 81"/>
                <a:gd name="T4" fmla="*/ 72 w 72"/>
                <a:gd name="T5" fmla="*/ 0 h 81"/>
                <a:gd name="T6" fmla="*/ 0 w 72"/>
                <a:gd name="T7" fmla="*/ 77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0" y="77"/>
                  </a:moveTo>
                  <a:lnTo>
                    <a:pt x="6" y="81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7" name="Freeform 248">
              <a:extLst>
                <a:ext uri="{FF2B5EF4-FFF2-40B4-BE49-F238E27FC236}">
                  <a16:creationId xmlns:a16="http://schemas.microsoft.com/office/drawing/2014/main" id="{86C0E701-F0CC-4B2E-9216-9B37E0465E71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6"/>
                <a:gd name="T1" fmla="*/ 81 h 86"/>
                <a:gd name="T2" fmla="*/ 6 w 66"/>
                <a:gd name="T3" fmla="*/ 86 h 86"/>
                <a:gd name="T4" fmla="*/ 66 w 66"/>
                <a:gd name="T5" fmla="*/ 0 h 86"/>
                <a:gd name="T6" fmla="*/ 0 w 66"/>
                <a:gd name="T7" fmla="*/ 81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6">
                  <a:moveTo>
                    <a:pt x="0" y="81"/>
                  </a:moveTo>
                  <a:lnTo>
                    <a:pt x="6" y="86"/>
                  </a:lnTo>
                  <a:lnTo>
                    <a:pt x="66" y="0"/>
                  </a:lnTo>
                  <a:lnTo>
                    <a:pt x="0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8" name="Freeform 249">
              <a:extLst>
                <a:ext uri="{FF2B5EF4-FFF2-40B4-BE49-F238E27FC236}">
                  <a16:creationId xmlns:a16="http://schemas.microsoft.com/office/drawing/2014/main" id="{0D88BC6D-9AEB-4BCA-BEB2-EAE25B4E490C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60"/>
                <a:gd name="T1" fmla="*/ 86 h 90"/>
                <a:gd name="T2" fmla="*/ 6 w 60"/>
                <a:gd name="T3" fmla="*/ 90 h 90"/>
                <a:gd name="T4" fmla="*/ 60 w 60"/>
                <a:gd name="T5" fmla="*/ 0 h 90"/>
                <a:gd name="T6" fmla="*/ 0 w 60"/>
                <a:gd name="T7" fmla="*/ 86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0" h="90">
                  <a:moveTo>
                    <a:pt x="0" y="86"/>
                  </a:moveTo>
                  <a:lnTo>
                    <a:pt x="6" y="90"/>
                  </a:lnTo>
                  <a:lnTo>
                    <a:pt x="60" y="0"/>
                  </a:lnTo>
                  <a:lnTo>
                    <a:pt x="0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9" name="Freeform 250">
              <a:extLst>
                <a:ext uri="{FF2B5EF4-FFF2-40B4-BE49-F238E27FC236}">
                  <a16:creationId xmlns:a16="http://schemas.microsoft.com/office/drawing/2014/main" id="{5BBAA077-56E2-410D-918E-CE901CDCC241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54"/>
                <a:gd name="T1" fmla="*/ 90 h 93"/>
                <a:gd name="T2" fmla="*/ 6 w 54"/>
                <a:gd name="T3" fmla="*/ 93 h 93"/>
                <a:gd name="T4" fmla="*/ 54 w 54"/>
                <a:gd name="T5" fmla="*/ 0 h 93"/>
                <a:gd name="T6" fmla="*/ 0 w 54"/>
                <a:gd name="T7" fmla="*/ 9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4" h="93">
                  <a:moveTo>
                    <a:pt x="0" y="90"/>
                  </a:moveTo>
                  <a:lnTo>
                    <a:pt x="6" y="93"/>
                  </a:lnTo>
                  <a:lnTo>
                    <a:pt x="54" y="0"/>
                  </a:lnTo>
                  <a:lnTo>
                    <a:pt x="0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" name="Freeform 251">
              <a:extLst>
                <a:ext uri="{FF2B5EF4-FFF2-40B4-BE49-F238E27FC236}">
                  <a16:creationId xmlns:a16="http://schemas.microsoft.com/office/drawing/2014/main" id="{D187A2B4-CBB1-4AA0-BC50-927FACAEE703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1"/>
            </a:xfrm>
            <a:custGeom>
              <a:avLst/>
              <a:gdLst>
                <a:gd name="T0" fmla="*/ 0 w 48"/>
                <a:gd name="T1" fmla="*/ 93 h 96"/>
                <a:gd name="T2" fmla="*/ 6 w 48"/>
                <a:gd name="T3" fmla="*/ 96 h 96"/>
                <a:gd name="T4" fmla="*/ 48 w 48"/>
                <a:gd name="T5" fmla="*/ 0 h 96"/>
                <a:gd name="T6" fmla="*/ 0 w 48"/>
                <a:gd name="T7" fmla="*/ 9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8" h="96">
                  <a:moveTo>
                    <a:pt x="0" y="93"/>
                  </a:moveTo>
                  <a:lnTo>
                    <a:pt x="6" y="96"/>
                  </a:lnTo>
                  <a:lnTo>
                    <a:pt x="48" y="0"/>
                  </a:lnTo>
                  <a:lnTo>
                    <a:pt x="0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5" name="Group 453">
            <a:extLst>
              <a:ext uri="{FF2B5EF4-FFF2-40B4-BE49-F238E27FC236}">
                <a16:creationId xmlns:a16="http://schemas.microsoft.com/office/drawing/2014/main" id="{839737BF-DD51-4A03-B7F6-913D1FC08F71}"/>
              </a:ext>
            </a:extLst>
          </xdr:cNvPr>
          <xdr:cNvGrpSpPr>
            <a:grpSpLocks/>
          </xdr:cNvGrpSpPr>
        </xdr:nvGrpSpPr>
        <xdr:grpSpPr bwMode="auto">
          <a:xfrm>
            <a:off x="930" y="188"/>
            <a:ext cx="262" cy="16"/>
            <a:chOff x="930" y="188"/>
            <a:chExt cx="262" cy="16"/>
          </a:xfrm>
        </xdr:grpSpPr>
        <xdr:sp macro="" textlink="">
          <xdr:nvSpPr>
            <xdr:cNvPr id="141" name="Freeform 253">
              <a:extLst>
                <a:ext uri="{FF2B5EF4-FFF2-40B4-BE49-F238E27FC236}">
                  <a16:creationId xmlns:a16="http://schemas.microsoft.com/office/drawing/2014/main" id="{8D6AAAD3-CABA-4138-B39D-A0CA1D89617D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42"/>
                <a:gd name="T1" fmla="*/ 96 h 99"/>
                <a:gd name="T2" fmla="*/ 7 w 42"/>
                <a:gd name="T3" fmla="*/ 99 h 99"/>
                <a:gd name="T4" fmla="*/ 42 w 42"/>
                <a:gd name="T5" fmla="*/ 0 h 99"/>
                <a:gd name="T6" fmla="*/ 0 w 42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0" y="96"/>
                  </a:moveTo>
                  <a:lnTo>
                    <a:pt x="7" y="99"/>
                  </a:lnTo>
                  <a:lnTo>
                    <a:pt x="42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2" name="Freeform 254">
              <a:extLst>
                <a:ext uri="{FF2B5EF4-FFF2-40B4-BE49-F238E27FC236}">
                  <a16:creationId xmlns:a16="http://schemas.microsoft.com/office/drawing/2014/main" id="{21E5CDB4-0917-45B8-BFF7-82C0A1EAEB7E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35"/>
                <a:gd name="T1" fmla="*/ 99 h 101"/>
                <a:gd name="T2" fmla="*/ 7 w 35"/>
                <a:gd name="T3" fmla="*/ 101 h 101"/>
                <a:gd name="T4" fmla="*/ 35 w 35"/>
                <a:gd name="T5" fmla="*/ 0 h 101"/>
                <a:gd name="T6" fmla="*/ 0 w 35"/>
                <a:gd name="T7" fmla="*/ 99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0" y="99"/>
                  </a:moveTo>
                  <a:lnTo>
                    <a:pt x="7" y="101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3" name="Freeform 255">
              <a:extLst>
                <a:ext uri="{FF2B5EF4-FFF2-40B4-BE49-F238E27FC236}">
                  <a16:creationId xmlns:a16="http://schemas.microsoft.com/office/drawing/2014/main" id="{DA14EE21-4942-4EA9-B60C-A8F49921B26A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8"/>
                <a:gd name="T1" fmla="*/ 101 h 103"/>
                <a:gd name="T2" fmla="*/ 7 w 28"/>
                <a:gd name="T3" fmla="*/ 103 h 103"/>
                <a:gd name="T4" fmla="*/ 28 w 28"/>
                <a:gd name="T5" fmla="*/ 0 h 103"/>
                <a:gd name="T6" fmla="*/ 0 w 28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8" h="103">
                  <a:moveTo>
                    <a:pt x="0" y="101"/>
                  </a:moveTo>
                  <a:lnTo>
                    <a:pt x="7" y="103"/>
                  </a:lnTo>
                  <a:lnTo>
                    <a:pt x="28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4" name="Freeform 256">
              <a:extLst>
                <a:ext uri="{FF2B5EF4-FFF2-40B4-BE49-F238E27FC236}">
                  <a16:creationId xmlns:a16="http://schemas.microsoft.com/office/drawing/2014/main" id="{182FE9CB-1ECB-4A9F-A207-199E0DD5D411}"/>
                </a:ext>
              </a:extLst>
            </xdr:cNvPr>
            <xdr:cNvSpPr>
              <a:spLocks/>
            </xdr:cNvSpPr>
          </xdr:nvSpPr>
          <xdr:spPr bwMode="auto">
            <a:xfrm>
              <a:off x="930" y="202"/>
              <a:ext cx="1" cy="2"/>
            </a:xfrm>
            <a:custGeom>
              <a:avLst/>
              <a:gdLst>
                <a:gd name="T0" fmla="*/ 0 w 21"/>
                <a:gd name="T1" fmla="*/ 103 h 104"/>
                <a:gd name="T2" fmla="*/ 7 w 21"/>
                <a:gd name="T3" fmla="*/ 104 h 104"/>
                <a:gd name="T4" fmla="*/ 21 w 21"/>
                <a:gd name="T5" fmla="*/ 0 h 104"/>
                <a:gd name="T6" fmla="*/ 0 w 21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1" h="104">
                  <a:moveTo>
                    <a:pt x="0" y="103"/>
                  </a:moveTo>
                  <a:lnTo>
                    <a:pt x="7" y="104"/>
                  </a:lnTo>
                  <a:lnTo>
                    <a:pt x="21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5" name="Freeform 257">
              <a:extLst>
                <a:ext uri="{FF2B5EF4-FFF2-40B4-BE49-F238E27FC236}">
                  <a16:creationId xmlns:a16="http://schemas.microsoft.com/office/drawing/2014/main" id="{7F776A35-3CBD-481E-98F0-579834301969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14"/>
                <a:gd name="T1" fmla="*/ 104 h 105"/>
                <a:gd name="T2" fmla="*/ 7 w 14"/>
                <a:gd name="T3" fmla="*/ 105 h 105"/>
                <a:gd name="T4" fmla="*/ 14 w 14"/>
                <a:gd name="T5" fmla="*/ 0 h 105"/>
                <a:gd name="T6" fmla="*/ 0 w 14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05">
                  <a:moveTo>
                    <a:pt x="0" y="104"/>
                  </a:moveTo>
                  <a:lnTo>
                    <a:pt x="7" y="105"/>
                  </a:lnTo>
                  <a:lnTo>
                    <a:pt x="14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6" name="Freeform 258">
              <a:extLst>
                <a:ext uri="{FF2B5EF4-FFF2-40B4-BE49-F238E27FC236}">
                  <a16:creationId xmlns:a16="http://schemas.microsoft.com/office/drawing/2014/main" id="{0B317696-54F0-4616-A776-B27FED7BE0D1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7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7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7" name="Freeform 259">
              <a:extLst>
                <a:ext uri="{FF2B5EF4-FFF2-40B4-BE49-F238E27FC236}">
                  <a16:creationId xmlns:a16="http://schemas.microsoft.com/office/drawing/2014/main" id="{3891484C-4048-4FDC-9608-0B7BB8B9C20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8" name="Freeform 260">
              <a:extLst>
                <a:ext uri="{FF2B5EF4-FFF2-40B4-BE49-F238E27FC236}">
                  <a16:creationId xmlns:a16="http://schemas.microsoft.com/office/drawing/2014/main" id="{58190A3C-F3F7-4D19-8B2E-86F84C3EC41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9" name="Freeform 261">
              <a:extLst>
                <a:ext uri="{FF2B5EF4-FFF2-40B4-BE49-F238E27FC236}">
                  <a16:creationId xmlns:a16="http://schemas.microsoft.com/office/drawing/2014/main" id="{E99231A0-76B4-4DB1-BA13-B8A3C7F302C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0" name="Freeform 262">
              <a:extLst>
                <a:ext uri="{FF2B5EF4-FFF2-40B4-BE49-F238E27FC236}">
                  <a16:creationId xmlns:a16="http://schemas.microsoft.com/office/drawing/2014/main" id="{C90DB02F-BCC4-4D6B-A28B-94E1A2F21E03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2 w 29"/>
                <a:gd name="T1" fmla="*/ 103 h 103"/>
                <a:gd name="T2" fmla="*/ 29 w 29"/>
                <a:gd name="T3" fmla="*/ 101 h 103"/>
                <a:gd name="T4" fmla="*/ 0 w 29"/>
                <a:gd name="T5" fmla="*/ 0 h 103"/>
                <a:gd name="T6" fmla="*/ 22 w 29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9" h="103">
                  <a:moveTo>
                    <a:pt x="22" y="103"/>
                  </a:moveTo>
                  <a:lnTo>
                    <a:pt x="29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1" name="Freeform 263">
              <a:extLst>
                <a:ext uri="{FF2B5EF4-FFF2-40B4-BE49-F238E27FC236}">
                  <a16:creationId xmlns:a16="http://schemas.microsoft.com/office/drawing/2014/main" id="{F765C944-4477-435B-80A4-FBA926581C2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0" cy="2"/>
            </a:xfrm>
            <a:custGeom>
              <a:avLst/>
              <a:gdLst>
                <a:gd name="T0" fmla="*/ 29 w 35"/>
                <a:gd name="T1" fmla="*/ 101 h 101"/>
                <a:gd name="T2" fmla="*/ 35 w 35"/>
                <a:gd name="T3" fmla="*/ 99 h 101"/>
                <a:gd name="T4" fmla="*/ 0 w 35"/>
                <a:gd name="T5" fmla="*/ 0 h 101"/>
                <a:gd name="T6" fmla="*/ 29 w 35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1">
                  <a:moveTo>
                    <a:pt x="29" y="101"/>
                  </a:moveTo>
                  <a:lnTo>
                    <a:pt x="35" y="99"/>
                  </a:lnTo>
                  <a:lnTo>
                    <a:pt x="0" y="0"/>
                  </a:lnTo>
                  <a:lnTo>
                    <a:pt x="29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2" name="Freeform 264">
              <a:extLst>
                <a:ext uri="{FF2B5EF4-FFF2-40B4-BE49-F238E27FC236}">
                  <a16:creationId xmlns:a16="http://schemas.microsoft.com/office/drawing/2014/main" id="{6B996F43-780D-4097-832F-135464252656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2"/>
            </a:xfrm>
            <a:custGeom>
              <a:avLst/>
              <a:gdLst>
                <a:gd name="T0" fmla="*/ 35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5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5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5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3" name="Freeform 265">
              <a:extLst>
                <a:ext uri="{FF2B5EF4-FFF2-40B4-BE49-F238E27FC236}">
                  <a16:creationId xmlns:a16="http://schemas.microsoft.com/office/drawing/2014/main" id="{3209CECC-F5E3-4E81-9189-C5DC25D58DD1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2 w 49"/>
                <a:gd name="T1" fmla="*/ 96 h 96"/>
                <a:gd name="T2" fmla="*/ 49 w 49"/>
                <a:gd name="T3" fmla="*/ 93 h 96"/>
                <a:gd name="T4" fmla="*/ 0 w 49"/>
                <a:gd name="T5" fmla="*/ 0 h 96"/>
                <a:gd name="T6" fmla="*/ 42 w 49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9" h="96">
                  <a:moveTo>
                    <a:pt x="42" y="96"/>
                  </a:moveTo>
                  <a:lnTo>
                    <a:pt x="49" y="93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4" name="Freeform 266">
              <a:extLst>
                <a:ext uri="{FF2B5EF4-FFF2-40B4-BE49-F238E27FC236}">
                  <a16:creationId xmlns:a16="http://schemas.microsoft.com/office/drawing/2014/main" id="{A350B2BA-8A77-4365-9CD4-2608562A4CC5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49 w 55"/>
                <a:gd name="T1" fmla="*/ 93 h 93"/>
                <a:gd name="T2" fmla="*/ 55 w 55"/>
                <a:gd name="T3" fmla="*/ 90 h 93"/>
                <a:gd name="T4" fmla="*/ 0 w 55"/>
                <a:gd name="T5" fmla="*/ 0 h 93"/>
                <a:gd name="T6" fmla="*/ 49 w 55"/>
                <a:gd name="T7" fmla="*/ 93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5" h="93">
                  <a:moveTo>
                    <a:pt x="49" y="93"/>
                  </a:moveTo>
                  <a:lnTo>
                    <a:pt x="55" y="90"/>
                  </a:lnTo>
                  <a:lnTo>
                    <a:pt x="0" y="0"/>
                  </a:lnTo>
                  <a:lnTo>
                    <a:pt x="49" y="9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5" name="Freeform 267">
              <a:extLst>
                <a:ext uri="{FF2B5EF4-FFF2-40B4-BE49-F238E27FC236}">
                  <a16:creationId xmlns:a16="http://schemas.microsoft.com/office/drawing/2014/main" id="{1CCC5421-4268-4850-9A50-482C91CA04D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55 w 61"/>
                <a:gd name="T1" fmla="*/ 90 h 90"/>
                <a:gd name="T2" fmla="*/ 61 w 61"/>
                <a:gd name="T3" fmla="*/ 86 h 90"/>
                <a:gd name="T4" fmla="*/ 0 w 61"/>
                <a:gd name="T5" fmla="*/ 0 h 90"/>
                <a:gd name="T6" fmla="*/ 55 w 61"/>
                <a:gd name="T7" fmla="*/ 90 h 9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1" h="90">
                  <a:moveTo>
                    <a:pt x="55" y="90"/>
                  </a:moveTo>
                  <a:lnTo>
                    <a:pt x="61" y="86"/>
                  </a:lnTo>
                  <a:lnTo>
                    <a:pt x="0" y="0"/>
                  </a:lnTo>
                  <a:lnTo>
                    <a:pt x="55" y="9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6" name="Freeform 268">
              <a:extLst>
                <a:ext uri="{FF2B5EF4-FFF2-40B4-BE49-F238E27FC236}">
                  <a16:creationId xmlns:a16="http://schemas.microsoft.com/office/drawing/2014/main" id="{6E812D62-DFB5-46AC-92B1-8C3626A58AF4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1 w 67"/>
                <a:gd name="T1" fmla="*/ 86 h 86"/>
                <a:gd name="T2" fmla="*/ 67 w 67"/>
                <a:gd name="T3" fmla="*/ 81 h 86"/>
                <a:gd name="T4" fmla="*/ 0 w 67"/>
                <a:gd name="T5" fmla="*/ 0 h 86"/>
                <a:gd name="T6" fmla="*/ 61 w 67"/>
                <a:gd name="T7" fmla="*/ 86 h 8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7" h="86">
                  <a:moveTo>
                    <a:pt x="61" y="86"/>
                  </a:moveTo>
                  <a:lnTo>
                    <a:pt x="67" y="81"/>
                  </a:lnTo>
                  <a:lnTo>
                    <a:pt x="0" y="0"/>
                  </a:lnTo>
                  <a:lnTo>
                    <a:pt x="61" y="8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7" name="Freeform 269">
              <a:extLst>
                <a:ext uri="{FF2B5EF4-FFF2-40B4-BE49-F238E27FC236}">
                  <a16:creationId xmlns:a16="http://schemas.microsoft.com/office/drawing/2014/main" id="{4BCE5111-685C-4628-92F2-678349AE7869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67 w 72"/>
                <a:gd name="T1" fmla="*/ 81 h 81"/>
                <a:gd name="T2" fmla="*/ 72 w 72"/>
                <a:gd name="T3" fmla="*/ 77 h 81"/>
                <a:gd name="T4" fmla="*/ 0 w 72"/>
                <a:gd name="T5" fmla="*/ 0 h 81"/>
                <a:gd name="T6" fmla="*/ 67 w 72"/>
                <a:gd name="T7" fmla="*/ 81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1">
                  <a:moveTo>
                    <a:pt x="67" y="81"/>
                  </a:moveTo>
                  <a:lnTo>
                    <a:pt x="72" y="77"/>
                  </a:lnTo>
                  <a:lnTo>
                    <a:pt x="0" y="0"/>
                  </a:lnTo>
                  <a:lnTo>
                    <a:pt x="67" y="8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8" name="Freeform 270">
              <a:extLst>
                <a:ext uri="{FF2B5EF4-FFF2-40B4-BE49-F238E27FC236}">
                  <a16:creationId xmlns:a16="http://schemas.microsoft.com/office/drawing/2014/main" id="{BAF4893F-32EF-4CA4-9E6E-54BB6C2FB84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2 w 77"/>
                <a:gd name="T1" fmla="*/ 77 h 77"/>
                <a:gd name="T2" fmla="*/ 77 w 77"/>
                <a:gd name="T3" fmla="*/ 72 h 77"/>
                <a:gd name="T4" fmla="*/ 0 w 77"/>
                <a:gd name="T5" fmla="*/ 0 h 77"/>
                <a:gd name="T6" fmla="*/ 72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2" y="77"/>
                  </a:moveTo>
                  <a:lnTo>
                    <a:pt x="77" y="72"/>
                  </a:lnTo>
                  <a:lnTo>
                    <a:pt x="0" y="0"/>
                  </a:lnTo>
                  <a:lnTo>
                    <a:pt x="72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9" name="Freeform 271">
              <a:extLst>
                <a:ext uri="{FF2B5EF4-FFF2-40B4-BE49-F238E27FC236}">
                  <a16:creationId xmlns:a16="http://schemas.microsoft.com/office/drawing/2014/main" id="{B79BA51C-808A-4340-8802-A29452C2A71E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77 w 82"/>
                <a:gd name="T1" fmla="*/ 72 h 72"/>
                <a:gd name="T2" fmla="*/ 82 w 82"/>
                <a:gd name="T3" fmla="*/ 66 h 72"/>
                <a:gd name="T4" fmla="*/ 0 w 82"/>
                <a:gd name="T5" fmla="*/ 0 h 72"/>
                <a:gd name="T6" fmla="*/ 77 w 82"/>
                <a:gd name="T7" fmla="*/ 72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2" h="72">
                  <a:moveTo>
                    <a:pt x="77" y="72"/>
                  </a:moveTo>
                  <a:lnTo>
                    <a:pt x="82" y="66"/>
                  </a:lnTo>
                  <a:lnTo>
                    <a:pt x="0" y="0"/>
                  </a:lnTo>
                  <a:lnTo>
                    <a:pt x="77" y="7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0" name="Freeform 272">
              <a:extLst>
                <a:ext uri="{FF2B5EF4-FFF2-40B4-BE49-F238E27FC236}">
                  <a16:creationId xmlns:a16="http://schemas.microsoft.com/office/drawing/2014/main" id="{D47FB64B-8416-43E3-B6B9-7739F6E6B76D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2 w 86"/>
                <a:gd name="T1" fmla="*/ 66 h 66"/>
                <a:gd name="T2" fmla="*/ 86 w 86"/>
                <a:gd name="T3" fmla="*/ 60 h 66"/>
                <a:gd name="T4" fmla="*/ 0 w 86"/>
                <a:gd name="T5" fmla="*/ 0 h 66"/>
                <a:gd name="T6" fmla="*/ 82 w 86"/>
                <a:gd name="T7" fmla="*/ 66 h 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6" h="66">
                  <a:moveTo>
                    <a:pt x="82" y="66"/>
                  </a:moveTo>
                  <a:lnTo>
                    <a:pt x="86" y="60"/>
                  </a:lnTo>
                  <a:lnTo>
                    <a:pt x="0" y="0"/>
                  </a:lnTo>
                  <a:lnTo>
                    <a:pt x="82" y="6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1" name="Freeform 273">
              <a:extLst>
                <a:ext uri="{FF2B5EF4-FFF2-40B4-BE49-F238E27FC236}">
                  <a16:creationId xmlns:a16="http://schemas.microsoft.com/office/drawing/2014/main" id="{A80257AB-3DAF-410A-ADC3-714CC1E5BA52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86 w 90"/>
                <a:gd name="T1" fmla="*/ 60 h 60"/>
                <a:gd name="T2" fmla="*/ 90 w 90"/>
                <a:gd name="T3" fmla="*/ 54 h 60"/>
                <a:gd name="T4" fmla="*/ 0 w 90"/>
                <a:gd name="T5" fmla="*/ 0 h 60"/>
                <a:gd name="T6" fmla="*/ 86 w 90"/>
                <a:gd name="T7" fmla="*/ 60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0" h="60">
                  <a:moveTo>
                    <a:pt x="86" y="60"/>
                  </a:moveTo>
                  <a:lnTo>
                    <a:pt x="90" y="54"/>
                  </a:lnTo>
                  <a:lnTo>
                    <a:pt x="0" y="0"/>
                  </a:lnTo>
                  <a:lnTo>
                    <a:pt x="86" y="6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2" name="Freeform 274">
              <a:extLst>
                <a:ext uri="{FF2B5EF4-FFF2-40B4-BE49-F238E27FC236}">
                  <a16:creationId xmlns:a16="http://schemas.microsoft.com/office/drawing/2014/main" id="{4434CC29-672D-45AD-880F-B98ABC4F23AD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0 w 94"/>
                <a:gd name="T1" fmla="*/ 54 h 54"/>
                <a:gd name="T2" fmla="*/ 94 w 94"/>
                <a:gd name="T3" fmla="*/ 48 h 54"/>
                <a:gd name="T4" fmla="*/ 0 w 94"/>
                <a:gd name="T5" fmla="*/ 0 h 54"/>
                <a:gd name="T6" fmla="*/ 90 w 94"/>
                <a:gd name="T7" fmla="*/ 54 h 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4">
                  <a:moveTo>
                    <a:pt x="90" y="54"/>
                  </a:moveTo>
                  <a:lnTo>
                    <a:pt x="94" y="48"/>
                  </a:lnTo>
                  <a:lnTo>
                    <a:pt x="0" y="0"/>
                  </a:lnTo>
                  <a:lnTo>
                    <a:pt x="90" y="5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3" name="Freeform 275">
              <a:extLst>
                <a:ext uri="{FF2B5EF4-FFF2-40B4-BE49-F238E27FC236}">
                  <a16:creationId xmlns:a16="http://schemas.microsoft.com/office/drawing/2014/main" id="{8EC73992-0B17-470D-9BAB-1C528F2CD5D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4 w 97"/>
                <a:gd name="T1" fmla="*/ 48 h 48"/>
                <a:gd name="T2" fmla="*/ 97 w 97"/>
                <a:gd name="T3" fmla="*/ 42 h 48"/>
                <a:gd name="T4" fmla="*/ 0 w 97"/>
                <a:gd name="T5" fmla="*/ 0 h 48"/>
                <a:gd name="T6" fmla="*/ 94 w 97"/>
                <a:gd name="T7" fmla="*/ 48 h 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48">
                  <a:moveTo>
                    <a:pt x="94" y="48"/>
                  </a:moveTo>
                  <a:lnTo>
                    <a:pt x="97" y="42"/>
                  </a:lnTo>
                  <a:lnTo>
                    <a:pt x="0" y="0"/>
                  </a:lnTo>
                  <a:lnTo>
                    <a:pt x="94" y="4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4" name="Freeform 276">
              <a:extLst>
                <a:ext uri="{FF2B5EF4-FFF2-40B4-BE49-F238E27FC236}">
                  <a16:creationId xmlns:a16="http://schemas.microsoft.com/office/drawing/2014/main" id="{AB488833-5D60-41A7-994C-3C66FE13A93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1" cy="1"/>
            </a:xfrm>
            <a:custGeom>
              <a:avLst/>
              <a:gdLst>
                <a:gd name="T0" fmla="*/ 97 w 99"/>
                <a:gd name="T1" fmla="*/ 42 h 42"/>
                <a:gd name="T2" fmla="*/ 99 w 99"/>
                <a:gd name="T3" fmla="*/ 35 h 42"/>
                <a:gd name="T4" fmla="*/ 0 w 99"/>
                <a:gd name="T5" fmla="*/ 0 h 42"/>
                <a:gd name="T6" fmla="*/ 97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7" y="42"/>
                  </a:moveTo>
                  <a:lnTo>
                    <a:pt x="99" y="35"/>
                  </a:lnTo>
                  <a:lnTo>
                    <a:pt x="0" y="0"/>
                  </a:lnTo>
                  <a:lnTo>
                    <a:pt x="97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5" name="Freeform 277">
              <a:extLst>
                <a:ext uri="{FF2B5EF4-FFF2-40B4-BE49-F238E27FC236}">
                  <a16:creationId xmlns:a16="http://schemas.microsoft.com/office/drawing/2014/main" id="{ACE7EC92-CDA1-4257-995C-7C8D125296BA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99 w 102"/>
                <a:gd name="T1" fmla="*/ 35 h 35"/>
                <a:gd name="T2" fmla="*/ 102 w 102"/>
                <a:gd name="T3" fmla="*/ 28 h 35"/>
                <a:gd name="T4" fmla="*/ 0 w 102"/>
                <a:gd name="T5" fmla="*/ 0 h 35"/>
                <a:gd name="T6" fmla="*/ 99 w 102"/>
                <a:gd name="T7" fmla="*/ 35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99" y="35"/>
                  </a:moveTo>
                  <a:lnTo>
                    <a:pt x="102" y="28"/>
                  </a:lnTo>
                  <a:lnTo>
                    <a:pt x="0" y="0"/>
                  </a:lnTo>
                  <a:lnTo>
                    <a:pt x="99" y="3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6" name="Freeform 278">
              <a:extLst>
                <a:ext uri="{FF2B5EF4-FFF2-40B4-BE49-F238E27FC236}">
                  <a16:creationId xmlns:a16="http://schemas.microsoft.com/office/drawing/2014/main" id="{2485D451-254D-4DC2-B055-CD710EA1B478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2 w 103"/>
                <a:gd name="T1" fmla="*/ 28 h 28"/>
                <a:gd name="T2" fmla="*/ 103 w 103"/>
                <a:gd name="T3" fmla="*/ 21 h 28"/>
                <a:gd name="T4" fmla="*/ 0 w 103"/>
                <a:gd name="T5" fmla="*/ 0 h 28"/>
                <a:gd name="T6" fmla="*/ 102 w 103"/>
                <a:gd name="T7" fmla="*/ 28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8">
                  <a:moveTo>
                    <a:pt x="102" y="28"/>
                  </a:moveTo>
                  <a:lnTo>
                    <a:pt x="103" y="21"/>
                  </a:lnTo>
                  <a:lnTo>
                    <a:pt x="0" y="0"/>
                  </a:lnTo>
                  <a:lnTo>
                    <a:pt x="102" y="2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7" name="Freeform 279">
              <a:extLst>
                <a:ext uri="{FF2B5EF4-FFF2-40B4-BE49-F238E27FC236}">
                  <a16:creationId xmlns:a16="http://schemas.microsoft.com/office/drawing/2014/main" id="{751682B9-0443-48BE-9B9D-9978BA97521F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3 w 104"/>
                <a:gd name="T1" fmla="*/ 21 h 21"/>
                <a:gd name="T2" fmla="*/ 104 w 104"/>
                <a:gd name="T3" fmla="*/ 14 h 21"/>
                <a:gd name="T4" fmla="*/ 0 w 104"/>
                <a:gd name="T5" fmla="*/ 0 h 21"/>
                <a:gd name="T6" fmla="*/ 103 w 104"/>
                <a:gd name="T7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1">
                  <a:moveTo>
                    <a:pt x="103" y="21"/>
                  </a:moveTo>
                  <a:lnTo>
                    <a:pt x="104" y="14"/>
                  </a:lnTo>
                  <a:lnTo>
                    <a:pt x="0" y="0"/>
                  </a:lnTo>
                  <a:lnTo>
                    <a:pt x="103" y="2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8" name="Freeform 280">
              <a:extLst>
                <a:ext uri="{FF2B5EF4-FFF2-40B4-BE49-F238E27FC236}">
                  <a16:creationId xmlns:a16="http://schemas.microsoft.com/office/drawing/2014/main" id="{60B42616-9388-40E3-AE3C-CDE107B23F7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4 w 105"/>
                <a:gd name="T1" fmla="*/ 14 h 14"/>
                <a:gd name="T2" fmla="*/ 105 w 105"/>
                <a:gd name="T3" fmla="*/ 7 h 14"/>
                <a:gd name="T4" fmla="*/ 0 w 105"/>
                <a:gd name="T5" fmla="*/ 0 h 14"/>
                <a:gd name="T6" fmla="*/ 104 w 105"/>
                <a:gd name="T7" fmla="*/ 14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4">
                  <a:moveTo>
                    <a:pt x="104" y="14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9" name="Freeform 281">
              <a:extLst>
                <a:ext uri="{FF2B5EF4-FFF2-40B4-BE49-F238E27FC236}">
                  <a16:creationId xmlns:a16="http://schemas.microsoft.com/office/drawing/2014/main" id="{2B671644-3285-49A6-AA36-8807ECD1A8E0}"/>
                </a:ext>
              </a:extLst>
            </xdr:cNvPr>
            <xdr:cNvSpPr>
              <a:spLocks/>
            </xdr:cNvSpPr>
          </xdr:nvSpPr>
          <xdr:spPr bwMode="auto">
            <a:xfrm>
              <a:off x="931" y="202"/>
              <a:ext cx="2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0" name="Freeform 282">
              <a:extLst>
                <a:ext uri="{FF2B5EF4-FFF2-40B4-BE49-F238E27FC236}">
                  <a16:creationId xmlns:a16="http://schemas.microsoft.com/office/drawing/2014/main" id="{F6F3F3C3-F614-443E-B70B-F815672B6DAC}"/>
                </a:ext>
              </a:extLst>
            </xdr:cNvPr>
            <xdr:cNvSpPr>
              <a:spLocks/>
            </xdr:cNvSpPr>
          </xdr:nvSpPr>
          <xdr:spPr bwMode="auto">
            <a:xfrm>
              <a:off x="1017" y="188"/>
              <a:ext cx="6" cy="9"/>
            </a:xfrm>
            <a:custGeom>
              <a:avLst/>
              <a:gdLst>
                <a:gd name="T0" fmla="*/ 351 w 351"/>
                <a:gd name="T1" fmla="*/ 439 h 526"/>
                <a:gd name="T2" fmla="*/ 264 w 351"/>
                <a:gd name="T3" fmla="*/ 526 h 526"/>
                <a:gd name="T4" fmla="*/ 87 w 351"/>
                <a:gd name="T5" fmla="*/ 526 h 526"/>
                <a:gd name="T6" fmla="*/ 0 w 351"/>
                <a:gd name="T7" fmla="*/ 439 h 526"/>
                <a:gd name="T8" fmla="*/ 0 w 351"/>
                <a:gd name="T9" fmla="*/ 88 h 526"/>
                <a:gd name="T10" fmla="*/ 87 w 351"/>
                <a:gd name="T11" fmla="*/ 0 h 526"/>
                <a:gd name="T12" fmla="*/ 264 w 351"/>
                <a:gd name="T13" fmla="*/ 0 h 526"/>
                <a:gd name="T14" fmla="*/ 351 w 351"/>
                <a:gd name="T15" fmla="*/ 88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351" h="526">
                  <a:moveTo>
                    <a:pt x="351" y="439"/>
                  </a:moveTo>
                  <a:lnTo>
                    <a:pt x="264" y="526"/>
                  </a:lnTo>
                  <a:lnTo>
                    <a:pt x="87" y="526"/>
                  </a:lnTo>
                  <a:lnTo>
                    <a:pt x="0" y="439"/>
                  </a:lnTo>
                  <a:lnTo>
                    <a:pt x="0" y="88"/>
                  </a:lnTo>
                  <a:lnTo>
                    <a:pt x="87" y="0"/>
                  </a:lnTo>
                  <a:lnTo>
                    <a:pt x="264" y="0"/>
                  </a:lnTo>
                  <a:lnTo>
                    <a:pt x="351" y="88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71" name="Freeform 283">
              <a:extLst>
                <a:ext uri="{FF2B5EF4-FFF2-40B4-BE49-F238E27FC236}">
                  <a16:creationId xmlns:a16="http://schemas.microsoft.com/office/drawing/2014/main" id="{DEE3F4A5-1458-4EB7-944F-6632138FC456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8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8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2" name="Freeform 284">
              <a:extLst>
                <a:ext uri="{FF2B5EF4-FFF2-40B4-BE49-F238E27FC236}">
                  <a16:creationId xmlns:a16="http://schemas.microsoft.com/office/drawing/2014/main" id="{41708B54-AEAA-4218-8119-4BB1F2A2DDF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15"/>
                <a:gd name="T2" fmla="*/ 104 w 105"/>
                <a:gd name="T3" fmla="*/ 0 h 15"/>
                <a:gd name="T4" fmla="*/ 0 w 105"/>
                <a:gd name="T5" fmla="*/ 15 h 15"/>
                <a:gd name="T6" fmla="*/ 105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5" y="7"/>
                  </a:moveTo>
                  <a:lnTo>
                    <a:pt x="104" y="0"/>
                  </a:lnTo>
                  <a:lnTo>
                    <a:pt x="0" y="15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3" name="Freeform 285">
              <a:extLst>
                <a:ext uri="{FF2B5EF4-FFF2-40B4-BE49-F238E27FC236}">
                  <a16:creationId xmlns:a16="http://schemas.microsoft.com/office/drawing/2014/main" id="{11B66681-2978-4F8E-9A81-BB9027C0499F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4 w 104"/>
                <a:gd name="T1" fmla="*/ 8 h 23"/>
                <a:gd name="T2" fmla="*/ 103 w 104"/>
                <a:gd name="T3" fmla="*/ 0 h 23"/>
                <a:gd name="T4" fmla="*/ 0 w 104"/>
                <a:gd name="T5" fmla="*/ 23 h 23"/>
                <a:gd name="T6" fmla="*/ 104 w 104"/>
                <a:gd name="T7" fmla="*/ 8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04" y="8"/>
                  </a:moveTo>
                  <a:lnTo>
                    <a:pt x="103" y="0"/>
                  </a:lnTo>
                  <a:lnTo>
                    <a:pt x="0" y="23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4" name="Freeform 286">
              <a:extLst>
                <a:ext uri="{FF2B5EF4-FFF2-40B4-BE49-F238E27FC236}">
                  <a16:creationId xmlns:a16="http://schemas.microsoft.com/office/drawing/2014/main" id="{44CE2072-F1A5-4F6E-A43F-6AEF0DA1DAE3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3 w 103"/>
                <a:gd name="T1" fmla="*/ 7 h 30"/>
                <a:gd name="T2" fmla="*/ 101 w 103"/>
                <a:gd name="T3" fmla="*/ 0 h 30"/>
                <a:gd name="T4" fmla="*/ 0 w 103"/>
                <a:gd name="T5" fmla="*/ 30 h 30"/>
                <a:gd name="T6" fmla="*/ 103 w 103"/>
                <a:gd name="T7" fmla="*/ 7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103" y="7"/>
                  </a:moveTo>
                  <a:lnTo>
                    <a:pt x="101" y="0"/>
                  </a:lnTo>
                  <a:lnTo>
                    <a:pt x="0" y="30"/>
                  </a:lnTo>
                  <a:lnTo>
                    <a:pt x="10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5" name="Freeform 287">
              <a:extLst>
                <a:ext uri="{FF2B5EF4-FFF2-40B4-BE49-F238E27FC236}">
                  <a16:creationId xmlns:a16="http://schemas.microsoft.com/office/drawing/2014/main" id="{4CDB08AE-A26A-40D0-9A00-DBA774F26C45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101 w 101"/>
                <a:gd name="T1" fmla="*/ 7 h 37"/>
                <a:gd name="T2" fmla="*/ 99 w 101"/>
                <a:gd name="T3" fmla="*/ 0 h 37"/>
                <a:gd name="T4" fmla="*/ 0 w 101"/>
                <a:gd name="T5" fmla="*/ 37 h 37"/>
                <a:gd name="T6" fmla="*/ 101 w 101"/>
                <a:gd name="T7" fmla="*/ 7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101" y="7"/>
                  </a:moveTo>
                  <a:lnTo>
                    <a:pt x="99" y="0"/>
                  </a:lnTo>
                  <a:lnTo>
                    <a:pt x="0" y="37"/>
                  </a:lnTo>
                  <a:lnTo>
                    <a:pt x="101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6" name="Freeform 288">
              <a:extLst>
                <a:ext uri="{FF2B5EF4-FFF2-40B4-BE49-F238E27FC236}">
                  <a16:creationId xmlns:a16="http://schemas.microsoft.com/office/drawing/2014/main" id="{32434166-1653-4CAC-9D99-8BC4F80BFB36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9 w 99"/>
                <a:gd name="T1" fmla="*/ 7 h 44"/>
                <a:gd name="T2" fmla="*/ 96 w 99"/>
                <a:gd name="T3" fmla="*/ 0 h 44"/>
                <a:gd name="T4" fmla="*/ 0 w 99"/>
                <a:gd name="T5" fmla="*/ 44 h 44"/>
                <a:gd name="T6" fmla="*/ 99 w 99"/>
                <a:gd name="T7" fmla="*/ 7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99" y="7"/>
                  </a:moveTo>
                  <a:lnTo>
                    <a:pt x="96" y="0"/>
                  </a:lnTo>
                  <a:lnTo>
                    <a:pt x="0" y="44"/>
                  </a:lnTo>
                  <a:lnTo>
                    <a:pt x="99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7" name="Freeform 289">
              <a:extLst>
                <a:ext uri="{FF2B5EF4-FFF2-40B4-BE49-F238E27FC236}">
                  <a16:creationId xmlns:a16="http://schemas.microsoft.com/office/drawing/2014/main" id="{DA1E91A8-641F-4715-B3A9-B2ADA996B993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6 w 96"/>
                <a:gd name="T1" fmla="*/ 7 h 51"/>
                <a:gd name="T2" fmla="*/ 92 w 96"/>
                <a:gd name="T3" fmla="*/ 0 h 51"/>
                <a:gd name="T4" fmla="*/ 0 w 96"/>
                <a:gd name="T5" fmla="*/ 51 h 51"/>
                <a:gd name="T6" fmla="*/ 96 w 96"/>
                <a:gd name="T7" fmla="*/ 7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96" y="7"/>
                  </a:moveTo>
                  <a:lnTo>
                    <a:pt x="92" y="0"/>
                  </a:lnTo>
                  <a:lnTo>
                    <a:pt x="0" y="51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8" name="Freeform 290">
              <a:extLst>
                <a:ext uri="{FF2B5EF4-FFF2-40B4-BE49-F238E27FC236}">
                  <a16:creationId xmlns:a16="http://schemas.microsoft.com/office/drawing/2014/main" id="{D05E4D79-1441-4EC4-9772-D7781D54B62D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92 w 92"/>
                <a:gd name="T1" fmla="*/ 6 h 57"/>
                <a:gd name="T2" fmla="*/ 88 w 92"/>
                <a:gd name="T3" fmla="*/ 0 h 57"/>
                <a:gd name="T4" fmla="*/ 0 w 92"/>
                <a:gd name="T5" fmla="*/ 57 h 57"/>
                <a:gd name="T6" fmla="*/ 92 w 92"/>
                <a:gd name="T7" fmla="*/ 6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92" y="6"/>
                  </a:moveTo>
                  <a:lnTo>
                    <a:pt x="88" y="0"/>
                  </a:lnTo>
                  <a:lnTo>
                    <a:pt x="0" y="57"/>
                  </a:lnTo>
                  <a:lnTo>
                    <a:pt x="92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9" name="Freeform 291">
              <a:extLst>
                <a:ext uri="{FF2B5EF4-FFF2-40B4-BE49-F238E27FC236}">
                  <a16:creationId xmlns:a16="http://schemas.microsoft.com/office/drawing/2014/main" id="{6AD6B0BD-1316-48AA-BB68-B2661C64BFB7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8 w 88"/>
                <a:gd name="T1" fmla="*/ 6 h 63"/>
                <a:gd name="T2" fmla="*/ 84 w 88"/>
                <a:gd name="T3" fmla="*/ 0 h 63"/>
                <a:gd name="T4" fmla="*/ 0 w 88"/>
                <a:gd name="T5" fmla="*/ 63 h 63"/>
                <a:gd name="T6" fmla="*/ 88 w 88"/>
                <a:gd name="T7" fmla="*/ 6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8" y="6"/>
                  </a:moveTo>
                  <a:lnTo>
                    <a:pt x="84" y="0"/>
                  </a:lnTo>
                  <a:lnTo>
                    <a:pt x="0" y="63"/>
                  </a:lnTo>
                  <a:lnTo>
                    <a:pt x="88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0" name="Freeform 292">
              <a:extLst>
                <a:ext uri="{FF2B5EF4-FFF2-40B4-BE49-F238E27FC236}">
                  <a16:creationId xmlns:a16="http://schemas.microsoft.com/office/drawing/2014/main" id="{59C60F5D-CEE8-4402-8C2B-133552250E32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84 w 84"/>
                <a:gd name="T1" fmla="*/ 6 h 69"/>
                <a:gd name="T2" fmla="*/ 79 w 84"/>
                <a:gd name="T3" fmla="*/ 0 h 69"/>
                <a:gd name="T4" fmla="*/ 0 w 84"/>
                <a:gd name="T5" fmla="*/ 69 h 69"/>
                <a:gd name="T6" fmla="*/ 84 w 84"/>
                <a:gd name="T7" fmla="*/ 6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84" y="6"/>
                  </a:moveTo>
                  <a:lnTo>
                    <a:pt x="79" y="0"/>
                  </a:lnTo>
                  <a:lnTo>
                    <a:pt x="0" y="69"/>
                  </a:lnTo>
                  <a:lnTo>
                    <a:pt x="84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1" name="Freeform 293">
              <a:extLst>
                <a:ext uri="{FF2B5EF4-FFF2-40B4-BE49-F238E27FC236}">
                  <a16:creationId xmlns:a16="http://schemas.microsoft.com/office/drawing/2014/main" id="{9ACA889C-3351-4E6E-8EEA-DEC0066D2E47}"/>
                </a:ext>
              </a:extLst>
            </xdr:cNvPr>
            <xdr:cNvSpPr>
              <a:spLocks/>
            </xdr:cNvSpPr>
          </xdr:nvSpPr>
          <xdr:spPr bwMode="auto">
            <a:xfrm>
              <a:off x="1029" y="201"/>
              <a:ext cx="1" cy="1"/>
            </a:xfrm>
            <a:custGeom>
              <a:avLst/>
              <a:gdLst>
                <a:gd name="T0" fmla="*/ 79 w 79"/>
                <a:gd name="T1" fmla="*/ 6 h 75"/>
                <a:gd name="T2" fmla="*/ 74 w 79"/>
                <a:gd name="T3" fmla="*/ 0 h 75"/>
                <a:gd name="T4" fmla="*/ 0 w 79"/>
                <a:gd name="T5" fmla="*/ 75 h 75"/>
                <a:gd name="T6" fmla="*/ 79 w 79"/>
                <a:gd name="T7" fmla="*/ 6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5">
                  <a:moveTo>
                    <a:pt x="79" y="6"/>
                  </a:moveTo>
                  <a:lnTo>
                    <a:pt x="74" y="0"/>
                  </a:lnTo>
                  <a:lnTo>
                    <a:pt x="0" y="75"/>
                  </a:lnTo>
                  <a:lnTo>
                    <a:pt x="79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2" name="Freeform 294">
              <a:extLst>
                <a:ext uri="{FF2B5EF4-FFF2-40B4-BE49-F238E27FC236}">
                  <a16:creationId xmlns:a16="http://schemas.microsoft.com/office/drawing/2014/main" id="{76631757-2439-4B1B-A7B5-9545E9A187D5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74 w 74"/>
                <a:gd name="T1" fmla="*/ 5 h 80"/>
                <a:gd name="T2" fmla="*/ 69 w 74"/>
                <a:gd name="T3" fmla="*/ 0 h 80"/>
                <a:gd name="T4" fmla="*/ 0 w 74"/>
                <a:gd name="T5" fmla="*/ 80 h 80"/>
                <a:gd name="T6" fmla="*/ 74 w 74"/>
                <a:gd name="T7" fmla="*/ 5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74" y="5"/>
                  </a:moveTo>
                  <a:lnTo>
                    <a:pt x="69" y="0"/>
                  </a:lnTo>
                  <a:lnTo>
                    <a:pt x="0" y="80"/>
                  </a:lnTo>
                  <a:lnTo>
                    <a:pt x="74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3" name="Freeform 295">
              <a:extLst>
                <a:ext uri="{FF2B5EF4-FFF2-40B4-BE49-F238E27FC236}">
                  <a16:creationId xmlns:a16="http://schemas.microsoft.com/office/drawing/2014/main" id="{32E74284-AA65-4031-840C-94EF2101070C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9 w 69"/>
                <a:gd name="T1" fmla="*/ 5 h 85"/>
                <a:gd name="T2" fmla="*/ 63 w 69"/>
                <a:gd name="T3" fmla="*/ 0 h 85"/>
                <a:gd name="T4" fmla="*/ 0 w 69"/>
                <a:gd name="T5" fmla="*/ 85 h 85"/>
                <a:gd name="T6" fmla="*/ 69 w 69"/>
                <a:gd name="T7" fmla="*/ 5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9" y="5"/>
                  </a:moveTo>
                  <a:lnTo>
                    <a:pt x="63" y="0"/>
                  </a:lnTo>
                  <a:lnTo>
                    <a:pt x="0" y="85"/>
                  </a:lnTo>
                  <a:lnTo>
                    <a:pt x="69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4" name="Freeform 296">
              <a:extLst>
                <a:ext uri="{FF2B5EF4-FFF2-40B4-BE49-F238E27FC236}">
                  <a16:creationId xmlns:a16="http://schemas.microsoft.com/office/drawing/2014/main" id="{BA8B4EB0-578C-4F0E-A427-330EFA7FC563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63 w 63"/>
                <a:gd name="T1" fmla="*/ 4 h 89"/>
                <a:gd name="T2" fmla="*/ 57 w 63"/>
                <a:gd name="T3" fmla="*/ 0 h 89"/>
                <a:gd name="T4" fmla="*/ 0 w 63"/>
                <a:gd name="T5" fmla="*/ 89 h 89"/>
                <a:gd name="T6" fmla="*/ 63 w 63"/>
                <a:gd name="T7" fmla="*/ 4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3" y="4"/>
                  </a:moveTo>
                  <a:lnTo>
                    <a:pt x="57" y="0"/>
                  </a:lnTo>
                  <a:lnTo>
                    <a:pt x="0" y="89"/>
                  </a:lnTo>
                  <a:lnTo>
                    <a:pt x="63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5" name="Freeform 297">
              <a:extLst>
                <a:ext uri="{FF2B5EF4-FFF2-40B4-BE49-F238E27FC236}">
                  <a16:creationId xmlns:a16="http://schemas.microsoft.com/office/drawing/2014/main" id="{5E136AEA-F5AE-40A1-A231-787E538E193C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1" cy="2"/>
            </a:xfrm>
            <a:custGeom>
              <a:avLst/>
              <a:gdLst>
                <a:gd name="T0" fmla="*/ 57 w 57"/>
                <a:gd name="T1" fmla="*/ 4 h 93"/>
                <a:gd name="T2" fmla="*/ 50 w 57"/>
                <a:gd name="T3" fmla="*/ 0 h 93"/>
                <a:gd name="T4" fmla="*/ 0 w 57"/>
                <a:gd name="T5" fmla="*/ 93 h 93"/>
                <a:gd name="T6" fmla="*/ 57 w 57"/>
                <a:gd name="T7" fmla="*/ 4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57" y="4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7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6" name="Freeform 298">
              <a:extLst>
                <a:ext uri="{FF2B5EF4-FFF2-40B4-BE49-F238E27FC236}">
                  <a16:creationId xmlns:a16="http://schemas.microsoft.com/office/drawing/2014/main" id="{E8DD0032-08C0-494E-8643-77D755187429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50 w 50"/>
                <a:gd name="T1" fmla="*/ 3 h 96"/>
                <a:gd name="T2" fmla="*/ 44 w 50"/>
                <a:gd name="T3" fmla="*/ 0 h 96"/>
                <a:gd name="T4" fmla="*/ 0 w 50"/>
                <a:gd name="T5" fmla="*/ 96 h 96"/>
                <a:gd name="T6" fmla="*/ 50 w 50"/>
                <a:gd name="T7" fmla="*/ 3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50" y="3"/>
                  </a:moveTo>
                  <a:lnTo>
                    <a:pt x="44" y="0"/>
                  </a:lnTo>
                  <a:lnTo>
                    <a:pt x="0" y="96"/>
                  </a:lnTo>
                  <a:lnTo>
                    <a:pt x="50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7" name="Freeform 299">
              <a:extLst>
                <a:ext uri="{FF2B5EF4-FFF2-40B4-BE49-F238E27FC236}">
                  <a16:creationId xmlns:a16="http://schemas.microsoft.com/office/drawing/2014/main" id="{77162497-B7C1-4D8B-8CD3-4D381E85B989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44 w 44"/>
                <a:gd name="T1" fmla="*/ 3 h 99"/>
                <a:gd name="T2" fmla="*/ 37 w 44"/>
                <a:gd name="T3" fmla="*/ 0 h 99"/>
                <a:gd name="T4" fmla="*/ 0 w 44"/>
                <a:gd name="T5" fmla="*/ 99 h 99"/>
                <a:gd name="T6" fmla="*/ 44 w 44"/>
                <a:gd name="T7" fmla="*/ 3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44" y="3"/>
                  </a:moveTo>
                  <a:lnTo>
                    <a:pt x="37" y="0"/>
                  </a:lnTo>
                  <a:lnTo>
                    <a:pt x="0" y="99"/>
                  </a:lnTo>
                  <a:lnTo>
                    <a:pt x="44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8" name="Freeform 300">
              <a:extLst>
                <a:ext uri="{FF2B5EF4-FFF2-40B4-BE49-F238E27FC236}">
                  <a16:creationId xmlns:a16="http://schemas.microsoft.com/office/drawing/2014/main" id="{5787D80A-D9C2-4BF8-8770-E5DF7D4DFBB6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7 w 37"/>
                <a:gd name="T1" fmla="*/ 2 h 101"/>
                <a:gd name="T2" fmla="*/ 30 w 37"/>
                <a:gd name="T3" fmla="*/ 0 h 101"/>
                <a:gd name="T4" fmla="*/ 0 w 37"/>
                <a:gd name="T5" fmla="*/ 101 h 101"/>
                <a:gd name="T6" fmla="*/ 37 w 37"/>
                <a:gd name="T7" fmla="*/ 2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7" y="2"/>
                  </a:moveTo>
                  <a:lnTo>
                    <a:pt x="30" y="0"/>
                  </a:lnTo>
                  <a:lnTo>
                    <a:pt x="0" y="101"/>
                  </a:lnTo>
                  <a:lnTo>
                    <a:pt x="37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9" name="Freeform 301">
              <a:extLst>
                <a:ext uri="{FF2B5EF4-FFF2-40B4-BE49-F238E27FC236}">
                  <a16:creationId xmlns:a16="http://schemas.microsoft.com/office/drawing/2014/main" id="{18BCA6AE-9F7A-4725-A4E2-379AF146B641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30 w 30"/>
                <a:gd name="T1" fmla="*/ 2 h 103"/>
                <a:gd name="T2" fmla="*/ 22 w 30"/>
                <a:gd name="T3" fmla="*/ 0 h 103"/>
                <a:gd name="T4" fmla="*/ 0 w 30"/>
                <a:gd name="T5" fmla="*/ 103 h 103"/>
                <a:gd name="T6" fmla="*/ 30 w 30"/>
                <a:gd name="T7" fmla="*/ 2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30" y="2"/>
                  </a:moveTo>
                  <a:lnTo>
                    <a:pt x="22" y="0"/>
                  </a:lnTo>
                  <a:lnTo>
                    <a:pt x="0" y="103"/>
                  </a:lnTo>
                  <a:lnTo>
                    <a:pt x="30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0" name="Freeform 302">
              <a:extLst>
                <a:ext uri="{FF2B5EF4-FFF2-40B4-BE49-F238E27FC236}">
                  <a16:creationId xmlns:a16="http://schemas.microsoft.com/office/drawing/2014/main" id="{7637400E-7356-40B3-9197-7DA0A75C17F9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22 w 22"/>
                <a:gd name="T1" fmla="*/ 2 h 105"/>
                <a:gd name="T2" fmla="*/ 15 w 22"/>
                <a:gd name="T3" fmla="*/ 0 h 105"/>
                <a:gd name="T4" fmla="*/ 0 w 22"/>
                <a:gd name="T5" fmla="*/ 105 h 105"/>
                <a:gd name="T6" fmla="*/ 22 w 22"/>
                <a:gd name="T7" fmla="*/ 2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22" y="2"/>
                  </a:moveTo>
                  <a:lnTo>
                    <a:pt x="15" y="0"/>
                  </a:lnTo>
                  <a:lnTo>
                    <a:pt x="0" y="105"/>
                  </a:lnTo>
                  <a:lnTo>
                    <a:pt x="22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1" name="Freeform 303">
              <a:extLst>
                <a:ext uri="{FF2B5EF4-FFF2-40B4-BE49-F238E27FC236}">
                  <a16:creationId xmlns:a16="http://schemas.microsoft.com/office/drawing/2014/main" id="{AE28C1B5-35C8-4118-9A41-2B5EF4D818D3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15 w 15"/>
                <a:gd name="T1" fmla="*/ 0 h 105"/>
                <a:gd name="T2" fmla="*/ 7 w 15"/>
                <a:gd name="T3" fmla="*/ 0 h 105"/>
                <a:gd name="T4" fmla="*/ 0 w 15"/>
                <a:gd name="T5" fmla="*/ 105 h 105"/>
                <a:gd name="T6" fmla="*/ 15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15" y="0"/>
                  </a:moveTo>
                  <a:lnTo>
                    <a:pt x="7" y="0"/>
                  </a:lnTo>
                  <a:lnTo>
                    <a:pt x="0" y="105"/>
                  </a:lnTo>
                  <a:lnTo>
                    <a:pt x="1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2" name="Freeform 304">
              <a:extLst>
                <a:ext uri="{FF2B5EF4-FFF2-40B4-BE49-F238E27FC236}">
                  <a16:creationId xmlns:a16="http://schemas.microsoft.com/office/drawing/2014/main" id="{E41F4699-0004-4DC3-85C0-F3C2AD6C82F5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7 w 7"/>
                <a:gd name="T1" fmla="*/ 1 h 106"/>
                <a:gd name="T2" fmla="*/ 0 w 7"/>
                <a:gd name="T3" fmla="*/ 0 h 106"/>
                <a:gd name="T4" fmla="*/ 0 w 7"/>
                <a:gd name="T5" fmla="*/ 106 h 106"/>
                <a:gd name="T6" fmla="*/ 7 w 7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6">
                  <a:moveTo>
                    <a:pt x="7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3" name="Freeform 305">
              <a:extLst>
                <a:ext uri="{FF2B5EF4-FFF2-40B4-BE49-F238E27FC236}">
                  <a16:creationId xmlns:a16="http://schemas.microsoft.com/office/drawing/2014/main" id="{7172FF84-7B04-4F6A-A9E1-A08E1703A5BA}"/>
                </a:ext>
              </a:extLst>
            </xdr:cNvPr>
            <xdr:cNvSpPr>
              <a:spLocks/>
            </xdr:cNvSpPr>
          </xdr:nvSpPr>
          <xdr:spPr bwMode="auto">
            <a:xfrm>
              <a:off x="1029" y="200"/>
              <a:ext cx="0" cy="2"/>
            </a:xfrm>
            <a:custGeom>
              <a:avLst/>
              <a:gdLst>
                <a:gd name="T0" fmla="*/ 8 w 8"/>
                <a:gd name="T1" fmla="*/ 0 h 106"/>
                <a:gd name="T2" fmla="*/ 0 w 8"/>
                <a:gd name="T3" fmla="*/ 1 h 106"/>
                <a:gd name="T4" fmla="*/ 8 w 8"/>
                <a:gd name="T5" fmla="*/ 106 h 106"/>
                <a:gd name="T6" fmla="*/ 8 w 8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6">
                  <a:moveTo>
                    <a:pt x="8" y="0"/>
                  </a:moveTo>
                  <a:lnTo>
                    <a:pt x="0" y="1"/>
                  </a:lnTo>
                  <a:lnTo>
                    <a:pt x="8" y="106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4" name="Freeform 306">
              <a:extLst>
                <a:ext uri="{FF2B5EF4-FFF2-40B4-BE49-F238E27FC236}">
                  <a16:creationId xmlns:a16="http://schemas.microsoft.com/office/drawing/2014/main" id="{C84DD305-80FE-420E-8836-E0440D413E1B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15"/>
                <a:gd name="T1" fmla="*/ 0 h 105"/>
                <a:gd name="T2" fmla="*/ 0 w 15"/>
                <a:gd name="T3" fmla="*/ 0 h 105"/>
                <a:gd name="T4" fmla="*/ 15 w 15"/>
                <a:gd name="T5" fmla="*/ 105 h 105"/>
                <a:gd name="T6" fmla="*/ 7 w 15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0"/>
                  </a:moveTo>
                  <a:lnTo>
                    <a:pt x="0" y="0"/>
                  </a:lnTo>
                  <a:lnTo>
                    <a:pt x="15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5" name="Freeform 307">
              <a:extLst>
                <a:ext uri="{FF2B5EF4-FFF2-40B4-BE49-F238E27FC236}">
                  <a16:creationId xmlns:a16="http://schemas.microsoft.com/office/drawing/2014/main" id="{CF4B26A1-6B6F-4049-B2AE-E9E684A03407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22"/>
                <a:gd name="T1" fmla="*/ 0 h 105"/>
                <a:gd name="T2" fmla="*/ 0 w 22"/>
                <a:gd name="T3" fmla="*/ 2 h 105"/>
                <a:gd name="T4" fmla="*/ 22 w 22"/>
                <a:gd name="T5" fmla="*/ 105 h 105"/>
                <a:gd name="T6" fmla="*/ 7 w 22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5">
                  <a:moveTo>
                    <a:pt x="7" y="0"/>
                  </a:moveTo>
                  <a:lnTo>
                    <a:pt x="0" y="2"/>
                  </a:lnTo>
                  <a:lnTo>
                    <a:pt x="22" y="105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6" name="Freeform 308">
              <a:extLst>
                <a:ext uri="{FF2B5EF4-FFF2-40B4-BE49-F238E27FC236}">
                  <a16:creationId xmlns:a16="http://schemas.microsoft.com/office/drawing/2014/main" id="{A447BD9E-8948-43C8-ADD1-B20D1E882A82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8 w 30"/>
                <a:gd name="T1" fmla="*/ 0 h 103"/>
                <a:gd name="T2" fmla="*/ 0 w 30"/>
                <a:gd name="T3" fmla="*/ 2 h 103"/>
                <a:gd name="T4" fmla="*/ 30 w 30"/>
                <a:gd name="T5" fmla="*/ 103 h 103"/>
                <a:gd name="T6" fmla="*/ 8 w 30"/>
                <a:gd name="T7" fmla="*/ 0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8" y="0"/>
                  </a:moveTo>
                  <a:lnTo>
                    <a:pt x="0" y="2"/>
                  </a:lnTo>
                  <a:lnTo>
                    <a:pt x="30" y="10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7" name="Freeform 309">
              <a:extLst>
                <a:ext uri="{FF2B5EF4-FFF2-40B4-BE49-F238E27FC236}">
                  <a16:creationId xmlns:a16="http://schemas.microsoft.com/office/drawing/2014/main" id="{8E1C30B9-740B-4A9F-8DC5-C93009EDF77A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37"/>
                <a:gd name="T1" fmla="*/ 0 h 101"/>
                <a:gd name="T2" fmla="*/ 0 w 37"/>
                <a:gd name="T3" fmla="*/ 2 h 101"/>
                <a:gd name="T4" fmla="*/ 37 w 37"/>
                <a:gd name="T5" fmla="*/ 101 h 101"/>
                <a:gd name="T6" fmla="*/ 7 w 37"/>
                <a:gd name="T7" fmla="*/ 0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7" y="0"/>
                  </a:moveTo>
                  <a:lnTo>
                    <a:pt x="0" y="2"/>
                  </a:lnTo>
                  <a:lnTo>
                    <a:pt x="37" y="10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8" name="Freeform 310">
              <a:extLst>
                <a:ext uri="{FF2B5EF4-FFF2-40B4-BE49-F238E27FC236}">
                  <a16:creationId xmlns:a16="http://schemas.microsoft.com/office/drawing/2014/main" id="{4BCA767E-86FD-481D-8B5F-B00AFB2137B5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44"/>
                <a:gd name="T1" fmla="*/ 0 h 99"/>
                <a:gd name="T2" fmla="*/ 0 w 44"/>
                <a:gd name="T3" fmla="*/ 3 h 99"/>
                <a:gd name="T4" fmla="*/ 44 w 44"/>
                <a:gd name="T5" fmla="*/ 99 h 99"/>
                <a:gd name="T6" fmla="*/ 7 w 44"/>
                <a:gd name="T7" fmla="*/ 0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9">
                  <a:moveTo>
                    <a:pt x="7" y="0"/>
                  </a:moveTo>
                  <a:lnTo>
                    <a:pt x="0" y="3"/>
                  </a:lnTo>
                  <a:lnTo>
                    <a:pt x="44" y="99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9" name="Freeform 311">
              <a:extLst>
                <a:ext uri="{FF2B5EF4-FFF2-40B4-BE49-F238E27FC236}">
                  <a16:creationId xmlns:a16="http://schemas.microsoft.com/office/drawing/2014/main" id="{B6CD26F1-0ACB-41F0-873D-630D59087C23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50"/>
                <a:gd name="T1" fmla="*/ 0 h 96"/>
                <a:gd name="T2" fmla="*/ 0 w 50"/>
                <a:gd name="T3" fmla="*/ 3 h 96"/>
                <a:gd name="T4" fmla="*/ 50 w 50"/>
                <a:gd name="T5" fmla="*/ 96 h 96"/>
                <a:gd name="T6" fmla="*/ 6 w 50"/>
                <a:gd name="T7" fmla="*/ 0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6" y="0"/>
                  </a:moveTo>
                  <a:lnTo>
                    <a:pt x="0" y="3"/>
                  </a:lnTo>
                  <a:lnTo>
                    <a:pt x="50" y="96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0" name="Freeform 312">
              <a:extLst>
                <a:ext uri="{FF2B5EF4-FFF2-40B4-BE49-F238E27FC236}">
                  <a16:creationId xmlns:a16="http://schemas.microsoft.com/office/drawing/2014/main" id="{577A632A-4552-45CA-ADF3-F2AC670CB2A2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7 w 57"/>
                <a:gd name="T1" fmla="*/ 0 h 93"/>
                <a:gd name="T2" fmla="*/ 0 w 57"/>
                <a:gd name="T3" fmla="*/ 4 h 93"/>
                <a:gd name="T4" fmla="*/ 57 w 57"/>
                <a:gd name="T5" fmla="*/ 93 h 93"/>
                <a:gd name="T6" fmla="*/ 7 w 57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3">
                  <a:moveTo>
                    <a:pt x="7" y="0"/>
                  </a:moveTo>
                  <a:lnTo>
                    <a:pt x="0" y="4"/>
                  </a:lnTo>
                  <a:lnTo>
                    <a:pt x="57" y="9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1" name="Freeform 313">
              <a:extLst>
                <a:ext uri="{FF2B5EF4-FFF2-40B4-BE49-F238E27FC236}">
                  <a16:creationId xmlns:a16="http://schemas.microsoft.com/office/drawing/2014/main" id="{9EFF8EF4-0CB8-4682-B137-DCAB38779E33}"/>
                </a:ext>
              </a:extLst>
            </xdr:cNvPr>
            <xdr:cNvSpPr>
              <a:spLocks/>
            </xdr:cNvSpPr>
          </xdr:nvSpPr>
          <xdr:spPr bwMode="auto">
            <a:xfrm>
              <a:off x="1028" y="200"/>
              <a:ext cx="1" cy="2"/>
            </a:xfrm>
            <a:custGeom>
              <a:avLst/>
              <a:gdLst>
                <a:gd name="T0" fmla="*/ 6 w 63"/>
                <a:gd name="T1" fmla="*/ 0 h 89"/>
                <a:gd name="T2" fmla="*/ 0 w 63"/>
                <a:gd name="T3" fmla="*/ 4 h 89"/>
                <a:gd name="T4" fmla="*/ 63 w 63"/>
                <a:gd name="T5" fmla="*/ 89 h 89"/>
                <a:gd name="T6" fmla="*/ 6 w 63"/>
                <a:gd name="T7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9">
                  <a:moveTo>
                    <a:pt x="6" y="0"/>
                  </a:moveTo>
                  <a:lnTo>
                    <a:pt x="0" y="4"/>
                  </a:lnTo>
                  <a:lnTo>
                    <a:pt x="63" y="89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2" name="Freeform 314">
              <a:extLst>
                <a:ext uri="{FF2B5EF4-FFF2-40B4-BE49-F238E27FC236}">
                  <a16:creationId xmlns:a16="http://schemas.microsoft.com/office/drawing/2014/main" id="{08F1455E-3762-4AB6-B5E0-1C4AEB1C70C6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6 w 69"/>
                <a:gd name="T1" fmla="*/ 0 h 85"/>
                <a:gd name="T2" fmla="*/ 0 w 69"/>
                <a:gd name="T3" fmla="*/ 5 h 85"/>
                <a:gd name="T4" fmla="*/ 69 w 69"/>
                <a:gd name="T5" fmla="*/ 85 h 85"/>
                <a:gd name="T6" fmla="*/ 6 w 69"/>
                <a:gd name="T7" fmla="*/ 0 h 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5">
                  <a:moveTo>
                    <a:pt x="6" y="0"/>
                  </a:moveTo>
                  <a:lnTo>
                    <a:pt x="0" y="5"/>
                  </a:lnTo>
                  <a:lnTo>
                    <a:pt x="69" y="8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3" name="Freeform 315">
              <a:extLst>
                <a:ext uri="{FF2B5EF4-FFF2-40B4-BE49-F238E27FC236}">
                  <a16:creationId xmlns:a16="http://schemas.microsoft.com/office/drawing/2014/main" id="{32E6A54F-CAFB-4497-9DEB-2B3B5BBF48D3}"/>
                </a:ext>
              </a:extLst>
            </xdr:cNvPr>
            <xdr:cNvSpPr>
              <a:spLocks/>
            </xdr:cNvSpPr>
          </xdr:nvSpPr>
          <xdr:spPr bwMode="auto">
            <a:xfrm>
              <a:off x="1027" y="200"/>
              <a:ext cx="2" cy="2"/>
            </a:xfrm>
            <a:custGeom>
              <a:avLst/>
              <a:gdLst>
                <a:gd name="T0" fmla="*/ 5 w 74"/>
                <a:gd name="T1" fmla="*/ 0 h 80"/>
                <a:gd name="T2" fmla="*/ 0 w 74"/>
                <a:gd name="T3" fmla="*/ 5 h 80"/>
                <a:gd name="T4" fmla="*/ 74 w 74"/>
                <a:gd name="T5" fmla="*/ 80 h 80"/>
                <a:gd name="T6" fmla="*/ 5 w 74"/>
                <a:gd name="T7" fmla="*/ 0 h 8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80">
                  <a:moveTo>
                    <a:pt x="5" y="0"/>
                  </a:moveTo>
                  <a:lnTo>
                    <a:pt x="0" y="5"/>
                  </a:lnTo>
                  <a:lnTo>
                    <a:pt x="74" y="8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4" name="Freeform 316">
              <a:extLst>
                <a:ext uri="{FF2B5EF4-FFF2-40B4-BE49-F238E27FC236}">
                  <a16:creationId xmlns:a16="http://schemas.microsoft.com/office/drawing/2014/main" id="{00E5B15B-D7EF-40CA-B3FD-96E22D5C7498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6 w 80"/>
                <a:gd name="T1" fmla="*/ 0 h 75"/>
                <a:gd name="T2" fmla="*/ 0 w 80"/>
                <a:gd name="T3" fmla="*/ 6 h 75"/>
                <a:gd name="T4" fmla="*/ 80 w 80"/>
                <a:gd name="T5" fmla="*/ 75 h 75"/>
                <a:gd name="T6" fmla="*/ 6 w 80"/>
                <a:gd name="T7" fmla="*/ 0 h 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5">
                  <a:moveTo>
                    <a:pt x="6" y="0"/>
                  </a:moveTo>
                  <a:lnTo>
                    <a:pt x="0" y="6"/>
                  </a:lnTo>
                  <a:lnTo>
                    <a:pt x="80" y="75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5" name="Freeform 317">
              <a:extLst>
                <a:ext uri="{FF2B5EF4-FFF2-40B4-BE49-F238E27FC236}">
                  <a16:creationId xmlns:a16="http://schemas.microsoft.com/office/drawing/2014/main" id="{5A4E9764-A6AC-481C-ACC9-EEB94323D027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84"/>
                <a:gd name="T1" fmla="*/ 0 h 69"/>
                <a:gd name="T2" fmla="*/ 0 w 84"/>
                <a:gd name="T3" fmla="*/ 6 h 69"/>
                <a:gd name="T4" fmla="*/ 84 w 84"/>
                <a:gd name="T5" fmla="*/ 69 h 69"/>
                <a:gd name="T6" fmla="*/ 4 w 84"/>
                <a:gd name="T7" fmla="*/ 0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4" y="0"/>
                  </a:moveTo>
                  <a:lnTo>
                    <a:pt x="0" y="6"/>
                  </a:lnTo>
                  <a:lnTo>
                    <a:pt x="84" y="69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6" name="Freeform 318">
              <a:extLst>
                <a:ext uri="{FF2B5EF4-FFF2-40B4-BE49-F238E27FC236}">
                  <a16:creationId xmlns:a16="http://schemas.microsoft.com/office/drawing/2014/main" id="{F3907EF2-4A9D-42A1-8534-C2735910BC84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5 w 89"/>
                <a:gd name="T1" fmla="*/ 0 h 63"/>
                <a:gd name="T2" fmla="*/ 0 w 89"/>
                <a:gd name="T3" fmla="*/ 6 h 63"/>
                <a:gd name="T4" fmla="*/ 89 w 89"/>
                <a:gd name="T5" fmla="*/ 63 h 63"/>
                <a:gd name="T6" fmla="*/ 5 w 89"/>
                <a:gd name="T7" fmla="*/ 0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5" y="0"/>
                  </a:moveTo>
                  <a:lnTo>
                    <a:pt x="0" y="6"/>
                  </a:lnTo>
                  <a:lnTo>
                    <a:pt x="89" y="63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7" name="Freeform 319">
              <a:extLst>
                <a:ext uri="{FF2B5EF4-FFF2-40B4-BE49-F238E27FC236}">
                  <a16:creationId xmlns:a16="http://schemas.microsoft.com/office/drawing/2014/main" id="{D482C0F0-EE92-4B4B-B107-2E1ADC28F51D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2"/>
                <a:gd name="T1" fmla="*/ 0 h 57"/>
                <a:gd name="T2" fmla="*/ 0 w 92"/>
                <a:gd name="T3" fmla="*/ 6 h 57"/>
                <a:gd name="T4" fmla="*/ 92 w 92"/>
                <a:gd name="T5" fmla="*/ 57 h 57"/>
                <a:gd name="T6" fmla="*/ 3 w 92"/>
                <a:gd name="T7" fmla="*/ 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3" y="0"/>
                  </a:moveTo>
                  <a:lnTo>
                    <a:pt x="0" y="6"/>
                  </a:lnTo>
                  <a:lnTo>
                    <a:pt x="92" y="57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8" name="Freeform 320">
              <a:extLst>
                <a:ext uri="{FF2B5EF4-FFF2-40B4-BE49-F238E27FC236}">
                  <a16:creationId xmlns:a16="http://schemas.microsoft.com/office/drawing/2014/main" id="{C8F208A7-753D-470C-B46D-434B1FD60500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4 w 96"/>
                <a:gd name="T1" fmla="*/ 0 h 51"/>
                <a:gd name="T2" fmla="*/ 0 w 96"/>
                <a:gd name="T3" fmla="*/ 7 h 51"/>
                <a:gd name="T4" fmla="*/ 96 w 96"/>
                <a:gd name="T5" fmla="*/ 51 h 51"/>
                <a:gd name="T6" fmla="*/ 4 w 96"/>
                <a:gd name="T7" fmla="*/ 0 h 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1">
                  <a:moveTo>
                    <a:pt x="4" y="0"/>
                  </a:moveTo>
                  <a:lnTo>
                    <a:pt x="0" y="7"/>
                  </a:lnTo>
                  <a:lnTo>
                    <a:pt x="96" y="5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9" name="Freeform 321">
              <a:extLst>
                <a:ext uri="{FF2B5EF4-FFF2-40B4-BE49-F238E27FC236}">
                  <a16:creationId xmlns:a16="http://schemas.microsoft.com/office/drawing/2014/main" id="{0D229312-3646-46F6-BF75-CB7463937344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3 w 99"/>
                <a:gd name="T1" fmla="*/ 0 h 44"/>
                <a:gd name="T2" fmla="*/ 0 w 99"/>
                <a:gd name="T3" fmla="*/ 7 h 44"/>
                <a:gd name="T4" fmla="*/ 99 w 99"/>
                <a:gd name="T5" fmla="*/ 44 h 44"/>
                <a:gd name="T6" fmla="*/ 3 w 99"/>
                <a:gd name="T7" fmla="*/ 0 h 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4">
                  <a:moveTo>
                    <a:pt x="3" y="0"/>
                  </a:moveTo>
                  <a:lnTo>
                    <a:pt x="0" y="7"/>
                  </a:lnTo>
                  <a:lnTo>
                    <a:pt x="99" y="44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0" name="Freeform 322">
              <a:extLst>
                <a:ext uri="{FF2B5EF4-FFF2-40B4-BE49-F238E27FC236}">
                  <a16:creationId xmlns:a16="http://schemas.microsoft.com/office/drawing/2014/main" id="{BC0F97D2-0B3E-42F3-BF38-FBEFDB47FFDA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1"/>
                <a:gd name="T1" fmla="*/ 0 h 37"/>
                <a:gd name="T2" fmla="*/ 0 w 101"/>
                <a:gd name="T3" fmla="*/ 7 h 37"/>
                <a:gd name="T4" fmla="*/ 101 w 101"/>
                <a:gd name="T5" fmla="*/ 37 h 37"/>
                <a:gd name="T6" fmla="*/ 2 w 101"/>
                <a:gd name="T7" fmla="*/ 0 h 3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7">
                  <a:moveTo>
                    <a:pt x="2" y="0"/>
                  </a:moveTo>
                  <a:lnTo>
                    <a:pt x="0" y="7"/>
                  </a:lnTo>
                  <a:lnTo>
                    <a:pt x="101" y="37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1" name="Freeform 323">
              <a:extLst>
                <a:ext uri="{FF2B5EF4-FFF2-40B4-BE49-F238E27FC236}">
                  <a16:creationId xmlns:a16="http://schemas.microsoft.com/office/drawing/2014/main" id="{F4D3F2AE-0951-4E7F-9955-4D7E4F729251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2 w 103"/>
                <a:gd name="T1" fmla="*/ 0 h 30"/>
                <a:gd name="T2" fmla="*/ 0 w 103"/>
                <a:gd name="T3" fmla="*/ 7 h 30"/>
                <a:gd name="T4" fmla="*/ 103 w 103"/>
                <a:gd name="T5" fmla="*/ 30 h 30"/>
                <a:gd name="T6" fmla="*/ 2 w 103"/>
                <a:gd name="T7" fmla="*/ 0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0">
                  <a:moveTo>
                    <a:pt x="2" y="0"/>
                  </a:moveTo>
                  <a:lnTo>
                    <a:pt x="0" y="7"/>
                  </a:lnTo>
                  <a:lnTo>
                    <a:pt x="103" y="3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2" name="Freeform 324">
              <a:extLst>
                <a:ext uri="{FF2B5EF4-FFF2-40B4-BE49-F238E27FC236}">
                  <a16:creationId xmlns:a16="http://schemas.microsoft.com/office/drawing/2014/main" id="{9DB6BA1D-4A38-4BFE-86C6-D1CB8E3F2036}"/>
                </a:ext>
              </a:extLst>
            </xdr:cNvPr>
            <xdr:cNvSpPr>
              <a:spLocks/>
            </xdr:cNvSpPr>
          </xdr:nvSpPr>
          <xdr:spPr bwMode="auto">
            <a:xfrm>
              <a:off x="1027" y="201"/>
              <a:ext cx="2" cy="1"/>
            </a:xfrm>
            <a:custGeom>
              <a:avLst/>
              <a:gdLst>
                <a:gd name="T0" fmla="*/ 1 w 104"/>
                <a:gd name="T1" fmla="*/ 0 h 23"/>
                <a:gd name="T2" fmla="*/ 0 w 104"/>
                <a:gd name="T3" fmla="*/ 8 h 23"/>
                <a:gd name="T4" fmla="*/ 104 w 104"/>
                <a:gd name="T5" fmla="*/ 23 h 23"/>
                <a:gd name="T6" fmla="*/ 1 w 104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3">
                  <a:moveTo>
                    <a:pt x="1" y="0"/>
                  </a:moveTo>
                  <a:lnTo>
                    <a:pt x="0" y="8"/>
                  </a:lnTo>
                  <a:lnTo>
                    <a:pt x="104" y="2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3" name="Freeform 325">
              <a:extLst>
                <a:ext uri="{FF2B5EF4-FFF2-40B4-BE49-F238E27FC236}">
                  <a16:creationId xmlns:a16="http://schemas.microsoft.com/office/drawing/2014/main" id="{3E99B898-976F-41B3-890C-551F051A5C2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1 w 105"/>
                <a:gd name="T1" fmla="*/ 0 h 15"/>
                <a:gd name="T2" fmla="*/ 0 w 105"/>
                <a:gd name="T3" fmla="*/ 7 h 15"/>
                <a:gd name="T4" fmla="*/ 105 w 105"/>
                <a:gd name="T5" fmla="*/ 15 h 15"/>
                <a:gd name="T6" fmla="*/ 1 w 105"/>
                <a:gd name="T7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" y="0"/>
                  </a:moveTo>
                  <a:lnTo>
                    <a:pt x="0" y="7"/>
                  </a:lnTo>
                  <a:lnTo>
                    <a:pt x="105" y="15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4" name="Freeform 326">
              <a:extLst>
                <a:ext uri="{FF2B5EF4-FFF2-40B4-BE49-F238E27FC236}">
                  <a16:creationId xmlns:a16="http://schemas.microsoft.com/office/drawing/2014/main" id="{BB33BB21-50EC-4886-84D6-8F6A8A04490C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8"/>
                <a:gd name="T2" fmla="*/ 0 w 105"/>
                <a:gd name="T3" fmla="*/ 8 h 8"/>
                <a:gd name="T4" fmla="*/ 105 w 105"/>
                <a:gd name="T5" fmla="*/ 8 h 8"/>
                <a:gd name="T6" fmla="*/ 0 w 105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0" y="0"/>
                  </a:moveTo>
                  <a:lnTo>
                    <a:pt x="0" y="8"/>
                  </a:lnTo>
                  <a:lnTo>
                    <a:pt x="105" y="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5" name="Freeform 327">
              <a:extLst>
                <a:ext uri="{FF2B5EF4-FFF2-40B4-BE49-F238E27FC236}">
                  <a16:creationId xmlns:a16="http://schemas.microsoft.com/office/drawing/2014/main" id="{56F43094-F4C7-4C38-A031-5DB9F07C1465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0 h 7"/>
                <a:gd name="T2" fmla="*/ 0 w 105"/>
                <a:gd name="T3" fmla="*/ 7 h 7"/>
                <a:gd name="T4" fmla="*/ 105 w 105"/>
                <a:gd name="T5" fmla="*/ 0 h 7"/>
                <a:gd name="T6" fmla="*/ 0 w 105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0" y="0"/>
                  </a:moveTo>
                  <a:lnTo>
                    <a:pt x="0" y="7"/>
                  </a:lnTo>
                  <a:lnTo>
                    <a:pt x="10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6" name="Freeform 328">
              <a:extLst>
                <a:ext uri="{FF2B5EF4-FFF2-40B4-BE49-F238E27FC236}">
                  <a16:creationId xmlns:a16="http://schemas.microsoft.com/office/drawing/2014/main" id="{B0B471A9-A138-4E2B-AA0A-76D785F27326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5"/>
                <a:gd name="T1" fmla="*/ 7 h 15"/>
                <a:gd name="T2" fmla="*/ 1 w 105"/>
                <a:gd name="T3" fmla="*/ 15 h 15"/>
                <a:gd name="T4" fmla="*/ 105 w 105"/>
                <a:gd name="T5" fmla="*/ 0 h 15"/>
                <a:gd name="T6" fmla="*/ 0 w 105"/>
                <a:gd name="T7" fmla="*/ 7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0" y="7"/>
                  </a:moveTo>
                  <a:lnTo>
                    <a:pt x="1" y="15"/>
                  </a:lnTo>
                  <a:lnTo>
                    <a:pt x="105" y="0"/>
                  </a:lnTo>
                  <a:lnTo>
                    <a:pt x="0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7" name="Freeform 329">
              <a:extLst>
                <a:ext uri="{FF2B5EF4-FFF2-40B4-BE49-F238E27FC236}">
                  <a16:creationId xmlns:a16="http://schemas.microsoft.com/office/drawing/2014/main" id="{2650C9B4-93D9-4FFB-A6AC-843F201E7886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4"/>
                <a:gd name="T1" fmla="*/ 15 h 22"/>
                <a:gd name="T2" fmla="*/ 1 w 104"/>
                <a:gd name="T3" fmla="*/ 22 h 22"/>
                <a:gd name="T4" fmla="*/ 104 w 104"/>
                <a:gd name="T5" fmla="*/ 0 h 22"/>
                <a:gd name="T6" fmla="*/ 0 w 104"/>
                <a:gd name="T7" fmla="*/ 15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0" y="15"/>
                  </a:moveTo>
                  <a:lnTo>
                    <a:pt x="1" y="22"/>
                  </a:lnTo>
                  <a:lnTo>
                    <a:pt x="104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8" name="Freeform 330">
              <a:extLst>
                <a:ext uri="{FF2B5EF4-FFF2-40B4-BE49-F238E27FC236}">
                  <a16:creationId xmlns:a16="http://schemas.microsoft.com/office/drawing/2014/main" id="{644A2599-8F9A-4D25-A565-FECCC7C1F371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3"/>
                <a:gd name="T1" fmla="*/ 22 h 29"/>
                <a:gd name="T2" fmla="*/ 2 w 103"/>
                <a:gd name="T3" fmla="*/ 29 h 29"/>
                <a:gd name="T4" fmla="*/ 103 w 103"/>
                <a:gd name="T5" fmla="*/ 0 h 29"/>
                <a:gd name="T6" fmla="*/ 0 w 103"/>
                <a:gd name="T7" fmla="*/ 22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0" y="22"/>
                  </a:moveTo>
                  <a:lnTo>
                    <a:pt x="2" y="29"/>
                  </a:lnTo>
                  <a:lnTo>
                    <a:pt x="103" y="0"/>
                  </a:lnTo>
                  <a:lnTo>
                    <a:pt x="0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9" name="Freeform 331">
              <a:extLst>
                <a:ext uri="{FF2B5EF4-FFF2-40B4-BE49-F238E27FC236}">
                  <a16:creationId xmlns:a16="http://schemas.microsoft.com/office/drawing/2014/main" id="{FEDF6A5D-FA42-4431-911A-18F8848588D3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0"/>
            </a:xfrm>
            <a:custGeom>
              <a:avLst/>
              <a:gdLst>
                <a:gd name="T0" fmla="*/ 0 w 101"/>
                <a:gd name="T1" fmla="*/ 29 h 36"/>
                <a:gd name="T2" fmla="*/ 2 w 101"/>
                <a:gd name="T3" fmla="*/ 36 h 36"/>
                <a:gd name="T4" fmla="*/ 101 w 101"/>
                <a:gd name="T5" fmla="*/ 0 h 36"/>
                <a:gd name="T6" fmla="*/ 0 w 101"/>
                <a:gd name="T7" fmla="*/ 29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0" y="29"/>
                  </a:moveTo>
                  <a:lnTo>
                    <a:pt x="2" y="36"/>
                  </a:lnTo>
                  <a:lnTo>
                    <a:pt x="101" y="0"/>
                  </a:lnTo>
                  <a:lnTo>
                    <a:pt x="0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0" name="Freeform 332">
              <a:extLst>
                <a:ext uri="{FF2B5EF4-FFF2-40B4-BE49-F238E27FC236}">
                  <a16:creationId xmlns:a16="http://schemas.microsoft.com/office/drawing/2014/main" id="{2DD1ED4E-20E0-4EFA-A539-EB756522C7D2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9"/>
                <a:gd name="T1" fmla="*/ 36 h 43"/>
                <a:gd name="T2" fmla="*/ 3 w 99"/>
                <a:gd name="T3" fmla="*/ 43 h 43"/>
                <a:gd name="T4" fmla="*/ 99 w 99"/>
                <a:gd name="T5" fmla="*/ 0 h 43"/>
                <a:gd name="T6" fmla="*/ 0 w 99"/>
                <a:gd name="T7" fmla="*/ 36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0" y="36"/>
                  </a:moveTo>
                  <a:lnTo>
                    <a:pt x="3" y="43"/>
                  </a:lnTo>
                  <a:lnTo>
                    <a:pt x="99" y="0"/>
                  </a:lnTo>
                  <a:lnTo>
                    <a:pt x="0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1" name="Freeform 333">
              <a:extLst>
                <a:ext uri="{FF2B5EF4-FFF2-40B4-BE49-F238E27FC236}">
                  <a16:creationId xmlns:a16="http://schemas.microsoft.com/office/drawing/2014/main" id="{FD4FE3C0-0BAA-415A-A465-0662831AD945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6"/>
                <a:gd name="T1" fmla="*/ 43 h 50"/>
                <a:gd name="T2" fmla="*/ 4 w 96"/>
                <a:gd name="T3" fmla="*/ 50 h 50"/>
                <a:gd name="T4" fmla="*/ 96 w 96"/>
                <a:gd name="T5" fmla="*/ 0 h 50"/>
                <a:gd name="T6" fmla="*/ 0 w 96"/>
                <a:gd name="T7" fmla="*/ 43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0" y="43"/>
                  </a:moveTo>
                  <a:lnTo>
                    <a:pt x="4" y="50"/>
                  </a:lnTo>
                  <a:lnTo>
                    <a:pt x="96" y="0"/>
                  </a:lnTo>
                  <a:lnTo>
                    <a:pt x="0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2" name="Freeform 334">
              <a:extLst>
                <a:ext uri="{FF2B5EF4-FFF2-40B4-BE49-F238E27FC236}">
                  <a16:creationId xmlns:a16="http://schemas.microsoft.com/office/drawing/2014/main" id="{5DB8DF9C-D976-46FE-A439-D51B397AA40B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92"/>
                <a:gd name="T1" fmla="*/ 50 h 57"/>
                <a:gd name="T2" fmla="*/ 3 w 92"/>
                <a:gd name="T3" fmla="*/ 57 h 57"/>
                <a:gd name="T4" fmla="*/ 92 w 92"/>
                <a:gd name="T5" fmla="*/ 0 h 57"/>
                <a:gd name="T6" fmla="*/ 0 w 92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0" y="50"/>
                  </a:moveTo>
                  <a:lnTo>
                    <a:pt x="3" y="57"/>
                  </a:lnTo>
                  <a:lnTo>
                    <a:pt x="92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3" name="Freeform 335">
              <a:extLst>
                <a:ext uri="{FF2B5EF4-FFF2-40B4-BE49-F238E27FC236}">
                  <a16:creationId xmlns:a16="http://schemas.microsoft.com/office/drawing/2014/main" id="{8D1213F0-CEDE-4651-B492-122B910ABF10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9"/>
                <a:gd name="T1" fmla="*/ 57 h 63"/>
                <a:gd name="T2" fmla="*/ 5 w 89"/>
                <a:gd name="T3" fmla="*/ 63 h 63"/>
                <a:gd name="T4" fmla="*/ 89 w 89"/>
                <a:gd name="T5" fmla="*/ 0 h 63"/>
                <a:gd name="T6" fmla="*/ 0 w 89"/>
                <a:gd name="T7" fmla="*/ 57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3">
                  <a:moveTo>
                    <a:pt x="0" y="57"/>
                  </a:moveTo>
                  <a:lnTo>
                    <a:pt x="5" y="63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4" name="Freeform 336">
              <a:extLst>
                <a:ext uri="{FF2B5EF4-FFF2-40B4-BE49-F238E27FC236}">
                  <a16:creationId xmlns:a16="http://schemas.microsoft.com/office/drawing/2014/main" id="{CED6411C-E15D-4C5F-A18B-074F7A389C66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4"/>
                <a:gd name="T1" fmla="*/ 63 h 69"/>
                <a:gd name="T2" fmla="*/ 4 w 84"/>
                <a:gd name="T3" fmla="*/ 69 h 69"/>
                <a:gd name="T4" fmla="*/ 84 w 84"/>
                <a:gd name="T5" fmla="*/ 0 h 69"/>
                <a:gd name="T6" fmla="*/ 0 w 84"/>
                <a:gd name="T7" fmla="*/ 63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0" y="63"/>
                  </a:moveTo>
                  <a:lnTo>
                    <a:pt x="4" y="69"/>
                  </a:lnTo>
                  <a:lnTo>
                    <a:pt x="84" y="0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5" name="Freeform 337">
              <a:extLst>
                <a:ext uri="{FF2B5EF4-FFF2-40B4-BE49-F238E27FC236}">
                  <a16:creationId xmlns:a16="http://schemas.microsoft.com/office/drawing/2014/main" id="{12D2C7C5-82BA-4E67-AF85-2A5F7E374F58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80"/>
                <a:gd name="T1" fmla="*/ 69 h 74"/>
                <a:gd name="T2" fmla="*/ 6 w 80"/>
                <a:gd name="T3" fmla="*/ 74 h 74"/>
                <a:gd name="T4" fmla="*/ 80 w 80"/>
                <a:gd name="T5" fmla="*/ 0 h 74"/>
                <a:gd name="T6" fmla="*/ 0 w 80"/>
                <a:gd name="T7" fmla="*/ 69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0" h="74">
                  <a:moveTo>
                    <a:pt x="0" y="69"/>
                  </a:moveTo>
                  <a:lnTo>
                    <a:pt x="6" y="74"/>
                  </a:lnTo>
                  <a:lnTo>
                    <a:pt x="80" y="0"/>
                  </a:lnTo>
                  <a:lnTo>
                    <a:pt x="0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6" name="Freeform 338">
              <a:extLst>
                <a:ext uri="{FF2B5EF4-FFF2-40B4-BE49-F238E27FC236}">
                  <a16:creationId xmlns:a16="http://schemas.microsoft.com/office/drawing/2014/main" id="{48F9E303-FE20-4511-B79E-69EDDD786D7F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74"/>
                <a:gd name="T1" fmla="*/ 74 h 79"/>
                <a:gd name="T2" fmla="*/ 5 w 74"/>
                <a:gd name="T3" fmla="*/ 79 h 79"/>
                <a:gd name="T4" fmla="*/ 74 w 74"/>
                <a:gd name="T5" fmla="*/ 0 h 79"/>
                <a:gd name="T6" fmla="*/ 0 w 74"/>
                <a:gd name="T7" fmla="*/ 74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0" y="74"/>
                  </a:moveTo>
                  <a:lnTo>
                    <a:pt x="5" y="79"/>
                  </a:lnTo>
                  <a:lnTo>
                    <a:pt x="74" y="0"/>
                  </a:lnTo>
                  <a:lnTo>
                    <a:pt x="0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7" name="Freeform 339">
              <a:extLst>
                <a:ext uri="{FF2B5EF4-FFF2-40B4-BE49-F238E27FC236}">
                  <a16:creationId xmlns:a16="http://schemas.microsoft.com/office/drawing/2014/main" id="{E4BEC6AF-72C1-42DB-9ABB-DDE03C1F2C48}"/>
                </a:ext>
              </a:extLst>
            </xdr:cNvPr>
            <xdr:cNvSpPr>
              <a:spLocks/>
            </xdr:cNvSpPr>
          </xdr:nvSpPr>
          <xdr:spPr bwMode="auto">
            <a:xfrm>
              <a:off x="1027" y="202"/>
              <a:ext cx="2" cy="1"/>
            </a:xfrm>
            <a:custGeom>
              <a:avLst/>
              <a:gdLst>
                <a:gd name="T0" fmla="*/ 0 w 69"/>
                <a:gd name="T1" fmla="*/ 79 h 84"/>
                <a:gd name="T2" fmla="*/ 6 w 69"/>
                <a:gd name="T3" fmla="*/ 84 h 84"/>
                <a:gd name="T4" fmla="*/ 69 w 69"/>
                <a:gd name="T5" fmla="*/ 0 h 84"/>
                <a:gd name="T6" fmla="*/ 0 w 69"/>
                <a:gd name="T7" fmla="*/ 79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0" y="79"/>
                  </a:moveTo>
                  <a:lnTo>
                    <a:pt x="6" y="84"/>
                  </a:lnTo>
                  <a:lnTo>
                    <a:pt x="69" y="0"/>
                  </a:lnTo>
                  <a:lnTo>
                    <a:pt x="0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8" name="Freeform 340">
              <a:extLst>
                <a:ext uri="{FF2B5EF4-FFF2-40B4-BE49-F238E27FC236}">
                  <a16:creationId xmlns:a16="http://schemas.microsoft.com/office/drawing/2014/main" id="{1F9CBA70-F265-4175-ACD8-7AC6BCFB0D81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63"/>
                <a:gd name="T1" fmla="*/ 84 h 88"/>
                <a:gd name="T2" fmla="*/ 6 w 63"/>
                <a:gd name="T3" fmla="*/ 88 h 88"/>
                <a:gd name="T4" fmla="*/ 63 w 63"/>
                <a:gd name="T5" fmla="*/ 0 h 88"/>
                <a:gd name="T6" fmla="*/ 0 w 63"/>
                <a:gd name="T7" fmla="*/ 84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0" y="84"/>
                  </a:moveTo>
                  <a:lnTo>
                    <a:pt x="6" y="88"/>
                  </a:lnTo>
                  <a:lnTo>
                    <a:pt x="63" y="0"/>
                  </a:lnTo>
                  <a:lnTo>
                    <a:pt x="0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9" name="Freeform 341">
              <a:extLst>
                <a:ext uri="{FF2B5EF4-FFF2-40B4-BE49-F238E27FC236}">
                  <a16:creationId xmlns:a16="http://schemas.microsoft.com/office/drawing/2014/main" id="{90BABE69-BDFB-4646-B966-2A457FD9B883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7"/>
                <a:gd name="T1" fmla="*/ 88 h 92"/>
                <a:gd name="T2" fmla="*/ 7 w 57"/>
                <a:gd name="T3" fmla="*/ 92 h 92"/>
                <a:gd name="T4" fmla="*/ 57 w 57"/>
                <a:gd name="T5" fmla="*/ 0 h 92"/>
                <a:gd name="T6" fmla="*/ 0 w 57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0" y="88"/>
                  </a:moveTo>
                  <a:lnTo>
                    <a:pt x="7" y="92"/>
                  </a:lnTo>
                  <a:lnTo>
                    <a:pt x="57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0" name="Freeform 342">
              <a:extLst>
                <a:ext uri="{FF2B5EF4-FFF2-40B4-BE49-F238E27FC236}">
                  <a16:creationId xmlns:a16="http://schemas.microsoft.com/office/drawing/2014/main" id="{7EDA2BCE-DF7C-42C6-8644-B4113B1D3F0F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1"/>
            </a:xfrm>
            <a:custGeom>
              <a:avLst/>
              <a:gdLst>
                <a:gd name="T0" fmla="*/ 0 w 50"/>
                <a:gd name="T1" fmla="*/ 92 h 95"/>
                <a:gd name="T2" fmla="*/ 6 w 50"/>
                <a:gd name="T3" fmla="*/ 95 h 95"/>
                <a:gd name="T4" fmla="*/ 50 w 50"/>
                <a:gd name="T5" fmla="*/ 0 h 95"/>
                <a:gd name="T6" fmla="*/ 0 w 50"/>
                <a:gd name="T7" fmla="*/ 92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0" y="92"/>
                  </a:moveTo>
                  <a:lnTo>
                    <a:pt x="6" y="95"/>
                  </a:lnTo>
                  <a:lnTo>
                    <a:pt x="50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1" name="Freeform 343">
              <a:extLst>
                <a:ext uri="{FF2B5EF4-FFF2-40B4-BE49-F238E27FC236}">
                  <a16:creationId xmlns:a16="http://schemas.microsoft.com/office/drawing/2014/main" id="{49A0AC7E-0F9C-41DC-AF5A-5D83C7287527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44"/>
                <a:gd name="T1" fmla="*/ 95 h 98"/>
                <a:gd name="T2" fmla="*/ 7 w 44"/>
                <a:gd name="T3" fmla="*/ 98 h 98"/>
                <a:gd name="T4" fmla="*/ 44 w 44"/>
                <a:gd name="T5" fmla="*/ 0 h 98"/>
                <a:gd name="T6" fmla="*/ 0 w 44"/>
                <a:gd name="T7" fmla="*/ 95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0" y="95"/>
                  </a:moveTo>
                  <a:lnTo>
                    <a:pt x="7" y="98"/>
                  </a:lnTo>
                  <a:lnTo>
                    <a:pt x="44" y="0"/>
                  </a:lnTo>
                  <a:lnTo>
                    <a:pt x="0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2" name="Freeform 344">
              <a:extLst>
                <a:ext uri="{FF2B5EF4-FFF2-40B4-BE49-F238E27FC236}">
                  <a16:creationId xmlns:a16="http://schemas.microsoft.com/office/drawing/2014/main" id="{C78B4BB8-9029-4573-95CA-4501D46D5A63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7"/>
                <a:gd name="T1" fmla="*/ 98 h 101"/>
                <a:gd name="T2" fmla="*/ 7 w 37"/>
                <a:gd name="T3" fmla="*/ 101 h 101"/>
                <a:gd name="T4" fmla="*/ 37 w 37"/>
                <a:gd name="T5" fmla="*/ 0 h 101"/>
                <a:gd name="T6" fmla="*/ 0 w 37"/>
                <a:gd name="T7" fmla="*/ 98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0" y="98"/>
                  </a:moveTo>
                  <a:lnTo>
                    <a:pt x="7" y="101"/>
                  </a:lnTo>
                  <a:lnTo>
                    <a:pt x="37" y="0"/>
                  </a:lnTo>
                  <a:lnTo>
                    <a:pt x="0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3" name="Freeform 345">
              <a:extLst>
                <a:ext uri="{FF2B5EF4-FFF2-40B4-BE49-F238E27FC236}">
                  <a16:creationId xmlns:a16="http://schemas.microsoft.com/office/drawing/2014/main" id="{4E59F05F-035E-42E1-97F7-2D80FED07B10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30"/>
                <a:gd name="T1" fmla="*/ 101 h 103"/>
                <a:gd name="T2" fmla="*/ 8 w 30"/>
                <a:gd name="T3" fmla="*/ 103 h 103"/>
                <a:gd name="T4" fmla="*/ 30 w 30"/>
                <a:gd name="T5" fmla="*/ 0 h 103"/>
                <a:gd name="T6" fmla="*/ 0 w 30"/>
                <a:gd name="T7" fmla="*/ 101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0" y="101"/>
                  </a:moveTo>
                  <a:lnTo>
                    <a:pt x="8" y="103"/>
                  </a:lnTo>
                  <a:lnTo>
                    <a:pt x="30" y="0"/>
                  </a:lnTo>
                  <a:lnTo>
                    <a:pt x="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4" name="Freeform 346">
              <a:extLst>
                <a:ext uri="{FF2B5EF4-FFF2-40B4-BE49-F238E27FC236}">
                  <a16:creationId xmlns:a16="http://schemas.microsoft.com/office/drawing/2014/main" id="{40B03D22-8CE8-43DE-B5AB-070F4459AB4D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22"/>
                <a:gd name="T1" fmla="*/ 103 h 104"/>
                <a:gd name="T2" fmla="*/ 7 w 22"/>
                <a:gd name="T3" fmla="*/ 104 h 104"/>
                <a:gd name="T4" fmla="*/ 22 w 22"/>
                <a:gd name="T5" fmla="*/ 0 h 104"/>
                <a:gd name="T6" fmla="*/ 0 w 22"/>
                <a:gd name="T7" fmla="*/ 103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0" y="103"/>
                  </a:moveTo>
                  <a:lnTo>
                    <a:pt x="7" y="104"/>
                  </a:lnTo>
                  <a:lnTo>
                    <a:pt x="22" y="0"/>
                  </a:lnTo>
                  <a:lnTo>
                    <a:pt x="0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5" name="Freeform 347">
              <a:extLst>
                <a:ext uri="{FF2B5EF4-FFF2-40B4-BE49-F238E27FC236}">
                  <a16:creationId xmlns:a16="http://schemas.microsoft.com/office/drawing/2014/main" id="{12ED7E56-C8B6-4599-9A57-DEC90CF2F48A}"/>
                </a:ext>
              </a:extLst>
            </xdr:cNvPr>
            <xdr:cNvSpPr>
              <a:spLocks/>
            </xdr:cNvSpPr>
          </xdr:nvSpPr>
          <xdr:spPr bwMode="auto">
            <a:xfrm>
              <a:off x="1028" y="202"/>
              <a:ext cx="1" cy="2"/>
            </a:xfrm>
            <a:custGeom>
              <a:avLst/>
              <a:gdLst>
                <a:gd name="T0" fmla="*/ 0 w 15"/>
                <a:gd name="T1" fmla="*/ 104 h 105"/>
                <a:gd name="T2" fmla="*/ 7 w 15"/>
                <a:gd name="T3" fmla="*/ 105 h 105"/>
                <a:gd name="T4" fmla="*/ 15 w 15"/>
                <a:gd name="T5" fmla="*/ 0 h 105"/>
                <a:gd name="T6" fmla="*/ 0 w 15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0" y="104"/>
                  </a:moveTo>
                  <a:lnTo>
                    <a:pt x="7" y="105"/>
                  </a:lnTo>
                  <a:lnTo>
                    <a:pt x="15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6" name="Freeform 348">
              <a:extLst>
                <a:ext uri="{FF2B5EF4-FFF2-40B4-BE49-F238E27FC236}">
                  <a16:creationId xmlns:a16="http://schemas.microsoft.com/office/drawing/2014/main" id="{C08B9C7D-8F56-4D65-A16B-3C5FAED204A7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8"/>
                <a:gd name="T1" fmla="*/ 105 h 105"/>
                <a:gd name="T2" fmla="*/ 8 w 8"/>
                <a:gd name="T3" fmla="*/ 105 h 105"/>
                <a:gd name="T4" fmla="*/ 8 w 8"/>
                <a:gd name="T5" fmla="*/ 0 h 105"/>
                <a:gd name="T6" fmla="*/ 0 w 8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" h="105">
                  <a:moveTo>
                    <a:pt x="0" y="105"/>
                  </a:moveTo>
                  <a:lnTo>
                    <a:pt x="8" y="105"/>
                  </a:lnTo>
                  <a:lnTo>
                    <a:pt x="8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7" name="Freeform 349">
              <a:extLst>
                <a:ext uri="{FF2B5EF4-FFF2-40B4-BE49-F238E27FC236}">
                  <a16:creationId xmlns:a16="http://schemas.microsoft.com/office/drawing/2014/main" id="{44F439CF-CC9A-4ACF-80D5-F2CA1D3B29F8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0 w 7"/>
                <a:gd name="T1" fmla="*/ 105 h 105"/>
                <a:gd name="T2" fmla="*/ 7 w 7"/>
                <a:gd name="T3" fmla="*/ 105 h 105"/>
                <a:gd name="T4" fmla="*/ 0 w 7"/>
                <a:gd name="T5" fmla="*/ 0 h 105"/>
                <a:gd name="T6" fmla="*/ 0 w 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05">
                  <a:moveTo>
                    <a:pt x="0" y="105"/>
                  </a:moveTo>
                  <a:lnTo>
                    <a:pt x="7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8" name="Freeform 350">
              <a:extLst>
                <a:ext uri="{FF2B5EF4-FFF2-40B4-BE49-F238E27FC236}">
                  <a16:creationId xmlns:a16="http://schemas.microsoft.com/office/drawing/2014/main" id="{3B91360F-D648-4986-A91C-5B7E8446ADD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7 w 15"/>
                <a:gd name="T1" fmla="*/ 105 h 105"/>
                <a:gd name="T2" fmla="*/ 15 w 15"/>
                <a:gd name="T3" fmla="*/ 104 h 105"/>
                <a:gd name="T4" fmla="*/ 0 w 15"/>
                <a:gd name="T5" fmla="*/ 0 h 105"/>
                <a:gd name="T6" fmla="*/ 7 w 15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5" h="105">
                  <a:moveTo>
                    <a:pt x="7" y="105"/>
                  </a:moveTo>
                  <a:lnTo>
                    <a:pt x="15" y="104"/>
                  </a:lnTo>
                  <a:lnTo>
                    <a:pt x="0" y="0"/>
                  </a:lnTo>
                  <a:lnTo>
                    <a:pt x="7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9" name="Freeform 351">
              <a:extLst>
                <a:ext uri="{FF2B5EF4-FFF2-40B4-BE49-F238E27FC236}">
                  <a16:creationId xmlns:a16="http://schemas.microsoft.com/office/drawing/2014/main" id="{FB73DF0C-89ED-48C5-AE0F-B996B67707B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15 w 22"/>
                <a:gd name="T1" fmla="*/ 104 h 104"/>
                <a:gd name="T2" fmla="*/ 22 w 22"/>
                <a:gd name="T3" fmla="*/ 103 h 104"/>
                <a:gd name="T4" fmla="*/ 0 w 22"/>
                <a:gd name="T5" fmla="*/ 0 h 104"/>
                <a:gd name="T6" fmla="*/ 15 w 22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" h="104">
                  <a:moveTo>
                    <a:pt x="15" y="104"/>
                  </a:moveTo>
                  <a:lnTo>
                    <a:pt x="22" y="103"/>
                  </a:lnTo>
                  <a:lnTo>
                    <a:pt x="0" y="0"/>
                  </a:lnTo>
                  <a:lnTo>
                    <a:pt x="15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0" name="Freeform 352">
              <a:extLst>
                <a:ext uri="{FF2B5EF4-FFF2-40B4-BE49-F238E27FC236}">
                  <a16:creationId xmlns:a16="http://schemas.microsoft.com/office/drawing/2014/main" id="{85A92123-F69D-4F22-AFF5-FEE5E834ECE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22 w 30"/>
                <a:gd name="T1" fmla="*/ 103 h 103"/>
                <a:gd name="T2" fmla="*/ 30 w 30"/>
                <a:gd name="T3" fmla="*/ 101 h 103"/>
                <a:gd name="T4" fmla="*/ 0 w 30"/>
                <a:gd name="T5" fmla="*/ 0 h 103"/>
                <a:gd name="T6" fmla="*/ 22 w 30"/>
                <a:gd name="T7" fmla="*/ 103 h 1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0" h="103">
                  <a:moveTo>
                    <a:pt x="22" y="103"/>
                  </a:moveTo>
                  <a:lnTo>
                    <a:pt x="30" y="101"/>
                  </a:lnTo>
                  <a:lnTo>
                    <a:pt x="0" y="0"/>
                  </a:lnTo>
                  <a:lnTo>
                    <a:pt x="22" y="10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1" name="Freeform 353">
              <a:extLst>
                <a:ext uri="{FF2B5EF4-FFF2-40B4-BE49-F238E27FC236}">
                  <a16:creationId xmlns:a16="http://schemas.microsoft.com/office/drawing/2014/main" id="{1737CBCF-102A-48AA-8F3D-99F128EC3D2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0 w 37"/>
                <a:gd name="T1" fmla="*/ 101 h 101"/>
                <a:gd name="T2" fmla="*/ 37 w 37"/>
                <a:gd name="T3" fmla="*/ 98 h 101"/>
                <a:gd name="T4" fmla="*/ 0 w 37"/>
                <a:gd name="T5" fmla="*/ 0 h 101"/>
                <a:gd name="T6" fmla="*/ 30 w 37"/>
                <a:gd name="T7" fmla="*/ 101 h 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7" h="101">
                  <a:moveTo>
                    <a:pt x="30" y="101"/>
                  </a:moveTo>
                  <a:lnTo>
                    <a:pt x="37" y="98"/>
                  </a:lnTo>
                  <a:lnTo>
                    <a:pt x="0" y="0"/>
                  </a:lnTo>
                  <a:lnTo>
                    <a:pt x="30" y="10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2" name="Freeform 354">
              <a:extLst>
                <a:ext uri="{FF2B5EF4-FFF2-40B4-BE49-F238E27FC236}">
                  <a16:creationId xmlns:a16="http://schemas.microsoft.com/office/drawing/2014/main" id="{0F04E181-6291-4D5C-A593-E4B6EF8553A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2"/>
            </a:xfrm>
            <a:custGeom>
              <a:avLst/>
              <a:gdLst>
                <a:gd name="T0" fmla="*/ 37 w 44"/>
                <a:gd name="T1" fmla="*/ 98 h 98"/>
                <a:gd name="T2" fmla="*/ 44 w 44"/>
                <a:gd name="T3" fmla="*/ 95 h 98"/>
                <a:gd name="T4" fmla="*/ 0 w 44"/>
                <a:gd name="T5" fmla="*/ 0 h 98"/>
                <a:gd name="T6" fmla="*/ 37 w 44"/>
                <a:gd name="T7" fmla="*/ 98 h 9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4" h="98">
                  <a:moveTo>
                    <a:pt x="37" y="98"/>
                  </a:moveTo>
                  <a:lnTo>
                    <a:pt x="44" y="95"/>
                  </a:lnTo>
                  <a:lnTo>
                    <a:pt x="0" y="0"/>
                  </a:lnTo>
                  <a:lnTo>
                    <a:pt x="37" y="9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3" name="Freeform 355">
              <a:extLst>
                <a:ext uri="{FF2B5EF4-FFF2-40B4-BE49-F238E27FC236}">
                  <a16:creationId xmlns:a16="http://schemas.microsoft.com/office/drawing/2014/main" id="{BD85EB87-29AE-4941-AEF4-BB3FEA99C0D4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0" cy="1"/>
            </a:xfrm>
            <a:custGeom>
              <a:avLst/>
              <a:gdLst>
                <a:gd name="T0" fmla="*/ 44 w 50"/>
                <a:gd name="T1" fmla="*/ 95 h 95"/>
                <a:gd name="T2" fmla="*/ 50 w 50"/>
                <a:gd name="T3" fmla="*/ 92 h 95"/>
                <a:gd name="T4" fmla="*/ 0 w 50"/>
                <a:gd name="T5" fmla="*/ 0 h 95"/>
                <a:gd name="T6" fmla="*/ 44 w 50"/>
                <a:gd name="T7" fmla="*/ 95 h 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5">
                  <a:moveTo>
                    <a:pt x="44" y="95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4" y="9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4" name="Freeform 356">
              <a:extLst>
                <a:ext uri="{FF2B5EF4-FFF2-40B4-BE49-F238E27FC236}">
                  <a16:creationId xmlns:a16="http://schemas.microsoft.com/office/drawing/2014/main" id="{8892537B-DCED-46F8-A3D1-6DEE1A454D4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0 w 57"/>
                <a:gd name="T1" fmla="*/ 92 h 92"/>
                <a:gd name="T2" fmla="*/ 57 w 57"/>
                <a:gd name="T3" fmla="*/ 88 h 92"/>
                <a:gd name="T4" fmla="*/ 0 w 57"/>
                <a:gd name="T5" fmla="*/ 0 h 92"/>
                <a:gd name="T6" fmla="*/ 50 w 57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7" h="92">
                  <a:moveTo>
                    <a:pt x="50" y="92"/>
                  </a:moveTo>
                  <a:lnTo>
                    <a:pt x="57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5" name="Freeform 357">
              <a:extLst>
                <a:ext uri="{FF2B5EF4-FFF2-40B4-BE49-F238E27FC236}">
                  <a16:creationId xmlns:a16="http://schemas.microsoft.com/office/drawing/2014/main" id="{C6BCA21E-2403-42E4-B0D4-BE40F84556A5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57 w 63"/>
                <a:gd name="T1" fmla="*/ 88 h 88"/>
                <a:gd name="T2" fmla="*/ 63 w 63"/>
                <a:gd name="T3" fmla="*/ 84 h 88"/>
                <a:gd name="T4" fmla="*/ 0 w 63"/>
                <a:gd name="T5" fmla="*/ 0 h 88"/>
                <a:gd name="T6" fmla="*/ 57 w 63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3" h="88">
                  <a:moveTo>
                    <a:pt x="57" y="88"/>
                  </a:moveTo>
                  <a:lnTo>
                    <a:pt x="63" y="84"/>
                  </a:lnTo>
                  <a:lnTo>
                    <a:pt x="0" y="0"/>
                  </a:lnTo>
                  <a:lnTo>
                    <a:pt x="57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6" name="Freeform 358">
              <a:extLst>
                <a:ext uri="{FF2B5EF4-FFF2-40B4-BE49-F238E27FC236}">
                  <a16:creationId xmlns:a16="http://schemas.microsoft.com/office/drawing/2014/main" id="{626BF8BD-ABB1-48C2-AC04-0258E4B6F62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3 w 69"/>
                <a:gd name="T1" fmla="*/ 84 h 84"/>
                <a:gd name="T2" fmla="*/ 69 w 69"/>
                <a:gd name="T3" fmla="*/ 79 h 84"/>
                <a:gd name="T4" fmla="*/ 0 w 69"/>
                <a:gd name="T5" fmla="*/ 0 h 84"/>
                <a:gd name="T6" fmla="*/ 63 w 69"/>
                <a:gd name="T7" fmla="*/ 84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9" h="84">
                  <a:moveTo>
                    <a:pt x="63" y="84"/>
                  </a:moveTo>
                  <a:lnTo>
                    <a:pt x="69" y="79"/>
                  </a:lnTo>
                  <a:lnTo>
                    <a:pt x="0" y="0"/>
                  </a:lnTo>
                  <a:lnTo>
                    <a:pt x="63" y="8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7" name="Freeform 359">
              <a:extLst>
                <a:ext uri="{FF2B5EF4-FFF2-40B4-BE49-F238E27FC236}">
                  <a16:creationId xmlns:a16="http://schemas.microsoft.com/office/drawing/2014/main" id="{3A596A72-C4FA-45B7-8FE5-FA0237EDC88B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69 w 74"/>
                <a:gd name="T1" fmla="*/ 79 h 79"/>
                <a:gd name="T2" fmla="*/ 74 w 74"/>
                <a:gd name="T3" fmla="*/ 74 h 79"/>
                <a:gd name="T4" fmla="*/ 0 w 74"/>
                <a:gd name="T5" fmla="*/ 0 h 79"/>
                <a:gd name="T6" fmla="*/ 69 w 74"/>
                <a:gd name="T7" fmla="*/ 79 h 7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4" h="79">
                  <a:moveTo>
                    <a:pt x="69" y="79"/>
                  </a:moveTo>
                  <a:lnTo>
                    <a:pt x="74" y="74"/>
                  </a:lnTo>
                  <a:lnTo>
                    <a:pt x="0" y="0"/>
                  </a:lnTo>
                  <a:lnTo>
                    <a:pt x="69" y="7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8" name="Freeform 360">
              <a:extLst>
                <a:ext uri="{FF2B5EF4-FFF2-40B4-BE49-F238E27FC236}">
                  <a16:creationId xmlns:a16="http://schemas.microsoft.com/office/drawing/2014/main" id="{574C4755-26CF-4DCE-88C7-2FD6D1A21AAA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4 w 79"/>
                <a:gd name="T1" fmla="*/ 74 h 74"/>
                <a:gd name="T2" fmla="*/ 79 w 79"/>
                <a:gd name="T3" fmla="*/ 69 h 74"/>
                <a:gd name="T4" fmla="*/ 0 w 79"/>
                <a:gd name="T5" fmla="*/ 0 h 74"/>
                <a:gd name="T6" fmla="*/ 74 w 79"/>
                <a:gd name="T7" fmla="*/ 74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9" h="74">
                  <a:moveTo>
                    <a:pt x="74" y="74"/>
                  </a:moveTo>
                  <a:lnTo>
                    <a:pt x="79" y="69"/>
                  </a:lnTo>
                  <a:lnTo>
                    <a:pt x="0" y="0"/>
                  </a:lnTo>
                  <a:lnTo>
                    <a:pt x="74" y="7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9" name="Freeform 361">
              <a:extLst>
                <a:ext uri="{FF2B5EF4-FFF2-40B4-BE49-F238E27FC236}">
                  <a16:creationId xmlns:a16="http://schemas.microsoft.com/office/drawing/2014/main" id="{0DA4A989-F663-4546-B18D-A1C8AE0C7F9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79 w 84"/>
                <a:gd name="T1" fmla="*/ 69 h 69"/>
                <a:gd name="T2" fmla="*/ 84 w 84"/>
                <a:gd name="T3" fmla="*/ 63 h 69"/>
                <a:gd name="T4" fmla="*/ 0 w 84"/>
                <a:gd name="T5" fmla="*/ 0 h 69"/>
                <a:gd name="T6" fmla="*/ 79 w 84"/>
                <a:gd name="T7" fmla="*/ 69 h 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69">
                  <a:moveTo>
                    <a:pt x="79" y="69"/>
                  </a:moveTo>
                  <a:lnTo>
                    <a:pt x="84" y="63"/>
                  </a:lnTo>
                  <a:lnTo>
                    <a:pt x="0" y="0"/>
                  </a:lnTo>
                  <a:lnTo>
                    <a:pt x="79" y="6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0" name="Freeform 362">
              <a:extLst>
                <a:ext uri="{FF2B5EF4-FFF2-40B4-BE49-F238E27FC236}">
                  <a16:creationId xmlns:a16="http://schemas.microsoft.com/office/drawing/2014/main" id="{EB6E3E13-B4CF-48C1-B9DF-B62260D0D59C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4 w 88"/>
                <a:gd name="T1" fmla="*/ 63 h 63"/>
                <a:gd name="T2" fmla="*/ 88 w 88"/>
                <a:gd name="T3" fmla="*/ 57 h 63"/>
                <a:gd name="T4" fmla="*/ 0 w 88"/>
                <a:gd name="T5" fmla="*/ 0 h 63"/>
                <a:gd name="T6" fmla="*/ 84 w 88"/>
                <a:gd name="T7" fmla="*/ 63 h 6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3">
                  <a:moveTo>
                    <a:pt x="84" y="63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4" y="6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1" name="Freeform 363">
              <a:extLst>
                <a:ext uri="{FF2B5EF4-FFF2-40B4-BE49-F238E27FC236}">
                  <a16:creationId xmlns:a16="http://schemas.microsoft.com/office/drawing/2014/main" id="{55719AC4-AEC2-46CC-9818-3D33DE5E529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88 w 92"/>
                <a:gd name="T1" fmla="*/ 57 h 57"/>
                <a:gd name="T2" fmla="*/ 92 w 92"/>
                <a:gd name="T3" fmla="*/ 50 h 57"/>
                <a:gd name="T4" fmla="*/ 0 w 92"/>
                <a:gd name="T5" fmla="*/ 0 h 57"/>
                <a:gd name="T6" fmla="*/ 88 w 92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2" h="57">
                  <a:moveTo>
                    <a:pt x="88" y="57"/>
                  </a:moveTo>
                  <a:lnTo>
                    <a:pt x="92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2" name="Freeform 364">
              <a:extLst>
                <a:ext uri="{FF2B5EF4-FFF2-40B4-BE49-F238E27FC236}">
                  <a16:creationId xmlns:a16="http://schemas.microsoft.com/office/drawing/2014/main" id="{52054BA8-BD27-4FCB-AE3B-580228736712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2 w 96"/>
                <a:gd name="T1" fmla="*/ 50 h 50"/>
                <a:gd name="T2" fmla="*/ 96 w 96"/>
                <a:gd name="T3" fmla="*/ 43 h 50"/>
                <a:gd name="T4" fmla="*/ 0 w 96"/>
                <a:gd name="T5" fmla="*/ 0 h 50"/>
                <a:gd name="T6" fmla="*/ 92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2" y="50"/>
                  </a:moveTo>
                  <a:lnTo>
                    <a:pt x="96" y="43"/>
                  </a:lnTo>
                  <a:lnTo>
                    <a:pt x="0" y="0"/>
                  </a:lnTo>
                  <a:lnTo>
                    <a:pt x="92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3" name="Freeform 365">
              <a:extLst>
                <a:ext uri="{FF2B5EF4-FFF2-40B4-BE49-F238E27FC236}">
                  <a16:creationId xmlns:a16="http://schemas.microsoft.com/office/drawing/2014/main" id="{8637AB87-98B5-4B51-A42D-340B3180D9AD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1"/>
            </a:xfrm>
            <a:custGeom>
              <a:avLst/>
              <a:gdLst>
                <a:gd name="T0" fmla="*/ 96 w 99"/>
                <a:gd name="T1" fmla="*/ 43 h 43"/>
                <a:gd name="T2" fmla="*/ 99 w 99"/>
                <a:gd name="T3" fmla="*/ 36 h 43"/>
                <a:gd name="T4" fmla="*/ 0 w 99"/>
                <a:gd name="T5" fmla="*/ 0 h 43"/>
                <a:gd name="T6" fmla="*/ 96 w 99"/>
                <a:gd name="T7" fmla="*/ 43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6" y="43"/>
                  </a:moveTo>
                  <a:lnTo>
                    <a:pt x="99" y="36"/>
                  </a:lnTo>
                  <a:lnTo>
                    <a:pt x="0" y="0"/>
                  </a:lnTo>
                  <a:lnTo>
                    <a:pt x="96" y="4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4" name="Freeform 366">
              <a:extLst>
                <a:ext uri="{FF2B5EF4-FFF2-40B4-BE49-F238E27FC236}">
                  <a16:creationId xmlns:a16="http://schemas.microsoft.com/office/drawing/2014/main" id="{CB07283B-7526-4CFB-BB73-08EC9A0182EF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99 w 101"/>
                <a:gd name="T1" fmla="*/ 36 h 36"/>
                <a:gd name="T2" fmla="*/ 101 w 101"/>
                <a:gd name="T3" fmla="*/ 29 h 36"/>
                <a:gd name="T4" fmla="*/ 0 w 101"/>
                <a:gd name="T5" fmla="*/ 0 h 36"/>
                <a:gd name="T6" fmla="*/ 99 w 101"/>
                <a:gd name="T7" fmla="*/ 36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36">
                  <a:moveTo>
                    <a:pt x="99" y="36"/>
                  </a:moveTo>
                  <a:lnTo>
                    <a:pt x="101" y="29"/>
                  </a:lnTo>
                  <a:lnTo>
                    <a:pt x="0" y="0"/>
                  </a:lnTo>
                  <a:lnTo>
                    <a:pt x="99" y="3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5" name="Freeform 367">
              <a:extLst>
                <a:ext uri="{FF2B5EF4-FFF2-40B4-BE49-F238E27FC236}">
                  <a16:creationId xmlns:a16="http://schemas.microsoft.com/office/drawing/2014/main" id="{AB59CEC4-9BAB-4133-9FE0-A5AE13018B93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1 w 103"/>
                <a:gd name="T1" fmla="*/ 29 h 29"/>
                <a:gd name="T2" fmla="*/ 103 w 103"/>
                <a:gd name="T3" fmla="*/ 22 h 29"/>
                <a:gd name="T4" fmla="*/ 0 w 103"/>
                <a:gd name="T5" fmla="*/ 0 h 29"/>
                <a:gd name="T6" fmla="*/ 101 w 103"/>
                <a:gd name="T7" fmla="*/ 29 h 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29">
                  <a:moveTo>
                    <a:pt x="101" y="29"/>
                  </a:moveTo>
                  <a:lnTo>
                    <a:pt x="103" y="22"/>
                  </a:lnTo>
                  <a:lnTo>
                    <a:pt x="0" y="0"/>
                  </a:lnTo>
                  <a:lnTo>
                    <a:pt x="101" y="2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6" name="Freeform 368">
              <a:extLst>
                <a:ext uri="{FF2B5EF4-FFF2-40B4-BE49-F238E27FC236}">
                  <a16:creationId xmlns:a16="http://schemas.microsoft.com/office/drawing/2014/main" id="{489FFACF-8D6E-42F6-8DF2-614D090BAC8A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3 w 104"/>
                <a:gd name="T1" fmla="*/ 22 h 22"/>
                <a:gd name="T2" fmla="*/ 104 w 104"/>
                <a:gd name="T3" fmla="*/ 15 h 22"/>
                <a:gd name="T4" fmla="*/ 0 w 104"/>
                <a:gd name="T5" fmla="*/ 0 h 22"/>
                <a:gd name="T6" fmla="*/ 103 w 104"/>
                <a:gd name="T7" fmla="*/ 22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2">
                  <a:moveTo>
                    <a:pt x="103" y="22"/>
                  </a:moveTo>
                  <a:lnTo>
                    <a:pt x="104" y="15"/>
                  </a:lnTo>
                  <a:lnTo>
                    <a:pt x="0" y="0"/>
                  </a:lnTo>
                  <a:lnTo>
                    <a:pt x="103" y="2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7" name="Freeform 369">
              <a:extLst>
                <a:ext uri="{FF2B5EF4-FFF2-40B4-BE49-F238E27FC236}">
                  <a16:creationId xmlns:a16="http://schemas.microsoft.com/office/drawing/2014/main" id="{8A4B7580-BF9E-4578-B52C-2879BE2A98E1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4 w 105"/>
                <a:gd name="T1" fmla="*/ 15 h 15"/>
                <a:gd name="T2" fmla="*/ 105 w 105"/>
                <a:gd name="T3" fmla="*/ 7 h 15"/>
                <a:gd name="T4" fmla="*/ 0 w 105"/>
                <a:gd name="T5" fmla="*/ 0 h 15"/>
                <a:gd name="T6" fmla="*/ 104 w 105"/>
                <a:gd name="T7" fmla="*/ 15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5">
                  <a:moveTo>
                    <a:pt x="104" y="15"/>
                  </a:moveTo>
                  <a:lnTo>
                    <a:pt x="105" y="7"/>
                  </a:lnTo>
                  <a:lnTo>
                    <a:pt x="0" y="0"/>
                  </a:lnTo>
                  <a:lnTo>
                    <a:pt x="104" y="1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8" name="Freeform 370">
              <a:extLst>
                <a:ext uri="{FF2B5EF4-FFF2-40B4-BE49-F238E27FC236}">
                  <a16:creationId xmlns:a16="http://schemas.microsoft.com/office/drawing/2014/main" id="{0D59394C-4735-4902-9078-D889CDBA8FB0}"/>
                </a:ext>
              </a:extLst>
            </xdr:cNvPr>
            <xdr:cNvSpPr>
              <a:spLocks/>
            </xdr:cNvSpPr>
          </xdr:nvSpPr>
          <xdr:spPr bwMode="auto">
            <a:xfrm>
              <a:off x="1029" y="202"/>
              <a:ext cx="1" cy="0"/>
            </a:xfrm>
            <a:custGeom>
              <a:avLst/>
              <a:gdLst>
                <a:gd name="T0" fmla="*/ 105 w 105"/>
                <a:gd name="T1" fmla="*/ 7 h 7"/>
                <a:gd name="T2" fmla="*/ 105 w 105"/>
                <a:gd name="T3" fmla="*/ 0 h 7"/>
                <a:gd name="T4" fmla="*/ 0 w 105"/>
                <a:gd name="T5" fmla="*/ 0 h 7"/>
                <a:gd name="T6" fmla="*/ 105 w 105"/>
                <a:gd name="T7" fmla="*/ 7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7">
                  <a:moveTo>
                    <a:pt x="105" y="7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9" name="Freeform 371">
              <a:extLst>
                <a:ext uri="{FF2B5EF4-FFF2-40B4-BE49-F238E27FC236}">
                  <a16:creationId xmlns:a16="http://schemas.microsoft.com/office/drawing/2014/main" id="{86DE7AA1-CC54-45E1-BEBC-B9ECBDDFB3BB}"/>
                </a:ext>
              </a:extLst>
            </xdr:cNvPr>
            <xdr:cNvSpPr>
              <a:spLocks/>
            </xdr:cNvSpPr>
          </xdr:nvSpPr>
          <xdr:spPr bwMode="auto">
            <a:xfrm>
              <a:off x="1095" y="188"/>
              <a:ext cx="6" cy="9"/>
            </a:xfrm>
            <a:custGeom>
              <a:avLst/>
              <a:gdLst>
                <a:gd name="T0" fmla="*/ 0 w 352"/>
                <a:gd name="T1" fmla="*/ 526 h 526"/>
                <a:gd name="T2" fmla="*/ 0 w 352"/>
                <a:gd name="T3" fmla="*/ 0 h 526"/>
                <a:gd name="T4" fmla="*/ 264 w 352"/>
                <a:gd name="T5" fmla="*/ 0 h 526"/>
                <a:gd name="T6" fmla="*/ 352 w 352"/>
                <a:gd name="T7" fmla="*/ 88 h 526"/>
                <a:gd name="T8" fmla="*/ 352 w 352"/>
                <a:gd name="T9" fmla="*/ 175 h 526"/>
                <a:gd name="T10" fmla="*/ 264 w 352"/>
                <a:gd name="T11" fmla="*/ 263 h 526"/>
                <a:gd name="T12" fmla="*/ 0 w 352"/>
                <a:gd name="T13" fmla="*/ 263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352" h="526">
                  <a:moveTo>
                    <a:pt x="0" y="526"/>
                  </a:moveTo>
                  <a:lnTo>
                    <a:pt x="0" y="0"/>
                  </a:lnTo>
                  <a:lnTo>
                    <a:pt x="264" y="0"/>
                  </a:lnTo>
                  <a:lnTo>
                    <a:pt x="352" y="88"/>
                  </a:lnTo>
                  <a:lnTo>
                    <a:pt x="352" y="175"/>
                  </a:lnTo>
                  <a:lnTo>
                    <a:pt x="264" y="263"/>
                  </a:lnTo>
                  <a:lnTo>
                    <a:pt x="0" y="263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0" name="Freeform 372">
              <a:extLst>
                <a:ext uri="{FF2B5EF4-FFF2-40B4-BE49-F238E27FC236}">
                  <a16:creationId xmlns:a16="http://schemas.microsoft.com/office/drawing/2014/main" id="{54F36F3F-E5CD-487C-82D3-A2798197CA68}"/>
                </a:ext>
              </a:extLst>
            </xdr:cNvPr>
            <xdr:cNvSpPr>
              <a:spLocks/>
            </xdr:cNvSpPr>
          </xdr:nvSpPr>
          <xdr:spPr bwMode="auto">
            <a:xfrm>
              <a:off x="1104" y="191"/>
              <a:ext cx="6" cy="6"/>
            </a:xfrm>
            <a:custGeom>
              <a:avLst/>
              <a:gdLst>
                <a:gd name="T0" fmla="*/ 351 w 351"/>
                <a:gd name="T1" fmla="*/ 0 h 351"/>
                <a:gd name="T2" fmla="*/ 88 w 351"/>
                <a:gd name="T3" fmla="*/ 0 h 351"/>
                <a:gd name="T4" fmla="*/ 0 w 351"/>
                <a:gd name="T5" fmla="*/ 88 h 351"/>
                <a:gd name="T6" fmla="*/ 0 w 351"/>
                <a:gd name="T7" fmla="*/ 264 h 351"/>
                <a:gd name="T8" fmla="*/ 88 w 351"/>
                <a:gd name="T9" fmla="*/ 351 h 351"/>
                <a:gd name="T10" fmla="*/ 351 w 351"/>
                <a:gd name="T11" fmla="*/ 351 h 35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1" h="351">
                  <a:moveTo>
                    <a:pt x="351" y="0"/>
                  </a:moveTo>
                  <a:lnTo>
                    <a:pt x="88" y="0"/>
                  </a:lnTo>
                  <a:lnTo>
                    <a:pt x="0" y="88"/>
                  </a:lnTo>
                  <a:lnTo>
                    <a:pt x="0" y="264"/>
                  </a:lnTo>
                  <a:lnTo>
                    <a:pt x="88" y="351"/>
                  </a:lnTo>
                  <a:lnTo>
                    <a:pt x="351" y="351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61" name="Freeform 373">
              <a:extLst>
                <a:ext uri="{FF2B5EF4-FFF2-40B4-BE49-F238E27FC236}">
                  <a16:creationId xmlns:a16="http://schemas.microsoft.com/office/drawing/2014/main" id="{48DA01C0-AA2B-489F-9033-DAAF12A2A64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9"/>
                <a:gd name="T2" fmla="*/ 105 w 105"/>
                <a:gd name="T3" fmla="*/ 0 h 9"/>
                <a:gd name="T4" fmla="*/ 0 w 105"/>
                <a:gd name="T5" fmla="*/ 9 h 9"/>
                <a:gd name="T6" fmla="*/ 105 w 105"/>
                <a:gd name="T7" fmla="*/ 9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9">
                  <a:moveTo>
                    <a:pt x="105" y="9"/>
                  </a:moveTo>
                  <a:lnTo>
                    <a:pt x="105" y="0"/>
                  </a:lnTo>
                  <a:lnTo>
                    <a:pt x="0" y="9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2" name="Freeform 374">
              <a:extLst>
                <a:ext uri="{FF2B5EF4-FFF2-40B4-BE49-F238E27FC236}">
                  <a16:creationId xmlns:a16="http://schemas.microsoft.com/office/drawing/2014/main" id="{16D64A43-9BE0-453B-ADCE-0898C51E5D35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9 h 18"/>
                <a:gd name="T2" fmla="*/ 104 w 105"/>
                <a:gd name="T3" fmla="*/ 0 h 18"/>
                <a:gd name="T4" fmla="*/ 0 w 105"/>
                <a:gd name="T5" fmla="*/ 18 h 18"/>
                <a:gd name="T6" fmla="*/ 105 w 105"/>
                <a:gd name="T7" fmla="*/ 9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8">
                  <a:moveTo>
                    <a:pt x="105" y="9"/>
                  </a:moveTo>
                  <a:lnTo>
                    <a:pt x="104" y="0"/>
                  </a:lnTo>
                  <a:lnTo>
                    <a:pt x="0" y="18"/>
                  </a:lnTo>
                  <a:lnTo>
                    <a:pt x="105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3" name="Freeform 375">
              <a:extLst>
                <a:ext uri="{FF2B5EF4-FFF2-40B4-BE49-F238E27FC236}">
                  <a16:creationId xmlns:a16="http://schemas.microsoft.com/office/drawing/2014/main" id="{7CDF1B7D-C05C-41DC-AAA0-B2A22013D5F9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4 w 104"/>
                <a:gd name="T1" fmla="*/ 8 h 26"/>
                <a:gd name="T2" fmla="*/ 102 w 104"/>
                <a:gd name="T3" fmla="*/ 0 h 26"/>
                <a:gd name="T4" fmla="*/ 0 w 104"/>
                <a:gd name="T5" fmla="*/ 26 h 26"/>
                <a:gd name="T6" fmla="*/ 104 w 104"/>
                <a:gd name="T7" fmla="*/ 8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4" y="8"/>
                  </a:moveTo>
                  <a:lnTo>
                    <a:pt x="102" y="0"/>
                  </a:lnTo>
                  <a:lnTo>
                    <a:pt x="0" y="26"/>
                  </a:lnTo>
                  <a:lnTo>
                    <a:pt x="104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4" name="Freeform 376">
              <a:extLst>
                <a:ext uri="{FF2B5EF4-FFF2-40B4-BE49-F238E27FC236}">
                  <a16:creationId xmlns:a16="http://schemas.microsoft.com/office/drawing/2014/main" id="{E77A2308-0E7F-46EF-8ABB-4C0E489D216A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102 w 102"/>
                <a:gd name="T1" fmla="*/ 9 h 35"/>
                <a:gd name="T2" fmla="*/ 99 w 102"/>
                <a:gd name="T3" fmla="*/ 0 h 35"/>
                <a:gd name="T4" fmla="*/ 0 w 102"/>
                <a:gd name="T5" fmla="*/ 35 h 35"/>
                <a:gd name="T6" fmla="*/ 102 w 102"/>
                <a:gd name="T7" fmla="*/ 9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5">
                  <a:moveTo>
                    <a:pt x="102" y="9"/>
                  </a:moveTo>
                  <a:lnTo>
                    <a:pt x="99" y="0"/>
                  </a:lnTo>
                  <a:lnTo>
                    <a:pt x="0" y="35"/>
                  </a:lnTo>
                  <a:lnTo>
                    <a:pt x="102" y="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5" name="Freeform 377">
              <a:extLst>
                <a:ext uri="{FF2B5EF4-FFF2-40B4-BE49-F238E27FC236}">
                  <a16:creationId xmlns:a16="http://schemas.microsoft.com/office/drawing/2014/main" id="{B9458C88-088F-4883-AF59-D0C54C3D7048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9 w 99"/>
                <a:gd name="T1" fmla="*/ 8 h 43"/>
                <a:gd name="T2" fmla="*/ 96 w 99"/>
                <a:gd name="T3" fmla="*/ 0 h 43"/>
                <a:gd name="T4" fmla="*/ 0 w 99"/>
                <a:gd name="T5" fmla="*/ 43 h 43"/>
                <a:gd name="T6" fmla="*/ 99 w 99"/>
                <a:gd name="T7" fmla="*/ 8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3">
                  <a:moveTo>
                    <a:pt x="99" y="8"/>
                  </a:moveTo>
                  <a:lnTo>
                    <a:pt x="96" y="0"/>
                  </a:lnTo>
                  <a:lnTo>
                    <a:pt x="0" y="43"/>
                  </a:lnTo>
                  <a:lnTo>
                    <a:pt x="99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6" name="Freeform 378">
              <a:extLst>
                <a:ext uri="{FF2B5EF4-FFF2-40B4-BE49-F238E27FC236}">
                  <a16:creationId xmlns:a16="http://schemas.microsoft.com/office/drawing/2014/main" id="{09ED526E-8398-4F6A-BF31-CDC891383FB7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6 w 96"/>
                <a:gd name="T1" fmla="*/ 7 h 50"/>
                <a:gd name="T2" fmla="*/ 93 w 96"/>
                <a:gd name="T3" fmla="*/ 0 h 50"/>
                <a:gd name="T4" fmla="*/ 0 w 96"/>
                <a:gd name="T5" fmla="*/ 50 h 50"/>
                <a:gd name="T6" fmla="*/ 96 w 96"/>
                <a:gd name="T7" fmla="*/ 7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6" y="7"/>
                  </a:moveTo>
                  <a:lnTo>
                    <a:pt x="93" y="0"/>
                  </a:lnTo>
                  <a:lnTo>
                    <a:pt x="0" y="50"/>
                  </a:lnTo>
                  <a:lnTo>
                    <a:pt x="96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7" name="Freeform 379">
              <a:extLst>
                <a:ext uri="{FF2B5EF4-FFF2-40B4-BE49-F238E27FC236}">
                  <a16:creationId xmlns:a16="http://schemas.microsoft.com/office/drawing/2014/main" id="{68A83079-C110-450A-BF40-93820C1B63CB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93 w 93"/>
                <a:gd name="T1" fmla="*/ 8 h 58"/>
                <a:gd name="T2" fmla="*/ 88 w 93"/>
                <a:gd name="T3" fmla="*/ 0 h 58"/>
                <a:gd name="T4" fmla="*/ 0 w 93"/>
                <a:gd name="T5" fmla="*/ 58 h 58"/>
                <a:gd name="T6" fmla="*/ 93 w 93"/>
                <a:gd name="T7" fmla="*/ 8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8">
                  <a:moveTo>
                    <a:pt x="93" y="8"/>
                  </a:moveTo>
                  <a:lnTo>
                    <a:pt x="88" y="0"/>
                  </a:lnTo>
                  <a:lnTo>
                    <a:pt x="0" y="58"/>
                  </a:lnTo>
                  <a:lnTo>
                    <a:pt x="93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8" name="Freeform 380">
              <a:extLst>
                <a:ext uri="{FF2B5EF4-FFF2-40B4-BE49-F238E27FC236}">
                  <a16:creationId xmlns:a16="http://schemas.microsoft.com/office/drawing/2014/main" id="{D8F9CADC-FA16-420C-801B-0D682C1C1EC2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8 w 88"/>
                <a:gd name="T1" fmla="*/ 7 h 65"/>
                <a:gd name="T2" fmla="*/ 83 w 88"/>
                <a:gd name="T3" fmla="*/ 0 h 65"/>
                <a:gd name="T4" fmla="*/ 0 w 88"/>
                <a:gd name="T5" fmla="*/ 65 h 65"/>
                <a:gd name="T6" fmla="*/ 88 w 88"/>
                <a:gd name="T7" fmla="*/ 7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5">
                  <a:moveTo>
                    <a:pt x="88" y="7"/>
                  </a:moveTo>
                  <a:lnTo>
                    <a:pt x="83" y="0"/>
                  </a:lnTo>
                  <a:lnTo>
                    <a:pt x="0" y="65"/>
                  </a:lnTo>
                  <a:lnTo>
                    <a:pt x="88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9" name="Freeform 381">
              <a:extLst>
                <a:ext uri="{FF2B5EF4-FFF2-40B4-BE49-F238E27FC236}">
                  <a16:creationId xmlns:a16="http://schemas.microsoft.com/office/drawing/2014/main" id="{5414F7C1-7410-4740-82CE-DC64345F6ED4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83 w 83"/>
                <a:gd name="T1" fmla="*/ 7 h 72"/>
                <a:gd name="T2" fmla="*/ 77 w 83"/>
                <a:gd name="T3" fmla="*/ 0 h 72"/>
                <a:gd name="T4" fmla="*/ 0 w 83"/>
                <a:gd name="T5" fmla="*/ 72 h 72"/>
                <a:gd name="T6" fmla="*/ 83 w 83"/>
                <a:gd name="T7" fmla="*/ 7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2">
                  <a:moveTo>
                    <a:pt x="83" y="7"/>
                  </a:moveTo>
                  <a:lnTo>
                    <a:pt x="77" y="0"/>
                  </a:lnTo>
                  <a:lnTo>
                    <a:pt x="0" y="72"/>
                  </a:lnTo>
                  <a:lnTo>
                    <a:pt x="83" y="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0" name="Freeform 382">
              <a:extLst>
                <a:ext uri="{FF2B5EF4-FFF2-40B4-BE49-F238E27FC236}">
                  <a16:creationId xmlns:a16="http://schemas.microsoft.com/office/drawing/2014/main" id="{A4906148-9E69-4128-AC62-52480F27539F}"/>
                </a:ext>
              </a:extLst>
            </xdr:cNvPr>
            <xdr:cNvSpPr>
              <a:spLocks/>
            </xdr:cNvSpPr>
          </xdr:nvSpPr>
          <xdr:spPr bwMode="auto">
            <a:xfrm>
              <a:off x="1112" y="201"/>
              <a:ext cx="2" cy="1"/>
            </a:xfrm>
            <a:custGeom>
              <a:avLst/>
              <a:gdLst>
                <a:gd name="T0" fmla="*/ 77 w 77"/>
                <a:gd name="T1" fmla="*/ 6 h 78"/>
                <a:gd name="T2" fmla="*/ 71 w 77"/>
                <a:gd name="T3" fmla="*/ 0 h 78"/>
                <a:gd name="T4" fmla="*/ 0 w 77"/>
                <a:gd name="T5" fmla="*/ 78 h 78"/>
                <a:gd name="T6" fmla="*/ 77 w 77"/>
                <a:gd name="T7" fmla="*/ 6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8">
                  <a:moveTo>
                    <a:pt x="77" y="6"/>
                  </a:moveTo>
                  <a:lnTo>
                    <a:pt x="71" y="0"/>
                  </a:lnTo>
                  <a:lnTo>
                    <a:pt x="0" y="78"/>
                  </a:lnTo>
                  <a:lnTo>
                    <a:pt x="77" y="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1" name="Freeform 383">
              <a:extLst>
                <a:ext uri="{FF2B5EF4-FFF2-40B4-BE49-F238E27FC236}">
                  <a16:creationId xmlns:a16="http://schemas.microsoft.com/office/drawing/2014/main" id="{3B2D0FA9-A303-48AC-A010-E7FF9C89E58B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71 w 71"/>
                <a:gd name="T1" fmla="*/ 5 h 83"/>
                <a:gd name="T2" fmla="*/ 65 w 71"/>
                <a:gd name="T3" fmla="*/ 0 h 83"/>
                <a:gd name="T4" fmla="*/ 0 w 71"/>
                <a:gd name="T5" fmla="*/ 83 h 83"/>
                <a:gd name="T6" fmla="*/ 71 w 71"/>
                <a:gd name="T7" fmla="*/ 5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71" y="5"/>
                  </a:moveTo>
                  <a:lnTo>
                    <a:pt x="65" y="0"/>
                  </a:lnTo>
                  <a:lnTo>
                    <a:pt x="0" y="83"/>
                  </a:lnTo>
                  <a:lnTo>
                    <a:pt x="71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2" name="Freeform 384">
              <a:extLst>
                <a:ext uri="{FF2B5EF4-FFF2-40B4-BE49-F238E27FC236}">
                  <a16:creationId xmlns:a16="http://schemas.microsoft.com/office/drawing/2014/main" id="{FA6CDCB5-349C-45E1-956F-787D66ECE327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65 w 65"/>
                <a:gd name="T1" fmla="*/ 5 h 88"/>
                <a:gd name="T2" fmla="*/ 58 w 65"/>
                <a:gd name="T3" fmla="*/ 0 h 88"/>
                <a:gd name="T4" fmla="*/ 0 w 65"/>
                <a:gd name="T5" fmla="*/ 88 h 88"/>
                <a:gd name="T6" fmla="*/ 65 w 65"/>
                <a:gd name="T7" fmla="*/ 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65" y="5"/>
                  </a:moveTo>
                  <a:lnTo>
                    <a:pt x="58" y="0"/>
                  </a:lnTo>
                  <a:lnTo>
                    <a:pt x="0" y="88"/>
                  </a:lnTo>
                  <a:lnTo>
                    <a:pt x="65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3" name="Freeform 385">
              <a:extLst>
                <a:ext uri="{FF2B5EF4-FFF2-40B4-BE49-F238E27FC236}">
                  <a16:creationId xmlns:a16="http://schemas.microsoft.com/office/drawing/2014/main" id="{4A4615D0-999B-43F7-847E-91DD8BCC9C07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8 w 58"/>
                <a:gd name="T1" fmla="*/ 5 h 93"/>
                <a:gd name="T2" fmla="*/ 50 w 58"/>
                <a:gd name="T3" fmla="*/ 0 h 93"/>
                <a:gd name="T4" fmla="*/ 0 w 58"/>
                <a:gd name="T5" fmla="*/ 93 h 93"/>
                <a:gd name="T6" fmla="*/ 58 w 58"/>
                <a:gd name="T7" fmla="*/ 5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3">
                  <a:moveTo>
                    <a:pt x="58" y="5"/>
                  </a:moveTo>
                  <a:lnTo>
                    <a:pt x="50" y="0"/>
                  </a:lnTo>
                  <a:lnTo>
                    <a:pt x="0" y="93"/>
                  </a:lnTo>
                  <a:lnTo>
                    <a:pt x="58" y="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4" name="Freeform 386">
              <a:extLst>
                <a:ext uri="{FF2B5EF4-FFF2-40B4-BE49-F238E27FC236}">
                  <a16:creationId xmlns:a16="http://schemas.microsoft.com/office/drawing/2014/main" id="{0B628789-8078-4211-9F7A-6349EB12AF79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50 w 50"/>
                <a:gd name="T1" fmla="*/ 4 h 97"/>
                <a:gd name="T2" fmla="*/ 42 w 50"/>
                <a:gd name="T3" fmla="*/ 0 h 97"/>
                <a:gd name="T4" fmla="*/ 0 w 50"/>
                <a:gd name="T5" fmla="*/ 97 h 97"/>
                <a:gd name="T6" fmla="*/ 50 w 50"/>
                <a:gd name="T7" fmla="*/ 4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7">
                  <a:moveTo>
                    <a:pt x="50" y="4"/>
                  </a:moveTo>
                  <a:lnTo>
                    <a:pt x="42" y="0"/>
                  </a:lnTo>
                  <a:lnTo>
                    <a:pt x="0" y="97"/>
                  </a:lnTo>
                  <a:lnTo>
                    <a:pt x="50" y="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5" name="Freeform 387">
              <a:extLst>
                <a:ext uri="{FF2B5EF4-FFF2-40B4-BE49-F238E27FC236}">
                  <a16:creationId xmlns:a16="http://schemas.microsoft.com/office/drawing/2014/main" id="{DCBCB141-F0A8-4CD3-889E-092AE05D6261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42 w 42"/>
                <a:gd name="T1" fmla="*/ 3 h 100"/>
                <a:gd name="T2" fmla="*/ 34 w 42"/>
                <a:gd name="T3" fmla="*/ 0 h 100"/>
                <a:gd name="T4" fmla="*/ 0 w 42"/>
                <a:gd name="T5" fmla="*/ 100 h 100"/>
                <a:gd name="T6" fmla="*/ 42 w 42"/>
                <a:gd name="T7" fmla="*/ 3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100">
                  <a:moveTo>
                    <a:pt x="42" y="3"/>
                  </a:moveTo>
                  <a:lnTo>
                    <a:pt x="34" y="0"/>
                  </a:lnTo>
                  <a:lnTo>
                    <a:pt x="0" y="100"/>
                  </a:lnTo>
                  <a:lnTo>
                    <a:pt x="42" y="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6" name="Freeform 388">
              <a:extLst>
                <a:ext uri="{FF2B5EF4-FFF2-40B4-BE49-F238E27FC236}">
                  <a16:creationId xmlns:a16="http://schemas.microsoft.com/office/drawing/2014/main" id="{BEAA0ABA-8D0C-4453-8330-C165518DEED5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34 w 34"/>
                <a:gd name="T1" fmla="*/ 2 h 102"/>
                <a:gd name="T2" fmla="*/ 26 w 34"/>
                <a:gd name="T3" fmla="*/ 0 h 102"/>
                <a:gd name="T4" fmla="*/ 0 w 34"/>
                <a:gd name="T5" fmla="*/ 102 h 102"/>
                <a:gd name="T6" fmla="*/ 34 w 34"/>
                <a:gd name="T7" fmla="*/ 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34" y="2"/>
                  </a:moveTo>
                  <a:lnTo>
                    <a:pt x="26" y="0"/>
                  </a:lnTo>
                  <a:lnTo>
                    <a:pt x="0" y="102"/>
                  </a:lnTo>
                  <a:lnTo>
                    <a:pt x="34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7" name="Freeform 389">
              <a:extLst>
                <a:ext uri="{FF2B5EF4-FFF2-40B4-BE49-F238E27FC236}">
                  <a16:creationId xmlns:a16="http://schemas.microsoft.com/office/drawing/2014/main" id="{E78990FD-5FCD-4829-965A-435EF3DAE810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1" cy="2"/>
            </a:xfrm>
            <a:custGeom>
              <a:avLst/>
              <a:gdLst>
                <a:gd name="T0" fmla="*/ 26 w 26"/>
                <a:gd name="T1" fmla="*/ 2 h 104"/>
                <a:gd name="T2" fmla="*/ 17 w 26"/>
                <a:gd name="T3" fmla="*/ 0 h 104"/>
                <a:gd name="T4" fmla="*/ 0 w 26"/>
                <a:gd name="T5" fmla="*/ 104 h 104"/>
                <a:gd name="T6" fmla="*/ 26 w 26"/>
                <a:gd name="T7" fmla="*/ 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26" y="2"/>
                  </a:moveTo>
                  <a:lnTo>
                    <a:pt x="17" y="0"/>
                  </a:lnTo>
                  <a:lnTo>
                    <a:pt x="0" y="104"/>
                  </a:lnTo>
                  <a:lnTo>
                    <a:pt x="26" y="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8" name="Freeform 390">
              <a:extLst>
                <a:ext uri="{FF2B5EF4-FFF2-40B4-BE49-F238E27FC236}">
                  <a16:creationId xmlns:a16="http://schemas.microsoft.com/office/drawing/2014/main" id="{CF547B4E-C4F2-44F5-8CA9-DA93CA0BEA01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17 w 17"/>
                <a:gd name="T1" fmla="*/ 1 h 105"/>
                <a:gd name="T2" fmla="*/ 9 w 17"/>
                <a:gd name="T3" fmla="*/ 0 h 105"/>
                <a:gd name="T4" fmla="*/ 0 w 17"/>
                <a:gd name="T5" fmla="*/ 105 h 105"/>
                <a:gd name="T6" fmla="*/ 17 w 17"/>
                <a:gd name="T7" fmla="*/ 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17" y="1"/>
                  </a:moveTo>
                  <a:lnTo>
                    <a:pt x="9" y="0"/>
                  </a:lnTo>
                  <a:lnTo>
                    <a:pt x="0" y="105"/>
                  </a:lnTo>
                  <a:lnTo>
                    <a:pt x="17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9" name="Freeform 391">
              <a:extLst>
                <a:ext uri="{FF2B5EF4-FFF2-40B4-BE49-F238E27FC236}">
                  <a16:creationId xmlns:a16="http://schemas.microsoft.com/office/drawing/2014/main" id="{89D45BF4-849F-4BD4-97FC-5E9475B070A4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1 h 106"/>
                <a:gd name="T2" fmla="*/ 0 w 9"/>
                <a:gd name="T3" fmla="*/ 0 h 106"/>
                <a:gd name="T4" fmla="*/ 0 w 9"/>
                <a:gd name="T5" fmla="*/ 106 h 106"/>
                <a:gd name="T6" fmla="*/ 9 w 9"/>
                <a:gd name="T7" fmla="*/ 1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1"/>
                  </a:moveTo>
                  <a:lnTo>
                    <a:pt x="0" y="0"/>
                  </a:lnTo>
                  <a:lnTo>
                    <a:pt x="0" y="106"/>
                  </a:lnTo>
                  <a:lnTo>
                    <a:pt x="9" y="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0" name="Freeform 392">
              <a:extLst>
                <a:ext uri="{FF2B5EF4-FFF2-40B4-BE49-F238E27FC236}">
                  <a16:creationId xmlns:a16="http://schemas.microsoft.com/office/drawing/2014/main" id="{A316C0A6-AB44-48CE-9A99-E875DB9A75EF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9"/>
                <a:gd name="T1" fmla="*/ 0 h 106"/>
                <a:gd name="T2" fmla="*/ 0 w 9"/>
                <a:gd name="T3" fmla="*/ 1 h 106"/>
                <a:gd name="T4" fmla="*/ 9 w 9"/>
                <a:gd name="T5" fmla="*/ 106 h 106"/>
                <a:gd name="T6" fmla="*/ 9 w 9"/>
                <a:gd name="T7" fmla="*/ 0 h 10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6">
                  <a:moveTo>
                    <a:pt x="9" y="0"/>
                  </a:moveTo>
                  <a:lnTo>
                    <a:pt x="0" y="1"/>
                  </a:lnTo>
                  <a:lnTo>
                    <a:pt x="9" y="106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1" name="Freeform 393">
              <a:extLst>
                <a:ext uri="{FF2B5EF4-FFF2-40B4-BE49-F238E27FC236}">
                  <a16:creationId xmlns:a16="http://schemas.microsoft.com/office/drawing/2014/main" id="{D5950876-7C85-41E4-85A5-07EEC5C5466F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18"/>
                <a:gd name="T1" fmla="*/ 0 h 105"/>
                <a:gd name="T2" fmla="*/ 0 w 18"/>
                <a:gd name="T3" fmla="*/ 1 h 105"/>
                <a:gd name="T4" fmla="*/ 18 w 18"/>
                <a:gd name="T5" fmla="*/ 105 h 105"/>
                <a:gd name="T6" fmla="*/ 9 w 18"/>
                <a:gd name="T7" fmla="*/ 0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9" y="0"/>
                  </a:moveTo>
                  <a:lnTo>
                    <a:pt x="0" y="1"/>
                  </a:lnTo>
                  <a:lnTo>
                    <a:pt x="18" y="105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2" name="Freeform 394">
              <a:extLst>
                <a:ext uri="{FF2B5EF4-FFF2-40B4-BE49-F238E27FC236}">
                  <a16:creationId xmlns:a16="http://schemas.microsoft.com/office/drawing/2014/main" id="{9A8C6EE4-C560-4828-93E9-CACEE9CFD4C9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9 w 27"/>
                <a:gd name="T1" fmla="*/ 0 h 104"/>
                <a:gd name="T2" fmla="*/ 0 w 27"/>
                <a:gd name="T3" fmla="*/ 2 h 104"/>
                <a:gd name="T4" fmla="*/ 27 w 27"/>
                <a:gd name="T5" fmla="*/ 104 h 104"/>
                <a:gd name="T6" fmla="*/ 9 w 27"/>
                <a:gd name="T7" fmla="*/ 0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9" y="0"/>
                  </a:moveTo>
                  <a:lnTo>
                    <a:pt x="0" y="2"/>
                  </a:lnTo>
                  <a:lnTo>
                    <a:pt x="27" y="104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3" name="Freeform 395">
              <a:extLst>
                <a:ext uri="{FF2B5EF4-FFF2-40B4-BE49-F238E27FC236}">
                  <a16:creationId xmlns:a16="http://schemas.microsoft.com/office/drawing/2014/main" id="{EBCD1A5B-33EB-44C1-B833-BADA0F63C9A4}"/>
                </a:ext>
              </a:extLst>
            </xdr:cNvPr>
            <xdr:cNvSpPr>
              <a:spLocks/>
            </xdr:cNvSpPr>
          </xdr:nvSpPr>
          <xdr:spPr bwMode="auto">
            <a:xfrm>
              <a:off x="1112" y="200"/>
              <a:ext cx="0" cy="2"/>
            </a:xfrm>
            <a:custGeom>
              <a:avLst/>
              <a:gdLst>
                <a:gd name="T0" fmla="*/ 8 w 35"/>
                <a:gd name="T1" fmla="*/ 0 h 102"/>
                <a:gd name="T2" fmla="*/ 0 w 35"/>
                <a:gd name="T3" fmla="*/ 2 h 102"/>
                <a:gd name="T4" fmla="*/ 35 w 35"/>
                <a:gd name="T5" fmla="*/ 102 h 102"/>
                <a:gd name="T6" fmla="*/ 8 w 35"/>
                <a:gd name="T7" fmla="*/ 0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8" y="0"/>
                  </a:moveTo>
                  <a:lnTo>
                    <a:pt x="0" y="2"/>
                  </a:lnTo>
                  <a:lnTo>
                    <a:pt x="35" y="102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4" name="Freeform 396">
              <a:extLst>
                <a:ext uri="{FF2B5EF4-FFF2-40B4-BE49-F238E27FC236}">
                  <a16:creationId xmlns:a16="http://schemas.microsoft.com/office/drawing/2014/main" id="{866D3BE7-E43D-4D88-B1C4-2F239B89BB31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43"/>
                <a:gd name="T1" fmla="*/ 0 h 100"/>
                <a:gd name="T2" fmla="*/ 0 w 43"/>
                <a:gd name="T3" fmla="*/ 3 h 100"/>
                <a:gd name="T4" fmla="*/ 43 w 43"/>
                <a:gd name="T5" fmla="*/ 100 h 100"/>
                <a:gd name="T6" fmla="*/ 8 w 43"/>
                <a:gd name="T7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100">
                  <a:moveTo>
                    <a:pt x="8" y="0"/>
                  </a:moveTo>
                  <a:lnTo>
                    <a:pt x="0" y="3"/>
                  </a:lnTo>
                  <a:lnTo>
                    <a:pt x="43" y="100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5" name="Freeform 397">
              <a:extLst>
                <a:ext uri="{FF2B5EF4-FFF2-40B4-BE49-F238E27FC236}">
                  <a16:creationId xmlns:a16="http://schemas.microsoft.com/office/drawing/2014/main" id="{B3C228FE-6904-45D3-938F-637BCCCAE406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1"/>
                <a:gd name="T1" fmla="*/ 0 h 97"/>
                <a:gd name="T2" fmla="*/ 0 w 51"/>
                <a:gd name="T3" fmla="*/ 4 h 97"/>
                <a:gd name="T4" fmla="*/ 51 w 51"/>
                <a:gd name="T5" fmla="*/ 97 h 97"/>
                <a:gd name="T6" fmla="*/ 8 w 51"/>
                <a:gd name="T7" fmla="*/ 0 h 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7">
                  <a:moveTo>
                    <a:pt x="8" y="0"/>
                  </a:moveTo>
                  <a:lnTo>
                    <a:pt x="0" y="4"/>
                  </a:lnTo>
                  <a:lnTo>
                    <a:pt x="51" y="97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6" name="Freeform 398">
              <a:extLst>
                <a:ext uri="{FF2B5EF4-FFF2-40B4-BE49-F238E27FC236}">
                  <a16:creationId xmlns:a16="http://schemas.microsoft.com/office/drawing/2014/main" id="{0B88EBA4-8C82-45C8-8273-E3D646227373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8 w 59"/>
                <a:gd name="T1" fmla="*/ 0 h 93"/>
                <a:gd name="T2" fmla="*/ 0 w 59"/>
                <a:gd name="T3" fmla="*/ 5 h 93"/>
                <a:gd name="T4" fmla="*/ 59 w 59"/>
                <a:gd name="T5" fmla="*/ 93 h 93"/>
                <a:gd name="T6" fmla="*/ 8 w 59"/>
                <a:gd name="T7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3">
                  <a:moveTo>
                    <a:pt x="8" y="0"/>
                  </a:moveTo>
                  <a:lnTo>
                    <a:pt x="0" y="5"/>
                  </a:lnTo>
                  <a:lnTo>
                    <a:pt x="59" y="93"/>
                  </a:lnTo>
                  <a:lnTo>
                    <a:pt x="8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7" name="Freeform 399">
              <a:extLst>
                <a:ext uri="{FF2B5EF4-FFF2-40B4-BE49-F238E27FC236}">
                  <a16:creationId xmlns:a16="http://schemas.microsoft.com/office/drawing/2014/main" id="{6A5FA042-A1AF-4369-AC72-5FB4F8C9D198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7 w 66"/>
                <a:gd name="T1" fmla="*/ 0 h 88"/>
                <a:gd name="T2" fmla="*/ 0 w 66"/>
                <a:gd name="T3" fmla="*/ 5 h 88"/>
                <a:gd name="T4" fmla="*/ 66 w 66"/>
                <a:gd name="T5" fmla="*/ 88 h 88"/>
                <a:gd name="T6" fmla="*/ 7 w 66"/>
                <a:gd name="T7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7" y="0"/>
                  </a:moveTo>
                  <a:lnTo>
                    <a:pt x="0" y="5"/>
                  </a:lnTo>
                  <a:lnTo>
                    <a:pt x="66" y="88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8" name="Freeform 400">
              <a:extLst>
                <a:ext uri="{FF2B5EF4-FFF2-40B4-BE49-F238E27FC236}">
                  <a16:creationId xmlns:a16="http://schemas.microsoft.com/office/drawing/2014/main" id="{46047F50-53F4-4994-8F23-A11FF4F144C0}"/>
                </a:ext>
              </a:extLst>
            </xdr:cNvPr>
            <xdr:cNvSpPr>
              <a:spLocks/>
            </xdr:cNvSpPr>
          </xdr:nvSpPr>
          <xdr:spPr bwMode="auto">
            <a:xfrm>
              <a:off x="1111" y="200"/>
              <a:ext cx="1" cy="2"/>
            </a:xfrm>
            <a:custGeom>
              <a:avLst/>
              <a:gdLst>
                <a:gd name="T0" fmla="*/ 6 w 72"/>
                <a:gd name="T1" fmla="*/ 0 h 83"/>
                <a:gd name="T2" fmla="*/ 0 w 72"/>
                <a:gd name="T3" fmla="*/ 5 h 83"/>
                <a:gd name="T4" fmla="*/ 72 w 72"/>
                <a:gd name="T5" fmla="*/ 83 h 83"/>
                <a:gd name="T6" fmla="*/ 6 w 72"/>
                <a:gd name="T7" fmla="*/ 0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6" y="0"/>
                  </a:moveTo>
                  <a:lnTo>
                    <a:pt x="0" y="5"/>
                  </a:lnTo>
                  <a:lnTo>
                    <a:pt x="72" y="83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9" name="Freeform 401">
              <a:extLst>
                <a:ext uri="{FF2B5EF4-FFF2-40B4-BE49-F238E27FC236}">
                  <a16:creationId xmlns:a16="http://schemas.microsoft.com/office/drawing/2014/main" id="{CFD09BB5-F5F8-492F-99A0-6D1558EF8A20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78"/>
                <a:gd name="T1" fmla="*/ 0 h 78"/>
                <a:gd name="T2" fmla="*/ 0 w 78"/>
                <a:gd name="T3" fmla="*/ 6 h 78"/>
                <a:gd name="T4" fmla="*/ 78 w 78"/>
                <a:gd name="T5" fmla="*/ 78 h 78"/>
                <a:gd name="T6" fmla="*/ 6 w 78"/>
                <a:gd name="T7" fmla="*/ 0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8">
                  <a:moveTo>
                    <a:pt x="6" y="0"/>
                  </a:moveTo>
                  <a:lnTo>
                    <a:pt x="0" y="6"/>
                  </a:lnTo>
                  <a:lnTo>
                    <a:pt x="78" y="78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0" name="Freeform 402">
              <a:extLst>
                <a:ext uri="{FF2B5EF4-FFF2-40B4-BE49-F238E27FC236}">
                  <a16:creationId xmlns:a16="http://schemas.microsoft.com/office/drawing/2014/main" id="{F0BC1451-5AAF-4A6F-BDBF-B003D9114B14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6 w 84"/>
                <a:gd name="T1" fmla="*/ 0 h 72"/>
                <a:gd name="T2" fmla="*/ 0 w 84"/>
                <a:gd name="T3" fmla="*/ 7 h 72"/>
                <a:gd name="T4" fmla="*/ 84 w 84"/>
                <a:gd name="T5" fmla="*/ 72 h 72"/>
                <a:gd name="T6" fmla="*/ 6 w 84"/>
                <a:gd name="T7" fmla="*/ 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2">
                  <a:moveTo>
                    <a:pt x="6" y="0"/>
                  </a:moveTo>
                  <a:lnTo>
                    <a:pt x="0" y="7"/>
                  </a:lnTo>
                  <a:lnTo>
                    <a:pt x="84" y="72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1" name="Freeform 403">
              <a:extLst>
                <a:ext uri="{FF2B5EF4-FFF2-40B4-BE49-F238E27FC236}">
                  <a16:creationId xmlns:a16="http://schemas.microsoft.com/office/drawing/2014/main" id="{45537703-7F83-418E-9006-84E3D8B51E6C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89"/>
                <a:gd name="T1" fmla="*/ 0 h 65"/>
                <a:gd name="T2" fmla="*/ 0 w 89"/>
                <a:gd name="T3" fmla="*/ 7 h 65"/>
                <a:gd name="T4" fmla="*/ 89 w 89"/>
                <a:gd name="T5" fmla="*/ 65 h 65"/>
                <a:gd name="T6" fmla="*/ 5 w 89"/>
                <a:gd name="T7" fmla="*/ 0 h 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5">
                  <a:moveTo>
                    <a:pt x="5" y="0"/>
                  </a:moveTo>
                  <a:lnTo>
                    <a:pt x="0" y="7"/>
                  </a:lnTo>
                  <a:lnTo>
                    <a:pt x="89" y="65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2" name="Freeform 404">
              <a:extLst>
                <a:ext uri="{FF2B5EF4-FFF2-40B4-BE49-F238E27FC236}">
                  <a16:creationId xmlns:a16="http://schemas.microsoft.com/office/drawing/2014/main" id="{43F0CF95-34A0-42D7-BA5B-1EDB5144CB83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5 w 94"/>
                <a:gd name="T1" fmla="*/ 0 h 58"/>
                <a:gd name="T2" fmla="*/ 0 w 94"/>
                <a:gd name="T3" fmla="*/ 8 h 58"/>
                <a:gd name="T4" fmla="*/ 94 w 94"/>
                <a:gd name="T5" fmla="*/ 58 h 58"/>
                <a:gd name="T6" fmla="*/ 5 w 94"/>
                <a:gd name="T7" fmla="*/ 0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8">
                  <a:moveTo>
                    <a:pt x="5" y="0"/>
                  </a:moveTo>
                  <a:lnTo>
                    <a:pt x="0" y="8"/>
                  </a:lnTo>
                  <a:lnTo>
                    <a:pt x="94" y="58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3" name="Freeform 405">
              <a:extLst>
                <a:ext uri="{FF2B5EF4-FFF2-40B4-BE49-F238E27FC236}">
                  <a16:creationId xmlns:a16="http://schemas.microsoft.com/office/drawing/2014/main" id="{CAE13217-E4AC-4032-BB8D-5109CF4AC1BA}"/>
                </a:ext>
              </a:extLst>
            </xdr:cNvPr>
            <xdr:cNvSpPr>
              <a:spLocks/>
            </xdr:cNvSpPr>
          </xdr:nvSpPr>
          <xdr:spPr bwMode="auto">
            <a:xfrm>
              <a:off x="1111" y="201"/>
              <a:ext cx="1" cy="1"/>
            </a:xfrm>
            <a:custGeom>
              <a:avLst/>
              <a:gdLst>
                <a:gd name="T0" fmla="*/ 3 w 97"/>
                <a:gd name="T1" fmla="*/ 0 h 50"/>
                <a:gd name="T2" fmla="*/ 0 w 97"/>
                <a:gd name="T3" fmla="*/ 7 h 50"/>
                <a:gd name="T4" fmla="*/ 97 w 97"/>
                <a:gd name="T5" fmla="*/ 50 h 50"/>
                <a:gd name="T6" fmla="*/ 3 w 97"/>
                <a:gd name="T7" fmla="*/ 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3" y="0"/>
                  </a:moveTo>
                  <a:lnTo>
                    <a:pt x="0" y="7"/>
                  </a:lnTo>
                  <a:lnTo>
                    <a:pt x="97" y="5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4" name="Freeform 406">
              <a:extLst>
                <a:ext uri="{FF2B5EF4-FFF2-40B4-BE49-F238E27FC236}">
                  <a16:creationId xmlns:a16="http://schemas.microsoft.com/office/drawing/2014/main" id="{205BCF3C-22B9-4C25-9CB7-1AD5CBD893A1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4 w 101"/>
                <a:gd name="T1" fmla="*/ 0 h 43"/>
                <a:gd name="T2" fmla="*/ 0 w 101"/>
                <a:gd name="T3" fmla="*/ 8 h 43"/>
                <a:gd name="T4" fmla="*/ 101 w 101"/>
                <a:gd name="T5" fmla="*/ 43 h 43"/>
                <a:gd name="T6" fmla="*/ 4 w 101"/>
                <a:gd name="T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3">
                  <a:moveTo>
                    <a:pt x="4" y="0"/>
                  </a:moveTo>
                  <a:lnTo>
                    <a:pt x="0" y="8"/>
                  </a:lnTo>
                  <a:lnTo>
                    <a:pt x="101" y="43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5" name="Freeform 407">
              <a:extLst>
                <a:ext uri="{FF2B5EF4-FFF2-40B4-BE49-F238E27FC236}">
                  <a16:creationId xmlns:a16="http://schemas.microsoft.com/office/drawing/2014/main" id="{79A2033C-9849-40E2-ABC3-5C67148E3F6E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3"/>
                <a:gd name="T1" fmla="*/ 0 h 35"/>
                <a:gd name="T2" fmla="*/ 0 w 103"/>
                <a:gd name="T3" fmla="*/ 9 h 35"/>
                <a:gd name="T4" fmla="*/ 103 w 103"/>
                <a:gd name="T5" fmla="*/ 35 h 35"/>
                <a:gd name="T6" fmla="*/ 2 w 103"/>
                <a:gd name="T7" fmla="*/ 0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5">
                  <a:moveTo>
                    <a:pt x="2" y="0"/>
                  </a:moveTo>
                  <a:lnTo>
                    <a:pt x="0" y="9"/>
                  </a:lnTo>
                  <a:lnTo>
                    <a:pt x="103" y="35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6" name="Freeform 408">
              <a:extLst>
                <a:ext uri="{FF2B5EF4-FFF2-40B4-BE49-F238E27FC236}">
                  <a16:creationId xmlns:a16="http://schemas.microsoft.com/office/drawing/2014/main" id="{CD93DC92-597E-4E9A-91C1-BB4BEF4DB423}"/>
                </a:ext>
              </a:extLst>
            </xdr:cNvPr>
            <xdr:cNvSpPr>
              <a:spLocks/>
            </xdr:cNvSpPr>
          </xdr:nvSpPr>
          <xdr:spPr bwMode="auto">
            <a:xfrm>
              <a:off x="1110" y="201"/>
              <a:ext cx="2" cy="1"/>
            </a:xfrm>
            <a:custGeom>
              <a:avLst/>
              <a:gdLst>
                <a:gd name="T0" fmla="*/ 2 w 105"/>
                <a:gd name="T1" fmla="*/ 0 h 26"/>
                <a:gd name="T2" fmla="*/ 0 w 105"/>
                <a:gd name="T3" fmla="*/ 8 h 26"/>
                <a:gd name="T4" fmla="*/ 105 w 105"/>
                <a:gd name="T5" fmla="*/ 26 h 26"/>
                <a:gd name="T6" fmla="*/ 2 w 105"/>
                <a:gd name="T7" fmla="*/ 0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2" y="0"/>
                  </a:moveTo>
                  <a:lnTo>
                    <a:pt x="0" y="8"/>
                  </a:lnTo>
                  <a:lnTo>
                    <a:pt x="105" y="26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7" name="Freeform 409">
              <a:extLst>
                <a:ext uri="{FF2B5EF4-FFF2-40B4-BE49-F238E27FC236}">
                  <a16:creationId xmlns:a16="http://schemas.microsoft.com/office/drawing/2014/main" id="{D9571167-07F0-4A90-A3C5-9821C3CB757E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1 w 106"/>
                <a:gd name="T1" fmla="*/ 0 h 18"/>
                <a:gd name="T2" fmla="*/ 0 w 106"/>
                <a:gd name="T3" fmla="*/ 9 h 18"/>
                <a:gd name="T4" fmla="*/ 106 w 106"/>
                <a:gd name="T5" fmla="*/ 18 h 18"/>
                <a:gd name="T6" fmla="*/ 1 w 106"/>
                <a:gd name="T7" fmla="*/ 0 h 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8">
                  <a:moveTo>
                    <a:pt x="1" y="0"/>
                  </a:moveTo>
                  <a:lnTo>
                    <a:pt x="0" y="9"/>
                  </a:lnTo>
                  <a:lnTo>
                    <a:pt x="106" y="18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8" name="Freeform 410">
              <a:extLst>
                <a:ext uri="{FF2B5EF4-FFF2-40B4-BE49-F238E27FC236}">
                  <a16:creationId xmlns:a16="http://schemas.microsoft.com/office/drawing/2014/main" id="{5F26E874-9CC6-435C-9281-8B928C3085D8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9"/>
                <a:gd name="T2" fmla="*/ 0 w 106"/>
                <a:gd name="T3" fmla="*/ 9 h 9"/>
                <a:gd name="T4" fmla="*/ 106 w 106"/>
                <a:gd name="T5" fmla="*/ 9 h 9"/>
                <a:gd name="T6" fmla="*/ 0 w 106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9">
                  <a:moveTo>
                    <a:pt x="0" y="0"/>
                  </a:moveTo>
                  <a:lnTo>
                    <a:pt x="0" y="9"/>
                  </a:lnTo>
                  <a:lnTo>
                    <a:pt x="106" y="9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9" name="Freeform 411">
              <a:extLst>
                <a:ext uri="{FF2B5EF4-FFF2-40B4-BE49-F238E27FC236}">
                  <a16:creationId xmlns:a16="http://schemas.microsoft.com/office/drawing/2014/main" id="{B189CEBD-8462-45D7-95EF-D1319EAC2F78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0 h 8"/>
                <a:gd name="T2" fmla="*/ 0 w 106"/>
                <a:gd name="T3" fmla="*/ 8 h 8"/>
                <a:gd name="T4" fmla="*/ 106 w 106"/>
                <a:gd name="T5" fmla="*/ 0 h 8"/>
                <a:gd name="T6" fmla="*/ 0 w 106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8">
                  <a:moveTo>
                    <a:pt x="0" y="0"/>
                  </a:moveTo>
                  <a:lnTo>
                    <a:pt x="0" y="8"/>
                  </a:lnTo>
                  <a:lnTo>
                    <a:pt x="10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0" name="Freeform 412">
              <a:extLst>
                <a:ext uri="{FF2B5EF4-FFF2-40B4-BE49-F238E27FC236}">
                  <a16:creationId xmlns:a16="http://schemas.microsoft.com/office/drawing/2014/main" id="{45740D5E-00B0-48E7-B2EB-8DCAFF2C6826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6"/>
                <a:gd name="T1" fmla="*/ 8 h 17"/>
                <a:gd name="T2" fmla="*/ 1 w 106"/>
                <a:gd name="T3" fmla="*/ 17 h 17"/>
                <a:gd name="T4" fmla="*/ 106 w 106"/>
                <a:gd name="T5" fmla="*/ 0 h 17"/>
                <a:gd name="T6" fmla="*/ 0 w 106"/>
                <a:gd name="T7" fmla="*/ 8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6" h="17">
                  <a:moveTo>
                    <a:pt x="0" y="8"/>
                  </a:moveTo>
                  <a:lnTo>
                    <a:pt x="1" y="17"/>
                  </a:lnTo>
                  <a:lnTo>
                    <a:pt x="106" y="0"/>
                  </a:lnTo>
                  <a:lnTo>
                    <a:pt x="0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1" name="Freeform 413">
              <a:extLst>
                <a:ext uri="{FF2B5EF4-FFF2-40B4-BE49-F238E27FC236}">
                  <a16:creationId xmlns:a16="http://schemas.microsoft.com/office/drawing/2014/main" id="{283F82C6-3361-4D47-9638-41B8BBB7561F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5"/>
                <a:gd name="T1" fmla="*/ 17 h 26"/>
                <a:gd name="T2" fmla="*/ 2 w 105"/>
                <a:gd name="T3" fmla="*/ 26 h 26"/>
                <a:gd name="T4" fmla="*/ 105 w 105"/>
                <a:gd name="T5" fmla="*/ 0 h 26"/>
                <a:gd name="T6" fmla="*/ 0 w 105"/>
                <a:gd name="T7" fmla="*/ 17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26">
                  <a:moveTo>
                    <a:pt x="0" y="17"/>
                  </a:moveTo>
                  <a:lnTo>
                    <a:pt x="2" y="26"/>
                  </a:lnTo>
                  <a:lnTo>
                    <a:pt x="105" y="0"/>
                  </a:lnTo>
                  <a:lnTo>
                    <a:pt x="0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2" name="Freeform 414">
              <a:extLst>
                <a:ext uri="{FF2B5EF4-FFF2-40B4-BE49-F238E27FC236}">
                  <a16:creationId xmlns:a16="http://schemas.microsoft.com/office/drawing/2014/main" id="{D86A2A6F-886A-457D-BE65-02AA59F39965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0"/>
            </a:xfrm>
            <a:custGeom>
              <a:avLst/>
              <a:gdLst>
                <a:gd name="T0" fmla="*/ 0 w 103"/>
                <a:gd name="T1" fmla="*/ 26 h 34"/>
                <a:gd name="T2" fmla="*/ 2 w 103"/>
                <a:gd name="T3" fmla="*/ 34 h 34"/>
                <a:gd name="T4" fmla="*/ 103 w 103"/>
                <a:gd name="T5" fmla="*/ 0 h 34"/>
                <a:gd name="T6" fmla="*/ 0 w 103"/>
                <a:gd name="T7" fmla="*/ 26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3" h="34">
                  <a:moveTo>
                    <a:pt x="0" y="26"/>
                  </a:moveTo>
                  <a:lnTo>
                    <a:pt x="2" y="34"/>
                  </a:lnTo>
                  <a:lnTo>
                    <a:pt x="103" y="0"/>
                  </a:lnTo>
                  <a:lnTo>
                    <a:pt x="0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3" name="Freeform 415">
              <a:extLst>
                <a:ext uri="{FF2B5EF4-FFF2-40B4-BE49-F238E27FC236}">
                  <a16:creationId xmlns:a16="http://schemas.microsoft.com/office/drawing/2014/main" id="{2C1D5CB9-0D10-458A-9263-10AD614B3B1A}"/>
                </a:ext>
              </a:extLst>
            </xdr:cNvPr>
            <xdr:cNvSpPr>
              <a:spLocks/>
            </xdr:cNvSpPr>
          </xdr:nvSpPr>
          <xdr:spPr bwMode="auto">
            <a:xfrm>
              <a:off x="1110" y="202"/>
              <a:ext cx="2" cy="1"/>
            </a:xfrm>
            <a:custGeom>
              <a:avLst/>
              <a:gdLst>
                <a:gd name="T0" fmla="*/ 0 w 101"/>
                <a:gd name="T1" fmla="*/ 34 h 42"/>
                <a:gd name="T2" fmla="*/ 4 w 101"/>
                <a:gd name="T3" fmla="*/ 42 h 42"/>
                <a:gd name="T4" fmla="*/ 101 w 101"/>
                <a:gd name="T5" fmla="*/ 0 h 42"/>
                <a:gd name="T6" fmla="*/ 0 w 101"/>
                <a:gd name="T7" fmla="*/ 34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1" h="42">
                  <a:moveTo>
                    <a:pt x="0" y="34"/>
                  </a:moveTo>
                  <a:lnTo>
                    <a:pt x="4" y="42"/>
                  </a:lnTo>
                  <a:lnTo>
                    <a:pt x="101" y="0"/>
                  </a:lnTo>
                  <a:lnTo>
                    <a:pt x="0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4" name="Freeform 416">
              <a:extLst>
                <a:ext uri="{FF2B5EF4-FFF2-40B4-BE49-F238E27FC236}">
                  <a16:creationId xmlns:a16="http://schemas.microsoft.com/office/drawing/2014/main" id="{888E6476-58FC-44C4-A7C8-F34A86F7C0CB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7"/>
                <a:gd name="T1" fmla="*/ 42 h 50"/>
                <a:gd name="T2" fmla="*/ 3 w 97"/>
                <a:gd name="T3" fmla="*/ 50 h 50"/>
                <a:gd name="T4" fmla="*/ 97 w 97"/>
                <a:gd name="T5" fmla="*/ 0 h 50"/>
                <a:gd name="T6" fmla="*/ 0 w 97"/>
                <a:gd name="T7" fmla="*/ 42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7" h="50">
                  <a:moveTo>
                    <a:pt x="0" y="42"/>
                  </a:moveTo>
                  <a:lnTo>
                    <a:pt x="3" y="50"/>
                  </a:lnTo>
                  <a:lnTo>
                    <a:pt x="97" y="0"/>
                  </a:lnTo>
                  <a:lnTo>
                    <a:pt x="0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5" name="Freeform 417">
              <a:extLst>
                <a:ext uri="{FF2B5EF4-FFF2-40B4-BE49-F238E27FC236}">
                  <a16:creationId xmlns:a16="http://schemas.microsoft.com/office/drawing/2014/main" id="{6F1B1B17-F540-4E57-8D5B-2F690023DFF3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94"/>
                <a:gd name="T1" fmla="*/ 50 h 57"/>
                <a:gd name="T2" fmla="*/ 5 w 94"/>
                <a:gd name="T3" fmla="*/ 57 h 57"/>
                <a:gd name="T4" fmla="*/ 94 w 94"/>
                <a:gd name="T5" fmla="*/ 0 h 57"/>
                <a:gd name="T6" fmla="*/ 0 w 94"/>
                <a:gd name="T7" fmla="*/ 50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4" h="57">
                  <a:moveTo>
                    <a:pt x="0" y="50"/>
                  </a:moveTo>
                  <a:lnTo>
                    <a:pt x="5" y="57"/>
                  </a:lnTo>
                  <a:lnTo>
                    <a:pt x="94" y="0"/>
                  </a:lnTo>
                  <a:lnTo>
                    <a:pt x="0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6" name="Freeform 418">
              <a:extLst>
                <a:ext uri="{FF2B5EF4-FFF2-40B4-BE49-F238E27FC236}">
                  <a16:creationId xmlns:a16="http://schemas.microsoft.com/office/drawing/2014/main" id="{3C9A06D9-C7DF-4BF0-91C5-063D1085C652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9"/>
                <a:gd name="T1" fmla="*/ 57 h 64"/>
                <a:gd name="T2" fmla="*/ 5 w 89"/>
                <a:gd name="T3" fmla="*/ 64 h 64"/>
                <a:gd name="T4" fmla="*/ 89 w 89"/>
                <a:gd name="T5" fmla="*/ 0 h 64"/>
                <a:gd name="T6" fmla="*/ 0 w 89"/>
                <a:gd name="T7" fmla="*/ 57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9" h="64">
                  <a:moveTo>
                    <a:pt x="0" y="57"/>
                  </a:moveTo>
                  <a:lnTo>
                    <a:pt x="5" y="64"/>
                  </a:lnTo>
                  <a:lnTo>
                    <a:pt x="89" y="0"/>
                  </a:lnTo>
                  <a:lnTo>
                    <a:pt x="0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7" name="Freeform 419">
              <a:extLst>
                <a:ext uri="{FF2B5EF4-FFF2-40B4-BE49-F238E27FC236}">
                  <a16:creationId xmlns:a16="http://schemas.microsoft.com/office/drawing/2014/main" id="{FE590D52-4D95-41C9-A8C9-8873E0F66A4A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84"/>
                <a:gd name="T1" fmla="*/ 64 h 71"/>
                <a:gd name="T2" fmla="*/ 6 w 84"/>
                <a:gd name="T3" fmla="*/ 71 h 71"/>
                <a:gd name="T4" fmla="*/ 84 w 84"/>
                <a:gd name="T5" fmla="*/ 0 h 71"/>
                <a:gd name="T6" fmla="*/ 0 w 84"/>
                <a:gd name="T7" fmla="*/ 64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4" h="71">
                  <a:moveTo>
                    <a:pt x="0" y="64"/>
                  </a:moveTo>
                  <a:lnTo>
                    <a:pt x="6" y="71"/>
                  </a:lnTo>
                  <a:lnTo>
                    <a:pt x="84" y="0"/>
                  </a:lnTo>
                  <a:lnTo>
                    <a:pt x="0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8" name="Freeform 420">
              <a:extLst>
                <a:ext uri="{FF2B5EF4-FFF2-40B4-BE49-F238E27FC236}">
                  <a16:creationId xmlns:a16="http://schemas.microsoft.com/office/drawing/2014/main" id="{FF14A11D-B110-4CB2-80E8-01F245741F64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8"/>
                <a:gd name="T1" fmla="*/ 71 h 77"/>
                <a:gd name="T2" fmla="*/ 6 w 78"/>
                <a:gd name="T3" fmla="*/ 77 h 77"/>
                <a:gd name="T4" fmla="*/ 78 w 78"/>
                <a:gd name="T5" fmla="*/ 0 h 77"/>
                <a:gd name="T6" fmla="*/ 0 w 78"/>
                <a:gd name="T7" fmla="*/ 71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" h="77">
                  <a:moveTo>
                    <a:pt x="0" y="71"/>
                  </a:moveTo>
                  <a:lnTo>
                    <a:pt x="6" y="77"/>
                  </a:lnTo>
                  <a:lnTo>
                    <a:pt x="78" y="0"/>
                  </a:lnTo>
                  <a:lnTo>
                    <a:pt x="0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9" name="Freeform 421">
              <a:extLst>
                <a:ext uri="{FF2B5EF4-FFF2-40B4-BE49-F238E27FC236}">
                  <a16:creationId xmlns:a16="http://schemas.microsoft.com/office/drawing/2014/main" id="{244F5095-B98A-42A6-AE95-877859DD4734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72"/>
                <a:gd name="T1" fmla="*/ 77 h 83"/>
                <a:gd name="T2" fmla="*/ 6 w 72"/>
                <a:gd name="T3" fmla="*/ 83 h 83"/>
                <a:gd name="T4" fmla="*/ 72 w 72"/>
                <a:gd name="T5" fmla="*/ 0 h 83"/>
                <a:gd name="T6" fmla="*/ 0 w 72"/>
                <a:gd name="T7" fmla="*/ 77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2" h="83">
                  <a:moveTo>
                    <a:pt x="0" y="77"/>
                  </a:moveTo>
                  <a:lnTo>
                    <a:pt x="6" y="83"/>
                  </a:lnTo>
                  <a:lnTo>
                    <a:pt x="72" y="0"/>
                  </a:lnTo>
                  <a:lnTo>
                    <a:pt x="0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0" name="Freeform 422">
              <a:extLst>
                <a:ext uri="{FF2B5EF4-FFF2-40B4-BE49-F238E27FC236}">
                  <a16:creationId xmlns:a16="http://schemas.microsoft.com/office/drawing/2014/main" id="{ACF2BF26-200E-4B01-A3CE-41EAC3163EC1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66"/>
                <a:gd name="T1" fmla="*/ 83 h 88"/>
                <a:gd name="T2" fmla="*/ 7 w 66"/>
                <a:gd name="T3" fmla="*/ 88 h 88"/>
                <a:gd name="T4" fmla="*/ 66 w 66"/>
                <a:gd name="T5" fmla="*/ 0 h 88"/>
                <a:gd name="T6" fmla="*/ 0 w 66"/>
                <a:gd name="T7" fmla="*/ 83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6" h="88">
                  <a:moveTo>
                    <a:pt x="0" y="83"/>
                  </a:moveTo>
                  <a:lnTo>
                    <a:pt x="7" y="88"/>
                  </a:lnTo>
                  <a:lnTo>
                    <a:pt x="66" y="0"/>
                  </a:lnTo>
                  <a:lnTo>
                    <a:pt x="0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1" name="Freeform 423">
              <a:extLst>
                <a:ext uri="{FF2B5EF4-FFF2-40B4-BE49-F238E27FC236}">
                  <a16:creationId xmlns:a16="http://schemas.microsoft.com/office/drawing/2014/main" id="{23BC8705-8C10-4A9E-8E3F-3395D77D2BA9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9"/>
                <a:gd name="T1" fmla="*/ 88 h 92"/>
                <a:gd name="T2" fmla="*/ 8 w 59"/>
                <a:gd name="T3" fmla="*/ 92 h 92"/>
                <a:gd name="T4" fmla="*/ 59 w 59"/>
                <a:gd name="T5" fmla="*/ 0 h 92"/>
                <a:gd name="T6" fmla="*/ 0 w 59"/>
                <a:gd name="T7" fmla="*/ 88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9" h="92">
                  <a:moveTo>
                    <a:pt x="0" y="88"/>
                  </a:moveTo>
                  <a:lnTo>
                    <a:pt x="8" y="92"/>
                  </a:lnTo>
                  <a:lnTo>
                    <a:pt x="59" y="0"/>
                  </a:lnTo>
                  <a:lnTo>
                    <a:pt x="0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2" name="Freeform 424">
              <a:extLst>
                <a:ext uri="{FF2B5EF4-FFF2-40B4-BE49-F238E27FC236}">
                  <a16:creationId xmlns:a16="http://schemas.microsoft.com/office/drawing/2014/main" id="{DD20F8ED-D3E7-4DF7-A63C-D6C578DAA6DF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1"/>
            </a:xfrm>
            <a:custGeom>
              <a:avLst/>
              <a:gdLst>
                <a:gd name="T0" fmla="*/ 0 w 51"/>
                <a:gd name="T1" fmla="*/ 92 h 96"/>
                <a:gd name="T2" fmla="*/ 8 w 51"/>
                <a:gd name="T3" fmla="*/ 96 h 96"/>
                <a:gd name="T4" fmla="*/ 51 w 51"/>
                <a:gd name="T5" fmla="*/ 0 h 96"/>
                <a:gd name="T6" fmla="*/ 0 w 51"/>
                <a:gd name="T7" fmla="*/ 92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1" h="96">
                  <a:moveTo>
                    <a:pt x="0" y="92"/>
                  </a:moveTo>
                  <a:lnTo>
                    <a:pt x="8" y="96"/>
                  </a:lnTo>
                  <a:lnTo>
                    <a:pt x="51" y="0"/>
                  </a:lnTo>
                  <a:lnTo>
                    <a:pt x="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3" name="Freeform 425">
              <a:extLst>
                <a:ext uri="{FF2B5EF4-FFF2-40B4-BE49-F238E27FC236}">
                  <a16:creationId xmlns:a16="http://schemas.microsoft.com/office/drawing/2014/main" id="{4EBB1CCE-7C9C-4982-945C-E93757369293}"/>
                </a:ext>
              </a:extLst>
            </xdr:cNvPr>
            <xdr:cNvSpPr>
              <a:spLocks/>
            </xdr:cNvSpPr>
          </xdr:nvSpPr>
          <xdr:spPr bwMode="auto">
            <a:xfrm>
              <a:off x="1111" y="202"/>
              <a:ext cx="1" cy="2"/>
            </a:xfrm>
            <a:custGeom>
              <a:avLst/>
              <a:gdLst>
                <a:gd name="T0" fmla="*/ 0 w 43"/>
                <a:gd name="T1" fmla="*/ 96 h 99"/>
                <a:gd name="T2" fmla="*/ 8 w 43"/>
                <a:gd name="T3" fmla="*/ 99 h 99"/>
                <a:gd name="T4" fmla="*/ 43 w 43"/>
                <a:gd name="T5" fmla="*/ 0 h 99"/>
                <a:gd name="T6" fmla="*/ 0 w 43"/>
                <a:gd name="T7" fmla="*/ 96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3" h="99">
                  <a:moveTo>
                    <a:pt x="0" y="96"/>
                  </a:moveTo>
                  <a:lnTo>
                    <a:pt x="8" y="99"/>
                  </a:lnTo>
                  <a:lnTo>
                    <a:pt x="43" y="0"/>
                  </a:lnTo>
                  <a:lnTo>
                    <a:pt x="0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4" name="Freeform 426">
              <a:extLst>
                <a:ext uri="{FF2B5EF4-FFF2-40B4-BE49-F238E27FC236}">
                  <a16:creationId xmlns:a16="http://schemas.microsoft.com/office/drawing/2014/main" id="{B368469E-DA6A-464C-9621-F75A6E2D84E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35"/>
                <a:gd name="T1" fmla="*/ 99 h 102"/>
                <a:gd name="T2" fmla="*/ 8 w 35"/>
                <a:gd name="T3" fmla="*/ 102 h 102"/>
                <a:gd name="T4" fmla="*/ 35 w 35"/>
                <a:gd name="T5" fmla="*/ 0 h 102"/>
                <a:gd name="T6" fmla="*/ 0 w 35"/>
                <a:gd name="T7" fmla="*/ 99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5" h="102">
                  <a:moveTo>
                    <a:pt x="0" y="99"/>
                  </a:moveTo>
                  <a:lnTo>
                    <a:pt x="8" y="102"/>
                  </a:lnTo>
                  <a:lnTo>
                    <a:pt x="35" y="0"/>
                  </a:lnTo>
                  <a:lnTo>
                    <a:pt x="0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5" name="Freeform 427">
              <a:extLst>
                <a:ext uri="{FF2B5EF4-FFF2-40B4-BE49-F238E27FC236}">
                  <a16:creationId xmlns:a16="http://schemas.microsoft.com/office/drawing/2014/main" id="{7D97288F-7E50-45FE-A16A-2D2F7E3D8893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27"/>
                <a:gd name="T1" fmla="*/ 102 h 104"/>
                <a:gd name="T2" fmla="*/ 9 w 27"/>
                <a:gd name="T3" fmla="*/ 104 h 104"/>
                <a:gd name="T4" fmla="*/ 27 w 27"/>
                <a:gd name="T5" fmla="*/ 0 h 104"/>
                <a:gd name="T6" fmla="*/ 0 w 27"/>
                <a:gd name="T7" fmla="*/ 102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7" h="104">
                  <a:moveTo>
                    <a:pt x="0" y="102"/>
                  </a:moveTo>
                  <a:lnTo>
                    <a:pt x="9" y="104"/>
                  </a:lnTo>
                  <a:lnTo>
                    <a:pt x="27" y="0"/>
                  </a:lnTo>
                  <a:lnTo>
                    <a:pt x="0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6" name="Freeform 428">
              <a:extLst>
                <a:ext uri="{FF2B5EF4-FFF2-40B4-BE49-F238E27FC236}">
                  <a16:creationId xmlns:a16="http://schemas.microsoft.com/office/drawing/2014/main" id="{A0F95893-DB33-43EB-9E56-289DAED1030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18"/>
                <a:gd name="T1" fmla="*/ 104 h 105"/>
                <a:gd name="T2" fmla="*/ 9 w 18"/>
                <a:gd name="T3" fmla="*/ 105 h 105"/>
                <a:gd name="T4" fmla="*/ 18 w 18"/>
                <a:gd name="T5" fmla="*/ 0 h 105"/>
                <a:gd name="T6" fmla="*/ 0 w 18"/>
                <a:gd name="T7" fmla="*/ 104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8" h="105">
                  <a:moveTo>
                    <a:pt x="0" y="104"/>
                  </a:moveTo>
                  <a:lnTo>
                    <a:pt x="9" y="105"/>
                  </a:lnTo>
                  <a:lnTo>
                    <a:pt x="18" y="0"/>
                  </a:lnTo>
                  <a:lnTo>
                    <a:pt x="0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7" name="Freeform 429">
              <a:extLst>
                <a:ext uri="{FF2B5EF4-FFF2-40B4-BE49-F238E27FC236}">
                  <a16:creationId xmlns:a16="http://schemas.microsoft.com/office/drawing/2014/main" id="{1D620F97-2811-4962-BE35-33A67F5DA6FD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9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9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8" name="Freeform 430">
              <a:extLst>
                <a:ext uri="{FF2B5EF4-FFF2-40B4-BE49-F238E27FC236}">
                  <a16:creationId xmlns:a16="http://schemas.microsoft.com/office/drawing/2014/main" id="{2C1F7774-9749-4FE0-A94E-5474D85F2E89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0 w 9"/>
                <a:gd name="T1" fmla="*/ 105 h 105"/>
                <a:gd name="T2" fmla="*/ 9 w 9"/>
                <a:gd name="T3" fmla="*/ 105 h 105"/>
                <a:gd name="T4" fmla="*/ 0 w 9"/>
                <a:gd name="T5" fmla="*/ 0 h 105"/>
                <a:gd name="T6" fmla="*/ 0 w 9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105">
                  <a:moveTo>
                    <a:pt x="0" y="105"/>
                  </a:moveTo>
                  <a:lnTo>
                    <a:pt x="9" y="105"/>
                  </a:lnTo>
                  <a:lnTo>
                    <a:pt x="0" y="0"/>
                  </a:lnTo>
                  <a:lnTo>
                    <a:pt x="0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9" name="Freeform 431">
              <a:extLst>
                <a:ext uri="{FF2B5EF4-FFF2-40B4-BE49-F238E27FC236}">
                  <a16:creationId xmlns:a16="http://schemas.microsoft.com/office/drawing/2014/main" id="{0A01944F-69E6-450F-A2D9-80E0CA5C034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0" cy="2"/>
            </a:xfrm>
            <a:custGeom>
              <a:avLst/>
              <a:gdLst>
                <a:gd name="T0" fmla="*/ 9 w 17"/>
                <a:gd name="T1" fmla="*/ 105 h 105"/>
                <a:gd name="T2" fmla="*/ 17 w 17"/>
                <a:gd name="T3" fmla="*/ 104 h 105"/>
                <a:gd name="T4" fmla="*/ 0 w 17"/>
                <a:gd name="T5" fmla="*/ 0 h 105"/>
                <a:gd name="T6" fmla="*/ 9 w 17"/>
                <a:gd name="T7" fmla="*/ 105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" h="105">
                  <a:moveTo>
                    <a:pt x="9" y="105"/>
                  </a:moveTo>
                  <a:lnTo>
                    <a:pt x="17" y="104"/>
                  </a:lnTo>
                  <a:lnTo>
                    <a:pt x="0" y="0"/>
                  </a:lnTo>
                  <a:lnTo>
                    <a:pt x="9" y="105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0" name="Freeform 432">
              <a:extLst>
                <a:ext uri="{FF2B5EF4-FFF2-40B4-BE49-F238E27FC236}">
                  <a16:creationId xmlns:a16="http://schemas.microsoft.com/office/drawing/2014/main" id="{A5192891-0CAB-44A9-A861-631A8CF271AF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17 w 26"/>
                <a:gd name="T1" fmla="*/ 104 h 104"/>
                <a:gd name="T2" fmla="*/ 26 w 26"/>
                <a:gd name="T3" fmla="*/ 102 h 104"/>
                <a:gd name="T4" fmla="*/ 0 w 26"/>
                <a:gd name="T5" fmla="*/ 0 h 104"/>
                <a:gd name="T6" fmla="*/ 17 w 26"/>
                <a:gd name="T7" fmla="*/ 104 h 1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6" h="104">
                  <a:moveTo>
                    <a:pt x="17" y="104"/>
                  </a:moveTo>
                  <a:lnTo>
                    <a:pt x="26" y="102"/>
                  </a:lnTo>
                  <a:lnTo>
                    <a:pt x="0" y="0"/>
                  </a:lnTo>
                  <a:lnTo>
                    <a:pt x="17" y="10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1" name="Freeform 433">
              <a:extLst>
                <a:ext uri="{FF2B5EF4-FFF2-40B4-BE49-F238E27FC236}">
                  <a16:creationId xmlns:a16="http://schemas.microsoft.com/office/drawing/2014/main" id="{3239BF67-D3A9-4D21-A43D-62ABE04AA0DD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26 w 34"/>
                <a:gd name="T1" fmla="*/ 102 h 102"/>
                <a:gd name="T2" fmla="*/ 34 w 34"/>
                <a:gd name="T3" fmla="*/ 99 h 102"/>
                <a:gd name="T4" fmla="*/ 0 w 34"/>
                <a:gd name="T5" fmla="*/ 0 h 102"/>
                <a:gd name="T6" fmla="*/ 26 w 34"/>
                <a:gd name="T7" fmla="*/ 102 h 1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4" h="102">
                  <a:moveTo>
                    <a:pt x="26" y="102"/>
                  </a:moveTo>
                  <a:lnTo>
                    <a:pt x="34" y="99"/>
                  </a:lnTo>
                  <a:lnTo>
                    <a:pt x="0" y="0"/>
                  </a:lnTo>
                  <a:lnTo>
                    <a:pt x="26" y="10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2" name="Freeform 434">
              <a:extLst>
                <a:ext uri="{FF2B5EF4-FFF2-40B4-BE49-F238E27FC236}">
                  <a16:creationId xmlns:a16="http://schemas.microsoft.com/office/drawing/2014/main" id="{52D33F5C-6AD1-490D-9FC4-DFEF720297E4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2"/>
            </a:xfrm>
            <a:custGeom>
              <a:avLst/>
              <a:gdLst>
                <a:gd name="T0" fmla="*/ 34 w 42"/>
                <a:gd name="T1" fmla="*/ 99 h 99"/>
                <a:gd name="T2" fmla="*/ 42 w 42"/>
                <a:gd name="T3" fmla="*/ 96 h 99"/>
                <a:gd name="T4" fmla="*/ 0 w 42"/>
                <a:gd name="T5" fmla="*/ 0 h 99"/>
                <a:gd name="T6" fmla="*/ 34 w 42"/>
                <a:gd name="T7" fmla="*/ 99 h 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2" h="99">
                  <a:moveTo>
                    <a:pt x="34" y="99"/>
                  </a:moveTo>
                  <a:lnTo>
                    <a:pt x="42" y="96"/>
                  </a:lnTo>
                  <a:lnTo>
                    <a:pt x="0" y="0"/>
                  </a:lnTo>
                  <a:lnTo>
                    <a:pt x="34" y="9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3" name="Freeform 435">
              <a:extLst>
                <a:ext uri="{FF2B5EF4-FFF2-40B4-BE49-F238E27FC236}">
                  <a16:creationId xmlns:a16="http://schemas.microsoft.com/office/drawing/2014/main" id="{30627643-EEF5-4994-BE16-2C607E5A28F2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42 w 50"/>
                <a:gd name="T1" fmla="*/ 96 h 96"/>
                <a:gd name="T2" fmla="*/ 50 w 50"/>
                <a:gd name="T3" fmla="*/ 92 h 96"/>
                <a:gd name="T4" fmla="*/ 0 w 50"/>
                <a:gd name="T5" fmla="*/ 0 h 96"/>
                <a:gd name="T6" fmla="*/ 42 w 50"/>
                <a:gd name="T7" fmla="*/ 96 h 9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0" h="96">
                  <a:moveTo>
                    <a:pt x="42" y="96"/>
                  </a:moveTo>
                  <a:lnTo>
                    <a:pt x="50" y="92"/>
                  </a:lnTo>
                  <a:lnTo>
                    <a:pt x="0" y="0"/>
                  </a:lnTo>
                  <a:lnTo>
                    <a:pt x="42" y="9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4" name="Freeform 436">
              <a:extLst>
                <a:ext uri="{FF2B5EF4-FFF2-40B4-BE49-F238E27FC236}">
                  <a16:creationId xmlns:a16="http://schemas.microsoft.com/office/drawing/2014/main" id="{D35BF7B3-5890-4AD0-ACB2-C32C603A8DA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0 w 58"/>
                <a:gd name="T1" fmla="*/ 92 h 92"/>
                <a:gd name="T2" fmla="*/ 58 w 58"/>
                <a:gd name="T3" fmla="*/ 88 h 92"/>
                <a:gd name="T4" fmla="*/ 0 w 58"/>
                <a:gd name="T5" fmla="*/ 0 h 92"/>
                <a:gd name="T6" fmla="*/ 50 w 58"/>
                <a:gd name="T7" fmla="*/ 92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8" h="92">
                  <a:moveTo>
                    <a:pt x="50" y="92"/>
                  </a:moveTo>
                  <a:lnTo>
                    <a:pt x="58" y="88"/>
                  </a:lnTo>
                  <a:lnTo>
                    <a:pt x="0" y="0"/>
                  </a:lnTo>
                  <a:lnTo>
                    <a:pt x="50" y="9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5" name="Freeform 437">
              <a:extLst>
                <a:ext uri="{FF2B5EF4-FFF2-40B4-BE49-F238E27FC236}">
                  <a16:creationId xmlns:a16="http://schemas.microsoft.com/office/drawing/2014/main" id="{D881B540-4A1D-449C-9555-ADBA2DC44C34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58 w 65"/>
                <a:gd name="T1" fmla="*/ 88 h 88"/>
                <a:gd name="T2" fmla="*/ 65 w 65"/>
                <a:gd name="T3" fmla="*/ 83 h 88"/>
                <a:gd name="T4" fmla="*/ 0 w 65"/>
                <a:gd name="T5" fmla="*/ 0 h 88"/>
                <a:gd name="T6" fmla="*/ 58 w 65"/>
                <a:gd name="T7" fmla="*/ 88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5" h="88">
                  <a:moveTo>
                    <a:pt x="58" y="88"/>
                  </a:moveTo>
                  <a:lnTo>
                    <a:pt x="65" y="83"/>
                  </a:lnTo>
                  <a:lnTo>
                    <a:pt x="0" y="0"/>
                  </a:lnTo>
                  <a:lnTo>
                    <a:pt x="58" y="8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6" name="Freeform 438">
              <a:extLst>
                <a:ext uri="{FF2B5EF4-FFF2-40B4-BE49-F238E27FC236}">
                  <a16:creationId xmlns:a16="http://schemas.microsoft.com/office/drawing/2014/main" id="{3FE0749D-AF50-4206-8067-72BEE4A24D6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1" cy="1"/>
            </a:xfrm>
            <a:custGeom>
              <a:avLst/>
              <a:gdLst>
                <a:gd name="T0" fmla="*/ 65 w 71"/>
                <a:gd name="T1" fmla="*/ 83 h 83"/>
                <a:gd name="T2" fmla="*/ 71 w 71"/>
                <a:gd name="T3" fmla="*/ 77 h 83"/>
                <a:gd name="T4" fmla="*/ 0 w 71"/>
                <a:gd name="T5" fmla="*/ 0 h 83"/>
                <a:gd name="T6" fmla="*/ 65 w 71"/>
                <a:gd name="T7" fmla="*/ 83 h 8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1" h="83">
                  <a:moveTo>
                    <a:pt x="65" y="83"/>
                  </a:moveTo>
                  <a:lnTo>
                    <a:pt x="71" y="77"/>
                  </a:lnTo>
                  <a:lnTo>
                    <a:pt x="0" y="0"/>
                  </a:lnTo>
                  <a:lnTo>
                    <a:pt x="65" y="8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7" name="Freeform 439">
              <a:extLst>
                <a:ext uri="{FF2B5EF4-FFF2-40B4-BE49-F238E27FC236}">
                  <a16:creationId xmlns:a16="http://schemas.microsoft.com/office/drawing/2014/main" id="{4504CEB5-FE8E-412B-854F-61E9D16BB0F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1 w 77"/>
                <a:gd name="T1" fmla="*/ 77 h 77"/>
                <a:gd name="T2" fmla="*/ 77 w 77"/>
                <a:gd name="T3" fmla="*/ 71 h 77"/>
                <a:gd name="T4" fmla="*/ 0 w 77"/>
                <a:gd name="T5" fmla="*/ 0 h 77"/>
                <a:gd name="T6" fmla="*/ 71 w 77"/>
                <a:gd name="T7" fmla="*/ 77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7" h="77">
                  <a:moveTo>
                    <a:pt x="71" y="77"/>
                  </a:moveTo>
                  <a:lnTo>
                    <a:pt x="77" y="71"/>
                  </a:lnTo>
                  <a:lnTo>
                    <a:pt x="0" y="0"/>
                  </a:lnTo>
                  <a:lnTo>
                    <a:pt x="71" y="7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8" name="Freeform 440">
              <a:extLst>
                <a:ext uri="{FF2B5EF4-FFF2-40B4-BE49-F238E27FC236}">
                  <a16:creationId xmlns:a16="http://schemas.microsoft.com/office/drawing/2014/main" id="{FC2C755D-83A5-41DF-A1C8-ECD18DD55337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77 w 83"/>
                <a:gd name="T1" fmla="*/ 71 h 71"/>
                <a:gd name="T2" fmla="*/ 83 w 83"/>
                <a:gd name="T3" fmla="*/ 64 h 71"/>
                <a:gd name="T4" fmla="*/ 0 w 83"/>
                <a:gd name="T5" fmla="*/ 0 h 71"/>
                <a:gd name="T6" fmla="*/ 77 w 83"/>
                <a:gd name="T7" fmla="*/ 71 h 7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3" h="71">
                  <a:moveTo>
                    <a:pt x="77" y="71"/>
                  </a:moveTo>
                  <a:lnTo>
                    <a:pt x="83" y="64"/>
                  </a:lnTo>
                  <a:lnTo>
                    <a:pt x="0" y="0"/>
                  </a:lnTo>
                  <a:lnTo>
                    <a:pt x="77" y="71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9" name="Freeform 441">
              <a:extLst>
                <a:ext uri="{FF2B5EF4-FFF2-40B4-BE49-F238E27FC236}">
                  <a16:creationId xmlns:a16="http://schemas.microsoft.com/office/drawing/2014/main" id="{0636B392-E047-4B8F-827C-EDCBD91D28C5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3 w 88"/>
                <a:gd name="T1" fmla="*/ 64 h 64"/>
                <a:gd name="T2" fmla="*/ 88 w 88"/>
                <a:gd name="T3" fmla="*/ 57 h 64"/>
                <a:gd name="T4" fmla="*/ 0 w 88"/>
                <a:gd name="T5" fmla="*/ 0 h 64"/>
                <a:gd name="T6" fmla="*/ 83 w 88"/>
                <a:gd name="T7" fmla="*/ 64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88" h="64">
                  <a:moveTo>
                    <a:pt x="83" y="64"/>
                  </a:moveTo>
                  <a:lnTo>
                    <a:pt x="88" y="57"/>
                  </a:lnTo>
                  <a:lnTo>
                    <a:pt x="0" y="0"/>
                  </a:lnTo>
                  <a:lnTo>
                    <a:pt x="83" y="6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0" name="Freeform 442">
              <a:extLst>
                <a:ext uri="{FF2B5EF4-FFF2-40B4-BE49-F238E27FC236}">
                  <a16:creationId xmlns:a16="http://schemas.microsoft.com/office/drawing/2014/main" id="{568253D6-B649-472F-8BAF-E91339B01005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88 w 93"/>
                <a:gd name="T1" fmla="*/ 57 h 57"/>
                <a:gd name="T2" fmla="*/ 93 w 93"/>
                <a:gd name="T3" fmla="*/ 50 h 57"/>
                <a:gd name="T4" fmla="*/ 0 w 93"/>
                <a:gd name="T5" fmla="*/ 0 h 57"/>
                <a:gd name="T6" fmla="*/ 88 w 93"/>
                <a:gd name="T7" fmla="*/ 57 h 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3" h="57">
                  <a:moveTo>
                    <a:pt x="88" y="57"/>
                  </a:moveTo>
                  <a:lnTo>
                    <a:pt x="93" y="50"/>
                  </a:lnTo>
                  <a:lnTo>
                    <a:pt x="0" y="0"/>
                  </a:lnTo>
                  <a:lnTo>
                    <a:pt x="88" y="5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1" name="Freeform 443">
              <a:extLst>
                <a:ext uri="{FF2B5EF4-FFF2-40B4-BE49-F238E27FC236}">
                  <a16:creationId xmlns:a16="http://schemas.microsoft.com/office/drawing/2014/main" id="{0940A50F-C72E-431F-88D5-9B8BB4DCBC88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3 w 96"/>
                <a:gd name="T1" fmla="*/ 50 h 50"/>
                <a:gd name="T2" fmla="*/ 96 w 96"/>
                <a:gd name="T3" fmla="*/ 42 h 50"/>
                <a:gd name="T4" fmla="*/ 0 w 96"/>
                <a:gd name="T5" fmla="*/ 0 h 50"/>
                <a:gd name="T6" fmla="*/ 93 w 96"/>
                <a:gd name="T7" fmla="*/ 50 h 5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6" h="50">
                  <a:moveTo>
                    <a:pt x="93" y="50"/>
                  </a:moveTo>
                  <a:lnTo>
                    <a:pt x="96" y="42"/>
                  </a:lnTo>
                  <a:lnTo>
                    <a:pt x="0" y="0"/>
                  </a:lnTo>
                  <a:lnTo>
                    <a:pt x="93" y="50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2" name="Freeform 444">
              <a:extLst>
                <a:ext uri="{FF2B5EF4-FFF2-40B4-BE49-F238E27FC236}">
                  <a16:creationId xmlns:a16="http://schemas.microsoft.com/office/drawing/2014/main" id="{D4E28B04-B34B-4657-B224-D19528587B9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1"/>
            </a:xfrm>
            <a:custGeom>
              <a:avLst/>
              <a:gdLst>
                <a:gd name="T0" fmla="*/ 96 w 99"/>
                <a:gd name="T1" fmla="*/ 42 h 42"/>
                <a:gd name="T2" fmla="*/ 99 w 99"/>
                <a:gd name="T3" fmla="*/ 34 h 42"/>
                <a:gd name="T4" fmla="*/ 0 w 99"/>
                <a:gd name="T5" fmla="*/ 0 h 42"/>
                <a:gd name="T6" fmla="*/ 96 w 99"/>
                <a:gd name="T7" fmla="*/ 42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9" h="42">
                  <a:moveTo>
                    <a:pt x="96" y="42"/>
                  </a:moveTo>
                  <a:lnTo>
                    <a:pt x="99" y="34"/>
                  </a:lnTo>
                  <a:lnTo>
                    <a:pt x="0" y="0"/>
                  </a:lnTo>
                  <a:lnTo>
                    <a:pt x="96" y="42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3" name="Freeform 445">
              <a:extLst>
                <a:ext uri="{FF2B5EF4-FFF2-40B4-BE49-F238E27FC236}">
                  <a16:creationId xmlns:a16="http://schemas.microsoft.com/office/drawing/2014/main" id="{3FCF435D-75D0-47C4-A6FB-5FFFFAA333F4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99 w 102"/>
                <a:gd name="T1" fmla="*/ 34 h 34"/>
                <a:gd name="T2" fmla="*/ 102 w 102"/>
                <a:gd name="T3" fmla="*/ 26 h 34"/>
                <a:gd name="T4" fmla="*/ 0 w 102"/>
                <a:gd name="T5" fmla="*/ 0 h 34"/>
                <a:gd name="T6" fmla="*/ 99 w 102"/>
                <a:gd name="T7" fmla="*/ 34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" h="34">
                  <a:moveTo>
                    <a:pt x="99" y="34"/>
                  </a:moveTo>
                  <a:lnTo>
                    <a:pt x="102" y="26"/>
                  </a:lnTo>
                  <a:lnTo>
                    <a:pt x="0" y="0"/>
                  </a:lnTo>
                  <a:lnTo>
                    <a:pt x="99" y="34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4" name="Freeform 446">
              <a:extLst>
                <a:ext uri="{FF2B5EF4-FFF2-40B4-BE49-F238E27FC236}">
                  <a16:creationId xmlns:a16="http://schemas.microsoft.com/office/drawing/2014/main" id="{4DA9ED3F-9C83-4EDB-B4CC-A1A2C1C2073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2 w 104"/>
                <a:gd name="T1" fmla="*/ 26 h 26"/>
                <a:gd name="T2" fmla="*/ 104 w 104"/>
                <a:gd name="T3" fmla="*/ 17 h 26"/>
                <a:gd name="T4" fmla="*/ 0 w 104"/>
                <a:gd name="T5" fmla="*/ 0 h 26"/>
                <a:gd name="T6" fmla="*/ 102 w 104"/>
                <a:gd name="T7" fmla="*/ 26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4" h="26">
                  <a:moveTo>
                    <a:pt x="102" y="26"/>
                  </a:moveTo>
                  <a:lnTo>
                    <a:pt x="104" y="17"/>
                  </a:lnTo>
                  <a:lnTo>
                    <a:pt x="0" y="0"/>
                  </a:lnTo>
                  <a:lnTo>
                    <a:pt x="102" y="26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5" name="Freeform 447">
              <a:extLst>
                <a:ext uri="{FF2B5EF4-FFF2-40B4-BE49-F238E27FC236}">
                  <a16:creationId xmlns:a16="http://schemas.microsoft.com/office/drawing/2014/main" id="{E076060C-AE33-4C11-A47F-C7AEAD2C1F7B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4 w 105"/>
                <a:gd name="T1" fmla="*/ 17 h 17"/>
                <a:gd name="T2" fmla="*/ 105 w 105"/>
                <a:gd name="T3" fmla="*/ 8 h 17"/>
                <a:gd name="T4" fmla="*/ 0 w 105"/>
                <a:gd name="T5" fmla="*/ 0 h 17"/>
                <a:gd name="T6" fmla="*/ 104 w 105"/>
                <a:gd name="T7" fmla="*/ 17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17">
                  <a:moveTo>
                    <a:pt x="104" y="17"/>
                  </a:moveTo>
                  <a:lnTo>
                    <a:pt x="105" y="8"/>
                  </a:lnTo>
                  <a:lnTo>
                    <a:pt x="0" y="0"/>
                  </a:lnTo>
                  <a:lnTo>
                    <a:pt x="104" y="17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6" name="Freeform 448">
              <a:extLst>
                <a:ext uri="{FF2B5EF4-FFF2-40B4-BE49-F238E27FC236}">
                  <a16:creationId xmlns:a16="http://schemas.microsoft.com/office/drawing/2014/main" id="{2091BEEF-96F9-4F19-8859-E46E1815C45E}"/>
                </a:ext>
              </a:extLst>
            </xdr:cNvPr>
            <xdr:cNvSpPr>
              <a:spLocks/>
            </xdr:cNvSpPr>
          </xdr:nvSpPr>
          <xdr:spPr bwMode="auto">
            <a:xfrm>
              <a:off x="1112" y="202"/>
              <a:ext cx="2" cy="0"/>
            </a:xfrm>
            <a:custGeom>
              <a:avLst/>
              <a:gdLst>
                <a:gd name="T0" fmla="*/ 105 w 105"/>
                <a:gd name="T1" fmla="*/ 8 h 8"/>
                <a:gd name="T2" fmla="*/ 105 w 105"/>
                <a:gd name="T3" fmla="*/ 0 h 8"/>
                <a:gd name="T4" fmla="*/ 0 w 105"/>
                <a:gd name="T5" fmla="*/ 0 h 8"/>
                <a:gd name="T6" fmla="*/ 105 w 105"/>
                <a:gd name="T7" fmla="*/ 8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8">
                  <a:moveTo>
                    <a:pt x="105" y="8"/>
                  </a:moveTo>
                  <a:lnTo>
                    <a:pt x="105" y="0"/>
                  </a:lnTo>
                  <a:lnTo>
                    <a:pt x="0" y="0"/>
                  </a:lnTo>
                  <a:lnTo>
                    <a:pt x="105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7" name="Freeform 449">
              <a:extLst>
                <a:ext uri="{FF2B5EF4-FFF2-40B4-BE49-F238E27FC236}">
                  <a16:creationId xmlns:a16="http://schemas.microsoft.com/office/drawing/2014/main" id="{E182B04D-5F90-4E87-B464-A06B1CA3A329}"/>
                </a:ext>
              </a:extLst>
            </xdr:cNvPr>
            <xdr:cNvSpPr>
              <a:spLocks/>
            </xdr:cNvSpPr>
          </xdr:nvSpPr>
          <xdr:spPr bwMode="auto">
            <a:xfrm>
              <a:off x="1178" y="188"/>
              <a:ext cx="6" cy="9"/>
            </a:xfrm>
            <a:custGeom>
              <a:avLst/>
              <a:gdLst>
                <a:gd name="T0" fmla="*/ 0 w 350"/>
                <a:gd name="T1" fmla="*/ 526 h 526"/>
                <a:gd name="T2" fmla="*/ 263 w 350"/>
                <a:gd name="T3" fmla="*/ 526 h 526"/>
                <a:gd name="T4" fmla="*/ 350 w 350"/>
                <a:gd name="T5" fmla="*/ 439 h 526"/>
                <a:gd name="T6" fmla="*/ 350 w 350"/>
                <a:gd name="T7" fmla="*/ 88 h 526"/>
                <a:gd name="T8" fmla="*/ 263 w 350"/>
                <a:gd name="T9" fmla="*/ 0 h 526"/>
                <a:gd name="T10" fmla="*/ 0 w 350"/>
                <a:gd name="T11" fmla="*/ 0 h 5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350" h="526">
                  <a:moveTo>
                    <a:pt x="0" y="526"/>
                  </a:moveTo>
                  <a:lnTo>
                    <a:pt x="263" y="526"/>
                  </a:lnTo>
                  <a:lnTo>
                    <a:pt x="350" y="439"/>
                  </a:lnTo>
                  <a:lnTo>
                    <a:pt x="350" y="88"/>
                  </a:lnTo>
                  <a:lnTo>
                    <a:pt x="263" y="0"/>
                  </a:lnTo>
                  <a:lnTo>
                    <a:pt x="0" y="0"/>
                  </a:lnTo>
                </a:path>
              </a:pathLst>
            </a:cu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38" name="Line 450">
              <a:extLst>
                <a:ext uri="{FF2B5EF4-FFF2-40B4-BE49-F238E27FC236}">
                  <a16:creationId xmlns:a16="http://schemas.microsoft.com/office/drawing/2014/main" id="{02F70BFB-DCC9-4D8D-886D-CB20A6E7239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80" y="188"/>
              <a:ext cx="0" cy="9"/>
            </a:xfrm>
            <a:prstGeom prst="line">
              <a:avLst/>
            </a:prstGeom>
            <a:noFill/>
            <a:ln w="0">
              <a:solidFill>
                <a:srgbClr val="FF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9" name="Freeform 451">
              <a:extLst>
                <a:ext uri="{FF2B5EF4-FFF2-40B4-BE49-F238E27FC236}">
                  <a16:creationId xmlns:a16="http://schemas.microsoft.com/office/drawing/2014/main" id="{DB1A8F05-77DB-485B-8871-FA692C3DD3B1}"/>
                </a:ext>
              </a:extLst>
            </xdr:cNvPr>
            <xdr:cNvSpPr>
              <a:spLocks/>
            </xdr:cNvSpPr>
          </xdr:nvSpPr>
          <xdr:spPr bwMode="auto">
            <a:xfrm>
              <a:off x="1190" y="201"/>
              <a:ext cx="2" cy="1"/>
            </a:xfrm>
            <a:custGeom>
              <a:avLst/>
              <a:gdLst>
                <a:gd name="T0" fmla="*/ 105 w 105"/>
                <a:gd name="T1" fmla="*/ 53 h 53"/>
                <a:gd name="T2" fmla="*/ 91 w 105"/>
                <a:gd name="T3" fmla="*/ 0 h 53"/>
                <a:gd name="T4" fmla="*/ 0 w 105"/>
                <a:gd name="T5" fmla="*/ 53 h 53"/>
                <a:gd name="T6" fmla="*/ 105 w 105"/>
                <a:gd name="T7" fmla="*/ 53 h 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5" h="53">
                  <a:moveTo>
                    <a:pt x="105" y="53"/>
                  </a:moveTo>
                  <a:lnTo>
                    <a:pt x="91" y="0"/>
                  </a:lnTo>
                  <a:lnTo>
                    <a:pt x="0" y="53"/>
                  </a:lnTo>
                  <a:lnTo>
                    <a:pt x="105" y="53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40" name="Freeform 452">
              <a:extLst>
                <a:ext uri="{FF2B5EF4-FFF2-40B4-BE49-F238E27FC236}">
                  <a16:creationId xmlns:a16="http://schemas.microsoft.com/office/drawing/2014/main" id="{D1E3D781-3384-45F2-A7E0-7F3FA8996E5B}"/>
                </a:ext>
              </a:extLst>
            </xdr:cNvPr>
            <xdr:cNvSpPr>
              <a:spLocks/>
            </xdr:cNvSpPr>
          </xdr:nvSpPr>
          <xdr:spPr bwMode="auto">
            <a:xfrm>
              <a:off x="1190" y="200"/>
              <a:ext cx="2" cy="2"/>
            </a:xfrm>
            <a:custGeom>
              <a:avLst/>
              <a:gdLst>
                <a:gd name="T0" fmla="*/ 91 w 91"/>
                <a:gd name="T1" fmla="*/ 39 h 92"/>
                <a:gd name="T2" fmla="*/ 53 w 91"/>
                <a:gd name="T3" fmla="*/ 0 h 92"/>
                <a:gd name="T4" fmla="*/ 0 w 91"/>
                <a:gd name="T5" fmla="*/ 92 h 92"/>
                <a:gd name="T6" fmla="*/ 91 w 91"/>
                <a:gd name="T7" fmla="*/ 39 h 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1" h="92">
                  <a:moveTo>
                    <a:pt x="91" y="39"/>
                  </a:moveTo>
                  <a:lnTo>
                    <a:pt x="53" y="0"/>
                  </a:lnTo>
                  <a:lnTo>
                    <a:pt x="0" y="92"/>
                  </a:lnTo>
                  <a:lnTo>
                    <a:pt x="91" y="39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6" name="Freeform 454">
            <a:extLst>
              <a:ext uri="{FF2B5EF4-FFF2-40B4-BE49-F238E27FC236}">
                <a16:creationId xmlns:a16="http://schemas.microsoft.com/office/drawing/2014/main" id="{D46E5A58-B744-412A-821D-47360259E202}"/>
              </a:ext>
            </a:extLst>
          </xdr:cNvPr>
          <xdr:cNvSpPr>
            <a:spLocks/>
          </xdr:cNvSpPr>
        </xdr:nvSpPr>
        <xdr:spPr bwMode="auto">
          <a:xfrm>
            <a:off x="1190" y="200"/>
            <a:ext cx="1" cy="2"/>
          </a:xfrm>
          <a:custGeom>
            <a:avLst/>
            <a:gdLst>
              <a:gd name="T0" fmla="*/ 53 w 53"/>
              <a:gd name="T1" fmla="*/ 14 h 106"/>
              <a:gd name="T2" fmla="*/ 0 w 53"/>
              <a:gd name="T3" fmla="*/ 0 h 106"/>
              <a:gd name="T4" fmla="*/ 0 w 53"/>
              <a:gd name="T5" fmla="*/ 106 h 106"/>
              <a:gd name="T6" fmla="*/ 53 w 53"/>
              <a:gd name="T7" fmla="*/ 14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14"/>
                </a:moveTo>
                <a:lnTo>
                  <a:pt x="0" y="0"/>
                </a:lnTo>
                <a:lnTo>
                  <a:pt x="0" y="106"/>
                </a:lnTo>
                <a:lnTo>
                  <a:pt x="53" y="14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Freeform 455">
            <a:extLst>
              <a:ext uri="{FF2B5EF4-FFF2-40B4-BE49-F238E27FC236}">
                <a16:creationId xmlns:a16="http://schemas.microsoft.com/office/drawing/2014/main" id="{33F92EC6-8092-4034-A67B-F290FC3645CA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53 w 53"/>
              <a:gd name="T1" fmla="*/ 0 h 106"/>
              <a:gd name="T2" fmla="*/ 0 w 53"/>
              <a:gd name="T3" fmla="*/ 14 h 106"/>
              <a:gd name="T4" fmla="*/ 53 w 53"/>
              <a:gd name="T5" fmla="*/ 106 h 106"/>
              <a:gd name="T6" fmla="*/ 53 w 53"/>
              <a:gd name="T7" fmla="*/ 0 h 1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6">
                <a:moveTo>
                  <a:pt x="53" y="0"/>
                </a:moveTo>
                <a:lnTo>
                  <a:pt x="0" y="14"/>
                </a:lnTo>
                <a:lnTo>
                  <a:pt x="53" y="106"/>
                </a:lnTo>
                <a:lnTo>
                  <a:pt x="53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" name="Freeform 456">
            <a:extLst>
              <a:ext uri="{FF2B5EF4-FFF2-40B4-BE49-F238E27FC236}">
                <a16:creationId xmlns:a16="http://schemas.microsoft.com/office/drawing/2014/main" id="{C36B55EB-466C-45A9-88BE-CC552FACBE8D}"/>
              </a:ext>
            </a:extLst>
          </xdr:cNvPr>
          <xdr:cNvSpPr>
            <a:spLocks/>
          </xdr:cNvSpPr>
        </xdr:nvSpPr>
        <xdr:spPr bwMode="auto">
          <a:xfrm>
            <a:off x="1189" y="200"/>
            <a:ext cx="1" cy="2"/>
          </a:xfrm>
          <a:custGeom>
            <a:avLst/>
            <a:gdLst>
              <a:gd name="T0" fmla="*/ 38 w 91"/>
              <a:gd name="T1" fmla="*/ 0 h 92"/>
              <a:gd name="T2" fmla="*/ 0 w 91"/>
              <a:gd name="T3" fmla="*/ 39 h 92"/>
              <a:gd name="T4" fmla="*/ 91 w 91"/>
              <a:gd name="T5" fmla="*/ 92 h 92"/>
              <a:gd name="T6" fmla="*/ 38 w 91"/>
              <a:gd name="T7" fmla="*/ 0 h 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2">
                <a:moveTo>
                  <a:pt x="38" y="0"/>
                </a:moveTo>
                <a:lnTo>
                  <a:pt x="0" y="39"/>
                </a:lnTo>
                <a:lnTo>
                  <a:pt x="91" y="92"/>
                </a:lnTo>
                <a:lnTo>
                  <a:pt x="38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Freeform 457">
            <a:extLst>
              <a:ext uri="{FF2B5EF4-FFF2-40B4-BE49-F238E27FC236}">
                <a16:creationId xmlns:a16="http://schemas.microsoft.com/office/drawing/2014/main" id="{0FCDAF12-6C9C-4965-8680-E89DBE622CA0}"/>
              </a:ext>
            </a:extLst>
          </xdr:cNvPr>
          <xdr:cNvSpPr>
            <a:spLocks/>
          </xdr:cNvSpPr>
        </xdr:nvSpPr>
        <xdr:spPr bwMode="auto">
          <a:xfrm>
            <a:off x="1188" y="201"/>
            <a:ext cx="2" cy="1"/>
          </a:xfrm>
          <a:custGeom>
            <a:avLst/>
            <a:gdLst>
              <a:gd name="T0" fmla="*/ 15 w 106"/>
              <a:gd name="T1" fmla="*/ 0 h 53"/>
              <a:gd name="T2" fmla="*/ 0 w 106"/>
              <a:gd name="T3" fmla="*/ 53 h 53"/>
              <a:gd name="T4" fmla="*/ 106 w 106"/>
              <a:gd name="T5" fmla="*/ 53 h 53"/>
              <a:gd name="T6" fmla="*/ 15 w 106"/>
              <a:gd name="T7" fmla="*/ 0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3">
                <a:moveTo>
                  <a:pt x="15" y="0"/>
                </a:moveTo>
                <a:lnTo>
                  <a:pt x="0" y="53"/>
                </a:lnTo>
                <a:lnTo>
                  <a:pt x="106" y="53"/>
                </a:lnTo>
                <a:lnTo>
                  <a:pt x="15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" name="Freeform 458">
            <a:extLst>
              <a:ext uri="{FF2B5EF4-FFF2-40B4-BE49-F238E27FC236}">
                <a16:creationId xmlns:a16="http://schemas.microsoft.com/office/drawing/2014/main" id="{0306C67C-FA4A-48F5-831F-8CA83814B0E2}"/>
              </a:ext>
            </a:extLst>
          </xdr:cNvPr>
          <xdr:cNvSpPr>
            <a:spLocks/>
          </xdr:cNvSpPr>
        </xdr:nvSpPr>
        <xdr:spPr bwMode="auto">
          <a:xfrm>
            <a:off x="1188" y="202"/>
            <a:ext cx="2" cy="1"/>
          </a:xfrm>
          <a:custGeom>
            <a:avLst/>
            <a:gdLst>
              <a:gd name="T0" fmla="*/ 0 w 106"/>
              <a:gd name="T1" fmla="*/ 0 h 52"/>
              <a:gd name="T2" fmla="*/ 15 w 106"/>
              <a:gd name="T3" fmla="*/ 52 h 52"/>
              <a:gd name="T4" fmla="*/ 106 w 106"/>
              <a:gd name="T5" fmla="*/ 0 h 52"/>
              <a:gd name="T6" fmla="*/ 0 w 106"/>
              <a:gd name="T7" fmla="*/ 0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6" h="52">
                <a:moveTo>
                  <a:pt x="0" y="0"/>
                </a:moveTo>
                <a:lnTo>
                  <a:pt x="15" y="52"/>
                </a:lnTo>
                <a:lnTo>
                  <a:pt x="106" y="0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" name="Freeform 459">
            <a:extLst>
              <a:ext uri="{FF2B5EF4-FFF2-40B4-BE49-F238E27FC236}">
                <a16:creationId xmlns:a16="http://schemas.microsoft.com/office/drawing/2014/main" id="{BDAE42D3-F1B6-4F2E-8F50-360A27320D57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1"/>
          </a:xfrm>
          <a:custGeom>
            <a:avLst/>
            <a:gdLst>
              <a:gd name="T0" fmla="*/ 0 w 91"/>
              <a:gd name="T1" fmla="*/ 52 h 91"/>
              <a:gd name="T2" fmla="*/ 38 w 91"/>
              <a:gd name="T3" fmla="*/ 91 h 91"/>
              <a:gd name="T4" fmla="*/ 91 w 91"/>
              <a:gd name="T5" fmla="*/ 0 h 91"/>
              <a:gd name="T6" fmla="*/ 0 w 91"/>
              <a:gd name="T7" fmla="*/ 52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0" y="52"/>
                </a:moveTo>
                <a:lnTo>
                  <a:pt x="38" y="91"/>
                </a:lnTo>
                <a:lnTo>
                  <a:pt x="91" y="0"/>
                </a:lnTo>
                <a:lnTo>
                  <a:pt x="0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" name="Freeform 460">
            <a:extLst>
              <a:ext uri="{FF2B5EF4-FFF2-40B4-BE49-F238E27FC236}">
                <a16:creationId xmlns:a16="http://schemas.microsoft.com/office/drawing/2014/main" id="{A3354714-07D3-46B1-9815-FC446A0300DB}"/>
              </a:ext>
            </a:extLst>
          </xdr:cNvPr>
          <xdr:cNvSpPr>
            <a:spLocks/>
          </xdr:cNvSpPr>
        </xdr:nvSpPr>
        <xdr:spPr bwMode="auto">
          <a:xfrm>
            <a:off x="1189" y="202"/>
            <a:ext cx="1" cy="2"/>
          </a:xfrm>
          <a:custGeom>
            <a:avLst/>
            <a:gdLst>
              <a:gd name="T0" fmla="*/ 0 w 53"/>
              <a:gd name="T1" fmla="*/ 91 h 105"/>
              <a:gd name="T2" fmla="*/ 53 w 53"/>
              <a:gd name="T3" fmla="*/ 105 h 105"/>
              <a:gd name="T4" fmla="*/ 53 w 53"/>
              <a:gd name="T5" fmla="*/ 0 h 105"/>
              <a:gd name="T6" fmla="*/ 0 w 53"/>
              <a:gd name="T7" fmla="*/ 9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91"/>
                </a:moveTo>
                <a:lnTo>
                  <a:pt x="53" y="105"/>
                </a:lnTo>
                <a:lnTo>
                  <a:pt x="53" y="0"/>
                </a:lnTo>
                <a:lnTo>
                  <a:pt x="0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" name="Freeform 461">
            <a:extLst>
              <a:ext uri="{FF2B5EF4-FFF2-40B4-BE49-F238E27FC236}">
                <a16:creationId xmlns:a16="http://schemas.microsoft.com/office/drawing/2014/main" id="{3F7900FC-7612-4D0F-B7EA-E1AAB96FC417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1" cy="2"/>
          </a:xfrm>
          <a:custGeom>
            <a:avLst/>
            <a:gdLst>
              <a:gd name="T0" fmla="*/ 0 w 53"/>
              <a:gd name="T1" fmla="*/ 105 h 105"/>
              <a:gd name="T2" fmla="*/ 53 w 53"/>
              <a:gd name="T3" fmla="*/ 91 h 105"/>
              <a:gd name="T4" fmla="*/ 0 w 53"/>
              <a:gd name="T5" fmla="*/ 0 h 105"/>
              <a:gd name="T6" fmla="*/ 0 w 53"/>
              <a:gd name="T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3" h="105">
                <a:moveTo>
                  <a:pt x="0" y="105"/>
                </a:moveTo>
                <a:lnTo>
                  <a:pt x="53" y="91"/>
                </a:lnTo>
                <a:lnTo>
                  <a:pt x="0" y="0"/>
                </a:lnTo>
                <a:lnTo>
                  <a:pt x="0" y="105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4" name="Freeform 462">
            <a:extLst>
              <a:ext uri="{FF2B5EF4-FFF2-40B4-BE49-F238E27FC236}">
                <a16:creationId xmlns:a16="http://schemas.microsoft.com/office/drawing/2014/main" id="{BC537407-F3F6-429C-9147-3A86A9FBFCF2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53 w 91"/>
              <a:gd name="T1" fmla="*/ 91 h 91"/>
              <a:gd name="T2" fmla="*/ 91 w 91"/>
              <a:gd name="T3" fmla="*/ 52 h 91"/>
              <a:gd name="T4" fmla="*/ 0 w 91"/>
              <a:gd name="T5" fmla="*/ 0 h 91"/>
              <a:gd name="T6" fmla="*/ 53 w 91"/>
              <a:gd name="T7" fmla="*/ 91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1" h="91">
                <a:moveTo>
                  <a:pt x="53" y="91"/>
                </a:moveTo>
                <a:lnTo>
                  <a:pt x="91" y="52"/>
                </a:lnTo>
                <a:lnTo>
                  <a:pt x="0" y="0"/>
                </a:lnTo>
                <a:lnTo>
                  <a:pt x="53" y="91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" name="Freeform 463">
            <a:extLst>
              <a:ext uri="{FF2B5EF4-FFF2-40B4-BE49-F238E27FC236}">
                <a16:creationId xmlns:a16="http://schemas.microsoft.com/office/drawing/2014/main" id="{1464EB50-7141-430B-902F-C2D924E9C025}"/>
              </a:ext>
            </a:extLst>
          </xdr:cNvPr>
          <xdr:cNvSpPr>
            <a:spLocks/>
          </xdr:cNvSpPr>
        </xdr:nvSpPr>
        <xdr:spPr bwMode="auto">
          <a:xfrm>
            <a:off x="1190" y="202"/>
            <a:ext cx="2" cy="1"/>
          </a:xfrm>
          <a:custGeom>
            <a:avLst/>
            <a:gdLst>
              <a:gd name="T0" fmla="*/ 91 w 105"/>
              <a:gd name="T1" fmla="*/ 52 h 52"/>
              <a:gd name="T2" fmla="*/ 105 w 105"/>
              <a:gd name="T3" fmla="*/ 0 h 52"/>
              <a:gd name="T4" fmla="*/ 0 w 105"/>
              <a:gd name="T5" fmla="*/ 0 h 52"/>
              <a:gd name="T6" fmla="*/ 91 w 105"/>
              <a:gd name="T7" fmla="*/ 52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5" h="52">
                <a:moveTo>
                  <a:pt x="91" y="52"/>
                </a:moveTo>
                <a:lnTo>
                  <a:pt x="105" y="0"/>
                </a:lnTo>
                <a:lnTo>
                  <a:pt x="0" y="0"/>
                </a:lnTo>
                <a:lnTo>
                  <a:pt x="91" y="52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" name="Line 464">
            <a:extLst>
              <a:ext uri="{FF2B5EF4-FFF2-40B4-BE49-F238E27FC236}">
                <a16:creationId xmlns:a16="http://schemas.microsoft.com/office/drawing/2014/main" id="{1250E035-4D37-4CDB-A833-04E64C19D047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465">
            <a:extLst>
              <a:ext uri="{FF2B5EF4-FFF2-40B4-BE49-F238E27FC236}">
                <a16:creationId xmlns:a16="http://schemas.microsoft.com/office/drawing/2014/main" id="{5206B40D-85F3-413B-8D47-05889FF5CF73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466">
            <a:extLst>
              <a:ext uri="{FF2B5EF4-FFF2-40B4-BE49-F238E27FC236}">
                <a16:creationId xmlns:a16="http://schemas.microsoft.com/office/drawing/2014/main" id="{C20C452D-0A74-4762-9B58-9E6560674930}"/>
              </a:ext>
            </a:extLst>
          </xdr:cNvPr>
          <xdr:cNvSpPr>
            <a:spLocks noChangeShapeType="1"/>
          </xdr:cNvSpPr>
        </xdr:nvSpPr>
        <xdr:spPr bwMode="auto">
          <a:xfrm>
            <a:off x="842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Freeform 467">
            <a:extLst>
              <a:ext uri="{FF2B5EF4-FFF2-40B4-BE49-F238E27FC236}">
                <a16:creationId xmlns:a16="http://schemas.microsoft.com/office/drawing/2014/main" id="{480649D8-1367-4F8A-B486-799787CBA5DB}"/>
              </a:ext>
            </a:extLst>
          </xdr:cNvPr>
          <xdr:cNvSpPr>
            <a:spLocks/>
          </xdr:cNvSpPr>
        </xdr:nvSpPr>
        <xdr:spPr bwMode="auto">
          <a:xfrm>
            <a:off x="833" y="268"/>
            <a:ext cx="9" cy="2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" name="Freeform 468">
            <a:extLst>
              <a:ext uri="{FF2B5EF4-FFF2-40B4-BE49-F238E27FC236}">
                <a16:creationId xmlns:a16="http://schemas.microsoft.com/office/drawing/2014/main" id="{4A5ED9EC-2BCF-4141-80E4-B6C336546D02}"/>
              </a:ext>
            </a:extLst>
          </xdr:cNvPr>
          <xdr:cNvSpPr>
            <a:spLocks/>
          </xdr:cNvSpPr>
        </xdr:nvSpPr>
        <xdr:spPr bwMode="auto">
          <a:xfrm>
            <a:off x="922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1" name="Line 474">
            <a:extLst>
              <a:ext uri="{FF2B5EF4-FFF2-40B4-BE49-F238E27FC236}">
                <a16:creationId xmlns:a16="http://schemas.microsoft.com/office/drawing/2014/main" id="{03008C20-4AB3-4F11-9794-7BF6DEC555DE}"/>
              </a:ext>
            </a:extLst>
          </xdr:cNvPr>
          <xdr:cNvSpPr>
            <a:spLocks noChangeShapeType="1"/>
          </xdr:cNvSpPr>
        </xdr:nvSpPr>
        <xdr:spPr bwMode="auto">
          <a:xfrm>
            <a:off x="931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75">
            <a:extLst>
              <a:ext uri="{FF2B5EF4-FFF2-40B4-BE49-F238E27FC236}">
                <a16:creationId xmlns:a16="http://schemas.microsoft.com/office/drawing/2014/main" id="{39BF4429-E518-409D-920D-451908BB12DB}"/>
              </a:ext>
            </a:extLst>
          </xdr:cNvPr>
          <xdr:cNvSpPr>
            <a:spLocks noChangeShapeType="1"/>
          </xdr:cNvSpPr>
        </xdr:nvSpPr>
        <xdr:spPr bwMode="auto">
          <a:xfrm>
            <a:off x="1029" y="24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76">
            <a:extLst>
              <a:ext uri="{FF2B5EF4-FFF2-40B4-BE49-F238E27FC236}">
                <a16:creationId xmlns:a16="http://schemas.microsoft.com/office/drawing/2014/main" id="{8108DB28-EE70-49ED-BD93-D1B5D60F664B}"/>
              </a:ext>
            </a:extLst>
          </xdr:cNvPr>
          <xdr:cNvSpPr>
            <a:spLocks noChangeShapeType="1"/>
          </xdr:cNvSpPr>
        </xdr:nvSpPr>
        <xdr:spPr bwMode="auto">
          <a:xfrm>
            <a:off x="940" y="269"/>
            <a:ext cx="8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Freeform 477">
            <a:extLst>
              <a:ext uri="{FF2B5EF4-FFF2-40B4-BE49-F238E27FC236}">
                <a16:creationId xmlns:a16="http://schemas.microsoft.com/office/drawing/2014/main" id="{9D9D1C3D-2CC7-4115-A19E-DC2E613A1921}"/>
              </a:ext>
            </a:extLst>
          </xdr:cNvPr>
          <xdr:cNvSpPr>
            <a:spLocks/>
          </xdr:cNvSpPr>
        </xdr:nvSpPr>
        <xdr:spPr bwMode="auto">
          <a:xfrm>
            <a:off x="931" y="268"/>
            <a:ext cx="9" cy="2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8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8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5" name="Freeform 478">
            <a:extLst>
              <a:ext uri="{FF2B5EF4-FFF2-40B4-BE49-F238E27FC236}">
                <a16:creationId xmlns:a16="http://schemas.microsoft.com/office/drawing/2014/main" id="{21C586BF-B470-4559-95D9-D8DDF4A7EB57}"/>
              </a:ext>
            </a:extLst>
          </xdr:cNvPr>
          <xdr:cNvSpPr>
            <a:spLocks/>
          </xdr:cNvSpPr>
        </xdr:nvSpPr>
        <xdr:spPr bwMode="auto">
          <a:xfrm>
            <a:off x="1020" y="268"/>
            <a:ext cx="9" cy="2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6" name="Line 484">
            <a:extLst>
              <a:ext uri="{FF2B5EF4-FFF2-40B4-BE49-F238E27FC236}">
                <a16:creationId xmlns:a16="http://schemas.microsoft.com/office/drawing/2014/main" id="{CC199B25-DB4E-477A-8A33-AB151BE2A478}"/>
              </a:ext>
            </a:extLst>
          </xdr:cNvPr>
          <xdr:cNvSpPr>
            <a:spLocks noChangeShapeType="1"/>
          </xdr:cNvSpPr>
        </xdr:nvSpPr>
        <xdr:spPr bwMode="auto">
          <a:xfrm>
            <a:off x="833" y="240"/>
            <a:ext cx="0" cy="89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485">
            <a:extLst>
              <a:ext uri="{FF2B5EF4-FFF2-40B4-BE49-F238E27FC236}">
                <a16:creationId xmlns:a16="http://schemas.microsoft.com/office/drawing/2014/main" id="{AEBB6E6C-E374-40AE-8262-B178BC8E72FB}"/>
              </a:ext>
            </a:extLst>
          </xdr:cNvPr>
          <xdr:cNvSpPr>
            <a:spLocks noChangeShapeType="1"/>
          </xdr:cNvSpPr>
        </xdr:nvSpPr>
        <xdr:spPr bwMode="auto">
          <a:xfrm>
            <a:off x="1190" y="299"/>
            <a:ext cx="0" cy="3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86">
            <a:extLst>
              <a:ext uri="{FF2B5EF4-FFF2-40B4-BE49-F238E27FC236}">
                <a16:creationId xmlns:a16="http://schemas.microsoft.com/office/drawing/2014/main" id="{2CF30AE3-C0EE-48CE-B038-8CB7D99F255A}"/>
              </a:ext>
            </a:extLst>
          </xdr:cNvPr>
          <xdr:cNvSpPr>
            <a:spLocks noChangeShapeType="1"/>
          </xdr:cNvSpPr>
        </xdr:nvSpPr>
        <xdr:spPr bwMode="auto">
          <a:xfrm>
            <a:off x="842" y="325"/>
            <a:ext cx="339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Freeform 487">
            <a:extLst>
              <a:ext uri="{FF2B5EF4-FFF2-40B4-BE49-F238E27FC236}">
                <a16:creationId xmlns:a16="http://schemas.microsoft.com/office/drawing/2014/main" id="{1CAD924E-0B7B-4994-A6C9-B2BC93075718}"/>
              </a:ext>
            </a:extLst>
          </xdr:cNvPr>
          <xdr:cNvSpPr>
            <a:spLocks/>
          </xdr:cNvSpPr>
        </xdr:nvSpPr>
        <xdr:spPr bwMode="auto">
          <a:xfrm>
            <a:off x="833" y="323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8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8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" name="Freeform 488">
            <a:extLst>
              <a:ext uri="{FF2B5EF4-FFF2-40B4-BE49-F238E27FC236}">
                <a16:creationId xmlns:a16="http://schemas.microsoft.com/office/drawing/2014/main" id="{EC116FCA-12AE-4D09-8B97-87697F4493A4}"/>
              </a:ext>
            </a:extLst>
          </xdr:cNvPr>
          <xdr:cNvSpPr>
            <a:spLocks/>
          </xdr:cNvSpPr>
        </xdr:nvSpPr>
        <xdr:spPr bwMode="auto">
          <a:xfrm>
            <a:off x="1181" y="323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8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8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" name="Line 494">
            <a:extLst>
              <a:ext uri="{FF2B5EF4-FFF2-40B4-BE49-F238E27FC236}">
                <a16:creationId xmlns:a16="http://schemas.microsoft.com/office/drawing/2014/main" id="{C2CFA7B6-3D3C-4AB9-AD47-E28BCE8E69AF}"/>
              </a:ext>
            </a:extLst>
          </xdr:cNvPr>
          <xdr:cNvSpPr>
            <a:spLocks noChangeShapeType="1"/>
          </xdr:cNvSpPr>
        </xdr:nvSpPr>
        <xdr:spPr bwMode="auto">
          <a:xfrm flipV="1">
            <a:off x="1029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495">
            <a:extLst>
              <a:ext uri="{FF2B5EF4-FFF2-40B4-BE49-F238E27FC236}">
                <a16:creationId xmlns:a16="http://schemas.microsoft.com/office/drawing/2014/main" id="{3FA00640-A7F7-4F17-A044-9063FDE743C2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496">
            <a:extLst>
              <a:ext uri="{FF2B5EF4-FFF2-40B4-BE49-F238E27FC236}">
                <a16:creationId xmlns:a16="http://schemas.microsoft.com/office/drawing/2014/main" id="{D9CE81E7-3DE2-4B9B-9619-CF4DCCAE6451}"/>
              </a:ext>
            </a:extLst>
          </xdr:cNvPr>
          <xdr:cNvSpPr>
            <a:spLocks noChangeShapeType="1"/>
          </xdr:cNvSpPr>
        </xdr:nvSpPr>
        <xdr:spPr bwMode="auto">
          <a:xfrm>
            <a:off x="1038" y="86"/>
            <a:ext cx="6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Freeform 497">
            <a:extLst>
              <a:ext uri="{FF2B5EF4-FFF2-40B4-BE49-F238E27FC236}">
                <a16:creationId xmlns:a16="http://schemas.microsoft.com/office/drawing/2014/main" id="{2C47D340-8321-449C-AE7B-95505CE70BD5}"/>
              </a:ext>
            </a:extLst>
          </xdr:cNvPr>
          <xdr:cNvSpPr>
            <a:spLocks/>
          </xdr:cNvSpPr>
        </xdr:nvSpPr>
        <xdr:spPr bwMode="auto">
          <a:xfrm>
            <a:off x="1029" y="84"/>
            <a:ext cx="9" cy="3"/>
          </a:xfrm>
          <a:custGeom>
            <a:avLst/>
            <a:gdLst>
              <a:gd name="T0" fmla="*/ 527 w 527"/>
              <a:gd name="T1" fmla="*/ 0 h 175"/>
              <a:gd name="T2" fmla="*/ 527 w 527"/>
              <a:gd name="T3" fmla="*/ 175 h 175"/>
              <a:gd name="T4" fmla="*/ 0 w 527"/>
              <a:gd name="T5" fmla="*/ 87 h 175"/>
              <a:gd name="T6" fmla="*/ 527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527" y="0"/>
                </a:moveTo>
                <a:lnTo>
                  <a:pt x="527" y="175"/>
                </a:lnTo>
                <a:lnTo>
                  <a:pt x="0" y="87"/>
                </a:lnTo>
                <a:lnTo>
                  <a:pt x="527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" name="Freeform 498">
            <a:extLst>
              <a:ext uri="{FF2B5EF4-FFF2-40B4-BE49-F238E27FC236}">
                <a16:creationId xmlns:a16="http://schemas.microsoft.com/office/drawing/2014/main" id="{FA35F444-4A53-4B13-90BB-4158F45E69A2}"/>
              </a:ext>
            </a:extLst>
          </xdr:cNvPr>
          <xdr:cNvSpPr>
            <a:spLocks/>
          </xdr:cNvSpPr>
        </xdr:nvSpPr>
        <xdr:spPr bwMode="auto">
          <a:xfrm>
            <a:off x="1103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" name="Line 504">
            <a:extLst>
              <a:ext uri="{FF2B5EF4-FFF2-40B4-BE49-F238E27FC236}">
                <a16:creationId xmlns:a16="http://schemas.microsoft.com/office/drawing/2014/main" id="{A774025E-7E8C-4164-A615-B348AF7DE3B4}"/>
              </a:ext>
            </a:extLst>
          </xdr:cNvPr>
          <xdr:cNvSpPr>
            <a:spLocks noChangeShapeType="1"/>
          </xdr:cNvSpPr>
        </xdr:nvSpPr>
        <xdr:spPr bwMode="auto">
          <a:xfrm flipV="1">
            <a:off x="1112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505">
            <a:extLst>
              <a:ext uri="{FF2B5EF4-FFF2-40B4-BE49-F238E27FC236}">
                <a16:creationId xmlns:a16="http://schemas.microsoft.com/office/drawing/2014/main" id="{4A94364B-3F10-4E0F-B2FA-D930A64B9BFA}"/>
              </a:ext>
            </a:extLst>
          </xdr:cNvPr>
          <xdr:cNvSpPr>
            <a:spLocks noChangeShapeType="1"/>
          </xdr:cNvSpPr>
        </xdr:nvSpPr>
        <xdr:spPr bwMode="auto">
          <a:xfrm flipV="1">
            <a:off x="1190" y="81"/>
            <a:ext cx="0" cy="24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506">
            <a:extLst>
              <a:ext uri="{FF2B5EF4-FFF2-40B4-BE49-F238E27FC236}">
                <a16:creationId xmlns:a16="http://schemas.microsoft.com/office/drawing/2014/main" id="{87B96C8A-5052-4425-93E5-A773187D64D2}"/>
              </a:ext>
            </a:extLst>
          </xdr:cNvPr>
          <xdr:cNvSpPr>
            <a:spLocks noChangeShapeType="1"/>
          </xdr:cNvSpPr>
        </xdr:nvSpPr>
        <xdr:spPr bwMode="auto">
          <a:xfrm>
            <a:off x="1121" y="86"/>
            <a:ext cx="60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Freeform 507">
            <a:extLst>
              <a:ext uri="{FF2B5EF4-FFF2-40B4-BE49-F238E27FC236}">
                <a16:creationId xmlns:a16="http://schemas.microsoft.com/office/drawing/2014/main" id="{36F47DDC-0A4A-4CBE-83A3-E81A994017F8}"/>
              </a:ext>
            </a:extLst>
          </xdr:cNvPr>
          <xdr:cNvSpPr>
            <a:spLocks/>
          </xdr:cNvSpPr>
        </xdr:nvSpPr>
        <xdr:spPr bwMode="auto">
          <a:xfrm>
            <a:off x="1112" y="84"/>
            <a:ext cx="9" cy="3"/>
          </a:xfrm>
          <a:custGeom>
            <a:avLst/>
            <a:gdLst>
              <a:gd name="T0" fmla="*/ 526 w 526"/>
              <a:gd name="T1" fmla="*/ 0 h 175"/>
              <a:gd name="T2" fmla="*/ 526 w 526"/>
              <a:gd name="T3" fmla="*/ 175 h 175"/>
              <a:gd name="T4" fmla="*/ 0 w 526"/>
              <a:gd name="T5" fmla="*/ 87 h 175"/>
              <a:gd name="T6" fmla="*/ 526 w 526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6" h="175">
                <a:moveTo>
                  <a:pt x="526" y="0"/>
                </a:moveTo>
                <a:lnTo>
                  <a:pt x="526" y="175"/>
                </a:lnTo>
                <a:lnTo>
                  <a:pt x="0" y="87"/>
                </a:lnTo>
                <a:lnTo>
                  <a:pt x="526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" name="Freeform 508">
            <a:extLst>
              <a:ext uri="{FF2B5EF4-FFF2-40B4-BE49-F238E27FC236}">
                <a16:creationId xmlns:a16="http://schemas.microsoft.com/office/drawing/2014/main" id="{98551A69-D255-44F8-98D5-37DDFEC8F40F}"/>
              </a:ext>
            </a:extLst>
          </xdr:cNvPr>
          <xdr:cNvSpPr>
            <a:spLocks/>
          </xdr:cNvSpPr>
        </xdr:nvSpPr>
        <xdr:spPr bwMode="auto">
          <a:xfrm>
            <a:off x="1181" y="84"/>
            <a:ext cx="9" cy="3"/>
          </a:xfrm>
          <a:custGeom>
            <a:avLst/>
            <a:gdLst>
              <a:gd name="T0" fmla="*/ 0 w 527"/>
              <a:gd name="T1" fmla="*/ 0 h 175"/>
              <a:gd name="T2" fmla="*/ 0 w 527"/>
              <a:gd name="T3" fmla="*/ 175 h 175"/>
              <a:gd name="T4" fmla="*/ 527 w 527"/>
              <a:gd name="T5" fmla="*/ 87 h 175"/>
              <a:gd name="T6" fmla="*/ 0 w 527"/>
              <a:gd name="T7" fmla="*/ 0 h 1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27" h="175">
                <a:moveTo>
                  <a:pt x="0" y="0"/>
                </a:moveTo>
                <a:lnTo>
                  <a:pt x="0" y="175"/>
                </a:lnTo>
                <a:lnTo>
                  <a:pt x="527" y="8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" name="Line 514">
            <a:extLst>
              <a:ext uri="{FF2B5EF4-FFF2-40B4-BE49-F238E27FC236}">
                <a16:creationId xmlns:a16="http://schemas.microsoft.com/office/drawing/2014/main" id="{00852A91-9D5C-4D54-886C-8758F600306C}"/>
              </a:ext>
            </a:extLst>
          </xdr:cNvPr>
          <xdr:cNvSpPr>
            <a:spLocks noChangeShapeType="1"/>
          </xdr:cNvSpPr>
        </xdr:nvSpPr>
        <xdr:spPr bwMode="auto">
          <a:xfrm>
            <a:off x="1226" y="107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15">
            <a:extLst>
              <a:ext uri="{FF2B5EF4-FFF2-40B4-BE49-F238E27FC236}">
                <a16:creationId xmlns:a16="http://schemas.microsoft.com/office/drawing/2014/main" id="{10FDA9C4-9571-4C08-8D4E-BE6B1628401E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516">
            <a:extLst>
              <a:ext uri="{FF2B5EF4-FFF2-40B4-BE49-F238E27FC236}">
                <a16:creationId xmlns:a16="http://schemas.microsoft.com/office/drawing/2014/main" id="{CAB5A29D-145D-4E67-AE5D-BAAC1513218F}"/>
              </a:ext>
            </a:extLst>
          </xdr:cNvPr>
          <xdr:cNvSpPr>
            <a:spLocks noChangeShapeType="1"/>
          </xdr:cNvSpPr>
        </xdr:nvSpPr>
        <xdr:spPr bwMode="auto">
          <a:xfrm>
            <a:off x="1240" y="116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517">
            <a:extLst>
              <a:ext uri="{FF2B5EF4-FFF2-40B4-BE49-F238E27FC236}">
                <a16:creationId xmlns:a16="http://schemas.microsoft.com/office/drawing/2014/main" id="{8F12F05C-6C95-4A0E-86BB-CD936942B7BC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160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518">
            <a:extLst>
              <a:ext uri="{FF2B5EF4-FFF2-40B4-BE49-F238E27FC236}">
                <a16:creationId xmlns:a16="http://schemas.microsoft.com/office/drawing/2014/main" id="{A6A52250-9784-4E52-A10B-2A9B0D78A367}"/>
              </a:ext>
            </a:extLst>
          </xdr:cNvPr>
          <xdr:cNvSpPr>
            <a:spLocks/>
          </xdr:cNvSpPr>
        </xdr:nvSpPr>
        <xdr:spPr bwMode="auto">
          <a:xfrm>
            <a:off x="1238" y="107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" name="Freeform 519">
            <a:extLst>
              <a:ext uri="{FF2B5EF4-FFF2-40B4-BE49-F238E27FC236}">
                <a16:creationId xmlns:a16="http://schemas.microsoft.com/office/drawing/2014/main" id="{4757030E-EFD6-4313-B22F-2E05F68C3920}"/>
              </a:ext>
            </a:extLst>
          </xdr:cNvPr>
          <xdr:cNvSpPr>
            <a:spLocks/>
          </xdr:cNvSpPr>
        </xdr:nvSpPr>
        <xdr:spPr bwMode="auto">
          <a:xfrm>
            <a:off x="1238" y="193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7" name="Freeform 520">
            <a:extLst>
              <a:ext uri="{FF2B5EF4-FFF2-40B4-BE49-F238E27FC236}">
                <a16:creationId xmlns:a16="http://schemas.microsoft.com/office/drawing/2014/main" id="{04E3DFE4-E8F7-4BEB-87B7-E2C25C89736B}"/>
              </a:ext>
            </a:extLst>
          </xdr:cNvPr>
          <xdr:cNvSpPr>
            <a:spLocks/>
          </xdr:cNvSpPr>
        </xdr:nvSpPr>
        <xdr:spPr bwMode="auto">
          <a:xfrm>
            <a:off x="1208" y="153"/>
            <a:ext cx="3" cy="5"/>
          </a:xfrm>
          <a:custGeom>
            <a:avLst/>
            <a:gdLst>
              <a:gd name="T0" fmla="*/ 140 w 210"/>
              <a:gd name="T1" fmla="*/ 280 h 280"/>
              <a:gd name="T2" fmla="*/ 70 w 210"/>
              <a:gd name="T3" fmla="*/ 280 h 280"/>
              <a:gd name="T4" fmla="*/ 0 w 210"/>
              <a:gd name="T5" fmla="*/ 210 h 280"/>
              <a:gd name="T6" fmla="*/ 0 w 210"/>
              <a:gd name="T7" fmla="*/ 70 h 280"/>
              <a:gd name="T8" fmla="*/ 70 w 210"/>
              <a:gd name="T9" fmla="*/ 0 h 280"/>
              <a:gd name="T10" fmla="*/ 140 w 210"/>
              <a:gd name="T11" fmla="*/ 0 h 280"/>
              <a:gd name="T12" fmla="*/ 210 w 210"/>
              <a:gd name="T13" fmla="*/ 70 h 280"/>
              <a:gd name="T14" fmla="*/ 210 w 210"/>
              <a:gd name="T15" fmla="*/ 210 h 280"/>
              <a:gd name="T16" fmla="*/ 140 w 21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0">
                <a:moveTo>
                  <a:pt x="14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10" y="70"/>
                </a:lnTo>
                <a:lnTo>
                  <a:pt x="210" y="210"/>
                </a:lnTo>
                <a:lnTo>
                  <a:pt x="140" y="28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Line 521">
            <a:extLst>
              <a:ext uri="{FF2B5EF4-FFF2-40B4-BE49-F238E27FC236}">
                <a16:creationId xmlns:a16="http://schemas.microsoft.com/office/drawing/2014/main" id="{B0EA76F9-D90B-4FB0-93F0-1F876DBF7150}"/>
              </a:ext>
            </a:extLst>
          </xdr:cNvPr>
          <xdr:cNvSpPr>
            <a:spLocks noChangeShapeType="1"/>
          </xdr:cNvSpPr>
        </xdr:nvSpPr>
        <xdr:spPr bwMode="auto">
          <a:xfrm>
            <a:off x="1211" y="157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522">
            <a:extLst>
              <a:ext uri="{FF2B5EF4-FFF2-40B4-BE49-F238E27FC236}">
                <a16:creationId xmlns:a16="http://schemas.microsoft.com/office/drawing/2014/main" id="{997BAA6F-AED0-4DB3-BC54-3455DA2BB88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157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Freeform 523">
            <a:extLst>
              <a:ext uri="{FF2B5EF4-FFF2-40B4-BE49-F238E27FC236}">
                <a16:creationId xmlns:a16="http://schemas.microsoft.com/office/drawing/2014/main" id="{875C9A9F-A7CA-48EA-A5DE-608C8C1CC074}"/>
              </a:ext>
            </a:extLst>
          </xdr:cNvPr>
          <xdr:cNvSpPr>
            <a:spLocks/>
          </xdr:cNvSpPr>
        </xdr:nvSpPr>
        <xdr:spPr bwMode="auto">
          <a:xfrm>
            <a:off x="1217" y="151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1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1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Line 524">
            <a:extLst>
              <a:ext uri="{FF2B5EF4-FFF2-40B4-BE49-F238E27FC236}">
                <a16:creationId xmlns:a16="http://schemas.microsoft.com/office/drawing/2014/main" id="{BC672325-AFE9-4521-A688-4F13D5612B9B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151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Freeform 525">
            <a:extLst>
              <a:ext uri="{FF2B5EF4-FFF2-40B4-BE49-F238E27FC236}">
                <a16:creationId xmlns:a16="http://schemas.microsoft.com/office/drawing/2014/main" id="{D39BABBF-15DC-4DCF-A551-86F4704BDF5E}"/>
              </a:ext>
            </a:extLst>
          </xdr:cNvPr>
          <xdr:cNvSpPr>
            <a:spLocks/>
          </xdr:cNvSpPr>
        </xdr:nvSpPr>
        <xdr:spPr bwMode="auto">
          <a:xfrm>
            <a:off x="1231" y="151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1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1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Line 526">
            <a:extLst>
              <a:ext uri="{FF2B5EF4-FFF2-40B4-BE49-F238E27FC236}">
                <a16:creationId xmlns:a16="http://schemas.microsoft.com/office/drawing/2014/main" id="{61641B5A-881B-495A-9628-40A4396771BF}"/>
              </a:ext>
            </a:extLst>
          </xdr:cNvPr>
          <xdr:cNvSpPr>
            <a:spLocks noChangeShapeType="1"/>
          </xdr:cNvSpPr>
        </xdr:nvSpPr>
        <xdr:spPr bwMode="auto">
          <a:xfrm>
            <a:off x="1239" y="153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527">
            <a:extLst>
              <a:ext uri="{FF2B5EF4-FFF2-40B4-BE49-F238E27FC236}">
                <a16:creationId xmlns:a16="http://schemas.microsoft.com/office/drawing/2014/main" id="{AF748950-467F-4FDD-9A6B-19233A0196A5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156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534">
            <a:extLst>
              <a:ext uri="{FF2B5EF4-FFF2-40B4-BE49-F238E27FC236}">
                <a16:creationId xmlns:a16="http://schemas.microsoft.com/office/drawing/2014/main" id="{1CADCF74-65C7-4324-8FDE-F72D8F985EB9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5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535">
            <a:extLst>
              <a:ext uri="{FF2B5EF4-FFF2-40B4-BE49-F238E27FC236}">
                <a16:creationId xmlns:a16="http://schemas.microsoft.com/office/drawing/2014/main" id="{CA35AE43-27DB-4B53-80B0-773D7B406CC2}"/>
              </a:ext>
            </a:extLst>
          </xdr:cNvPr>
          <xdr:cNvSpPr>
            <a:spLocks noChangeShapeType="1"/>
          </xdr:cNvSpPr>
        </xdr:nvSpPr>
        <xdr:spPr bwMode="auto">
          <a:xfrm>
            <a:off x="1226" y="296"/>
            <a:ext cx="18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536">
            <a:extLst>
              <a:ext uri="{FF2B5EF4-FFF2-40B4-BE49-F238E27FC236}">
                <a16:creationId xmlns:a16="http://schemas.microsoft.com/office/drawing/2014/main" id="{C6EBDD4E-2F92-4C74-9319-847588B1C92D}"/>
              </a:ext>
            </a:extLst>
          </xdr:cNvPr>
          <xdr:cNvSpPr>
            <a:spLocks noChangeShapeType="1"/>
          </xdr:cNvSpPr>
        </xdr:nvSpPr>
        <xdr:spPr bwMode="auto">
          <a:xfrm>
            <a:off x="1240" y="211"/>
            <a:ext cx="0" cy="3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537">
            <a:extLst>
              <a:ext uri="{FF2B5EF4-FFF2-40B4-BE49-F238E27FC236}">
                <a16:creationId xmlns:a16="http://schemas.microsoft.com/office/drawing/2014/main" id="{6666D592-44B5-434C-890C-20A05DCF8D1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0" y="255"/>
            <a:ext cx="0" cy="3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Freeform 538">
            <a:extLst>
              <a:ext uri="{FF2B5EF4-FFF2-40B4-BE49-F238E27FC236}">
                <a16:creationId xmlns:a16="http://schemas.microsoft.com/office/drawing/2014/main" id="{67C96463-E62B-4690-AF61-CD8FFED1469F}"/>
              </a:ext>
            </a:extLst>
          </xdr:cNvPr>
          <xdr:cNvSpPr>
            <a:spLocks/>
          </xdr:cNvSpPr>
        </xdr:nvSpPr>
        <xdr:spPr bwMode="auto">
          <a:xfrm>
            <a:off x="123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0" name="Freeform 539">
            <a:extLst>
              <a:ext uri="{FF2B5EF4-FFF2-40B4-BE49-F238E27FC236}">
                <a16:creationId xmlns:a16="http://schemas.microsoft.com/office/drawing/2014/main" id="{7ACCF352-8C94-43D8-AC13-3FB70C68D1AD}"/>
              </a:ext>
            </a:extLst>
          </xdr:cNvPr>
          <xdr:cNvSpPr>
            <a:spLocks/>
          </xdr:cNvSpPr>
        </xdr:nvSpPr>
        <xdr:spPr bwMode="auto">
          <a:xfrm>
            <a:off x="1238" y="288"/>
            <a:ext cx="3" cy="8"/>
          </a:xfrm>
          <a:custGeom>
            <a:avLst/>
            <a:gdLst>
              <a:gd name="T0" fmla="*/ 0 w 175"/>
              <a:gd name="T1" fmla="*/ 0 h 526"/>
              <a:gd name="T2" fmla="*/ 175 w 175"/>
              <a:gd name="T3" fmla="*/ 0 h 526"/>
              <a:gd name="T4" fmla="*/ 88 w 175"/>
              <a:gd name="T5" fmla="*/ 526 h 526"/>
              <a:gd name="T6" fmla="*/ 0 w 175"/>
              <a:gd name="T7" fmla="*/ 0 h 5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6">
                <a:moveTo>
                  <a:pt x="0" y="0"/>
                </a:moveTo>
                <a:lnTo>
                  <a:pt x="175" y="0"/>
                </a:lnTo>
                <a:lnTo>
                  <a:pt x="88" y="526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" name="Freeform 540">
            <a:extLst>
              <a:ext uri="{FF2B5EF4-FFF2-40B4-BE49-F238E27FC236}">
                <a16:creationId xmlns:a16="http://schemas.microsoft.com/office/drawing/2014/main" id="{7718A605-AD1E-4AD9-AF33-E0C160F743EC}"/>
              </a:ext>
            </a:extLst>
          </xdr:cNvPr>
          <xdr:cNvSpPr>
            <a:spLocks/>
          </xdr:cNvSpPr>
        </xdr:nvSpPr>
        <xdr:spPr bwMode="auto">
          <a:xfrm>
            <a:off x="1208" y="248"/>
            <a:ext cx="3" cy="5"/>
          </a:xfrm>
          <a:custGeom>
            <a:avLst/>
            <a:gdLst>
              <a:gd name="T0" fmla="*/ 140 w 210"/>
              <a:gd name="T1" fmla="*/ 281 h 281"/>
              <a:gd name="T2" fmla="*/ 70 w 210"/>
              <a:gd name="T3" fmla="*/ 281 h 281"/>
              <a:gd name="T4" fmla="*/ 0 w 210"/>
              <a:gd name="T5" fmla="*/ 211 h 281"/>
              <a:gd name="T6" fmla="*/ 0 w 210"/>
              <a:gd name="T7" fmla="*/ 71 h 281"/>
              <a:gd name="T8" fmla="*/ 70 w 210"/>
              <a:gd name="T9" fmla="*/ 0 h 281"/>
              <a:gd name="T10" fmla="*/ 140 w 210"/>
              <a:gd name="T11" fmla="*/ 0 h 281"/>
              <a:gd name="T12" fmla="*/ 210 w 210"/>
              <a:gd name="T13" fmla="*/ 71 h 281"/>
              <a:gd name="T14" fmla="*/ 210 w 210"/>
              <a:gd name="T15" fmla="*/ 211 h 281"/>
              <a:gd name="T16" fmla="*/ 140 w 210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0" h="281">
                <a:moveTo>
                  <a:pt x="140" y="281"/>
                </a:moveTo>
                <a:lnTo>
                  <a:pt x="70" y="281"/>
                </a:lnTo>
                <a:lnTo>
                  <a:pt x="0" y="211"/>
                </a:lnTo>
                <a:lnTo>
                  <a:pt x="0" y="71"/>
                </a:lnTo>
                <a:lnTo>
                  <a:pt x="70" y="0"/>
                </a:lnTo>
                <a:lnTo>
                  <a:pt x="140" y="0"/>
                </a:lnTo>
                <a:lnTo>
                  <a:pt x="210" y="71"/>
                </a:lnTo>
                <a:lnTo>
                  <a:pt x="210" y="211"/>
                </a:lnTo>
                <a:lnTo>
                  <a:pt x="140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Line 541">
            <a:extLst>
              <a:ext uri="{FF2B5EF4-FFF2-40B4-BE49-F238E27FC236}">
                <a16:creationId xmlns:a16="http://schemas.microsoft.com/office/drawing/2014/main" id="{E3B7AF5F-CADA-4629-8CF3-C2D8A77BFA03}"/>
              </a:ext>
            </a:extLst>
          </xdr:cNvPr>
          <xdr:cNvSpPr>
            <a:spLocks noChangeShapeType="1"/>
          </xdr:cNvSpPr>
        </xdr:nvSpPr>
        <xdr:spPr bwMode="auto">
          <a:xfrm>
            <a:off x="1211" y="252"/>
            <a:ext cx="1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542">
            <a:extLst>
              <a:ext uri="{FF2B5EF4-FFF2-40B4-BE49-F238E27FC236}">
                <a16:creationId xmlns:a16="http://schemas.microsoft.com/office/drawing/2014/main" id="{68D47952-251D-469B-ACBF-95D68317593A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252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Freeform 543">
            <a:extLst>
              <a:ext uri="{FF2B5EF4-FFF2-40B4-BE49-F238E27FC236}">
                <a16:creationId xmlns:a16="http://schemas.microsoft.com/office/drawing/2014/main" id="{5D64006C-2DA8-49C4-8B60-97294D63AF28}"/>
              </a:ext>
            </a:extLst>
          </xdr:cNvPr>
          <xdr:cNvSpPr>
            <a:spLocks/>
          </xdr:cNvSpPr>
        </xdr:nvSpPr>
        <xdr:spPr bwMode="auto">
          <a:xfrm>
            <a:off x="1217" y="246"/>
            <a:ext cx="5" cy="7"/>
          </a:xfrm>
          <a:custGeom>
            <a:avLst/>
            <a:gdLst>
              <a:gd name="T0" fmla="*/ 0 w 282"/>
              <a:gd name="T1" fmla="*/ 421 h 421"/>
              <a:gd name="T2" fmla="*/ 0 w 282"/>
              <a:gd name="T3" fmla="*/ 0 h 421"/>
              <a:gd name="T4" fmla="*/ 211 w 282"/>
              <a:gd name="T5" fmla="*/ 0 h 421"/>
              <a:gd name="T6" fmla="*/ 282 w 282"/>
              <a:gd name="T7" fmla="*/ 70 h 421"/>
              <a:gd name="T8" fmla="*/ 282 w 282"/>
              <a:gd name="T9" fmla="*/ 140 h 421"/>
              <a:gd name="T10" fmla="*/ 211 w 282"/>
              <a:gd name="T11" fmla="*/ 211 h 421"/>
              <a:gd name="T12" fmla="*/ 0 w 282"/>
              <a:gd name="T13" fmla="*/ 21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82" h="421">
                <a:moveTo>
                  <a:pt x="0" y="421"/>
                </a:moveTo>
                <a:lnTo>
                  <a:pt x="0" y="0"/>
                </a:lnTo>
                <a:lnTo>
                  <a:pt x="211" y="0"/>
                </a:lnTo>
                <a:lnTo>
                  <a:pt x="282" y="70"/>
                </a:lnTo>
                <a:lnTo>
                  <a:pt x="282" y="140"/>
                </a:lnTo>
                <a:lnTo>
                  <a:pt x="211" y="211"/>
                </a:lnTo>
                <a:lnTo>
                  <a:pt x="0" y="21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544">
            <a:extLst>
              <a:ext uri="{FF2B5EF4-FFF2-40B4-BE49-F238E27FC236}">
                <a16:creationId xmlns:a16="http://schemas.microsoft.com/office/drawing/2014/main" id="{B8575E6C-1ECD-48A7-8649-82E4A3411904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4" y="246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Freeform 545">
            <a:extLst>
              <a:ext uri="{FF2B5EF4-FFF2-40B4-BE49-F238E27FC236}">
                <a16:creationId xmlns:a16="http://schemas.microsoft.com/office/drawing/2014/main" id="{E3D6A647-8DB1-4AA3-90B5-283779D5115A}"/>
              </a:ext>
            </a:extLst>
          </xdr:cNvPr>
          <xdr:cNvSpPr>
            <a:spLocks/>
          </xdr:cNvSpPr>
        </xdr:nvSpPr>
        <xdr:spPr bwMode="auto">
          <a:xfrm>
            <a:off x="1231" y="246"/>
            <a:ext cx="5" cy="7"/>
          </a:xfrm>
          <a:custGeom>
            <a:avLst/>
            <a:gdLst>
              <a:gd name="T0" fmla="*/ 0 w 281"/>
              <a:gd name="T1" fmla="*/ 70 h 421"/>
              <a:gd name="T2" fmla="*/ 70 w 281"/>
              <a:gd name="T3" fmla="*/ 0 h 421"/>
              <a:gd name="T4" fmla="*/ 211 w 281"/>
              <a:gd name="T5" fmla="*/ 0 h 421"/>
              <a:gd name="T6" fmla="*/ 281 w 281"/>
              <a:gd name="T7" fmla="*/ 70 h 421"/>
              <a:gd name="T8" fmla="*/ 281 w 281"/>
              <a:gd name="T9" fmla="*/ 140 h 421"/>
              <a:gd name="T10" fmla="*/ 211 w 281"/>
              <a:gd name="T11" fmla="*/ 211 h 421"/>
              <a:gd name="T12" fmla="*/ 70 w 281"/>
              <a:gd name="T13" fmla="*/ 211 h 421"/>
              <a:gd name="T14" fmla="*/ 0 w 281"/>
              <a:gd name="T15" fmla="*/ 281 h 421"/>
              <a:gd name="T16" fmla="*/ 0 w 281"/>
              <a:gd name="T17" fmla="*/ 421 h 421"/>
              <a:gd name="T18" fmla="*/ 281 w 281"/>
              <a:gd name="T19" fmla="*/ 42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1" h="421">
                <a:moveTo>
                  <a:pt x="0" y="70"/>
                </a:moveTo>
                <a:lnTo>
                  <a:pt x="70" y="0"/>
                </a:lnTo>
                <a:lnTo>
                  <a:pt x="211" y="0"/>
                </a:lnTo>
                <a:lnTo>
                  <a:pt x="281" y="70"/>
                </a:lnTo>
                <a:lnTo>
                  <a:pt x="281" y="140"/>
                </a:lnTo>
                <a:lnTo>
                  <a:pt x="211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1"/>
                </a:lnTo>
                <a:lnTo>
                  <a:pt x="281" y="421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7" name="Line 546">
            <a:extLst>
              <a:ext uri="{FF2B5EF4-FFF2-40B4-BE49-F238E27FC236}">
                <a16:creationId xmlns:a16="http://schemas.microsoft.com/office/drawing/2014/main" id="{DEB66425-8D83-4C0E-9A28-0A6F40F2F573}"/>
              </a:ext>
            </a:extLst>
          </xdr:cNvPr>
          <xdr:cNvSpPr>
            <a:spLocks noChangeShapeType="1"/>
          </xdr:cNvSpPr>
        </xdr:nvSpPr>
        <xdr:spPr bwMode="auto">
          <a:xfrm>
            <a:off x="1239" y="248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547">
            <a:extLst>
              <a:ext uri="{FF2B5EF4-FFF2-40B4-BE49-F238E27FC236}">
                <a16:creationId xmlns:a16="http://schemas.microsoft.com/office/drawing/2014/main" id="{B149EB37-FA7A-42D3-A88A-321CCFE91BA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39" y="250"/>
            <a:ext cx="4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554">
            <a:extLst>
              <a:ext uri="{FF2B5EF4-FFF2-40B4-BE49-F238E27FC236}">
                <a16:creationId xmlns:a16="http://schemas.microsoft.com/office/drawing/2014/main" id="{8B8EC22F-B71E-44CA-A599-065D677FC515}"/>
              </a:ext>
            </a:extLst>
          </xdr:cNvPr>
          <xdr:cNvSpPr>
            <a:spLocks noChangeShapeType="1"/>
          </xdr:cNvSpPr>
        </xdr:nvSpPr>
        <xdr:spPr bwMode="auto">
          <a:xfrm>
            <a:off x="1192" y="238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555">
            <a:extLst>
              <a:ext uri="{FF2B5EF4-FFF2-40B4-BE49-F238E27FC236}">
                <a16:creationId xmlns:a16="http://schemas.microsoft.com/office/drawing/2014/main" id="{B8B5A9AA-BA48-4140-8848-853882098D52}"/>
              </a:ext>
            </a:extLst>
          </xdr:cNvPr>
          <xdr:cNvSpPr>
            <a:spLocks noChangeShapeType="1"/>
          </xdr:cNvSpPr>
        </xdr:nvSpPr>
        <xdr:spPr bwMode="auto">
          <a:xfrm>
            <a:off x="1192" y="202"/>
            <a:ext cx="22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56">
            <a:extLst>
              <a:ext uri="{FF2B5EF4-FFF2-40B4-BE49-F238E27FC236}">
                <a16:creationId xmlns:a16="http://schemas.microsoft.com/office/drawing/2014/main" id="{612FB05F-6916-4747-819F-13F3B3EEDCF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9" y="226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57">
            <a:extLst>
              <a:ext uri="{FF2B5EF4-FFF2-40B4-BE49-F238E27FC236}">
                <a16:creationId xmlns:a16="http://schemas.microsoft.com/office/drawing/2014/main" id="{260A9596-D2D3-44D7-A949-2917FAC4BF27}"/>
              </a:ext>
            </a:extLst>
          </xdr:cNvPr>
          <xdr:cNvSpPr>
            <a:spLocks noChangeShapeType="1"/>
          </xdr:cNvSpPr>
        </xdr:nvSpPr>
        <xdr:spPr bwMode="auto">
          <a:xfrm>
            <a:off x="1209" y="211"/>
            <a:ext cx="0" cy="3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558">
            <a:extLst>
              <a:ext uri="{FF2B5EF4-FFF2-40B4-BE49-F238E27FC236}">
                <a16:creationId xmlns:a16="http://schemas.microsoft.com/office/drawing/2014/main" id="{9FCB1206-D4A7-4127-BADE-1F14DA366B56}"/>
              </a:ext>
            </a:extLst>
          </xdr:cNvPr>
          <xdr:cNvSpPr>
            <a:spLocks/>
          </xdr:cNvSpPr>
        </xdr:nvSpPr>
        <xdr:spPr bwMode="auto">
          <a:xfrm>
            <a:off x="1208" y="229"/>
            <a:ext cx="3" cy="9"/>
          </a:xfrm>
          <a:custGeom>
            <a:avLst/>
            <a:gdLst>
              <a:gd name="T0" fmla="*/ 0 w 175"/>
              <a:gd name="T1" fmla="*/ 0 h 527"/>
              <a:gd name="T2" fmla="*/ 175 w 175"/>
              <a:gd name="T3" fmla="*/ 0 h 527"/>
              <a:gd name="T4" fmla="*/ 88 w 175"/>
              <a:gd name="T5" fmla="*/ 527 h 527"/>
              <a:gd name="T6" fmla="*/ 0 w 175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0"/>
                </a:moveTo>
                <a:lnTo>
                  <a:pt x="175" y="0"/>
                </a:lnTo>
                <a:lnTo>
                  <a:pt x="88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4" name="Freeform 559">
            <a:extLst>
              <a:ext uri="{FF2B5EF4-FFF2-40B4-BE49-F238E27FC236}">
                <a16:creationId xmlns:a16="http://schemas.microsoft.com/office/drawing/2014/main" id="{A457E2BB-9C07-472B-A0F4-B4873D861B48}"/>
              </a:ext>
            </a:extLst>
          </xdr:cNvPr>
          <xdr:cNvSpPr>
            <a:spLocks/>
          </xdr:cNvSpPr>
        </xdr:nvSpPr>
        <xdr:spPr bwMode="auto">
          <a:xfrm>
            <a:off x="1208" y="202"/>
            <a:ext cx="3" cy="9"/>
          </a:xfrm>
          <a:custGeom>
            <a:avLst/>
            <a:gdLst>
              <a:gd name="T0" fmla="*/ 0 w 175"/>
              <a:gd name="T1" fmla="*/ 527 h 527"/>
              <a:gd name="T2" fmla="*/ 175 w 175"/>
              <a:gd name="T3" fmla="*/ 527 h 527"/>
              <a:gd name="T4" fmla="*/ 88 w 175"/>
              <a:gd name="T5" fmla="*/ 0 h 527"/>
              <a:gd name="T6" fmla="*/ 0 w 175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5" h="527">
                <a:moveTo>
                  <a:pt x="0" y="527"/>
                </a:moveTo>
                <a:lnTo>
                  <a:pt x="175" y="527"/>
                </a:lnTo>
                <a:lnTo>
                  <a:pt x="88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" name="Line 564">
            <a:extLst>
              <a:ext uri="{FF2B5EF4-FFF2-40B4-BE49-F238E27FC236}">
                <a16:creationId xmlns:a16="http://schemas.microsoft.com/office/drawing/2014/main" id="{85F8D44A-52E0-4ACD-B34E-04E06B6E58E3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38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65">
            <a:extLst>
              <a:ext uri="{FF2B5EF4-FFF2-40B4-BE49-F238E27FC236}">
                <a16:creationId xmlns:a16="http://schemas.microsoft.com/office/drawing/2014/main" id="{5183C795-0ABC-425D-A6F0-8B62BB8E38D3}"/>
              </a:ext>
            </a:extLst>
          </xdr:cNvPr>
          <xdr:cNvSpPr>
            <a:spLocks noChangeShapeType="1"/>
          </xdr:cNvSpPr>
        </xdr:nvSpPr>
        <xdr:spPr bwMode="auto">
          <a:xfrm flipH="1">
            <a:off x="788" y="202"/>
            <a:ext cx="43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66">
            <a:extLst>
              <a:ext uri="{FF2B5EF4-FFF2-40B4-BE49-F238E27FC236}">
                <a16:creationId xmlns:a16="http://schemas.microsoft.com/office/drawing/2014/main" id="{E13AD598-35C3-46DC-9563-7054AC2293AE}"/>
              </a:ext>
            </a:extLst>
          </xdr:cNvPr>
          <xdr:cNvSpPr>
            <a:spLocks noChangeShapeType="1"/>
          </xdr:cNvSpPr>
        </xdr:nvSpPr>
        <xdr:spPr bwMode="auto">
          <a:xfrm flipV="1">
            <a:off x="793" y="228"/>
            <a:ext cx="0" cy="1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567">
            <a:extLst>
              <a:ext uri="{FF2B5EF4-FFF2-40B4-BE49-F238E27FC236}">
                <a16:creationId xmlns:a16="http://schemas.microsoft.com/office/drawing/2014/main" id="{6991334C-73D2-4FFF-8A6C-1BC85C3F76E3}"/>
              </a:ext>
            </a:extLst>
          </xdr:cNvPr>
          <xdr:cNvSpPr>
            <a:spLocks noChangeShapeType="1"/>
          </xdr:cNvSpPr>
        </xdr:nvSpPr>
        <xdr:spPr bwMode="auto">
          <a:xfrm>
            <a:off x="793" y="211"/>
            <a:ext cx="0" cy="5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Freeform 568">
            <a:extLst>
              <a:ext uri="{FF2B5EF4-FFF2-40B4-BE49-F238E27FC236}">
                <a16:creationId xmlns:a16="http://schemas.microsoft.com/office/drawing/2014/main" id="{A19D71A7-45F1-4218-86AC-FE9C00C023BA}"/>
              </a:ext>
            </a:extLst>
          </xdr:cNvPr>
          <xdr:cNvSpPr>
            <a:spLocks/>
          </xdr:cNvSpPr>
        </xdr:nvSpPr>
        <xdr:spPr bwMode="auto">
          <a:xfrm>
            <a:off x="791" y="229"/>
            <a:ext cx="3" cy="9"/>
          </a:xfrm>
          <a:custGeom>
            <a:avLst/>
            <a:gdLst>
              <a:gd name="T0" fmla="*/ 0 w 176"/>
              <a:gd name="T1" fmla="*/ 0 h 527"/>
              <a:gd name="T2" fmla="*/ 176 w 176"/>
              <a:gd name="T3" fmla="*/ 0 h 527"/>
              <a:gd name="T4" fmla="*/ 89 w 176"/>
              <a:gd name="T5" fmla="*/ 527 h 527"/>
              <a:gd name="T6" fmla="*/ 0 w 176"/>
              <a:gd name="T7" fmla="*/ 0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0"/>
                </a:moveTo>
                <a:lnTo>
                  <a:pt x="176" y="0"/>
                </a:lnTo>
                <a:lnTo>
                  <a:pt x="89" y="527"/>
                </a:lnTo>
                <a:lnTo>
                  <a:pt x="0" y="0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0" name="Freeform 569">
            <a:extLst>
              <a:ext uri="{FF2B5EF4-FFF2-40B4-BE49-F238E27FC236}">
                <a16:creationId xmlns:a16="http://schemas.microsoft.com/office/drawing/2014/main" id="{A5C6EC89-4444-41AB-9388-B2D97D529768}"/>
              </a:ext>
            </a:extLst>
          </xdr:cNvPr>
          <xdr:cNvSpPr>
            <a:spLocks/>
          </xdr:cNvSpPr>
        </xdr:nvSpPr>
        <xdr:spPr bwMode="auto">
          <a:xfrm>
            <a:off x="791" y="202"/>
            <a:ext cx="3" cy="9"/>
          </a:xfrm>
          <a:custGeom>
            <a:avLst/>
            <a:gdLst>
              <a:gd name="T0" fmla="*/ 0 w 176"/>
              <a:gd name="T1" fmla="*/ 527 h 527"/>
              <a:gd name="T2" fmla="*/ 176 w 176"/>
              <a:gd name="T3" fmla="*/ 527 h 527"/>
              <a:gd name="T4" fmla="*/ 89 w 176"/>
              <a:gd name="T5" fmla="*/ 0 h 527"/>
              <a:gd name="T6" fmla="*/ 0 w 176"/>
              <a:gd name="T7" fmla="*/ 527 h 5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76" h="527">
                <a:moveTo>
                  <a:pt x="0" y="527"/>
                </a:moveTo>
                <a:lnTo>
                  <a:pt x="176" y="527"/>
                </a:lnTo>
                <a:lnTo>
                  <a:pt x="89" y="0"/>
                </a:lnTo>
                <a:lnTo>
                  <a:pt x="0" y="52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1" name="Freeform 570">
            <a:extLst>
              <a:ext uri="{FF2B5EF4-FFF2-40B4-BE49-F238E27FC236}">
                <a16:creationId xmlns:a16="http://schemas.microsoft.com/office/drawing/2014/main" id="{6C354645-C38B-4554-8186-6023E0BBF2FF}"/>
              </a:ext>
            </a:extLst>
          </xdr:cNvPr>
          <xdr:cNvSpPr>
            <a:spLocks/>
          </xdr:cNvSpPr>
        </xdr:nvSpPr>
        <xdr:spPr bwMode="auto">
          <a:xfrm>
            <a:off x="760" y="221"/>
            <a:ext cx="4" cy="5"/>
          </a:xfrm>
          <a:custGeom>
            <a:avLst/>
            <a:gdLst>
              <a:gd name="T0" fmla="*/ 141 w 211"/>
              <a:gd name="T1" fmla="*/ 281 h 281"/>
              <a:gd name="T2" fmla="*/ 71 w 211"/>
              <a:gd name="T3" fmla="*/ 281 h 281"/>
              <a:gd name="T4" fmla="*/ 0 w 211"/>
              <a:gd name="T5" fmla="*/ 210 h 281"/>
              <a:gd name="T6" fmla="*/ 0 w 211"/>
              <a:gd name="T7" fmla="*/ 70 h 281"/>
              <a:gd name="T8" fmla="*/ 71 w 211"/>
              <a:gd name="T9" fmla="*/ 0 h 281"/>
              <a:gd name="T10" fmla="*/ 141 w 211"/>
              <a:gd name="T11" fmla="*/ 0 h 281"/>
              <a:gd name="T12" fmla="*/ 211 w 211"/>
              <a:gd name="T13" fmla="*/ 70 h 281"/>
              <a:gd name="T14" fmla="*/ 211 w 211"/>
              <a:gd name="T15" fmla="*/ 210 h 281"/>
              <a:gd name="T16" fmla="*/ 141 w 21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11" h="281">
                <a:moveTo>
                  <a:pt x="141" y="281"/>
                </a:moveTo>
                <a:lnTo>
                  <a:pt x="71" y="281"/>
                </a:lnTo>
                <a:lnTo>
                  <a:pt x="0" y="210"/>
                </a:lnTo>
                <a:lnTo>
                  <a:pt x="0" y="70"/>
                </a:lnTo>
                <a:lnTo>
                  <a:pt x="71" y="0"/>
                </a:lnTo>
                <a:lnTo>
                  <a:pt x="141" y="0"/>
                </a:lnTo>
                <a:lnTo>
                  <a:pt x="211" y="70"/>
                </a:lnTo>
                <a:lnTo>
                  <a:pt x="211" y="210"/>
                </a:lnTo>
                <a:lnTo>
                  <a:pt x="141" y="281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2" name="Line 571">
            <a:extLst>
              <a:ext uri="{FF2B5EF4-FFF2-40B4-BE49-F238E27FC236}">
                <a16:creationId xmlns:a16="http://schemas.microsoft.com/office/drawing/2014/main" id="{81DE5DDE-BC10-43C0-A704-131228F17C69}"/>
              </a:ext>
            </a:extLst>
          </xdr:cNvPr>
          <xdr:cNvSpPr>
            <a:spLocks noChangeShapeType="1"/>
          </xdr:cNvSpPr>
        </xdr:nvSpPr>
        <xdr:spPr bwMode="auto">
          <a:xfrm>
            <a:off x="764" y="224"/>
            <a:ext cx="1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572">
            <a:extLst>
              <a:ext uri="{FF2B5EF4-FFF2-40B4-BE49-F238E27FC236}">
                <a16:creationId xmlns:a16="http://schemas.microsoft.com/office/drawing/2014/main" id="{082EA6F5-7C4D-4AE0-A06C-D94E654D1B52}"/>
              </a:ext>
            </a:extLst>
          </xdr:cNvPr>
          <xdr:cNvSpPr>
            <a:spLocks noChangeShapeType="1"/>
          </xdr:cNvSpPr>
        </xdr:nvSpPr>
        <xdr:spPr bwMode="auto">
          <a:xfrm flipV="1">
            <a:off x="768" y="224"/>
            <a:ext cx="0" cy="2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573">
            <a:extLst>
              <a:ext uri="{FF2B5EF4-FFF2-40B4-BE49-F238E27FC236}">
                <a16:creationId xmlns:a16="http://schemas.microsoft.com/office/drawing/2014/main" id="{95D217F6-2193-4D62-91EB-C192DE6F030F}"/>
              </a:ext>
            </a:extLst>
          </xdr:cNvPr>
          <xdr:cNvSpPr>
            <a:spLocks noChangeShapeType="1"/>
          </xdr:cNvSpPr>
        </xdr:nvSpPr>
        <xdr:spPr bwMode="auto">
          <a:xfrm flipV="1">
            <a:off x="770" y="219"/>
            <a:ext cx="0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Freeform 574">
            <a:extLst>
              <a:ext uri="{FF2B5EF4-FFF2-40B4-BE49-F238E27FC236}">
                <a16:creationId xmlns:a16="http://schemas.microsoft.com/office/drawing/2014/main" id="{3AA3CFFB-4739-4C46-9DA0-7F2172F3BA51}"/>
              </a:ext>
            </a:extLst>
          </xdr:cNvPr>
          <xdr:cNvSpPr>
            <a:spLocks/>
          </xdr:cNvSpPr>
        </xdr:nvSpPr>
        <xdr:spPr bwMode="auto">
          <a:xfrm>
            <a:off x="770" y="221"/>
            <a:ext cx="5" cy="5"/>
          </a:xfrm>
          <a:custGeom>
            <a:avLst/>
            <a:gdLst>
              <a:gd name="T0" fmla="*/ 0 w 281"/>
              <a:gd name="T1" fmla="*/ 140 h 281"/>
              <a:gd name="T2" fmla="*/ 140 w 281"/>
              <a:gd name="T3" fmla="*/ 0 h 281"/>
              <a:gd name="T4" fmla="*/ 210 w 281"/>
              <a:gd name="T5" fmla="*/ 0 h 281"/>
              <a:gd name="T6" fmla="*/ 281 w 281"/>
              <a:gd name="T7" fmla="*/ 70 h 281"/>
              <a:gd name="T8" fmla="*/ 281 w 281"/>
              <a:gd name="T9" fmla="*/ 210 h 281"/>
              <a:gd name="T10" fmla="*/ 210 w 281"/>
              <a:gd name="T11" fmla="*/ 281 h 281"/>
              <a:gd name="T12" fmla="*/ 140 w 281"/>
              <a:gd name="T13" fmla="*/ 281 h 281"/>
              <a:gd name="T14" fmla="*/ 0 w 281"/>
              <a:gd name="T15" fmla="*/ 140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1"/>
                </a:lnTo>
                <a:lnTo>
                  <a:pt x="140" y="281"/>
                </a:lnTo>
                <a:lnTo>
                  <a:pt x="0" y="140"/>
                </a:lnTo>
                <a:close/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Line 575">
            <a:extLst>
              <a:ext uri="{FF2B5EF4-FFF2-40B4-BE49-F238E27FC236}">
                <a16:creationId xmlns:a16="http://schemas.microsoft.com/office/drawing/2014/main" id="{FA6A674E-BB72-46B6-B5F7-BE51F9162094}"/>
              </a:ext>
            </a:extLst>
          </xdr:cNvPr>
          <xdr:cNvSpPr>
            <a:spLocks noChangeShapeType="1"/>
          </xdr:cNvSpPr>
        </xdr:nvSpPr>
        <xdr:spPr bwMode="auto">
          <a:xfrm flipV="1">
            <a:off x="777" y="219"/>
            <a:ext cx="5" cy="7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Freeform 576">
            <a:extLst>
              <a:ext uri="{FF2B5EF4-FFF2-40B4-BE49-F238E27FC236}">
                <a16:creationId xmlns:a16="http://schemas.microsoft.com/office/drawing/2014/main" id="{A6E47F37-A9A4-409E-847D-493B22A4DE9E}"/>
              </a:ext>
            </a:extLst>
          </xdr:cNvPr>
          <xdr:cNvSpPr>
            <a:spLocks/>
          </xdr:cNvSpPr>
        </xdr:nvSpPr>
        <xdr:spPr bwMode="auto">
          <a:xfrm>
            <a:off x="784" y="219"/>
            <a:ext cx="5" cy="7"/>
          </a:xfrm>
          <a:custGeom>
            <a:avLst/>
            <a:gdLst>
              <a:gd name="T0" fmla="*/ 0 w 280"/>
              <a:gd name="T1" fmla="*/ 71 h 422"/>
              <a:gd name="T2" fmla="*/ 70 w 280"/>
              <a:gd name="T3" fmla="*/ 0 h 422"/>
              <a:gd name="T4" fmla="*/ 210 w 280"/>
              <a:gd name="T5" fmla="*/ 0 h 422"/>
              <a:gd name="T6" fmla="*/ 280 w 280"/>
              <a:gd name="T7" fmla="*/ 71 h 422"/>
              <a:gd name="T8" fmla="*/ 280 w 280"/>
              <a:gd name="T9" fmla="*/ 141 h 422"/>
              <a:gd name="T10" fmla="*/ 210 w 280"/>
              <a:gd name="T11" fmla="*/ 211 h 422"/>
              <a:gd name="T12" fmla="*/ 70 w 280"/>
              <a:gd name="T13" fmla="*/ 211 h 422"/>
              <a:gd name="T14" fmla="*/ 0 w 280"/>
              <a:gd name="T15" fmla="*/ 281 h 422"/>
              <a:gd name="T16" fmla="*/ 0 w 280"/>
              <a:gd name="T17" fmla="*/ 422 h 422"/>
              <a:gd name="T18" fmla="*/ 280 w 280"/>
              <a:gd name="T19" fmla="*/ 42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80" h="422">
                <a:moveTo>
                  <a:pt x="0" y="71"/>
                </a:move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141"/>
                </a:lnTo>
                <a:lnTo>
                  <a:pt x="210" y="211"/>
                </a:lnTo>
                <a:lnTo>
                  <a:pt x="70" y="211"/>
                </a:lnTo>
                <a:lnTo>
                  <a:pt x="0" y="281"/>
                </a:lnTo>
                <a:lnTo>
                  <a:pt x="0" y="422"/>
                </a:lnTo>
                <a:lnTo>
                  <a:pt x="280" y="422"/>
                </a:lnTo>
              </a:path>
            </a:pathLst>
          </a:cu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Line 577">
            <a:extLst>
              <a:ext uri="{FF2B5EF4-FFF2-40B4-BE49-F238E27FC236}">
                <a16:creationId xmlns:a16="http://schemas.microsoft.com/office/drawing/2014/main" id="{4CB98D81-264C-46EF-9C67-83FDB6E48858}"/>
              </a:ext>
            </a:extLst>
          </xdr:cNvPr>
          <xdr:cNvSpPr>
            <a:spLocks noChangeShapeType="1"/>
          </xdr:cNvSpPr>
        </xdr:nvSpPr>
        <xdr:spPr bwMode="auto">
          <a:xfrm>
            <a:off x="791" y="221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578">
            <a:extLst>
              <a:ext uri="{FF2B5EF4-FFF2-40B4-BE49-F238E27FC236}">
                <a16:creationId xmlns:a16="http://schemas.microsoft.com/office/drawing/2014/main" id="{CDAF5D22-EE39-406A-BDDE-D405A1A1A32A}"/>
              </a:ext>
            </a:extLst>
          </xdr:cNvPr>
          <xdr:cNvSpPr>
            <a:spLocks noChangeShapeType="1"/>
          </xdr:cNvSpPr>
        </xdr:nvSpPr>
        <xdr:spPr bwMode="auto">
          <a:xfrm flipH="1">
            <a:off x="791" y="223"/>
            <a:ext cx="5" cy="0"/>
          </a:xfrm>
          <a:prstGeom prst="line">
            <a:avLst/>
          </a:prstGeom>
          <a:noFill/>
          <a:ln w="0">
            <a:solidFill>
              <a:srgbClr val="FF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Freeform 586">
            <a:extLst>
              <a:ext uri="{FF2B5EF4-FFF2-40B4-BE49-F238E27FC236}">
                <a16:creationId xmlns:a16="http://schemas.microsoft.com/office/drawing/2014/main" id="{E95BE141-B5A0-44E6-A9F9-816D876B67CE}"/>
              </a:ext>
            </a:extLst>
          </xdr:cNvPr>
          <xdr:cNvSpPr>
            <a:spLocks/>
          </xdr:cNvSpPr>
        </xdr:nvSpPr>
        <xdr:spPr bwMode="auto">
          <a:xfrm>
            <a:off x="1201" y="96"/>
            <a:ext cx="4" cy="4"/>
          </a:xfrm>
          <a:custGeom>
            <a:avLst/>
            <a:gdLst>
              <a:gd name="T0" fmla="*/ 0 w 282"/>
              <a:gd name="T1" fmla="*/ 210 h 210"/>
              <a:gd name="T2" fmla="*/ 212 w 282"/>
              <a:gd name="T3" fmla="*/ 210 h 210"/>
              <a:gd name="T4" fmla="*/ 282 w 282"/>
              <a:gd name="T5" fmla="*/ 140 h 210"/>
              <a:gd name="T6" fmla="*/ 282 w 282"/>
              <a:gd name="T7" fmla="*/ 70 h 210"/>
              <a:gd name="T8" fmla="*/ 212 w 282"/>
              <a:gd name="T9" fmla="*/ 0 h 210"/>
              <a:gd name="T10" fmla="*/ 70 w 282"/>
              <a:gd name="T11" fmla="*/ 0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2" h="210">
                <a:moveTo>
                  <a:pt x="0" y="210"/>
                </a:moveTo>
                <a:lnTo>
                  <a:pt x="212" y="210"/>
                </a:lnTo>
                <a:lnTo>
                  <a:pt x="282" y="140"/>
                </a:lnTo>
                <a:lnTo>
                  <a:pt x="282" y="70"/>
                </a:lnTo>
                <a:lnTo>
                  <a:pt x="212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Freeform 587">
            <a:extLst>
              <a:ext uri="{FF2B5EF4-FFF2-40B4-BE49-F238E27FC236}">
                <a16:creationId xmlns:a16="http://schemas.microsoft.com/office/drawing/2014/main" id="{F1ED872C-9319-4D2E-AC82-CC3EC2DD925B}"/>
              </a:ext>
            </a:extLst>
          </xdr:cNvPr>
          <xdr:cNvSpPr>
            <a:spLocks/>
          </xdr:cNvSpPr>
        </xdr:nvSpPr>
        <xdr:spPr bwMode="auto">
          <a:xfrm>
            <a:off x="1201" y="93"/>
            <a:ext cx="4" cy="3"/>
          </a:xfrm>
          <a:custGeom>
            <a:avLst/>
            <a:gdLst>
              <a:gd name="T0" fmla="*/ 212 w 282"/>
              <a:gd name="T1" fmla="*/ 211 h 211"/>
              <a:gd name="T2" fmla="*/ 282 w 282"/>
              <a:gd name="T3" fmla="*/ 141 h 211"/>
              <a:gd name="T4" fmla="*/ 282 w 282"/>
              <a:gd name="T5" fmla="*/ 70 h 211"/>
              <a:gd name="T6" fmla="*/ 212 w 282"/>
              <a:gd name="T7" fmla="*/ 0 h 211"/>
              <a:gd name="T8" fmla="*/ 0 w 282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2" h="211">
                <a:moveTo>
                  <a:pt x="212" y="211"/>
                </a:moveTo>
                <a:lnTo>
                  <a:pt x="282" y="141"/>
                </a:lnTo>
                <a:lnTo>
                  <a:pt x="282" y="70"/>
                </a:lnTo>
                <a:lnTo>
                  <a:pt x="212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Line 588">
            <a:extLst>
              <a:ext uri="{FF2B5EF4-FFF2-40B4-BE49-F238E27FC236}">
                <a16:creationId xmlns:a16="http://schemas.microsoft.com/office/drawing/2014/main" id="{02C5B1F2-519E-4492-898D-F348C45F919E}"/>
              </a:ext>
            </a:extLst>
          </xdr:cNvPr>
          <xdr:cNvSpPr>
            <a:spLocks noChangeShapeType="1"/>
          </xdr:cNvSpPr>
        </xdr:nvSpPr>
        <xdr:spPr bwMode="auto">
          <a:xfrm>
            <a:off x="1202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Freeform 589">
            <a:extLst>
              <a:ext uri="{FF2B5EF4-FFF2-40B4-BE49-F238E27FC236}">
                <a16:creationId xmlns:a16="http://schemas.microsoft.com/office/drawing/2014/main" id="{3DFBD682-0384-45E3-846E-DD9686250ED3}"/>
              </a:ext>
            </a:extLst>
          </xdr:cNvPr>
          <xdr:cNvSpPr>
            <a:spLocks/>
          </xdr:cNvSpPr>
        </xdr:nvSpPr>
        <xdr:spPr bwMode="auto">
          <a:xfrm>
            <a:off x="1208" y="95"/>
            <a:ext cx="5" cy="5"/>
          </a:xfrm>
          <a:custGeom>
            <a:avLst/>
            <a:gdLst>
              <a:gd name="T0" fmla="*/ 210 w 281"/>
              <a:gd name="T1" fmla="*/ 280 h 280"/>
              <a:gd name="T2" fmla="*/ 70 w 281"/>
              <a:gd name="T3" fmla="*/ 280 h 280"/>
              <a:gd name="T4" fmla="*/ 0 w 281"/>
              <a:gd name="T5" fmla="*/ 210 h 280"/>
              <a:gd name="T6" fmla="*/ 0 w 281"/>
              <a:gd name="T7" fmla="*/ 70 h 280"/>
              <a:gd name="T8" fmla="*/ 70 w 281"/>
              <a:gd name="T9" fmla="*/ 0 h 280"/>
              <a:gd name="T10" fmla="*/ 210 w 281"/>
              <a:gd name="T11" fmla="*/ 0 h 280"/>
              <a:gd name="T12" fmla="*/ 281 w 281"/>
              <a:gd name="T13" fmla="*/ 70 h 280"/>
              <a:gd name="T14" fmla="*/ 281 w 281"/>
              <a:gd name="T15" fmla="*/ 210 h 280"/>
              <a:gd name="T16" fmla="*/ 210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1" y="70"/>
                </a:lnTo>
                <a:lnTo>
                  <a:pt x="281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Line 590">
            <a:extLst>
              <a:ext uri="{FF2B5EF4-FFF2-40B4-BE49-F238E27FC236}">
                <a16:creationId xmlns:a16="http://schemas.microsoft.com/office/drawing/2014/main" id="{97C2E7E5-4A30-4394-8090-28DB495A64CB}"/>
              </a:ext>
            </a:extLst>
          </xdr:cNvPr>
          <xdr:cNvSpPr>
            <a:spLocks noChangeShapeType="1"/>
          </xdr:cNvSpPr>
        </xdr:nvSpPr>
        <xdr:spPr bwMode="auto">
          <a:xfrm flipV="1">
            <a:off x="1215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Freeform 591">
            <a:extLst>
              <a:ext uri="{FF2B5EF4-FFF2-40B4-BE49-F238E27FC236}">
                <a16:creationId xmlns:a16="http://schemas.microsoft.com/office/drawing/2014/main" id="{E33C756D-F3BD-4411-A208-0B22EA6EC82A}"/>
              </a:ext>
            </a:extLst>
          </xdr:cNvPr>
          <xdr:cNvSpPr>
            <a:spLocks/>
          </xdr:cNvSpPr>
        </xdr:nvSpPr>
        <xdr:spPr bwMode="auto">
          <a:xfrm>
            <a:off x="1215" y="95"/>
            <a:ext cx="5" cy="3"/>
          </a:xfrm>
          <a:custGeom>
            <a:avLst/>
            <a:gdLst>
              <a:gd name="T0" fmla="*/ 0 w 281"/>
              <a:gd name="T1" fmla="*/ 140 h 140"/>
              <a:gd name="T2" fmla="*/ 140 w 281"/>
              <a:gd name="T3" fmla="*/ 0 h 140"/>
              <a:gd name="T4" fmla="*/ 210 w 281"/>
              <a:gd name="T5" fmla="*/ 0 h 140"/>
              <a:gd name="T6" fmla="*/ 281 w 281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1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1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6" name="Freeform 592">
            <a:extLst>
              <a:ext uri="{FF2B5EF4-FFF2-40B4-BE49-F238E27FC236}">
                <a16:creationId xmlns:a16="http://schemas.microsoft.com/office/drawing/2014/main" id="{A68D2C88-28C2-4072-AAD5-E3443516B573}"/>
              </a:ext>
            </a:extLst>
          </xdr:cNvPr>
          <xdr:cNvSpPr>
            <a:spLocks/>
          </xdr:cNvSpPr>
        </xdr:nvSpPr>
        <xdr:spPr bwMode="auto">
          <a:xfrm>
            <a:off x="1222" y="95"/>
            <a:ext cx="5" cy="5"/>
          </a:xfrm>
          <a:custGeom>
            <a:avLst/>
            <a:gdLst>
              <a:gd name="T0" fmla="*/ 280 w 280"/>
              <a:gd name="T1" fmla="*/ 140 h 280"/>
              <a:gd name="T2" fmla="*/ 140 w 280"/>
              <a:gd name="T3" fmla="*/ 280 h 280"/>
              <a:gd name="T4" fmla="*/ 70 w 280"/>
              <a:gd name="T5" fmla="*/ 280 h 280"/>
              <a:gd name="T6" fmla="*/ 0 w 280"/>
              <a:gd name="T7" fmla="*/ 210 h 280"/>
              <a:gd name="T8" fmla="*/ 0 w 280"/>
              <a:gd name="T9" fmla="*/ 70 h 280"/>
              <a:gd name="T10" fmla="*/ 70 w 280"/>
              <a:gd name="T11" fmla="*/ 0 h 280"/>
              <a:gd name="T12" fmla="*/ 140 w 280"/>
              <a:gd name="T13" fmla="*/ 0 h 280"/>
              <a:gd name="T14" fmla="*/ 280 w 280"/>
              <a:gd name="T15" fmla="*/ 14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0" h="280">
                <a:moveTo>
                  <a:pt x="280" y="140"/>
                </a:moveTo>
                <a:lnTo>
                  <a:pt x="140" y="280"/>
                </a:ln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140" y="0"/>
                </a:lnTo>
                <a:lnTo>
                  <a:pt x="280" y="14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593">
            <a:extLst>
              <a:ext uri="{FF2B5EF4-FFF2-40B4-BE49-F238E27FC236}">
                <a16:creationId xmlns:a16="http://schemas.microsoft.com/office/drawing/2014/main" id="{77284F42-50FA-482A-8F9B-D939FB962C83}"/>
              </a:ext>
            </a:extLst>
          </xdr:cNvPr>
          <xdr:cNvSpPr>
            <a:spLocks noChangeShapeType="1"/>
          </xdr:cNvSpPr>
        </xdr:nvSpPr>
        <xdr:spPr bwMode="auto">
          <a:xfrm>
            <a:off x="1227" y="9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Freeform 594">
            <a:extLst>
              <a:ext uri="{FF2B5EF4-FFF2-40B4-BE49-F238E27FC236}">
                <a16:creationId xmlns:a16="http://schemas.microsoft.com/office/drawing/2014/main" id="{E6A2F1CD-A856-41B9-99FD-6A51D79EC4A5}"/>
              </a:ext>
            </a:extLst>
          </xdr:cNvPr>
          <xdr:cNvSpPr>
            <a:spLocks/>
          </xdr:cNvSpPr>
        </xdr:nvSpPr>
        <xdr:spPr bwMode="auto">
          <a:xfrm>
            <a:off x="1229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" name="Freeform 595">
            <a:extLst>
              <a:ext uri="{FF2B5EF4-FFF2-40B4-BE49-F238E27FC236}">
                <a16:creationId xmlns:a16="http://schemas.microsoft.com/office/drawing/2014/main" id="{1D899FF3-7C4F-4787-BC66-27F4EFD9484B}"/>
              </a:ext>
            </a:extLst>
          </xdr:cNvPr>
          <xdr:cNvSpPr>
            <a:spLocks/>
          </xdr:cNvSpPr>
        </xdr:nvSpPr>
        <xdr:spPr bwMode="auto">
          <a:xfrm>
            <a:off x="1244" y="95"/>
            <a:ext cx="4" cy="5"/>
          </a:xfrm>
          <a:custGeom>
            <a:avLst/>
            <a:gdLst>
              <a:gd name="T0" fmla="*/ 0 w 281"/>
              <a:gd name="T1" fmla="*/ 140 h 280"/>
              <a:gd name="T2" fmla="*/ 211 w 281"/>
              <a:gd name="T3" fmla="*/ 140 h 280"/>
              <a:gd name="T4" fmla="*/ 281 w 281"/>
              <a:gd name="T5" fmla="*/ 70 h 280"/>
              <a:gd name="T6" fmla="*/ 211 w 281"/>
              <a:gd name="T7" fmla="*/ 0 h 280"/>
              <a:gd name="T8" fmla="*/ 70 w 281"/>
              <a:gd name="T9" fmla="*/ 0 h 280"/>
              <a:gd name="T10" fmla="*/ 0 w 281"/>
              <a:gd name="T11" fmla="*/ 70 h 280"/>
              <a:gd name="T12" fmla="*/ 0 w 281"/>
              <a:gd name="T13" fmla="*/ 210 h 280"/>
              <a:gd name="T14" fmla="*/ 70 w 281"/>
              <a:gd name="T15" fmla="*/ 280 h 280"/>
              <a:gd name="T16" fmla="*/ 211 w 281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0">
                <a:moveTo>
                  <a:pt x="0" y="140"/>
                </a:moveTo>
                <a:lnTo>
                  <a:pt x="211" y="140"/>
                </a:lnTo>
                <a:lnTo>
                  <a:pt x="281" y="70"/>
                </a:lnTo>
                <a:lnTo>
                  <a:pt x="211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1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0" name="Line 596">
            <a:extLst>
              <a:ext uri="{FF2B5EF4-FFF2-40B4-BE49-F238E27FC236}">
                <a16:creationId xmlns:a16="http://schemas.microsoft.com/office/drawing/2014/main" id="{EDF95AEE-803D-4A34-AB4E-FC45243415C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597">
            <a:extLst>
              <a:ext uri="{FF2B5EF4-FFF2-40B4-BE49-F238E27FC236}">
                <a16:creationId xmlns:a16="http://schemas.microsoft.com/office/drawing/2014/main" id="{6E1F611C-47B6-459A-BBE5-7CF85ABD9E7F}"/>
              </a:ext>
            </a:extLst>
          </xdr:cNvPr>
          <xdr:cNvSpPr>
            <a:spLocks noChangeShapeType="1"/>
          </xdr:cNvSpPr>
        </xdr:nvSpPr>
        <xdr:spPr bwMode="auto">
          <a:xfrm>
            <a:off x="1251" y="95"/>
            <a:ext cx="4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598">
            <a:extLst>
              <a:ext uri="{FF2B5EF4-FFF2-40B4-BE49-F238E27FC236}">
                <a16:creationId xmlns:a16="http://schemas.microsoft.com/office/drawing/2014/main" id="{93588A07-E926-4826-A093-DB2CEC96B058}"/>
              </a:ext>
            </a:extLst>
          </xdr:cNvPr>
          <xdr:cNvSpPr>
            <a:spLocks noChangeShapeType="1"/>
          </xdr:cNvSpPr>
        </xdr:nvSpPr>
        <xdr:spPr bwMode="auto">
          <a:xfrm>
            <a:off x="1258" y="95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Freeform 599">
            <a:extLst>
              <a:ext uri="{FF2B5EF4-FFF2-40B4-BE49-F238E27FC236}">
                <a16:creationId xmlns:a16="http://schemas.microsoft.com/office/drawing/2014/main" id="{DDE27EA8-8B2E-47DE-8164-06927F0769F4}"/>
              </a:ext>
            </a:extLst>
          </xdr:cNvPr>
          <xdr:cNvSpPr>
            <a:spLocks/>
          </xdr:cNvSpPr>
        </xdr:nvSpPr>
        <xdr:spPr bwMode="auto">
          <a:xfrm>
            <a:off x="1260" y="93"/>
            <a:ext cx="3" cy="7"/>
          </a:xfrm>
          <a:custGeom>
            <a:avLst/>
            <a:gdLst>
              <a:gd name="T0" fmla="*/ 0 w 141"/>
              <a:gd name="T1" fmla="*/ 0 h 421"/>
              <a:gd name="T2" fmla="*/ 0 w 141"/>
              <a:gd name="T3" fmla="*/ 351 h 421"/>
              <a:gd name="T4" fmla="*/ 70 w 141"/>
              <a:gd name="T5" fmla="*/ 421 h 421"/>
              <a:gd name="T6" fmla="*/ 141 w 141"/>
              <a:gd name="T7" fmla="*/ 351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1">
                <a:moveTo>
                  <a:pt x="0" y="0"/>
                </a:moveTo>
                <a:lnTo>
                  <a:pt x="0" y="351"/>
                </a:lnTo>
                <a:lnTo>
                  <a:pt x="70" y="421"/>
                </a:lnTo>
                <a:lnTo>
                  <a:pt x="141" y="35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4" name="Freeform 600">
            <a:extLst>
              <a:ext uri="{FF2B5EF4-FFF2-40B4-BE49-F238E27FC236}">
                <a16:creationId xmlns:a16="http://schemas.microsoft.com/office/drawing/2014/main" id="{BEB5714E-0451-4102-A71A-9867FBDE7CCF}"/>
              </a:ext>
            </a:extLst>
          </xdr:cNvPr>
          <xdr:cNvSpPr>
            <a:spLocks/>
          </xdr:cNvSpPr>
        </xdr:nvSpPr>
        <xdr:spPr bwMode="auto">
          <a:xfrm>
            <a:off x="1265" y="95"/>
            <a:ext cx="5" cy="5"/>
          </a:xfrm>
          <a:custGeom>
            <a:avLst/>
            <a:gdLst>
              <a:gd name="T0" fmla="*/ 0 w 280"/>
              <a:gd name="T1" fmla="*/ 140 h 280"/>
              <a:gd name="T2" fmla="*/ 210 w 280"/>
              <a:gd name="T3" fmla="*/ 140 h 280"/>
              <a:gd name="T4" fmla="*/ 280 w 280"/>
              <a:gd name="T5" fmla="*/ 70 h 280"/>
              <a:gd name="T6" fmla="*/ 210 w 280"/>
              <a:gd name="T7" fmla="*/ 0 h 280"/>
              <a:gd name="T8" fmla="*/ 70 w 280"/>
              <a:gd name="T9" fmla="*/ 0 h 280"/>
              <a:gd name="T10" fmla="*/ 0 w 280"/>
              <a:gd name="T11" fmla="*/ 70 h 280"/>
              <a:gd name="T12" fmla="*/ 0 w 280"/>
              <a:gd name="T13" fmla="*/ 210 h 280"/>
              <a:gd name="T14" fmla="*/ 70 w 280"/>
              <a:gd name="T15" fmla="*/ 28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0" y="140"/>
                </a:moveTo>
                <a:lnTo>
                  <a:pt x="210" y="140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0"/>
                </a:lnTo>
                <a:lnTo>
                  <a:pt x="210" y="28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" name="Line 601">
            <a:extLst>
              <a:ext uri="{FF2B5EF4-FFF2-40B4-BE49-F238E27FC236}">
                <a16:creationId xmlns:a16="http://schemas.microsoft.com/office/drawing/2014/main" id="{25B0FC04-1822-4A78-A812-980FDB5D25F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2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Freeform 602">
            <a:extLst>
              <a:ext uri="{FF2B5EF4-FFF2-40B4-BE49-F238E27FC236}">
                <a16:creationId xmlns:a16="http://schemas.microsoft.com/office/drawing/2014/main" id="{C9DC6704-2F4D-42B8-B4F8-7DC4D5212CEA}"/>
              </a:ext>
            </a:extLst>
          </xdr:cNvPr>
          <xdr:cNvSpPr>
            <a:spLocks/>
          </xdr:cNvSpPr>
        </xdr:nvSpPr>
        <xdr:spPr bwMode="auto">
          <a:xfrm>
            <a:off x="1272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" name="Line 603">
            <a:extLst>
              <a:ext uri="{FF2B5EF4-FFF2-40B4-BE49-F238E27FC236}">
                <a16:creationId xmlns:a16="http://schemas.microsoft.com/office/drawing/2014/main" id="{27709529-87BA-4F83-8C4C-7CDBA6AD69E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604">
            <a:extLst>
              <a:ext uri="{FF2B5EF4-FFF2-40B4-BE49-F238E27FC236}">
                <a16:creationId xmlns:a16="http://schemas.microsoft.com/office/drawing/2014/main" id="{5DA820BE-80FD-4B99-A28F-C0FF4ECE5CA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9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Freeform 605">
            <a:extLst>
              <a:ext uri="{FF2B5EF4-FFF2-40B4-BE49-F238E27FC236}">
                <a16:creationId xmlns:a16="http://schemas.microsoft.com/office/drawing/2014/main" id="{62429C0D-DAB5-4967-941B-60ECA0C24937}"/>
              </a:ext>
            </a:extLst>
          </xdr:cNvPr>
          <xdr:cNvSpPr>
            <a:spLocks/>
          </xdr:cNvSpPr>
        </xdr:nvSpPr>
        <xdr:spPr bwMode="auto">
          <a:xfrm>
            <a:off x="1282" y="95"/>
            <a:ext cx="4" cy="5"/>
          </a:xfrm>
          <a:custGeom>
            <a:avLst/>
            <a:gdLst>
              <a:gd name="T0" fmla="*/ 210 w 280"/>
              <a:gd name="T1" fmla="*/ 280 h 280"/>
              <a:gd name="T2" fmla="*/ 70 w 280"/>
              <a:gd name="T3" fmla="*/ 280 h 280"/>
              <a:gd name="T4" fmla="*/ 0 w 280"/>
              <a:gd name="T5" fmla="*/ 210 h 280"/>
              <a:gd name="T6" fmla="*/ 0 w 280"/>
              <a:gd name="T7" fmla="*/ 70 h 280"/>
              <a:gd name="T8" fmla="*/ 70 w 280"/>
              <a:gd name="T9" fmla="*/ 0 h 280"/>
              <a:gd name="T10" fmla="*/ 210 w 280"/>
              <a:gd name="T11" fmla="*/ 0 h 280"/>
              <a:gd name="T12" fmla="*/ 280 w 280"/>
              <a:gd name="T13" fmla="*/ 70 h 280"/>
              <a:gd name="T14" fmla="*/ 280 w 280"/>
              <a:gd name="T15" fmla="*/ 210 h 280"/>
              <a:gd name="T16" fmla="*/ 210 w 280"/>
              <a:gd name="T17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0">
                <a:moveTo>
                  <a:pt x="210" y="280"/>
                </a:moveTo>
                <a:lnTo>
                  <a:pt x="70" y="280"/>
                </a:lnTo>
                <a:lnTo>
                  <a:pt x="0" y="210"/>
                </a:lnTo>
                <a:lnTo>
                  <a:pt x="0" y="70"/>
                </a:lnTo>
                <a:lnTo>
                  <a:pt x="70" y="0"/>
                </a:lnTo>
                <a:lnTo>
                  <a:pt x="210" y="0"/>
                </a:lnTo>
                <a:lnTo>
                  <a:pt x="280" y="70"/>
                </a:lnTo>
                <a:lnTo>
                  <a:pt x="280" y="210"/>
                </a:lnTo>
                <a:lnTo>
                  <a:pt x="210" y="28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" name="Line 606">
            <a:extLst>
              <a:ext uri="{FF2B5EF4-FFF2-40B4-BE49-F238E27FC236}">
                <a16:creationId xmlns:a16="http://schemas.microsoft.com/office/drawing/2014/main" id="{AB014525-2457-4B39-949F-A045F18CA35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9" y="9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Freeform 607">
            <a:extLst>
              <a:ext uri="{FF2B5EF4-FFF2-40B4-BE49-F238E27FC236}">
                <a16:creationId xmlns:a16="http://schemas.microsoft.com/office/drawing/2014/main" id="{1FEC6F8C-9718-423F-B5FB-D12D060A6F67}"/>
              </a:ext>
            </a:extLst>
          </xdr:cNvPr>
          <xdr:cNvSpPr>
            <a:spLocks/>
          </xdr:cNvSpPr>
        </xdr:nvSpPr>
        <xdr:spPr bwMode="auto">
          <a:xfrm>
            <a:off x="1289" y="95"/>
            <a:ext cx="5" cy="3"/>
          </a:xfrm>
          <a:custGeom>
            <a:avLst/>
            <a:gdLst>
              <a:gd name="T0" fmla="*/ 0 w 280"/>
              <a:gd name="T1" fmla="*/ 140 h 140"/>
              <a:gd name="T2" fmla="*/ 140 w 280"/>
              <a:gd name="T3" fmla="*/ 0 h 140"/>
              <a:gd name="T4" fmla="*/ 210 w 280"/>
              <a:gd name="T5" fmla="*/ 0 h 140"/>
              <a:gd name="T6" fmla="*/ 280 w 280"/>
              <a:gd name="T7" fmla="*/ 7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0">
                <a:moveTo>
                  <a:pt x="0" y="140"/>
                </a:moveTo>
                <a:lnTo>
                  <a:pt x="140" y="0"/>
                </a:lnTo>
                <a:lnTo>
                  <a:pt x="210" y="0"/>
                </a:lnTo>
                <a:lnTo>
                  <a:pt x="280" y="7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" name="Freeform 608">
            <a:extLst>
              <a:ext uri="{FF2B5EF4-FFF2-40B4-BE49-F238E27FC236}">
                <a16:creationId xmlns:a16="http://schemas.microsoft.com/office/drawing/2014/main" id="{F0DF2F18-EF72-4BD9-AF54-782A4A707C89}"/>
              </a:ext>
            </a:extLst>
          </xdr:cNvPr>
          <xdr:cNvSpPr>
            <a:spLocks/>
          </xdr:cNvSpPr>
        </xdr:nvSpPr>
        <xdr:spPr bwMode="auto">
          <a:xfrm>
            <a:off x="1206" y="307"/>
            <a:ext cx="5" cy="3"/>
          </a:xfrm>
          <a:custGeom>
            <a:avLst/>
            <a:gdLst>
              <a:gd name="T0" fmla="*/ 0 w 280"/>
              <a:gd name="T1" fmla="*/ 211 h 211"/>
              <a:gd name="T2" fmla="*/ 210 w 280"/>
              <a:gd name="T3" fmla="*/ 211 h 211"/>
              <a:gd name="T4" fmla="*/ 280 w 280"/>
              <a:gd name="T5" fmla="*/ 141 h 211"/>
              <a:gd name="T6" fmla="*/ 280 w 280"/>
              <a:gd name="T7" fmla="*/ 70 h 211"/>
              <a:gd name="T8" fmla="*/ 210 w 280"/>
              <a:gd name="T9" fmla="*/ 0 h 211"/>
              <a:gd name="T10" fmla="*/ 70 w 280"/>
              <a:gd name="T11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0" h="211">
                <a:moveTo>
                  <a:pt x="0" y="211"/>
                </a:moveTo>
                <a:lnTo>
                  <a:pt x="210" y="211"/>
                </a:lnTo>
                <a:lnTo>
                  <a:pt x="280" y="141"/>
                </a:lnTo>
                <a:lnTo>
                  <a:pt x="280" y="70"/>
                </a:lnTo>
                <a:lnTo>
                  <a:pt x="210" y="0"/>
                </a:lnTo>
                <a:lnTo>
                  <a:pt x="7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" name="Freeform 609">
            <a:extLst>
              <a:ext uri="{FF2B5EF4-FFF2-40B4-BE49-F238E27FC236}">
                <a16:creationId xmlns:a16="http://schemas.microsoft.com/office/drawing/2014/main" id="{768CEF6C-39E3-4306-9011-D5859E9F49BC}"/>
              </a:ext>
            </a:extLst>
          </xdr:cNvPr>
          <xdr:cNvSpPr>
            <a:spLocks/>
          </xdr:cNvSpPr>
        </xdr:nvSpPr>
        <xdr:spPr bwMode="auto">
          <a:xfrm>
            <a:off x="1206" y="303"/>
            <a:ext cx="5" cy="4"/>
          </a:xfrm>
          <a:custGeom>
            <a:avLst/>
            <a:gdLst>
              <a:gd name="T0" fmla="*/ 210 w 280"/>
              <a:gd name="T1" fmla="*/ 211 h 211"/>
              <a:gd name="T2" fmla="*/ 280 w 280"/>
              <a:gd name="T3" fmla="*/ 140 h 211"/>
              <a:gd name="T4" fmla="*/ 280 w 280"/>
              <a:gd name="T5" fmla="*/ 70 h 211"/>
              <a:gd name="T6" fmla="*/ 210 w 280"/>
              <a:gd name="T7" fmla="*/ 0 h 211"/>
              <a:gd name="T8" fmla="*/ 0 w 280"/>
              <a:gd name="T9" fmla="*/ 0 h 2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0" h="211">
                <a:moveTo>
                  <a:pt x="210" y="211"/>
                </a:moveTo>
                <a:lnTo>
                  <a:pt x="280" y="140"/>
                </a:lnTo>
                <a:lnTo>
                  <a:pt x="280" y="70"/>
                </a:lnTo>
                <a:lnTo>
                  <a:pt x="210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" name="Line 610">
            <a:extLst>
              <a:ext uri="{FF2B5EF4-FFF2-40B4-BE49-F238E27FC236}">
                <a16:creationId xmlns:a16="http://schemas.microsoft.com/office/drawing/2014/main" id="{F0A875D8-0EE9-486E-A07A-6B595DBDB97A}"/>
              </a:ext>
            </a:extLst>
          </xdr:cNvPr>
          <xdr:cNvSpPr>
            <a:spLocks noChangeShapeType="1"/>
          </xdr:cNvSpPr>
        </xdr:nvSpPr>
        <xdr:spPr bwMode="auto">
          <a:xfrm>
            <a:off x="1208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Freeform 611">
            <a:extLst>
              <a:ext uri="{FF2B5EF4-FFF2-40B4-BE49-F238E27FC236}">
                <a16:creationId xmlns:a16="http://schemas.microsoft.com/office/drawing/2014/main" id="{16CBADF0-2F49-4572-A1E3-D9F336489CE7}"/>
              </a:ext>
            </a:extLst>
          </xdr:cNvPr>
          <xdr:cNvSpPr>
            <a:spLocks/>
          </xdr:cNvSpPr>
        </xdr:nvSpPr>
        <xdr:spPr bwMode="auto">
          <a:xfrm>
            <a:off x="1213" y="305"/>
            <a:ext cx="5" cy="5"/>
          </a:xfrm>
          <a:custGeom>
            <a:avLst/>
            <a:gdLst>
              <a:gd name="T0" fmla="*/ 210 w 280"/>
              <a:gd name="T1" fmla="*/ 282 h 282"/>
              <a:gd name="T2" fmla="*/ 70 w 280"/>
              <a:gd name="T3" fmla="*/ 282 h 282"/>
              <a:gd name="T4" fmla="*/ 0 w 280"/>
              <a:gd name="T5" fmla="*/ 212 h 282"/>
              <a:gd name="T6" fmla="*/ 0 w 280"/>
              <a:gd name="T7" fmla="*/ 71 h 282"/>
              <a:gd name="T8" fmla="*/ 70 w 280"/>
              <a:gd name="T9" fmla="*/ 0 h 282"/>
              <a:gd name="T10" fmla="*/ 210 w 280"/>
              <a:gd name="T11" fmla="*/ 0 h 282"/>
              <a:gd name="T12" fmla="*/ 280 w 280"/>
              <a:gd name="T13" fmla="*/ 71 h 282"/>
              <a:gd name="T14" fmla="*/ 280 w 280"/>
              <a:gd name="T15" fmla="*/ 212 h 282"/>
              <a:gd name="T16" fmla="*/ 210 w 280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0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0" y="71"/>
                </a:lnTo>
                <a:lnTo>
                  <a:pt x="280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" name="Line 612">
            <a:extLst>
              <a:ext uri="{FF2B5EF4-FFF2-40B4-BE49-F238E27FC236}">
                <a16:creationId xmlns:a16="http://schemas.microsoft.com/office/drawing/2014/main" id="{A7417392-1ABA-4FD0-85BD-90F3B1BBC61A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1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Freeform 613">
            <a:extLst>
              <a:ext uri="{FF2B5EF4-FFF2-40B4-BE49-F238E27FC236}">
                <a16:creationId xmlns:a16="http://schemas.microsoft.com/office/drawing/2014/main" id="{9A7A429B-D807-47D9-B35F-BAE71ABD5407}"/>
              </a:ext>
            </a:extLst>
          </xdr:cNvPr>
          <xdr:cNvSpPr>
            <a:spLocks/>
          </xdr:cNvSpPr>
        </xdr:nvSpPr>
        <xdr:spPr bwMode="auto">
          <a:xfrm>
            <a:off x="1221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" name="Freeform 614">
            <a:extLst>
              <a:ext uri="{FF2B5EF4-FFF2-40B4-BE49-F238E27FC236}">
                <a16:creationId xmlns:a16="http://schemas.microsoft.com/office/drawing/2014/main" id="{794B6108-CDD1-45CE-9F04-A504C1ED4AED}"/>
              </a:ext>
            </a:extLst>
          </xdr:cNvPr>
          <xdr:cNvSpPr>
            <a:spLocks/>
          </xdr:cNvSpPr>
        </xdr:nvSpPr>
        <xdr:spPr bwMode="auto">
          <a:xfrm>
            <a:off x="1228" y="305"/>
            <a:ext cx="5" cy="5"/>
          </a:xfrm>
          <a:custGeom>
            <a:avLst/>
            <a:gdLst>
              <a:gd name="T0" fmla="*/ 281 w 281"/>
              <a:gd name="T1" fmla="*/ 141 h 282"/>
              <a:gd name="T2" fmla="*/ 141 w 281"/>
              <a:gd name="T3" fmla="*/ 282 h 282"/>
              <a:gd name="T4" fmla="*/ 71 w 281"/>
              <a:gd name="T5" fmla="*/ 282 h 282"/>
              <a:gd name="T6" fmla="*/ 0 w 281"/>
              <a:gd name="T7" fmla="*/ 212 h 282"/>
              <a:gd name="T8" fmla="*/ 0 w 281"/>
              <a:gd name="T9" fmla="*/ 71 h 282"/>
              <a:gd name="T10" fmla="*/ 71 w 281"/>
              <a:gd name="T11" fmla="*/ 0 h 282"/>
              <a:gd name="T12" fmla="*/ 141 w 281"/>
              <a:gd name="T13" fmla="*/ 0 h 282"/>
              <a:gd name="T14" fmla="*/ 281 w 281"/>
              <a:gd name="T15" fmla="*/ 141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81" h="282">
                <a:moveTo>
                  <a:pt x="281" y="141"/>
                </a:moveTo>
                <a:lnTo>
                  <a:pt x="141" y="282"/>
                </a:lnTo>
                <a:lnTo>
                  <a:pt x="71" y="282"/>
                </a:lnTo>
                <a:lnTo>
                  <a:pt x="0" y="212"/>
                </a:lnTo>
                <a:lnTo>
                  <a:pt x="0" y="71"/>
                </a:lnTo>
                <a:lnTo>
                  <a:pt x="71" y="0"/>
                </a:lnTo>
                <a:lnTo>
                  <a:pt x="141" y="0"/>
                </a:lnTo>
                <a:lnTo>
                  <a:pt x="281" y="141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" name="Line 615">
            <a:extLst>
              <a:ext uri="{FF2B5EF4-FFF2-40B4-BE49-F238E27FC236}">
                <a16:creationId xmlns:a16="http://schemas.microsoft.com/office/drawing/2014/main" id="{26C7FAAD-DC0C-43D9-B861-A6A2F3CDEB3B}"/>
              </a:ext>
            </a:extLst>
          </xdr:cNvPr>
          <xdr:cNvSpPr>
            <a:spLocks noChangeShapeType="1"/>
          </xdr:cNvSpPr>
        </xdr:nvSpPr>
        <xdr:spPr bwMode="auto">
          <a:xfrm>
            <a:off x="1233" y="303"/>
            <a:ext cx="0" cy="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Freeform 616">
            <a:extLst>
              <a:ext uri="{FF2B5EF4-FFF2-40B4-BE49-F238E27FC236}">
                <a16:creationId xmlns:a16="http://schemas.microsoft.com/office/drawing/2014/main" id="{DCF55DFE-33A3-4A2F-A659-37CDE182B3A8}"/>
              </a:ext>
            </a:extLst>
          </xdr:cNvPr>
          <xdr:cNvSpPr>
            <a:spLocks/>
          </xdr:cNvSpPr>
        </xdr:nvSpPr>
        <xdr:spPr bwMode="auto">
          <a:xfrm>
            <a:off x="1235" y="305"/>
            <a:ext cx="5" cy="5"/>
          </a:xfrm>
          <a:custGeom>
            <a:avLst/>
            <a:gdLst>
              <a:gd name="T0" fmla="*/ 0 w 281"/>
              <a:gd name="T1" fmla="*/ 141 h 282"/>
              <a:gd name="T2" fmla="*/ 211 w 281"/>
              <a:gd name="T3" fmla="*/ 141 h 282"/>
              <a:gd name="T4" fmla="*/ 281 w 281"/>
              <a:gd name="T5" fmla="*/ 71 h 282"/>
              <a:gd name="T6" fmla="*/ 211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1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1" y="141"/>
                </a:lnTo>
                <a:lnTo>
                  <a:pt x="281" y="71"/>
                </a:lnTo>
                <a:lnTo>
                  <a:pt x="211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1" name="Line 617">
            <a:extLst>
              <a:ext uri="{FF2B5EF4-FFF2-40B4-BE49-F238E27FC236}">
                <a16:creationId xmlns:a16="http://schemas.microsoft.com/office/drawing/2014/main" id="{B0EE2258-0E1B-48C3-AC09-657805CCAAE9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Line 618">
            <a:extLst>
              <a:ext uri="{FF2B5EF4-FFF2-40B4-BE49-F238E27FC236}">
                <a16:creationId xmlns:a16="http://schemas.microsoft.com/office/drawing/2014/main" id="{D29DBD14-6DB6-4DF2-A3D5-0DDBD58259CA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9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619">
            <a:extLst>
              <a:ext uri="{FF2B5EF4-FFF2-40B4-BE49-F238E27FC236}">
                <a16:creationId xmlns:a16="http://schemas.microsoft.com/office/drawing/2014/main" id="{78245600-7906-43A6-839B-83460B67C42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2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Freeform 620">
            <a:extLst>
              <a:ext uri="{FF2B5EF4-FFF2-40B4-BE49-F238E27FC236}">
                <a16:creationId xmlns:a16="http://schemas.microsoft.com/office/drawing/2014/main" id="{16004821-3350-4A49-AD4E-0602E1DBE1D6}"/>
              </a:ext>
            </a:extLst>
          </xdr:cNvPr>
          <xdr:cNvSpPr>
            <a:spLocks/>
          </xdr:cNvSpPr>
        </xdr:nvSpPr>
        <xdr:spPr bwMode="auto">
          <a:xfrm>
            <a:off x="1252" y="305"/>
            <a:ext cx="4" cy="5"/>
          </a:xfrm>
          <a:custGeom>
            <a:avLst/>
            <a:gdLst>
              <a:gd name="T0" fmla="*/ 0 w 281"/>
              <a:gd name="T1" fmla="*/ 141 h 282"/>
              <a:gd name="T2" fmla="*/ 141 w 281"/>
              <a:gd name="T3" fmla="*/ 0 h 282"/>
              <a:gd name="T4" fmla="*/ 211 w 281"/>
              <a:gd name="T5" fmla="*/ 0 h 282"/>
              <a:gd name="T6" fmla="*/ 281 w 281"/>
              <a:gd name="T7" fmla="*/ 71 h 282"/>
              <a:gd name="T8" fmla="*/ 281 w 281"/>
              <a:gd name="T9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141" y="0"/>
                </a:lnTo>
                <a:lnTo>
                  <a:pt x="211" y="0"/>
                </a:lnTo>
                <a:lnTo>
                  <a:pt x="281" y="71"/>
                </a:lnTo>
                <a:lnTo>
                  <a:pt x="281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" name="Line 621">
            <a:extLst>
              <a:ext uri="{FF2B5EF4-FFF2-40B4-BE49-F238E27FC236}">
                <a16:creationId xmlns:a16="http://schemas.microsoft.com/office/drawing/2014/main" id="{1479A1B8-388A-4D01-9631-57FBFEE5409C}"/>
              </a:ext>
            </a:extLst>
          </xdr:cNvPr>
          <xdr:cNvSpPr>
            <a:spLocks noChangeShapeType="1"/>
          </xdr:cNvSpPr>
        </xdr:nvSpPr>
        <xdr:spPr bwMode="auto">
          <a:xfrm>
            <a:off x="1259" y="305"/>
            <a:ext cx="4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Freeform 622">
            <a:extLst>
              <a:ext uri="{FF2B5EF4-FFF2-40B4-BE49-F238E27FC236}">
                <a16:creationId xmlns:a16="http://schemas.microsoft.com/office/drawing/2014/main" id="{82917BB9-0701-4844-BDD9-C8E4C10FC455}"/>
              </a:ext>
            </a:extLst>
          </xdr:cNvPr>
          <xdr:cNvSpPr>
            <a:spLocks/>
          </xdr:cNvSpPr>
        </xdr:nvSpPr>
        <xdr:spPr bwMode="auto">
          <a:xfrm>
            <a:off x="1261" y="303"/>
            <a:ext cx="2" cy="7"/>
          </a:xfrm>
          <a:custGeom>
            <a:avLst/>
            <a:gdLst>
              <a:gd name="T0" fmla="*/ 0 w 141"/>
              <a:gd name="T1" fmla="*/ 0 h 422"/>
              <a:gd name="T2" fmla="*/ 0 w 141"/>
              <a:gd name="T3" fmla="*/ 352 h 422"/>
              <a:gd name="T4" fmla="*/ 71 w 141"/>
              <a:gd name="T5" fmla="*/ 422 h 422"/>
              <a:gd name="T6" fmla="*/ 141 w 141"/>
              <a:gd name="T7" fmla="*/ 352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41" h="422">
                <a:moveTo>
                  <a:pt x="0" y="0"/>
                </a:moveTo>
                <a:lnTo>
                  <a:pt x="0" y="352"/>
                </a:lnTo>
                <a:lnTo>
                  <a:pt x="71" y="422"/>
                </a:lnTo>
                <a:lnTo>
                  <a:pt x="141" y="35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7" name="Freeform 623">
            <a:extLst>
              <a:ext uri="{FF2B5EF4-FFF2-40B4-BE49-F238E27FC236}">
                <a16:creationId xmlns:a16="http://schemas.microsoft.com/office/drawing/2014/main" id="{3FDA23C4-50A8-44EC-B0A3-EDF1F920769A}"/>
              </a:ext>
            </a:extLst>
          </xdr:cNvPr>
          <xdr:cNvSpPr>
            <a:spLocks/>
          </xdr:cNvSpPr>
        </xdr:nvSpPr>
        <xdr:spPr bwMode="auto">
          <a:xfrm>
            <a:off x="1266" y="305"/>
            <a:ext cx="5" cy="5"/>
          </a:xfrm>
          <a:custGeom>
            <a:avLst/>
            <a:gdLst>
              <a:gd name="T0" fmla="*/ 0 w 281"/>
              <a:gd name="T1" fmla="*/ 141 h 282"/>
              <a:gd name="T2" fmla="*/ 210 w 281"/>
              <a:gd name="T3" fmla="*/ 141 h 282"/>
              <a:gd name="T4" fmla="*/ 281 w 281"/>
              <a:gd name="T5" fmla="*/ 71 h 282"/>
              <a:gd name="T6" fmla="*/ 210 w 281"/>
              <a:gd name="T7" fmla="*/ 0 h 282"/>
              <a:gd name="T8" fmla="*/ 70 w 281"/>
              <a:gd name="T9" fmla="*/ 0 h 282"/>
              <a:gd name="T10" fmla="*/ 0 w 281"/>
              <a:gd name="T11" fmla="*/ 71 h 282"/>
              <a:gd name="T12" fmla="*/ 0 w 281"/>
              <a:gd name="T13" fmla="*/ 212 h 282"/>
              <a:gd name="T14" fmla="*/ 70 w 281"/>
              <a:gd name="T15" fmla="*/ 28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0" y="141"/>
                </a:moveTo>
                <a:lnTo>
                  <a:pt x="210" y="141"/>
                </a:lnTo>
                <a:lnTo>
                  <a:pt x="281" y="71"/>
                </a:lnTo>
                <a:lnTo>
                  <a:pt x="210" y="0"/>
                </a:lnTo>
                <a:lnTo>
                  <a:pt x="70" y="0"/>
                </a:lnTo>
                <a:lnTo>
                  <a:pt x="0" y="71"/>
                </a:lnTo>
                <a:lnTo>
                  <a:pt x="0" y="212"/>
                </a:lnTo>
                <a:lnTo>
                  <a:pt x="70" y="282"/>
                </a:lnTo>
                <a:lnTo>
                  <a:pt x="210" y="282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" name="Line 624">
            <a:extLst>
              <a:ext uri="{FF2B5EF4-FFF2-40B4-BE49-F238E27FC236}">
                <a16:creationId xmlns:a16="http://schemas.microsoft.com/office/drawing/2014/main" id="{E9803D8C-6643-4C29-AD9C-88B50DBBD09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3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Freeform 625">
            <a:extLst>
              <a:ext uri="{FF2B5EF4-FFF2-40B4-BE49-F238E27FC236}">
                <a16:creationId xmlns:a16="http://schemas.microsoft.com/office/drawing/2014/main" id="{57D7548E-7B4D-4CE1-A95A-E26A4C439320}"/>
              </a:ext>
            </a:extLst>
          </xdr:cNvPr>
          <xdr:cNvSpPr>
            <a:spLocks/>
          </xdr:cNvSpPr>
        </xdr:nvSpPr>
        <xdr:spPr bwMode="auto">
          <a:xfrm>
            <a:off x="1273" y="305"/>
            <a:ext cx="5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0" name="Line 626">
            <a:extLst>
              <a:ext uri="{FF2B5EF4-FFF2-40B4-BE49-F238E27FC236}">
                <a16:creationId xmlns:a16="http://schemas.microsoft.com/office/drawing/2014/main" id="{D87643F5-0F1C-4A7C-B433-42271CCA7A9E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627">
            <a:extLst>
              <a:ext uri="{FF2B5EF4-FFF2-40B4-BE49-F238E27FC236}">
                <a16:creationId xmlns:a16="http://schemas.microsoft.com/office/drawing/2014/main" id="{113FC83D-7751-486D-A0E3-15F4AF18DF8E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0" y="303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Freeform 628">
            <a:extLst>
              <a:ext uri="{FF2B5EF4-FFF2-40B4-BE49-F238E27FC236}">
                <a16:creationId xmlns:a16="http://schemas.microsoft.com/office/drawing/2014/main" id="{2546BC5D-9AFE-45BA-BCD0-43F45C898FAB}"/>
              </a:ext>
            </a:extLst>
          </xdr:cNvPr>
          <xdr:cNvSpPr>
            <a:spLocks/>
          </xdr:cNvSpPr>
        </xdr:nvSpPr>
        <xdr:spPr bwMode="auto">
          <a:xfrm>
            <a:off x="1283" y="305"/>
            <a:ext cx="4" cy="5"/>
          </a:xfrm>
          <a:custGeom>
            <a:avLst/>
            <a:gdLst>
              <a:gd name="T0" fmla="*/ 210 w 281"/>
              <a:gd name="T1" fmla="*/ 282 h 282"/>
              <a:gd name="T2" fmla="*/ 70 w 281"/>
              <a:gd name="T3" fmla="*/ 282 h 282"/>
              <a:gd name="T4" fmla="*/ 0 w 281"/>
              <a:gd name="T5" fmla="*/ 212 h 282"/>
              <a:gd name="T6" fmla="*/ 0 w 281"/>
              <a:gd name="T7" fmla="*/ 71 h 282"/>
              <a:gd name="T8" fmla="*/ 70 w 281"/>
              <a:gd name="T9" fmla="*/ 0 h 282"/>
              <a:gd name="T10" fmla="*/ 210 w 281"/>
              <a:gd name="T11" fmla="*/ 0 h 282"/>
              <a:gd name="T12" fmla="*/ 281 w 281"/>
              <a:gd name="T13" fmla="*/ 71 h 282"/>
              <a:gd name="T14" fmla="*/ 281 w 281"/>
              <a:gd name="T15" fmla="*/ 212 h 282"/>
              <a:gd name="T16" fmla="*/ 210 w 281"/>
              <a:gd name="T17" fmla="*/ 282 h 2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2">
                <a:moveTo>
                  <a:pt x="210" y="282"/>
                </a:moveTo>
                <a:lnTo>
                  <a:pt x="70" y="282"/>
                </a:lnTo>
                <a:lnTo>
                  <a:pt x="0" y="212"/>
                </a:lnTo>
                <a:lnTo>
                  <a:pt x="0" y="71"/>
                </a:lnTo>
                <a:lnTo>
                  <a:pt x="70" y="0"/>
                </a:lnTo>
                <a:lnTo>
                  <a:pt x="210" y="0"/>
                </a:lnTo>
                <a:lnTo>
                  <a:pt x="281" y="71"/>
                </a:lnTo>
                <a:lnTo>
                  <a:pt x="281" y="212"/>
                </a:lnTo>
                <a:lnTo>
                  <a:pt x="210" y="282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" name="Line 629">
            <a:extLst>
              <a:ext uri="{FF2B5EF4-FFF2-40B4-BE49-F238E27FC236}">
                <a16:creationId xmlns:a16="http://schemas.microsoft.com/office/drawing/2014/main" id="{8E50958B-0D4B-4F94-869B-58D31B23FC19}"/>
              </a:ext>
            </a:extLst>
          </xdr:cNvPr>
          <xdr:cNvSpPr>
            <a:spLocks noChangeShapeType="1"/>
          </xdr:cNvSpPr>
        </xdr:nvSpPr>
        <xdr:spPr bwMode="auto">
          <a:xfrm flipV="1">
            <a:off x="1290" y="305"/>
            <a:ext cx="0" cy="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Freeform 630">
            <a:extLst>
              <a:ext uri="{FF2B5EF4-FFF2-40B4-BE49-F238E27FC236}">
                <a16:creationId xmlns:a16="http://schemas.microsoft.com/office/drawing/2014/main" id="{0B59846B-0414-49C9-BE3E-F47697AE899C}"/>
              </a:ext>
            </a:extLst>
          </xdr:cNvPr>
          <xdr:cNvSpPr>
            <a:spLocks/>
          </xdr:cNvSpPr>
        </xdr:nvSpPr>
        <xdr:spPr bwMode="auto">
          <a:xfrm>
            <a:off x="1290" y="305"/>
            <a:ext cx="4" cy="3"/>
          </a:xfrm>
          <a:custGeom>
            <a:avLst/>
            <a:gdLst>
              <a:gd name="T0" fmla="*/ 0 w 280"/>
              <a:gd name="T1" fmla="*/ 141 h 141"/>
              <a:gd name="T2" fmla="*/ 140 w 280"/>
              <a:gd name="T3" fmla="*/ 0 h 141"/>
              <a:gd name="T4" fmla="*/ 210 w 280"/>
              <a:gd name="T5" fmla="*/ 0 h 141"/>
              <a:gd name="T6" fmla="*/ 280 w 280"/>
              <a:gd name="T7" fmla="*/ 71 h 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80" h="141">
                <a:moveTo>
                  <a:pt x="0" y="141"/>
                </a:moveTo>
                <a:lnTo>
                  <a:pt x="140" y="0"/>
                </a:lnTo>
                <a:lnTo>
                  <a:pt x="210" y="0"/>
                </a:lnTo>
                <a:lnTo>
                  <a:pt x="280" y="7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5" name="Freeform 631">
            <a:extLst>
              <a:ext uri="{FF2B5EF4-FFF2-40B4-BE49-F238E27FC236}">
                <a16:creationId xmlns:a16="http://schemas.microsoft.com/office/drawing/2014/main" id="{D63EB5B6-DFC8-4FE6-8435-4B0E629052E2}"/>
              </a:ext>
            </a:extLst>
          </xdr:cNvPr>
          <xdr:cNvSpPr>
            <a:spLocks/>
          </xdr:cNvSpPr>
        </xdr:nvSpPr>
        <xdr:spPr bwMode="auto">
          <a:xfrm>
            <a:off x="864" y="189"/>
            <a:ext cx="5" cy="7"/>
          </a:xfrm>
          <a:custGeom>
            <a:avLst/>
            <a:gdLst>
              <a:gd name="T0" fmla="*/ 0 w 282"/>
              <a:gd name="T1" fmla="*/ 422 h 422"/>
              <a:gd name="T2" fmla="*/ 0 w 282"/>
              <a:gd name="T3" fmla="*/ 0 h 422"/>
              <a:gd name="T4" fmla="*/ 282 w 282"/>
              <a:gd name="T5" fmla="*/ 0 h 4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82" h="422">
                <a:moveTo>
                  <a:pt x="0" y="422"/>
                </a:moveTo>
                <a:lnTo>
                  <a:pt x="0" y="0"/>
                </a:lnTo>
                <a:lnTo>
                  <a:pt x="282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6" name="Line 632">
            <a:extLst>
              <a:ext uri="{FF2B5EF4-FFF2-40B4-BE49-F238E27FC236}">
                <a16:creationId xmlns:a16="http://schemas.microsoft.com/office/drawing/2014/main" id="{EA08AA32-7D66-41C4-A48F-C382562A93BD}"/>
              </a:ext>
            </a:extLst>
          </xdr:cNvPr>
          <xdr:cNvSpPr>
            <a:spLocks noChangeShapeType="1"/>
          </xdr:cNvSpPr>
        </xdr:nvSpPr>
        <xdr:spPr bwMode="auto">
          <a:xfrm>
            <a:off x="864" y="193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633">
            <a:extLst>
              <a:ext uri="{FF2B5EF4-FFF2-40B4-BE49-F238E27FC236}">
                <a16:creationId xmlns:a16="http://schemas.microsoft.com/office/drawing/2014/main" id="{F9D7EADD-7F27-437A-BC2E-4E1A5FC1B813}"/>
              </a:ext>
            </a:extLst>
          </xdr:cNvPr>
          <xdr:cNvSpPr>
            <a:spLocks noChangeShapeType="1"/>
          </xdr:cNvSpPr>
        </xdr:nvSpPr>
        <xdr:spPr bwMode="auto">
          <a:xfrm>
            <a:off x="864" y="196"/>
            <a:ext cx="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Freeform 634">
            <a:extLst>
              <a:ext uri="{FF2B5EF4-FFF2-40B4-BE49-F238E27FC236}">
                <a16:creationId xmlns:a16="http://schemas.microsoft.com/office/drawing/2014/main" id="{BD9E9A0F-4677-4452-B8A0-0D0FCA84F396}"/>
              </a:ext>
            </a:extLst>
          </xdr:cNvPr>
          <xdr:cNvSpPr>
            <a:spLocks/>
          </xdr:cNvSpPr>
        </xdr:nvSpPr>
        <xdr:spPr bwMode="auto">
          <a:xfrm>
            <a:off x="871" y="192"/>
            <a:ext cx="4" cy="7"/>
          </a:xfrm>
          <a:custGeom>
            <a:avLst/>
            <a:gdLst>
              <a:gd name="T0" fmla="*/ 0 w 211"/>
              <a:gd name="T1" fmla="*/ 351 h 421"/>
              <a:gd name="T2" fmla="*/ 70 w 211"/>
              <a:gd name="T3" fmla="*/ 421 h 421"/>
              <a:gd name="T4" fmla="*/ 141 w 211"/>
              <a:gd name="T5" fmla="*/ 421 h 421"/>
              <a:gd name="T6" fmla="*/ 211 w 211"/>
              <a:gd name="T7" fmla="*/ 351 h 421"/>
              <a:gd name="T8" fmla="*/ 211 w 211"/>
              <a:gd name="T9" fmla="*/ 0 h 4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11" h="421">
                <a:moveTo>
                  <a:pt x="0" y="351"/>
                </a:moveTo>
                <a:lnTo>
                  <a:pt x="70" y="421"/>
                </a:lnTo>
                <a:lnTo>
                  <a:pt x="141" y="421"/>
                </a:lnTo>
                <a:lnTo>
                  <a:pt x="211" y="351"/>
                </a:lnTo>
                <a:lnTo>
                  <a:pt x="211" y="0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9" name="Line 635">
            <a:extLst>
              <a:ext uri="{FF2B5EF4-FFF2-40B4-BE49-F238E27FC236}">
                <a16:creationId xmlns:a16="http://schemas.microsoft.com/office/drawing/2014/main" id="{FF214D19-3ED1-4B27-9F72-EFB4ABA64C1F}"/>
              </a:ext>
            </a:extLst>
          </xdr:cNvPr>
          <xdr:cNvSpPr>
            <a:spLocks noChangeShapeType="1"/>
          </xdr:cNvSpPr>
        </xdr:nvSpPr>
        <xdr:spPr bwMode="auto">
          <a:xfrm flipV="1">
            <a:off x="875" y="189"/>
            <a:ext cx="0" cy="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Freeform 636">
            <a:extLst>
              <a:ext uri="{FF2B5EF4-FFF2-40B4-BE49-F238E27FC236}">
                <a16:creationId xmlns:a16="http://schemas.microsoft.com/office/drawing/2014/main" id="{5EA4AF44-C129-4BF6-9667-A2734FF527BA}"/>
              </a:ext>
            </a:extLst>
          </xdr:cNvPr>
          <xdr:cNvSpPr>
            <a:spLocks/>
          </xdr:cNvSpPr>
        </xdr:nvSpPr>
        <xdr:spPr bwMode="auto">
          <a:xfrm>
            <a:off x="877" y="192"/>
            <a:ext cx="5" cy="4"/>
          </a:xfrm>
          <a:custGeom>
            <a:avLst/>
            <a:gdLst>
              <a:gd name="T0" fmla="*/ 0 w 281"/>
              <a:gd name="T1" fmla="*/ 140 h 281"/>
              <a:gd name="T2" fmla="*/ 210 w 281"/>
              <a:gd name="T3" fmla="*/ 140 h 281"/>
              <a:gd name="T4" fmla="*/ 281 w 281"/>
              <a:gd name="T5" fmla="*/ 70 h 281"/>
              <a:gd name="T6" fmla="*/ 210 w 281"/>
              <a:gd name="T7" fmla="*/ 0 h 281"/>
              <a:gd name="T8" fmla="*/ 70 w 281"/>
              <a:gd name="T9" fmla="*/ 0 h 281"/>
              <a:gd name="T10" fmla="*/ 0 w 281"/>
              <a:gd name="T11" fmla="*/ 70 h 281"/>
              <a:gd name="T12" fmla="*/ 0 w 281"/>
              <a:gd name="T13" fmla="*/ 210 h 281"/>
              <a:gd name="T14" fmla="*/ 70 w 281"/>
              <a:gd name="T15" fmla="*/ 281 h 281"/>
              <a:gd name="T16" fmla="*/ 210 w 281"/>
              <a:gd name="T17" fmla="*/ 281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81" h="281">
                <a:moveTo>
                  <a:pt x="0" y="140"/>
                </a:moveTo>
                <a:lnTo>
                  <a:pt x="210" y="140"/>
                </a:lnTo>
                <a:lnTo>
                  <a:pt x="281" y="70"/>
                </a:lnTo>
                <a:lnTo>
                  <a:pt x="210" y="0"/>
                </a:lnTo>
                <a:lnTo>
                  <a:pt x="70" y="0"/>
                </a:lnTo>
                <a:lnTo>
                  <a:pt x="0" y="70"/>
                </a:lnTo>
                <a:lnTo>
                  <a:pt x="0" y="210"/>
                </a:lnTo>
                <a:lnTo>
                  <a:pt x="70" y="281"/>
                </a:lnTo>
                <a:lnTo>
                  <a:pt x="210" y="281"/>
                </a:lnTo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</xdr:col>
      <xdr:colOff>236604</xdr:colOff>
      <xdr:row>11</xdr:row>
      <xdr:rowOff>109497</xdr:rowOff>
    </xdr:from>
    <xdr:to>
      <xdr:col>2</xdr:col>
      <xdr:colOff>236606</xdr:colOff>
      <xdr:row>14</xdr:row>
      <xdr:rowOff>144876</xdr:rowOff>
    </xdr:to>
    <xdr:cxnSp macro="">
      <xdr:nvCxnSpPr>
        <xdr:cNvPr id="541" name="Conector recto de flecha 540">
          <a:extLst>
            <a:ext uri="{FF2B5EF4-FFF2-40B4-BE49-F238E27FC236}">
              <a16:creationId xmlns:a16="http://schemas.microsoft.com/office/drawing/2014/main" id="{2048F2F8-9071-4BBC-AF59-8912AC3CFBA1}"/>
            </a:ext>
          </a:extLst>
        </xdr:cNvPr>
        <xdr:cNvCxnSpPr/>
      </xdr:nvCxnSpPr>
      <xdr:spPr>
        <a:xfrm>
          <a:off x="2446404" y="2224047"/>
          <a:ext cx="2" cy="7307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</xdr:colOff>
      <xdr:row>11</xdr:row>
      <xdr:rowOff>108857</xdr:rowOff>
    </xdr:from>
    <xdr:to>
      <xdr:col>2</xdr:col>
      <xdr:colOff>228600</xdr:colOff>
      <xdr:row>11</xdr:row>
      <xdr:rowOff>108857</xdr:rowOff>
    </xdr:to>
    <xdr:cxnSp macro="">
      <xdr:nvCxnSpPr>
        <xdr:cNvPr id="542" name="Conector recto de flecha 541">
          <a:extLst>
            <a:ext uri="{FF2B5EF4-FFF2-40B4-BE49-F238E27FC236}">
              <a16:creationId xmlns:a16="http://schemas.microsoft.com/office/drawing/2014/main" id="{5BD6151F-A512-40F5-A62D-FB4952B01D66}"/>
            </a:ext>
          </a:extLst>
        </xdr:cNvPr>
        <xdr:cNvCxnSpPr/>
      </xdr:nvCxnSpPr>
      <xdr:spPr>
        <a:xfrm flipH="1">
          <a:off x="2231571" y="2223407"/>
          <a:ext cx="2068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J65"/>
  <sheetViews>
    <sheetView showGridLines="0" tabSelected="1" view="pageBreakPreview" zoomScale="98" zoomScaleNormal="91" zoomScaleSheetLayoutView="98" workbookViewId="0">
      <selection activeCell="D13" sqref="D13"/>
    </sheetView>
  </sheetViews>
  <sheetFormatPr baseColWidth="10" defaultColWidth="11.44140625" defaultRowHeight="14.4" x14ac:dyDescent="0.3"/>
  <cols>
    <col min="1" max="1" width="14.109375" style="10" customWidth="1"/>
    <col min="2" max="2" width="19" style="10" customWidth="1"/>
    <col min="3" max="3" width="21.6640625" style="10" bestFit="1" customWidth="1"/>
    <col min="4" max="4" width="11.44140625" style="10"/>
    <col min="5" max="5" width="12.44140625" style="10" customWidth="1"/>
    <col min="6" max="7" width="11.44140625" style="10"/>
    <col min="8" max="8" width="19.6640625" style="10" customWidth="1"/>
    <col min="9" max="9" width="19.88671875" style="10" bestFit="1" customWidth="1"/>
    <col min="10" max="16384" width="11.44140625" style="10"/>
  </cols>
  <sheetData>
    <row r="1" spans="1:8" ht="15" thickBot="1" x14ac:dyDescent="0.35">
      <c r="A1" s="7" t="s">
        <v>30</v>
      </c>
      <c r="B1" s="56">
        <v>1</v>
      </c>
      <c r="C1" s="6"/>
    </row>
    <row r="2" spans="1:8" ht="15.75" customHeight="1" x14ac:dyDescent="0.3">
      <c r="B2" s="52" t="s">
        <v>32</v>
      </c>
      <c r="C2" s="49">
        <v>100</v>
      </c>
    </row>
    <row r="3" spans="1:8" x14ac:dyDescent="0.3">
      <c r="B3" s="53" t="s">
        <v>31</v>
      </c>
      <c r="C3" s="50">
        <v>40</v>
      </c>
    </row>
    <row r="4" spans="1:8" x14ac:dyDescent="0.3">
      <c r="B4" s="53" t="s">
        <v>40</v>
      </c>
      <c r="C4" s="50">
        <v>-2.5</v>
      </c>
      <c r="E4" s="2"/>
      <c r="F4" s="2"/>
    </row>
    <row r="5" spans="1:8" x14ac:dyDescent="0.3">
      <c r="B5" s="53" t="s">
        <v>41</v>
      </c>
      <c r="C5" s="50">
        <v>6.6</v>
      </c>
      <c r="E5" s="2"/>
      <c r="F5" s="2"/>
    </row>
    <row r="6" spans="1:8" x14ac:dyDescent="0.3">
      <c r="B6" s="53" t="s">
        <v>47</v>
      </c>
      <c r="C6" s="50">
        <v>3.3</v>
      </c>
      <c r="E6" s="2"/>
      <c r="F6" s="2"/>
    </row>
    <row r="7" spans="1:8" ht="15" customHeight="1" x14ac:dyDescent="0.3">
      <c r="B7" s="53" t="s">
        <v>39</v>
      </c>
      <c r="C7" s="51">
        <v>0.7</v>
      </c>
      <c r="E7" s="1"/>
      <c r="F7" s="1"/>
    </row>
    <row r="8" spans="1:8" x14ac:dyDescent="0.3">
      <c r="B8" s="53" t="s">
        <v>45</v>
      </c>
      <c r="C8" s="50">
        <v>-4</v>
      </c>
      <c r="E8" s="1"/>
      <c r="F8" s="1"/>
    </row>
    <row r="9" spans="1:8" x14ac:dyDescent="0.3">
      <c r="B9" s="53" t="s">
        <v>43</v>
      </c>
      <c r="C9" s="54">
        <f>IF(C5="BN",-4,IF(C5&gt;4,-C5,-4))</f>
        <v>-6.6</v>
      </c>
      <c r="E9" s="1"/>
      <c r="F9" s="1"/>
    </row>
    <row r="10" spans="1:8" x14ac:dyDescent="0.3">
      <c r="B10" s="53" t="s">
        <v>44</v>
      </c>
      <c r="C10" s="54">
        <f>+C8</f>
        <v>-4</v>
      </c>
      <c r="D10" s="9"/>
      <c r="E10" s="2"/>
      <c r="F10" s="2"/>
    </row>
    <row r="11" spans="1:8" x14ac:dyDescent="0.3">
      <c r="A11" s="11"/>
      <c r="B11" s="11"/>
      <c r="C11" s="11"/>
      <c r="D11" s="11"/>
    </row>
    <row r="12" spans="1:8" ht="24.6" x14ac:dyDescent="0.55000000000000004">
      <c r="A12" s="16" t="s">
        <v>42</v>
      </c>
      <c r="B12" s="60">
        <v>34</v>
      </c>
      <c r="C12" s="12"/>
      <c r="D12" s="21"/>
      <c r="E12" s="22"/>
      <c r="F12" s="15"/>
    </row>
    <row r="13" spans="1:8" ht="15" thickBot="1" x14ac:dyDescent="0.35">
      <c r="A13" s="11"/>
      <c r="B13" s="11"/>
      <c r="D13" s="15"/>
      <c r="E13" s="15"/>
      <c r="F13" s="15"/>
    </row>
    <row r="14" spans="1:8" x14ac:dyDescent="0.3">
      <c r="A14" s="5" t="s">
        <v>29</v>
      </c>
      <c r="B14" s="57">
        <f>ABS(+B12/C5*C4)</f>
        <v>12.878787878787879</v>
      </c>
      <c r="C14" s="8"/>
      <c r="D14" s="23"/>
      <c r="E14" s="24"/>
      <c r="F14" s="15"/>
    </row>
    <row r="15" spans="1:8" x14ac:dyDescent="0.3">
      <c r="A15" s="4" t="s">
        <v>28</v>
      </c>
      <c r="B15" s="18">
        <f>B14</f>
        <v>12.878787878787879</v>
      </c>
      <c r="D15" s="23"/>
      <c r="E15" s="24"/>
      <c r="F15" s="15"/>
    </row>
    <row r="16" spans="1:8" x14ac:dyDescent="0.3">
      <c r="A16" s="4" t="s">
        <v>27</v>
      </c>
      <c r="B16" s="18">
        <f>B12-B15</f>
        <v>21.121212121212121</v>
      </c>
      <c r="C16" s="17">
        <f>SUM(B15:B16)</f>
        <v>34</v>
      </c>
      <c r="D16" s="23"/>
      <c r="E16" s="24"/>
      <c r="F16" s="24"/>
      <c r="G16" s="59"/>
      <c r="H16" s="59"/>
    </row>
    <row r="17" spans="1:8" x14ac:dyDescent="0.3">
      <c r="A17" s="4" t="s">
        <v>36</v>
      </c>
      <c r="B17" s="18">
        <f>+B12</f>
        <v>34</v>
      </c>
      <c r="D17" s="23"/>
      <c r="E17" s="24"/>
      <c r="F17" s="15"/>
    </row>
    <row r="18" spans="1:8" x14ac:dyDescent="0.3">
      <c r="A18" s="4" t="s">
        <v>33</v>
      </c>
      <c r="B18" s="54">
        <f>+B12*C7</f>
        <v>23.799999999999997</v>
      </c>
      <c r="D18" s="23"/>
      <c r="E18" s="24"/>
      <c r="F18" s="15"/>
    </row>
    <row r="19" spans="1:8" x14ac:dyDescent="0.3">
      <c r="A19" s="4" t="s">
        <v>34</v>
      </c>
      <c r="B19" s="18">
        <f>B18-B15</f>
        <v>10.921212121212118</v>
      </c>
      <c r="D19" s="23"/>
      <c r="E19" s="24"/>
      <c r="F19" s="15"/>
    </row>
    <row r="20" spans="1:8" x14ac:dyDescent="0.3">
      <c r="A20" s="4" t="s">
        <v>35</v>
      </c>
      <c r="B20" s="18">
        <f>+B17-B18</f>
        <v>10.200000000000003</v>
      </c>
      <c r="D20" s="23"/>
      <c r="E20" s="25"/>
      <c r="F20" s="15"/>
    </row>
    <row r="21" spans="1:8" x14ac:dyDescent="0.3">
      <c r="A21" s="4" t="s">
        <v>26</v>
      </c>
      <c r="B21" s="18">
        <f>(ABS(C10)-ABS(C4))*B17/C5</f>
        <v>7.7272727272727275</v>
      </c>
      <c r="D21" s="23"/>
      <c r="E21" s="24"/>
      <c r="F21" s="15"/>
    </row>
    <row r="22" spans="1:8" ht="15" thickBot="1" x14ac:dyDescent="0.35">
      <c r="A22" s="3" t="s">
        <v>25</v>
      </c>
      <c r="B22" s="19">
        <f>-C10*B17/C5</f>
        <v>20.606060606060606</v>
      </c>
      <c r="D22" s="23"/>
      <c r="E22" s="24"/>
      <c r="F22" s="15"/>
    </row>
    <row r="23" spans="1:8" ht="15" thickBot="1" x14ac:dyDescent="0.35">
      <c r="A23" s="11"/>
      <c r="B23" s="11"/>
    </row>
    <row r="24" spans="1:8" ht="15" thickBot="1" x14ac:dyDescent="0.35">
      <c r="A24" s="11"/>
      <c r="B24" s="11"/>
      <c r="D24" s="26" t="s">
        <v>22</v>
      </c>
      <c r="E24" s="27" t="s">
        <v>24</v>
      </c>
      <c r="F24" s="27" t="s">
        <v>23</v>
      </c>
      <c r="G24" s="28" t="s">
        <v>22</v>
      </c>
      <c r="H24" s="29" t="s">
        <v>21</v>
      </c>
    </row>
    <row r="25" spans="1:8" ht="15" customHeight="1" x14ac:dyDescent="0.3">
      <c r="A25" s="30" t="s">
        <v>20</v>
      </c>
      <c r="B25" s="37">
        <f>+B26</f>
        <v>293.56121212121212</v>
      </c>
      <c r="C25" s="38" t="s">
        <v>19</v>
      </c>
      <c r="D25" s="39">
        <f>+C8</f>
        <v>-4</v>
      </c>
      <c r="E25" s="39">
        <f>+C4</f>
        <v>-2.5</v>
      </c>
      <c r="F25" s="39">
        <f>+C4</f>
        <v>-2.5</v>
      </c>
      <c r="G25" s="40">
        <f>+C8</f>
        <v>-4</v>
      </c>
      <c r="H25" s="48" t="s">
        <v>48</v>
      </c>
    </row>
    <row r="26" spans="1:8" x14ac:dyDescent="0.3">
      <c r="A26" s="31" t="s">
        <v>18</v>
      </c>
      <c r="B26" s="41">
        <f>B27-B14</f>
        <v>293.56121212121212</v>
      </c>
      <c r="C26" s="15" t="s">
        <v>17</v>
      </c>
      <c r="D26" s="35">
        <v>-4</v>
      </c>
      <c r="E26" s="35">
        <f>+C4</f>
        <v>-2.5</v>
      </c>
      <c r="F26" s="35">
        <f>+C4</f>
        <v>-2.5</v>
      </c>
      <c r="G26" s="36">
        <v>-4</v>
      </c>
      <c r="H26" s="42" t="str">
        <f t="shared" ref="H26:H38" si="0">+H25</f>
        <v>Derecha</v>
      </c>
    </row>
    <row r="27" spans="1:8" x14ac:dyDescent="0.3">
      <c r="A27" s="31" t="s">
        <v>16</v>
      </c>
      <c r="B27" s="41">
        <f>B28-B15</f>
        <v>306.44</v>
      </c>
      <c r="C27" s="15" t="s">
        <v>4</v>
      </c>
      <c r="D27" s="35">
        <v>-4</v>
      </c>
      <c r="E27" s="35">
        <f>IF(H27="Derecha",0,C4)</f>
        <v>0</v>
      </c>
      <c r="F27" s="35">
        <f>IF(H27="Derecha",C4,0)</f>
        <v>-2.5</v>
      </c>
      <c r="G27" s="36">
        <v>-4</v>
      </c>
      <c r="H27" s="42" t="str">
        <f t="shared" si="0"/>
        <v>Derecha</v>
      </c>
    </row>
    <row r="28" spans="1:8" x14ac:dyDescent="0.3">
      <c r="A28" s="31" t="s">
        <v>15</v>
      </c>
      <c r="B28" s="41">
        <f>B29-B19</f>
        <v>319.31878787878787</v>
      </c>
      <c r="C28" s="15" t="s">
        <v>6</v>
      </c>
      <c r="D28" s="35">
        <v>-4</v>
      </c>
      <c r="E28" s="35">
        <f>IF(H28="Derecha",-C4,C4)</f>
        <v>2.5</v>
      </c>
      <c r="F28" s="35">
        <f>IF(H28="Derecha",C4,-C4)</f>
        <v>-2.5</v>
      </c>
      <c r="G28" s="36">
        <v>-4</v>
      </c>
      <c r="H28" s="42" t="str">
        <f t="shared" si="0"/>
        <v>Derecha</v>
      </c>
    </row>
    <row r="29" spans="1:8" x14ac:dyDescent="0.3">
      <c r="A29" s="32" t="s">
        <v>37</v>
      </c>
      <c r="B29" s="34">
        <v>330.24</v>
      </c>
      <c r="C29" s="15"/>
      <c r="D29" s="35">
        <v>-4</v>
      </c>
      <c r="E29" s="23">
        <f>+E31*C7</f>
        <v>4.6199999999999992</v>
      </c>
      <c r="F29" s="23">
        <f>+F31*C7</f>
        <v>-4.6199999999999992</v>
      </c>
      <c r="G29" s="36">
        <v>-4</v>
      </c>
      <c r="H29" s="42" t="str">
        <f t="shared" si="0"/>
        <v>Derecha</v>
      </c>
    </row>
    <row r="30" spans="1:8" x14ac:dyDescent="0.3">
      <c r="A30" s="31" t="s">
        <v>14</v>
      </c>
      <c r="B30" s="41">
        <f>IF(B27+B22&lt;B31,B27+B22,B31)</f>
        <v>327.04606060606062</v>
      </c>
      <c r="C30" s="15" t="s">
        <v>8</v>
      </c>
      <c r="D30" s="35">
        <v>-4</v>
      </c>
      <c r="E30" s="35">
        <f>IF(ABS(C8)&gt;ABS(C5),IF(H30="Izquierda",-C5,C5),IF(H30="Izquierda",C8,-C8))</f>
        <v>4</v>
      </c>
      <c r="F30" s="35">
        <f>IF(ABS(C8)&gt;ABS(C5),IF(H30="Derecha",-C5,C5),IF(H30="Derecha",C8,-C8))</f>
        <v>-4</v>
      </c>
      <c r="G30" s="36">
        <v>-4</v>
      </c>
      <c r="H30" s="42" t="str">
        <f t="shared" si="0"/>
        <v>Derecha</v>
      </c>
    </row>
    <row r="31" spans="1:8" x14ac:dyDescent="0.3">
      <c r="A31" s="31" t="s">
        <v>13</v>
      </c>
      <c r="B31" s="41">
        <f>B29+B20</f>
        <v>340.44</v>
      </c>
      <c r="C31" s="15" t="s">
        <v>12</v>
      </c>
      <c r="D31" s="35">
        <f>IF(H31="Izquierda",C9,C10)</f>
        <v>-4</v>
      </c>
      <c r="E31" s="35">
        <f>IF(H31="Derecha",C5,-C5)</f>
        <v>6.6</v>
      </c>
      <c r="F31" s="35">
        <f>IF(H31="Derecha",-C5,C5)</f>
        <v>-6.6</v>
      </c>
      <c r="G31" s="36">
        <f>IF(H31="Derecha",C9,C10)</f>
        <v>-6.6</v>
      </c>
      <c r="H31" s="42" t="str">
        <f t="shared" si="0"/>
        <v>Derecha</v>
      </c>
    </row>
    <row r="32" spans="1:8" x14ac:dyDescent="0.3">
      <c r="A32" s="31" t="s">
        <v>11</v>
      </c>
      <c r="B32" s="41">
        <f>B34-B20</f>
        <v>359.49</v>
      </c>
      <c r="C32" s="15" t="s">
        <v>10</v>
      </c>
      <c r="D32" s="35">
        <f>IF(H31="Izquierda",C9,C10)</f>
        <v>-4</v>
      </c>
      <c r="E32" s="35">
        <f>IF(H32="Derecha",C5,-C5)</f>
        <v>6.6</v>
      </c>
      <c r="F32" s="35">
        <f>IF(H32="Derecha",-C5,C5)</f>
        <v>-6.6</v>
      </c>
      <c r="G32" s="36">
        <f>IF(H31="Derecha",C9,C10)</f>
        <v>-6.6</v>
      </c>
      <c r="H32" s="42" t="str">
        <f t="shared" si="0"/>
        <v>Derecha</v>
      </c>
    </row>
    <row r="33" spans="1:8" x14ac:dyDescent="0.3">
      <c r="A33" s="31" t="s">
        <v>9</v>
      </c>
      <c r="B33" s="41">
        <f>IF(B36-B22&gt;B32,B36-B22,B32)</f>
        <v>372.88393939393939</v>
      </c>
      <c r="C33" s="15" t="s">
        <v>8</v>
      </c>
      <c r="D33" s="35">
        <v>-4</v>
      </c>
      <c r="E33" s="35">
        <f>IF(ABS(C8)&gt;ABS(C5),IF(H30="Izquierda",-C5,C5),IF(H30="Izquierda",C8,-C8))</f>
        <v>4</v>
      </c>
      <c r="F33" s="35">
        <f>IF(ABS(C8)&gt;ABS(C5),IF(H30="Derecha",-C5,C5),IF(H30="Derecha",C8,-C8))</f>
        <v>-4</v>
      </c>
      <c r="G33" s="36">
        <v>-4</v>
      </c>
      <c r="H33" s="42" t="str">
        <f t="shared" si="0"/>
        <v>Derecha</v>
      </c>
    </row>
    <row r="34" spans="1:8" x14ac:dyDescent="0.3">
      <c r="A34" s="32" t="s">
        <v>38</v>
      </c>
      <c r="B34" s="34">
        <v>369.69</v>
      </c>
      <c r="C34" s="15"/>
      <c r="D34" s="35">
        <v>-4</v>
      </c>
      <c r="E34" s="23">
        <f>+E32*C7</f>
        <v>4.6199999999999992</v>
      </c>
      <c r="F34" s="23">
        <f>+F32*C7</f>
        <v>-4.6199999999999992</v>
      </c>
      <c r="G34" s="36">
        <v>-4</v>
      </c>
      <c r="H34" s="42" t="str">
        <f t="shared" si="0"/>
        <v>Derecha</v>
      </c>
    </row>
    <row r="35" spans="1:8" x14ac:dyDescent="0.3">
      <c r="A35" s="31" t="s">
        <v>7</v>
      </c>
      <c r="B35" s="41">
        <f>B34+B19</f>
        <v>380.61121212121213</v>
      </c>
      <c r="C35" s="15" t="s">
        <v>6</v>
      </c>
      <c r="D35" s="35">
        <v>-4</v>
      </c>
      <c r="E35" s="35">
        <f>IF(H35="Izquierda",C4,-C4)</f>
        <v>2.5</v>
      </c>
      <c r="F35" s="35">
        <f>IF(H35="Derecha",C4,-C4)</f>
        <v>-2.5</v>
      </c>
      <c r="G35" s="36">
        <v>-4</v>
      </c>
      <c r="H35" s="42" t="str">
        <f t="shared" si="0"/>
        <v>Derecha</v>
      </c>
    </row>
    <row r="36" spans="1:8" x14ac:dyDescent="0.3">
      <c r="A36" s="31" t="s">
        <v>5</v>
      </c>
      <c r="B36" s="41">
        <f>B35+B15</f>
        <v>393.49</v>
      </c>
      <c r="C36" s="15" t="s">
        <v>4</v>
      </c>
      <c r="D36" s="35">
        <v>-4</v>
      </c>
      <c r="E36" s="35">
        <f>IF(H36="Derecha",0,C4)</f>
        <v>0</v>
      </c>
      <c r="F36" s="35">
        <f>IF(H36="Derecha",C4,0)</f>
        <v>-2.5</v>
      </c>
      <c r="G36" s="36">
        <v>-4</v>
      </c>
      <c r="H36" s="42" t="str">
        <f t="shared" si="0"/>
        <v>Derecha</v>
      </c>
    </row>
    <row r="37" spans="1:8" x14ac:dyDescent="0.3">
      <c r="A37" s="31" t="s">
        <v>3</v>
      </c>
      <c r="B37" s="41">
        <f>B36+B14</f>
        <v>406.36878787878788</v>
      </c>
      <c r="C37" s="15" t="s">
        <v>2</v>
      </c>
      <c r="D37" s="35">
        <v>-4</v>
      </c>
      <c r="E37" s="35">
        <f>+C4</f>
        <v>-2.5</v>
      </c>
      <c r="F37" s="35">
        <f>+C4</f>
        <v>-2.5</v>
      </c>
      <c r="G37" s="36">
        <v>-4</v>
      </c>
      <c r="H37" s="42" t="str">
        <f t="shared" si="0"/>
        <v>Derecha</v>
      </c>
    </row>
    <row r="38" spans="1:8" ht="15" thickBot="1" x14ac:dyDescent="0.35">
      <c r="A38" s="33" t="s">
        <v>1</v>
      </c>
      <c r="B38" s="43">
        <f>+B37</f>
        <v>406.36878787878788</v>
      </c>
      <c r="C38" s="44" t="s">
        <v>0</v>
      </c>
      <c r="D38" s="45">
        <f>+C8</f>
        <v>-4</v>
      </c>
      <c r="E38" s="45">
        <f>+C4</f>
        <v>-2.5</v>
      </c>
      <c r="F38" s="45">
        <f>+C4</f>
        <v>-2.5</v>
      </c>
      <c r="G38" s="46">
        <f>+C8</f>
        <v>-4</v>
      </c>
      <c r="H38" s="47" t="str">
        <f t="shared" si="0"/>
        <v>Derecha</v>
      </c>
    </row>
    <row r="40" spans="1:8" x14ac:dyDescent="0.3">
      <c r="E40" s="8"/>
    </row>
    <row r="41" spans="1:8" x14ac:dyDescent="0.3">
      <c r="E41" s="17">
        <f>B19</f>
        <v>10.921212121212118</v>
      </c>
      <c r="F41" s="20">
        <f>B20</f>
        <v>10.200000000000003</v>
      </c>
    </row>
    <row r="46" spans="1:8" x14ac:dyDescent="0.3">
      <c r="H46" s="14">
        <f>C6*C5</f>
        <v>21.779999999999998</v>
      </c>
    </row>
    <row r="50" spans="1:8" x14ac:dyDescent="0.3">
      <c r="A50" s="13">
        <f>C6*ABS(C4)</f>
        <v>8.25</v>
      </c>
    </row>
    <row r="52" spans="1:8" x14ac:dyDescent="0.3">
      <c r="H52" s="14">
        <f>C6*C5</f>
        <v>21.779999999999998</v>
      </c>
    </row>
    <row r="54" spans="1:8" x14ac:dyDescent="0.3">
      <c r="C54" s="17">
        <f>B14</f>
        <v>12.878787878787879</v>
      </c>
      <c r="D54" s="17">
        <f>B15</f>
        <v>12.878787878787879</v>
      </c>
    </row>
    <row r="57" spans="1:8" x14ac:dyDescent="0.3">
      <c r="D57" s="20">
        <f>B12+B14</f>
        <v>46.878787878787875</v>
      </c>
    </row>
    <row r="65" spans="10:10" x14ac:dyDescent="0.3">
      <c r="J65" s="2"/>
    </row>
  </sheetData>
  <mergeCells count="1">
    <mergeCell ref="G16:H16"/>
  </mergeCells>
  <pageMargins left="0.7" right="0.7" top="0.75" bottom="0.75" header="0.3" footer="0.3"/>
  <pageSetup scale="75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J65"/>
  <sheetViews>
    <sheetView showGridLines="0" view="pageBreakPreview" zoomScale="98" zoomScaleNormal="91" zoomScaleSheetLayoutView="98" workbookViewId="0">
      <selection activeCell="B12" sqref="B12"/>
    </sheetView>
  </sheetViews>
  <sheetFormatPr baseColWidth="10" defaultColWidth="11.44140625" defaultRowHeight="14.4" x14ac:dyDescent="0.3"/>
  <cols>
    <col min="1" max="1" width="14.109375" style="10" customWidth="1"/>
    <col min="2" max="2" width="19" style="10" customWidth="1"/>
    <col min="3" max="3" width="21.6640625" style="10" bestFit="1" customWidth="1"/>
    <col min="4" max="4" width="11.44140625" style="10"/>
    <col min="5" max="5" width="12.44140625" style="10" customWidth="1"/>
    <col min="6" max="7" width="11.44140625" style="10"/>
    <col min="8" max="8" width="19.6640625" style="10" customWidth="1"/>
    <col min="9" max="9" width="19.88671875" style="10" bestFit="1" customWidth="1"/>
    <col min="10" max="16384" width="11.44140625" style="10"/>
  </cols>
  <sheetData>
    <row r="1" spans="1:8" ht="15" thickBot="1" x14ac:dyDescent="0.35">
      <c r="A1" s="7" t="s">
        <v>30</v>
      </c>
      <c r="B1" s="56">
        <v>2</v>
      </c>
      <c r="C1" s="6"/>
    </row>
    <row r="2" spans="1:8" ht="15.75" customHeight="1" x14ac:dyDescent="0.3">
      <c r="B2" s="52" t="s">
        <v>32</v>
      </c>
      <c r="C2" s="49">
        <v>120</v>
      </c>
    </row>
    <row r="3" spans="1:8" x14ac:dyDescent="0.3">
      <c r="B3" s="53" t="s">
        <v>31</v>
      </c>
      <c r="C3" s="50">
        <v>40</v>
      </c>
    </row>
    <row r="4" spans="1:8" x14ac:dyDescent="0.3">
      <c r="B4" s="53" t="s">
        <v>40</v>
      </c>
      <c r="C4" s="50">
        <v>-2.5</v>
      </c>
      <c r="E4" s="2"/>
      <c r="F4" s="2"/>
    </row>
    <row r="5" spans="1:8" x14ac:dyDescent="0.3">
      <c r="B5" s="53" t="s">
        <v>41</v>
      </c>
      <c r="C5" s="50">
        <v>6.3</v>
      </c>
      <c r="E5" s="2"/>
      <c r="F5" s="2"/>
    </row>
    <row r="6" spans="1:8" x14ac:dyDescent="0.3">
      <c r="B6" s="53" t="s">
        <v>47</v>
      </c>
      <c r="C6" s="50">
        <v>3.3</v>
      </c>
      <c r="E6" s="2"/>
      <c r="F6" s="2"/>
    </row>
    <row r="7" spans="1:8" ht="15" customHeight="1" x14ac:dyDescent="0.3">
      <c r="B7" s="53" t="s">
        <v>39</v>
      </c>
      <c r="C7" s="51">
        <v>0.7</v>
      </c>
      <c r="E7" s="1"/>
      <c r="F7" s="1"/>
    </row>
    <row r="8" spans="1:8" x14ac:dyDescent="0.3">
      <c r="B8" s="53" t="s">
        <v>45</v>
      </c>
      <c r="C8" s="50">
        <v>-4</v>
      </c>
      <c r="E8" s="1"/>
      <c r="F8" s="1"/>
    </row>
    <row r="9" spans="1:8" x14ac:dyDescent="0.3">
      <c r="B9" s="53" t="s">
        <v>43</v>
      </c>
      <c r="C9" s="54">
        <f>IF(C5="BN",-4,IF(C5&gt;4,-C5,-4))</f>
        <v>-6.3</v>
      </c>
      <c r="E9" s="1"/>
      <c r="F9" s="1"/>
    </row>
    <row r="10" spans="1:8" x14ac:dyDescent="0.3">
      <c r="B10" s="53" t="s">
        <v>44</v>
      </c>
      <c r="C10" s="54">
        <f>+C8</f>
        <v>-4</v>
      </c>
      <c r="D10" s="9"/>
      <c r="E10" s="2"/>
      <c r="F10" s="2"/>
    </row>
    <row r="11" spans="1:8" x14ac:dyDescent="0.3">
      <c r="A11" s="11"/>
      <c r="B11" s="11"/>
      <c r="C11" s="11"/>
      <c r="D11" s="11"/>
    </row>
    <row r="12" spans="1:8" ht="24.6" x14ac:dyDescent="0.55000000000000004">
      <c r="A12" s="16" t="s">
        <v>42</v>
      </c>
      <c r="B12" s="60">
        <v>32.5</v>
      </c>
      <c r="C12" s="12"/>
      <c r="D12" s="21"/>
      <c r="E12" s="22"/>
      <c r="F12" s="15"/>
    </row>
    <row r="13" spans="1:8" ht="15" thickBot="1" x14ac:dyDescent="0.35">
      <c r="A13" s="11"/>
      <c r="B13" s="11"/>
      <c r="D13" s="15"/>
      <c r="E13" s="15"/>
      <c r="F13" s="15"/>
    </row>
    <row r="14" spans="1:8" x14ac:dyDescent="0.3">
      <c r="A14" s="5" t="s">
        <v>29</v>
      </c>
      <c r="B14" s="57">
        <f>ABS(+B12/C5*C4)</f>
        <v>12.896825396825397</v>
      </c>
      <c r="C14" s="8"/>
      <c r="D14" s="23"/>
      <c r="E14" s="24"/>
      <c r="F14" s="15"/>
    </row>
    <row r="15" spans="1:8" x14ac:dyDescent="0.3">
      <c r="A15" s="4" t="s">
        <v>28</v>
      </c>
      <c r="B15" s="18">
        <f>B14</f>
        <v>12.896825396825397</v>
      </c>
      <c r="D15" s="23"/>
      <c r="E15" s="24"/>
      <c r="F15" s="15"/>
    </row>
    <row r="16" spans="1:8" x14ac:dyDescent="0.3">
      <c r="A16" s="4" t="s">
        <v>27</v>
      </c>
      <c r="B16" s="18">
        <f>B12-B15</f>
        <v>19.603174603174601</v>
      </c>
      <c r="C16" s="17">
        <f>SUM(B15:B16)</f>
        <v>32.5</v>
      </c>
      <c r="D16" s="23"/>
      <c r="E16" s="24"/>
      <c r="F16" s="24"/>
      <c r="G16" s="59"/>
      <c r="H16" s="59"/>
    </row>
    <row r="17" spans="1:8" x14ac:dyDescent="0.3">
      <c r="A17" s="4" t="s">
        <v>36</v>
      </c>
      <c r="B17" s="18">
        <f>+B12</f>
        <v>32.5</v>
      </c>
      <c r="D17" s="23"/>
      <c r="E17" s="24"/>
      <c r="F17" s="15"/>
    </row>
    <row r="18" spans="1:8" x14ac:dyDescent="0.3">
      <c r="A18" s="4" t="s">
        <v>33</v>
      </c>
      <c r="B18" s="54">
        <f>+B12*C7</f>
        <v>22.75</v>
      </c>
      <c r="D18" s="23"/>
      <c r="E18" s="24"/>
      <c r="F18" s="15"/>
    </row>
    <row r="19" spans="1:8" x14ac:dyDescent="0.3">
      <c r="A19" s="4" t="s">
        <v>34</v>
      </c>
      <c r="B19" s="18">
        <f>B18-B15</f>
        <v>9.8531746031746028</v>
      </c>
      <c r="D19" s="23"/>
      <c r="E19" s="24"/>
      <c r="F19" s="15"/>
    </row>
    <row r="20" spans="1:8" x14ac:dyDescent="0.3">
      <c r="A20" s="4" t="s">
        <v>35</v>
      </c>
      <c r="B20" s="18">
        <f>+B17-B18</f>
        <v>9.75</v>
      </c>
      <c r="D20" s="23"/>
      <c r="E20" s="25"/>
      <c r="F20" s="15"/>
    </row>
    <row r="21" spans="1:8" x14ac:dyDescent="0.3">
      <c r="A21" s="4" t="s">
        <v>26</v>
      </c>
      <c r="B21" s="18">
        <f>(ABS(C10)-ABS(C4))*B17/C5</f>
        <v>7.7380952380952381</v>
      </c>
      <c r="D21" s="23"/>
      <c r="E21" s="24"/>
      <c r="F21" s="15"/>
    </row>
    <row r="22" spans="1:8" ht="15" thickBot="1" x14ac:dyDescent="0.35">
      <c r="A22" s="3" t="s">
        <v>25</v>
      </c>
      <c r="B22" s="19">
        <f>-C10*B17/C5</f>
        <v>20.634920634920636</v>
      </c>
      <c r="D22" s="23"/>
      <c r="E22" s="24"/>
      <c r="F22" s="15"/>
    </row>
    <row r="23" spans="1:8" ht="15" thickBot="1" x14ac:dyDescent="0.35">
      <c r="A23" s="11"/>
      <c r="B23" s="11"/>
    </row>
    <row r="24" spans="1:8" ht="15" thickBot="1" x14ac:dyDescent="0.35">
      <c r="A24" s="11"/>
      <c r="B24" s="11"/>
      <c r="D24" s="26" t="s">
        <v>22</v>
      </c>
      <c r="E24" s="27" t="s">
        <v>24</v>
      </c>
      <c r="F24" s="27" t="s">
        <v>23</v>
      </c>
      <c r="G24" s="28" t="s">
        <v>22</v>
      </c>
      <c r="H24" s="29" t="s">
        <v>21</v>
      </c>
    </row>
    <row r="25" spans="1:8" ht="15" customHeight="1" x14ac:dyDescent="0.3">
      <c r="A25" s="30" t="s">
        <v>20</v>
      </c>
      <c r="B25" s="37">
        <f>+B26</f>
        <v>405.48317460317458</v>
      </c>
      <c r="C25" s="38" t="s">
        <v>19</v>
      </c>
      <c r="D25" s="39">
        <f>+C8</f>
        <v>-4</v>
      </c>
      <c r="E25" s="39">
        <f>+C4</f>
        <v>-2.5</v>
      </c>
      <c r="F25" s="39">
        <f>+C4</f>
        <v>-2.5</v>
      </c>
      <c r="G25" s="40">
        <f>+C8</f>
        <v>-4</v>
      </c>
      <c r="H25" s="48" t="s">
        <v>46</v>
      </c>
    </row>
    <row r="26" spans="1:8" x14ac:dyDescent="0.3">
      <c r="A26" s="31" t="s">
        <v>18</v>
      </c>
      <c r="B26" s="41">
        <f>B27-B14</f>
        <v>405.48317460317458</v>
      </c>
      <c r="C26" s="15" t="s">
        <v>17</v>
      </c>
      <c r="D26" s="35">
        <v>-4</v>
      </c>
      <c r="E26" s="35">
        <f>+C4</f>
        <v>-2.5</v>
      </c>
      <c r="F26" s="35">
        <f>+C4</f>
        <v>-2.5</v>
      </c>
      <c r="G26" s="36">
        <v>-4</v>
      </c>
      <c r="H26" s="42" t="str">
        <f t="shared" ref="H26:H38" si="0">+H25</f>
        <v>Izquierda</v>
      </c>
    </row>
    <row r="27" spans="1:8" x14ac:dyDescent="0.3">
      <c r="A27" s="31" t="s">
        <v>16</v>
      </c>
      <c r="B27" s="41">
        <f>B28-B15</f>
        <v>418.38</v>
      </c>
      <c r="C27" s="15" t="s">
        <v>4</v>
      </c>
      <c r="D27" s="35">
        <v>-4</v>
      </c>
      <c r="E27" s="35">
        <f>IF(H27="Derecha",0,C4)</f>
        <v>-2.5</v>
      </c>
      <c r="F27" s="35">
        <f>IF(H27="Derecha",C4,0)</f>
        <v>0</v>
      </c>
      <c r="G27" s="36">
        <v>-4</v>
      </c>
      <c r="H27" s="42" t="str">
        <f t="shared" si="0"/>
        <v>Izquierda</v>
      </c>
    </row>
    <row r="28" spans="1:8" x14ac:dyDescent="0.3">
      <c r="A28" s="31" t="s">
        <v>15</v>
      </c>
      <c r="B28" s="41">
        <f>B29-B19</f>
        <v>431.27682539682542</v>
      </c>
      <c r="C28" s="15" t="s">
        <v>6</v>
      </c>
      <c r="D28" s="35">
        <v>-4</v>
      </c>
      <c r="E28" s="35">
        <f>IF(H28="Derecha",-C4,C4)</f>
        <v>-2.5</v>
      </c>
      <c r="F28" s="35">
        <f>IF(H28="Derecha",C4,-C4)</f>
        <v>2.5</v>
      </c>
      <c r="G28" s="36">
        <v>-4</v>
      </c>
      <c r="H28" s="42" t="str">
        <f t="shared" si="0"/>
        <v>Izquierda</v>
      </c>
    </row>
    <row r="29" spans="1:8" x14ac:dyDescent="0.3">
      <c r="A29" s="32" t="s">
        <v>37</v>
      </c>
      <c r="B29" s="34">
        <v>441.13</v>
      </c>
      <c r="C29" s="15"/>
      <c r="D29" s="35">
        <v>-4</v>
      </c>
      <c r="E29" s="23">
        <f>+E31*C7</f>
        <v>-4.4099999999999993</v>
      </c>
      <c r="F29" s="23">
        <f>+F31*C7</f>
        <v>4.4099999999999993</v>
      </c>
      <c r="G29" s="36">
        <v>-4</v>
      </c>
      <c r="H29" s="42" t="str">
        <f t="shared" si="0"/>
        <v>Izquierda</v>
      </c>
    </row>
    <row r="30" spans="1:8" x14ac:dyDescent="0.3">
      <c r="A30" s="31" t="s">
        <v>14</v>
      </c>
      <c r="B30" s="41">
        <f>IF(B27+B22&lt;B31,B27+B22,B31)</f>
        <v>439.01492063492066</v>
      </c>
      <c r="C30" s="15" t="s">
        <v>8</v>
      </c>
      <c r="D30" s="35">
        <v>-4</v>
      </c>
      <c r="E30" s="35">
        <f>IF(ABS(C8)&gt;ABS(C5),IF(H30="Izquierda",-C5,C5),IF(H30="Izquierda",C8,-C8))</f>
        <v>-4</v>
      </c>
      <c r="F30" s="35">
        <f>IF(ABS(C8)&gt;ABS(C5),IF(H30="Derecha",-C5,C5),IF(H30="Derecha",C8,-C8))</f>
        <v>4</v>
      </c>
      <c r="G30" s="36">
        <v>-4</v>
      </c>
      <c r="H30" s="42" t="str">
        <f t="shared" si="0"/>
        <v>Izquierda</v>
      </c>
    </row>
    <row r="31" spans="1:8" x14ac:dyDescent="0.3">
      <c r="A31" s="31" t="s">
        <v>13</v>
      </c>
      <c r="B31" s="41">
        <f>B29+B20</f>
        <v>450.88</v>
      </c>
      <c r="C31" s="15" t="s">
        <v>12</v>
      </c>
      <c r="D31" s="35">
        <f>IF(H31="Izquierda",C9,C10)</f>
        <v>-6.3</v>
      </c>
      <c r="E31" s="35">
        <f>IF(H31="Derecha",C5,-C5)</f>
        <v>-6.3</v>
      </c>
      <c r="F31" s="35">
        <f>IF(H31="Derecha",-C5,C5)</f>
        <v>6.3</v>
      </c>
      <c r="G31" s="36">
        <f>IF(H31="Derecha",C9,C10)</f>
        <v>-4</v>
      </c>
      <c r="H31" s="42" t="str">
        <f t="shared" si="0"/>
        <v>Izquierda</v>
      </c>
    </row>
    <row r="32" spans="1:8" x14ac:dyDescent="0.3">
      <c r="A32" s="31" t="s">
        <v>11</v>
      </c>
      <c r="B32" s="41">
        <f>B34-B20</f>
        <v>531.41</v>
      </c>
      <c r="C32" s="15" t="s">
        <v>10</v>
      </c>
      <c r="D32" s="35">
        <f>IF(H31="Izquierda",C9,C10)</f>
        <v>-6.3</v>
      </c>
      <c r="E32" s="35">
        <f>IF(H32="Derecha",C5,-C5)</f>
        <v>-6.3</v>
      </c>
      <c r="F32" s="35">
        <f>IF(H32="Derecha",-C5,C5)</f>
        <v>6.3</v>
      </c>
      <c r="G32" s="36">
        <f>IF(H31="Derecha",C9,C10)</f>
        <v>-4</v>
      </c>
      <c r="H32" s="42" t="str">
        <f t="shared" si="0"/>
        <v>Izquierda</v>
      </c>
    </row>
    <row r="33" spans="1:8" x14ac:dyDescent="0.3">
      <c r="A33" s="31" t="s">
        <v>9</v>
      </c>
      <c r="B33" s="41">
        <f>IF(B36-B22&gt;B32,B36-B22,B32)</f>
        <v>543.27507936507936</v>
      </c>
      <c r="C33" s="15" t="s">
        <v>8</v>
      </c>
      <c r="D33" s="35">
        <v>-4</v>
      </c>
      <c r="E33" s="35">
        <f>IF(ABS(C8)&gt;ABS(C5),IF(H30="Izquierda",-C5,C5),IF(H30="Izquierda",C8,-C8))</f>
        <v>-4</v>
      </c>
      <c r="F33" s="35">
        <f>IF(ABS(C8)&gt;ABS(C5),IF(H30="Derecha",-C5,C5),IF(H30="Derecha",C8,-C8))</f>
        <v>4</v>
      </c>
      <c r="G33" s="36">
        <v>-4</v>
      </c>
      <c r="H33" s="42" t="str">
        <f t="shared" si="0"/>
        <v>Izquierda</v>
      </c>
    </row>
    <row r="34" spans="1:8" x14ac:dyDescent="0.3">
      <c r="A34" s="32" t="s">
        <v>38</v>
      </c>
      <c r="B34" s="34">
        <v>541.16</v>
      </c>
      <c r="C34" s="15"/>
      <c r="D34" s="35">
        <v>-4</v>
      </c>
      <c r="E34" s="23">
        <f>+E32*C7</f>
        <v>-4.4099999999999993</v>
      </c>
      <c r="F34" s="23">
        <f>+F32*C7</f>
        <v>4.4099999999999993</v>
      </c>
      <c r="G34" s="36">
        <v>-4</v>
      </c>
      <c r="H34" s="42" t="str">
        <f t="shared" si="0"/>
        <v>Izquierda</v>
      </c>
    </row>
    <row r="35" spans="1:8" x14ac:dyDescent="0.3">
      <c r="A35" s="31" t="s">
        <v>7</v>
      </c>
      <c r="B35" s="41">
        <f>B34+B19</f>
        <v>551.01317460317455</v>
      </c>
      <c r="C35" s="15" t="s">
        <v>6</v>
      </c>
      <c r="D35" s="35">
        <v>-4</v>
      </c>
      <c r="E35" s="35">
        <f>IF(H35="Izquierda",C4,-C4)</f>
        <v>-2.5</v>
      </c>
      <c r="F35" s="35">
        <f>IF(H35="Derecha",C4,-C4)</f>
        <v>2.5</v>
      </c>
      <c r="G35" s="36">
        <v>-4</v>
      </c>
      <c r="H35" s="42" t="str">
        <f t="shared" si="0"/>
        <v>Izquierda</v>
      </c>
    </row>
    <row r="36" spans="1:8" x14ac:dyDescent="0.3">
      <c r="A36" s="31" t="s">
        <v>5</v>
      </c>
      <c r="B36" s="41">
        <f>B35+B15</f>
        <v>563.91</v>
      </c>
      <c r="C36" s="15" t="s">
        <v>4</v>
      </c>
      <c r="D36" s="35">
        <v>-4</v>
      </c>
      <c r="E36" s="35">
        <f>IF(H36="Derecha",0,C4)</f>
        <v>-2.5</v>
      </c>
      <c r="F36" s="35">
        <f>IF(H36="Derecha",C4,0)</f>
        <v>0</v>
      </c>
      <c r="G36" s="36">
        <v>-4</v>
      </c>
      <c r="H36" s="42" t="str">
        <f t="shared" si="0"/>
        <v>Izquierda</v>
      </c>
    </row>
    <row r="37" spans="1:8" x14ac:dyDescent="0.3">
      <c r="A37" s="31" t="s">
        <v>3</v>
      </c>
      <c r="B37" s="41">
        <f>B36+B14</f>
        <v>576.80682539682539</v>
      </c>
      <c r="C37" s="15" t="s">
        <v>2</v>
      </c>
      <c r="D37" s="35">
        <v>-4</v>
      </c>
      <c r="E37" s="35">
        <f>+C4</f>
        <v>-2.5</v>
      </c>
      <c r="F37" s="35">
        <f>+C4</f>
        <v>-2.5</v>
      </c>
      <c r="G37" s="36">
        <v>-4</v>
      </c>
      <c r="H37" s="42" t="str">
        <f t="shared" si="0"/>
        <v>Izquierda</v>
      </c>
    </row>
    <row r="38" spans="1:8" ht="15" thickBot="1" x14ac:dyDescent="0.35">
      <c r="A38" s="33" t="s">
        <v>1</v>
      </c>
      <c r="B38" s="43">
        <f>+B37</f>
        <v>576.80682539682539</v>
      </c>
      <c r="C38" s="44" t="s">
        <v>0</v>
      </c>
      <c r="D38" s="45">
        <f>+C8</f>
        <v>-4</v>
      </c>
      <c r="E38" s="45">
        <f>+C4</f>
        <v>-2.5</v>
      </c>
      <c r="F38" s="45">
        <f>+C4</f>
        <v>-2.5</v>
      </c>
      <c r="G38" s="46">
        <f>+C8</f>
        <v>-4</v>
      </c>
      <c r="H38" s="47" t="str">
        <f t="shared" si="0"/>
        <v>Izquierda</v>
      </c>
    </row>
    <row r="40" spans="1:8" x14ac:dyDescent="0.3">
      <c r="E40" s="8"/>
    </row>
    <row r="41" spans="1:8" x14ac:dyDescent="0.3">
      <c r="E41" s="17">
        <f>B19</f>
        <v>9.8531746031746028</v>
      </c>
      <c r="F41" s="20">
        <f>B20</f>
        <v>9.75</v>
      </c>
    </row>
    <row r="46" spans="1:8" x14ac:dyDescent="0.3">
      <c r="H46" s="14">
        <f>C6*C5</f>
        <v>20.79</v>
      </c>
    </row>
    <row r="50" spans="1:8" x14ac:dyDescent="0.3">
      <c r="A50" s="13">
        <f>C6*ABS(C4)</f>
        <v>8.25</v>
      </c>
    </row>
    <row r="52" spans="1:8" x14ac:dyDescent="0.3">
      <c r="H52" s="14">
        <f>C6*C5</f>
        <v>20.79</v>
      </c>
    </row>
    <row r="54" spans="1:8" x14ac:dyDescent="0.3">
      <c r="C54" s="17">
        <f>B14</f>
        <v>12.896825396825397</v>
      </c>
      <c r="D54" s="17">
        <f>B15</f>
        <v>12.896825396825397</v>
      </c>
    </row>
    <row r="57" spans="1:8" x14ac:dyDescent="0.3">
      <c r="D57" s="20">
        <f>B12+B14</f>
        <v>45.396825396825399</v>
      </c>
    </row>
    <row r="65" spans="10:10" x14ac:dyDescent="0.3">
      <c r="J65" s="2"/>
    </row>
  </sheetData>
  <mergeCells count="1">
    <mergeCell ref="G16:H16"/>
  </mergeCells>
  <pageMargins left="0.7" right="0.7" top="0.75" bottom="0.75" header="0.3" footer="0.3"/>
  <pageSetup scale="75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J65"/>
  <sheetViews>
    <sheetView showGridLines="0" view="pageBreakPreview" zoomScale="98" zoomScaleNormal="91" zoomScaleSheetLayoutView="98" workbookViewId="0">
      <selection activeCell="D9" sqref="D9"/>
    </sheetView>
  </sheetViews>
  <sheetFormatPr baseColWidth="10" defaultColWidth="11.44140625" defaultRowHeight="14.4" x14ac:dyDescent="0.3"/>
  <cols>
    <col min="1" max="1" width="14.109375" style="10" customWidth="1"/>
    <col min="2" max="2" width="19" style="10" customWidth="1"/>
    <col min="3" max="3" width="21.6640625" style="10" bestFit="1" customWidth="1"/>
    <col min="4" max="4" width="11.44140625" style="10"/>
    <col min="5" max="5" width="12.44140625" style="10" customWidth="1"/>
    <col min="6" max="7" width="11.44140625" style="10"/>
    <col min="8" max="8" width="19.6640625" style="10" customWidth="1"/>
    <col min="9" max="9" width="19.88671875" style="10" bestFit="1" customWidth="1"/>
    <col min="10" max="16384" width="11.44140625" style="10"/>
  </cols>
  <sheetData>
    <row r="1" spans="1:8" ht="15" thickBot="1" x14ac:dyDescent="0.35">
      <c r="A1" s="7" t="s">
        <v>30</v>
      </c>
      <c r="B1" s="56">
        <v>3</v>
      </c>
      <c r="C1" s="6"/>
    </row>
    <row r="2" spans="1:8" ht="15.75" customHeight="1" x14ac:dyDescent="0.3">
      <c r="B2" s="52" t="s">
        <v>32</v>
      </c>
      <c r="C2" s="49">
        <v>100</v>
      </c>
    </row>
    <row r="3" spans="1:8" x14ac:dyDescent="0.3">
      <c r="B3" s="53" t="s">
        <v>31</v>
      </c>
      <c r="C3" s="50">
        <v>40</v>
      </c>
    </row>
    <row r="4" spans="1:8" x14ac:dyDescent="0.3">
      <c r="B4" s="53" t="s">
        <v>40</v>
      </c>
      <c r="C4" s="50">
        <v>-2.5</v>
      </c>
      <c r="E4" s="2"/>
      <c r="F4" s="2"/>
    </row>
    <row r="5" spans="1:8" x14ac:dyDescent="0.3">
      <c r="B5" s="53" t="s">
        <v>41</v>
      </c>
      <c r="C5" s="50">
        <v>6.6</v>
      </c>
      <c r="E5" s="2"/>
      <c r="F5" s="2"/>
    </row>
    <row r="6" spans="1:8" x14ac:dyDescent="0.3">
      <c r="B6" s="53" t="s">
        <v>47</v>
      </c>
      <c r="C6" s="50">
        <v>3.3</v>
      </c>
      <c r="E6" s="2"/>
      <c r="F6" s="2"/>
    </row>
    <row r="7" spans="1:8" ht="15" customHeight="1" x14ac:dyDescent="0.3">
      <c r="B7" s="53" t="s">
        <v>39</v>
      </c>
      <c r="C7" s="51">
        <v>0.7</v>
      </c>
      <c r="E7" s="1"/>
      <c r="F7" s="1"/>
    </row>
    <row r="8" spans="1:8" x14ac:dyDescent="0.3">
      <c r="B8" s="53" t="s">
        <v>45</v>
      </c>
      <c r="C8" s="50">
        <v>-4</v>
      </c>
      <c r="E8" s="1"/>
      <c r="F8" s="1"/>
    </row>
    <row r="9" spans="1:8" x14ac:dyDescent="0.3">
      <c r="B9" s="53" t="s">
        <v>43</v>
      </c>
      <c r="C9" s="54">
        <f>IF(C5="BN",-4,IF(C5&gt;4,-C5,-4))</f>
        <v>-6.6</v>
      </c>
      <c r="E9" s="1"/>
      <c r="F9" s="1"/>
    </row>
    <row r="10" spans="1:8" x14ac:dyDescent="0.3">
      <c r="B10" s="53" t="s">
        <v>44</v>
      </c>
      <c r="C10" s="54">
        <f>+C8</f>
        <v>-4</v>
      </c>
      <c r="D10" s="9"/>
      <c r="E10" s="2"/>
      <c r="F10" s="2"/>
    </row>
    <row r="11" spans="1:8" x14ac:dyDescent="0.3">
      <c r="A11" s="11"/>
      <c r="B11" s="11"/>
      <c r="C11" s="11"/>
      <c r="D11" s="11"/>
    </row>
    <row r="12" spans="1:8" ht="24.6" x14ac:dyDescent="0.55000000000000004">
      <c r="A12" s="16" t="s">
        <v>42</v>
      </c>
      <c r="B12" s="60">
        <v>34</v>
      </c>
      <c r="C12" s="12"/>
      <c r="D12" s="21"/>
      <c r="E12" s="22"/>
      <c r="F12" s="15"/>
    </row>
    <row r="13" spans="1:8" ht="15" thickBot="1" x14ac:dyDescent="0.35">
      <c r="A13" s="11"/>
      <c r="B13" s="11"/>
      <c r="D13" s="15"/>
      <c r="E13" s="15"/>
      <c r="F13" s="15"/>
    </row>
    <row r="14" spans="1:8" x14ac:dyDescent="0.3">
      <c r="A14" s="5" t="s">
        <v>29</v>
      </c>
      <c r="B14" s="57">
        <f>ABS(+B12/C5*C4)</f>
        <v>12.878787878787879</v>
      </c>
      <c r="C14" s="8"/>
      <c r="D14" s="23"/>
      <c r="E14" s="24"/>
      <c r="F14" s="15"/>
    </row>
    <row r="15" spans="1:8" x14ac:dyDescent="0.3">
      <c r="A15" s="4" t="s">
        <v>28</v>
      </c>
      <c r="B15" s="18">
        <f>B14</f>
        <v>12.878787878787879</v>
      </c>
      <c r="D15" s="23"/>
      <c r="E15" s="24"/>
      <c r="F15" s="15"/>
    </row>
    <row r="16" spans="1:8" x14ac:dyDescent="0.3">
      <c r="A16" s="4" t="s">
        <v>27</v>
      </c>
      <c r="B16" s="18">
        <f>B12-B15</f>
        <v>21.121212121212121</v>
      </c>
      <c r="C16" s="17">
        <f>SUM(B15:B16)</f>
        <v>34</v>
      </c>
      <c r="D16" s="23"/>
      <c r="E16" s="24"/>
      <c r="F16" s="24"/>
      <c r="G16" s="59"/>
      <c r="H16" s="59"/>
    </row>
    <row r="17" spans="1:8" x14ac:dyDescent="0.3">
      <c r="A17" s="4" t="s">
        <v>36</v>
      </c>
      <c r="B17" s="18">
        <f>+B12</f>
        <v>34</v>
      </c>
      <c r="D17" s="23"/>
      <c r="E17" s="24"/>
      <c r="F17" s="15"/>
    </row>
    <row r="18" spans="1:8" x14ac:dyDescent="0.3">
      <c r="A18" s="4" t="s">
        <v>33</v>
      </c>
      <c r="B18" s="54">
        <f>+B12*C7</f>
        <v>23.799999999999997</v>
      </c>
      <c r="D18" s="23"/>
      <c r="E18" s="24"/>
      <c r="F18" s="15"/>
    </row>
    <row r="19" spans="1:8" x14ac:dyDescent="0.3">
      <c r="A19" s="4" t="s">
        <v>34</v>
      </c>
      <c r="B19" s="18">
        <f>B18-B15</f>
        <v>10.921212121212118</v>
      </c>
      <c r="D19" s="23"/>
      <c r="E19" s="24"/>
      <c r="F19" s="15"/>
    </row>
    <row r="20" spans="1:8" x14ac:dyDescent="0.3">
      <c r="A20" s="4" t="s">
        <v>35</v>
      </c>
      <c r="B20" s="18">
        <f>+B17-B18</f>
        <v>10.200000000000003</v>
      </c>
      <c r="D20" s="23"/>
      <c r="E20" s="25"/>
      <c r="F20" s="15"/>
    </row>
    <row r="21" spans="1:8" x14ac:dyDescent="0.3">
      <c r="A21" s="4" t="s">
        <v>26</v>
      </c>
      <c r="B21" s="18">
        <f>(ABS(C10)-ABS(C4))*B17/C5</f>
        <v>7.7272727272727275</v>
      </c>
      <c r="D21" s="23"/>
      <c r="E21" s="24"/>
      <c r="F21" s="15"/>
    </row>
    <row r="22" spans="1:8" ht="15" thickBot="1" x14ac:dyDescent="0.35">
      <c r="A22" s="3" t="s">
        <v>25</v>
      </c>
      <c r="B22" s="19">
        <f>-C10*B17/C5</f>
        <v>20.606060606060606</v>
      </c>
      <c r="D22" s="23"/>
      <c r="E22" s="24"/>
      <c r="F22" s="15"/>
    </row>
    <row r="23" spans="1:8" ht="15" thickBot="1" x14ac:dyDescent="0.35">
      <c r="A23" s="11"/>
      <c r="B23" s="11"/>
    </row>
    <row r="24" spans="1:8" ht="15" thickBot="1" x14ac:dyDescent="0.35">
      <c r="A24" s="11"/>
      <c r="B24" s="11"/>
      <c r="D24" s="26" t="s">
        <v>22</v>
      </c>
      <c r="E24" s="27" t="s">
        <v>24</v>
      </c>
      <c r="F24" s="27" t="s">
        <v>23</v>
      </c>
      <c r="G24" s="28" t="s">
        <v>22</v>
      </c>
      <c r="H24" s="29" t="s">
        <v>21</v>
      </c>
    </row>
    <row r="25" spans="1:8" ht="15" customHeight="1" x14ac:dyDescent="0.3">
      <c r="A25" s="30" t="s">
        <v>20</v>
      </c>
      <c r="B25" s="37">
        <f>+B26</f>
        <v>598.74121212121213</v>
      </c>
      <c r="C25" s="38" t="s">
        <v>19</v>
      </c>
      <c r="D25" s="39">
        <f>+C8</f>
        <v>-4</v>
      </c>
      <c r="E25" s="39">
        <f>+C4</f>
        <v>-2.5</v>
      </c>
      <c r="F25" s="39">
        <f>+C4</f>
        <v>-2.5</v>
      </c>
      <c r="G25" s="40">
        <f>+C8</f>
        <v>-4</v>
      </c>
      <c r="H25" s="48" t="s">
        <v>46</v>
      </c>
    </row>
    <row r="26" spans="1:8" x14ac:dyDescent="0.3">
      <c r="A26" s="31" t="s">
        <v>18</v>
      </c>
      <c r="B26" s="41">
        <f>B27-B14</f>
        <v>598.74121212121213</v>
      </c>
      <c r="C26" s="15" t="s">
        <v>17</v>
      </c>
      <c r="D26" s="35">
        <v>-4</v>
      </c>
      <c r="E26" s="35">
        <f>+C4</f>
        <v>-2.5</v>
      </c>
      <c r="F26" s="35">
        <f>+C4</f>
        <v>-2.5</v>
      </c>
      <c r="G26" s="36">
        <v>-4</v>
      </c>
      <c r="H26" s="42" t="str">
        <f t="shared" ref="H26:H38" si="0">+H25</f>
        <v>Izquierda</v>
      </c>
    </row>
    <row r="27" spans="1:8" x14ac:dyDescent="0.3">
      <c r="A27" s="31" t="s">
        <v>16</v>
      </c>
      <c r="B27" s="41">
        <f>B28-B15</f>
        <v>611.62</v>
      </c>
      <c r="C27" s="15" t="s">
        <v>4</v>
      </c>
      <c r="D27" s="35">
        <v>-4</v>
      </c>
      <c r="E27" s="35">
        <f>IF(H27="Derecha",0,C4)</f>
        <v>-2.5</v>
      </c>
      <c r="F27" s="35">
        <f>IF(H27="Derecha",C4,0)</f>
        <v>0</v>
      </c>
      <c r="G27" s="36">
        <v>-4</v>
      </c>
      <c r="H27" s="42" t="str">
        <f t="shared" si="0"/>
        <v>Izquierda</v>
      </c>
    </row>
    <row r="28" spans="1:8" x14ac:dyDescent="0.3">
      <c r="A28" s="31" t="s">
        <v>15</v>
      </c>
      <c r="B28" s="41">
        <f>B29-B19</f>
        <v>624.49878787878788</v>
      </c>
      <c r="C28" s="15" t="s">
        <v>6</v>
      </c>
      <c r="D28" s="35">
        <v>-4</v>
      </c>
      <c r="E28" s="35">
        <f>IF(H28="Derecha",-C4,C4)</f>
        <v>-2.5</v>
      </c>
      <c r="F28" s="35">
        <f>IF(H28="Derecha",C4,-C4)</f>
        <v>2.5</v>
      </c>
      <c r="G28" s="36">
        <v>-4</v>
      </c>
      <c r="H28" s="42" t="str">
        <f t="shared" si="0"/>
        <v>Izquierda</v>
      </c>
    </row>
    <row r="29" spans="1:8" x14ac:dyDescent="0.3">
      <c r="A29" s="32" t="s">
        <v>37</v>
      </c>
      <c r="B29" s="34">
        <v>635.41999999999996</v>
      </c>
      <c r="C29" s="15"/>
      <c r="D29" s="35">
        <v>-4</v>
      </c>
      <c r="E29" s="23">
        <f>+E31*C7</f>
        <v>-4.6199999999999992</v>
      </c>
      <c r="F29" s="23">
        <f>+F31*C7</f>
        <v>4.6199999999999992</v>
      </c>
      <c r="G29" s="36">
        <v>-4</v>
      </c>
      <c r="H29" s="42" t="str">
        <f t="shared" si="0"/>
        <v>Izquierda</v>
      </c>
    </row>
    <row r="30" spans="1:8" x14ac:dyDescent="0.3">
      <c r="A30" s="31" t="s">
        <v>14</v>
      </c>
      <c r="B30" s="41">
        <f>IF(B27+B22&lt;B31,B27+B22,B31)</f>
        <v>632.22606060606063</v>
      </c>
      <c r="C30" s="15" t="s">
        <v>8</v>
      </c>
      <c r="D30" s="35">
        <v>-4</v>
      </c>
      <c r="E30" s="35">
        <f>IF(ABS(C8)&gt;ABS(C5),IF(H30="Izquierda",-C5,C5),IF(H30="Izquierda",C8,-C8))</f>
        <v>-4</v>
      </c>
      <c r="F30" s="35">
        <f>IF(ABS(C8)&gt;ABS(C5),IF(H30="Derecha",-C5,C5),IF(H30="Derecha",C8,-C8))</f>
        <v>4</v>
      </c>
      <c r="G30" s="36">
        <v>-4</v>
      </c>
      <c r="H30" s="42" t="str">
        <f t="shared" si="0"/>
        <v>Izquierda</v>
      </c>
    </row>
    <row r="31" spans="1:8" x14ac:dyDescent="0.3">
      <c r="A31" s="31" t="s">
        <v>13</v>
      </c>
      <c r="B31" s="41">
        <f>B29+B20</f>
        <v>645.62</v>
      </c>
      <c r="C31" s="15" t="s">
        <v>12</v>
      </c>
      <c r="D31" s="35">
        <f>IF(H31="Izquierda",C9,C10)</f>
        <v>-6.6</v>
      </c>
      <c r="E31" s="35">
        <f>IF(H31="Derecha",C5,-C5)</f>
        <v>-6.6</v>
      </c>
      <c r="F31" s="35">
        <f>IF(H31="Derecha",-C5,C5)</f>
        <v>6.6</v>
      </c>
      <c r="G31" s="36">
        <f>IF(H31="Derecha",C9,C10)</f>
        <v>-4</v>
      </c>
      <c r="H31" s="42" t="str">
        <f t="shared" si="0"/>
        <v>Izquierda</v>
      </c>
    </row>
    <row r="32" spans="1:8" x14ac:dyDescent="0.3">
      <c r="A32" s="31" t="s">
        <v>11</v>
      </c>
      <c r="B32" s="41">
        <f>B34-B20</f>
        <v>701.21999999999991</v>
      </c>
      <c r="C32" s="15" t="s">
        <v>10</v>
      </c>
      <c r="D32" s="35">
        <f>IF(H31="Izquierda",C9,C10)</f>
        <v>-6.6</v>
      </c>
      <c r="E32" s="35">
        <f>IF(H32="Derecha",C5,-C5)</f>
        <v>-6.6</v>
      </c>
      <c r="F32" s="35">
        <f>IF(H32="Derecha",-C5,C5)</f>
        <v>6.6</v>
      </c>
      <c r="G32" s="36">
        <f>IF(H31="Derecha",C9,C10)</f>
        <v>-4</v>
      </c>
      <c r="H32" s="42" t="str">
        <f t="shared" si="0"/>
        <v>Izquierda</v>
      </c>
    </row>
    <row r="33" spans="1:8" x14ac:dyDescent="0.3">
      <c r="A33" s="31" t="s">
        <v>9</v>
      </c>
      <c r="B33" s="41">
        <f>IF(B36-B22&gt;B32,B36-B22,B32)</f>
        <v>714.61393939393929</v>
      </c>
      <c r="C33" s="15" t="s">
        <v>8</v>
      </c>
      <c r="D33" s="35">
        <v>-4</v>
      </c>
      <c r="E33" s="35">
        <f>IF(ABS(C8)&gt;ABS(C5),IF(H30="Izquierda",-C5,C5),IF(H30="Izquierda",C8,-C8))</f>
        <v>-4</v>
      </c>
      <c r="F33" s="35">
        <f>IF(ABS(C8)&gt;ABS(C5),IF(H30="Derecha",-C5,C5),IF(H30="Derecha",C8,-C8))</f>
        <v>4</v>
      </c>
      <c r="G33" s="36">
        <v>-4</v>
      </c>
      <c r="H33" s="42" t="str">
        <f t="shared" si="0"/>
        <v>Izquierda</v>
      </c>
    </row>
    <row r="34" spans="1:8" x14ac:dyDescent="0.3">
      <c r="A34" s="32" t="s">
        <v>38</v>
      </c>
      <c r="B34" s="34">
        <v>711.42</v>
      </c>
      <c r="C34" s="15"/>
      <c r="D34" s="35">
        <v>-4</v>
      </c>
      <c r="E34" s="23">
        <f>+E32*C7</f>
        <v>-4.6199999999999992</v>
      </c>
      <c r="F34" s="23">
        <f>+F32*C7</f>
        <v>4.6199999999999992</v>
      </c>
      <c r="G34" s="36">
        <v>-4</v>
      </c>
      <c r="H34" s="42" t="str">
        <f t="shared" si="0"/>
        <v>Izquierda</v>
      </c>
    </row>
    <row r="35" spans="1:8" x14ac:dyDescent="0.3">
      <c r="A35" s="31" t="s">
        <v>7</v>
      </c>
      <c r="B35" s="41">
        <f>B34+B19</f>
        <v>722.34121212121204</v>
      </c>
      <c r="C35" s="15" t="s">
        <v>6</v>
      </c>
      <c r="D35" s="35">
        <v>-4</v>
      </c>
      <c r="E35" s="35">
        <f>IF(H35="Izquierda",C4,-C4)</f>
        <v>-2.5</v>
      </c>
      <c r="F35" s="35">
        <f>IF(H35="Derecha",C4,-C4)</f>
        <v>2.5</v>
      </c>
      <c r="G35" s="36">
        <v>-4</v>
      </c>
      <c r="H35" s="42" t="str">
        <f t="shared" si="0"/>
        <v>Izquierda</v>
      </c>
    </row>
    <row r="36" spans="1:8" x14ac:dyDescent="0.3">
      <c r="A36" s="31" t="s">
        <v>5</v>
      </c>
      <c r="B36" s="41">
        <f>B35+B15</f>
        <v>735.21999999999991</v>
      </c>
      <c r="C36" s="15" t="s">
        <v>4</v>
      </c>
      <c r="D36" s="35">
        <v>-4</v>
      </c>
      <c r="E36" s="35">
        <f>IF(H36="Derecha",0,C4)</f>
        <v>-2.5</v>
      </c>
      <c r="F36" s="35">
        <f>IF(H36="Derecha",C4,0)</f>
        <v>0</v>
      </c>
      <c r="G36" s="36">
        <v>-4</v>
      </c>
      <c r="H36" s="42" t="str">
        <f t="shared" si="0"/>
        <v>Izquierda</v>
      </c>
    </row>
    <row r="37" spans="1:8" x14ac:dyDescent="0.3">
      <c r="A37" s="31" t="s">
        <v>3</v>
      </c>
      <c r="B37" s="41">
        <f>B36+B14</f>
        <v>748.09878787878779</v>
      </c>
      <c r="C37" s="15" t="s">
        <v>2</v>
      </c>
      <c r="D37" s="35">
        <v>-4</v>
      </c>
      <c r="E37" s="35">
        <f>+C4</f>
        <v>-2.5</v>
      </c>
      <c r="F37" s="35">
        <f>+C4</f>
        <v>-2.5</v>
      </c>
      <c r="G37" s="36">
        <v>-4</v>
      </c>
      <c r="H37" s="42" t="str">
        <f t="shared" si="0"/>
        <v>Izquierda</v>
      </c>
    </row>
    <row r="38" spans="1:8" ht="15" thickBot="1" x14ac:dyDescent="0.35">
      <c r="A38" s="33" t="s">
        <v>1</v>
      </c>
      <c r="B38" s="43">
        <f>+B37</f>
        <v>748.09878787878779</v>
      </c>
      <c r="C38" s="44" t="s">
        <v>0</v>
      </c>
      <c r="D38" s="45">
        <f>+C8</f>
        <v>-4</v>
      </c>
      <c r="E38" s="45">
        <f>+C4</f>
        <v>-2.5</v>
      </c>
      <c r="F38" s="45">
        <f>+C4</f>
        <v>-2.5</v>
      </c>
      <c r="G38" s="46">
        <f>+C8</f>
        <v>-4</v>
      </c>
      <c r="H38" s="47" t="str">
        <f t="shared" si="0"/>
        <v>Izquierda</v>
      </c>
    </row>
    <row r="40" spans="1:8" x14ac:dyDescent="0.3">
      <c r="E40" s="8"/>
    </row>
    <row r="41" spans="1:8" x14ac:dyDescent="0.3">
      <c r="E41" s="17">
        <f>B19</f>
        <v>10.921212121212118</v>
      </c>
      <c r="F41" s="20">
        <f>B20</f>
        <v>10.200000000000003</v>
      </c>
    </row>
    <row r="46" spans="1:8" x14ac:dyDescent="0.3">
      <c r="H46" s="14">
        <f>C6*C5</f>
        <v>21.779999999999998</v>
      </c>
    </row>
    <row r="50" spans="1:8" x14ac:dyDescent="0.3">
      <c r="A50" s="13">
        <f>C6*ABS(C4)</f>
        <v>8.25</v>
      </c>
    </row>
    <row r="52" spans="1:8" x14ac:dyDescent="0.3">
      <c r="H52" s="14">
        <f>C6*C5</f>
        <v>21.779999999999998</v>
      </c>
    </row>
    <row r="54" spans="1:8" x14ac:dyDescent="0.3">
      <c r="C54" s="17">
        <f>B14</f>
        <v>12.878787878787879</v>
      </c>
      <c r="D54" s="17">
        <f>B15</f>
        <v>12.878787878787879</v>
      </c>
    </row>
    <row r="57" spans="1:8" x14ac:dyDescent="0.3">
      <c r="D57" s="20">
        <f>B12+B14</f>
        <v>46.878787878787875</v>
      </c>
    </row>
    <row r="65" spans="10:10" x14ac:dyDescent="0.3">
      <c r="J65" s="2"/>
    </row>
  </sheetData>
  <mergeCells count="1">
    <mergeCell ref="G16:H16"/>
  </mergeCells>
  <pageMargins left="0.7" right="0.7" top="0.75" bottom="0.75" header="0.3" footer="0.3"/>
  <pageSetup scale="7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J65"/>
  <sheetViews>
    <sheetView showGridLines="0" view="pageBreakPreview" zoomScale="98" zoomScaleNormal="91" zoomScaleSheetLayoutView="98" workbookViewId="0">
      <selection activeCell="B12" sqref="B12"/>
    </sheetView>
  </sheetViews>
  <sheetFormatPr baseColWidth="10" defaultColWidth="11.44140625" defaultRowHeight="14.4" x14ac:dyDescent="0.3"/>
  <cols>
    <col min="1" max="1" width="14.109375" style="10" customWidth="1"/>
    <col min="2" max="2" width="19" style="10" customWidth="1"/>
    <col min="3" max="3" width="21.6640625" style="10" bestFit="1" customWidth="1"/>
    <col min="4" max="4" width="11.44140625" style="10"/>
    <col min="5" max="5" width="12.44140625" style="10" customWidth="1"/>
    <col min="6" max="7" width="11.44140625" style="10"/>
    <col min="8" max="8" width="19.6640625" style="10" customWidth="1"/>
    <col min="9" max="9" width="19.88671875" style="10" bestFit="1" customWidth="1"/>
    <col min="10" max="16384" width="11.44140625" style="10"/>
  </cols>
  <sheetData>
    <row r="1" spans="1:8" ht="15" thickBot="1" x14ac:dyDescent="0.35">
      <c r="A1" s="7" t="s">
        <v>30</v>
      </c>
      <c r="B1" s="56">
        <v>4</v>
      </c>
      <c r="C1" s="6"/>
    </row>
    <row r="2" spans="1:8" ht="15.75" customHeight="1" x14ac:dyDescent="0.3">
      <c r="B2" s="52" t="s">
        <v>32</v>
      </c>
      <c r="C2" s="49">
        <v>100</v>
      </c>
    </row>
    <row r="3" spans="1:8" x14ac:dyDescent="0.3">
      <c r="B3" s="53" t="s">
        <v>31</v>
      </c>
      <c r="C3" s="50">
        <v>40</v>
      </c>
    </row>
    <row r="4" spans="1:8" x14ac:dyDescent="0.3">
      <c r="B4" s="53" t="s">
        <v>40</v>
      </c>
      <c r="C4" s="50">
        <v>-2.5</v>
      </c>
      <c r="E4" s="2"/>
      <c r="F4" s="2"/>
    </row>
    <row r="5" spans="1:8" x14ac:dyDescent="0.3">
      <c r="B5" s="53" t="s">
        <v>41</v>
      </c>
      <c r="C5" s="50">
        <v>6.6</v>
      </c>
      <c r="E5" s="2"/>
      <c r="F5" s="2"/>
    </row>
    <row r="6" spans="1:8" x14ac:dyDescent="0.3">
      <c r="B6" s="53" t="s">
        <v>47</v>
      </c>
      <c r="C6" s="50">
        <v>3.3</v>
      </c>
      <c r="E6" s="2"/>
      <c r="F6" s="2"/>
    </row>
    <row r="7" spans="1:8" ht="15" customHeight="1" x14ac:dyDescent="0.3">
      <c r="B7" s="53" t="s">
        <v>39</v>
      </c>
      <c r="C7" s="51">
        <v>0.7</v>
      </c>
      <c r="E7" s="1"/>
      <c r="F7" s="1"/>
    </row>
    <row r="8" spans="1:8" x14ac:dyDescent="0.3">
      <c r="B8" s="53" t="s">
        <v>45</v>
      </c>
      <c r="C8" s="50">
        <v>-4</v>
      </c>
      <c r="E8" s="1"/>
      <c r="F8" s="1"/>
    </row>
    <row r="9" spans="1:8" x14ac:dyDescent="0.3">
      <c r="B9" s="53" t="s">
        <v>43</v>
      </c>
      <c r="C9" s="54">
        <f>IF(C5="BN",-4,IF(C5&gt;4,-C5,-4))</f>
        <v>-6.6</v>
      </c>
      <c r="E9" s="1"/>
      <c r="F9" s="1"/>
    </row>
    <row r="10" spans="1:8" x14ac:dyDescent="0.3">
      <c r="B10" s="53" t="s">
        <v>44</v>
      </c>
      <c r="C10" s="54">
        <f>+C8</f>
        <v>-4</v>
      </c>
      <c r="D10" s="9"/>
      <c r="E10" s="2"/>
      <c r="F10" s="2"/>
    </row>
    <row r="11" spans="1:8" x14ac:dyDescent="0.3">
      <c r="A11" s="11"/>
      <c r="B11" s="11"/>
      <c r="C11" s="11"/>
      <c r="D11" s="11"/>
    </row>
    <row r="12" spans="1:8" ht="24.6" x14ac:dyDescent="0.55000000000000004">
      <c r="A12" s="16" t="s">
        <v>42</v>
      </c>
      <c r="B12" s="60">
        <v>34</v>
      </c>
      <c r="C12" s="12"/>
      <c r="D12" s="21"/>
      <c r="E12" s="22"/>
      <c r="F12" s="15"/>
    </row>
    <row r="13" spans="1:8" ht="15" thickBot="1" x14ac:dyDescent="0.35">
      <c r="A13" s="11"/>
      <c r="B13" s="11"/>
      <c r="D13" s="15"/>
      <c r="E13" s="15"/>
      <c r="F13" s="15"/>
    </row>
    <row r="14" spans="1:8" x14ac:dyDescent="0.3">
      <c r="A14" s="5" t="s">
        <v>29</v>
      </c>
      <c r="B14" s="57">
        <f>ABS(+B12/C5*C4)</f>
        <v>12.878787878787879</v>
      </c>
      <c r="C14" s="8"/>
      <c r="D14" s="23"/>
      <c r="E14" s="24"/>
      <c r="F14" s="15"/>
    </row>
    <row r="15" spans="1:8" x14ac:dyDescent="0.3">
      <c r="A15" s="4" t="s">
        <v>28</v>
      </c>
      <c r="B15" s="18">
        <f>B14</f>
        <v>12.878787878787879</v>
      </c>
      <c r="D15" s="23"/>
      <c r="E15" s="24"/>
      <c r="F15" s="15"/>
    </row>
    <row r="16" spans="1:8" x14ac:dyDescent="0.3">
      <c r="A16" s="4" t="s">
        <v>27</v>
      </c>
      <c r="B16" s="18">
        <f>B12-B15</f>
        <v>21.121212121212121</v>
      </c>
      <c r="C16" s="17">
        <f>SUM(B15:B16)</f>
        <v>34</v>
      </c>
      <c r="D16" s="23"/>
      <c r="E16" s="24"/>
      <c r="F16" s="24"/>
      <c r="G16" s="59"/>
      <c r="H16" s="59"/>
    </row>
    <row r="17" spans="1:8" x14ac:dyDescent="0.3">
      <c r="A17" s="4" t="s">
        <v>36</v>
      </c>
      <c r="B17" s="18">
        <f>+B12</f>
        <v>34</v>
      </c>
      <c r="D17" s="23"/>
      <c r="E17" s="24"/>
      <c r="F17" s="15"/>
    </row>
    <row r="18" spans="1:8" x14ac:dyDescent="0.3">
      <c r="A18" s="4" t="s">
        <v>33</v>
      </c>
      <c r="B18" s="54">
        <f>+B12*C7</f>
        <v>23.799999999999997</v>
      </c>
      <c r="D18" s="23"/>
      <c r="E18" s="24"/>
      <c r="F18" s="15"/>
    </row>
    <row r="19" spans="1:8" x14ac:dyDescent="0.3">
      <c r="A19" s="4" t="s">
        <v>34</v>
      </c>
      <c r="B19" s="18">
        <f>B18-B15</f>
        <v>10.921212121212118</v>
      </c>
      <c r="D19" s="23"/>
      <c r="E19" s="24"/>
      <c r="F19" s="15"/>
    </row>
    <row r="20" spans="1:8" x14ac:dyDescent="0.3">
      <c r="A20" s="4" t="s">
        <v>35</v>
      </c>
      <c r="B20" s="18">
        <f>+B17-B18</f>
        <v>10.200000000000003</v>
      </c>
      <c r="D20" s="23"/>
      <c r="E20" s="25"/>
      <c r="F20" s="15"/>
    </row>
    <row r="21" spans="1:8" x14ac:dyDescent="0.3">
      <c r="A21" s="4" t="s">
        <v>26</v>
      </c>
      <c r="B21" s="18">
        <f>(ABS(C10)-ABS(C4))*B17/C5</f>
        <v>7.7272727272727275</v>
      </c>
      <c r="D21" s="23"/>
      <c r="E21" s="24"/>
      <c r="F21" s="15"/>
    </row>
    <row r="22" spans="1:8" ht="15" thickBot="1" x14ac:dyDescent="0.35">
      <c r="A22" s="3" t="s">
        <v>25</v>
      </c>
      <c r="B22" s="19">
        <f>-C10*B17/C5</f>
        <v>20.606060606060606</v>
      </c>
      <c r="D22" s="23"/>
      <c r="E22" s="24"/>
      <c r="F22" s="15"/>
    </row>
    <row r="23" spans="1:8" ht="15" thickBot="1" x14ac:dyDescent="0.35">
      <c r="A23" s="11"/>
      <c r="B23" s="11"/>
    </row>
    <row r="24" spans="1:8" ht="15" thickBot="1" x14ac:dyDescent="0.35">
      <c r="A24" s="11"/>
      <c r="B24" s="11"/>
      <c r="D24" s="26" t="s">
        <v>22</v>
      </c>
      <c r="E24" s="27" t="s">
        <v>24</v>
      </c>
      <c r="F24" s="27" t="s">
        <v>23</v>
      </c>
      <c r="G24" s="28" t="s">
        <v>22</v>
      </c>
      <c r="H24" s="29" t="s">
        <v>21</v>
      </c>
    </row>
    <row r="25" spans="1:8" ht="15" customHeight="1" x14ac:dyDescent="0.3">
      <c r="A25" s="30" t="s">
        <v>20</v>
      </c>
      <c r="B25" s="37">
        <f>+B26</f>
        <v>907.83121212121216</v>
      </c>
      <c r="C25" s="38" t="s">
        <v>19</v>
      </c>
      <c r="D25" s="39">
        <f>+C8</f>
        <v>-4</v>
      </c>
      <c r="E25" s="39">
        <f>+C4</f>
        <v>-2.5</v>
      </c>
      <c r="F25" s="39">
        <f>+C4</f>
        <v>-2.5</v>
      </c>
      <c r="G25" s="40">
        <f>+C8</f>
        <v>-4</v>
      </c>
      <c r="H25" s="48" t="s">
        <v>46</v>
      </c>
    </row>
    <row r="26" spans="1:8" x14ac:dyDescent="0.3">
      <c r="A26" s="31" t="s">
        <v>18</v>
      </c>
      <c r="B26" s="41">
        <f>B27-B14</f>
        <v>907.83121212121216</v>
      </c>
      <c r="C26" s="15" t="s">
        <v>17</v>
      </c>
      <c r="D26" s="35">
        <v>-4</v>
      </c>
      <c r="E26" s="35">
        <f>+C4</f>
        <v>-2.5</v>
      </c>
      <c r="F26" s="35">
        <f>+C4</f>
        <v>-2.5</v>
      </c>
      <c r="G26" s="36">
        <v>-4</v>
      </c>
      <c r="H26" s="42" t="str">
        <f t="shared" ref="H26:H38" si="0">+H25</f>
        <v>Izquierda</v>
      </c>
    </row>
    <row r="27" spans="1:8" x14ac:dyDescent="0.3">
      <c r="A27" s="31" t="s">
        <v>16</v>
      </c>
      <c r="B27" s="41">
        <f>B28-B15</f>
        <v>920.71</v>
      </c>
      <c r="C27" s="15" t="s">
        <v>4</v>
      </c>
      <c r="D27" s="35">
        <v>-4</v>
      </c>
      <c r="E27" s="35">
        <f>IF(H27="Derecha",0,C4)</f>
        <v>-2.5</v>
      </c>
      <c r="F27" s="35">
        <f>IF(H27="Derecha",C4,0)</f>
        <v>0</v>
      </c>
      <c r="G27" s="36">
        <v>-4</v>
      </c>
      <c r="H27" s="42" t="str">
        <f t="shared" si="0"/>
        <v>Izquierda</v>
      </c>
    </row>
    <row r="28" spans="1:8" x14ac:dyDescent="0.3">
      <c r="A28" s="31" t="s">
        <v>15</v>
      </c>
      <c r="B28" s="41">
        <f>B29-B19</f>
        <v>933.58878787878791</v>
      </c>
      <c r="C28" s="15" t="s">
        <v>6</v>
      </c>
      <c r="D28" s="35">
        <v>-4</v>
      </c>
      <c r="E28" s="35">
        <f>IF(H28="Derecha",-C4,C4)</f>
        <v>-2.5</v>
      </c>
      <c r="F28" s="35">
        <f>IF(H28="Derecha",C4,-C4)</f>
        <v>2.5</v>
      </c>
      <c r="G28" s="36">
        <v>-4</v>
      </c>
      <c r="H28" s="42" t="str">
        <f t="shared" si="0"/>
        <v>Izquierda</v>
      </c>
    </row>
    <row r="29" spans="1:8" x14ac:dyDescent="0.3">
      <c r="A29" s="32" t="s">
        <v>37</v>
      </c>
      <c r="B29" s="34">
        <v>944.51</v>
      </c>
      <c r="C29" s="15"/>
      <c r="D29" s="35">
        <v>-4</v>
      </c>
      <c r="E29" s="23">
        <f>+E31*C7</f>
        <v>-4.6199999999999992</v>
      </c>
      <c r="F29" s="23">
        <f>+F31*C7</f>
        <v>4.6199999999999992</v>
      </c>
      <c r="G29" s="36">
        <v>-4</v>
      </c>
      <c r="H29" s="42" t="str">
        <f t="shared" si="0"/>
        <v>Izquierda</v>
      </c>
    </row>
    <row r="30" spans="1:8" x14ac:dyDescent="0.3">
      <c r="A30" s="31" t="s">
        <v>14</v>
      </c>
      <c r="B30" s="41">
        <f>IF(B27+B22&lt;B31,B27+B22,B31)</f>
        <v>941.31606060606066</v>
      </c>
      <c r="C30" s="15" t="s">
        <v>8</v>
      </c>
      <c r="D30" s="35">
        <v>-4</v>
      </c>
      <c r="E30" s="35">
        <f>IF(ABS(C8)&gt;ABS(C5),IF(H30="Izquierda",-C5,C5),IF(H30="Izquierda",C8,-C8))</f>
        <v>-4</v>
      </c>
      <c r="F30" s="35">
        <f>IF(ABS(C8)&gt;ABS(C5),IF(H30="Derecha",-C5,C5),IF(H30="Derecha",C8,-C8))</f>
        <v>4</v>
      </c>
      <c r="G30" s="36">
        <v>-4</v>
      </c>
      <c r="H30" s="42" t="str">
        <f t="shared" si="0"/>
        <v>Izquierda</v>
      </c>
    </row>
    <row r="31" spans="1:8" x14ac:dyDescent="0.3">
      <c r="A31" s="31" t="s">
        <v>13</v>
      </c>
      <c r="B31" s="41">
        <f>B29+B20</f>
        <v>954.71</v>
      </c>
      <c r="C31" s="15" t="s">
        <v>12</v>
      </c>
      <c r="D31" s="35">
        <f>IF(H31="Izquierda",C9,C10)</f>
        <v>-6.6</v>
      </c>
      <c r="E31" s="35">
        <f>IF(H31="Derecha",C5,-C5)</f>
        <v>-6.6</v>
      </c>
      <c r="F31" s="35">
        <f>IF(H31="Derecha",-C5,C5)</f>
        <v>6.6</v>
      </c>
      <c r="G31" s="36">
        <f>IF(H31="Derecha",C9,C10)</f>
        <v>-4</v>
      </c>
      <c r="H31" s="42" t="str">
        <f t="shared" si="0"/>
        <v>Izquierda</v>
      </c>
    </row>
    <row r="32" spans="1:8" x14ac:dyDescent="0.3">
      <c r="A32" s="31" t="s">
        <v>11</v>
      </c>
      <c r="B32" s="41">
        <f>B34-B20</f>
        <v>1002.54</v>
      </c>
      <c r="C32" s="15" t="s">
        <v>10</v>
      </c>
      <c r="D32" s="35">
        <f>IF(H31="Izquierda",C9,C10)</f>
        <v>-6.6</v>
      </c>
      <c r="E32" s="35">
        <f>IF(H32="Derecha",C5,-C5)</f>
        <v>-6.6</v>
      </c>
      <c r="F32" s="35">
        <f>IF(H32="Derecha",-C5,C5)</f>
        <v>6.6</v>
      </c>
      <c r="G32" s="36">
        <f>IF(H31="Derecha",C9,C10)</f>
        <v>-4</v>
      </c>
      <c r="H32" s="42" t="str">
        <f t="shared" si="0"/>
        <v>Izquierda</v>
      </c>
    </row>
    <row r="33" spans="1:8" x14ac:dyDescent="0.3">
      <c r="A33" s="31" t="s">
        <v>9</v>
      </c>
      <c r="B33" s="41">
        <f>IF(B36-B22&gt;B32,B36-B22,B32)</f>
        <v>1015.9339393939393</v>
      </c>
      <c r="C33" s="15" t="s">
        <v>8</v>
      </c>
      <c r="D33" s="35">
        <v>-4</v>
      </c>
      <c r="E33" s="35">
        <f>IF(ABS(C8)&gt;ABS(C5),IF(H30="Izquierda",-C5,C5),IF(H30="Izquierda",C8,-C8))</f>
        <v>-4</v>
      </c>
      <c r="F33" s="35">
        <f>IF(ABS(C8)&gt;ABS(C5),IF(H30="Derecha",-C5,C5),IF(H30="Derecha",C8,-C8))</f>
        <v>4</v>
      </c>
      <c r="G33" s="36">
        <v>-4</v>
      </c>
      <c r="H33" s="42" t="str">
        <f t="shared" si="0"/>
        <v>Izquierda</v>
      </c>
    </row>
    <row r="34" spans="1:8" x14ac:dyDescent="0.3">
      <c r="A34" s="32" t="s">
        <v>38</v>
      </c>
      <c r="B34" s="34">
        <v>1012.74</v>
      </c>
      <c r="C34" s="15"/>
      <c r="D34" s="35">
        <v>-4</v>
      </c>
      <c r="E34" s="23">
        <f>+E32*C7</f>
        <v>-4.6199999999999992</v>
      </c>
      <c r="F34" s="23">
        <f>+F32*C7</f>
        <v>4.6199999999999992</v>
      </c>
      <c r="G34" s="36">
        <v>-4</v>
      </c>
      <c r="H34" s="42" t="str">
        <f t="shared" si="0"/>
        <v>Izquierda</v>
      </c>
    </row>
    <row r="35" spans="1:8" x14ac:dyDescent="0.3">
      <c r="A35" s="31" t="s">
        <v>7</v>
      </c>
      <c r="B35" s="41">
        <f>B34+B19</f>
        <v>1023.6612121212121</v>
      </c>
      <c r="C35" s="15" t="s">
        <v>6</v>
      </c>
      <c r="D35" s="35">
        <v>-4</v>
      </c>
      <c r="E35" s="35">
        <f>IF(H35="Izquierda",C4,-C4)</f>
        <v>-2.5</v>
      </c>
      <c r="F35" s="35">
        <f>IF(H35="Derecha",C4,-C4)</f>
        <v>2.5</v>
      </c>
      <c r="G35" s="36">
        <v>-4</v>
      </c>
      <c r="H35" s="42" t="str">
        <f t="shared" si="0"/>
        <v>Izquierda</v>
      </c>
    </row>
    <row r="36" spans="1:8" x14ac:dyDescent="0.3">
      <c r="A36" s="31" t="s">
        <v>5</v>
      </c>
      <c r="B36" s="41">
        <f>B35+B15</f>
        <v>1036.54</v>
      </c>
      <c r="C36" s="15" t="s">
        <v>4</v>
      </c>
      <c r="D36" s="35">
        <v>-4</v>
      </c>
      <c r="E36" s="35">
        <f>IF(H36="Derecha",0,C4)</f>
        <v>-2.5</v>
      </c>
      <c r="F36" s="35">
        <f>IF(H36="Derecha",C4,0)</f>
        <v>0</v>
      </c>
      <c r="G36" s="36">
        <v>-4</v>
      </c>
      <c r="H36" s="42" t="str">
        <f t="shared" si="0"/>
        <v>Izquierda</v>
      </c>
    </row>
    <row r="37" spans="1:8" x14ac:dyDescent="0.3">
      <c r="A37" s="31" t="s">
        <v>3</v>
      </c>
      <c r="B37" s="41">
        <f>B36+B14</f>
        <v>1049.418787878788</v>
      </c>
      <c r="C37" s="15" t="s">
        <v>2</v>
      </c>
      <c r="D37" s="35">
        <v>-4</v>
      </c>
      <c r="E37" s="35">
        <f>+C4</f>
        <v>-2.5</v>
      </c>
      <c r="F37" s="35">
        <f>+C4</f>
        <v>-2.5</v>
      </c>
      <c r="G37" s="36">
        <v>-4</v>
      </c>
      <c r="H37" s="42" t="str">
        <f t="shared" si="0"/>
        <v>Izquierda</v>
      </c>
    </row>
    <row r="38" spans="1:8" ht="15" thickBot="1" x14ac:dyDescent="0.35">
      <c r="A38" s="33" t="s">
        <v>1</v>
      </c>
      <c r="B38" s="43">
        <f>+B37</f>
        <v>1049.418787878788</v>
      </c>
      <c r="C38" s="44" t="s">
        <v>0</v>
      </c>
      <c r="D38" s="45">
        <f>+C8</f>
        <v>-4</v>
      </c>
      <c r="E38" s="45">
        <f>+C4</f>
        <v>-2.5</v>
      </c>
      <c r="F38" s="45">
        <f>+C4</f>
        <v>-2.5</v>
      </c>
      <c r="G38" s="46">
        <f>+C8</f>
        <v>-4</v>
      </c>
      <c r="H38" s="47" t="str">
        <f t="shared" si="0"/>
        <v>Izquierda</v>
      </c>
    </row>
    <row r="40" spans="1:8" x14ac:dyDescent="0.3">
      <c r="E40" s="8"/>
    </row>
    <row r="41" spans="1:8" x14ac:dyDescent="0.3">
      <c r="E41" s="17">
        <f>B19</f>
        <v>10.921212121212118</v>
      </c>
      <c r="F41" s="20">
        <f>B20</f>
        <v>10.200000000000003</v>
      </c>
    </row>
    <row r="46" spans="1:8" x14ac:dyDescent="0.3">
      <c r="H46" s="14">
        <f>C6*C5</f>
        <v>21.779999999999998</v>
      </c>
    </row>
    <row r="50" spans="1:8" x14ac:dyDescent="0.3">
      <c r="A50" s="13">
        <f>C6*ABS(C4)</f>
        <v>8.25</v>
      </c>
    </row>
    <row r="52" spans="1:8" x14ac:dyDescent="0.3">
      <c r="H52" s="14">
        <f>C6*C5</f>
        <v>21.779999999999998</v>
      </c>
    </row>
    <row r="54" spans="1:8" x14ac:dyDescent="0.3">
      <c r="C54" s="17">
        <f>B14</f>
        <v>12.878787878787879</v>
      </c>
      <c r="D54" s="17">
        <f>B15</f>
        <v>12.878787878787879</v>
      </c>
    </row>
    <row r="57" spans="1:8" x14ac:dyDescent="0.3">
      <c r="D57" s="20">
        <f>B12+B14</f>
        <v>46.878787878787875</v>
      </c>
    </row>
    <row r="65" spans="10:10" x14ac:dyDescent="0.3">
      <c r="J65" s="2"/>
    </row>
  </sheetData>
  <mergeCells count="1">
    <mergeCell ref="G16:H16"/>
  </mergeCells>
  <pageMargins left="0.7" right="0.7" top="0.75" bottom="0.75" header="0.3" footer="0.3"/>
  <pageSetup scale="75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J65"/>
  <sheetViews>
    <sheetView showGridLines="0" view="pageBreakPreview" topLeftCell="A22" zoomScale="98" zoomScaleNormal="91" zoomScaleSheetLayoutView="98" workbookViewId="0">
      <selection activeCell="B35" sqref="B35"/>
    </sheetView>
  </sheetViews>
  <sheetFormatPr baseColWidth="10" defaultColWidth="11.44140625" defaultRowHeight="14.4" x14ac:dyDescent="0.3"/>
  <cols>
    <col min="1" max="1" width="14.109375" style="10" customWidth="1"/>
    <col min="2" max="2" width="19" style="10" customWidth="1"/>
    <col min="3" max="3" width="21.6640625" style="10" bestFit="1" customWidth="1"/>
    <col min="4" max="4" width="11.44140625" style="10"/>
    <col min="5" max="5" width="12.44140625" style="10" customWidth="1"/>
    <col min="6" max="7" width="11.44140625" style="10"/>
    <col min="8" max="8" width="19.6640625" style="10" customWidth="1"/>
    <col min="9" max="9" width="19.88671875" style="10" bestFit="1" customWidth="1"/>
    <col min="10" max="16384" width="11.44140625" style="10"/>
  </cols>
  <sheetData>
    <row r="1" spans="1:8" ht="15" thickBot="1" x14ac:dyDescent="0.35">
      <c r="A1" s="7" t="s">
        <v>30</v>
      </c>
      <c r="B1" s="56">
        <v>5</v>
      </c>
      <c r="C1" s="6"/>
    </row>
    <row r="2" spans="1:8" ht="15.75" customHeight="1" x14ac:dyDescent="0.3">
      <c r="B2" s="52" t="s">
        <v>32</v>
      </c>
      <c r="C2" s="49">
        <v>100</v>
      </c>
    </row>
    <row r="3" spans="1:8" x14ac:dyDescent="0.3">
      <c r="B3" s="53" t="s">
        <v>31</v>
      </c>
      <c r="C3" s="50">
        <v>40</v>
      </c>
    </row>
    <row r="4" spans="1:8" x14ac:dyDescent="0.3">
      <c r="B4" s="53" t="s">
        <v>40</v>
      </c>
      <c r="C4" s="50">
        <v>-2.5</v>
      </c>
      <c r="E4" s="2"/>
      <c r="F4" s="2"/>
    </row>
    <row r="5" spans="1:8" x14ac:dyDescent="0.3">
      <c r="B5" s="53" t="s">
        <v>41</v>
      </c>
      <c r="C5" s="50">
        <v>6.6</v>
      </c>
      <c r="E5" s="2"/>
      <c r="F5" s="2"/>
    </row>
    <row r="6" spans="1:8" x14ac:dyDescent="0.3">
      <c r="B6" s="53" t="s">
        <v>47</v>
      </c>
      <c r="C6" s="50">
        <v>3.3</v>
      </c>
      <c r="E6" s="2"/>
      <c r="F6" s="2"/>
    </row>
    <row r="7" spans="1:8" ht="15" customHeight="1" x14ac:dyDescent="0.3">
      <c r="B7" s="53" t="s">
        <v>39</v>
      </c>
      <c r="C7" s="51">
        <v>0.7</v>
      </c>
      <c r="E7" s="1"/>
      <c r="F7" s="1"/>
    </row>
    <row r="8" spans="1:8" x14ac:dyDescent="0.3">
      <c r="B8" s="53" t="s">
        <v>45</v>
      </c>
      <c r="C8" s="50">
        <v>-4</v>
      </c>
      <c r="E8" s="1"/>
      <c r="F8" s="1"/>
    </row>
    <row r="9" spans="1:8" x14ac:dyDescent="0.3">
      <c r="B9" s="53" t="s">
        <v>43</v>
      </c>
      <c r="C9" s="54">
        <f>IF(C5="BN",-4,IF(C5&gt;4,-C5,-4))</f>
        <v>-6.6</v>
      </c>
      <c r="E9" s="1"/>
      <c r="F9" s="1"/>
    </row>
    <row r="10" spans="1:8" x14ac:dyDescent="0.3">
      <c r="B10" s="53" t="s">
        <v>44</v>
      </c>
      <c r="C10" s="54">
        <f>+C8</f>
        <v>-4</v>
      </c>
      <c r="D10" s="9"/>
      <c r="E10" s="2"/>
      <c r="F10" s="2"/>
    </row>
    <row r="11" spans="1:8" x14ac:dyDescent="0.3">
      <c r="A11" s="11"/>
      <c r="B11" s="11"/>
      <c r="C11" s="11"/>
      <c r="D11" s="11"/>
    </row>
    <row r="12" spans="1:8" ht="24.6" x14ac:dyDescent="0.55000000000000004">
      <c r="A12" s="16" t="s">
        <v>42</v>
      </c>
      <c r="B12" s="55">
        <v>34</v>
      </c>
      <c r="C12" s="12"/>
      <c r="D12" s="21"/>
      <c r="E12" s="22"/>
      <c r="F12" s="15"/>
    </row>
    <row r="13" spans="1:8" ht="15" thickBot="1" x14ac:dyDescent="0.35">
      <c r="A13" s="11"/>
      <c r="B13" s="11"/>
      <c r="D13" s="15"/>
      <c r="E13" s="15"/>
      <c r="F13" s="15"/>
    </row>
    <row r="14" spans="1:8" x14ac:dyDescent="0.3">
      <c r="A14" s="5" t="s">
        <v>29</v>
      </c>
      <c r="B14" s="57">
        <f>ABS(+B12/C5*C4)</f>
        <v>12.878787878787879</v>
      </c>
      <c r="C14" s="8"/>
      <c r="D14" s="23"/>
      <c r="E14" s="24"/>
      <c r="F14" s="15"/>
    </row>
    <row r="15" spans="1:8" x14ac:dyDescent="0.3">
      <c r="A15" s="4" t="s">
        <v>28</v>
      </c>
      <c r="B15" s="18">
        <f>B14</f>
        <v>12.878787878787879</v>
      </c>
      <c r="D15" s="23"/>
      <c r="E15" s="24"/>
      <c r="F15" s="15"/>
    </row>
    <row r="16" spans="1:8" x14ac:dyDescent="0.3">
      <c r="A16" s="4" t="s">
        <v>27</v>
      </c>
      <c r="B16" s="18">
        <f>B12-B15</f>
        <v>21.121212121212121</v>
      </c>
      <c r="C16" s="17">
        <f>SUM(B15:B16)</f>
        <v>34</v>
      </c>
      <c r="D16" s="23"/>
      <c r="E16" s="24"/>
      <c r="F16" s="24"/>
      <c r="G16" s="59"/>
      <c r="H16" s="59"/>
    </row>
    <row r="17" spans="1:8" x14ac:dyDescent="0.3">
      <c r="A17" s="4" t="s">
        <v>36</v>
      </c>
      <c r="B17" s="18">
        <f>+B12</f>
        <v>34</v>
      </c>
      <c r="D17" s="23"/>
      <c r="E17" s="24"/>
      <c r="F17" s="15"/>
    </row>
    <row r="18" spans="1:8" x14ac:dyDescent="0.3">
      <c r="A18" s="4" t="s">
        <v>33</v>
      </c>
      <c r="B18" s="54">
        <f>+B12*C7</f>
        <v>23.799999999999997</v>
      </c>
      <c r="D18" s="23"/>
      <c r="E18" s="24"/>
      <c r="F18" s="15"/>
    </row>
    <row r="19" spans="1:8" x14ac:dyDescent="0.3">
      <c r="A19" s="4" t="s">
        <v>34</v>
      </c>
      <c r="B19" s="18">
        <f>B18-B15</f>
        <v>10.921212121212118</v>
      </c>
      <c r="D19" s="23"/>
      <c r="E19" s="24"/>
      <c r="F19" s="15"/>
    </row>
    <row r="20" spans="1:8" x14ac:dyDescent="0.3">
      <c r="A20" s="4" t="s">
        <v>35</v>
      </c>
      <c r="B20" s="18">
        <f>+B17-B18</f>
        <v>10.200000000000003</v>
      </c>
      <c r="D20" s="23"/>
      <c r="E20" s="25"/>
      <c r="F20" s="15"/>
    </row>
    <row r="21" spans="1:8" x14ac:dyDescent="0.3">
      <c r="A21" s="4" t="s">
        <v>26</v>
      </c>
      <c r="B21" s="18">
        <f>(ABS(C10)-ABS(C4))*B17/C5</f>
        <v>7.7272727272727275</v>
      </c>
      <c r="D21" s="23"/>
      <c r="E21" s="24"/>
      <c r="F21" s="15"/>
    </row>
    <row r="22" spans="1:8" ht="15" thickBot="1" x14ac:dyDescent="0.35">
      <c r="A22" s="3" t="s">
        <v>25</v>
      </c>
      <c r="B22" s="19">
        <f>-C10*B17/C5</f>
        <v>20.606060606060606</v>
      </c>
      <c r="D22" s="23"/>
      <c r="E22" s="24"/>
      <c r="F22" s="15"/>
    </row>
    <row r="23" spans="1:8" ht="15" thickBot="1" x14ac:dyDescent="0.35">
      <c r="A23" s="11"/>
      <c r="B23" s="11"/>
    </row>
    <row r="24" spans="1:8" ht="15" thickBot="1" x14ac:dyDescent="0.35">
      <c r="A24" s="11"/>
      <c r="B24" s="11"/>
      <c r="D24" s="26" t="s">
        <v>22</v>
      </c>
      <c r="E24" s="27" t="s">
        <v>24</v>
      </c>
      <c r="F24" s="27" t="s">
        <v>23</v>
      </c>
      <c r="G24" s="28" t="s">
        <v>22</v>
      </c>
      <c r="H24" s="29" t="s">
        <v>21</v>
      </c>
    </row>
    <row r="25" spans="1:8" ht="15" customHeight="1" x14ac:dyDescent="0.3">
      <c r="A25" s="30" t="s">
        <v>20</v>
      </c>
      <c r="B25" s="37">
        <f>+B26</f>
        <v>1064.6512121212118</v>
      </c>
      <c r="C25" s="38" t="s">
        <v>19</v>
      </c>
      <c r="D25" s="39">
        <f>+C8</f>
        <v>-4</v>
      </c>
      <c r="E25" s="39">
        <f>+C4</f>
        <v>-2.5</v>
      </c>
      <c r="F25" s="39">
        <f>+C4</f>
        <v>-2.5</v>
      </c>
      <c r="G25" s="40">
        <f>+C8</f>
        <v>-4</v>
      </c>
      <c r="H25" s="48" t="s">
        <v>48</v>
      </c>
    </row>
    <row r="26" spans="1:8" x14ac:dyDescent="0.3">
      <c r="A26" s="31" t="s">
        <v>18</v>
      </c>
      <c r="B26" s="41">
        <f>B27-B14</f>
        <v>1064.6512121212118</v>
      </c>
      <c r="C26" s="15" t="s">
        <v>17</v>
      </c>
      <c r="D26" s="35">
        <v>-4</v>
      </c>
      <c r="E26" s="35">
        <f>+C4</f>
        <v>-2.5</v>
      </c>
      <c r="F26" s="35">
        <f>+C4</f>
        <v>-2.5</v>
      </c>
      <c r="G26" s="36">
        <v>-4</v>
      </c>
      <c r="H26" s="42" t="str">
        <f t="shared" ref="H26:H38" si="0">+H25</f>
        <v>Derecha</v>
      </c>
    </row>
    <row r="27" spans="1:8" x14ac:dyDescent="0.3">
      <c r="A27" s="31" t="s">
        <v>16</v>
      </c>
      <c r="B27" s="41">
        <f>B28-B15</f>
        <v>1077.5299999999997</v>
      </c>
      <c r="C27" s="15" t="s">
        <v>4</v>
      </c>
      <c r="D27" s="35">
        <v>-4</v>
      </c>
      <c r="E27" s="35">
        <f>IF(H27="Derecha",0,C4)</f>
        <v>0</v>
      </c>
      <c r="F27" s="35">
        <f>IF(H27="Derecha",C4,0)</f>
        <v>-2.5</v>
      </c>
      <c r="G27" s="36">
        <v>-4</v>
      </c>
      <c r="H27" s="42" t="str">
        <f t="shared" si="0"/>
        <v>Derecha</v>
      </c>
    </row>
    <row r="28" spans="1:8" x14ac:dyDescent="0.3">
      <c r="A28" s="31" t="s">
        <v>15</v>
      </c>
      <c r="B28" s="41">
        <f>B29-B19</f>
        <v>1090.4087878787877</v>
      </c>
      <c r="C28" s="15" t="s">
        <v>6</v>
      </c>
      <c r="D28" s="35">
        <v>-4</v>
      </c>
      <c r="E28" s="35">
        <f>IF(H28="Derecha",-C4,C4)</f>
        <v>2.5</v>
      </c>
      <c r="F28" s="35">
        <f>IF(H28="Derecha",C4,-C4)</f>
        <v>-2.5</v>
      </c>
      <c r="G28" s="36">
        <v>-4</v>
      </c>
      <c r="H28" s="42" t="str">
        <f t="shared" si="0"/>
        <v>Derecha</v>
      </c>
    </row>
    <row r="29" spans="1:8" x14ac:dyDescent="0.3">
      <c r="A29" s="32" t="s">
        <v>37</v>
      </c>
      <c r="B29" s="34">
        <v>1101.33</v>
      </c>
      <c r="C29" s="15"/>
      <c r="D29" s="35">
        <v>-4</v>
      </c>
      <c r="E29" s="23">
        <f>+E31*C7</f>
        <v>4.6199999999999992</v>
      </c>
      <c r="F29" s="23">
        <f>+F31*C7</f>
        <v>-4.6199999999999992</v>
      </c>
      <c r="G29" s="36">
        <v>-4</v>
      </c>
      <c r="H29" s="42" t="str">
        <f t="shared" si="0"/>
        <v>Derecha</v>
      </c>
    </row>
    <row r="30" spans="1:8" x14ac:dyDescent="0.3">
      <c r="A30" s="31" t="s">
        <v>14</v>
      </c>
      <c r="B30" s="41">
        <f>IF(B27+B22&lt;B31,B27+B22,B31)</f>
        <v>1098.1360606060603</v>
      </c>
      <c r="C30" s="15" t="s">
        <v>8</v>
      </c>
      <c r="D30" s="35">
        <v>-4</v>
      </c>
      <c r="E30" s="35">
        <f>IF(ABS(C8)&gt;ABS(C5),IF(H30="Izquierda",-C5,C5),IF(H30="Izquierda",C8,-C8))</f>
        <v>4</v>
      </c>
      <c r="F30" s="35">
        <f>IF(ABS(C8)&gt;ABS(C5),IF(H30="Derecha",-C5,C5),IF(H30="Derecha",C8,-C8))</f>
        <v>-4</v>
      </c>
      <c r="G30" s="36">
        <v>-4</v>
      </c>
      <c r="H30" s="42" t="str">
        <f t="shared" si="0"/>
        <v>Derecha</v>
      </c>
    </row>
    <row r="31" spans="1:8" x14ac:dyDescent="0.3">
      <c r="A31" s="31" t="s">
        <v>13</v>
      </c>
      <c r="B31" s="41">
        <f>B29+B20</f>
        <v>1111.53</v>
      </c>
      <c r="C31" s="15" t="s">
        <v>12</v>
      </c>
      <c r="D31" s="35">
        <f>IF(H31="Izquierda",C9,C10)</f>
        <v>-4</v>
      </c>
      <c r="E31" s="35">
        <f>IF(H31="Derecha",C5,-C5)</f>
        <v>6.6</v>
      </c>
      <c r="F31" s="35">
        <f>IF(H31="Derecha",-C5,C5)</f>
        <v>-6.6</v>
      </c>
      <c r="G31" s="36">
        <f>IF(H31="Derecha",C9,C10)</f>
        <v>-6.6</v>
      </c>
      <c r="H31" s="42" t="str">
        <f t="shared" si="0"/>
        <v>Derecha</v>
      </c>
    </row>
    <row r="32" spans="1:8" x14ac:dyDescent="0.3">
      <c r="A32" s="31" t="s">
        <v>11</v>
      </c>
      <c r="B32" s="41">
        <f>B34-B20</f>
        <v>1140.68</v>
      </c>
      <c r="C32" s="15" t="s">
        <v>10</v>
      </c>
      <c r="D32" s="35">
        <f>IF(H31="Izquierda",C9,C10)</f>
        <v>-4</v>
      </c>
      <c r="E32" s="35">
        <f>IF(H32="Derecha",C5,-C5)</f>
        <v>6.6</v>
      </c>
      <c r="F32" s="35">
        <f>IF(H32="Derecha",-C5,C5)</f>
        <v>-6.6</v>
      </c>
      <c r="G32" s="36">
        <f>IF(H31="Derecha",C9,C10)</f>
        <v>-6.6</v>
      </c>
      <c r="H32" s="42" t="str">
        <f t="shared" si="0"/>
        <v>Derecha</v>
      </c>
    </row>
    <row r="33" spans="1:8" x14ac:dyDescent="0.3">
      <c r="A33" s="31" t="s">
        <v>9</v>
      </c>
      <c r="B33" s="41">
        <f>IF(B36-B22&gt;B32,B36-B22,B32)</f>
        <v>1154.0739393939398</v>
      </c>
      <c r="C33" s="15" t="s">
        <v>8</v>
      </c>
      <c r="D33" s="35">
        <v>-4</v>
      </c>
      <c r="E33" s="35">
        <f>IF(ABS(C8)&gt;ABS(C5),IF(H30="Izquierda",-C5,C5),IF(H30="Izquierda",C8,-C8))</f>
        <v>4</v>
      </c>
      <c r="F33" s="35">
        <f>IF(ABS(C8)&gt;ABS(C5),IF(H30="Derecha",-C5,C5),IF(H30="Derecha",C8,-C8))</f>
        <v>-4</v>
      </c>
      <c r="G33" s="36">
        <v>-4</v>
      </c>
      <c r="H33" s="42" t="str">
        <f t="shared" si="0"/>
        <v>Derecha</v>
      </c>
    </row>
    <row r="34" spans="1:8" x14ac:dyDescent="0.3">
      <c r="A34" s="32" t="s">
        <v>38</v>
      </c>
      <c r="B34" s="34">
        <v>1150.8800000000001</v>
      </c>
      <c r="C34" s="15"/>
      <c r="D34" s="35">
        <v>-4</v>
      </c>
      <c r="E34" s="23">
        <f>+E32*C7</f>
        <v>4.6199999999999992</v>
      </c>
      <c r="F34" s="23">
        <f>+F32*C7</f>
        <v>-4.6199999999999992</v>
      </c>
      <c r="G34" s="36">
        <v>-4</v>
      </c>
      <c r="H34" s="42" t="str">
        <f t="shared" si="0"/>
        <v>Derecha</v>
      </c>
    </row>
    <row r="35" spans="1:8" x14ac:dyDescent="0.3">
      <c r="A35" s="31" t="s">
        <v>7</v>
      </c>
      <c r="B35" s="41">
        <f>B34+B19</f>
        <v>1161.8012121212123</v>
      </c>
      <c r="C35" s="15" t="s">
        <v>6</v>
      </c>
      <c r="D35" s="35">
        <v>-4</v>
      </c>
      <c r="E35" s="35">
        <f>IF(H35="Izquierda",C4,-C4)</f>
        <v>2.5</v>
      </c>
      <c r="F35" s="35">
        <f>IF(H35="Derecha",C4,-C4)</f>
        <v>-2.5</v>
      </c>
      <c r="G35" s="36">
        <v>-4</v>
      </c>
      <c r="H35" s="42" t="str">
        <f t="shared" si="0"/>
        <v>Derecha</v>
      </c>
    </row>
    <row r="36" spans="1:8" x14ac:dyDescent="0.3">
      <c r="A36" s="31" t="s">
        <v>5</v>
      </c>
      <c r="B36" s="41">
        <f>B35+B15</f>
        <v>1174.6800000000003</v>
      </c>
      <c r="C36" s="15" t="s">
        <v>4</v>
      </c>
      <c r="D36" s="35">
        <v>-4</v>
      </c>
      <c r="E36" s="35">
        <f>IF(H36="Derecha",0,C4)</f>
        <v>0</v>
      </c>
      <c r="F36" s="35">
        <f>IF(H36="Derecha",C4,0)</f>
        <v>-2.5</v>
      </c>
      <c r="G36" s="36">
        <v>-4</v>
      </c>
      <c r="H36" s="42" t="str">
        <f t="shared" si="0"/>
        <v>Derecha</v>
      </c>
    </row>
    <row r="37" spans="1:8" x14ac:dyDescent="0.3">
      <c r="A37" s="31" t="s">
        <v>3</v>
      </c>
      <c r="B37" s="41">
        <f>B36+B14</f>
        <v>1187.5587878787883</v>
      </c>
      <c r="C37" s="15" t="s">
        <v>2</v>
      </c>
      <c r="D37" s="35">
        <v>-4</v>
      </c>
      <c r="E37" s="35">
        <f>+C4</f>
        <v>-2.5</v>
      </c>
      <c r="F37" s="35">
        <f>+C4</f>
        <v>-2.5</v>
      </c>
      <c r="G37" s="36">
        <v>-4</v>
      </c>
      <c r="H37" s="42" t="str">
        <f t="shared" si="0"/>
        <v>Derecha</v>
      </c>
    </row>
    <row r="38" spans="1:8" ht="15" thickBot="1" x14ac:dyDescent="0.35">
      <c r="A38" s="33" t="s">
        <v>1</v>
      </c>
      <c r="B38" s="43">
        <f>+B37</f>
        <v>1187.5587878787883</v>
      </c>
      <c r="C38" s="44" t="s">
        <v>0</v>
      </c>
      <c r="D38" s="45">
        <f>+C8</f>
        <v>-4</v>
      </c>
      <c r="E38" s="45">
        <f>+C4</f>
        <v>-2.5</v>
      </c>
      <c r="F38" s="45">
        <f>+C4</f>
        <v>-2.5</v>
      </c>
      <c r="G38" s="46">
        <f>+C8</f>
        <v>-4</v>
      </c>
      <c r="H38" s="47" t="str">
        <f t="shared" si="0"/>
        <v>Derecha</v>
      </c>
    </row>
    <row r="40" spans="1:8" x14ac:dyDescent="0.3">
      <c r="E40" s="8"/>
    </row>
    <row r="41" spans="1:8" x14ac:dyDescent="0.3">
      <c r="E41" s="17">
        <f>B19</f>
        <v>10.921212121212118</v>
      </c>
      <c r="F41" s="20">
        <f>B20</f>
        <v>10.200000000000003</v>
      </c>
    </row>
    <row r="46" spans="1:8" x14ac:dyDescent="0.3">
      <c r="H46" s="14">
        <f>C6*C5</f>
        <v>21.779999999999998</v>
      </c>
    </row>
    <row r="50" spans="1:8" x14ac:dyDescent="0.3">
      <c r="A50" s="13">
        <f>C6*ABS(C4)</f>
        <v>8.25</v>
      </c>
    </row>
    <row r="52" spans="1:8" x14ac:dyDescent="0.3">
      <c r="H52" s="14">
        <f>C6*C5</f>
        <v>21.779999999999998</v>
      </c>
    </row>
    <row r="54" spans="1:8" x14ac:dyDescent="0.3">
      <c r="C54" s="17">
        <f>B14</f>
        <v>12.878787878787879</v>
      </c>
      <c r="D54" s="17">
        <f>B15</f>
        <v>12.878787878787879</v>
      </c>
    </row>
    <row r="57" spans="1:8" x14ac:dyDescent="0.3">
      <c r="D57" s="20">
        <f>B12+B14</f>
        <v>46.878787878787875</v>
      </c>
    </row>
    <row r="65" spans="10:10" x14ac:dyDescent="0.3">
      <c r="J65" s="2"/>
    </row>
  </sheetData>
  <mergeCells count="1">
    <mergeCell ref="G16:H16"/>
  </mergeCells>
  <pageMargins left="0.7" right="0.7" top="0.75" bottom="0.75" header="0.3" footer="0.3"/>
  <pageSetup scale="75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J65"/>
  <sheetViews>
    <sheetView showGridLines="0" view="pageBreakPreview" topLeftCell="A22" zoomScale="98" zoomScaleNormal="91" zoomScaleSheetLayoutView="98" workbookViewId="0">
      <selection activeCell="B35" sqref="B35"/>
    </sheetView>
  </sheetViews>
  <sheetFormatPr baseColWidth="10" defaultColWidth="11.44140625" defaultRowHeight="14.4" x14ac:dyDescent="0.3"/>
  <cols>
    <col min="1" max="1" width="14.109375" style="10" customWidth="1"/>
    <col min="2" max="2" width="19" style="10" customWidth="1"/>
    <col min="3" max="3" width="21.6640625" style="10" bestFit="1" customWidth="1"/>
    <col min="4" max="4" width="11.44140625" style="10"/>
    <col min="5" max="5" width="12.44140625" style="10" customWidth="1"/>
    <col min="6" max="7" width="11.44140625" style="10"/>
    <col min="8" max="8" width="19.6640625" style="10" customWidth="1"/>
    <col min="9" max="9" width="19.88671875" style="10" bestFit="1" customWidth="1"/>
    <col min="10" max="16384" width="11.44140625" style="10"/>
  </cols>
  <sheetData>
    <row r="1" spans="1:8" ht="15" thickBot="1" x14ac:dyDescent="0.35">
      <c r="A1" s="7" t="s">
        <v>30</v>
      </c>
      <c r="B1" s="56">
        <v>6</v>
      </c>
      <c r="C1" s="6"/>
    </row>
    <row r="2" spans="1:8" ht="15.75" customHeight="1" x14ac:dyDescent="0.3">
      <c r="B2" s="52" t="s">
        <v>32</v>
      </c>
      <c r="C2" s="49">
        <v>300</v>
      </c>
    </row>
    <row r="3" spans="1:8" x14ac:dyDescent="0.3">
      <c r="B3" s="53" t="s">
        <v>31</v>
      </c>
      <c r="C3" s="50">
        <v>40</v>
      </c>
    </row>
    <row r="4" spans="1:8" x14ac:dyDescent="0.3">
      <c r="B4" s="53" t="s">
        <v>40</v>
      </c>
      <c r="C4" s="50">
        <v>-2.5</v>
      </c>
      <c r="E4" s="2"/>
      <c r="F4" s="2"/>
    </row>
    <row r="5" spans="1:8" x14ac:dyDescent="0.3">
      <c r="B5" s="53" t="s">
        <v>41</v>
      </c>
      <c r="C5" s="50">
        <v>3.6</v>
      </c>
      <c r="E5" s="2"/>
      <c r="F5" s="2"/>
    </row>
    <row r="6" spans="1:8" x14ac:dyDescent="0.3">
      <c r="B6" s="53" t="s">
        <v>47</v>
      </c>
      <c r="C6" s="50">
        <v>3.3</v>
      </c>
      <c r="E6" s="2"/>
      <c r="F6" s="2"/>
    </row>
    <row r="7" spans="1:8" ht="15" customHeight="1" x14ac:dyDescent="0.3">
      <c r="B7" s="53" t="s">
        <v>39</v>
      </c>
      <c r="C7" s="51">
        <v>0.7</v>
      </c>
      <c r="E7" s="1"/>
      <c r="F7" s="1"/>
    </row>
    <row r="8" spans="1:8" x14ac:dyDescent="0.3">
      <c r="B8" s="53" t="s">
        <v>45</v>
      </c>
      <c r="C8" s="50">
        <v>-4</v>
      </c>
      <c r="E8" s="1"/>
      <c r="G8" s="1"/>
    </row>
    <row r="9" spans="1:8" x14ac:dyDescent="0.3">
      <c r="B9" s="53" t="s">
        <v>43</v>
      </c>
      <c r="C9" s="54">
        <f>IF(C5="BN",-4,IF(C5&gt;4,-C5,-4))</f>
        <v>-4</v>
      </c>
      <c r="E9" s="1"/>
      <c r="F9" s="1"/>
    </row>
    <row r="10" spans="1:8" x14ac:dyDescent="0.3">
      <c r="B10" s="53" t="s">
        <v>44</v>
      </c>
      <c r="C10" s="54">
        <f>+C8</f>
        <v>-4</v>
      </c>
      <c r="D10" s="9"/>
      <c r="E10" s="58"/>
      <c r="F10" s="11"/>
      <c r="G10" s="58"/>
    </row>
    <row r="11" spans="1:8" x14ac:dyDescent="0.3">
      <c r="A11" s="11"/>
      <c r="B11" s="11"/>
      <c r="C11" s="11"/>
      <c r="D11" s="11"/>
    </row>
    <row r="12" spans="1:8" ht="24.6" x14ac:dyDescent="0.55000000000000004">
      <c r="A12" s="16" t="s">
        <v>42</v>
      </c>
      <c r="B12" s="55">
        <v>19</v>
      </c>
      <c r="C12" s="12"/>
      <c r="D12" s="21"/>
      <c r="E12" s="22"/>
      <c r="F12" s="15"/>
    </row>
    <row r="13" spans="1:8" ht="15" thickBot="1" x14ac:dyDescent="0.35">
      <c r="A13" s="11"/>
      <c r="B13" s="11"/>
      <c r="D13" s="15"/>
      <c r="E13" s="15"/>
      <c r="F13" s="15"/>
    </row>
    <row r="14" spans="1:8" x14ac:dyDescent="0.3">
      <c r="A14" s="5" t="s">
        <v>29</v>
      </c>
      <c r="B14" s="57">
        <f>ABS(+B12/C5*C4)</f>
        <v>13.194444444444445</v>
      </c>
      <c r="C14" s="8"/>
      <c r="D14" s="23"/>
      <c r="E14" s="24"/>
      <c r="F14" s="15"/>
    </row>
    <row r="15" spans="1:8" x14ac:dyDescent="0.3">
      <c r="A15" s="4" t="s">
        <v>28</v>
      </c>
      <c r="B15" s="18">
        <f>B14</f>
        <v>13.194444444444445</v>
      </c>
      <c r="D15" s="23"/>
      <c r="E15" s="24"/>
      <c r="F15" s="15"/>
    </row>
    <row r="16" spans="1:8" x14ac:dyDescent="0.3">
      <c r="A16" s="4" t="s">
        <v>27</v>
      </c>
      <c r="B16" s="18">
        <f>B12-B15</f>
        <v>5.8055555555555554</v>
      </c>
      <c r="C16" s="17">
        <f>SUM(B15:B16)</f>
        <v>19</v>
      </c>
      <c r="D16" s="23"/>
      <c r="E16" s="24"/>
      <c r="F16" s="24"/>
      <c r="G16" s="59"/>
      <c r="H16" s="59"/>
    </row>
    <row r="17" spans="1:8" x14ac:dyDescent="0.3">
      <c r="A17" s="4" t="s">
        <v>36</v>
      </c>
      <c r="B17" s="18">
        <f>+B12</f>
        <v>19</v>
      </c>
      <c r="D17" s="23"/>
      <c r="E17" s="24"/>
      <c r="F17" s="15"/>
    </row>
    <row r="18" spans="1:8" x14ac:dyDescent="0.3">
      <c r="A18" s="4" t="s">
        <v>33</v>
      </c>
      <c r="B18" s="54">
        <f>+B12*C7</f>
        <v>13.299999999999999</v>
      </c>
      <c r="D18" s="23"/>
      <c r="E18" s="24"/>
      <c r="F18" s="15"/>
    </row>
    <row r="19" spans="1:8" x14ac:dyDescent="0.3">
      <c r="A19" s="4" t="s">
        <v>34</v>
      </c>
      <c r="B19" s="18">
        <f>B18-B15</f>
        <v>0.10555555555555429</v>
      </c>
      <c r="D19" s="23"/>
      <c r="E19" s="24"/>
      <c r="F19" s="15"/>
    </row>
    <row r="20" spans="1:8" x14ac:dyDescent="0.3">
      <c r="A20" s="4" t="s">
        <v>35</v>
      </c>
      <c r="B20" s="18">
        <f>+B17-B18</f>
        <v>5.7000000000000011</v>
      </c>
      <c r="D20" s="23"/>
      <c r="E20" s="25"/>
      <c r="F20" s="15"/>
    </row>
    <row r="21" spans="1:8" x14ac:dyDescent="0.3">
      <c r="A21" s="4" t="s">
        <v>26</v>
      </c>
      <c r="B21" s="18">
        <f>(ABS(C10)-ABS(C4))*B17/C5</f>
        <v>7.9166666666666661</v>
      </c>
      <c r="D21" s="23"/>
      <c r="E21" s="24"/>
      <c r="F21" s="15"/>
    </row>
    <row r="22" spans="1:8" ht="15" thickBot="1" x14ac:dyDescent="0.35">
      <c r="A22" s="3" t="s">
        <v>25</v>
      </c>
      <c r="B22" s="19">
        <f>-C10*B17/C5</f>
        <v>21.111111111111111</v>
      </c>
      <c r="D22" s="23"/>
      <c r="E22" s="24"/>
      <c r="F22" s="15"/>
    </row>
    <row r="23" spans="1:8" ht="15" thickBot="1" x14ac:dyDescent="0.35">
      <c r="A23" s="11"/>
      <c r="B23" s="11"/>
    </row>
    <row r="24" spans="1:8" ht="15" thickBot="1" x14ac:dyDescent="0.35">
      <c r="A24" s="11"/>
      <c r="B24" s="11"/>
      <c r="D24" s="26" t="s">
        <v>22</v>
      </c>
      <c r="E24" s="27" t="s">
        <v>24</v>
      </c>
      <c r="F24" s="27" t="s">
        <v>23</v>
      </c>
      <c r="G24" s="28" t="s">
        <v>22</v>
      </c>
      <c r="H24" s="29" t="s">
        <v>21</v>
      </c>
    </row>
    <row r="25" spans="1:8" ht="15" customHeight="1" x14ac:dyDescent="0.3">
      <c r="A25" s="30" t="s">
        <v>20</v>
      </c>
      <c r="B25" s="37">
        <f>+B26</f>
        <v>1259.8655555555556</v>
      </c>
      <c r="C25" s="38" t="s">
        <v>19</v>
      </c>
      <c r="D25" s="39">
        <f>+C8</f>
        <v>-4</v>
      </c>
      <c r="E25" s="39">
        <f>+C4</f>
        <v>-2.5</v>
      </c>
      <c r="F25" s="39">
        <f>+C4</f>
        <v>-2.5</v>
      </c>
      <c r="G25" s="40">
        <f>+C8</f>
        <v>-4</v>
      </c>
      <c r="H25" s="48" t="s">
        <v>48</v>
      </c>
    </row>
    <row r="26" spans="1:8" x14ac:dyDescent="0.3">
      <c r="A26" s="31" t="s">
        <v>18</v>
      </c>
      <c r="B26" s="41">
        <f>B27-B14</f>
        <v>1259.8655555555556</v>
      </c>
      <c r="C26" s="15" t="s">
        <v>17</v>
      </c>
      <c r="D26" s="35">
        <v>-4</v>
      </c>
      <c r="E26" s="35">
        <f>+C4</f>
        <v>-2.5</v>
      </c>
      <c r="F26" s="35">
        <f>+C4</f>
        <v>-2.5</v>
      </c>
      <c r="G26" s="36">
        <v>-4</v>
      </c>
      <c r="H26" s="42" t="str">
        <f t="shared" ref="H26:H38" si="0">+H25</f>
        <v>Derecha</v>
      </c>
    </row>
    <row r="27" spans="1:8" x14ac:dyDescent="0.3">
      <c r="A27" s="31" t="s">
        <v>16</v>
      </c>
      <c r="B27" s="41">
        <f>B28-B15</f>
        <v>1273.06</v>
      </c>
      <c r="C27" s="15" t="s">
        <v>4</v>
      </c>
      <c r="D27" s="35">
        <v>-4</v>
      </c>
      <c r="E27" s="35">
        <f>IF(H27="Derecha",0,C4)</f>
        <v>0</v>
      </c>
      <c r="F27" s="35">
        <f>IF(H27="Derecha",C4,0)</f>
        <v>-2.5</v>
      </c>
      <c r="G27" s="36">
        <v>-4</v>
      </c>
      <c r="H27" s="42" t="str">
        <f t="shared" si="0"/>
        <v>Derecha</v>
      </c>
    </row>
    <row r="28" spans="1:8" x14ac:dyDescent="0.3">
      <c r="A28" s="31" t="s">
        <v>15</v>
      </c>
      <c r="B28" s="41">
        <f>B29-B19</f>
        <v>1286.2544444444443</v>
      </c>
      <c r="C28" s="15" t="s">
        <v>6</v>
      </c>
      <c r="D28" s="35">
        <v>-4</v>
      </c>
      <c r="E28" s="35">
        <f>IF(H28="Derecha",-C4,C4)</f>
        <v>2.5</v>
      </c>
      <c r="F28" s="35">
        <f>IF(H28="Derecha",C4,-C4)</f>
        <v>-2.5</v>
      </c>
      <c r="G28" s="36">
        <v>-4</v>
      </c>
      <c r="H28" s="42" t="str">
        <f t="shared" si="0"/>
        <v>Derecha</v>
      </c>
    </row>
    <row r="29" spans="1:8" x14ac:dyDescent="0.3">
      <c r="A29" s="32" t="s">
        <v>37</v>
      </c>
      <c r="B29" s="34">
        <v>1286.3599999999999</v>
      </c>
      <c r="C29" s="15"/>
      <c r="D29" s="35">
        <v>-4</v>
      </c>
      <c r="E29" s="23">
        <f>+E31*C7</f>
        <v>2.52</v>
      </c>
      <c r="F29" s="23">
        <f>+F31*C7</f>
        <v>-2.52</v>
      </c>
      <c r="G29" s="36">
        <v>-4</v>
      </c>
      <c r="H29" s="42" t="str">
        <f t="shared" si="0"/>
        <v>Derecha</v>
      </c>
    </row>
    <row r="30" spans="1:8" x14ac:dyDescent="0.3">
      <c r="A30" s="31" t="s">
        <v>14</v>
      </c>
      <c r="B30" s="41">
        <f>IF(B27+B22&lt;B31,B27+B22,B31)</f>
        <v>1292.06</v>
      </c>
      <c r="C30" s="15" t="s">
        <v>8</v>
      </c>
      <c r="D30" s="35">
        <v>-4</v>
      </c>
      <c r="E30" s="35">
        <f>IF(ABS(C8)&gt;ABS(C5),IF(H30="Izquierda",-C5,C5),IF(H30="Izquierda",C8,-C8))</f>
        <v>3.6</v>
      </c>
      <c r="F30" s="35">
        <f>IF(ABS(C8)&gt;ABS(C5),IF(H30="Derecha",-C5,C5),IF(H30="Derecha",C8,-C8))</f>
        <v>-3.6</v>
      </c>
      <c r="G30" s="36">
        <v>-4</v>
      </c>
      <c r="H30" s="42" t="str">
        <f t="shared" si="0"/>
        <v>Derecha</v>
      </c>
    </row>
    <row r="31" spans="1:8" x14ac:dyDescent="0.3">
      <c r="A31" s="31" t="s">
        <v>13</v>
      </c>
      <c r="B31" s="41">
        <f>B29+B20</f>
        <v>1292.06</v>
      </c>
      <c r="C31" s="15" t="s">
        <v>12</v>
      </c>
      <c r="D31" s="35">
        <f>IF(H31="Izquierda",C9,C10)</f>
        <v>-4</v>
      </c>
      <c r="E31" s="35">
        <f>IF(H31="Derecha",C5,-C5)</f>
        <v>3.6</v>
      </c>
      <c r="F31" s="35">
        <f>IF(H31="Derecha",-C5,C5)</f>
        <v>-3.6</v>
      </c>
      <c r="G31" s="36">
        <f>IF(H31="Derecha",C9,C10)</f>
        <v>-4</v>
      </c>
      <c r="H31" s="42" t="str">
        <f t="shared" si="0"/>
        <v>Derecha</v>
      </c>
    </row>
    <row r="32" spans="1:8" x14ac:dyDescent="0.3">
      <c r="A32" s="31" t="s">
        <v>11</v>
      </c>
      <c r="B32" s="41">
        <f>B34-B20</f>
        <v>1344.57</v>
      </c>
      <c r="C32" s="15" t="s">
        <v>10</v>
      </c>
      <c r="D32" s="35">
        <f>IF(H31="Izquierda",C9,C10)</f>
        <v>-4</v>
      </c>
      <c r="E32" s="35">
        <f>IF(H32="Derecha",C5,-C5)</f>
        <v>3.6</v>
      </c>
      <c r="F32" s="35">
        <f>IF(H32="Derecha",-C5,C5)</f>
        <v>-3.6</v>
      </c>
      <c r="G32" s="36">
        <f>IF(H31="Derecha",C9,C10)</f>
        <v>-4</v>
      </c>
      <c r="H32" s="42" t="str">
        <f t="shared" si="0"/>
        <v>Derecha</v>
      </c>
    </row>
    <row r="33" spans="1:8" x14ac:dyDescent="0.3">
      <c r="A33" s="31" t="s">
        <v>9</v>
      </c>
      <c r="B33" s="41">
        <f>IF(B36-B22&gt;B32,B36-B22,B32)</f>
        <v>1344.57</v>
      </c>
      <c r="C33" s="15" t="s">
        <v>8</v>
      </c>
      <c r="D33" s="35">
        <v>-4</v>
      </c>
      <c r="E33" s="35">
        <f>IF(ABS(C8)&gt;ABS(C5),IF(H30="Izquierda",-C5,C5),IF(H30="Izquierda",C8,-C8))</f>
        <v>3.6</v>
      </c>
      <c r="F33" s="35">
        <f>IF(ABS(C8)&gt;ABS(C5),IF(H30="Derecha",-C5,C5),IF(H30="Derecha",C8,-C8))</f>
        <v>-3.6</v>
      </c>
      <c r="G33" s="36">
        <v>-4</v>
      </c>
      <c r="H33" s="42" t="str">
        <f t="shared" si="0"/>
        <v>Derecha</v>
      </c>
    </row>
    <row r="34" spans="1:8" x14ac:dyDescent="0.3">
      <c r="A34" s="32" t="s">
        <v>38</v>
      </c>
      <c r="B34" s="34">
        <v>1350.27</v>
      </c>
      <c r="C34" s="15"/>
      <c r="D34" s="35">
        <v>-4</v>
      </c>
      <c r="E34" s="23">
        <f>+E32*C7</f>
        <v>2.52</v>
      </c>
      <c r="F34" s="23">
        <f>+F32*C7</f>
        <v>-2.52</v>
      </c>
      <c r="G34" s="36">
        <v>-4</v>
      </c>
      <c r="H34" s="42" t="str">
        <f t="shared" si="0"/>
        <v>Derecha</v>
      </c>
    </row>
    <row r="35" spans="1:8" x14ac:dyDescent="0.3">
      <c r="A35" s="31" t="s">
        <v>7</v>
      </c>
      <c r="B35" s="41">
        <f>B34+B19</f>
        <v>1350.3755555555556</v>
      </c>
      <c r="C35" s="15" t="s">
        <v>6</v>
      </c>
      <c r="D35" s="35">
        <v>-4</v>
      </c>
      <c r="E35" s="35">
        <f>IF(H35="Izquierda",C4,-C4)</f>
        <v>2.5</v>
      </c>
      <c r="F35" s="35">
        <f>IF(H35="Derecha",C4,-C4)</f>
        <v>-2.5</v>
      </c>
      <c r="G35" s="36">
        <v>-4</v>
      </c>
      <c r="H35" s="42" t="str">
        <f t="shared" si="0"/>
        <v>Derecha</v>
      </c>
    </row>
    <row r="36" spans="1:8" x14ac:dyDescent="0.3">
      <c r="A36" s="31" t="s">
        <v>5</v>
      </c>
      <c r="B36" s="41">
        <f>B35+B15</f>
        <v>1363.57</v>
      </c>
      <c r="C36" s="15" t="s">
        <v>4</v>
      </c>
      <c r="D36" s="35">
        <v>-4</v>
      </c>
      <c r="E36" s="35">
        <f>IF(H36="Derecha",0,C4)</f>
        <v>0</v>
      </c>
      <c r="F36" s="35">
        <f>IF(H36="Derecha",C4,0)</f>
        <v>-2.5</v>
      </c>
      <c r="G36" s="36">
        <v>-4</v>
      </c>
      <c r="H36" s="42" t="str">
        <f t="shared" si="0"/>
        <v>Derecha</v>
      </c>
    </row>
    <row r="37" spans="1:8" x14ac:dyDescent="0.3">
      <c r="A37" s="31" t="s">
        <v>3</v>
      </c>
      <c r="B37" s="41">
        <f>B36+B14</f>
        <v>1376.7644444444443</v>
      </c>
      <c r="C37" s="15" t="s">
        <v>2</v>
      </c>
      <c r="D37" s="35">
        <v>-4</v>
      </c>
      <c r="E37" s="35">
        <f>+C4</f>
        <v>-2.5</v>
      </c>
      <c r="F37" s="35">
        <f>+C4</f>
        <v>-2.5</v>
      </c>
      <c r="G37" s="36">
        <v>-4</v>
      </c>
      <c r="H37" s="42" t="str">
        <f t="shared" si="0"/>
        <v>Derecha</v>
      </c>
    </row>
    <row r="38" spans="1:8" ht="15" thickBot="1" x14ac:dyDescent="0.35">
      <c r="A38" s="33" t="s">
        <v>1</v>
      </c>
      <c r="B38" s="43">
        <f>+B37</f>
        <v>1376.7644444444443</v>
      </c>
      <c r="C38" s="44" t="s">
        <v>0</v>
      </c>
      <c r="D38" s="45">
        <f>+C8</f>
        <v>-4</v>
      </c>
      <c r="E38" s="45">
        <f>+C4</f>
        <v>-2.5</v>
      </c>
      <c r="F38" s="45">
        <f>+C4</f>
        <v>-2.5</v>
      </c>
      <c r="G38" s="46">
        <f>+C8</f>
        <v>-4</v>
      </c>
      <c r="H38" s="47" t="str">
        <f t="shared" si="0"/>
        <v>Derecha</v>
      </c>
    </row>
    <row r="40" spans="1:8" x14ac:dyDescent="0.3">
      <c r="E40" s="8"/>
    </row>
    <row r="41" spans="1:8" x14ac:dyDescent="0.3">
      <c r="E41" s="17">
        <f>B19</f>
        <v>0.10555555555555429</v>
      </c>
      <c r="F41" s="20">
        <f>B20</f>
        <v>5.7000000000000011</v>
      </c>
    </row>
    <row r="46" spans="1:8" x14ac:dyDescent="0.3">
      <c r="H46" s="14">
        <f>C6*C5</f>
        <v>11.879999999999999</v>
      </c>
    </row>
    <row r="50" spans="1:8" x14ac:dyDescent="0.3">
      <c r="A50" s="13">
        <f>C6*ABS(C4)</f>
        <v>8.25</v>
      </c>
    </row>
    <row r="52" spans="1:8" x14ac:dyDescent="0.3">
      <c r="H52" s="14">
        <f>C6*C5</f>
        <v>11.879999999999999</v>
      </c>
    </row>
    <row r="54" spans="1:8" x14ac:dyDescent="0.3">
      <c r="C54" s="17">
        <f>B14</f>
        <v>13.194444444444445</v>
      </c>
      <c r="D54" s="17">
        <f>B15</f>
        <v>13.194444444444445</v>
      </c>
    </row>
    <row r="57" spans="1:8" x14ac:dyDescent="0.3">
      <c r="D57" s="20">
        <f>B12+B14</f>
        <v>32.194444444444443</v>
      </c>
    </row>
    <row r="65" spans="10:10" x14ac:dyDescent="0.3">
      <c r="J65" s="2"/>
    </row>
  </sheetData>
  <mergeCells count="1">
    <mergeCell ref="G16:H16"/>
  </mergeCells>
  <pageMargins left="0.7" right="0.7" top="0.75" bottom="0.75" header="0.3" footer="0.3"/>
  <pageSetup scale="75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J65"/>
  <sheetViews>
    <sheetView showGridLines="0" view="pageBreakPreview" topLeftCell="A10" zoomScale="98" zoomScaleNormal="91" zoomScaleSheetLayoutView="98" workbookViewId="0">
      <selection activeCell="B35" sqref="B35"/>
    </sheetView>
  </sheetViews>
  <sheetFormatPr baseColWidth="10" defaultColWidth="11.44140625" defaultRowHeight="14.4" x14ac:dyDescent="0.3"/>
  <cols>
    <col min="1" max="1" width="14.109375" style="10" customWidth="1"/>
    <col min="2" max="2" width="19" style="10" customWidth="1"/>
    <col min="3" max="3" width="21.6640625" style="10" bestFit="1" customWidth="1"/>
    <col min="4" max="4" width="11.44140625" style="10"/>
    <col min="5" max="5" width="12.44140625" style="10" customWidth="1"/>
    <col min="6" max="7" width="11.44140625" style="10"/>
    <col min="8" max="8" width="19.6640625" style="10" customWidth="1"/>
    <col min="9" max="9" width="19.88671875" style="10" bestFit="1" customWidth="1"/>
    <col min="10" max="16384" width="11.44140625" style="10"/>
  </cols>
  <sheetData>
    <row r="1" spans="1:8" ht="15" thickBot="1" x14ac:dyDescent="0.35">
      <c r="A1" s="7" t="s">
        <v>30</v>
      </c>
      <c r="B1" s="56">
        <v>7</v>
      </c>
      <c r="C1" s="6"/>
    </row>
    <row r="2" spans="1:8" ht="15.75" customHeight="1" x14ac:dyDescent="0.3">
      <c r="B2" s="52" t="s">
        <v>32</v>
      </c>
      <c r="C2" s="49">
        <v>300</v>
      </c>
    </row>
    <row r="3" spans="1:8" x14ac:dyDescent="0.3">
      <c r="B3" s="53" t="s">
        <v>31</v>
      </c>
      <c r="C3" s="50">
        <v>40</v>
      </c>
    </row>
    <row r="4" spans="1:8" x14ac:dyDescent="0.3">
      <c r="B4" s="53" t="s">
        <v>40</v>
      </c>
      <c r="C4" s="50">
        <v>-2.5</v>
      </c>
      <c r="E4" s="2"/>
      <c r="F4" s="2"/>
    </row>
    <row r="5" spans="1:8" x14ac:dyDescent="0.3">
      <c r="B5" s="53" t="s">
        <v>41</v>
      </c>
      <c r="C5" s="50">
        <v>3.6</v>
      </c>
      <c r="E5" s="2"/>
      <c r="F5" s="2"/>
    </row>
    <row r="6" spans="1:8" x14ac:dyDescent="0.3">
      <c r="B6" s="53" t="s">
        <v>47</v>
      </c>
      <c r="C6" s="50">
        <v>3.3</v>
      </c>
      <c r="E6" s="2"/>
      <c r="F6" s="2"/>
    </row>
    <row r="7" spans="1:8" ht="15" customHeight="1" x14ac:dyDescent="0.3">
      <c r="B7" s="53" t="s">
        <v>39</v>
      </c>
      <c r="C7" s="51">
        <v>0.7</v>
      </c>
      <c r="E7" s="1"/>
      <c r="F7" s="1"/>
    </row>
    <row r="8" spans="1:8" x14ac:dyDescent="0.3">
      <c r="B8" s="53" t="s">
        <v>45</v>
      </c>
      <c r="C8" s="50">
        <v>-4</v>
      </c>
      <c r="E8" s="1"/>
      <c r="F8" s="1"/>
    </row>
    <row r="9" spans="1:8" x14ac:dyDescent="0.3">
      <c r="B9" s="53" t="s">
        <v>43</v>
      </c>
      <c r="C9" s="54">
        <f>IF(C5="BN",-4,IF(C5&gt;4,-C5,-4))</f>
        <v>-4</v>
      </c>
      <c r="E9" s="1"/>
      <c r="F9" s="1"/>
    </row>
    <row r="10" spans="1:8" x14ac:dyDescent="0.3">
      <c r="B10" s="53" t="s">
        <v>44</v>
      </c>
      <c r="C10" s="54">
        <f>+C8</f>
        <v>-4</v>
      </c>
      <c r="D10" s="9"/>
      <c r="E10" s="2"/>
      <c r="F10" s="2"/>
    </row>
    <row r="11" spans="1:8" x14ac:dyDescent="0.3">
      <c r="A11" s="11"/>
      <c r="B11" s="11"/>
      <c r="C11" s="11"/>
      <c r="D11" s="11"/>
    </row>
    <row r="12" spans="1:8" ht="24.6" x14ac:dyDescent="0.55000000000000004">
      <c r="A12" s="16" t="s">
        <v>42</v>
      </c>
      <c r="B12" s="55">
        <v>19</v>
      </c>
      <c r="C12" s="12"/>
      <c r="D12" s="21"/>
      <c r="E12" s="22"/>
      <c r="F12" s="15"/>
    </row>
    <row r="13" spans="1:8" ht="15" thickBot="1" x14ac:dyDescent="0.35">
      <c r="A13" s="11"/>
      <c r="B13" s="11"/>
      <c r="D13" s="15"/>
      <c r="E13" s="15"/>
      <c r="F13" s="15"/>
    </row>
    <row r="14" spans="1:8" x14ac:dyDescent="0.3">
      <c r="A14" s="5" t="s">
        <v>29</v>
      </c>
      <c r="B14" s="57">
        <f>ABS(+B12/C5*C4)</f>
        <v>13.194444444444445</v>
      </c>
      <c r="C14" s="8"/>
      <c r="D14" s="23"/>
      <c r="E14" s="24"/>
      <c r="F14" s="15"/>
    </row>
    <row r="15" spans="1:8" x14ac:dyDescent="0.3">
      <c r="A15" s="4" t="s">
        <v>28</v>
      </c>
      <c r="B15" s="18">
        <f>B14</f>
        <v>13.194444444444445</v>
      </c>
      <c r="D15" s="23"/>
      <c r="E15" s="24"/>
      <c r="F15" s="15"/>
    </row>
    <row r="16" spans="1:8" x14ac:dyDescent="0.3">
      <c r="A16" s="4" t="s">
        <v>27</v>
      </c>
      <c r="B16" s="18">
        <f>B12-B15</f>
        <v>5.8055555555555554</v>
      </c>
      <c r="C16" s="17">
        <f>SUM(B15:B16)</f>
        <v>19</v>
      </c>
      <c r="D16" s="23"/>
      <c r="E16" s="24"/>
      <c r="F16" s="24"/>
      <c r="G16" s="59"/>
      <c r="H16" s="59"/>
    </row>
    <row r="17" spans="1:8" x14ac:dyDescent="0.3">
      <c r="A17" s="4" t="s">
        <v>36</v>
      </c>
      <c r="B17" s="18">
        <f>+B12</f>
        <v>19</v>
      </c>
      <c r="D17" s="23"/>
      <c r="E17" s="24"/>
      <c r="F17" s="15"/>
    </row>
    <row r="18" spans="1:8" x14ac:dyDescent="0.3">
      <c r="A18" s="4" t="s">
        <v>33</v>
      </c>
      <c r="B18" s="54">
        <f>+B12*C7</f>
        <v>13.299999999999999</v>
      </c>
      <c r="D18" s="23"/>
      <c r="E18" s="24"/>
      <c r="F18" s="15"/>
    </row>
    <row r="19" spans="1:8" x14ac:dyDescent="0.3">
      <c r="A19" s="4" t="s">
        <v>34</v>
      </c>
      <c r="B19" s="18">
        <f>B18-B15</f>
        <v>0.10555555555555429</v>
      </c>
      <c r="D19" s="23"/>
      <c r="E19" s="24"/>
      <c r="F19" s="15"/>
    </row>
    <row r="20" spans="1:8" x14ac:dyDescent="0.3">
      <c r="A20" s="4" t="s">
        <v>35</v>
      </c>
      <c r="B20" s="18">
        <f>+B17-B18</f>
        <v>5.7000000000000011</v>
      </c>
      <c r="D20" s="23"/>
      <c r="E20" s="25"/>
      <c r="F20" s="15"/>
    </row>
    <row r="21" spans="1:8" x14ac:dyDescent="0.3">
      <c r="A21" s="4" t="s">
        <v>26</v>
      </c>
      <c r="B21" s="18">
        <f>(ABS(C10)-ABS(C4))*B17/C5</f>
        <v>7.9166666666666661</v>
      </c>
      <c r="D21" s="23"/>
      <c r="E21" s="24"/>
      <c r="F21" s="15"/>
    </row>
    <row r="22" spans="1:8" ht="15" thickBot="1" x14ac:dyDescent="0.35">
      <c r="A22" s="3" t="s">
        <v>25</v>
      </c>
      <c r="B22" s="19">
        <f>-C10*B17/C5</f>
        <v>21.111111111111111</v>
      </c>
      <c r="D22" s="23"/>
      <c r="E22" s="24"/>
      <c r="F22" s="15"/>
    </row>
    <row r="23" spans="1:8" ht="15" thickBot="1" x14ac:dyDescent="0.35">
      <c r="A23" s="11"/>
      <c r="B23" s="11"/>
    </row>
    <row r="24" spans="1:8" ht="15" thickBot="1" x14ac:dyDescent="0.35">
      <c r="A24" s="11"/>
      <c r="B24" s="11"/>
      <c r="D24" s="26" t="s">
        <v>22</v>
      </c>
      <c r="E24" s="27" t="s">
        <v>24</v>
      </c>
      <c r="F24" s="27" t="s">
        <v>23</v>
      </c>
      <c r="G24" s="28" t="s">
        <v>22</v>
      </c>
      <c r="H24" s="29" t="s">
        <v>21</v>
      </c>
    </row>
    <row r="25" spans="1:8" ht="15" customHeight="1" x14ac:dyDescent="0.3">
      <c r="A25" s="30" t="s">
        <v>20</v>
      </c>
      <c r="B25" s="37">
        <f>+B26</f>
        <v>1941.9555555555557</v>
      </c>
      <c r="C25" s="38" t="s">
        <v>19</v>
      </c>
      <c r="D25" s="39">
        <f>+C8</f>
        <v>-4</v>
      </c>
      <c r="E25" s="39">
        <f>+C4</f>
        <v>-2.5</v>
      </c>
      <c r="F25" s="39">
        <f>+C4</f>
        <v>-2.5</v>
      </c>
      <c r="G25" s="40">
        <f>+C8</f>
        <v>-4</v>
      </c>
      <c r="H25" s="48" t="s">
        <v>48</v>
      </c>
    </row>
    <row r="26" spans="1:8" x14ac:dyDescent="0.3">
      <c r="A26" s="31" t="s">
        <v>18</v>
      </c>
      <c r="B26" s="41">
        <f>B27-B14</f>
        <v>1941.9555555555557</v>
      </c>
      <c r="C26" s="15" t="s">
        <v>17</v>
      </c>
      <c r="D26" s="35">
        <v>-4</v>
      </c>
      <c r="E26" s="35">
        <f>+C4</f>
        <v>-2.5</v>
      </c>
      <c r="F26" s="35">
        <f>+C4</f>
        <v>-2.5</v>
      </c>
      <c r="G26" s="36">
        <v>-4</v>
      </c>
      <c r="H26" s="42" t="str">
        <f t="shared" ref="H26:H38" si="0">+H25</f>
        <v>Derecha</v>
      </c>
    </row>
    <row r="27" spans="1:8" x14ac:dyDescent="0.3">
      <c r="A27" s="31" t="s">
        <v>16</v>
      </c>
      <c r="B27" s="41">
        <f>B28-B15</f>
        <v>1955.15</v>
      </c>
      <c r="C27" s="15" t="s">
        <v>4</v>
      </c>
      <c r="D27" s="35">
        <v>-4</v>
      </c>
      <c r="E27" s="35">
        <f>IF(H27="Derecha",0,C4)</f>
        <v>0</v>
      </c>
      <c r="F27" s="35">
        <f>IF(H27="Derecha",C4,0)</f>
        <v>-2.5</v>
      </c>
      <c r="G27" s="36">
        <v>-4</v>
      </c>
      <c r="H27" s="42" t="str">
        <f t="shared" si="0"/>
        <v>Derecha</v>
      </c>
    </row>
    <row r="28" spans="1:8" x14ac:dyDescent="0.3">
      <c r="A28" s="31" t="s">
        <v>15</v>
      </c>
      <c r="B28" s="41">
        <f>B29-B19</f>
        <v>1968.3444444444444</v>
      </c>
      <c r="C28" s="15" t="s">
        <v>6</v>
      </c>
      <c r="D28" s="35">
        <v>-4</v>
      </c>
      <c r="E28" s="35">
        <f>IF(H28="Derecha",-C4,C4)</f>
        <v>2.5</v>
      </c>
      <c r="F28" s="35">
        <f>IF(H28="Derecha",C4,-C4)</f>
        <v>-2.5</v>
      </c>
      <c r="G28" s="36">
        <v>-4</v>
      </c>
      <c r="H28" s="42" t="str">
        <f t="shared" si="0"/>
        <v>Derecha</v>
      </c>
    </row>
    <row r="29" spans="1:8" x14ac:dyDescent="0.3">
      <c r="A29" s="32" t="s">
        <v>37</v>
      </c>
      <c r="B29" s="34">
        <v>1968.45</v>
      </c>
      <c r="C29" s="15"/>
      <c r="D29" s="35">
        <v>-4</v>
      </c>
      <c r="E29" s="23">
        <f>+E31*C7</f>
        <v>2.52</v>
      </c>
      <c r="F29" s="23">
        <f>+F31*C7</f>
        <v>-2.52</v>
      </c>
      <c r="G29" s="36">
        <v>-4</v>
      </c>
      <c r="H29" s="42" t="str">
        <f t="shared" si="0"/>
        <v>Derecha</v>
      </c>
    </row>
    <row r="30" spans="1:8" x14ac:dyDescent="0.3">
      <c r="A30" s="31" t="s">
        <v>14</v>
      </c>
      <c r="B30" s="41">
        <f>IF(B27+B22&lt;B31,B27+B22,B31)</f>
        <v>1974.15</v>
      </c>
      <c r="C30" s="15" t="s">
        <v>8</v>
      </c>
      <c r="D30" s="35">
        <v>-4</v>
      </c>
      <c r="E30" s="35">
        <f>IF(ABS(C8)&gt;ABS(C5),IF(H30="Izquierda",-C5,C5),IF(H30="Izquierda",C8,-C8))</f>
        <v>3.6</v>
      </c>
      <c r="F30" s="35">
        <f>IF(ABS(C8)&gt;ABS(C5),IF(H30="Derecha",-C5,C5),IF(H30="Derecha",C8,-C8))</f>
        <v>-3.6</v>
      </c>
      <c r="G30" s="36">
        <v>-4</v>
      </c>
      <c r="H30" s="42" t="str">
        <f t="shared" si="0"/>
        <v>Derecha</v>
      </c>
    </row>
    <row r="31" spans="1:8" x14ac:dyDescent="0.3">
      <c r="A31" s="31" t="s">
        <v>13</v>
      </c>
      <c r="B31" s="41">
        <f>B29+B20</f>
        <v>1974.15</v>
      </c>
      <c r="C31" s="15" t="s">
        <v>12</v>
      </c>
      <c r="D31" s="35">
        <f>IF(H31="Izquierda",C9,C10)</f>
        <v>-4</v>
      </c>
      <c r="E31" s="35">
        <f>IF(H31="Derecha",C5,-C5)</f>
        <v>3.6</v>
      </c>
      <c r="F31" s="35">
        <f>IF(H31="Derecha",-C5,C5)</f>
        <v>-3.6</v>
      </c>
      <c r="G31" s="36">
        <f>IF(H31="Derecha",C9,C10)</f>
        <v>-4</v>
      </c>
      <c r="H31" s="42" t="str">
        <f t="shared" si="0"/>
        <v>Derecha</v>
      </c>
    </row>
    <row r="32" spans="1:8" x14ac:dyDescent="0.3">
      <c r="A32" s="31" t="s">
        <v>11</v>
      </c>
      <c r="B32" s="41">
        <f>B34-B20</f>
        <v>2069.0300000000002</v>
      </c>
      <c r="C32" s="15" t="s">
        <v>10</v>
      </c>
      <c r="D32" s="35">
        <f>IF(H31="Izquierda",C9,C10)</f>
        <v>-4</v>
      </c>
      <c r="E32" s="35">
        <f>IF(H32="Derecha",C5,-C5)</f>
        <v>3.6</v>
      </c>
      <c r="F32" s="35">
        <f>IF(H32="Derecha",-C5,C5)</f>
        <v>-3.6</v>
      </c>
      <c r="G32" s="36">
        <f>IF(H31="Derecha",C9,C10)</f>
        <v>-4</v>
      </c>
      <c r="H32" s="42" t="str">
        <f t="shared" si="0"/>
        <v>Derecha</v>
      </c>
    </row>
    <row r="33" spans="1:8" x14ac:dyDescent="0.3">
      <c r="A33" s="31" t="s">
        <v>9</v>
      </c>
      <c r="B33" s="41">
        <f>IF(B36-B22&gt;B32,B36-B22,B32)</f>
        <v>2069.0300000000002</v>
      </c>
      <c r="C33" s="15" t="s">
        <v>8</v>
      </c>
      <c r="D33" s="35">
        <v>-4</v>
      </c>
      <c r="E33" s="35">
        <f>IF(ABS(C8)&gt;ABS(C5),IF(H30="Izquierda",-C5,C5),IF(H30="Izquierda",C8,-C8))</f>
        <v>3.6</v>
      </c>
      <c r="F33" s="35">
        <f>IF(ABS(C8)&gt;ABS(C5),IF(H30="Derecha",-C5,C5),IF(H30="Derecha",C8,-C8))</f>
        <v>-3.6</v>
      </c>
      <c r="G33" s="36">
        <v>-4</v>
      </c>
      <c r="H33" s="42" t="str">
        <f t="shared" si="0"/>
        <v>Derecha</v>
      </c>
    </row>
    <row r="34" spans="1:8" x14ac:dyDescent="0.3">
      <c r="A34" s="32" t="s">
        <v>38</v>
      </c>
      <c r="B34" s="34">
        <v>2074.73</v>
      </c>
      <c r="C34" s="15"/>
      <c r="D34" s="35">
        <v>-4</v>
      </c>
      <c r="E34" s="23">
        <f>+E32*C7</f>
        <v>2.52</v>
      </c>
      <c r="F34" s="23">
        <f>+F32*C7</f>
        <v>-2.52</v>
      </c>
      <c r="G34" s="36">
        <v>-4</v>
      </c>
      <c r="H34" s="42" t="str">
        <f t="shared" si="0"/>
        <v>Derecha</v>
      </c>
    </row>
    <row r="35" spans="1:8" x14ac:dyDescent="0.3">
      <c r="A35" s="31" t="s">
        <v>7</v>
      </c>
      <c r="B35" s="41">
        <f>B34+B19</f>
        <v>2074.8355555555554</v>
      </c>
      <c r="C35" s="15" t="s">
        <v>6</v>
      </c>
      <c r="D35" s="35">
        <v>-4</v>
      </c>
      <c r="E35" s="35">
        <f>IF(H35="Izquierda",C4,-C4)</f>
        <v>2.5</v>
      </c>
      <c r="F35" s="35">
        <f>IF(H35="Derecha",C4,-C4)</f>
        <v>-2.5</v>
      </c>
      <c r="G35" s="36">
        <v>-4</v>
      </c>
      <c r="H35" s="42" t="str">
        <f t="shared" si="0"/>
        <v>Derecha</v>
      </c>
    </row>
    <row r="36" spans="1:8" x14ac:dyDescent="0.3">
      <c r="A36" s="31" t="s">
        <v>5</v>
      </c>
      <c r="B36" s="41">
        <f>B35+B15</f>
        <v>2088.0299999999997</v>
      </c>
      <c r="C36" s="15" t="s">
        <v>4</v>
      </c>
      <c r="D36" s="35">
        <v>-4</v>
      </c>
      <c r="E36" s="35">
        <f>IF(H36="Derecha",0,C4)</f>
        <v>0</v>
      </c>
      <c r="F36" s="35">
        <f>IF(H36="Derecha",C4,0)</f>
        <v>-2.5</v>
      </c>
      <c r="G36" s="36">
        <v>-4</v>
      </c>
      <c r="H36" s="42" t="str">
        <f t="shared" si="0"/>
        <v>Derecha</v>
      </c>
    </row>
    <row r="37" spans="1:8" x14ac:dyDescent="0.3">
      <c r="A37" s="31" t="s">
        <v>3</v>
      </c>
      <c r="B37" s="41">
        <f>B36+B14</f>
        <v>2101.2244444444441</v>
      </c>
      <c r="C37" s="15" t="s">
        <v>2</v>
      </c>
      <c r="D37" s="35">
        <v>-4</v>
      </c>
      <c r="E37" s="35">
        <f>+C4</f>
        <v>-2.5</v>
      </c>
      <c r="F37" s="35">
        <f>+C4</f>
        <v>-2.5</v>
      </c>
      <c r="G37" s="36">
        <v>-4</v>
      </c>
      <c r="H37" s="42" t="str">
        <f t="shared" si="0"/>
        <v>Derecha</v>
      </c>
    </row>
    <row r="38" spans="1:8" ht="15" thickBot="1" x14ac:dyDescent="0.35">
      <c r="A38" s="33" t="s">
        <v>1</v>
      </c>
      <c r="B38" s="43">
        <f>+B37</f>
        <v>2101.2244444444441</v>
      </c>
      <c r="C38" s="44" t="s">
        <v>0</v>
      </c>
      <c r="D38" s="45">
        <f>+C8</f>
        <v>-4</v>
      </c>
      <c r="E38" s="45">
        <f>+C4</f>
        <v>-2.5</v>
      </c>
      <c r="F38" s="45">
        <f>+C4</f>
        <v>-2.5</v>
      </c>
      <c r="G38" s="46">
        <f>+C8</f>
        <v>-4</v>
      </c>
      <c r="H38" s="47" t="str">
        <f t="shared" si="0"/>
        <v>Derecha</v>
      </c>
    </row>
    <row r="40" spans="1:8" x14ac:dyDescent="0.3">
      <c r="E40" s="8"/>
    </row>
    <row r="41" spans="1:8" x14ac:dyDescent="0.3">
      <c r="E41" s="17">
        <f>B19</f>
        <v>0.10555555555555429</v>
      </c>
      <c r="F41" s="20">
        <f>B20</f>
        <v>5.7000000000000011</v>
      </c>
    </row>
    <row r="46" spans="1:8" x14ac:dyDescent="0.3">
      <c r="H46" s="14">
        <f>C6*C5</f>
        <v>11.879999999999999</v>
      </c>
    </row>
    <row r="50" spans="1:8" x14ac:dyDescent="0.3">
      <c r="A50" s="13">
        <f>C6*ABS(C4)</f>
        <v>8.25</v>
      </c>
    </row>
    <row r="52" spans="1:8" x14ac:dyDescent="0.3">
      <c r="H52" s="14">
        <f>C6*C5</f>
        <v>11.879999999999999</v>
      </c>
    </row>
    <row r="54" spans="1:8" x14ac:dyDescent="0.3">
      <c r="C54" s="17">
        <f>B14</f>
        <v>13.194444444444445</v>
      </c>
      <c r="D54" s="17">
        <f>B15</f>
        <v>13.194444444444445</v>
      </c>
    </row>
    <row r="57" spans="1:8" x14ac:dyDescent="0.3">
      <c r="D57" s="20">
        <f>B12+B14</f>
        <v>32.194444444444443</v>
      </c>
    </row>
    <row r="65" spans="10:10" x14ac:dyDescent="0.3">
      <c r="J65" s="2"/>
    </row>
  </sheetData>
  <mergeCells count="1">
    <mergeCell ref="G16:H16"/>
  </mergeCells>
  <pageMargins left="0.7" right="0.7" top="0.75" bottom="0.75" header="0.3" footer="0.3"/>
  <pageSetup scale="75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J65"/>
  <sheetViews>
    <sheetView showGridLines="0" view="pageBreakPreview" topLeftCell="A22" zoomScale="98" zoomScaleNormal="91" zoomScaleSheetLayoutView="98" workbookViewId="0">
      <selection activeCell="B35" sqref="B35"/>
    </sheetView>
  </sheetViews>
  <sheetFormatPr baseColWidth="10" defaultColWidth="11.44140625" defaultRowHeight="14.4" x14ac:dyDescent="0.3"/>
  <cols>
    <col min="1" max="1" width="14.109375" style="10" customWidth="1"/>
    <col min="2" max="2" width="19" style="10" customWidth="1"/>
    <col min="3" max="3" width="21.6640625" style="10" bestFit="1" customWidth="1"/>
    <col min="4" max="4" width="11.44140625" style="10"/>
    <col min="5" max="5" width="12.44140625" style="10" customWidth="1"/>
    <col min="6" max="7" width="11.44140625" style="10"/>
    <col min="8" max="8" width="19.6640625" style="10" customWidth="1"/>
    <col min="9" max="9" width="19.88671875" style="10" bestFit="1" customWidth="1"/>
    <col min="10" max="16384" width="11.44140625" style="10"/>
  </cols>
  <sheetData>
    <row r="1" spans="1:8" ht="15" thickBot="1" x14ac:dyDescent="0.35">
      <c r="A1" s="7" t="s">
        <v>30</v>
      </c>
      <c r="B1" s="56">
        <v>8</v>
      </c>
      <c r="C1" s="6"/>
    </row>
    <row r="2" spans="1:8" ht="15.75" customHeight="1" x14ac:dyDescent="0.3">
      <c r="B2" s="52" t="s">
        <v>32</v>
      </c>
      <c r="C2" s="49">
        <v>200</v>
      </c>
    </row>
    <row r="3" spans="1:8" x14ac:dyDescent="0.3">
      <c r="B3" s="53" t="s">
        <v>31</v>
      </c>
      <c r="C3" s="50">
        <v>40</v>
      </c>
    </row>
    <row r="4" spans="1:8" x14ac:dyDescent="0.3">
      <c r="B4" s="53" t="s">
        <v>40</v>
      </c>
      <c r="C4" s="50">
        <v>-2.5</v>
      </c>
      <c r="E4" s="2"/>
      <c r="F4" s="2"/>
    </row>
    <row r="5" spans="1:8" x14ac:dyDescent="0.3">
      <c r="B5" s="53" t="s">
        <v>41</v>
      </c>
      <c r="C5" s="50">
        <v>4.5999999999999996</v>
      </c>
      <c r="E5" s="2"/>
      <c r="F5" s="2"/>
    </row>
    <row r="6" spans="1:8" x14ac:dyDescent="0.3">
      <c r="B6" s="53" t="s">
        <v>47</v>
      </c>
      <c r="C6" s="50">
        <v>3.3</v>
      </c>
      <c r="E6" s="2"/>
      <c r="F6" s="2"/>
    </row>
    <row r="7" spans="1:8" ht="15" customHeight="1" x14ac:dyDescent="0.3">
      <c r="B7" s="53" t="s">
        <v>39</v>
      </c>
      <c r="C7" s="51">
        <v>0.7</v>
      </c>
      <c r="E7" s="1"/>
      <c r="F7" s="1"/>
    </row>
    <row r="8" spans="1:8" x14ac:dyDescent="0.3">
      <c r="B8" s="53" t="s">
        <v>45</v>
      </c>
      <c r="C8" s="50">
        <v>-4</v>
      </c>
      <c r="E8" s="1"/>
      <c r="F8" s="1"/>
    </row>
    <row r="9" spans="1:8" x14ac:dyDescent="0.3">
      <c r="B9" s="53" t="s">
        <v>43</v>
      </c>
      <c r="C9" s="54">
        <f>IF(C5="BN",-4,IF(C5&gt;4,-C5,-4))</f>
        <v>-4.5999999999999996</v>
      </c>
      <c r="E9" s="1"/>
      <c r="F9" s="1"/>
    </row>
    <row r="10" spans="1:8" x14ac:dyDescent="0.3">
      <c r="B10" s="53" t="s">
        <v>44</v>
      </c>
      <c r="C10" s="54">
        <f>+C8</f>
        <v>-4</v>
      </c>
      <c r="D10" s="9"/>
      <c r="E10" s="58"/>
      <c r="F10" s="58"/>
    </row>
    <row r="11" spans="1:8" x14ac:dyDescent="0.3">
      <c r="A11" s="11"/>
      <c r="B11" s="11"/>
      <c r="C11" s="11"/>
      <c r="D11" s="11"/>
      <c r="E11" s="11"/>
      <c r="F11" s="11"/>
    </row>
    <row r="12" spans="1:8" ht="24.6" x14ac:dyDescent="0.55000000000000004">
      <c r="A12" s="16" t="s">
        <v>42</v>
      </c>
      <c r="B12" s="55">
        <v>24</v>
      </c>
      <c r="C12" s="12"/>
      <c r="D12" s="21"/>
      <c r="E12" s="22"/>
      <c r="F12" s="15"/>
    </row>
    <row r="13" spans="1:8" ht="15" thickBot="1" x14ac:dyDescent="0.35">
      <c r="A13" s="11"/>
      <c r="B13" s="11"/>
      <c r="D13" s="15"/>
      <c r="E13" s="15"/>
      <c r="F13" s="15"/>
    </row>
    <row r="14" spans="1:8" x14ac:dyDescent="0.3">
      <c r="A14" s="5" t="s">
        <v>29</v>
      </c>
      <c r="B14" s="57">
        <f>ABS(+B12/C5*C4)</f>
        <v>13.043478260869566</v>
      </c>
      <c r="C14" s="8"/>
      <c r="D14" s="23"/>
      <c r="E14" s="24"/>
      <c r="F14" s="15"/>
    </row>
    <row r="15" spans="1:8" x14ac:dyDescent="0.3">
      <c r="A15" s="4" t="s">
        <v>28</v>
      </c>
      <c r="B15" s="18">
        <f>B14</f>
        <v>13.043478260869566</v>
      </c>
      <c r="D15" s="23"/>
      <c r="E15" s="24"/>
      <c r="F15" s="15"/>
    </row>
    <row r="16" spans="1:8" x14ac:dyDescent="0.3">
      <c r="A16" s="4" t="s">
        <v>27</v>
      </c>
      <c r="B16" s="18">
        <f>B12-B15</f>
        <v>10.956521739130434</v>
      </c>
      <c r="C16" s="17">
        <f>SUM(B15:B16)</f>
        <v>24</v>
      </c>
      <c r="D16" s="23"/>
      <c r="E16" s="24"/>
      <c r="F16" s="24"/>
      <c r="G16" s="59"/>
      <c r="H16" s="59"/>
    </row>
    <row r="17" spans="1:8" x14ac:dyDescent="0.3">
      <c r="A17" s="4" t="s">
        <v>36</v>
      </c>
      <c r="B17" s="18">
        <f>+B12</f>
        <v>24</v>
      </c>
      <c r="D17" s="23"/>
      <c r="E17" s="24"/>
      <c r="F17" s="15"/>
    </row>
    <row r="18" spans="1:8" x14ac:dyDescent="0.3">
      <c r="A18" s="4" t="s">
        <v>33</v>
      </c>
      <c r="B18" s="54">
        <f>+B12*C7</f>
        <v>16.799999999999997</v>
      </c>
      <c r="D18" s="23"/>
      <c r="E18" s="24"/>
      <c r="F18" s="15"/>
    </row>
    <row r="19" spans="1:8" x14ac:dyDescent="0.3">
      <c r="A19" s="4" t="s">
        <v>34</v>
      </c>
      <c r="B19" s="18">
        <f>B18-B15</f>
        <v>3.7565217391304309</v>
      </c>
      <c r="D19" s="23"/>
      <c r="E19" s="24"/>
      <c r="F19" s="15"/>
    </row>
    <row r="20" spans="1:8" x14ac:dyDescent="0.3">
      <c r="A20" s="4" t="s">
        <v>35</v>
      </c>
      <c r="B20" s="18">
        <f>+B17-B18</f>
        <v>7.2000000000000028</v>
      </c>
      <c r="D20" s="23"/>
      <c r="E20" s="25"/>
      <c r="F20" s="15"/>
    </row>
    <row r="21" spans="1:8" x14ac:dyDescent="0.3">
      <c r="A21" s="4" t="s">
        <v>26</v>
      </c>
      <c r="B21" s="18">
        <f>(ABS(C10)-ABS(C4))*B17/C5</f>
        <v>7.8260869565217401</v>
      </c>
      <c r="D21" s="23"/>
      <c r="E21" s="24"/>
      <c r="F21" s="15"/>
    </row>
    <row r="22" spans="1:8" ht="15" thickBot="1" x14ac:dyDescent="0.35">
      <c r="A22" s="3" t="s">
        <v>25</v>
      </c>
      <c r="B22" s="19">
        <f>-C10*B17/C5</f>
        <v>20.869565217391305</v>
      </c>
      <c r="D22" s="23"/>
      <c r="E22" s="24"/>
      <c r="F22" s="15"/>
    </row>
    <row r="23" spans="1:8" ht="15" thickBot="1" x14ac:dyDescent="0.35">
      <c r="A23" s="11"/>
      <c r="B23" s="11"/>
    </row>
    <row r="24" spans="1:8" ht="15" thickBot="1" x14ac:dyDescent="0.35">
      <c r="A24" s="11"/>
      <c r="B24" s="11"/>
      <c r="D24" s="26" t="s">
        <v>22</v>
      </c>
      <c r="E24" s="27" t="s">
        <v>24</v>
      </c>
      <c r="F24" s="27" t="s">
        <v>23</v>
      </c>
      <c r="G24" s="28" t="s">
        <v>22</v>
      </c>
      <c r="H24" s="29" t="s">
        <v>21</v>
      </c>
    </row>
    <row r="25" spans="1:8" ht="15" customHeight="1" x14ac:dyDescent="0.3">
      <c r="A25" s="30" t="s">
        <v>20</v>
      </c>
      <c r="B25" s="37">
        <f>+B26</f>
        <v>2145.166521739131</v>
      </c>
      <c r="C25" s="38" t="s">
        <v>19</v>
      </c>
      <c r="D25" s="39">
        <f>+C8</f>
        <v>-4</v>
      </c>
      <c r="E25" s="39">
        <f>+C4</f>
        <v>-2.5</v>
      </c>
      <c r="F25" s="39">
        <f>+C4</f>
        <v>-2.5</v>
      </c>
      <c r="G25" s="40">
        <f>+C8</f>
        <v>-4</v>
      </c>
      <c r="H25" s="48" t="s">
        <v>46</v>
      </c>
    </row>
    <row r="26" spans="1:8" x14ac:dyDescent="0.3">
      <c r="A26" s="31" t="s">
        <v>18</v>
      </c>
      <c r="B26" s="41">
        <f>B27-B14</f>
        <v>2145.166521739131</v>
      </c>
      <c r="C26" s="15" t="s">
        <v>17</v>
      </c>
      <c r="D26" s="35">
        <v>-4</v>
      </c>
      <c r="E26" s="35">
        <f>+C4</f>
        <v>-2.5</v>
      </c>
      <c r="F26" s="35">
        <f>+C4</f>
        <v>-2.5</v>
      </c>
      <c r="G26" s="36">
        <v>-4</v>
      </c>
      <c r="H26" s="42" t="str">
        <f t="shared" ref="H26:H38" si="0">+H25</f>
        <v>Izquierda</v>
      </c>
    </row>
    <row r="27" spans="1:8" x14ac:dyDescent="0.3">
      <c r="A27" s="31" t="s">
        <v>16</v>
      </c>
      <c r="B27" s="41">
        <f>B28-B15</f>
        <v>2158.2100000000005</v>
      </c>
      <c r="C27" s="15" t="s">
        <v>4</v>
      </c>
      <c r="D27" s="35">
        <v>-4</v>
      </c>
      <c r="E27" s="35">
        <f>IF(H27="Derecha",0,C4)</f>
        <v>-2.5</v>
      </c>
      <c r="F27" s="35">
        <f>IF(H27="Derecha",C4,0)</f>
        <v>0</v>
      </c>
      <c r="G27" s="36">
        <v>-4</v>
      </c>
      <c r="H27" s="42" t="str">
        <f t="shared" si="0"/>
        <v>Izquierda</v>
      </c>
    </row>
    <row r="28" spans="1:8" x14ac:dyDescent="0.3">
      <c r="A28" s="31" t="s">
        <v>15</v>
      </c>
      <c r="B28" s="41">
        <f>B29-B19</f>
        <v>2171.25347826087</v>
      </c>
      <c r="C28" s="15" t="s">
        <v>6</v>
      </c>
      <c r="D28" s="35">
        <v>-4</v>
      </c>
      <c r="E28" s="35">
        <f>IF(H28="Derecha",-C4,C4)</f>
        <v>-2.5</v>
      </c>
      <c r="F28" s="35">
        <f>IF(H28="Derecha",C4,-C4)</f>
        <v>2.5</v>
      </c>
      <c r="G28" s="36">
        <v>-4</v>
      </c>
      <c r="H28" s="42" t="str">
        <f t="shared" si="0"/>
        <v>Izquierda</v>
      </c>
    </row>
    <row r="29" spans="1:8" x14ac:dyDescent="0.3">
      <c r="A29" s="32" t="s">
        <v>37</v>
      </c>
      <c r="B29" s="34">
        <v>2175.0100000000002</v>
      </c>
      <c r="C29" s="15"/>
      <c r="D29" s="35">
        <v>-4</v>
      </c>
      <c r="E29" s="23">
        <f>+E31*C7</f>
        <v>-3.2199999999999998</v>
      </c>
      <c r="F29" s="23">
        <f>+F31*C7</f>
        <v>3.2199999999999998</v>
      </c>
      <c r="G29" s="36">
        <v>-4</v>
      </c>
      <c r="H29" s="42" t="str">
        <f t="shared" si="0"/>
        <v>Izquierda</v>
      </c>
    </row>
    <row r="30" spans="1:8" x14ac:dyDescent="0.3">
      <c r="A30" s="31" t="s">
        <v>14</v>
      </c>
      <c r="B30" s="41">
        <f>IF(B27+B22&lt;B31,B27+B22,B31)</f>
        <v>2179.079565217392</v>
      </c>
      <c r="C30" s="15" t="s">
        <v>8</v>
      </c>
      <c r="D30" s="35">
        <v>-4</v>
      </c>
      <c r="E30" s="35">
        <f>IF(ABS(C8)&gt;ABS(C5),IF(H30="Izquierda",-C5,C5),IF(H30="Izquierda",C8,-C8))</f>
        <v>-4</v>
      </c>
      <c r="F30" s="35">
        <f>IF(ABS(C8)&gt;ABS(C5),IF(H30="Derecha",-C5,C5),IF(H30="Derecha",C8,-C8))</f>
        <v>4</v>
      </c>
      <c r="G30" s="36">
        <v>-4</v>
      </c>
      <c r="H30" s="42" t="str">
        <f t="shared" si="0"/>
        <v>Izquierda</v>
      </c>
    </row>
    <row r="31" spans="1:8" x14ac:dyDescent="0.3">
      <c r="A31" s="31" t="s">
        <v>13</v>
      </c>
      <c r="B31" s="41">
        <f>B29+B20</f>
        <v>2182.21</v>
      </c>
      <c r="C31" s="15" t="s">
        <v>12</v>
      </c>
      <c r="D31" s="35">
        <f>IF(H31="Izquierda",C9,C10)</f>
        <v>-4.5999999999999996</v>
      </c>
      <c r="E31" s="35">
        <f>IF(H31="Derecha",C5,-C5)</f>
        <v>-4.5999999999999996</v>
      </c>
      <c r="F31" s="35">
        <f>IF(H31="Derecha",-C5,C5)</f>
        <v>4.5999999999999996</v>
      </c>
      <c r="G31" s="36">
        <f>IF(H31="Derecha",C9,C10)</f>
        <v>-4</v>
      </c>
      <c r="H31" s="42" t="str">
        <f t="shared" si="0"/>
        <v>Izquierda</v>
      </c>
    </row>
    <row r="32" spans="1:8" x14ac:dyDescent="0.3">
      <c r="A32" s="31" t="s">
        <v>11</v>
      </c>
      <c r="B32" s="41">
        <f>B34-B20</f>
        <v>2245.2600000000002</v>
      </c>
      <c r="C32" s="15" t="s">
        <v>10</v>
      </c>
      <c r="D32" s="35">
        <f>IF(H31="Izquierda",C9,C10)</f>
        <v>-4.5999999999999996</v>
      </c>
      <c r="E32" s="35">
        <f>IF(H32="Derecha",C5,-C5)</f>
        <v>-4.5999999999999996</v>
      </c>
      <c r="F32" s="35">
        <f>IF(H32="Derecha",-C5,C5)</f>
        <v>4.5999999999999996</v>
      </c>
      <c r="G32" s="36">
        <f>IF(H31="Derecha",C9,C10)</f>
        <v>-4</v>
      </c>
      <c r="H32" s="42" t="str">
        <f t="shared" si="0"/>
        <v>Izquierda</v>
      </c>
    </row>
    <row r="33" spans="1:8" x14ac:dyDescent="0.3">
      <c r="A33" s="31" t="s">
        <v>9</v>
      </c>
      <c r="B33" s="41">
        <f>IF(B36-B22&gt;B32,B36-B22,B32)</f>
        <v>2248.3904347826083</v>
      </c>
      <c r="C33" s="15" t="s">
        <v>8</v>
      </c>
      <c r="D33" s="35">
        <v>-4</v>
      </c>
      <c r="E33" s="35">
        <f>IF(ABS(C8)&gt;ABS(C5),IF(H30="Izquierda",-C5,C5),IF(H30="Izquierda",C8,-C8))</f>
        <v>-4</v>
      </c>
      <c r="F33" s="35">
        <f>IF(ABS(C8)&gt;ABS(C5),IF(H30="Derecha",-C5,C5),IF(H30="Derecha",C8,-C8))</f>
        <v>4</v>
      </c>
      <c r="G33" s="36">
        <v>-4</v>
      </c>
      <c r="H33" s="42" t="str">
        <f t="shared" si="0"/>
        <v>Izquierda</v>
      </c>
    </row>
    <row r="34" spans="1:8" x14ac:dyDescent="0.3">
      <c r="A34" s="32" t="s">
        <v>38</v>
      </c>
      <c r="B34" s="34">
        <v>2252.46</v>
      </c>
      <c r="C34" s="15"/>
      <c r="D34" s="35">
        <v>-4</v>
      </c>
      <c r="E34" s="23">
        <f>+E32*C7</f>
        <v>-3.2199999999999998</v>
      </c>
      <c r="F34" s="23">
        <f>+F32*C7</f>
        <v>3.2199999999999998</v>
      </c>
      <c r="G34" s="36">
        <v>-4</v>
      </c>
      <c r="H34" s="42" t="str">
        <f t="shared" si="0"/>
        <v>Izquierda</v>
      </c>
    </row>
    <row r="35" spans="1:8" x14ac:dyDescent="0.3">
      <c r="A35" s="31" t="s">
        <v>7</v>
      </c>
      <c r="B35" s="41">
        <f>B34+B19</f>
        <v>2256.2165217391303</v>
      </c>
      <c r="C35" s="15" t="s">
        <v>6</v>
      </c>
      <c r="D35" s="35">
        <v>-4</v>
      </c>
      <c r="E35" s="35">
        <f>IF(H35="Izquierda",C4,-C4)</f>
        <v>-2.5</v>
      </c>
      <c r="F35" s="35">
        <f>IF(H35="Derecha",C4,-C4)</f>
        <v>2.5</v>
      </c>
      <c r="G35" s="36">
        <v>-4</v>
      </c>
      <c r="H35" s="42" t="str">
        <f t="shared" si="0"/>
        <v>Izquierda</v>
      </c>
    </row>
    <row r="36" spans="1:8" x14ac:dyDescent="0.3">
      <c r="A36" s="31" t="s">
        <v>5</v>
      </c>
      <c r="B36" s="41">
        <f>B35+B15</f>
        <v>2269.2599999999998</v>
      </c>
      <c r="C36" s="15" t="s">
        <v>4</v>
      </c>
      <c r="D36" s="35">
        <v>-4</v>
      </c>
      <c r="E36" s="35">
        <f>IF(H36="Derecha",0,C4)</f>
        <v>-2.5</v>
      </c>
      <c r="F36" s="35">
        <f>IF(H36="Derecha",C4,0)</f>
        <v>0</v>
      </c>
      <c r="G36" s="36">
        <v>-4</v>
      </c>
      <c r="H36" s="42" t="str">
        <f t="shared" si="0"/>
        <v>Izquierda</v>
      </c>
    </row>
    <row r="37" spans="1:8" x14ac:dyDescent="0.3">
      <c r="A37" s="31" t="s">
        <v>3</v>
      </c>
      <c r="B37" s="41">
        <f>B36+B14</f>
        <v>2282.3034782608693</v>
      </c>
      <c r="C37" s="15" t="s">
        <v>2</v>
      </c>
      <c r="D37" s="35">
        <v>-4</v>
      </c>
      <c r="E37" s="35">
        <f>+C4</f>
        <v>-2.5</v>
      </c>
      <c r="F37" s="35">
        <f>+C4</f>
        <v>-2.5</v>
      </c>
      <c r="G37" s="36">
        <v>-4</v>
      </c>
      <c r="H37" s="42" t="str">
        <f t="shared" si="0"/>
        <v>Izquierda</v>
      </c>
    </row>
    <row r="38" spans="1:8" ht="15" thickBot="1" x14ac:dyDescent="0.35">
      <c r="A38" s="33" t="s">
        <v>1</v>
      </c>
      <c r="B38" s="43">
        <f>+B37</f>
        <v>2282.3034782608693</v>
      </c>
      <c r="C38" s="44" t="s">
        <v>0</v>
      </c>
      <c r="D38" s="45">
        <f>+C8</f>
        <v>-4</v>
      </c>
      <c r="E38" s="45">
        <f>+C4</f>
        <v>-2.5</v>
      </c>
      <c r="F38" s="45">
        <f>+C4</f>
        <v>-2.5</v>
      </c>
      <c r="G38" s="46">
        <f>+C8</f>
        <v>-4</v>
      </c>
      <c r="H38" s="47" t="str">
        <f t="shared" si="0"/>
        <v>Izquierda</v>
      </c>
    </row>
    <row r="40" spans="1:8" x14ac:dyDescent="0.3">
      <c r="E40" s="8"/>
    </row>
    <row r="41" spans="1:8" x14ac:dyDescent="0.3">
      <c r="E41" s="17">
        <f>B19</f>
        <v>3.7565217391304309</v>
      </c>
      <c r="F41" s="20">
        <f>B20</f>
        <v>7.2000000000000028</v>
      </c>
    </row>
    <row r="46" spans="1:8" x14ac:dyDescent="0.3">
      <c r="H46" s="14">
        <f>C6*C5</f>
        <v>15.179999999999998</v>
      </c>
    </row>
    <row r="50" spans="1:8" x14ac:dyDescent="0.3">
      <c r="A50" s="13">
        <f>C6*ABS(C4)</f>
        <v>8.25</v>
      </c>
    </row>
    <row r="52" spans="1:8" x14ac:dyDescent="0.3">
      <c r="H52" s="14">
        <f>C6*C5</f>
        <v>15.179999999999998</v>
      </c>
    </row>
    <row r="54" spans="1:8" x14ac:dyDescent="0.3">
      <c r="C54" s="17">
        <f>B14</f>
        <v>13.043478260869566</v>
      </c>
      <c r="D54" s="17">
        <f>B15</f>
        <v>13.043478260869566</v>
      </c>
    </row>
    <row r="57" spans="1:8" x14ac:dyDescent="0.3">
      <c r="D57" s="20">
        <f>B12+B14</f>
        <v>37.043478260869563</v>
      </c>
    </row>
    <row r="65" spans="10:10" x14ac:dyDescent="0.3">
      <c r="J65" s="2"/>
    </row>
  </sheetData>
  <mergeCells count="1">
    <mergeCell ref="G16:H16"/>
  </mergeCells>
  <pageMargins left="0.7" right="0.7" top="0.75" bottom="0.75" header="0.3" footer="0.3"/>
  <pageSetup scale="75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J65"/>
  <sheetViews>
    <sheetView showGridLines="0" view="pageBreakPreview" topLeftCell="A19" zoomScale="98" zoomScaleNormal="91" zoomScaleSheetLayoutView="98" workbookViewId="0">
      <selection activeCell="B35" sqref="B35"/>
    </sheetView>
  </sheetViews>
  <sheetFormatPr baseColWidth="10" defaultColWidth="11.44140625" defaultRowHeight="14.4" x14ac:dyDescent="0.3"/>
  <cols>
    <col min="1" max="1" width="14.109375" style="10" customWidth="1"/>
    <col min="2" max="2" width="19" style="10" customWidth="1"/>
    <col min="3" max="3" width="21.6640625" style="10" bestFit="1" customWidth="1"/>
    <col min="4" max="4" width="11.44140625" style="10"/>
    <col min="5" max="5" width="12.44140625" style="10" customWidth="1"/>
    <col min="6" max="7" width="11.44140625" style="10"/>
    <col min="8" max="8" width="19.6640625" style="10" customWidth="1"/>
    <col min="9" max="9" width="19.88671875" style="10" bestFit="1" customWidth="1"/>
    <col min="10" max="16384" width="11.44140625" style="10"/>
  </cols>
  <sheetData>
    <row r="1" spans="1:8" ht="15" thickBot="1" x14ac:dyDescent="0.35">
      <c r="A1" s="7" t="s">
        <v>30</v>
      </c>
      <c r="B1" s="56">
        <v>9</v>
      </c>
      <c r="C1" s="6"/>
    </row>
    <row r="2" spans="1:8" ht="15.75" customHeight="1" x14ac:dyDescent="0.3">
      <c r="B2" s="52" t="s">
        <v>32</v>
      </c>
      <c r="C2" s="49">
        <v>100</v>
      </c>
    </row>
    <row r="3" spans="1:8" x14ac:dyDescent="0.3">
      <c r="B3" s="53" t="s">
        <v>31</v>
      </c>
      <c r="C3" s="50">
        <v>40</v>
      </c>
    </row>
    <row r="4" spans="1:8" x14ac:dyDescent="0.3">
      <c r="B4" s="53" t="s">
        <v>40</v>
      </c>
      <c r="C4" s="50">
        <v>-2.5</v>
      </c>
      <c r="E4" s="2"/>
      <c r="F4" s="2"/>
    </row>
    <row r="5" spans="1:8" x14ac:dyDescent="0.3">
      <c r="B5" s="53" t="s">
        <v>41</v>
      </c>
      <c r="C5" s="50">
        <v>6.6</v>
      </c>
      <c r="E5" s="2"/>
      <c r="F5" s="2"/>
    </row>
    <row r="6" spans="1:8" x14ac:dyDescent="0.3">
      <c r="B6" s="53" t="s">
        <v>47</v>
      </c>
      <c r="C6" s="50">
        <v>3.3</v>
      </c>
      <c r="E6" s="2"/>
      <c r="F6" s="2"/>
    </row>
    <row r="7" spans="1:8" ht="15" customHeight="1" x14ac:dyDescent="0.3">
      <c r="B7" s="53" t="s">
        <v>39</v>
      </c>
      <c r="C7" s="51">
        <v>0.7</v>
      </c>
      <c r="E7" s="1"/>
      <c r="F7" s="1"/>
    </row>
    <row r="8" spans="1:8" x14ac:dyDescent="0.3">
      <c r="B8" s="53" t="s">
        <v>45</v>
      </c>
      <c r="C8" s="50">
        <v>-4</v>
      </c>
      <c r="E8" s="1"/>
      <c r="F8" s="1"/>
    </row>
    <row r="9" spans="1:8" x14ac:dyDescent="0.3">
      <c r="B9" s="53" t="s">
        <v>43</v>
      </c>
      <c r="C9" s="54">
        <f>IF(C5="BN",-4,IF(C5&gt;4,-C5,-4))</f>
        <v>-6.6</v>
      </c>
      <c r="E9" s="1"/>
      <c r="F9" s="1"/>
    </row>
    <row r="10" spans="1:8" x14ac:dyDescent="0.3">
      <c r="B10" s="53" t="s">
        <v>44</v>
      </c>
      <c r="C10" s="54">
        <f>+C8</f>
        <v>-4</v>
      </c>
      <c r="D10" s="9"/>
      <c r="E10" s="2"/>
      <c r="F10" s="2"/>
    </row>
    <row r="11" spans="1:8" x14ac:dyDescent="0.3">
      <c r="A11" s="11"/>
      <c r="B11" s="11"/>
      <c r="C11" s="11"/>
      <c r="D11" s="11"/>
    </row>
    <row r="12" spans="1:8" ht="24.6" x14ac:dyDescent="0.55000000000000004">
      <c r="A12" s="16" t="s">
        <v>42</v>
      </c>
      <c r="B12" s="55">
        <v>34</v>
      </c>
      <c r="C12" s="12"/>
      <c r="D12" s="21"/>
      <c r="E12" s="22"/>
      <c r="F12" s="15"/>
    </row>
    <row r="13" spans="1:8" ht="15" thickBot="1" x14ac:dyDescent="0.35">
      <c r="A13" s="11"/>
      <c r="B13" s="11"/>
      <c r="D13" s="15"/>
      <c r="E13" s="15"/>
      <c r="F13" s="15"/>
    </row>
    <row r="14" spans="1:8" x14ac:dyDescent="0.3">
      <c r="A14" s="5" t="s">
        <v>29</v>
      </c>
      <c r="B14" s="57">
        <f>ABS(+B12/C5*C4)</f>
        <v>12.878787878787879</v>
      </c>
      <c r="C14" s="8"/>
      <c r="D14" s="23"/>
      <c r="E14" s="24"/>
      <c r="F14" s="15"/>
    </row>
    <row r="15" spans="1:8" x14ac:dyDescent="0.3">
      <c r="A15" s="4" t="s">
        <v>28</v>
      </c>
      <c r="B15" s="18">
        <f>B14</f>
        <v>12.878787878787879</v>
      </c>
      <c r="D15" s="23"/>
      <c r="E15" s="24"/>
      <c r="F15" s="15"/>
    </row>
    <row r="16" spans="1:8" x14ac:dyDescent="0.3">
      <c r="A16" s="4" t="s">
        <v>27</v>
      </c>
      <c r="B16" s="18">
        <f>B12-B15</f>
        <v>21.121212121212121</v>
      </c>
      <c r="C16" s="17">
        <f>SUM(B15:B16)</f>
        <v>34</v>
      </c>
      <c r="D16" s="23"/>
      <c r="E16" s="24"/>
      <c r="F16" s="24"/>
      <c r="G16" s="59"/>
      <c r="H16" s="59"/>
    </row>
    <row r="17" spans="1:8" x14ac:dyDescent="0.3">
      <c r="A17" s="4" t="s">
        <v>36</v>
      </c>
      <c r="B17" s="18">
        <f>+B12</f>
        <v>34</v>
      </c>
      <c r="D17" s="23"/>
      <c r="E17" s="24"/>
      <c r="F17" s="15"/>
    </row>
    <row r="18" spans="1:8" x14ac:dyDescent="0.3">
      <c r="A18" s="4" t="s">
        <v>33</v>
      </c>
      <c r="B18" s="54">
        <f>+B12*C7</f>
        <v>23.799999999999997</v>
      </c>
      <c r="D18" s="23"/>
      <c r="E18" s="24"/>
      <c r="F18" s="15"/>
    </row>
    <row r="19" spans="1:8" x14ac:dyDescent="0.3">
      <c r="A19" s="4" t="s">
        <v>34</v>
      </c>
      <c r="B19" s="18">
        <f>B18-B15</f>
        <v>10.921212121212118</v>
      </c>
      <c r="D19" s="23"/>
      <c r="E19" s="24"/>
      <c r="F19" s="15"/>
    </row>
    <row r="20" spans="1:8" x14ac:dyDescent="0.3">
      <c r="A20" s="4" t="s">
        <v>35</v>
      </c>
      <c r="B20" s="18">
        <f>+B17-B18</f>
        <v>10.200000000000003</v>
      </c>
      <c r="D20" s="23"/>
      <c r="E20" s="25"/>
      <c r="F20" s="15"/>
    </row>
    <row r="21" spans="1:8" x14ac:dyDescent="0.3">
      <c r="A21" s="4" t="s">
        <v>26</v>
      </c>
      <c r="B21" s="18">
        <f>(ABS(C10)-ABS(C4))*B17/C5</f>
        <v>7.7272727272727275</v>
      </c>
      <c r="D21" s="23"/>
      <c r="E21" s="24"/>
      <c r="F21" s="15"/>
    </row>
    <row r="22" spans="1:8" ht="15" thickBot="1" x14ac:dyDescent="0.35">
      <c r="A22" s="3" t="s">
        <v>25</v>
      </c>
      <c r="B22" s="19">
        <f>-C10*B17/C5</f>
        <v>20.606060606060606</v>
      </c>
      <c r="D22" s="23"/>
      <c r="E22" s="24"/>
      <c r="F22" s="15"/>
    </row>
    <row r="23" spans="1:8" ht="15" thickBot="1" x14ac:dyDescent="0.35">
      <c r="A23" s="11"/>
      <c r="B23" s="11"/>
    </row>
    <row r="24" spans="1:8" ht="15" thickBot="1" x14ac:dyDescent="0.35">
      <c r="A24" s="11"/>
      <c r="B24" s="11"/>
      <c r="D24" s="26" t="s">
        <v>22</v>
      </c>
      <c r="E24" s="27" t="s">
        <v>24</v>
      </c>
      <c r="F24" s="27" t="s">
        <v>23</v>
      </c>
      <c r="G24" s="28" t="s">
        <v>22</v>
      </c>
      <c r="H24" s="29" t="s">
        <v>21</v>
      </c>
    </row>
    <row r="25" spans="1:8" ht="15" customHeight="1" x14ac:dyDescent="0.3">
      <c r="A25" s="30" t="s">
        <v>20</v>
      </c>
      <c r="B25" s="37">
        <f>+B26</f>
        <v>2379.9812121212117</v>
      </c>
      <c r="C25" s="38" t="s">
        <v>19</v>
      </c>
      <c r="D25" s="39">
        <f>+C8</f>
        <v>-4</v>
      </c>
      <c r="E25" s="39">
        <f>+C4</f>
        <v>-2.5</v>
      </c>
      <c r="F25" s="39">
        <f>+C4</f>
        <v>-2.5</v>
      </c>
      <c r="G25" s="40">
        <f>+C8</f>
        <v>-4</v>
      </c>
      <c r="H25" s="48" t="s">
        <v>48</v>
      </c>
    </row>
    <row r="26" spans="1:8" x14ac:dyDescent="0.3">
      <c r="A26" s="31" t="s">
        <v>18</v>
      </c>
      <c r="B26" s="41">
        <f>B27-B14</f>
        <v>2379.9812121212117</v>
      </c>
      <c r="C26" s="15" t="s">
        <v>17</v>
      </c>
      <c r="D26" s="35">
        <v>-4</v>
      </c>
      <c r="E26" s="35">
        <f>+C4</f>
        <v>-2.5</v>
      </c>
      <c r="F26" s="35">
        <f>+C4</f>
        <v>-2.5</v>
      </c>
      <c r="G26" s="36">
        <v>-4</v>
      </c>
      <c r="H26" s="42" t="str">
        <f t="shared" ref="H26:H38" si="0">+H25</f>
        <v>Derecha</v>
      </c>
    </row>
    <row r="27" spans="1:8" x14ac:dyDescent="0.3">
      <c r="A27" s="31" t="s">
        <v>16</v>
      </c>
      <c r="B27" s="41">
        <f>B28-B15</f>
        <v>2392.8599999999997</v>
      </c>
      <c r="C27" s="15" t="s">
        <v>4</v>
      </c>
      <c r="D27" s="35">
        <v>-4</v>
      </c>
      <c r="E27" s="35">
        <f>IF(H27="Derecha",0,C4)</f>
        <v>0</v>
      </c>
      <c r="F27" s="35">
        <f>IF(H27="Derecha",C4,0)</f>
        <v>-2.5</v>
      </c>
      <c r="G27" s="36">
        <v>-4</v>
      </c>
      <c r="H27" s="42" t="str">
        <f t="shared" si="0"/>
        <v>Derecha</v>
      </c>
    </row>
    <row r="28" spans="1:8" x14ac:dyDescent="0.3">
      <c r="A28" s="31" t="s">
        <v>15</v>
      </c>
      <c r="B28" s="41">
        <f>B29-B19</f>
        <v>2405.7387878787877</v>
      </c>
      <c r="C28" s="15" t="s">
        <v>6</v>
      </c>
      <c r="D28" s="35">
        <v>-4</v>
      </c>
      <c r="E28" s="35">
        <f>IF(H28="Derecha",-C4,C4)</f>
        <v>2.5</v>
      </c>
      <c r="F28" s="35">
        <f>IF(H28="Derecha",C4,-C4)</f>
        <v>-2.5</v>
      </c>
      <c r="G28" s="36">
        <v>-4</v>
      </c>
      <c r="H28" s="42" t="str">
        <f t="shared" si="0"/>
        <v>Derecha</v>
      </c>
    </row>
    <row r="29" spans="1:8" x14ac:dyDescent="0.3">
      <c r="A29" s="32" t="s">
        <v>37</v>
      </c>
      <c r="B29" s="34">
        <v>2416.66</v>
      </c>
      <c r="C29" s="15"/>
      <c r="D29" s="35">
        <v>-4</v>
      </c>
      <c r="E29" s="23">
        <f>+E31*C7</f>
        <v>4.6199999999999992</v>
      </c>
      <c r="F29" s="23">
        <f>+F31*C7</f>
        <v>-4.6199999999999992</v>
      </c>
      <c r="G29" s="36">
        <v>-4</v>
      </c>
      <c r="H29" s="42" t="str">
        <f t="shared" si="0"/>
        <v>Derecha</v>
      </c>
    </row>
    <row r="30" spans="1:8" x14ac:dyDescent="0.3">
      <c r="A30" s="31" t="s">
        <v>14</v>
      </c>
      <c r="B30" s="41">
        <f>IF(B27+B22&lt;B31,B27+B22,B31)</f>
        <v>2413.4660606060602</v>
      </c>
      <c r="C30" s="15" t="s">
        <v>8</v>
      </c>
      <c r="D30" s="35">
        <v>-4</v>
      </c>
      <c r="E30" s="35">
        <f>IF(ABS(C8)&gt;ABS(C5),IF(H30="Izquierda",-C5,C5),IF(H30="Izquierda",C8,-C8))</f>
        <v>4</v>
      </c>
      <c r="F30" s="35">
        <f>IF(ABS(C8)&gt;ABS(C5),IF(H30="Derecha",-C5,C5),IF(H30="Derecha",C8,-C8))</f>
        <v>-4</v>
      </c>
      <c r="G30" s="36">
        <v>-4</v>
      </c>
      <c r="H30" s="42" t="str">
        <f t="shared" si="0"/>
        <v>Derecha</v>
      </c>
    </row>
    <row r="31" spans="1:8" x14ac:dyDescent="0.3">
      <c r="A31" s="31" t="s">
        <v>13</v>
      </c>
      <c r="B31" s="41">
        <f>B29+B20</f>
        <v>2426.8599999999997</v>
      </c>
      <c r="C31" s="15" t="s">
        <v>12</v>
      </c>
      <c r="D31" s="35">
        <f>IF(H31="Izquierda",C9,C10)</f>
        <v>-4</v>
      </c>
      <c r="E31" s="35">
        <f>IF(H31="Derecha",C5,-C5)</f>
        <v>6.6</v>
      </c>
      <c r="F31" s="35">
        <f>IF(H31="Derecha",-C5,C5)</f>
        <v>-6.6</v>
      </c>
      <c r="G31" s="36">
        <f>IF(H31="Derecha",C9,C10)</f>
        <v>-6.6</v>
      </c>
      <c r="H31" s="42" t="str">
        <f t="shared" si="0"/>
        <v>Derecha</v>
      </c>
    </row>
    <row r="32" spans="1:8" x14ac:dyDescent="0.3">
      <c r="A32" s="31" t="s">
        <v>11</v>
      </c>
      <c r="B32" s="41">
        <f>B34-B20</f>
        <v>2478.2200000000003</v>
      </c>
      <c r="C32" s="15" t="s">
        <v>10</v>
      </c>
      <c r="D32" s="35">
        <f>IF(H31="Izquierda",C9,C10)</f>
        <v>-4</v>
      </c>
      <c r="E32" s="35">
        <f>IF(H32="Derecha",C5,-C5)</f>
        <v>6.6</v>
      </c>
      <c r="F32" s="35">
        <f>IF(H32="Derecha",-C5,C5)</f>
        <v>-6.6</v>
      </c>
      <c r="G32" s="36">
        <f>IF(H31="Derecha",C9,C10)</f>
        <v>-6.6</v>
      </c>
      <c r="H32" s="42" t="str">
        <f t="shared" si="0"/>
        <v>Derecha</v>
      </c>
    </row>
    <row r="33" spans="1:8" x14ac:dyDescent="0.3">
      <c r="A33" s="31" t="s">
        <v>9</v>
      </c>
      <c r="B33" s="41">
        <f>IF(B36-B22&gt;B32,B36-B22,B32)</f>
        <v>2491.6139393939397</v>
      </c>
      <c r="C33" s="15" t="s">
        <v>8</v>
      </c>
      <c r="D33" s="35">
        <v>-4</v>
      </c>
      <c r="E33" s="35">
        <f>IF(ABS(C8)&gt;ABS(C5),IF(H30="Izquierda",-C5,C5),IF(H30="Izquierda",C8,-C8))</f>
        <v>4</v>
      </c>
      <c r="F33" s="35">
        <f>IF(ABS(C8)&gt;ABS(C5),IF(H30="Derecha",-C5,C5),IF(H30="Derecha",C8,-C8))</f>
        <v>-4</v>
      </c>
      <c r="G33" s="36">
        <v>-4</v>
      </c>
      <c r="H33" s="42" t="str">
        <f t="shared" si="0"/>
        <v>Derecha</v>
      </c>
    </row>
    <row r="34" spans="1:8" x14ac:dyDescent="0.3">
      <c r="A34" s="32" t="s">
        <v>38</v>
      </c>
      <c r="B34" s="34">
        <v>2488.42</v>
      </c>
      <c r="C34" s="15"/>
      <c r="D34" s="35">
        <v>-4</v>
      </c>
      <c r="E34" s="23">
        <f>+E32*C7</f>
        <v>4.6199999999999992</v>
      </c>
      <c r="F34" s="23">
        <f>+F32*C7</f>
        <v>-4.6199999999999992</v>
      </c>
      <c r="G34" s="36">
        <v>-4</v>
      </c>
      <c r="H34" s="42" t="str">
        <f t="shared" si="0"/>
        <v>Derecha</v>
      </c>
    </row>
    <row r="35" spans="1:8" x14ac:dyDescent="0.3">
      <c r="A35" s="31" t="s">
        <v>7</v>
      </c>
      <c r="B35" s="41">
        <f>B34+B19</f>
        <v>2499.3412121212123</v>
      </c>
      <c r="C35" s="15" t="s">
        <v>6</v>
      </c>
      <c r="D35" s="35">
        <v>-4</v>
      </c>
      <c r="E35" s="35">
        <f>IF(H35="Izquierda",C4,-C4)</f>
        <v>2.5</v>
      </c>
      <c r="F35" s="35">
        <f>IF(H35="Derecha",C4,-C4)</f>
        <v>-2.5</v>
      </c>
      <c r="G35" s="36">
        <v>-4</v>
      </c>
      <c r="H35" s="42" t="str">
        <f t="shared" si="0"/>
        <v>Derecha</v>
      </c>
    </row>
    <row r="36" spans="1:8" x14ac:dyDescent="0.3">
      <c r="A36" s="31" t="s">
        <v>5</v>
      </c>
      <c r="B36" s="41">
        <f>B35+B15</f>
        <v>2512.2200000000003</v>
      </c>
      <c r="C36" s="15" t="s">
        <v>4</v>
      </c>
      <c r="D36" s="35">
        <v>-4</v>
      </c>
      <c r="E36" s="35">
        <f>IF(H36="Derecha",0,C4)</f>
        <v>0</v>
      </c>
      <c r="F36" s="35">
        <f>IF(H36="Derecha",C4,0)</f>
        <v>-2.5</v>
      </c>
      <c r="G36" s="36">
        <v>-4</v>
      </c>
      <c r="H36" s="42" t="str">
        <f t="shared" si="0"/>
        <v>Derecha</v>
      </c>
    </row>
    <row r="37" spans="1:8" x14ac:dyDescent="0.3">
      <c r="A37" s="31" t="s">
        <v>3</v>
      </c>
      <c r="B37" s="41">
        <f>B36+B14</f>
        <v>2525.0987878787882</v>
      </c>
      <c r="C37" s="15" t="s">
        <v>2</v>
      </c>
      <c r="D37" s="35">
        <v>-4</v>
      </c>
      <c r="E37" s="35">
        <f>+C4</f>
        <v>-2.5</v>
      </c>
      <c r="F37" s="35">
        <f>+C4</f>
        <v>-2.5</v>
      </c>
      <c r="G37" s="36">
        <v>-4</v>
      </c>
      <c r="H37" s="42" t="str">
        <f t="shared" si="0"/>
        <v>Derecha</v>
      </c>
    </row>
    <row r="38" spans="1:8" ht="15" thickBot="1" x14ac:dyDescent="0.35">
      <c r="A38" s="33" t="s">
        <v>1</v>
      </c>
      <c r="B38" s="43">
        <f>+B37</f>
        <v>2525.0987878787882</v>
      </c>
      <c r="C38" s="44" t="s">
        <v>0</v>
      </c>
      <c r="D38" s="45">
        <f>+C8</f>
        <v>-4</v>
      </c>
      <c r="E38" s="45">
        <f>+C4</f>
        <v>-2.5</v>
      </c>
      <c r="F38" s="45">
        <f>+C4</f>
        <v>-2.5</v>
      </c>
      <c r="G38" s="46">
        <f>+C8</f>
        <v>-4</v>
      </c>
      <c r="H38" s="47" t="str">
        <f t="shared" si="0"/>
        <v>Derecha</v>
      </c>
    </row>
    <row r="40" spans="1:8" x14ac:dyDescent="0.3">
      <c r="E40" s="8"/>
    </row>
    <row r="41" spans="1:8" x14ac:dyDescent="0.3">
      <c r="E41" s="17">
        <f>B19</f>
        <v>10.921212121212118</v>
      </c>
      <c r="F41" s="20">
        <f>B20</f>
        <v>10.200000000000003</v>
      </c>
    </row>
    <row r="46" spans="1:8" x14ac:dyDescent="0.3">
      <c r="H46" s="14">
        <f>C6*C5</f>
        <v>21.779999999999998</v>
      </c>
    </row>
    <row r="50" spans="1:8" x14ac:dyDescent="0.3">
      <c r="A50" s="13">
        <f>C6*ABS(C4)</f>
        <v>8.25</v>
      </c>
    </row>
    <row r="52" spans="1:8" x14ac:dyDescent="0.3">
      <c r="H52" s="14">
        <f>C6*C5</f>
        <v>21.779999999999998</v>
      </c>
    </row>
    <row r="54" spans="1:8" x14ac:dyDescent="0.3">
      <c r="C54" s="17">
        <f>B14</f>
        <v>12.878787878787879</v>
      </c>
      <c r="D54" s="17">
        <f>B15</f>
        <v>12.878787878787879</v>
      </c>
    </row>
    <row r="57" spans="1:8" x14ac:dyDescent="0.3">
      <c r="D57" s="20">
        <f>B12+B14</f>
        <v>46.878787878787875</v>
      </c>
    </row>
    <row r="65" spans="10:10" x14ac:dyDescent="0.3">
      <c r="J65" s="2"/>
    </row>
  </sheetData>
  <mergeCells count="1">
    <mergeCell ref="G16:H16"/>
  </mergeCells>
  <pageMargins left="0.7" right="0.7" top="0.75" bottom="0.75" header="0.3" footer="0.3"/>
  <pageSetup scale="75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J65"/>
  <sheetViews>
    <sheetView showGridLines="0" view="pageBreakPreview" topLeftCell="A16" zoomScale="98" zoomScaleNormal="91" zoomScaleSheetLayoutView="98" workbookViewId="0">
      <selection activeCell="B35" sqref="B35"/>
    </sheetView>
  </sheetViews>
  <sheetFormatPr baseColWidth="10" defaultColWidth="11.44140625" defaultRowHeight="14.4" x14ac:dyDescent="0.3"/>
  <cols>
    <col min="1" max="1" width="14.109375" style="10" customWidth="1"/>
    <col min="2" max="2" width="19" style="10" customWidth="1"/>
    <col min="3" max="3" width="21.6640625" style="10" bestFit="1" customWidth="1"/>
    <col min="4" max="4" width="11.44140625" style="10"/>
    <col min="5" max="5" width="12.44140625" style="10" customWidth="1"/>
    <col min="6" max="7" width="11.44140625" style="10"/>
    <col min="8" max="8" width="19.6640625" style="10" customWidth="1"/>
    <col min="9" max="9" width="19.88671875" style="10" bestFit="1" customWidth="1"/>
    <col min="10" max="16384" width="11.44140625" style="10"/>
  </cols>
  <sheetData>
    <row r="1" spans="1:8" ht="15" thickBot="1" x14ac:dyDescent="0.35">
      <c r="A1" s="7" t="s">
        <v>30</v>
      </c>
      <c r="B1" s="56">
        <v>10</v>
      </c>
      <c r="C1" s="6"/>
    </row>
    <row r="2" spans="1:8" ht="15.75" customHeight="1" x14ac:dyDescent="0.3">
      <c r="B2" s="52" t="s">
        <v>32</v>
      </c>
      <c r="C2" s="49">
        <v>100</v>
      </c>
    </row>
    <row r="3" spans="1:8" x14ac:dyDescent="0.3">
      <c r="B3" s="53" t="s">
        <v>31</v>
      </c>
      <c r="C3" s="50">
        <v>40</v>
      </c>
    </row>
    <row r="4" spans="1:8" x14ac:dyDescent="0.3">
      <c r="B4" s="53" t="s">
        <v>40</v>
      </c>
      <c r="C4" s="50">
        <v>-2.5</v>
      </c>
      <c r="E4" s="2"/>
      <c r="F4" s="2"/>
    </row>
    <row r="5" spans="1:8" x14ac:dyDescent="0.3">
      <c r="B5" s="53" t="s">
        <v>41</v>
      </c>
      <c r="C5" s="50">
        <v>6.6</v>
      </c>
      <c r="E5" s="2"/>
      <c r="F5" s="2"/>
    </row>
    <row r="6" spans="1:8" x14ac:dyDescent="0.3">
      <c r="B6" s="53" t="s">
        <v>47</v>
      </c>
      <c r="C6" s="50">
        <v>3.3</v>
      </c>
      <c r="E6" s="2"/>
      <c r="F6" s="2"/>
    </row>
    <row r="7" spans="1:8" ht="15" customHeight="1" x14ac:dyDescent="0.3">
      <c r="B7" s="53" t="s">
        <v>39</v>
      </c>
      <c r="C7" s="51">
        <v>0.7</v>
      </c>
      <c r="E7" s="1"/>
      <c r="F7" s="1"/>
    </row>
    <row r="8" spans="1:8" x14ac:dyDescent="0.3">
      <c r="B8" s="53" t="s">
        <v>45</v>
      </c>
      <c r="C8" s="50">
        <v>-4</v>
      </c>
      <c r="E8" s="1"/>
      <c r="F8" s="1"/>
    </row>
    <row r="9" spans="1:8" x14ac:dyDescent="0.3">
      <c r="B9" s="53" t="s">
        <v>43</v>
      </c>
      <c r="C9" s="54">
        <f>IF(C5="BN",-4,IF(C5&gt;4,-C5,-4))</f>
        <v>-6.6</v>
      </c>
      <c r="E9" s="1"/>
      <c r="F9" s="1"/>
    </row>
    <row r="10" spans="1:8" x14ac:dyDescent="0.3">
      <c r="B10" s="53" t="s">
        <v>44</v>
      </c>
      <c r="C10" s="54">
        <f>+C8</f>
        <v>-4</v>
      </c>
      <c r="D10" s="9"/>
      <c r="E10" s="2"/>
      <c r="F10" s="2"/>
    </row>
    <row r="11" spans="1:8" x14ac:dyDescent="0.3">
      <c r="A11" s="11"/>
      <c r="B11" s="11"/>
      <c r="C11" s="11"/>
      <c r="D11" s="11"/>
    </row>
    <row r="12" spans="1:8" ht="24.6" x14ac:dyDescent="0.55000000000000004">
      <c r="A12" s="16" t="s">
        <v>42</v>
      </c>
      <c r="B12" s="55">
        <v>34</v>
      </c>
      <c r="C12" s="12"/>
      <c r="D12" s="21"/>
      <c r="E12" s="22"/>
      <c r="F12" s="15"/>
    </row>
    <row r="13" spans="1:8" ht="15" thickBot="1" x14ac:dyDescent="0.35">
      <c r="A13" s="11"/>
      <c r="B13" s="11"/>
      <c r="D13" s="15"/>
      <c r="E13" s="15"/>
      <c r="F13" s="15"/>
    </row>
    <row r="14" spans="1:8" x14ac:dyDescent="0.3">
      <c r="A14" s="5" t="s">
        <v>29</v>
      </c>
      <c r="B14" s="57">
        <f>ABS(+B12/C5*C4)</f>
        <v>12.878787878787879</v>
      </c>
      <c r="C14" s="8"/>
      <c r="D14" s="23"/>
      <c r="E14" s="24"/>
      <c r="F14" s="15"/>
    </row>
    <row r="15" spans="1:8" x14ac:dyDescent="0.3">
      <c r="A15" s="4" t="s">
        <v>28</v>
      </c>
      <c r="B15" s="18">
        <f>B14</f>
        <v>12.878787878787879</v>
      </c>
      <c r="D15" s="23"/>
      <c r="E15" s="24"/>
      <c r="F15" s="15"/>
    </row>
    <row r="16" spans="1:8" x14ac:dyDescent="0.3">
      <c r="A16" s="4" t="s">
        <v>27</v>
      </c>
      <c r="B16" s="18">
        <f>B12-B15</f>
        <v>21.121212121212121</v>
      </c>
      <c r="C16" s="17">
        <f>SUM(B15:B16)</f>
        <v>34</v>
      </c>
      <c r="D16" s="23"/>
      <c r="E16" s="24"/>
      <c r="F16" s="24"/>
      <c r="G16" s="59"/>
      <c r="H16" s="59"/>
    </row>
    <row r="17" spans="1:8" x14ac:dyDescent="0.3">
      <c r="A17" s="4" t="s">
        <v>36</v>
      </c>
      <c r="B17" s="18">
        <f>+B12</f>
        <v>34</v>
      </c>
      <c r="D17" s="23"/>
      <c r="E17" s="24"/>
      <c r="F17" s="15"/>
    </row>
    <row r="18" spans="1:8" x14ac:dyDescent="0.3">
      <c r="A18" s="4" t="s">
        <v>33</v>
      </c>
      <c r="B18" s="54">
        <f>+B12*C7</f>
        <v>23.799999999999997</v>
      </c>
      <c r="D18" s="23"/>
      <c r="E18" s="24"/>
      <c r="F18" s="15"/>
    </row>
    <row r="19" spans="1:8" x14ac:dyDescent="0.3">
      <c r="A19" s="4" t="s">
        <v>34</v>
      </c>
      <c r="B19" s="18">
        <f>B18-B15</f>
        <v>10.921212121212118</v>
      </c>
      <c r="D19" s="23"/>
      <c r="E19" s="24"/>
      <c r="F19" s="15"/>
    </row>
    <row r="20" spans="1:8" x14ac:dyDescent="0.3">
      <c r="A20" s="4" t="s">
        <v>35</v>
      </c>
      <c r="B20" s="18">
        <f>+B17-B18</f>
        <v>10.200000000000003</v>
      </c>
      <c r="D20" s="23"/>
      <c r="E20" s="25"/>
      <c r="F20" s="15"/>
    </row>
    <row r="21" spans="1:8" x14ac:dyDescent="0.3">
      <c r="A21" s="4" t="s">
        <v>26</v>
      </c>
      <c r="B21" s="18">
        <f>(ABS(C10)-ABS(C4))*B17/C5</f>
        <v>7.7272727272727275</v>
      </c>
      <c r="D21" s="23"/>
      <c r="E21" s="24"/>
      <c r="F21" s="15"/>
    </row>
    <row r="22" spans="1:8" ht="15" thickBot="1" x14ac:dyDescent="0.35">
      <c r="A22" s="3" t="s">
        <v>25</v>
      </c>
      <c r="B22" s="19">
        <f>-C10*B17/C5</f>
        <v>20.606060606060606</v>
      </c>
      <c r="D22" s="23"/>
      <c r="E22" s="24"/>
      <c r="F22" s="15"/>
    </row>
    <row r="23" spans="1:8" ht="15" thickBot="1" x14ac:dyDescent="0.35">
      <c r="A23" s="11"/>
      <c r="B23" s="11"/>
    </row>
    <row r="24" spans="1:8" ht="15" thickBot="1" x14ac:dyDescent="0.35">
      <c r="A24" s="11"/>
      <c r="B24" s="11"/>
      <c r="D24" s="26" t="s">
        <v>22</v>
      </c>
      <c r="E24" s="27" t="s">
        <v>24</v>
      </c>
      <c r="F24" s="27" t="s">
        <v>23</v>
      </c>
      <c r="G24" s="28" t="s">
        <v>22</v>
      </c>
      <c r="H24" s="29" t="s">
        <v>21</v>
      </c>
    </row>
    <row r="25" spans="1:8" ht="15" customHeight="1" x14ac:dyDescent="0.3">
      <c r="A25" s="30" t="s">
        <v>20</v>
      </c>
      <c r="B25" s="37">
        <f>+B26</f>
        <v>2579.3412121212118</v>
      </c>
      <c r="C25" s="38" t="s">
        <v>19</v>
      </c>
      <c r="D25" s="39">
        <f>+C8</f>
        <v>-4</v>
      </c>
      <c r="E25" s="39">
        <f>+C4</f>
        <v>-2.5</v>
      </c>
      <c r="F25" s="39">
        <f>+C4</f>
        <v>-2.5</v>
      </c>
      <c r="G25" s="40">
        <f>+C8</f>
        <v>-4</v>
      </c>
      <c r="H25" s="48" t="s">
        <v>46</v>
      </c>
    </row>
    <row r="26" spans="1:8" x14ac:dyDescent="0.3">
      <c r="A26" s="31" t="s">
        <v>18</v>
      </c>
      <c r="B26" s="41">
        <f>B27-B14</f>
        <v>2579.3412121212118</v>
      </c>
      <c r="C26" s="15" t="s">
        <v>17</v>
      </c>
      <c r="D26" s="35">
        <v>-4</v>
      </c>
      <c r="E26" s="35">
        <f>+C4</f>
        <v>-2.5</v>
      </c>
      <c r="F26" s="35">
        <f>+C4</f>
        <v>-2.5</v>
      </c>
      <c r="G26" s="36">
        <v>-4</v>
      </c>
      <c r="H26" s="42" t="str">
        <f t="shared" ref="H26:H38" si="0">+H25</f>
        <v>Izquierda</v>
      </c>
    </row>
    <row r="27" spans="1:8" x14ac:dyDescent="0.3">
      <c r="A27" s="31" t="s">
        <v>16</v>
      </c>
      <c r="B27" s="41">
        <f>B28-B15</f>
        <v>2592.2199999999998</v>
      </c>
      <c r="C27" s="15" t="s">
        <v>4</v>
      </c>
      <c r="D27" s="35">
        <v>-4</v>
      </c>
      <c r="E27" s="35">
        <f>IF(H27="Derecha",0,C4)</f>
        <v>-2.5</v>
      </c>
      <c r="F27" s="35">
        <f>IF(H27="Derecha",C4,0)</f>
        <v>0</v>
      </c>
      <c r="G27" s="36">
        <v>-4</v>
      </c>
      <c r="H27" s="42" t="str">
        <f t="shared" si="0"/>
        <v>Izquierda</v>
      </c>
    </row>
    <row r="28" spans="1:8" x14ac:dyDescent="0.3">
      <c r="A28" s="31" t="s">
        <v>15</v>
      </c>
      <c r="B28" s="41">
        <f>B29-B19</f>
        <v>2605.0987878787878</v>
      </c>
      <c r="C28" s="15" t="s">
        <v>6</v>
      </c>
      <c r="D28" s="35">
        <v>-4</v>
      </c>
      <c r="E28" s="35">
        <f>IF(H28="Derecha",-C4,C4)</f>
        <v>-2.5</v>
      </c>
      <c r="F28" s="35">
        <f>IF(H28="Derecha",C4,-C4)</f>
        <v>2.5</v>
      </c>
      <c r="G28" s="36">
        <v>-4</v>
      </c>
      <c r="H28" s="42" t="str">
        <f t="shared" si="0"/>
        <v>Izquierda</v>
      </c>
    </row>
    <row r="29" spans="1:8" x14ac:dyDescent="0.3">
      <c r="A29" s="32" t="s">
        <v>37</v>
      </c>
      <c r="B29" s="34">
        <v>2616.02</v>
      </c>
      <c r="C29" s="15"/>
      <c r="D29" s="35">
        <v>-4</v>
      </c>
      <c r="E29" s="23">
        <f>+E31*C7</f>
        <v>-4.6199999999999992</v>
      </c>
      <c r="F29" s="23">
        <f>+F31*C7</f>
        <v>4.6199999999999992</v>
      </c>
      <c r="G29" s="36">
        <v>-4</v>
      </c>
      <c r="H29" s="42" t="str">
        <f t="shared" si="0"/>
        <v>Izquierda</v>
      </c>
    </row>
    <row r="30" spans="1:8" x14ac:dyDescent="0.3">
      <c r="A30" s="31" t="s">
        <v>14</v>
      </c>
      <c r="B30" s="41">
        <f>IF(B27+B22&lt;B31,B27+B22,B31)</f>
        <v>2612.8260606060603</v>
      </c>
      <c r="C30" s="15" t="s">
        <v>8</v>
      </c>
      <c r="D30" s="35">
        <v>-4</v>
      </c>
      <c r="E30" s="35">
        <f>IF(ABS(C8)&gt;ABS(C5),IF(H30="Izquierda",-C5,C5),IF(H30="Izquierda",C8,-C8))</f>
        <v>-4</v>
      </c>
      <c r="F30" s="35">
        <f>IF(ABS(C8)&gt;ABS(C5),IF(H30="Derecha",-C5,C5),IF(H30="Derecha",C8,-C8))</f>
        <v>4</v>
      </c>
      <c r="G30" s="36">
        <v>-4</v>
      </c>
      <c r="H30" s="42" t="str">
        <f t="shared" si="0"/>
        <v>Izquierda</v>
      </c>
    </row>
    <row r="31" spans="1:8" x14ac:dyDescent="0.3">
      <c r="A31" s="31" t="s">
        <v>13</v>
      </c>
      <c r="B31" s="41">
        <f>B29+B20</f>
        <v>2626.22</v>
      </c>
      <c r="C31" s="15" t="s">
        <v>12</v>
      </c>
      <c r="D31" s="35">
        <f>IF(H31="Izquierda",C9,C10)</f>
        <v>-6.6</v>
      </c>
      <c r="E31" s="35">
        <f>IF(H31="Derecha",C5,-C5)</f>
        <v>-6.6</v>
      </c>
      <c r="F31" s="35">
        <f>IF(H31="Derecha",-C5,C5)</f>
        <v>6.6</v>
      </c>
      <c r="G31" s="36">
        <f>IF(H31="Derecha",C9,C10)</f>
        <v>-4</v>
      </c>
      <c r="H31" s="42" t="str">
        <f t="shared" si="0"/>
        <v>Izquierda</v>
      </c>
    </row>
    <row r="32" spans="1:8" x14ac:dyDescent="0.3">
      <c r="A32" s="31" t="s">
        <v>11</v>
      </c>
      <c r="B32" s="41">
        <f>B34-B20</f>
        <v>2819.6400000000003</v>
      </c>
      <c r="C32" s="15" t="s">
        <v>10</v>
      </c>
      <c r="D32" s="35">
        <f>IF(H31="Izquierda",C9,C10)</f>
        <v>-6.6</v>
      </c>
      <c r="E32" s="35">
        <f>IF(H32="Derecha",C5,-C5)</f>
        <v>-6.6</v>
      </c>
      <c r="F32" s="35">
        <f>IF(H32="Derecha",-C5,C5)</f>
        <v>6.6</v>
      </c>
      <c r="G32" s="36">
        <f>IF(H31="Derecha",C9,C10)</f>
        <v>-4</v>
      </c>
      <c r="H32" s="42" t="str">
        <f t="shared" si="0"/>
        <v>Izquierda</v>
      </c>
    </row>
    <row r="33" spans="1:8" x14ac:dyDescent="0.3">
      <c r="A33" s="31" t="s">
        <v>9</v>
      </c>
      <c r="B33" s="41">
        <f>IF(B36-B22&gt;B32,B36-B22,B32)</f>
        <v>2833.0339393939398</v>
      </c>
      <c r="C33" s="15" t="s">
        <v>8</v>
      </c>
      <c r="D33" s="35">
        <v>-4</v>
      </c>
      <c r="E33" s="35">
        <f>IF(ABS(C8)&gt;ABS(C5),IF(H30="Izquierda",-C5,C5),IF(H30="Izquierda",C8,-C8))</f>
        <v>-4</v>
      </c>
      <c r="F33" s="35">
        <f>IF(ABS(C8)&gt;ABS(C5),IF(H30="Derecha",-C5,C5),IF(H30="Derecha",C8,-C8))</f>
        <v>4</v>
      </c>
      <c r="G33" s="36">
        <v>-4</v>
      </c>
      <c r="H33" s="42" t="str">
        <f t="shared" si="0"/>
        <v>Izquierda</v>
      </c>
    </row>
    <row r="34" spans="1:8" x14ac:dyDescent="0.3">
      <c r="A34" s="32" t="s">
        <v>38</v>
      </c>
      <c r="B34" s="34">
        <v>2829.84</v>
      </c>
      <c r="C34" s="15"/>
      <c r="D34" s="35">
        <v>-4</v>
      </c>
      <c r="E34" s="23">
        <f>+E32*C7</f>
        <v>-4.6199999999999992</v>
      </c>
      <c r="F34" s="23">
        <f>+F32*C7</f>
        <v>4.6199999999999992</v>
      </c>
      <c r="G34" s="36">
        <v>-4</v>
      </c>
      <c r="H34" s="42" t="str">
        <f t="shared" si="0"/>
        <v>Izquierda</v>
      </c>
    </row>
    <row r="35" spans="1:8" x14ac:dyDescent="0.3">
      <c r="A35" s="31" t="s">
        <v>7</v>
      </c>
      <c r="B35" s="41">
        <f>B34+B19</f>
        <v>2840.7612121212123</v>
      </c>
      <c r="C35" s="15" t="s">
        <v>6</v>
      </c>
      <c r="D35" s="35">
        <v>-4</v>
      </c>
      <c r="E35" s="35">
        <f>IF(H35="Izquierda",C4,-C4)</f>
        <v>-2.5</v>
      </c>
      <c r="F35" s="35">
        <f>IF(H35="Derecha",C4,-C4)</f>
        <v>2.5</v>
      </c>
      <c r="G35" s="36">
        <v>-4</v>
      </c>
      <c r="H35" s="42" t="str">
        <f t="shared" si="0"/>
        <v>Izquierda</v>
      </c>
    </row>
    <row r="36" spans="1:8" x14ac:dyDescent="0.3">
      <c r="A36" s="31" t="s">
        <v>5</v>
      </c>
      <c r="B36" s="41">
        <f>B35+B15</f>
        <v>2853.6400000000003</v>
      </c>
      <c r="C36" s="15" t="s">
        <v>4</v>
      </c>
      <c r="D36" s="35">
        <v>-4</v>
      </c>
      <c r="E36" s="35">
        <f>IF(H36="Derecha",0,C4)</f>
        <v>-2.5</v>
      </c>
      <c r="F36" s="35">
        <f>IF(H36="Derecha",C4,0)</f>
        <v>0</v>
      </c>
      <c r="G36" s="36">
        <v>-4</v>
      </c>
      <c r="H36" s="42" t="str">
        <f t="shared" si="0"/>
        <v>Izquierda</v>
      </c>
    </row>
    <row r="37" spans="1:8" x14ac:dyDescent="0.3">
      <c r="A37" s="31" t="s">
        <v>3</v>
      </c>
      <c r="B37" s="41">
        <f>B36+B14</f>
        <v>2866.5187878787883</v>
      </c>
      <c r="C37" s="15" t="s">
        <v>2</v>
      </c>
      <c r="D37" s="35">
        <v>-4</v>
      </c>
      <c r="E37" s="35">
        <f>+C4</f>
        <v>-2.5</v>
      </c>
      <c r="F37" s="35">
        <f>+C4</f>
        <v>-2.5</v>
      </c>
      <c r="G37" s="36">
        <v>-4</v>
      </c>
      <c r="H37" s="42" t="str">
        <f t="shared" si="0"/>
        <v>Izquierda</v>
      </c>
    </row>
    <row r="38" spans="1:8" ht="15" thickBot="1" x14ac:dyDescent="0.35">
      <c r="A38" s="33" t="s">
        <v>1</v>
      </c>
      <c r="B38" s="43">
        <f>+B37</f>
        <v>2866.5187878787883</v>
      </c>
      <c r="C38" s="44" t="s">
        <v>0</v>
      </c>
      <c r="D38" s="45">
        <f>+C8</f>
        <v>-4</v>
      </c>
      <c r="E38" s="45">
        <f>+C4</f>
        <v>-2.5</v>
      </c>
      <c r="F38" s="45">
        <f>+C4</f>
        <v>-2.5</v>
      </c>
      <c r="G38" s="46">
        <f>+C8</f>
        <v>-4</v>
      </c>
      <c r="H38" s="47" t="str">
        <f t="shared" si="0"/>
        <v>Izquierda</v>
      </c>
    </row>
    <row r="40" spans="1:8" x14ac:dyDescent="0.3">
      <c r="E40" s="8"/>
    </row>
    <row r="41" spans="1:8" x14ac:dyDescent="0.3">
      <c r="E41" s="17">
        <f>B19</f>
        <v>10.921212121212118</v>
      </c>
      <c r="F41" s="20">
        <f>B20</f>
        <v>10.200000000000003</v>
      </c>
    </row>
    <row r="46" spans="1:8" x14ac:dyDescent="0.3">
      <c r="H46" s="14">
        <f>C6*C5</f>
        <v>21.779999999999998</v>
      </c>
    </row>
    <row r="50" spans="1:8" x14ac:dyDescent="0.3">
      <c r="A50" s="13">
        <f>C6*ABS(C4)</f>
        <v>8.25</v>
      </c>
    </row>
    <row r="52" spans="1:8" x14ac:dyDescent="0.3">
      <c r="H52" s="14">
        <f>C6*C5</f>
        <v>21.779999999999998</v>
      </c>
    </row>
    <row r="54" spans="1:8" x14ac:dyDescent="0.3">
      <c r="C54" s="17">
        <f>B14</f>
        <v>12.878787878787879</v>
      </c>
      <c r="D54" s="17">
        <f>B15</f>
        <v>12.878787878787879</v>
      </c>
    </row>
    <row r="57" spans="1:8" x14ac:dyDescent="0.3">
      <c r="D57" s="20">
        <f>B12+B14</f>
        <v>46.878787878787875</v>
      </c>
    </row>
    <row r="65" spans="10:10" x14ac:dyDescent="0.3">
      <c r="J65" s="2"/>
    </row>
  </sheetData>
  <mergeCells count="1">
    <mergeCell ref="G16:H16"/>
  </mergeCells>
  <pageMargins left="0.7" right="0.7" top="0.75" bottom="0.75" header="0.3" footer="0.3"/>
  <pageSetup scale="75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J65"/>
  <sheetViews>
    <sheetView showGridLines="0" view="pageBreakPreview" topLeftCell="A22" zoomScale="98" zoomScaleNormal="91" zoomScaleSheetLayoutView="98" workbookViewId="0">
      <selection activeCell="B35" sqref="B35"/>
    </sheetView>
  </sheetViews>
  <sheetFormatPr baseColWidth="10" defaultColWidth="11.44140625" defaultRowHeight="14.4" x14ac:dyDescent="0.3"/>
  <cols>
    <col min="1" max="1" width="14.109375" style="10" customWidth="1"/>
    <col min="2" max="2" width="19" style="10" customWidth="1"/>
    <col min="3" max="3" width="21.6640625" style="10" bestFit="1" customWidth="1"/>
    <col min="4" max="4" width="11.44140625" style="10"/>
    <col min="5" max="5" width="12.44140625" style="10" customWidth="1"/>
    <col min="6" max="7" width="11.44140625" style="10"/>
    <col min="8" max="8" width="19.6640625" style="10" customWidth="1"/>
    <col min="9" max="9" width="19.88671875" style="10" bestFit="1" customWidth="1"/>
    <col min="10" max="16384" width="11.44140625" style="10"/>
  </cols>
  <sheetData>
    <row r="1" spans="1:8" ht="15" thickBot="1" x14ac:dyDescent="0.35">
      <c r="A1" s="7" t="s">
        <v>30</v>
      </c>
      <c r="B1" s="56">
        <v>11</v>
      </c>
      <c r="C1" s="6"/>
    </row>
    <row r="2" spans="1:8" ht="15.75" customHeight="1" x14ac:dyDescent="0.3">
      <c r="B2" s="52" t="s">
        <v>32</v>
      </c>
      <c r="C2" s="49">
        <v>200</v>
      </c>
    </row>
    <row r="3" spans="1:8" x14ac:dyDescent="0.3">
      <c r="B3" s="53" t="s">
        <v>31</v>
      </c>
      <c r="C3" s="50">
        <v>40</v>
      </c>
    </row>
    <row r="4" spans="1:8" x14ac:dyDescent="0.3">
      <c r="B4" s="53" t="s">
        <v>40</v>
      </c>
      <c r="C4" s="50">
        <v>-2.5</v>
      </c>
      <c r="E4" s="2"/>
      <c r="F4" s="2"/>
    </row>
    <row r="5" spans="1:8" x14ac:dyDescent="0.3">
      <c r="B5" s="53" t="s">
        <v>41</v>
      </c>
      <c r="C5" s="50">
        <v>4.5999999999999996</v>
      </c>
      <c r="E5" s="2"/>
      <c r="F5" s="2"/>
    </row>
    <row r="6" spans="1:8" x14ac:dyDescent="0.3">
      <c r="B6" s="53" t="s">
        <v>47</v>
      </c>
      <c r="C6" s="50">
        <v>3.3</v>
      </c>
      <c r="E6" s="2"/>
      <c r="F6" s="2"/>
    </row>
    <row r="7" spans="1:8" ht="15" customHeight="1" x14ac:dyDescent="0.3">
      <c r="B7" s="53" t="s">
        <v>39</v>
      </c>
      <c r="C7" s="51">
        <v>0.7</v>
      </c>
      <c r="E7" s="1"/>
      <c r="F7" s="1"/>
    </row>
    <row r="8" spans="1:8" x14ac:dyDescent="0.3">
      <c r="B8" s="53" t="s">
        <v>45</v>
      </c>
      <c r="C8" s="50">
        <v>-4</v>
      </c>
      <c r="E8" s="1"/>
      <c r="F8" s="1"/>
    </row>
    <row r="9" spans="1:8" x14ac:dyDescent="0.3">
      <c r="B9" s="53" t="s">
        <v>43</v>
      </c>
      <c r="C9" s="54">
        <f>IF(C5="BN",-4,IF(C5&gt;4,-C5,-4))</f>
        <v>-4.5999999999999996</v>
      </c>
      <c r="E9" s="1"/>
      <c r="F9" s="1"/>
    </row>
    <row r="10" spans="1:8" x14ac:dyDescent="0.3">
      <c r="B10" s="53" t="s">
        <v>44</v>
      </c>
      <c r="C10" s="54">
        <f>+C8</f>
        <v>-4</v>
      </c>
      <c r="D10" s="9"/>
      <c r="E10" s="2"/>
      <c r="F10" s="2"/>
    </row>
    <row r="11" spans="1:8" x14ac:dyDescent="0.3">
      <c r="A11" s="11"/>
      <c r="B11" s="11"/>
      <c r="C11" s="11"/>
      <c r="D11" s="11"/>
    </row>
    <row r="12" spans="1:8" ht="24.6" x14ac:dyDescent="0.55000000000000004">
      <c r="A12" s="16" t="s">
        <v>42</v>
      </c>
      <c r="B12" s="55">
        <v>24</v>
      </c>
      <c r="C12" s="12"/>
      <c r="D12" s="21"/>
      <c r="E12" s="22"/>
      <c r="F12" s="15"/>
    </row>
    <row r="13" spans="1:8" ht="15" thickBot="1" x14ac:dyDescent="0.35">
      <c r="A13" s="11"/>
      <c r="B13" s="11"/>
      <c r="D13" s="15"/>
      <c r="E13" s="15"/>
      <c r="F13" s="15"/>
    </row>
    <row r="14" spans="1:8" x14ac:dyDescent="0.3">
      <c r="A14" s="5" t="s">
        <v>29</v>
      </c>
      <c r="B14" s="57">
        <f>ABS(+B12/C5*C4)</f>
        <v>13.043478260869566</v>
      </c>
      <c r="C14" s="8"/>
      <c r="D14" s="23"/>
      <c r="E14" s="24"/>
      <c r="F14" s="15"/>
    </row>
    <row r="15" spans="1:8" x14ac:dyDescent="0.3">
      <c r="A15" s="4" t="s">
        <v>28</v>
      </c>
      <c r="B15" s="18">
        <f>B14</f>
        <v>13.043478260869566</v>
      </c>
      <c r="D15" s="23"/>
      <c r="E15" s="24"/>
      <c r="F15" s="15"/>
    </row>
    <row r="16" spans="1:8" x14ac:dyDescent="0.3">
      <c r="A16" s="4" t="s">
        <v>27</v>
      </c>
      <c r="B16" s="18">
        <f>B12-B15</f>
        <v>10.956521739130434</v>
      </c>
      <c r="C16" s="17">
        <f>SUM(B15:B16)</f>
        <v>24</v>
      </c>
      <c r="D16" s="23"/>
      <c r="E16" s="24"/>
      <c r="F16" s="24"/>
      <c r="G16" s="59"/>
      <c r="H16" s="59"/>
    </row>
    <row r="17" spans="1:8" x14ac:dyDescent="0.3">
      <c r="A17" s="4" t="s">
        <v>36</v>
      </c>
      <c r="B17" s="18">
        <f>+B12</f>
        <v>24</v>
      </c>
      <c r="D17" s="23"/>
      <c r="E17" s="24"/>
      <c r="F17" s="15"/>
    </row>
    <row r="18" spans="1:8" x14ac:dyDescent="0.3">
      <c r="A18" s="4" t="s">
        <v>33</v>
      </c>
      <c r="B18" s="54">
        <f>+B12*C7</f>
        <v>16.799999999999997</v>
      </c>
      <c r="D18" s="23"/>
      <c r="E18" s="24"/>
      <c r="F18" s="15"/>
    </row>
    <row r="19" spans="1:8" x14ac:dyDescent="0.3">
      <c r="A19" s="4" t="s">
        <v>34</v>
      </c>
      <c r="B19" s="18">
        <f>B18-B15</f>
        <v>3.7565217391304309</v>
      </c>
      <c r="D19" s="23"/>
      <c r="E19" s="24"/>
      <c r="F19" s="15"/>
    </row>
    <row r="20" spans="1:8" x14ac:dyDescent="0.3">
      <c r="A20" s="4" t="s">
        <v>35</v>
      </c>
      <c r="B20" s="18">
        <f>+B17-B18</f>
        <v>7.2000000000000028</v>
      </c>
      <c r="D20" s="23"/>
      <c r="E20" s="25"/>
      <c r="F20" s="15"/>
    </row>
    <row r="21" spans="1:8" x14ac:dyDescent="0.3">
      <c r="A21" s="4" t="s">
        <v>26</v>
      </c>
      <c r="B21" s="18">
        <f>(ABS(C10)-ABS(C4))*B17/C5</f>
        <v>7.8260869565217401</v>
      </c>
      <c r="D21" s="23"/>
      <c r="E21" s="24"/>
      <c r="F21" s="15"/>
    </row>
    <row r="22" spans="1:8" ht="15" thickBot="1" x14ac:dyDescent="0.35">
      <c r="A22" s="3" t="s">
        <v>25</v>
      </c>
      <c r="B22" s="19">
        <f>-C10*B17/C5</f>
        <v>20.869565217391305</v>
      </c>
      <c r="D22" s="23"/>
      <c r="E22" s="24"/>
      <c r="F22" s="15"/>
    </row>
    <row r="23" spans="1:8" ht="15" thickBot="1" x14ac:dyDescent="0.35">
      <c r="A23" s="11"/>
      <c r="B23" s="11"/>
    </row>
    <row r="24" spans="1:8" ht="15" thickBot="1" x14ac:dyDescent="0.35">
      <c r="A24" s="11"/>
      <c r="B24" s="11"/>
      <c r="D24" s="26" t="s">
        <v>22</v>
      </c>
      <c r="E24" s="27" t="s">
        <v>24</v>
      </c>
      <c r="F24" s="27" t="s">
        <v>23</v>
      </c>
      <c r="G24" s="28" t="s">
        <v>22</v>
      </c>
      <c r="H24" s="29" t="s">
        <v>21</v>
      </c>
    </row>
    <row r="25" spans="1:8" ht="15" customHeight="1" x14ac:dyDescent="0.3">
      <c r="A25" s="30" t="s">
        <v>20</v>
      </c>
      <c r="B25" s="37">
        <f>+B26</f>
        <v>2875.0965217391308</v>
      </c>
      <c r="C25" s="38" t="s">
        <v>19</v>
      </c>
      <c r="D25" s="39">
        <f>+C8</f>
        <v>-4</v>
      </c>
      <c r="E25" s="39">
        <f>+C4</f>
        <v>-2.5</v>
      </c>
      <c r="F25" s="39">
        <f>+C4</f>
        <v>-2.5</v>
      </c>
      <c r="G25" s="40">
        <f>+C8</f>
        <v>-4</v>
      </c>
      <c r="H25" s="48" t="s">
        <v>46</v>
      </c>
    </row>
    <row r="26" spans="1:8" x14ac:dyDescent="0.3">
      <c r="A26" s="31" t="s">
        <v>18</v>
      </c>
      <c r="B26" s="41">
        <f>B27-B14</f>
        <v>2875.0965217391308</v>
      </c>
      <c r="C26" s="15" t="s">
        <v>17</v>
      </c>
      <c r="D26" s="35">
        <v>-4</v>
      </c>
      <c r="E26" s="35">
        <f>+C4</f>
        <v>-2.5</v>
      </c>
      <c r="F26" s="35">
        <f>+C4</f>
        <v>-2.5</v>
      </c>
      <c r="G26" s="36">
        <v>-4</v>
      </c>
      <c r="H26" s="42" t="str">
        <f t="shared" ref="H26:H38" si="0">+H25</f>
        <v>Izquierda</v>
      </c>
    </row>
    <row r="27" spans="1:8" x14ac:dyDescent="0.3">
      <c r="A27" s="31" t="s">
        <v>16</v>
      </c>
      <c r="B27" s="41">
        <f>B28-B15</f>
        <v>2888.1400000000003</v>
      </c>
      <c r="C27" s="15" t="s">
        <v>4</v>
      </c>
      <c r="D27" s="35">
        <v>-4</v>
      </c>
      <c r="E27" s="35">
        <f>IF(H27="Derecha",0,C4)</f>
        <v>-2.5</v>
      </c>
      <c r="F27" s="35">
        <f>IF(H27="Derecha",C4,0)</f>
        <v>0</v>
      </c>
      <c r="G27" s="36">
        <v>-4</v>
      </c>
      <c r="H27" s="42" t="str">
        <f t="shared" si="0"/>
        <v>Izquierda</v>
      </c>
    </row>
    <row r="28" spans="1:8" x14ac:dyDescent="0.3">
      <c r="A28" s="31" t="s">
        <v>15</v>
      </c>
      <c r="B28" s="41">
        <f>B29-B19</f>
        <v>2901.1834782608698</v>
      </c>
      <c r="C28" s="15" t="s">
        <v>6</v>
      </c>
      <c r="D28" s="35">
        <v>-4</v>
      </c>
      <c r="E28" s="35">
        <f>IF(H28="Derecha",-C4,C4)</f>
        <v>-2.5</v>
      </c>
      <c r="F28" s="35">
        <f>IF(H28="Derecha",C4,-C4)</f>
        <v>2.5</v>
      </c>
      <c r="G28" s="36">
        <v>-4</v>
      </c>
      <c r="H28" s="42" t="str">
        <f t="shared" si="0"/>
        <v>Izquierda</v>
      </c>
    </row>
    <row r="29" spans="1:8" x14ac:dyDescent="0.3">
      <c r="A29" s="32" t="s">
        <v>37</v>
      </c>
      <c r="B29" s="34">
        <v>2904.94</v>
      </c>
      <c r="C29" s="15"/>
      <c r="D29" s="35">
        <v>-4</v>
      </c>
      <c r="E29" s="23">
        <f>+E31*C7</f>
        <v>-3.2199999999999998</v>
      </c>
      <c r="F29" s="23">
        <f>+F31*C7</f>
        <v>3.2199999999999998</v>
      </c>
      <c r="G29" s="36">
        <v>-4</v>
      </c>
      <c r="H29" s="42" t="str">
        <f t="shared" si="0"/>
        <v>Izquierda</v>
      </c>
    </row>
    <row r="30" spans="1:8" x14ac:dyDescent="0.3">
      <c r="A30" s="31" t="s">
        <v>14</v>
      </c>
      <c r="B30" s="41">
        <f>IF(B27+B22&lt;B31,B27+B22,B31)</f>
        <v>2909.0095652173918</v>
      </c>
      <c r="C30" s="15" t="s">
        <v>8</v>
      </c>
      <c r="D30" s="35">
        <v>-4</v>
      </c>
      <c r="E30" s="35">
        <f>IF(ABS(C8)&gt;ABS(C5),IF(H30="Izquierda",-C5,C5),IF(H30="Izquierda",C8,-C8))</f>
        <v>-4</v>
      </c>
      <c r="F30" s="35">
        <f>IF(ABS(C8)&gt;ABS(C5),IF(H30="Derecha",-C5,C5),IF(H30="Derecha",C8,-C8))</f>
        <v>4</v>
      </c>
      <c r="G30" s="36">
        <v>-4</v>
      </c>
      <c r="H30" s="42" t="str">
        <f t="shared" si="0"/>
        <v>Izquierda</v>
      </c>
    </row>
    <row r="31" spans="1:8" x14ac:dyDescent="0.3">
      <c r="A31" s="31" t="s">
        <v>13</v>
      </c>
      <c r="B31" s="41">
        <f>B29+B20</f>
        <v>2912.14</v>
      </c>
      <c r="C31" s="15" t="s">
        <v>12</v>
      </c>
      <c r="D31" s="35">
        <f>IF(H31="Izquierda",C9,C10)</f>
        <v>-4.5999999999999996</v>
      </c>
      <c r="E31" s="35">
        <f>IF(H31="Derecha",C5,-C5)</f>
        <v>-4.5999999999999996</v>
      </c>
      <c r="F31" s="35">
        <f>IF(H31="Derecha",-C5,C5)</f>
        <v>4.5999999999999996</v>
      </c>
      <c r="G31" s="36">
        <f>IF(H31="Derecha",C9,C10)</f>
        <v>-4</v>
      </c>
      <c r="H31" s="42" t="str">
        <f t="shared" si="0"/>
        <v>Izquierda</v>
      </c>
    </row>
    <row r="32" spans="1:8" x14ac:dyDescent="0.3">
      <c r="A32" s="31" t="s">
        <v>11</v>
      </c>
      <c r="B32" s="41">
        <f>B34-B20</f>
        <v>2932.01</v>
      </c>
      <c r="C32" s="15" t="s">
        <v>10</v>
      </c>
      <c r="D32" s="35">
        <f>IF(H31="Izquierda",C9,C10)</f>
        <v>-4.5999999999999996</v>
      </c>
      <c r="E32" s="35">
        <f>IF(H32="Derecha",C5,-C5)</f>
        <v>-4.5999999999999996</v>
      </c>
      <c r="F32" s="35">
        <f>IF(H32="Derecha",-C5,C5)</f>
        <v>4.5999999999999996</v>
      </c>
      <c r="G32" s="36">
        <f>IF(H31="Derecha",C9,C10)</f>
        <v>-4</v>
      </c>
      <c r="H32" s="42" t="str">
        <f t="shared" si="0"/>
        <v>Izquierda</v>
      </c>
    </row>
    <row r="33" spans="1:8" x14ac:dyDescent="0.3">
      <c r="A33" s="31" t="s">
        <v>9</v>
      </c>
      <c r="B33" s="41">
        <f>IF(B36-B22&gt;B32,B36-B22,B32)</f>
        <v>2935.1404347826083</v>
      </c>
      <c r="C33" s="15" t="s">
        <v>8</v>
      </c>
      <c r="D33" s="35">
        <v>-4</v>
      </c>
      <c r="E33" s="35">
        <f>IF(ABS(C8)&gt;ABS(C5),IF(H30="Izquierda",-C5,C5),IF(H30="Izquierda",C8,-C8))</f>
        <v>-4</v>
      </c>
      <c r="F33" s="35">
        <f>IF(ABS(C8)&gt;ABS(C5),IF(H30="Derecha",-C5,C5),IF(H30="Derecha",C8,-C8))</f>
        <v>4</v>
      </c>
      <c r="G33" s="36">
        <v>-4</v>
      </c>
      <c r="H33" s="42" t="str">
        <f t="shared" si="0"/>
        <v>Izquierda</v>
      </c>
    </row>
    <row r="34" spans="1:8" x14ac:dyDescent="0.3">
      <c r="A34" s="32" t="s">
        <v>38</v>
      </c>
      <c r="B34" s="34">
        <v>2939.21</v>
      </c>
      <c r="C34" s="15"/>
      <c r="D34" s="35">
        <v>-4</v>
      </c>
      <c r="E34" s="23">
        <f>+E32*C7</f>
        <v>-3.2199999999999998</v>
      </c>
      <c r="F34" s="23">
        <f>+F32*C7</f>
        <v>3.2199999999999998</v>
      </c>
      <c r="G34" s="36">
        <v>-4</v>
      </c>
      <c r="H34" s="42" t="str">
        <f t="shared" si="0"/>
        <v>Izquierda</v>
      </c>
    </row>
    <row r="35" spans="1:8" x14ac:dyDescent="0.3">
      <c r="A35" s="31" t="s">
        <v>7</v>
      </c>
      <c r="B35" s="41">
        <f>B34+B19</f>
        <v>2942.9665217391303</v>
      </c>
      <c r="C35" s="15" t="s">
        <v>6</v>
      </c>
      <c r="D35" s="35">
        <v>-4</v>
      </c>
      <c r="E35" s="35">
        <f>IF(H35="Izquierda",C4,-C4)</f>
        <v>-2.5</v>
      </c>
      <c r="F35" s="35">
        <f>IF(H35="Derecha",C4,-C4)</f>
        <v>2.5</v>
      </c>
      <c r="G35" s="36">
        <v>-4</v>
      </c>
      <c r="H35" s="42" t="str">
        <f t="shared" si="0"/>
        <v>Izquierda</v>
      </c>
    </row>
    <row r="36" spans="1:8" x14ac:dyDescent="0.3">
      <c r="A36" s="31" t="s">
        <v>5</v>
      </c>
      <c r="B36" s="41">
        <f>B35+B15</f>
        <v>2956.0099999999998</v>
      </c>
      <c r="C36" s="15" t="s">
        <v>4</v>
      </c>
      <c r="D36" s="35">
        <v>-4</v>
      </c>
      <c r="E36" s="35">
        <f>IF(H36="Derecha",0,C4)</f>
        <v>-2.5</v>
      </c>
      <c r="F36" s="35">
        <f>IF(H36="Derecha",C4,0)</f>
        <v>0</v>
      </c>
      <c r="G36" s="36">
        <v>-4</v>
      </c>
      <c r="H36" s="42" t="str">
        <f t="shared" si="0"/>
        <v>Izquierda</v>
      </c>
    </row>
    <row r="37" spans="1:8" x14ac:dyDescent="0.3">
      <c r="A37" s="31" t="s">
        <v>3</v>
      </c>
      <c r="B37" s="41">
        <f>B36+B14</f>
        <v>2969.0534782608693</v>
      </c>
      <c r="C37" s="15" t="s">
        <v>2</v>
      </c>
      <c r="D37" s="35">
        <v>-4</v>
      </c>
      <c r="E37" s="35">
        <f>+C4</f>
        <v>-2.5</v>
      </c>
      <c r="F37" s="35">
        <f>+C4</f>
        <v>-2.5</v>
      </c>
      <c r="G37" s="36">
        <v>-4</v>
      </c>
      <c r="H37" s="42" t="str">
        <f t="shared" si="0"/>
        <v>Izquierda</v>
      </c>
    </row>
    <row r="38" spans="1:8" ht="15" thickBot="1" x14ac:dyDescent="0.35">
      <c r="A38" s="33" t="s">
        <v>1</v>
      </c>
      <c r="B38" s="43">
        <f>+B37</f>
        <v>2969.0534782608693</v>
      </c>
      <c r="C38" s="44" t="s">
        <v>0</v>
      </c>
      <c r="D38" s="45">
        <f>+C8</f>
        <v>-4</v>
      </c>
      <c r="E38" s="45">
        <f>+C4</f>
        <v>-2.5</v>
      </c>
      <c r="F38" s="45">
        <f>+C4</f>
        <v>-2.5</v>
      </c>
      <c r="G38" s="46">
        <f>+C8</f>
        <v>-4</v>
      </c>
      <c r="H38" s="47" t="str">
        <f t="shared" si="0"/>
        <v>Izquierda</v>
      </c>
    </row>
    <row r="40" spans="1:8" x14ac:dyDescent="0.3">
      <c r="E40" s="8"/>
    </row>
    <row r="41" spans="1:8" x14ac:dyDescent="0.3">
      <c r="E41" s="17">
        <f>B19</f>
        <v>3.7565217391304309</v>
      </c>
      <c r="F41" s="20">
        <f>B20</f>
        <v>7.2000000000000028</v>
      </c>
    </row>
    <row r="46" spans="1:8" x14ac:dyDescent="0.3">
      <c r="H46" s="14">
        <f>C6*C5</f>
        <v>15.179999999999998</v>
      </c>
    </row>
    <row r="50" spans="1:8" x14ac:dyDescent="0.3">
      <c r="A50" s="13">
        <f>C6*ABS(C4)</f>
        <v>8.25</v>
      </c>
    </row>
    <row r="52" spans="1:8" x14ac:dyDescent="0.3">
      <c r="H52" s="14">
        <f>C6*C5</f>
        <v>15.179999999999998</v>
      </c>
    </row>
    <row r="54" spans="1:8" x14ac:dyDescent="0.3">
      <c r="C54" s="17">
        <f>B14</f>
        <v>13.043478260869566</v>
      </c>
      <c r="D54" s="17">
        <f>B15</f>
        <v>13.043478260869566</v>
      </c>
    </row>
    <row r="57" spans="1:8" x14ac:dyDescent="0.3">
      <c r="D57" s="20">
        <f>B12+B14</f>
        <v>37.043478260869563</v>
      </c>
    </row>
    <row r="65" spans="10:10" x14ac:dyDescent="0.3">
      <c r="J65" s="2"/>
    </row>
  </sheetData>
  <mergeCells count="1">
    <mergeCell ref="G16:H16"/>
  </mergeCells>
  <pageMargins left="0.7" right="0.7" top="0.75" bottom="0.75" header="0.3" footer="0.3"/>
  <pageSetup scale="75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J65"/>
  <sheetViews>
    <sheetView showGridLines="0" view="pageBreakPreview" zoomScale="98" zoomScaleNormal="91" zoomScaleSheetLayoutView="98" workbookViewId="0">
      <selection activeCell="B35" sqref="B35"/>
    </sheetView>
  </sheetViews>
  <sheetFormatPr baseColWidth="10" defaultColWidth="11.44140625" defaultRowHeight="14.4" x14ac:dyDescent="0.3"/>
  <cols>
    <col min="1" max="1" width="14.109375" style="10" customWidth="1"/>
    <col min="2" max="2" width="19" style="10" customWidth="1"/>
    <col min="3" max="3" width="21.6640625" style="10" bestFit="1" customWidth="1"/>
    <col min="4" max="4" width="11.44140625" style="10"/>
    <col min="5" max="5" width="12.44140625" style="10" customWidth="1"/>
    <col min="6" max="7" width="11.44140625" style="10"/>
    <col min="8" max="8" width="19.6640625" style="10" customWidth="1"/>
    <col min="9" max="9" width="19.88671875" style="10" bestFit="1" customWidth="1"/>
    <col min="10" max="16384" width="11.44140625" style="10"/>
  </cols>
  <sheetData>
    <row r="1" spans="1:8" ht="15" thickBot="1" x14ac:dyDescent="0.35">
      <c r="A1" s="7" t="s">
        <v>30</v>
      </c>
      <c r="B1" s="56">
        <v>12</v>
      </c>
      <c r="C1" s="6"/>
    </row>
    <row r="2" spans="1:8" ht="15.75" customHeight="1" x14ac:dyDescent="0.3">
      <c r="B2" s="52" t="s">
        <v>32</v>
      </c>
      <c r="C2" s="49">
        <v>60</v>
      </c>
    </row>
    <row r="3" spans="1:8" x14ac:dyDescent="0.3">
      <c r="B3" s="53" t="s">
        <v>31</v>
      </c>
      <c r="C3" s="50">
        <v>40</v>
      </c>
    </row>
    <row r="4" spans="1:8" x14ac:dyDescent="0.3">
      <c r="B4" s="53" t="s">
        <v>40</v>
      </c>
      <c r="C4" s="50">
        <v>-2.5</v>
      </c>
      <c r="E4" s="2"/>
      <c r="F4" s="2"/>
    </row>
    <row r="5" spans="1:8" x14ac:dyDescent="0.3">
      <c r="B5" s="53" t="s">
        <v>41</v>
      </c>
      <c r="C5" s="50">
        <v>8</v>
      </c>
      <c r="E5" s="2"/>
      <c r="F5" s="2"/>
    </row>
    <row r="6" spans="1:8" x14ac:dyDescent="0.3">
      <c r="B6" s="53" t="s">
        <v>47</v>
      </c>
      <c r="C6" s="50">
        <v>3.3</v>
      </c>
      <c r="E6" s="2"/>
      <c r="F6" s="2"/>
    </row>
    <row r="7" spans="1:8" ht="15" customHeight="1" x14ac:dyDescent="0.3">
      <c r="B7" s="53" t="s">
        <v>39</v>
      </c>
      <c r="C7" s="51">
        <v>1</v>
      </c>
      <c r="E7" s="1"/>
      <c r="F7" s="1"/>
    </row>
    <row r="8" spans="1:8" x14ac:dyDescent="0.3">
      <c r="B8" s="53" t="s">
        <v>45</v>
      </c>
      <c r="C8" s="50">
        <v>-4</v>
      </c>
      <c r="E8" s="1"/>
      <c r="F8" s="1"/>
    </row>
    <row r="9" spans="1:8" x14ac:dyDescent="0.3">
      <c r="B9" s="53" t="s">
        <v>43</v>
      </c>
      <c r="C9" s="54">
        <f>IF(C5="BN",-4,IF(C5&gt;4,-C5,-4))</f>
        <v>-8</v>
      </c>
      <c r="E9" s="1"/>
      <c r="F9" s="1"/>
    </row>
    <row r="10" spans="1:8" x14ac:dyDescent="0.3">
      <c r="B10" s="53" t="s">
        <v>44</v>
      </c>
      <c r="C10" s="54">
        <f>+C8</f>
        <v>-4</v>
      </c>
      <c r="D10" s="9"/>
      <c r="E10" s="2"/>
      <c r="F10" s="2"/>
    </row>
    <row r="11" spans="1:8" x14ac:dyDescent="0.3">
      <c r="A11" s="11"/>
      <c r="B11" s="11"/>
      <c r="C11" s="11"/>
      <c r="D11" s="11"/>
    </row>
    <row r="12" spans="1:8" ht="24.6" x14ac:dyDescent="0.55000000000000004">
      <c r="A12" s="16" t="s">
        <v>42</v>
      </c>
      <c r="B12" s="55">
        <v>41</v>
      </c>
      <c r="C12" s="12"/>
      <c r="D12" s="21"/>
      <c r="E12" s="22"/>
      <c r="F12" s="15"/>
    </row>
    <row r="13" spans="1:8" ht="15" thickBot="1" x14ac:dyDescent="0.35">
      <c r="A13" s="11"/>
      <c r="B13" s="11"/>
      <c r="D13" s="15"/>
      <c r="E13" s="15"/>
      <c r="F13" s="15"/>
    </row>
    <row r="14" spans="1:8" x14ac:dyDescent="0.3">
      <c r="A14" s="5" t="s">
        <v>29</v>
      </c>
      <c r="B14" s="57">
        <f>ABS(+B12/C5*C4)</f>
        <v>12.8125</v>
      </c>
      <c r="C14" s="8"/>
      <c r="D14" s="23"/>
      <c r="E14" s="24"/>
      <c r="F14" s="15"/>
    </row>
    <row r="15" spans="1:8" x14ac:dyDescent="0.3">
      <c r="A15" s="4" t="s">
        <v>28</v>
      </c>
      <c r="B15" s="18">
        <f>B14</f>
        <v>12.8125</v>
      </c>
      <c r="D15" s="23"/>
      <c r="E15" s="24"/>
      <c r="F15" s="15"/>
    </row>
    <row r="16" spans="1:8" x14ac:dyDescent="0.3">
      <c r="A16" s="4" t="s">
        <v>27</v>
      </c>
      <c r="B16" s="18">
        <f>B12-B15</f>
        <v>28.1875</v>
      </c>
      <c r="C16" s="17">
        <f>SUM(B15:B16)</f>
        <v>41</v>
      </c>
      <c r="D16" s="23"/>
      <c r="E16" s="24"/>
      <c r="F16" s="24"/>
      <c r="G16" s="59"/>
      <c r="H16" s="59"/>
    </row>
    <row r="17" spans="1:8" x14ac:dyDescent="0.3">
      <c r="A17" s="4" t="s">
        <v>36</v>
      </c>
      <c r="B17" s="18">
        <f>+B12</f>
        <v>41</v>
      </c>
      <c r="D17" s="23"/>
      <c r="E17" s="24"/>
      <c r="F17" s="15"/>
    </row>
    <row r="18" spans="1:8" x14ac:dyDescent="0.3">
      <c r="A18" s="4" t="s">
        <v>33</v>
      </c>
      <c r="B18" s="54">
        <f>+B12*C7</f>
        <v>41</v>
      </c>
      <c r="D18" s="23"/>
      <c r="E18" s="24"/>
      <c r="F18" s="15"/>
    </row>
    <row r="19" spans="1:8" x14ac:dyDescent="0.3">
      <c r="A19" s="4" t="s">
        <v>34</v>
      </c>
      <c r="B19" s="18">
        <f>B18-B15</f>
        <v>28.1875</v>
      </c>
      <c r="D19" s="23"/>
      <c r="E19" s="24"/>
      <c r="F19" s="15"/>
    </row>
    <row r="20" spans="1:8" x14ac:dyDescent="0.3">
      <c r="A20" s="4" t="s">
        <v>35</v>
      </c>
      <c r="B20" s="18">
        <f>+B17-B18</f>
        <v>0</v>
      </c>
      <c r="D20" s="23"/>
      <c r="E20" s="25"/>
      <c r="F20" s="15"/>
    </row>
    <row r="21" spans="1:8" x14ac:dyDescent="0.3">
      <c r="A21" s="4" t="s">
        <v>26</v>
      </c>
      <c r="B21" s="18">
        <f>(ABS(C10)-ABS(C4))*B17/C5</f>
        <v>7.6875</v>
      </c>
      <c r="D21" s="23"/>
      <c r="E21" s="24"/>
      <c r="F21" s="15"/>
    </row>
    <row r="22" spans="1:8" ht="15" thickBot="1" x14ac:dyDescent="0.35">
      <c r="A22" s="3" t="s">
        <v>25</v>
      </c>
      <c r="B22" s="19">
        <f>-C10*B17/C5</f>
        <v>20.5</v>
      </c>
      <c r="D22" s="23"/>
      <c r="E22" s="24"/>
      <c r="F22" s="15"/>
    </row>
    <row r="23" spans="1:8" ht="15" thickBot="1" x14ac:dyDescent="0.35">
      <c r="A23" s="11"/>
      <c r="B23" s="11"/>
    </row>
    <row r="24" spans="1:8" ht="15" thickBot="1" x14ac:dyDescent="0.35">
      <c r="A24" s="11"/>
      <c r="B24" s="11"/>
      <c r="D24" s="26" t="s">
        <v>22</v>
      </c>
      <c r="E24" s="27" t="s">
        <v>24</v>
      </c>
      <c r="F24" s="27" t="s">
        <v>23</v>
      </c>
      <c r="G24" s="28" t="s">
        <v>22</v>
      </c>
      <c r="H24" s="29" t="s">
        <v>21</v>
      </c>
    </row>
    <row r="25" spans="1:8" ht="15" customHeight="1" x14ac:dyDescent="0.3">
      <c r="A25" s="30" t="s">
        <v>20</v>
      </c>
      <c r="B25" s="37">
        <f>+B26</f>
        <v>2977.9675000000002</v>
      </c>
      <c r="C25" s="38" t="s">
        <v>19</v>
      </c>
      <c r="D25" s="39">
        <f>+C8</f>
        <v>-4</v>
      </c>
      <c r="E25" s="39">
        <f>+C4</f>
        <v>-2.5</v>
      </c>
      <c r="F25" s="39">
        <f>+C4</f>
        <v>-2.5</v>
      </c>
      <c r="G25" s="40">
        <f>+C8</f>
        <v>-4</v>
      </c>
      <c r="H25" s="48" t="s">
        <v>48</v>
      </c>
    </row>
    <row r="26" spans="1:8" x14ac:dyDescent="0.3">
      <c r="A26" s="31" t="s">
        <v>18</v>
      </c>
      <c r="B26" s="41">
        <f>B27-B14</f>
        <v>2977.9675000000002</v>
      </c>
      <c r="C26" s="15" t="s">
        <v>17</v>
      </c>
      <c r="D26" s="35">
        <v>-4</v>
      </c>
      <c r="E26" s="35">
        <f>+C4</f>
        <v>-2.5</v>
      </c>
      <c r="F26" s="35">
        <f>+C4</f>
        <v>-2.5</v>
      </c>
      <c r="G26" s="36">
        <v>-4</v>
      </c>
      <c r="H26" s="42" t="str">
        <f t="shared" ref="H26:H38" si="0">+H25</f>
        <v>Derecha</v>
      </c>
    </row>
    <row r="27" spans="1:8" x14ac:dyDescent="0.3">
      <c r="A27" s="31" t="s">
        <v>16</v>
      </c>
      <c r="B27" s="41">
        <f>B28-B15</f>
        <v>2990.78</v>
      </c>
      <c r="C27" s="15" t="s">
        <v>4</v>
      </c>
      <c r="D27" s="35">
        <v>-4</v>
      </c>
      <c r="E27" s="35">
        <f>IF(H27="Derecha",0,C4)</f>
        <v>0</v>
      </c>
      <c r="F27" s="35">
        <f>IF(H27="Derecha",C4,0)</f>
        <v>-2.5</v>
      </c>
      <c r="G27" s="36">
        <v>-4</v>
      </c>
      <c r="H27" s="42" t="str">
        <f t="shared" si="0"/>
        <v>Derecha</v>
      </c>
    </row>
    <row r="28" spans="1:8" x14ac:dyDescent="0.3">
      <c r="A28" s="31" t="s">
        <v>15</v>
      </c>
      <c r="B28" s="41">
        <f>B29-B19</f>
        <v>3003.5925000000002</v>
      </c>
      <c r="C28" s="15" t="s">
        <v>6</v>
      </c>
      <c r="D28" s="35">
        <v>-4</v>
      </c>
      <c r="E28" s="35">
        <f>IF(H28="Derecha",-C4,C4)</f>
        <v>2.5</v>
      </c>
      <c r="F28" s="35">
        <f>IF(H28="Derecha",C4,-C4)</f>
        <v>-2.5</v>
      </c>
      <c r="G28" s="36">
        <v>-4</v>
      </c>
      <c r="H28" s="42" t="str">
        <f t="shared" si="0"/>
        <v>Derecha</v>
      </c>
    </row>
    <row r="29" spans="1:8" x14ac:dyDescent="0.3">
      <c r="A29" s="32" t="s">
        <v>37</v>
      </c>
      <c r="B29" s="34">
        <v>3031.78</v>
      </c>
      <c r="C29" s="15"/>
      <c r="D29" s="35">
        <v>-4</v>
      </c>
      <c r="E29" s="23">
        <f>+E31*C7</f>
        <v>8</v>
      </c>
      <c r="F29" s="23">
        <f>+F31*C7</f>
        <v>-8</v>
      </c>
      <c r="G29" s="36">
        <v>-4</v>
      </c>
      <c r="H29" s="42" t="str">
        <f t="shared" si="0"/>
        <v>Derecha</v>
      </c>
    </row>
    <row r="30" spans="1:8" x14ac:dyDescent="0.3">
      <c r="A30" s="31" t="s">
        <v>14</v>
      </c>
      <c r="B30" s="41">
        <f>IF(B27+B22&lt;B31,B27+B22,B31)</f>
        <v>3011.28</v>
      </c>
      <c r="C30" s="15" t="s">
        <v>8</v>
      </c>
      <c r="D30" s="35">
        <v>-4</v>
      </c>
      <c r="E30" s="35">
        <f>IF(ABS(C8)&gt;ABS(C5),IF(H30="Izquierda",-C5,C5),IF(H30="Izquierda",C8,-C8))</f>
        <v>4</v>
      </c>
      <c r="F30" s="35">
        <f>IF(ABS(C8)&gt;ABS(C5),IF(H30="Derecha",-C5,C5),IF(H30="Derecha",C8,-C8))</f>
        <v>-4</v>
      </c>
      <c r="G30" s="36">
        <v>-4</v>
      </c>
      <c r="H30" s="42" t="str">
        <f t="shared" si="0"/>
        <v>Derecha</v>
      </c>
    </row>
    <row r="31" spans="1:8" x14ac:dyDescent="0.3">
      <c r="A31" s="31" t="s">
        <v>13</v>
      </c>
      <c r="B31" s="41">
        <f>B29+B20</f>
        <v>3031.78</v>
      </c>
      <c r="C31" s="15" t="s">
        <v>12</v>
      </c>
      <c r="D31" s="35">
        <f>IF(H31="Izquierda",C9,C10)</f>
        <v>-4</v>
      </c>
      <c r="E31" s="35">
        <f>IF(H31="Derecha",C5,-C5)</f>
        <v>8</v>
      </c>
      <c r="F31" s="35">
        <f>IF(H31="Derecha",-C5,C5)</f>
        <v>-8</v>
      </c>
      <c r="G31" s="36">
        <f>IF(H31="Derecha",C9,C10)</f>
        <v>-8</v>
      </c>
      <c r="H31" s="42" t="str">
        <f t="shared" si="0"/>
        <v>Derecha</v>
      </c>
    </row>
    <row r="32" spans="1:8" x14ac:dyDescent="0.3">
      <c r="A32" s="31" t="s">
        <v>11</v>
      </c>
      <c r="B32" s="41">
        <f>B34-B20</f>
        <v>3091.15</v>
      </c>
      <c r="C32" s="15" t="s">
        <v>10</v>
      </c>
      <c r="D32" s="35">
        <f>IF(H31="Izquierda",C9,C10)</f>
        <v>-4</v>
      </c>
      <c r="E32" s="35">
        <f>IF(H32="Derecha",C5,-C5)</f>
        <v>8</v>
      </c>
      <c r="F32" s="35">
        <f>IF(H32="Derecha",-C5,C5)</f>
        <v>-8</v>
      </c>
      <c r="G32" s="36">
        <f>IF(H31="Derecha",C9,C10)</f>
        <v>-8</v>
      </c>
      <c r="H32" s="42" t="str">
        <f t="shared" si="0"/>
        <v>Derecha</v>
      </c>
    </row>
    <row r="33" spans="1:8" x14ac:dyDescent="0.3">
      <c r="A33" s="31" t="s">
        <v>9</v>
      </c>
      <c r="B33" s="41">
        <f>IF(B36-B22&gt;B32,B36-B22,B32)</f>
        <v>3111.65</v>
      </c>
      <c r="C33" s="15" t="s">
        <v>8</v>
      </c>
      <c r="D33" s="35">
        <v>-4</v>
      </c>
      <c r="E33" s="35">
        <f>IF(ABS(C8)&gt;ABS(C5),IF(H30="Izquierda",-C5,C5),IF(H30="Izquierda",C8,-C8))</f>
        <v>4</v>
      </c>
      <c r="F33" s="35">
        <f>IF(ABS(C8)&gt;ABS(C5),IF(H30="Derecha",-C5,C5),IF(H30="Derecha",C8,-C8))</f>
        <v>-4</v>
      </c>
      <c r="G33" s="36">
        <v>-4</v>
      </c>
      <c r="H33" s="42" t="str">
        <f t="shared" si="0"/>
        <v>Derecha</v>
      </c>
    </row>
    <row r="34" spans="1:8" x14ac:dyDescent="0.3">
      <c r="A34" s="32" t="s">
        <v>38</v>
      </c>
      <c r="B34" s="34">
        <v>3091.15</v>
      </c>
      <c r="C34" s="15"/>
      <c r="D34" s="35">
        <v>-4</v>
      </c>
      <c r="E34" s="23">
        <f>+E32*C7</f>
        <v>8</v>
      </c>
      <c r="F34" s="23">
        <f>+F32*C7</f>
        <v>-8</v>
      </c>
      <c r="G34" s="36">
        <v>-4</v>
      </c>
      <c r="H34" s="42" t="str">
        <f t="shared" si="0"/>
        <v>Derecha</v>
      </c>
    </row>
    <row r="35" spans="1:8" x14ac:dyDescent="0.3">
      <c r="A35" s="31" t="s">
        <v>7</v>
      </c>
      <c r="B35" s="41">
        <f>B34+B19</f>
        <v>3119.3375000000001</v>
      </c>
      <c r="C35" s="15" t="s">
        <v>6</v>
      </c>
      <c r="D35" s="35">
        <v>-4</v>
      </c>
      <c r="E35" s="35">
        <f>IF(H35="Izquierda",C4,-C4)</f>
        <v>2.5</v>
      </c>
      <c r="F35" s="35">
        <f>IF(H35="Derecha",C4,-C4)</f>
        <v>-2.5</v>
      </c>
      <c r="G35" s="36">
        <v>-4</v>
      </c>
      <c r="H35" s="42" t="str">
        <f t="shared" si="0"/>
        <v>Derecha</v>
      </c>
    </row>
    <row r="36" spans="1:8" x14ac:dyDescent="0.3">
      <c r="A36" s="31" t="s">
        <v>5</v>
      </c>
      <c r="B36" s="41">
        <f>B35+B15</f>
        <v>3132.15</v>
      </c>
      <c r="C36" s="15" t="s">
        <v>4</v>
      </c>
      <c r="D36" s="35">
        <v>-4</v>
      </c>
      <c r="E36" s="35">
        <f>IF(H36="Derecha",0,C4)</f>
        <v>0</v>
      </c>
      <c r="F36" s="35">
        <f>IF(H36="Derecha",C4,0)</f>
        <v>-2.5</v>
      </c>
      <c r="G36" s="36">
        <v>-4</v>
      </c>
      <c r="H36" s="42" t="str">
        <f t="shared" si="0"/>
        <v>Derecha</v>
      </c>
    </row>
    <row r="37" spans="1:8" x14ac:dyDescent="0.3">
      <c r="A37" s="31" t="s">
        <v>3</v>
      </c>
      <c r="B37" s="41">
        <f>B36+B14</f>
        <v>3144.9625000000001</v>
      </c>
      <c r="C37" s="15" t="s">
        <v>2</v>
      </c>
      <c r="D37" s="35">
        <v>-4</v>
      </c>
      <c r="E37" s="35">
        <f>+C4</f>
        <v>-2.5</v>
      </c>
      <c r="F37" s="35">
        <f>+C4</f>
        <v>-2.5</v>
      </c>
      <c r="G37" s="36">
        <v>-4</v>
      </c>
      <c r="H37" s="42" t="str">
        <f t="shared" si="0"/>
        <v>Derecha</v>
      </c>
    </row>
    <row r="38" spans="1:8" ht="15" thickBot="1" x14ac:dyDescent="0.35">
      <c r="A38" s="33" t="s">
        <v>1</v>
      </c>
      <c r="B38" s="43">
        <f>+B37</f>
        <v>3144.9625000000001</v>
      </c>
      <c r="C38" s="44" t="s">
        <v>0</v>
      </c>
      <c r="D38" s="45">
        <f>+C8</f>
        <v>-4</v>
      </c>
      <c r="E38" s="45">
        <f>+C4</f>
        <v>-2.5</v>
      </c>
      <c r="F38" s="45">
        <f>+C4</f>
        <v>-2.5</v>
      </c>
      <c r="G38" s="46">
        <f>+C8</f>
        <v>-4</v>
      </c>
      <c r="H38" s="47" t="str">
        <f t="shared" si="0"/>
        <v>Derecha</v>
      </c>
    </row>
    <row r="40" spans="1:8" x14ac:dyDescent="0.3">
      <c r="E40" s="8"/>
    </row>
    <row r="41" spans="1:8" x14ac:dyDescent="0.3">
      <c r="E41" s="17">
        <f>B19</f>
        <v>28.1875</v>
      </c>
      <c r="F41" s="20">
        <f>B20</f>
        <v>0</v>
      </c>
    </row>
    <row r="46" spans="1:8" x14ac:dyDescent="0.3">
      <c r="H46" s="14">
        <f>C6*C5</f>
        <v>26.4</v>
      </c>
    </row>
    <row r="50" spans="1:8" x14ac:dyDescent="0.3">
      <c r="A50" s="13">
        <f>C6*ABS(C4)</f>
        <v>8.25</v>
      </c>
    </row>
    <row r="52" spans="1:8" x14ac:dyDescent="0.3">
      <c r="H52" s="14">
        <f>C6*C5</f>
        <v>26.4</v>
      </c>
    </row>
    <row r="54" spans="1:8" x14ac:dyDescent="0.3">
      <c r="C54" s="17">
        <f>B14</f>
        <v>12.8125</v>
      </c>
      <c r="D54" s="17">
        <f>B15</f>
        <v>12.8125</v>
      </c>
    </row>
    <row r="57" spans="1:8" x14ac:dyDescent="0.3">
      <c r="D57" s="20">
        <f>B12+B14</f>
        <v>53.8125</v>
      </c>
    </row>
    <row r="65" spans="10:10" x14ac:dyDescent="0.3">
      <c r="J65" s="2"/>
    </row>
  </sheetData>
  <mergeCells count="1">
    <mergeCell ref="G16:H16"/>
  </mergeCells>
  <pageMargins left="0.7" right="0.7" top="0.75" bottom="0.75" header="0.3" footer="0.3"/>
  <pageSetup scale="75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  <vt:lpstr>C11</vt:lpstr>
      <vt:lpstr>C12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Giancarlos</dc:creator>
  <cp:lastModifiedBy>ASUS</cp:lastModifiedBy>
  <cp:lastPrinted>2022-02-04T00:35:11Z</cp:lastPrinted>
  <dcterms:created xsi:type="dcterms:W3CDTF">2016-06-06T12:08:42Z</dcterms:created>
  <dcterms:modified xsi:type="dcterms:W3CDTF">2025-10-19T00:37:48Z</dcterms:modified>
</cp:coreProperties>
</file>