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IP\ETABS 2024\"/>
    </mc:Choice>
  </mc:AlternateContent>
  <xr:revisionPtr revIDLastSave="0" documentId="13_ncr:1_{AF7CD9B2-9BD6-400E-8741-6087348DD94F}" xr6:coauthVersionLast="47" xr6:coauthVersionMax="47" xr10:uidLastSave="{00000000-0000-0000-0000-000000000000}"/>
  <bookViews>
    <workbookView xWindow="-120" yWindow="-120" windowWidth="29040" windowHeight="15720" activeTab="3" xr2:uid="{E7A79BFB-9217-40C3-BE0B-8439947B2130}"/>
  </bookViews>
  <sheets>
    <sheet name="Hoja1" sheetId="1" r:id="rId1"/>
    <sheet name="ESPECTRO DISEÑO" sheetId="2" r:id="rId2"/>
    <sheet name="CARGAS" sheetId="3" r:id="rId3"/>
    <sheet name="VERIFICACIONES" sheetId="4" r:id="rId4"/>
    <sheet name="PES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1" i="4" l="1"/>
  <c r="E221" i="4" s="1"/>
  <c r="D206" i="4"/>
  <c r="E206" i="4" s="1"/>
  <c r="D220" i="4"/>
  <c r="D219" i="4"/>
  <c r="D218" i="4"/>
  <c r="D217" i="4"/>
  <c r="D216" i="4"/>
  <c r="F215" i="4"/>
  <c r="E215" i="4"/>
  <c r="D215" i="4"/>
  <c r="D214" i="4"/>
  <c r="D213" i="4"/>
  <c r="D212" i="4"/>
  <c r="D211" i="4"/>
  <c r="F211" i="4" s="1"/>
  <c r="D201" i="4"/>
  <c r="D202" i="4"/>
  <c r="D203" i="4"/>
  <c r="D204" i="4"/>
  <c r="D205" i="4"/>
  <c r="D200" i="4"/>
  <c r="F200" i="4" s="1"/>
  <c r="F196" i="4"/>
  <c r="D197" i="4"/>
  <c r="D198" i="4"/>
  <c r="D199" i="4"/>
  <c r="D196" i="4"/>
  <c r="E196" i="4" s="1"/>
  <c r="G196" i="4" s="1"/>
  <c r="H196" i="4" s="1"/>
  <c r="H167" i="4"/>
  <c r="F167" i="4"/>
  <c r="G167" i="4"/>
  <c r="G168" i="4"/>
  <c r="H168" i="4" s="1"/>
  <c r="E167" i="4"/>
  <c r="E166" i="4"/>
  <c r="F166" i="4" s="1"/>
  <c r="D168" i="4"/>
  <c r="K168" i="4" s="1"/>
  <c r="L168" i="4" s="1"/>
  <c r="D167" i="4"/>
  <c r="K167" i="4" s="1"/>
  <c r="L167" i="4" s="1"/>
  <c r="D166" i="4"/>
  <c r="I166" i="4" s="1"/>
  <c r="J166" i="4" s="1"/>
  <c r="F152" i="4"/>
  <c r="F153" i="4"/>
  <c r="F151" i="4" s="1"/>
  <c r="G151" i="4" s="1"/>
  <c r="H151" i="4" s="1"/>
  <c r="H83" i="5"/>
  <c r="E81" i="5"/>
  <c r="E82" i="5"/>
  <c r="H82" i="5" s="1"/>
  <c r="H81" i="5"/>
  <c r="E80" i="5"/>
  <c r="H80" i="5" s="1"/>
  <c r="E77" i="5"/>
  <c r="H77" i="5" s="1"/>
  <c r="E76" i="5"/>
  <c r="H76" i="5" s="1"/>
  <c r="E75" i="5"/>
  <c r="H75" i="5" s="1"/>
  <c r="E74" i="5"/>
  <c r="H74" i="5" s="1"/>
  <c r="E73" i="5"/>
  <c r="H73" i="5" s="1"/>
  <c r="E72" i="5"/>
  <c r="H72" i="5" s="1"/>
  <c r="E71" i="5"/>
  <c r="H71" i="5" s="1"/>
  <c r="H68" i="5"/>
  <c r="H67" i="5"/>
  <c r="H69" i="5" s="1"/>
  <c r="E65" i="5"/>
  <c r="H65" i="5" s="1"/>
  <c r="H62" i="5"/>
  <c r="E60" i="5"/>
  <c r="H60" i="5" s="1"/>
  <c r="E57" i="5"/>
  <c r="H57" i="5" s="1"/>
  <c r="E56" i="5"/>
  <c r="H56" i="5" s="1"/>
  <c r="E55" i="5"/>
  <c r="H55" i="5" s="1"/>
  <c r="E54" i="5"/>
  <c r="H54" i="5" s="1"/>
  <c r="E53" i="5"/>
  <c r="H53" i="5" s="1"/>
  <c r="E52" i="5"/>
  <c r="H52" i="5" s="1"/>
  <c r="H49" i="5"/>
  <c r="H48" i="5"/>
  <c r="H47" i="5"/>
  <c r="H46" i="5"/>
  <c r="E40" i="5"/>
  <c r="H40" i="5" s="1"/>
  <c r="E39" i="5"/>
  <c r="H39" i="5" s="1"/>
  <c r="H41" i="5" s="1"/>
  <c r="H36" i="5"/>
  <c r="H37" i="5" s="1"/>
  <c r="H35" i="5"/>
  <c r="E36" i="5"/>
  <c r="E35" i="5"/>
  <c r="E34" i="5"/>
  <c r="H34" i="5"/>
  <c r="E33" i="5"/>
  <c r="H33" i="5" s="1"/>
  <c r="E32" i="5"/>
  <c r="H32" i="5" s="1"/>
  <c r="E31" i="5"/>
  <c r="H31" i="5" s="1"/>
  <c r="E30" i="5"/>
  <c r="H30" i="5" s="1"/>
  <c r="H27" i="5"/>
  <c r="H26" i="5"/>
  <c r="H28" i="5" s="1"/>
  <c r="E24" i="5"/>
  <c r="H24" i="5" s="1"/>
  <c r="H21" i="5"/>
  <c r="E19" i="5"/>
  <c r="H19" i="5" s="1"/>
  <c r="E16" i="5"/>
  <c r="H16" i="5" s="1"/>
  <c r="E15" i="5"/>
  <c r="H15" i="5" s="1"/>
  <c r="E14" i="5"/>
  <c r="H14" i="5" s="1"/>
  <c r="E13" i="5"/>
  <c r="H13" i="5" s="1"/>
  <c r="E12" i="5"/>
  <c r="H12" i="5" s="1"/>
  <c r="E11" i="5"/>
  <c r="H11" i="5" s="1"/>
  <c r="H17" i="5" s="1"/>
  <c r="H6" i="5"/>
  <c r="H7" i="5"/>
  <c r="H8" i="5"/>
  <c r="H5" i="5"/>
  <c r="H9" i="5" s="1"/>
  <c r="H140" i="4"/>
  <c r="I141" i="4" s="1"/>
  <c r="H139" i="4"/>
  <c r="I140" i="4" s="1"/>
  <c r="I132" i="4"/>
  <c r="H131" i="4"/>
  <c r="H132" i="4"/>
  <c r="I133" i="4" s="1"/>
  <c r="C118" i="4"/>
  <c r="G113" i="4"/>
  <c r="G112" i="4"/>
  <c r="C117" i="4" s="1"/>
  <c r="D117" i="4" s="1"/>
  <c r="G93" i="4"/>
  <c r="C98" i="4" s="1"/>
  <c r="D98" i="4" s="1"/>
  <c r="G94" i="4"/>
  <c r="C99" i="4" s="1"/>
  <c r="H60" i="4"/>
  <c r="H59" i="4"/>
  <c r="H58" i="4"/>
  <c r="H52" i="4"/>
  <c r="H53" i="4"/>
  <c r="H51" i="4"/>
  <c r="G12" i="4"/>
  <c r="G11" i="4"/>
  <c r="Q57" i="3"/>
  <c r="Q50" i="3"/>
  <c r="Q41" i="3"/>
  <c r="Q30" i="3"/>
  <c r="Q29" i="3"/>
  <c r="Q25" i="3"/>
  <c r="Q19" i="3"/>
  <c r="Q10" i="3"/>
  <c r="C2" i="2"/>
  <c r="C13" i="2"/>
  <c r="C7" i="2"/>
  <c r="O13" i="1"/>
  <c r="O12" i="1"/>
  <c r="O10" i="1"/>
  <c r="O9" i="1"/>
  <c r="O7" i="1"/>
  <c r="J10" i="1"/>
  <c r="J8" i="1"/>
  <c r="E13" i="1"/>
  <c r="E12" i="1"/>
  <c r="E9" i="1"/>
  <c r="E10" i="1"/>
  <c r="G3" i="1"/>
  <c r="G215" i="4" l="1"/>
  <c r="H215" i="4" s="1"/>
  <c r="E211" i="4"/>
  <c r="F206" i="4"/>
  <c r="G206" i="4" s="1"/>
  <c r="H206" i="4" s="1"/>
  <c r="G211" i="4"/>
  <c r="H211" i="4" s="1"/>
  <c r="F221" i="4"/>
  <c r="G221" i="4" s="1"/>
  <c r="H221" i="4" s="1"/>
  <c r="I152" i="4"/>
  <c r="J152" i="4" s="1"/>
  <c r="E99" i="4"/>
  <c r="I153" i="4"/>
  <c r="J153" i="4" s="1"/>
  <c r="I167" i="4"/>
  <c r="J167" i="4" s="1"/>
  <c r="E200" i="4"/>
  <c r="G200" i="4" s="1"/>
  <c r="H200" i="4" s="1"/>
  <c r="G152" i="4"/>
  <c r="H152" i="4" s="1"/>
  <c r="D2" i="5"/>
  <c r="H78" i="5"/>
  <c r="H58" i="5"/>
  <c r="H50" i="5"/>
  <c r="E118" i="4"/>
  <c r="D43" i="5" l="1"/>
</calcChain>
</file>

<file path=xl/sharedStrings.xml><?xml version="1.0" encoding="utf-8"?>
<sst xmlns="http://schemas.openxmlformats.org/spreadsheetml/2006/main" count="592" uniqueCount="199">
  <si>
    <t>e &lt;= 0.25L</t>
  </si>
  <si>
    <t>Shell Thin</t>
  </si>
  <si>
    <t>e &gt; 0.25L</t>
  </si>
  <si>
    <t>Shell Thick</t>
  </si>
  <si>
    <t>e</t>
  </si>
  <si>
    <t>L</t>
  </si>
  <si>
    <t>X</t>
  </si>
  <si>
    <t>Y</t>
  </si>
  <si>
    <t>COLUMNA L</t>
  </si>
  <si>
    <t>COLUMA T</t>
  </si>
  <si>
    <t>COLUMNA U</t>
  </si>
  <si>
    <t>ZUCS/R</t>
  </si>
  <si>
    <t>U</t>
  </si>
  <si>
    <t>C</t>
  </si>
  <si>
    <t>Tp</t>
  </si>
  <si>
    <t>Tl</t>
  </si>
  <si>
    <t>S</t>
  </si>
  <si>
    <t>R</t>
  </si>
  <si>
    <t>Ro</t>
  </si>
  <si>
    <t>Ia</t>
  </si>
  <si>
    <t>Ip</t>
  </si>
  <si>
    <t>Z4</t>
  </si>
  <si>
    <t>T</t>
  </si>
  <si>
    <t>Ct</t>
  </si>
  <si>
    <t>Hn</t>
  </si>
  <si>
    <t>m</t>
  </si>
  <si>
    <t>s</t>
  </si>
  <si>
    <t>Patrones Cargas</t>
  </si>
  <si>
    <t>DEAD</t>
  </si>
  <si>
    <t>Peso Propio de los Elementos Estructurales</t>
  </si>
  <si>
    <t>CM</t>
  </si>
  <si>
    <t>LIVE</t>
  </si>
  <si>
    <t>Carga Viva E-020</t>
  </si>
  <si>
    <t>LIVE UP</t>
  </si>
  <si>
    <t>Carga Viva de Techo</t>
  </si>
  <si>
    <t>LIVE 1</t>
  </si>
  <si>
    <t>LIVE 2</t>
  </si>
  <si>
    <t>Carga Viva Alterna para Diseño</t>
  </si>
  <si>
    <t>Casos de Carga</t>
  </si>
  <si>
    <t>SxE</t>
  </si>
  <si>
    <t>SyE</t>
  </si>
  <si>
    <t>Sísmo Estático Dirección X</t>
  </si>
  <si>
    <t>Sísmo Estático Dirección Y</t>
  </si>
  <si>
    <t>SyD</t>
  </si>
  <si>
    <t>Sísmo Dinámico Dirección X</t>
  </si>
  <si>
    <t>Sísmo Dinámico Dirección Y</t>
  </si>
  <si>
    <t>Combinaciones de Carga para Diseño</t>
  </si>
  <si>
    <t>Combinación General</t>
  </si>
  <si>
    <t>Comb1</t>
  </si>
  <si>
    <t>Comb2</t>
  </si>
  <si>
    <t>Comb3</t>
  </si>
  <si>
    <t xml:space="preserve"> 1.4 CM +  1.7 CV</t>
  </si>
  <si>
    <t>Comb4</t>
  </si>
  <si>
    <t>SxD</t>
  </si>
  <si>
    <t>Comb5</t>
  </si>
  <si>
    <t>Comb6</t>
  </si>
  <si>
    <t>Comb7</t>
  </si>
  <si>
    <t>Comb8</t>
  </si>
  <si>
    <t>Comb9</t>
  </si>
  <si>
    <t>Comb10</t>
  </si>
  <si>
    <t>Comb11</t>
  </si>
  <si>
    <t>Comb12</t>
  </si>
  <si>
    <t>Comb13</t>
  </si>
  <si>
    <t>Comb14</t>
  </si>
  <si>
    <t>Comb15</t>
  </si>
  <si>
    <t xml:space="preserve">Combinación General </t>
  </si>
  <si>
    <t>Comb16</t>
  </si>
  <si>
    <t>Comb17</t>
  </si>
  <si>
    <t>Comb18</t>
  </si>
  <si>
    <t>Comb19</t>
  </si>
  <si>
    <t>ENVOLVENTE</t>
  </si>
  <si>
    <t>Comb1 + … + Comb19</t>
  </si>
  <si>
    <t>CARGA VIVA</t>
  </si>
  <si>
    <t>AULAS</t>
  </si>
  <si>
    <t>kg/m2</t>
  </si>
  <si>
    <t>CORREDORES</t>
  </si>
  <si>
    <t>DEPÓSITOS</t>
  </si>
  <si>
    <t>X &lt;= 3°</t>
  </si>
  <si>
    <t>100-5(X-3) &gt;= 50</t>
  </si>
  <si>
    <t>100-5(15-3)</t>
  </si>
  <si>
    <t>Peso Acabados</t>
  </si>
  <si>
    <t>Vc=0.05+0.25H</t>
  </si>
  <si>
    <t>Vc=0.05+0.25(0.15)</t>
  </si>
  <si>
    <t>Vc</t>
  </si>
  <si>
    <t>m3/m2</t>
  </si>
  <si>
    <t>Peso Específico</t>
  </si>
  <si>
    <t>Concreto</t>
  </si>
  <si>
    <t>kg/m3</t>
  </si>
  <si>
    <t>Wc=Peso Esp. Concreto * Vc</t>
  </si>
  <si>
    <t>Wladrllo=Wl-Wc</t>
  </si>
  <si>
    <t>Wlosa</t>
  </si>
  <si>
    <t>Wconcreto</t>
  </si>
  <si>
    <t>Wladrillo techo</t>
  </si>
  <si>
    <t>Peso Barandas</t>
  </si>
  <si>
    <t>kg/m</t>
  </si>
  <si>
    <t>Peso Muro Ladrillo</t>
  </si>
  <si>
    <t>Peso Ladrillo de Losa</t>
  </si>
  <si>
    <t>Peso Acabados + Peso Ladrillo Losa + Peso Baranda + Peso Muro Ladrillo</t>
  </si>
  <si>
    <t>Altura</t>
  </si>
  <si>
    <t>Espesor</t>
  </si>
  <si>
    <t>W muro ladrillo</t>
  </si>
  <si>
    <t>Ejes A Y D</t>
  </si>
  <si>
    <t>Ejes 13 y 19</t>
  </si>
  <si>
    <t>Primer Piso</t>
  </si>
  <si>
    <t>Segundo Piso</t>
  </si>
  <si>
    <t>1.25 CM + 1.25 CV +- 1.00 CS</t>
  </si>
  <si>
    <t>0.90 CM +- 1.00 CS</t>
  </si>
  <si>
    <t>1. VERIFICACIÓN POR PARTICIPACIÓN MODAL</t>
  </si>
  <si>
    <t>Case</t>
  </si>
  <si>
    <t>ItemType</t>
  </si>
  <si>
    <t>Item</t>
  </si>
  <si>
    <t>Static</t>
  </si>
  <si>
    <t>%</t>
  </si>
  <si>
    <t>Dynamic</t>
  </si>
  <si>
    <t>Modal</t>
  </si>
  <si>
    <t>Acceleration</t>
  </si>
  <si>
    <t>UX</t>
  </si>
  <si>
    <t>UY</t>
  </si>
  <si>
    <t>UZ</t>
  </si>
  <si>
    <t>2. VERIFICACIÓN DESPLAZAMIENTOS LATERALES</t>
  </si>
  <si>
    <t>DIRECCIÓN X</t>
  </si>
  <si>
    <t>Story</t>
  </si>
  <si>
    <t>Output Case</t>
  </si>
  <si>
    <t>Case Type</t>
  </si>
  <si>
    <t>Step Type</t>
  </si>
  <si>
    <t>Direction</t>
  </si>
  <si>
    <t>Drift</t>
  </si>
  <si>
    <t>Story3</t>
  </si>
  <si>
    <t>DERIVA X</t>
  </si>
  <si>
    <t>Combination</t>
  </si>
  <si>
    <t>Max</t>
  </si>
  <si>
    <t>Story2</t>
  </si>
  <si>
    <t>Story1</t>
  </si>
  <si>
    <t>DIRECCIÓN Y</t>
  </si>
  <si>
    <t>DERIVA Y</t>
  </si>
  <si>
    <t>IRREGULARIDADES ESTRUCTURALES EN ALTURA</t>
  </si>
  <si>
    <t>Name</t>
  </si>
  <si>
    <t>Is Auto Load</t>
  </si>
  <si>
    <t>X Dir?</t>
  </si>
  <si>
    <t>X Dir Plus Ecc?</t>
  </si>
  <si>
    <t>X Dir Minus Ecc?</t>
  </si>
  <si>
    <t>Y Dir?</t>
  </si>
  <si>
    <t>Y Dir Plus Ecc?</t>
  </si>
  <si>
    <t>Y Dir Minus Ecc?</t>
  </si>
  <si>
    <t>Ecc Ratio</t>
  </si>
  <si>
    <t>Top Story</t>
  </si>
  <si>
    <t>Bottom Story</t>
  </si>
  <si>
    <t>K</t>
  </si>
  <si>
    <t>Weight Used</t>
  </si>
  <si>
    <t>tonf</t>
  </si>
  <si>
    <t>Base Shear</t>
  </si>
  <si>
    <t>No</t>
  </si>
  <si>
    <t>Yes</t>
  </si>
  <si>
    <t>Base</t>
  </si>
  <si>
    <t>Location</t>
  </si>
  <si>
    <t>P</t>
  </si>
  <si>
    <t>VX</t>
  </si>
  <si>
    <t>LinStatic</t>
  </si>
  <si>
    <t>Bottom</t>
  </si>
  <si>
    <t>Diaphragm</t>
  </si>
  <si>
    <t>D2</t>
  </si>
  <si>
    <t>D1</t>
  </si>
  <si>
    <t>UX ABS</t>
  </si>
  <si>
    <t>UX REL</t>
  </si>
  <si>
    <t>RIGIDEZ</t>
  </si>
  <si>
    <t>LATERAL</t>
  </si>
  <si>
    <t>VERIFICACIÓN</t>
  </si>
  <si>
    <t>VY</t>
  </si>
  <si>
    <t>UY ABS</t>
  </si>
  <si>
    <t>UY REL</t>
  </si>
  <si>
    <t>tonf-s²/m</t>
  </si>
  <si>
    <t>PESO</t>
  </si>
  <si>
    <t>ton</t>
  </si>
  <si>
    <t>PRIMER PISO</t>
  </si>
  <si>
    <t>COL L</t>
  </si>
  <si>
    <t>COL RECTANGULAR</t>
  </si>
  <si>
    <t>COL T</t>
  </si>
  <si>
    <t>COL U</t>
  </si>
  <si>
    <t>Ton</t>
  </si>
  <si>
    <t>VIGA 25X50</t>
  </si>
  <si>
    <t>VIGA 13X50</t>
  </si>
  <si>
    <t>VIGA 24X50</t>
  </si>
  <si>
    <t>VIGA 27X65</t>
  </si>
  <si>
    <t>VIGA 27X50</t>
  </si>
  <si>
    <t>LOSA ALIGERADA 20 cm</t>
  </si>
  <si>
    <t>MURO DE CORTE</t>
  </si>
  <si>
    <t>PESO ACABADOS</t>
  </si>
  <si>
    <t>PESO BARANDA</t>
  </si>
  <si>
    <t>PESO MURO LADRILLO</t>
  </si>
  <si>
    <t>SEGUNDO PISO</t>
  </si>
  <si>
    <t>LONGITUD</t>
  </si>
  <si>
    <t>IRREGULARIDADES ESTRUCTURALES EN PLANTA</t>
  </si>
  <si>
    <t>Drift  X</t>
  </si>
  <si>
    <t>MÁX UX REL</t>
  </si>
  <si>
    <t>PROM UX REL</t>
  </si>
  <si>
    <t>Drift  Y</t>
  </si>
  <si>
    <t>MÁX UY REL</t>
  </si>
  <si>
    <t>PROM UY REL</t>
  </si>
  <si>
    <t>3. VERIFICACIÓN DE IRREGULARIDADES ESTRUCTURALES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</si>
</sst>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1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2" fontId="1" fillId="0" borderId="0" xfId="0" applyNumberFormat="1" applyFont="1"/>
    <xf numFmtId="2" fontId="0" fillId="0" borderId="0" xfId="0" applyNumberFormat="1" applyFont="1"/>
    <xf numFmtId="0" fontId="0" fillId="0" borderId="0" xfId="0" applyFont="1"/>
    <xf numFmtId="2" fontId="0" fillId="0" borderId="1" xfId="0" applyNumberFormat="1" applyBorder="1"/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0" fontId="1" fillId="0" borderId="1" xfId="0" applyFont="1" applyBorder="1"/>
    <xf numFmtId="2" fontId="0" fillId="0" borderId="2" xfId="0" applyNumberFormat="1" applyFont="1" applyBorder="1" applyAlignment="1">
      <alignment horizontal="center" vertical="center"/>
    </xf>
    <xf numFmtId="2" fontId="0" fillId="0" borderId="7" xfId="0" applyNumberFormat="1" applyFont="1" applyBorder="1" applyAlignment="1">
      <alignment horizontal="center" vertical="center"/>
    </xf>
    <xf numFmtId="2" fontId="0" fillId="0" borderId="3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2</xdr:row>
      <xdr:rowOff>171450</xdr:rowOff>
    </xdr:from>
    <xdr:to>
      <xdr:col>7</xdr:col>
      <xdr:colOff>618450</xdr:colOff>
      <xdr:row>7</xdr:row>
      <xdr:rowOff>93478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A8C01A-8D83-5626-1045-EB1286AE5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552450"/>
          <a:ext cx="5400000" cy="8745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7</xdr:col>
      <xdr:colOff>542250</xdr:colOff>
      <xdr:row>23</xdr:row>
      <xdr:rowOff>85436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7F3F00-F877-49E8-728A-849B15044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3238500"/>
          <a:ext cx="5400000" cy="1228436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24</xdr:row>
      <xdr:rowOff>180975</xdr:rowOff>
    </xdr:from>
    <xdr:to>
      <xdr:col>7</xdr:col>
      <xdr:colOff>561300</xdr:colOff>
      <xdr:row>46</xdr:row>
      <xdr:rowOff>10351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35695E4-0781-4566-2A8B-E6B1EC5B3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1050" y="4752975"/>
          <a:ext cx="5400000" cy="40203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6</xdr:col>
      <xdr:colOff>657864</xdr:colOff>
      <xdr:row>75</xdr:row>
      <xdr:rowOff>133608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C247EF6-5453-6B5D-75EB-123261983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12573000"/>
          <a:ext cx="4582164" cy="18481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6</xdr:col>
      <xdr:colOff>524496</xdr:colOff>
      <xdr:row>125</xdr:row>
      <xdr:rowOff>85870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5F81D02-2571-205B-717D-5D8A1C035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23050500"/>
          <a:ext cx="4448796" cy="10383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6</xdr:col>
      <xdr:colOff>562601</xdr:colOff>
      <xdr:row>147</xdr:row>
      <xdr:rowOff>66791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A804B40-425F-22CD-A1F9-F97749128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27432000"/>
          <a:ext cx="4486901" cy="8287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6</xdr:col>
      <xdr:colOff>543549</xdr:colOff>
      <xdr:row>161</xdr:row>
      <xdr:rowOff>66817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F575CB2-D3A4-9125-55D4-979833348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29908500"/>
          <a:ext cx="4467849" cy="10193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6</xdr:col>
      <xdr:colOff>400654</xdr:colOff>
      <xdr:row>176</xdr:row>
      <xdr:rowOff>28739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FEEF8D6-B04E-BE87-6891-06173036A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0" y="32575500"/>
          <a:ext cx="4324954" cy="11717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6</xdr:col>
      <xdr:colOff>600706</xdr:colOff>
      <xdr:row>190</xdr:row>
      <xdr:rowOff>133635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A7C17E8-D5C1-1079-EB09-8BFF91CD1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2000" y="34480500"/>
          <a:ext cx="4525006" cy="20386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6</xdr:col>
      <xdr:colOff>657864</xdr:colOff>
      <xdr:row>227</xdr:row>
      <xdr:rowOff>9633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4EF7F8E-92A4-E823-C741-8AF98DAEE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2000" y="42672000"/>
          <a:ext cx="4582164" cy="7716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6</xdr:col>
      <xdr:colOff>619759</xdr:colOff>
      <xdr:row>238</xdr:row>
      <xdr:rowOff>105029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C236DC3-E19B-BD7D-DE57-E30D425DE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2000" y="43815000"/>
          <a:ext cx="4544059" cy="18195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240</xdr:row>
      <xdr:rowOff>38100</xdr:rowOff>
    </xdr:from>
    <xdr:to>
      <xdr:col>6</xdr:col>
      <xdr:colOff>629285</xdr:colOff>
      <xdr:row>246</xdr:row>
      <xdr:rowOff>104944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60E55EC-D523-E666-1AF5-8860599AC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62000" y="45948600"/>
          <a:ext cx="4553585" cy="12098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E5702-6721-4C48-9714-29CE5EE0B09F}">
  <dimension ref="B2:O13"/>
  <sheetViews>
    <sheetView workbookViewId="0">
      <selection activeCell="O14" sqref="O14"/>
    </sheetView>
  </sheetViews>
  <sheetFormatPr baseColWidth="10" defaultRowHeight="15" x14ac:dyDescent="0.25"/>
  <sheetData>
    <row r="2" spans="2:15" x14ac:dyDescent="0.25">
      <c r="B2" t="s">
        <v>0</v>
      </c>
      <c r="C2" t="s">
        <v>1</v>
      </c>
      <c r="E2" t="s">
        <v>4</v>
      </c>
      <c r="F2">
        <v>0.2</v>
      </c>
    </row>
    <row r="3" spans="2:15" x14ac:dyDescent="0.25">
      <c r="B3" t="s">
        <v>2</v>
      </c>
      <c r="C3" t="s">
        <v>3</v>
      </c>
      <c r="E3" t="s">
        <v>5</v>
      </c>
      <c r="F3">
        <v>7.65</v>
      </c>
      <c r="G3">
        <f>0.25*F3</f>
        <v>1.9125000000000001</v>
      </c>
    </row>
    <row r="6" spans="2:15" x14ac:dyDescent="0.25">
      <c r="B6" t="s">
        <v>8</v>
      </c>
      <c r="D6" t="s">
        <v>6</v>
      </c>
      <c r="E6">
        <v>0.33667000000000002</v>
      </c>
      <c r="G6" t="s">
        <v>9</v>
      </c>
      <c r="I6" t="s">
        <v>7</v>
      </c>
      <c r="J6">
        <v>0.15684999999999999</v>
      </c>
      <c r="L6" t="s">
        <v>10</v>
      </c>
      <c r="N6" t="s">
        <v>6</v>
      </c>
      <c r="O6">
        <v>0.28632000000000002</v>
      </c>
    </row>
    <row r="7" spans="2:15" x14ac:dyDescent="0.25">
      <c r="D7" t="s">
        <v>7</v>
      </c>
      <c r="E7">
        <v>0.16944000000000001</v>
      </c>
      <c r="N7" t="s">
        <v>7</v>
      </c>
      <c r="O7">
        <f>0.85-0.49796</f>
        <v>0.35203999999999996</v>
      </c>
    </row>
    <row r="8" spans="2:15" x14ac:dyDescent="0.25">
      <c r="I8" t="s">
        <v>7</v>
      </c>
      <c r="J8">
        <f>0.25/2</f>
        <v>0.125</v>
      </c>
    </row>
    <row r="9" spans="2:15" x14ac:dyDescent="0.25">
      <c r="D9" t="s">
        <v>6</v>
      </c>
      <c r="E9">
        <f>0.24/2</f>
        <v>0.12</v>
      </c>
      <c r="N9" t="s">
        <v>6</v>
      </c>
      <c r="O9">
        <f>0.24/2</f>
        <v>0.12</v>
      </c>
    </row>
    <row r="10" spans="2:15" x14ac:dyDescent="0.25">
      <c r="D10" t="s">
        <v>7</v>
      </c>
      <c r="E10">
        <f>0.25/2</f>
        <v>0.125</v>
      </c>
      <c r="J10">
        <f>J6-J8</f>
        <v>3.1849999999999989E-2</v>
      </c>
      <c r="N10" t="s">
        <v>7</v>
      </c>
      <c r="O10">
        <f>0.25/2</f>
        <v>0.125</v>
      </c>
    </row>
    <row r="12" spans="2:15" x14ac:dyDescent="0.25">
      <c r="E12">
        <f>E6-E9</f>
        <v>0.21667000000000003</v>
      </c>
      <c r="O12">
        <f>O6-O9</f>
        <v>0.16632000000000002</v>
      </c>
    </row>
    <row r="13" spans="2:15" x14ac:dyDescent="0.25">
      <c r="E13">
        <f>E7-E10</f>
        <v>4.4440000000000007E-2</v>
      </c>
      <c r="O13">
        <f>O7-O10</f>
        <v>0.22703999999999996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D8759-4448-474B-8AE1-38013864F156}">
  <dimension ref="B2:D16"/>
  <sheetViews>
    <sheetView workbookViewId="0">
      <selection activeCell="C13" sqref="C13"/>
    </sheetView>
  </sheetViews>
  <sheetFormatPr baseColWidth="10" defaultRowHeight="15" x14ac:dyDescent="0.25"/>
  <sheetData>
    <row r="2" spans="2:4" x14ac:dyDescent="0.25">
      <c r="B2" t="s">
        <v>11</v>
      </c>
      <c r="C2" s="2">
        <f>(C4*C5*C6*C12)/C13</f>
        <v>0.30937500000000001</v>
      </c>
    </row>
    <row r="4" spans="2:4" x14ac:dyDescent="0.25">
      <c r="B4" t="s">
        <v>21</v>
      </c>
      <c r="C4">
        <v>0.45</v>
      </c>
    </row>
    <row r="5" spans="2:4" x14ac:dyDescent="0.25">
      <c r="B5" t="s">
        <v>12</v>
      </c>
      <c r="C5" s="1">
        <v>1.5</v>
      </c>
    </row>
    <row r="6" spans="2:4" x14ac:dyDescent="0.25">
      <c r="B6" t="s">
        <v>13</v>
      </c>
      <c r="C6" s="1">
        <v>2.5</v>
      </c>
    </row>
    <row r="7" spans="2:4" x14ac:dyDescent="0.25">
      <c r="B7" s="3" t="s">
        <v>22</v>
      </c>
      <c r="C7" s="3">
        <f>C8/C9</f>
        <v>0.20149999999999998</v>
      </c>
      <c r="D7" s="3" t="s">
        <v>26</v>
      </c>
    </row>
    <row r="8" spans="2:4" x14ac:dyDescent="0.25">
      <c r="B8" t="s">
        <v>24</v>
      </c>
      <c r="C8">
        <v>12.09</v>
      </c>
      <c r="D8" t="s">
        <v>25</v>
      </c>
    </row>
    <row r="9" spans="2:4" x14ac:dyDescent="0.25">
      <c r="B9" t="s">
        <v>23</v>
      </c>
      <c r="C9">
        <v>60</v>
      </c>
    </row>
    <row r="10" spans="2:4" x14ac:dyDescent="0.25">
      <c r="B10" t="s">
        <v>14</v>
      </c>
      <c r="C10" s="1">
        <v>1</v>
      </c>
      <c r="D10" t="s">
        <v>26</v>
      </c>
    </row>
    <row r="11" spans="2:4" x14ac:dyDescent="0.25">
      <c r="B11" t="s">
        <v>15</v>
      </c>
      <c r="C11" s="1">
        <v>1.6</v>
      </c>
      <c r="D11" t="s">
        <v>26</v>
      </c>
    </row>
    <row r="12" spans="2:4" x14ac:dyDescent="0.25">
      <c r="B12" t="s">
        <v>16</v>
      </c>
      <c r="C12" s="1">
        <v>1.1000000000000001</v>
      </c>
    </row>
    <row r="13" spans="2:4" x14ac:dyDescent="0.25">
      <c r="B13" t="s">
        <v>17</v>
      </c>
      <c r="C13" s="1">
        <f>C14*C15*C16</f>
        <v>6</v>
      </c>
    </row>
    <row r="14" spans="2:4" x14ac:dyDescent="0.25">
      <c r="B14" t="s">
        <v>18</v>
      </c>
      <c r="C14" s="1">
        <v>6</v>
      </c>
    </row>
    <row r="15" spans="2:4" x14ac:dyDescent="0.25">
      <c r="B15" t="s">
        <v>19</v>
      </c>
      <c r="C15" s="1">
        <v>1</v>
      </c>
    </row>
    <row r="16" spans="2:4" x14ac:dyDescent="0.25">
      <c r="B16" t="s">
        <v>20</v>
      </c>
      <c r="C16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E8BC-D20A-4E3F-8451-974C6377F6F3}">
  <dimension ref="B2:R58"/>
  <sheetViews>
    <sheetView workbookViewId="0">
      <selection activeCell="C6" sqref="C6"/>
    </sheetView>
  </sheetViews>
  <sheetFormatPr baseColWidth="10" defaultRowHeight="15" x14ac:dyDescent="0.25"/>
  <cols>
    <col min="2" max="2" width="12.85546875" customWidth="1"/>
    <col min="16" max="16" width="16.85546875" customWidth="1"/>
  </cols>
  <sheetData>
    <row r="2" spans="2:18" x14ac:dyDescent="0.25">
      <c r="B2" s="5" t="s">
        <v>27</v>
      </c>
    </row>
    <row r="3" spans="2:18" x14ac:dyDescent="0.25">
      <c r="M3" s="4" t="s">
        <v>72</v>
      </c>
      <c r="O3" t="s">
        <v>31</v>
      </c>
      <c r="P3" t="s">
        <v>73</v>
      </c>
      <c r="Q3" s="4">
        <v>250</v>
      </c>
      <c r="R3" s="4" t="s">
        <v>74</v>
      </c>
    </row>
    <row r="4" spans="2:18" x14ac:dyDescent="0.25">
      <c r="B4" t="s">
        <v>28</v>
      </c>
      <c r="C4" t="s">
        <v>29</v>
      </c>
      <c r="P4" t="s">
        <v>75</v>
      </c>
      <c r="Q4" s="4">
        <v>400</v>
      </c>
      <c r="R4" s="4" t="s">
        <v>74</v>
      </c>
    </row>
    <row r="5" spans="2:18" x14ac:dyDescent="0.25">
      <c r="B5" t="s">
        <v>30</v>
      </c>
      <c r="C5" t="s">
        <v>97</v>
      </c>
      <c r="P5" t="s">
        <v>76</v>
      </c>
      <c r="Q5" s="4">
        <v>500</v>
      </c>
      <c r="R5" s="4" t="s">
        <v>74</v>
      </c>
    </row>
    <row r="6" spans="2:18" x14ac:dyDescent="0.25">
      <c r="B6" t="s">
        <v>31</v>
      </c>
      <c r="C6" t="s">
        <v>32</v>
      </c>
    </row>
    <row r="7" spans="2:18" x14ac:dyDescent="0.25">
      <c r="B7" t="s">
        <v>33</v>
      </c>
      <c r="C7" t="s">
        <v>34</v>
      </c>
      <c r="O7" t="s">
        <v>33</v>
      </c>
      <c r="P7">
        <v>100</v>
      </c>
      <c r="Q7" t="s">
        <v>74</v>
      </c>
      <c r="R7" t="s">
        <v>77</v>
      </c>
    </row>
    <row r="8" spans="2:18" x14ac:dyDescent="0.25">
      <c r="B8" t="s">
        <v>35</v>
      </c>
      <c r="C8" t="s">
        <v>37</v>
      </c>
      <c r="P8" s="6" t="s">
        <v>78</v>
      </c>
      <c r="Q8" t="s">
        <v>74</v>
      </c>
    </row>
    <row r="9" spans="2:18" x14ac:dyDescent="0.25">
      <c r="B9" t="s">
        <v>36</v>
      </c>
      <c r="C9" t="s">
        <v>37</v>
      </c>
    </row>
    <row r="10" spans="2:18" x14ac:dyDescent="0.25">
      <c r="B10" t="s">
        <v>39</v>
      </c>
      <c r="C10" t="s">
        <v>41</v>
      </c>
      <c r="P10" s="6" t="s">
        <v>79</v>
      </c>
      <c r="Q10">
        <f>100-5*(15-3)</f>
        <v>40</v>
      </c>
      <c r="R10" t="s">
        <v>74</v>
      </c>
    </row>
    <row r="11" spans="2:18" x14ac:dyDescent="0.25">
      <c r="B11" t="s">
        <v>40</v>
      </c>
      <c r="C11" t="s">
        <v>42</v>
      </c>
      <c r="Q11" s="4">
        <v>50</v>
      </c>
      <c r="R11" s="4" t="s">
        <v>74</v>
      </c>
    </row>
    <row r="13" spans="2:18" x14ac:dyDescent="0.25">
      <c r="B13" s="5" t="s">
        <v>38</v>
      </c>
      <c r="O13" t="s">
        <v>30</v>
      </c>
      <c r="P13" s="3" t="s">
        <v>80</v>
      </c>
      <c r="Q13" s="4">
        <v>100</v>
      </c>
      <c r="R13" s="4" t="s">
        <v>74</v>
      </c>
    </row>
    <row r="15" spans="2:18" x14ac:dyDescent="0.25">
      <c r="B15" t="s">
        <v>43</v>
      </c>
      <c r="C15" t="s">
        <v>44</v>
      </c>
      <c r="P15" s="3" t="s">
        <v>96</v>
      </c>
    </row>
    <row r="16" spans="2:18" x14ac:dyDescent="0.25">
      <c r="B16" t="s">
        <v>40</v>
      </c>
      <c r="C16" t="s">
        <v>45</v>
      </c>
    </row>
    <row r="17" spans="2:18" x14ac:dyDescent="0.25">
      <c r="P17" t="s">
        <v>81</v>
      </c>
    </row>
    <row r="18" spans="2:18" x14ac:dyDescent="0.25">
      <c r="B18" s="5" t="s">
        <v>46</v>
      </c>
      <c r="C18" s="5"/>
      <c r="D18" s="5"/>
      <c r="P18" t="s">
        <v>82</v>
      </c>
    </row>
    <row r="19" spans="2:18" x14ac:dyDescent="0.25">
      <c r="P19" t="s">
        <v>83</v>
      </c>
      <c r="Q19">
        <f>0.05+0.25*0.15</f>
        <v>8.7499999999999994E-2</v>
      </c>
      <c r="R19" t="s">
        <v>84</v>
      </c>
    </row>
    <row r="20" spans="2:18" x14ac:dyDescent="0.25">
      <c r="B20" t="s">
        <v>47</v>
      </c>
      <c r="D20" t="s">
        <v>51</v>
      </c>
    </row>
    <row r="21" spans="2:18" x14ac:dyDescent="0.25">
      <c r="P21" t="s">
        <v>85</v>
      </c>
      <c r="Q21">
        <v>2400</v>
      </c>
      <c r="R21" t="s">
        <v>87</v>
      </c>
    </row>
    <row r="22" spans="2:18" x14ac:dyDescent="0.25">
      <c r="B22" t="s">
        <v>48</v>
      </c>
      <c r="C22">
        <v>1.4</v>
      </c>
      <c r="D22" t="s">
        <v>28</v>
      </c>
      <c r="E22">
        <v>1.4</v>
      </c>
      <c r="F22" t="s">
        <v>30</v>
      </c>
      <c r="G22">
        <v>1.7</v>
      </c>
      <c r="H22" t="s">
        <v>31</v>
      </c>
      <c r="I22">
        <v>1.7</v>
      </c>
      <c r="J22" t="s">
        <v>33</v>
      </c>
      <c r="P22" t="s">
        <v>86</v>
      </c>
    </row>
    <row r="23" spans="2:18" x14ac:dyDescent="0.25">
      <c r="B23" t="s">
        <v>49</v>
      </c>
      <c r="C23">
        <v>1.4</v>
      </c>
      <c r="D23" t="s">
        <v>28</v>
      </c>
      <c r="E23">
        <v>1.4</v>
      </c>
      <c r="F23" t="s">
        <v>30</v>
      </c>
      <c r="G23">
        <v>1.7</v>
      </c>
      <c r="H23" t="s">
        <v>35</v>
      </c>
      <c r="I23">
        <v>1.7</v>
      </c>
      <c r="J23" t="s">
        <v>33</v>
      </c>
    </row>
    <row r="24" spans="2:18" x14ac:dyDescent="0.25">
      <c r="B24" t="s">
        <v>50</v>
      </c>
      <c r="C24">
        <v>1.4</v>
      </c>
      <c r="D24" t="s">
        <v>28</v>
      </c>
      <c r="E24">
        <v>1.4</v>
      </c>
      <c r="F24" t="s">
        <v>30</v>
      </c>
      <c r="G24">
        <v>1.7</v>
      </c>
      <c r="H24" t="s">
        <v>36</v>
      </c>
      <c r="I24">
        <v>1.7</v>
      </c>
      <c r="J24" t="s">
        <v>33</v>
      </c>
      <c r="P24" t="s">
        <v>88</v>
      </c>
    </row>
    <row r="25" spans="2:18" x14ac:dyDescent="0.25">
      <c r="Q25">
        <f>Q21*Q19</f>
        <v>210</v>
      </c>
      <c r="R25" t="s">
        <v>74</v>
      </c>
    </row>
    <row r="26" spans="2:18" x14ac:dyDescent="0.25">
      <c r="B26" t="s">
        <v>47</v>
      </c>
      <c r="D26" t="s">
        <v>105</v>
      </c>
    </row>
    <row r="27" spans="2:18" x14ac:dyDescent="0.25">
      <c r="P27" t="s">
        <v>89</v>
      </c>
    </row>
    <row r="28" spans="2:18" x14ac:dyDescent="0.25">
      <c r="B28" t="s">
        <v>52</v>
      </c>
      <c r="C28">
        <v>1.25</v>
      </c>
      <c r="D28" t="s">
        <v>28</v>
      </c>
      <c r="E28">
        <v>1.25</v>
      </c>
      <c r="F28" t="s">
        <v>30</v>
      </c>
      <c r="G28">
        <v>1.25</v>
      </c>
      <c r="H28" t="s">
        <v>31</v>
      </c>
      <c r="I28">
        <v>1.25</v>
      </c>
      <c r="J28" t="s">
        <v>33</v>
      </c>
      <c r="K28" s="1">
        <v>1</v>
      </c>
      <c r="L28" t="s">
        <v>53</v>
      </c>
      <c r="P28" t="s">
        <v>90</v>
      </c>
      <c r="Q28">
        <v>300</v>
      </c>
      <c r="R28" t="s">
        <v>74</v>
      </c>
    </row>
    <row r="29" spans="2:18" x14ac:dyDescent="0.25">
      <c r="B29" t="s">
        <v>54</v>
      </c>
      <c r="C29">
        <v>1.25</v>
      </c>
      <c r="D29" t="s">
        <v>28</v>
      </c>
      <c r="E29">
        <v>1.25</v>
      </c>
      <c r="F29" t="s">
        <v>30</v>
      </c>
      <c r="G29">
        <v>1.25</v>
      </c>
      <c r="H29" t="s">
        <v>31</v>
      </c>
      <c r="I29">
        <v>1.25</v>
      </c>
      <c r="J29" t="s">
        <v>33</v>
      </c>
      <c r="K29" s="1">
        <v>-1</v>
      </c>
      <c r="L29" t="s">
        <v>53</v>
      </c>
      <c r="P29" t="s">
        <v>91</v>
      </c>
      <c r="Q29">
        <f>Q25</f>
        <v>210</v>
      </c>
      <c r="R29" t="s">
        <v>74</v>
      </c>
    </row>
    <row r="30" spans="2:18" x14ac:dyDescent="0.25">
      <c r="B30" t="s">
        <v>55</v>
      </c>
      <c r="C30">
        <v>1.25</v>
      </c>
      <c r="D30" t="s">
        <v>28</v>
      </c>
      <c r="E30">
        <v>1.25</v>
      </c>
      <c r="F30" t="s">
        <v>30</v>
      </c>
      <c r="G30">
        <v>1.25</v>
      </c>
      <c r="H30" t="s">
        <v>31</v>
      </c>
      <c r="I30">
        <v>1.25</v>
      </c>
      <c r="J30" t="s">
        <v>33</v>
      </c>
      <c r="K30" s="1">
        <v>1</v>
      </c>
      <c r="L30" t="s">
        <v>43</v>
      </c>
      <c r="P30" t="s">
        <v>92</v>
      </c>
      <c r="Q30" s="4">
        <f>Q28-Q29</f>
        <v>90</v>
      </c>
      <c r="R30" s="4" t="s">
        <v>74</v>
      </c>
    </row>
    <row r="31" spans="2:18" x14ac:dyDescent="0.25">
      <c r="B31" t="s">
        <v>56</v>
      </c>
      <c r="C31">
        <v>1.25</v>
      </c>
      <c r="D31" t="s">
        <v>28</v>
      </c>
      <c r="E31">
        <v>1.25</v>
      </c>
      <c r="F31" t="s">
        <v>30</v>
      </c>
      <c r="G31">
        <v>1.25</v>
      </c>
      <c r="H31" t="s">
        <v>31</v>
      </c>
      <c r="I31">
        <v>1.25</v>
      </c>
      <c r="J31" t="s">
        <v>33</v>
      </c>
      <c r="K31" s="1">
        <v>-1</v>
      </c>
      <c r="L31" t="s">
        <v>43</v>
      </c>
    </row>
    <row r="32" spans="2:18" x14ac:dyDescent="0.25">
      <c r="B32" t="s">
        <v>57</v>
      </c>
      <c r="C32">
        <v>1.25</v>
      </c>
      <c r="D32" t="s">
        <v>28</v>
      </c>
      <c r="E32">
        <v>1.25</v>
      </c>
      <c r="F32" t="s">
        <v>30</v>
      </c>
      <c r="G32">
        <v>1.25</v>
      </c>
      <c r="H32" t="s">
        <v>35</v>
      </c>
      <c r="I32">
        <v>1.25</v>
      </c>
      <c r="J32" t="s">
        <v>33</v>
      </c>
      <c r="K32" s="1">
        <v>1</v>
      </c>
      <c r="L32" t="s">
        <v>53</v>
      </c>
      <c r="P32" s="3" t="s">
        <v>93</v>
      </c>
      <c r="Q32" s="4">
        <v>50</v>
      </c>
      <c r="R32" s="4" t="s">
        <v>94</v>
      </c>
    </row>
    <row r="33" spans="2:18" x14ac:dyDescent="0.25">
      <c r="B33" t="s">
        <v>58</v>
      </c>
      <c r="C33">
        <v>1.25</v>
      </c>
      <c r="D33" t="s">
        <v>28</v>
      </c>
      <c r="E33">
        <v>1.25</v>
      </c>
      <c r="F33" t="s">
        <v>30</v>
      </c>
      <c r="G33">
        <v>1.25</v>
      </c>
      <c r="H33" t="s">
        <v>35</v>
      </c>
      <c r="I33">
        <v>1.25</v>
      </c>
      <c r="J33" t="s">
        <v>33</v>
      </c>
      <c r="K33" s="1">
        <v>-1</v>
      </c>
      <c r="L33" t="s">
        <v>53</v>
      </c>
    </row>
    <row r="34" spans="2:18" x14ac:dyDescent="0.25">
      <c r="B34" t="s">
        <v>59</v>
      </c>
      <c r="C34">
        <v>1.25</v>
      </c>
      <c r="D34" t="s">
        <v>28</v>
      </c>
      <c r="E34">
        <v>1.25</v>
      </c>
      <c r="F34" t="s">
        <v>30</v>
      </c>
      <c r="G34">
        <v>1.25</v>
      </c>
      <c r="H34" t="s">
        <v>35</v>
      </c>
      <c r="I34">
        <v>1.25</v>
      </c>
      <c r="J34" t="s">
        <v>33</v>
      </c>
      <c r="K34" s="1">
        <v>1</v>
      </c>
      <c r="L34" t="s">
        <v>43</v>
      </c>
      <c r="P34" s="3" t="s">
        <v>95</v>
      </c>
    </row>
    <row r="35" spans="2:18" x14ac:dyDescent="0.25">
      <c r="B35" t="s">
        <v>60</v>
      </c>
      <c r="C35">
        <v>1.25</v>
      </c>
      <c r="D35" t="s">
        <v>28</v>
      </c>
      <c r="E35">
        <v>1.25</v>
      </c>
      <c r="F35" t="s">
        <v>30</v>
      </c>
      <c r="G35">
        <v>1.25</v>
      </c>
      <c r="H35" t="s">
        <v>35</v>
      </c>
      <c r="I35">
        <v>1.25</v>
      </c>
      <c r="J35" t="s">
        <v>33</v>
      </c>
      <c r="K35" s="1">
        <v>-1</v>
      </c>
      <c r="L35" t="s">
        <v>43</v>
      </c>
    </row>
    <row r="36" spans="2:18" x14ac:dyDescent="0.25">
      <c r="B36" t="s">
        <v>61</v>
      </c>
      <c r="C36">
        <v>1.25</v>
      </c>
      <c r="D36" t="s">
        <v>28</v>
      </c>
      <c r="E36">
        <v>1.25</v>
      </c>
      <c r="F36" t="s">
        <v>30</v>
      </c>
      <c r="G36">
        <v>1.25</v>
      </c>
      <c r="H36" t="s">
        <v>36</v>
      </c>
      <c r="I36">
        <v>1.25</v>
      </c>
      <c r="J36" t="s">
        <v>33</v>
      </c>
      <c r="K36" s="1">
        <v>1</v>
      </c>
      <c r="L36" t="s">
        <v>53</v>
      </c>
      <c r="P36" s="4" t="s">
        <v>101</v>
      </c>
    </row>
    <row r="37" spans="2:18" x14ac:dyDescent="0.25">
      <c r="B37" t="s">
        <v>62</v>
      </c>
      <c r="C37">
        <v>1.25</v>
      </c>
      <c r="D37" t="s">
        <v>28</v>
      </c>
      <c r="E37">
        <v>1.25</v>
      </c>
      <c r="F37" t="s">
        <v>30</v>
      </c>
      <c r="G37">
        <v>1.25</v>
      </c>
      <c r="H37" t="s">
        <v>36</v>
      </c>
      <c r="I37">
        <v>1.25</v>
      </c>
      <c r="J37" t="s">
        <v>33</v>
      </c>
      <c r="K37" s="1">
        <v>-1</v>
      </c>
      <c r="L37" t="s">
        <v>53</v>
      </c>
    </row>
    <row r="38" spans="2:18" x14ac:dyDescent="0.25">
      <c r="B38" t="s">
        <v>63</v>
      </c>
      <c r="C38">
        <v>1.25</v>
      </c>
      <c r="D38" t="s">
        <v>28</v>
      </c>
      <c r="E38">
        <v>1.25</v>
      </c>
      <c r="F38" t="s">
        <v>30</v>
      </c>
      <c r="G38">
        <v>1.25</v>
      </c>
      <c r="H38" t="s">
        <v>36</v>
      </c>
      <c r="I38">
        <v>1.25</v>
      </c>
      <c r="J38" t="s">
        <v>33</v>
      </c>
      <c r="K38" s="1">
        <v>1</v>
      </c>
      <c r="L38" t="s">
        <v>43</v>
      </c>
      <c r="P38" t="s">
        <v>85</v>
      </c>
      <c r="Q38">
        <v>1800</v>
      </c>
      <c r="R38" t="s">
        <v>87</v>
      </c>
    </row>
    <row r="39" spans="2:18" x14ac:dyDescent="0.25">
      <c r="B39" t="s">
        <v>64</v>
      </c>
      <c r="C39">
        <v>1.25</v>
      </c>
      <c r="D39" t="s">
        <v>28</v>
      </c>
      <c r="E39">
        <v>1.25</v>
      </c>
      <c r="F39" t="s">
        <v>30</v>
      </c>
      <c r="G39">
        <v>1.25</v>
      </c>
      <c r="H39" t="s">
        <v>36</v>
      </c>
      <c r="I39">
        <v>1.25</v>
      </c>
      <c r="J39" t="s">
        <v>33</v>
      </c>
      <c r="K39" s="1">
        <v>-1</v>
      </c>
      <c r="L39" t="s">
        <v>43</v>
      </c>
      <c r="P39" t="s">
        <v>98</v>
      </c>
      <c r="Q39" s="1">
        <v>1.2</v>
      </c>
      <c r="R39" t="s">
        <v>25</v>
      </c>
    </row>
    <row r="40" spans="2:18" x14ac:dyDescent="0.25">
      <c r="P40" t="s">
        <v>99</v>
      </c>
      <c r="Q40" s="1">
        <v>0.24</v>
      </c>
      <c r="R40" t="s">
        <v>25</v>
      </c>
    </row>
    <row r="41" spans="2:18" x14ac:dyDescent="0.25">
      <c r="B41" t="s">
        <v>65</v>
      </c>
      <c r="D41" t="s">
        <v>106</v>
      </c>
      <c r="P41" t="s">
        <v>100</v>
      </c>
      <c r="Q41" s="1">
        <f>Q38*Q39*Q40</f>
        <v>518.4</v>
      </c>
      <c r="R41" t="s">
        <v>94</v>
      </c>
    </row>
    <row r="42" spans="2:18" x14ac:dyDescent="0.25">
      <c r="P42" t="s">
        <v>100</v>
      </c>
      <c r="Q42" s="7">
        <v>520</v>
      </c>
      <c r="R42" s="4" t="s">
        <v>94</v>
      </c>
    </row>
    <row r="43" spans="2:18" x14ac:dyDescent="0.25">
      <c r="B43" t="s">
        <v>66</v>
      </c>
      <c r="C43">
        <v>0.9</v>
      </c>
      <c r="D43" t="s">
        <v>28</v>
      </c>
      <c r="E43">
        <v>0.9</v>
      </c>
      <c r="F43" t="s">
        <v>30</v>
      </c>
      <c r="G43" s="1">
        <v>1</v>
      </c>
      <c r="H43" t="s">
        <v>53</v>
      </c>
    </row>
    <row r="44" spans="2:18" x14ac:dyDescent="0.25">
      <c r="B44" t="s">
        <v>67</v>
      </c>
      <c r="C44">
        <v>0.9</v>
      </c>
      <c r="D44" t="s">
        <v>28</v>
      </c>
      <c r="E44">
        <v>0.9</v>
      </c>
      <c r="F44" t="s">
        <v>30</v>
      </c>
      <c r="G44" s="1">
        <v>-1</v>
      </c>
      <c r="H44" t="s">
        <v>53</v>
      </c>
      <c r="P44" s="4" t="s">
        <v>102</v>
      </c>
    </row>
    <row r="45" spans="2:18" x14ac:dyDescent="0.25">
      <c r="B45" t="s">
        <v>68</v>
      </c>
      <c r="C45">
        <v>0.9</v>
      </c>
      <c r="D45" t="s">
        <v>28</v>
      </c>
      <c r="E45">
        <v>0.9</v>
      </c>
      <c r="F45" t="s">
        <v>30</v>
      </c>
      <c r="G45" s="1">
        <v>1</v>
      </c>
      <c r="H45" t="s">
        <v>43</v>
      </c>
    </row>
    <row r="46" spans="2:18" x14ac:dyDescent="0.25">
      <c r="B46" t="s">
        <v>69</v>
      </c>
      <c r="C46">
        <v>0.9</v>
      </c>
      <c r="D46" t="s">
        <v>28</v>
      </c>
      <c r="E46">
        <v>0.9</v>
      </c>
      <c r="F46" t="s">
        <v>30</v>
      </c>
      <c r="G46" s="1">
        <v>-1</v>
      </c>
      <c r="H46" t="s">
        <v>43</v>
      </c>
      <c r="P46" t="s">
        <v>103</v>
      </c>
    </row>
    <row r="47" spans="2:18" x14ac:dyDescent="0.25">
      <c r="P47" t="s">
        <v>85</v>
      </c>
      <c r="Q47">
        <v>1800</v>
      </c>
      <c r="R47" t="s">
        <v>87</v>
      </c>
    </row>
    <row r="48" spans="2:18" x14ac:dyDescent="0.25">
      <c r="B48" t="s">
        <v>70</v>
      </c>
      <c r="C48" t="s">
        <v>71</v>
      </c>
      <c r="P48" t="s">
        <v>98</v>
      </c>
      <c r="Q48" s="1">
        <v>2.67</v>
      </c>
      <c r="R48" t="s">
        <v>25</v>
      </c>
    </row>
    <row r="49" spans="16:18" x14ac:dyDescent="0.25">
      <c r="P49" t="s">
        <v>99</v>
      </c>
      <c r="Q49" s="1">
        <v>0.24</v>
      </c>
      <c r="R49" t="s">
        <v>25</v>
      </c>
    </row>
    <row r="50" spans="16:18" x14ac:dyDescent="0.25">
      <c r="P50" t="s">
        <v>100</v>
      </c>
      <c r="Q50" s="1">
        <f>Q47*Q48*Q49</f>
        <v>1153.44</v>
      </c>
      <c r="R50" t="s">
        <v>94</v>
      </c>
    </row>
    <row r="51" spans="16:18" x14ac:dyDescent="0.25">
      <c r="P51" t="s">
        <v>100</v>
      </c>
      <c r="Q51" s="7">
        <v>1155</v>
      </c>
      <c r="R51" s="4" t="s">
        <v>94</v>
      </c>
    </row>
    <row r="53" spans="16:18" x14ac:dyDescent="0.25">
      <c r="P53" t="s">
        <v>104</v>
      </c>
    </row>
    <row r="54" spans="16:18" x14ac:dyDescent="0.25">
      <c r="P54" t="s">
        <v>85</v>
      </c>
      <c r="Q54">
        <v>1800</v>
      </c>
      <c r="R54" t="s">
        <v>87</v>
      </c>
    </row>
    <row r="55" spans="16:18" x14ac:dyDescent="0.25">
      <c r="P55" t="s">
        <v>98</v>
      </c>
      <c r="Q55" s="1">
        <v>4</v>
      </c>
      <c r="R55" t="s">
        <v>25</v>
      </c>
    </row>
    <row r="56" spans="16:18" x14ac:dyDescent="0.25">
      <c r="P56" t="s">
        <v>99</v>
      </c>
      <c r="Q56" s="1">
        <v>0.24</v>
      </c>
      <c r="R56" t="s">
        <v>25</v>
      </c>
    </row>
    <row r="57" spans="16:18" x14ac:dyDescent="0.25">
      <c r="P57" t="s">
        <v>100</v>
      </c>
      <c r="Q57" s="1">
        <f>Q54*Q55*Q56</f>
        <v>1728</v>
      </c>
      <c r="R57" t="s">
        <v>94</v>
      </c>
    </row>
    <row r="58" spans="16:18" x14ac:dyDescent="0.25">
      <c r="P58" t="s">
        <v>100</v>
      </c>
      <c r="Q58" s="7">
        <v>1730</v>
      </c>
      <c r="R58" s="4" t="s">
        <v>94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BED58-A92C-4A74-959C-D7CD92745080}">
  <dimension ref="B2:P221"/>
  <sheetViews>
    <sheetView tabSelected="1" topLeftCell="A52" workbookViewId="0">
      <selection activeCell="B64" sqref="B64"/>
    </sheetView>
  </sheetViews>
  <sheetFormatPr baseColWidth="10" defaultRowHeight="15" x14ac:dyDescent="0.25"/>
  <cols>
    <col min="6" max="6" width="13.140625" customWidth="1"/>
    <col min="7" max="7" width="14" customWidth="1"/>
  </cols>
  <sheetData>
    <row r="2" spans="2:8" x14ac:dyDescent="0.25">
      <c r="B2" s="12" t="s">
        <v>107</v>
      </c>
      <c r="C2" s="3"/>
      <c r="D2" s="3"/>
      <c r="E2" s="3"/>
      <c r="F2" s="3"/>
      <c r="G2" s="3"/>
      <c r="H2" s="3"/>
    </row>
    <row r="9" spans="2:8" x14ac:dyDescent="0.25">
      <c r="B9" s="8" t="s">
        <v>108</v>
      </c>
      <c r="C9" s="8" t="s">
        <v>109</v>
      </c>
      <c r="D9" s="8" t="s">
        <v>110</v>
      </c>
      <c r="E9" s="9" t="s">
        <v>111</v>
      </c>
      <c r="F9" s="9" t="s">
        <v>113</v>
      </c>
    </row>
    <row r="10" spans="2:8" x14ac:dyDescent="0.25">
      <c r="B10" s="8"/>
      <c r="C10" s="8"/>
      <c r="D10" s="8"/>
      <c r="E10" s="9" t="s">
        <v>112</v>
      </c>
      <c r="F10" s="9" t="s">
        <v>112</v>
      </c>
    </row>
    <row r="11" spans="2:8" x14ac:dyDescent="0.25">
      <c r="B11" s="10" t="s">
        <v>114</v>
      </c>
      <c r="C11" s="10" t="s">
        <v>115</v>
      </c>
      <c r="D11" s="10" t="s">
        <v>116</v>
      </c>
      <c r="E11" s="10">
        <v>100</v>
      </c>
      <c r="F11" s="10">
        <v>100</v>
      </c>
      <c r="G11" s="11" t="str">
        <f>IF(F11&gt;90, "CUMPLE","ERROR")</f>
        <v>CUMPLE</v>
      </c>
    </row>
    <row r="12" spans="2:8" x14ac:dyDescent="0.25">
      <c r="B12" s="10" t="s">
        <v>114</v>
      </c>
      <c r="C12" s="10" t="s">
        <v>115</v>
      </c>
      <c r="D12" s="10" t="s">
        <v>117</v>
      </c>
      <c r="E12" s="10">
        <v>99.73</v>
      </c>
      <c r="F12" s="10">
        <v>95.18</v>
      </c>
      <c r="G12" s="11" t="str">
        <f>IF(F12&gt;90, "CUMPLE","ERROR")</f>
        <v>CUMPLE</v>
      </c>
    </row>
    <row r="13" spans="2:8" x14ac:dyDescent="0.25">
      <c r="B13" s="10" t="s">
        <v>114</v>
      </c>
      <c r="C13" s="10" t="s">
        <v>115</v>
      </c>
      <c r="D13" s="10" t="s">
        <v>118</v>
      </c>
      <c r="E13" s="10">
        <v>0</v>
      </c>
      <c r="F13" s="10">
        <v>0</v>
      </c>
    </row>
    <row r="16" spans="2:8" x14ac:dyDescent="0.25">
      <c r="B16" s="12" t="s">
        <v>119</v>
      </c>
      <c r="C16" s="3"/>
      <c r="D16" s="3"/>
      <c r="E16" s="3"/>
      <c r="F16" s="3"/>
      <c r="G16" s="3"/>
      <c r="H16" s="3"/>
    </row>
    <row r="48" spans="2:2" x14ac:dyDescent="0.25">
      <c r="B48" s="4" t="s">
        <v>120</v>
      </c>
    </row>
    <row r="50" spans="2:8" x14ac:dyDescent="0.25">
      <c r="B50" s="9" t="s">
        <v>121</v>
      </c>
      <c r="C50" s="9" t="s">
        <v>122</v>
      </c>
      <c r="D50" s="9" t="s">
        <v>123</v>
      </c>
      <c r="E50" s="9" t="s">
        <v>124</v>
      </c>
      <c r="F50" s="9" t="s">
        <v>125</v>
      </c>
      <c r="G50" s="9" t="s">
        <v>126</v>
      </c>
    </row>
    <row r="51" spans="2:8" x14ac:dyDescent="0.25">
      <c r="B51" s="10" t="s">
        <v>127</v>
      </c>
      <c r="C51" s="10" t="s">
        <v>128</v>
      </c>
      <c r="D51" s="10" t="s">
        <v>129</v>
      </c>
      <c r="E51" s="10" t="s">
        <v>130</v>
      </c>
      <c r="F51" s="10" t="s">
        <v>6</v>
      </c>
      <c r="G51" s="10">
        <v>2.1280000000000001E-3</v>
      </c>
      <c r="H51" s="11" t="str">
        <f>IF(G51&lt;0.007,"CUMPLE","ERROR")</f>
        <v>CUMPLE</v>
      </c>
    </row>
    <row r="52" spans="2:8" x14ac:dyDescent="0.25">
      <c r="B52" s="10" t="s">
        <v>131</v>
      </c>
      <c r="C52" s="10" t="s">
        <v>128</v>
      </c>
      <c r="D52" s="10" t="s">
        <v>129</v>
      </c>
      <c r="E52" s="10" t="s">
        <v>130</v>
      </c>
      <c r="F52" s="10" t="s">
        <v>6</v>
      </c>
      <c r="G52" s="10">
        <v>4.7460000000000002E-3</v>
      </c>
      <c r="H52" s="11" t="str">
        <f t="shared" ref="H52:H53" si="0">IF(G52&lt;0.007,"CUMPLE","ERROR")</f>
        <v>CUMPLE</v>
      </c>
    </row>
    <row r="53" spans="2:8" x14ac:dyDescent="0.25">
      <c r="B53" s="10" t="s">
        <v>132</v>
      </c>
      <c r="C53" s="10" t="s">
        <v>128</v>
      </c>
      <c r="D53" s="10" t="s">
        <v>129</v>
      </c>
      <c r="E53" s="10" t="s">
        <v>130</v>
      </c>
      <c r="F53" s="10" t="s">
        <v>6</v>
      </c>
      <c r="G53" s="10">
        <v>3.558E-3</v>
      </c>
      <c r="H53" s="11" t="str">
        <f t="shared" si="0"/>
        <v>CUMPLE</v>
      </c>
    </row>
    <row r="55" spans="2:8" x14ac:dyDescent="0.25">
      <c r="B55" s="4" t="s">
        <v>133</v>
      </c>
    </row>
    <row r="57" spans="2:8" x14ac:dyDescent="0.25">
      <c r="B57" s="9" t="s">
        <v>121</v>
      </c>
      <c r="C57" s="9" t="s">
        <v>122</v>
      </c>
      <c r="D57" s="9" t="s">
        <v>123</v>
      </c>
      <c r="E57" s="9" t="s">
        <v>124</v>
      </c>
      <c r="F57" s="9" t="s">
        <v>125</v>
      </c>
      <c r="G57" s="9" t="s">
        <v>126</v>
      </c>
    </row>
    <row r="58" spans="2:8" x14ac:dyDescent="0.25">
      <c r="B58" s="10" t="s">
        <v>127</v>
      </c>
      <c r="C58" s="10" t="s">
        <v>134</v>
      </c>
      <c r="D58" s="10" t="s">
        <v>129</v>
      </c>
      <c r="E58" s="10" t="s">
        <v>130</v>
      </c>
      <c r="F58" s="10" t="s">
        <v>7</v>
      </c>
      <c r="G58" s="10">
        <v>8.3000000000000001E-4</v>
      </c>
      <c r="H58" s="11" t="str">
        <f>IF(G58&lt;0.007,"CUMPLE","ERROR")</f>
        <v>CUMPLE</v>
      </c>
    </row>
    <row r="59" spans="2:8" x14ac:dyDescent="0.25">
      <c r="B59" s="10" t="s">
        <v>131</v>
      </c>
      <c r="C59" s="10" t="s">
        <v>134</v>
      </c>
      <c r="D59" s="10" t="s">
        <v>129</v>
      </c>
      <c r="E59" s="10" t="s">
        <v>130</v>
      </c>
      <c r="F59" s="10" t="s">
        <v>7</v>
      </c>
      <c r="G59" s="10">
        <v>2.4870000000000001E-3</v>
      </c>
      <c r="H59" s="11" t="str">
        <f t="shared" ref="H59:H60" si="1">IF(G59&lt;0.007,"CUMPLE","ERROR")</f>
        <v>CUMPLE</v>
      </c>
    </row>
    <row r="60" spans="2:8" x14ac:dyDescent="0.25">
      <c r="B60" s="10" t="s">
        <v>132</v>
      </c>
      <c r="C60" s="10" t="s">
        <v>134</v>
      </c>
      <c r="D60" s="10" t="s">
        <v>129</v>
      </c>
      <c r="E60" s="10" t="s">
        <v>130</v>
      </c>
      <c r="F60" s="10" t="s">
        <v>7</v>
      </c>
      <c r="G60" s="10">
        <v>2.0249999999999999E-3</v>
      </c>
      <c r="H60" s="11" t="str">
        <f t="shared" si="1"/>
        <v>CUMPLE</v>
      </c>
    </row>
    <row r="63" spans="2:8" x14ac:dyDescent="0.25">
      <c r="B63" s="12" t="s">
        <v>198</v>
      </c>
      <c r="C63" s="3"/>
      <c r="D63" s="3"/>
      <c r="E63" s="3"/>
      <c r="F63" s="3"/>
      <c r="G63" s="3"/>
      <c r="H63" s="3"/>
    </row>
    <row r="65" spans="2:16" x14ac:dyDescent="0.25">
      <c r="B65" s="35" t="s">
        <v>135</v>
      </c>
      <c r="C65" s="36"/>
      <c r="D65" s="36"/>
      <c r="E65" s="36"/>
      <c r="F65" s="36"/>
      <c r="G65" s="37" t="s">
        <v>19</v>
      </c>
      <c r="H65" s="38">
        <v>1</v>
      </c>
    </row>
    <row r="78" spans="2:16" ht="30" x14ac:dyDescent="0.25">
      <c r="B78" s="13" t="s">
        <v>136</v>
      </c>
      <c r="C78" s="13" t="s">
        <v>137</v>
      </c>
      <c r="D78" s="13" t="s">
        <v>138</v>
      </c>
      <c r="E78" s="13" t="s">
        <v>139</v>
      </c>
      <c r="F78" s="13" t="s">
        <v>140</v>
      </c>
      <c r="G78" s="13" t="s">
        <v>141</v>
      </c>
      <c r="H78" s="13" t="s">
        <v>142</v>
      </c>
      <c r="I78" s="13" t="s">
        <v>143</v>
      </c>
      <c r="J78" s="13" t="s">
        <v>144</v>
      </c>
      <c r="K78" s="13" t="s">
        <v>145</v>
      </c>
      <c r="L78" s="13" t="s">
        <v>146</v>
      </c>
      <c r="M78" s="13" t="s">
        <v>13</v>
      </c>
      <c r="N78" s="13" t="s">
        <v>147</v>
      </c>
      <c r="O78" s="14" t="s">
        <v>148</v>
      </c>
      <c r="P78" s="14" t="s">
        <v>150</v>
      </c>
    </row>
    <row r="79" spans="2:16" x14ac:dyDescent="0.25"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4" t="s">
        <v>149</v>
      </c>
      <c r="P79" s="14" t="s">
        <v>149</v>
      </c>
    </row>
    <row r="80" spans="2:16" x14ac:dyDescent="0.25">
      <c r="B80" s="16" t="s">
        <v>39</v>
      </c>
      <c r="C80" s="16" t="s">
        <v>151</v>
      </c>
      <c r="D80" s="16" t="s">
        <v>151</v>
      </c>
      <c r="E80" s="16" t="s">
        <v>152</v>
      </c>
      <c r="F80" s="16" t="s">
        <v>151</v>
      </c>
      <c r="G80" s="16" t="s">
        <v>151</v>
      </c>
      <c r="H80" s="16" t="s">
        <v>151</v>
      </c>
      <c r="I80" s="16" t="s">
        <v>151</v>
      </c>
      <c r="J80" s="16">
        <v>0.05</v>
      </c>
      <c r="K80" s="16" t="s">
        <v>127</v>
      </c>
      <c r="L80" s="16" t="s">
        <v>153</v>
      </c>
      <c r="M80" s="16">
        <v>0.30940000000000001</v>
      </c>
      <c r="N80" s="16">
        <v>1</v>
      </c>
      <c r="O80" s="16">
        <v>719.57767999999999</v>
      </c>
      <c r="P80" s="16">
        <v>222.63730000000001</v>
      </c>
    </row>
    <row r="81" spans="2:16" x14ac:dyDescent="0.25">
      <c r="B81" s="16" t="s">
        <v>40</v>
      </c>
      <c r="C81" s="16" t="s">
        <v>151</v>
      </c>
      <c r="D81" s="16" t="s">
        <v>151</v>
      </c>
      <c r="E81" s="16" t="s">
        <v>151</v>
      </c>
      <c r="F81" s="16" t="s">
        <v>151</v>
      </c>
      <c r="G81" s="16" t="s">
        <v>151</v>
      </c>
      <c r="H81" s="16" t="s">
        <v>152</v>
      </c>
      <c r="I81" s="16" t="s">
        <v>151</v>
      </c>
      <c r="J81" s="16">
        <v>0.05</v>
      </c>
      <c r="K81" s="16" t="s">
        <v>127</v>
      </c>
      <c r="L81" s="16" t="s">
        <v>153</v>
      </c>
      <c r="M81" s="16">
        <v>0.30940000000000001</v>
      </c>
      <c r="N81" s="16">
        <v>1</v>
      </c>
      <c r="O81" s="16">
        <v>719.57767999999999</v>
      </c>
      <c r="P81" s="16">
        <v>222.63730000000001</v>
      </c>
    </row>
    <row r="83" spans="2:16" x14ac:dyDescent="0.25">
      <c r="B83" s="4" t="s">
        <v>120</v>
      </c>
    </row>
    <row r="85" spans="2:16" ht="15" customHeight="1" x14ac:dyDescent="0.25">
      <c r="B85" s="13" t="s">
        <v>121</v>
      </c>
      <c r="C85" s="13" t="s">
        <v>122</v>
      </c>
      <c r="D85" s="13" t="s">
        <v>123</v>
      </c>
      <c r="E85" s="13" t="s">
        <v>154</v>
      </c>
      <c r="F85" s="14" t="s">
        <v>155</v>
      </c>
      <c r="G85" s="14" t="s">
        <v>156</v>
      </c>
    </row>
    <row r="86" spans="2:16" x14ac:dyDescent="0.25">
      <c r="B86" s="13"/>
      <c r="C86" s="13"/>
      <c r="D86" s="13"/>
      <c r="E86" s="13"/>
      <c r="F86" s="14" t="s">
        <v>149</v>
      </c>
      <c r="G86" s="14" t="s">
        <v>149</v>
      </c>
    </row>
    <row r="87" spans="2:16" x14ac:dyDescent="0.25">
      <c r="B87" s="16" t="s">
        <v>127</v>
      </c>
      <c r="C87" s="16" t="s">
        <v>39</v>
      </c>
      <c r="D87" s="16" t="s">
        <v>157</v>
      </c>
      <c r="E87" s="16" t="s">
        <v>158</v>
      </c>
      <c r="F87" s="16">
        <v>0</v>
      </c>
      <c r="G87" s="16">
        <v>86.089699999999993</v>
      </c>
    </row>
    <row r="88" spans="2:16" x14ac:dyDescent="0.25">
      <c r="B88" s="16" t="s">
        <v>131</v>
      </c>
      <c r="C88" s="16" t="s">
        <v>39</v>
      </c>
      <c r="D88" s="16" t="s">
        <v>157</v>
      </c>
      <c r="E88" s="16" t="s">
        <v>158</v>
      </c>
      <c r="F88" s="16">
        <v>0</v>
      </c>
      <c r="G88" s="16">
        <v>178.6182</v>
      </c>
    </row>
    <row r="89" spans="2:16" x14ac:dyDescent="0.25">
      <c r="B89" s="16" t="s">
        <v>132</v>
      </c>
      <c r="C89" s="16" t="s">
        <v>39</v>
      </c>
      <c r="D89" s="16" t="s">
        <v>157</v>
      </c>
      <c r="E89" s="16" t="s">
        <v>158</v>
      </c>
      <c r="F89" s="16">
        <v>0</v>
      </c>
      <c r="G89" s="16">
        <v>222.63730000000001</v>
      </c>
    </row>
    <row r="91" spans="2:16" ht="15" customHeight="1" x14ac:dyDescent="0.25">
      <c r="B91" s="13" t="s">
        <v>121</v>
      </c>
      <c r="C91" s="13" t="s">
        <v>159</v>
      </c>
      <c r="D91" s="13" t="s">
        <v>122</v>
      </c>
      <c r="E91" s="13" t="s">
        <v>123</v>
      </c>
      <c r="F91" s="14" t="s">
        <v>162</v>
      </c>
      <c r="G91" s="14" t="s">
        <v>163</v>
      </c>
    </row>
    <row r="92" spans="2:16" x14ac:dyDescent="0.25">
      <c r="B92" s="13"/>
      <c r="C92" s="13"/>
      <c r="D92" s="13"/>
      <c r="E92" s="13"/>
      <c r="F92" s="14" t="s">
        <v>25</v>
      </c>
      <c r="G92" s="14" t="s">
        <v>25</v>
      </c>
    </row>
    <row r="93" spans="2:16" x14ac:dyDescent="0.25">
      <c r="B93" s="16" t="s">
        <v>131</v>
      </c>
      <c r="C93" s="16" t="s">
        <v>160</v>
      </c>
      <c r="D93" s="16" t="s">
        <v>39</v>
      </c>
      <c r="E93" s="16" t="s">
        <v>157</v>
      </c>
      <c r="F93" s="16">
        <v>7.2020000000000001E-3</v>
      </c>
      <c r="G93" s="16">
        <f>F93-F94</f>
        <v>3.7660000000000003E-3</v>
      </c>
    </row>
    <row r="94" spans="2:16" x14ac:dyDescent="0.25">
      <c r="B94" s="16" t="s">
        <v>132</v>
      </c>
      <c r="C94" s="16" t="s">
        <v>161</v>
      </c>
      <c r="D94" s="16" t="s">
        <v>39</v>
      </c>
      <c r="E94" s="16" t="s">
        <v>157</v>
      </c>
      <c r="F94" s="16">
        <v>3.4359999999999998E-3</v>
      </c>
      <c r="G94" s="16">
        <f>F94</f>
        <v>3.4359999999999998E-3</v>
      </c>
    </row>
    <row r="96" spans="2:16" x14ac:dyDescent="0.25">
      <c r="B96" s="13" t="s">
        <v>121</v>
      </c>
      <c r="C96" s="17" t="s">
        <v>164</v>
      </c>
      <c r="D96" s="20" t="s">
        <v>166</v>
      </c>
      <c r="E96" s="20"/>
    </row>
    <row r="97" spans="2:7" x14ac:dyDescent="0.25">
      <c r="B97" s="13"/>
      <c r="C97" s="18" t="s">
        <v>165</v>
      </c>
      <c r="D97" s="21">
        <v>0.7</v>
      </c>
      <c r="E97" s="20"/>
    </row>
    <row r="98" spans="2:7" x14ac:dyDescent="0.25">
      <c r="B98" s="16" t="s">
        <v>131</v>
      </c>
      <c r="C98" s="19">
        <f>G88/G93</f>
        <v>47429.155602761552</v>
      </c>
      <c r="D98" s="19">
        <f>C98*0.7</f>
        <v>33200.408921933085</v>
      </c>
      <c r="E98" s="19"/>
    </row>
    <row r="99" spans="2:7" x14ac:dyDescent="0.25">
      <c r="B99" s="16" t="s">
        <v>132</v>
      </c>
      <c r="C99" s="19">
        <f>G89/G94</f>
        <v>64795.488940628646</v>
      </c>
      <c r="D99" s="19"/>
      <c r="E99" s="23" t="str">
        <f>IF(C99&lt;D98,"IRREGULAR","REGULAR")</f>
        <v>REGULAR</v>
      </c>
    </row>
    <row r="102" spans="2:7" x14ac:dyDescent="0.25">
      <c r="B102" s="4" t="s">
        <v>133</v>
      </c>
    </row>
    <row r="104" spans="2:7" ht="15" customHeight="1" x14ac:dyDescent="0.25">
      <c r="B104" s="13" t="s">
        <v>121</v>
      </c>
      <c r="C104" s="13" t="s">
        <v>122</v>
      </c>
      <c r="D104" s="13" t="s">
        <v>123</v>
      </c>
      <c r="E104" s="13" t="s">
        <v>154</v>
      </c>
      <c r="F104" s="14" t="s">
        <v>155</v>
      </c>
      <c r="G104" s="14" t="s">
        <v>167</v>
      </c>
    </row>
    <row r="105" spans="2:7" x14ac:dyDescent="0.25">
      <c r="B105" s="13"/>
      <c r="C105" s="13"/>
      <c r="D105" s="13"/>
      <c r="E105" s="13"/>
      <c r="F105" s="14" t="s">
        <v>149</v>
      </c>
      <c r="G105" s="14" t="s">
        <v>149</v>
      </c>
    </row>
    <row r="106" spans="2:7" x14ac:dyDescent="0.25">
      <c r="B106" s="16" t="s">
        <v>127</v>
      </c>
      <c r="C106" s="16" t="s">
        <v>40</v>
      </c>
      <c r="D106" s="16" t="s">
        <v>157</v>
      </c>
      <c r="E106" s="16" t="s">
        <v>158</v>
      </c>
      <c r="F106" s="16">
        <v>0</v>
      </c>
      <c r="G106" s="16">
        <v>86.089699999999993</v>
      </c>
    </row>
    <row r="107" spans="2:7" x14ac:dyDescent="0.25">
      <c r="B107" s="16" t="s">
        <v>131</v>
      </c>
      <c r="C107" s="16" t="s">
        <v>40</v>
      </c>
      <c r="D107" s="16" t="s">
        <v>157</v>
      </c>
      <c r="E107" s="16" t="s">
        <v>158</v>
      </c>
      <c r="F107" s="16">
        <v>0</v>
      </c>
      <c r="G107" s="16">
        <v>178.6182</v>
      </c>
    </row>
    <row r="108" spans="2:7" x14ac:dyDescent="0.25">
      <c r="B108" s="16" t="s">
        <v>132</v>
      </c>
      <c r="C108" s="16" t="s">
        <v>40</v>
      </c>
      <c r="D108" s="16" t="s">
        <v>157</v>
      </c>
      <c r="E108" s="16" t="s">
        <v>158</v>
      </c>
      <c r="F108" s="16">
        <v>0</v>
      </c>
      <c r="G108" s="16">
        <v>222.63730000000001</v>
      </c>
    </row>
    <row r="110" spans="2:7" ht="15" customHeight="1" x14ac:dyDescent="0.25">
      <c r="B110" s="13" t="s">
        <v>121</v>
      </c>
      <c r="C110" s="13" t="s">
        <v>159</v>
      </c>
      <c r="D110" s="13" t="s">
        <v>122</v>
      </c>
      <c r="E110" s="13" t="s">
        <v>123</v>
      </c>
      <c r="F110" s="14" t="s">
        <v>168</v>
      </c>
      <c r="G110" s="14" t="s">
        <v>169</v>
      </c>
    </row>
    <row r="111" spans="2:7" x14ac:dyDescent="0.25">
      <c r="B111" s="13"/>
      <c r="C111" s="13"/>
      <c r="D111" s="13"/>
      <c r="E111" s="13"/>
      <c r="F111" s="14" t="s">
        <v>25</v>
      </c>
      <c r="G111" s="14" t="s">
        <v>25</v>
      </c>
    </row>
    <row r="112" spans="2:7" x14ac:dyDescent="0.25">
      <c r="B112" s="16" t="s">
        <v>131</v>
      </c>
      <c r="C112" s="16" t="s">
        <v>160</v>
      </c>
      <c r="D112" s="16" t="s">
        <v>40</v>
      </c>
      <c r="E112" s="16" t="s">
        <v>157</v>
      </c>
      <c r="F112" s="16">
        <v>1.632E-3</v>
      </c>
      <c r="G112" s="16">
        <f>F112-F113</f>
        <v>8.4499999999999994E-4</v>
      </c>
    </row>
    <row r="113" spans="2:7" x14ac:dyDescent="0.25">
      <c r="B113" s="16" t="s">
        <v>132</v>
      </c>
      <c r="C113" s="16" t="s">
        <v>161</v>
      </c>
      <c r="D113" s="16" t="s">
        <v>40</v>
      </c>
      <c r="E113" s="16" t="s">
        <v>157</v>
      </c>
      <c r="F113" s="16">
        <v>7.8700000000000005E-4</v>
      </c>
      <c r="G113" s="16">
        <f>F113</f>
        <v>7.8700000000000005E-4</v>
      </c>
    </row>
    <row r="115" spans="2:7" x14ac:dyDescent="0.25">
      <c r="B115" s="13" t="s">
        <v>121</v>
      </c>
      <c r="C115" s="17" t="s">
        <v>164</v>
      </c>
      <c r="D115" s="20" t="s">
        <v>166</v>
      </c>
      <c r="E115" s="20"/>
    </row>
    <row r="116" spans="2:7" x14ac:dyDescent="0.25">
      <c r="B116" s="13"/>
      <c r="C116" s="18" t="s">
        <v>165</v>
      </c>
      <c r="D116" s="21">
        <v>0.7</v>
      </c>
      <c r="E116" s="20"/>
    </row>
    <row r="117" spans="2:7" x14ac:dyDescent="0.25">
      <c r="B117" s="16" t="s">
        <v>131</v>
      </c>
      <c r="C117" s="19">
        <f>G107/G112</f>
        <v>211382.4852071006</v>
      </c>
      <c r="D117" s="19">
        <f>C117*0.7</f>
        <v>147967.73964497042</v>
      </c>
      <c r="E117" s="19"/>
    </row>
    <row r="118" spans="2:7" x14ac:dyDescent="0.25">
      <c r="B118" s="16" t="s">
        <v>132</v>
      </c>
      <c r="C118" s="19">
        <f>G108/G113</f>
        <v>282893.64675984753</v>
      </c>
      <c r="D118" s="19"/>
      <c r="E118" s="23" t="str">
        <f>IF(C118&lt;D117,"IRREGULAR","REGULAR")</f>
        <v>REGULAR</v>
      </c>
    </row>
    <row r="127" spans="2:7" x14ac:dyDescent="0.25">
      <c r="B127" s="4" t="s">
        <v>120</v>
      </c>
    </row>
    <row r="129" spans="2:9" x14ac:dyDescent="0.25">
      <c r="B129" s="13" t="s">
        <v>121</v>
      </c>
      <c r="C129" s="13" t="s">
        <v>122</v>
      </c>
      <c r="D129" s="13" t="s">
        <v>123</v>
      </c>
      <c r="E129" s="13" t="s">
        <v>154</v>
      </c>
      <c r="F129" s="14" t="s">
        <v>155</v>
      </c>
      <c r="G129" s="14" t="s">
        <v>156</v>
      </c>
      <c r="H129" s="20" t="s">
        <v>166</v>
      </c>
      <c r="I129" s="20"/>
    </row>
    <row r="130" spans="2:9" x14ac:dyDescent="0.25">
      <c r="B130" s="13"/>
      <c r="C130" s="13"/>
      <c r="D130" s="13"/>
      <c r="E130" s="13"/>
      <c r="F130" s="14" t="s">
        <v>149</v>
      </c>
      <c r="G130" s="14" t="s">
        <v>149</v>
      </c>
      <c r="H130" s="21">
        <v>0.8</v>
      </c>
      <c r="I130" s="20"/>
    </row>
    <row r="131" spans="2:9" x14ac:dyDescent="0.25">
      <c r="B131" s="16" t="s">
        <v>127</v>
      </c>
      <c r="C131" s="16" t="s">
        <v>39</v>
      </c>
      <c r="D131" s="16" t="s">
        <v>157</v>
      </c>
      <c r="E131" s="16" t="s">
        <v>158</v>
      </c>
      <c r="F131" s="16">
        <v>0</v>
      </c>
      <c r="G131" s="16">
        <v>86.089699999999993</v>
      </c>
      <c r="H131" s="19">
        <f>G131*0.8</f>
        <v>68.871759999999995</v>
      </c>
      <c r="I131" s="19"/>
    </row>
    <row r="132" spans="2:9" x14ac:dyDescent="0.25">
      <c r="B132" s="16" t="s">
        <v>131</v>
      </c>
      <c r="C132" s="16" t="s">
        <v>39</v>
      </c>
      <c r="D132" s="16" t="s">
        <v>157</v>
      </c>
      <c r="E132" s="16" t="s">
        <v>158</v>
      </c>
      <c r="F132" s="16">
        <v>0</v>
      </c>
      <c r="G132" s="16">
        <v>178.6182</v>
      </c>
      <c r="H132" s="19">
        <f>G132*0.8</f>
        <v>142.89456000000001</v>
      </c>
      <c r="I132" s="23" t="str">
        <f>IF(G132&lt;H131,"IRREGULAR","REGULAR")</f>
        <v>REGULAR</v>
      </c>
    </row>
    <row r="133" spans="2:9" x14ac:dyDescent="0.25">
      <c r="B133" s="16" t="s">
        <v>132</v>
      </c>
      <c r="C133" s="16" t="s">
        <v>39</v>
      </c>
      <c r="D133" s="16" t="s">
        <v>157</v>
      </c>
      <c r="E133" s="16" t="s">
        <v>158</v>
      </c>
      <c r="F133" s="16">
        <v>0</v>
      </c>
      <c r="G133" s="16">
        <v>222.63730000000001</v>
      </c>
      <c r="H133" s="19"/>
      <c r="I133" s="23" t="str">
        <f>IF(G133&lt;H132,"IRREGULAR","REGULAR")</f>
        <v>REGULAR</v>
      </c>
    </row>
    <row r="135" spans="2:9" x14ac:dyDescent="0.25">
      <c r="B135" s="4" t="s">
        <v>133</v>
      </c>
    </row>
    <row r="137" spans="2:9" x14ac:dyDescent="0.25">
      <c r="B137" s="13" t="s">
        <v>121</v>
      </c>
      <c r="C137" s="13" t="s">
        <v>122</v>
      </c>
      <c r="D137" s="13" t="s">
        <v>123</v>
      </c>
      <c r="E137" s="13" t="s">
        <v>154</v>
      </c>
      <c r="F137" s="14" t="s">
        <v>155</v>
      </c>
      <c r="G137" s="14" t="s">
        <v>167</v>
      </c>
      <c r="H137" s="20" t="s">
        <v>166</v>
      </c>
      <c r="I137" s="20"/>
    </row>
    <row r="138" spans="2:9" x14ac:dyDescent="0.25">
      <c r="B138" s="13"/>
      <c r="C138" s="13"/>
      <c r="D138" s="13"/>
      <c r="E138" s="13"/>
      <c r="F138" s="14" t="s">
        <v>149</v>
      </c>
      <c r="G138" s="14" t="s">
        <v>149</v>
      </c>
      <c r="H138" s="21">
        <v>0.8</v>
      </c>
      <c r="I138" s="20"/>
    </row>
    <row r="139" spans="2:9" x14ac:dyDescent="0.25">
      <c r="B139" s="16" t="s">
        <v>127</v>
      </c>
      <c r="C139" s="16" t="s">
        <v>40</v>
      </c>
      <c r="D139" s="16" t="s">
        <v>157</v>
      </c>
      <c r="E139" s="16" t="s">
        <v>158</v>
      </c>
      <c r="F139" s="16">
        <v>0</v>
      </c>
      <c r="G139" s="16">
        <v>86.089699999999993</v>
      </c>
      <c r="H139" s="19">
        <f>G139*0.8</f>
        <v>68.871759999999995</v>
      </c>
      <c r="I139" s="19"/>
    </row>
    <row r="140" spans="2:9" x14ac:dyDescent="0.25">
      <c r="B140" s="16" t="s">
        <v>131</v>
      </c>
      <c r="C140" s="16" t="s">
        <v>40</v>
      </c>
      <c r="D140" s="16" t="s">
        <v>157</v>
      </c>
      <c r="E140" s="16" t="s">
        <v>158</v>
      </c>
      <c r="F140" s="16">
        <v>0</v>
      </c>
      <c r="G140" s="16">
        <v>178.6182</v>
      </c>
      <c r="H140" s="19">
        <f>G140*0.8</f>
        <v>142.89456000000001</v>
      </c>
      <c r="I140" s="23" t="str">
        <f>IF(G140&lt;H139,"IRREGULAR","REGULAR")</f>
        <v>REGULAR</v>
      </c>
    </row>
    <row r="141" spans="2:9" x14ac:dyDescent="0.25">
      <c r="B141" s="16" t="s">
        <v>132</v>
      </c>
      <c r="C141" s="16" t="s">
        <v>40</v>
      </c>
      <c r="D141" s="16" t="s">
        <v>157</v>
      </c>
      <c r="E141" s="16" t="s">
        <v>158</v>
      </c>
      <c r="F141" s="16">
        <v>0</v>
      </c>
      <c r="G141" s="16">
        <v>222.63730000000001</v>
      </c>
      <c r="H141" s="19"/>
      <c r="I141" s="23" t="str">
        <f>IF(G141&lt;H140,"IRREGULAR","REGULAR")</f>
        <v>REGULAR</v>
      </c>
    </row>
    <row r="149" spans="2:10" x14ac:dyDescent="0.25">
      <c r="B149" s="13" t="s">
        <v>121</v>
      </c>
      <c r="C149" s="14" t="s">
        <v>116</v>
      </c>
      <c r="D149" s="14" t="s">
        <v>117</v>
      </c>
      <c r="E149" s="14" t="s">
        <v>118</v>
      </c>
      <c r="F149" s="25" t="s">
        <v>171</v>
      </c>
      <c r="G149" s="24" t="s">
        <v>166</v>
      </c>
      <c r="H149" s="24"/>
      <c r="I149" s="24"/>
      <c r="J149" s="24"/>
    </row>
    <row r="150" spans="2:10" x14ac:dyDescent="0.25">
      <c r="B150" s="13"/>
      <c r="C150" s="14" t="s">
        <v>170</v>
      </c>
      <c r="D150" s="14" t="s">
        <v>170</v>
      </c>
      <c r="E150" s="14" t="s">
        <v>170</v>
      </c>
      <c r="F150" s="25" t="s">
        <v>172</v>
      </c>
      <c r="G150" s="24">
        <v>1.5</v>
      </c>
      <c r="H150" s="24"/>
      <c r="I150" s="24"/>
      <c r="J150" s="24"/>
    </row>
    <row r="151" spans="2:10" x14ac:dyDescent="0.25">
      <c r="B151" s="16" t="s">
        <v>127</v>
      </c>
      <c r="C151" s="16">
        <v>17.179639999999999</v>
      </c>
      <c r="D151" s="16">
        <v>17.179639999999999</v>
      </c>
      <c r="E151" s="16">
        <v>0</v>
      </c>
      <c r="F151" s="29">
        <f>O80-F152-F153</f>
        <v>198.58940042400002</v>
      </c>
      <c r="G151" s="19">
        <f>F151/F152</f>
        <v>0.77587689980297581</v>
      </c>
      <c r="H151" s="30" t="str">
        <f>IF(G151&gt;1.5,"IRREGULAR","REGULAR")</f>
        <v>REGULAR</v>
      </c>
      <c r="I151" s="19"/>
      <c r="J151" s="19"/>
    </row>
    <row r="152" spans="2:10" x14ac:dyDescent="0.25">
      <c r="B152" s="16" t="s">
        <v>131</v>
      </c>
      <c r="C152" s="16">
        <v>30.167090000000002</v>
      </c>
      <c r="D152" s="16">
        <v>30.167090000000002</v>
      </c>
      <c r="E152" s="16">
        <v>0</v>
      </c>
      <c r="F152" s="29">
        <f>PESO!D43</f>
        <v>255.9547790048</v>
      </c>
      <c r="G152" s="19">
        <f>F152/F153</f>
        <v>0.96574500375675709</v>
      </c>
      <c r="H152" s="30" t="str">
        <f>IF(G152&gt;1.5,"IRREGULAR","REGULAR")</f>
        <v>REGULAR</v>
      </c>
      <c r="I152" s="19">
        <f>F152/F151</f>
        <v>1.288864251859976</v>
      </c>
      <c r="J152" s="30" t="str">
        <f>IF(I152&gt;1.5,"IRREGULAR","REGULAR")</f>
        <v>REGULAR</v>
      </c>
    </row>
    <row r="153" spans="2:10" x14ac:dyDescent="0.25">
      <c r="B153" s="16" t="s">
        <v>132</v>
      </c>
      <c r="C153" s="16">
        <v>26.029769999999999</v>
      </c>
      <c r="D153" s="16">
        <v>26.029769999999999</v>
      </c>
      <c r="E153" s="16">
        <v>0</v>
      </c>
      <c r="F153" s="29">
        <f>PESO!D2</f>
        <v>265.03350057119997</v>
      </c>
      <c r="G153" s="19"/>
      <c r="H153" s="19"/>
      <c r="I153" s="19">
        <f>F153/F152</f>
        <v>1.035470021703442</v>
      </c>
      <c r="J153" s="30" t="str">
        <f>IF(I153&gt;1.5,"IRREGULAR","REGULAR")</f>
        <v>REGULAR</v>
      </c>
    </row>
    <row r="154" spans="2:10" x14ac:dyDescent="0.25">
      <c r="B154" s="16" t="s">
        <v>153</v>
      </c>
      <c r="C154" s="16">
        <v>3.5382899999999999</v>
      </c>
      <c r="D154" s="16">
        <v>3.5382899999999999</v>
      </c>
      <c r="E154" s="16">
        <v>0</v>
      </c>
      <c r="F154" s="19"/>
      <c r="G154" s="19"/>
      <c r="H154" s="19"/>
      <c r="I154" s="19"/>
      <c r="J154" s="19"/>
    </row>
    <row r="163" spans="2:12" x14ac:dyDescent="0.25">
      <c r="B163" s="4"/>
    </row>
    <row r="164" spans="2:12" x14ac:dyDescent="0.25">
      <c r="B164" s="13" t="s">
        <v>121</v>
      </c>
      <c r="C164" s="32" t="s">
        <v>190</v>
      </c>
      <c r="D164" s="33"/>
      <c r="E164" s="32" t="s">
        <v>166</v>
      </c>
      <c r="F164" s="34"/>
      <c r="G164" s="34"/>
      <c r="H164" s="34"/>
      <c r="I164" s="34"/>
      <c r="J164" s="34"/>
      <c r="K164" s="34"/>
      <c r="L164" s="33"/>
    </row>
    <row r="165" spans="2:12" x14ac:dyDescent="0.25">
      <c r="B165" s="13"/>
      <c r="C165" s="31" t="s">
        <v>6</v>
      </c>
      <c r="D165" s="31" t="s">
        <v>7</v>
      </c>
      <c r="E165" s="32" t="s">
        <v>120</v>
      </c>
      <c r="F165" s="34"/>
      <c r="G165" s="34"/>
      <c r="H165" s="33"/>
      <c r="I165" s="32" t="s">
        <v>133</v>
      </c>
      <c r="J165" s="34"/>
      <c r="K165" s="34"/>
      <c r="L165" s="33"/>
    </row>
    <row r="166" spans="2:12" x14ac:dyDescent="0.25">
      <c r="B166" s="16" t="s">
        <v>127</v>
      </c>
      <c r="C166" s="22">
        <v>23.4</v>
      </c>
      <c r="D166" s="22">
        <f>7.65+2.22</f>
        <v>9.870000000000001</v>
      </c>
      <c r="E166" s="29">
        <f>C166/C167</f>
        <v>1</v>
      </c>
      <c r="F166" s="23" t="str">
        <f>IF(E166&gt;1.3,"IRREGULAR","REGULAR")</f>
        <v>REGULAR</v>
      </c>
      <c r="G166" s="19"/>
      <c r="H166" s="19"/>
      <c r="I166" s="29">
        <f>D166/D167</f>
        <v>1</v>
      </c>
      <c r="J166" s="23" t="str">
        <f>IF(I166&gt;1.3,"IRREGULAR","REGULAR")</f>
        <v>REGULAR</v>
      </c>
      <c r="K166" s="19"/>
      <c r="L166" s="19"/>
    </row>
    <row r="167" spans="2:12" x14ac:dyDescent="0.25">
      <c r="B167" s="16" t="s">
        <v>131</v>
      </c>
      <c r="C167" s="22">
        <v>23.4</v>
      </c>
      <c r="D167" s="22">
        <f>7.65+2.22</f>
        <v>9.870000000000001</v>
      </c>
      <c r="E167" s="29">
        <f>C167/C168</f>
        <v>1</v>
      </c>
      <c r="F167" s="23" t="str">
        <f>IF(E167&gt;1.3,"IRREGULAR","REGULAR")</f>
        <v>REGULAR</v>
      </c>
      <c r="G167" s="29">
        <f>C167/C166</f>
        <v>1</v>
      </c>
      <c r="H167" s="23" t="str">
        <f>IF(G167&gt;1.3,"IRREGULAR","REGULAR")</f>
        <v>REGULAR</v>
      </c>
      <c r="I167" s="29">
        <f>D167/D168</f>
        <v>1</v>
      </c>
      <c r="J167" s="23" t="str">
        <f>IF(I167&gt;1.3,"IRREGULAR","REGULAR")</f>
        <v>REGULAR</v>
      </c>
      <c r="K167" s="29">
        <f>D167/D166</f>
        <v>1</v>
      </c>
      <c r="L167" s="23" t="str">
        <f>IF(K167&gt;1.3,"IRREGULAR","REGULAR")</f>
        <v>REGULAR</v>
      </c>
    </row>
    <row r="168" spans="2:12" x14ac:dyDescent="0.25">
      <c r="B168" s="16" t="s">
        <v>132</v>
      </c>
      <c r="C168" s="22">
        <v>23.4</v>
      </c>
      <c r="D168" s="22">
        <f>7.65+2.22</f>
        <v>9.870000000000001</v>
      </c>
      <c r="E168" s="19"/>
      <c r="F168" s="19"/>
      <c r="G168" s="29">
        <f>C168/C167</f>
        <v>1</v>
      </c>
      <c r="H168" s="23" t="str">
        <f>IF(G168&gt;1.3,"IRREGULAR","REGULAR")</f>
        <v>REGULAR</v>
      </c>
      <c r="I168" s="19"/>
      <c r="J168" s="19"/>
      <c r="K168" s="29">
        <f>D168/D167</f>
        <v>1</v>
      </c>
      <c r="L168" s="23" t="str">
        <f>IF(K168&gt;1.3,"IRREGULAR","REGULAR")</f>
        <v>REGULAR</v>
      </c>
    </row>
    <row r="179" spans="2:8" x14ac:dyDescent="0.25">
      <c r="B179" s="35" t="s">
        <v>191</v>
      </c>
      <c r="C179" s="36"/>
      <c r="D179" s="36"/>
      <c r="E179" s="36"/>
      <c r="F179" s="36"/>
      <c r="G179" s="37" t="s">
        <v>20</v>
      </c>
      <c r="H179" s="38">
        <v>1</v>
      </c>
    </row>
    <row r="193" spans="2:8" x14ac:dyDescent="0.25">
      <c r="B193" s="4" t="s">
        <v>120</v>
      </c>
    </row>
    <row r="195" spans="2:8" x14ac:dyDescent="0.25">
      <c r="B195" s="14" t="s">
        <v>121</v>
      </c>
      <c r="C195" s="14" t="s">
        <v>192</v>
      </c>
      <c r="D195" s="31" t="s">
        <v>163</v>
      </c>
      <c r="E195" s="39" t="s">
        <v>193</v>
      </c>
      <c r="F195" s="39" t="s">
        <v>194</v>
      </c>
      <c r="G195" s="31" t="s">
        <v>166</v>
      </c>
    </row>
    <row r="196" spans="2:8" x14ac:dyDescent="0.25">
      <c r="B196" s="16" t="s">
        <v>132</v>
      </c>
      <c r="C196" s="15">
        <v>3.3270000000000001E-3</v>
      </c>
      <c r="D196" s="19">
        <f>C196*408</f>
        <v>1.357416</v>
      </c>
      <c r="E196" s="43">
        <f>MAX(D196:D199)</f>
        <v>1.4516640000000001</v>
      </c>
      <c r="F196" s="43">
        <f>AVERAGE(D196:D199)</f>
        <v>1.4045399999999999</v>
      </c>
      <c r="G196" s="40">
        <f>E196/F196</f>
        <v>1.0335511982570806</v>
      </c>
      <c r="H196" s="11" t="str">
        <f>IF(G196&gt;1.3,"IRREGULAR","REGULAR")</f>
        <v>REGULAR</v>
      </c>
    </row>
    <row r="197" spans="2:8" x14ac:dyDescent="0.25">
      <c r="B197" s="16" t="s">
        <v>132</v>
      </c>
      <c r="C197" s="15">
        <v>3.558E-3</v>
      </c>
      <c r="D197" s="19">
        <f t="shared" ref="D197:D199" si="2">C197*408</f>
        <v>1.4516640000000001</v>
      </c>
      <c r="E197" s="44"/>
      <c r="F197" s="44"/>
      <c r="G197" s="41"/>
    </row>
    <row r="198" spans="2:8" x14ac:dyDescent="0.25">
      <c r="B198" s="16" t="s">
        <v>132</v>
      </c>
      <c r="C198" s="15">
        <v>3.558E-3</v>
      </c>
      <c r="D198" s="19">
        <f t="shared" si="2"/>
        <v>1.4516640000000001</v>
      </c>
      <c r="E198" s="44"/>
      <c r="F198" s="44"/>
      <c r="G198" s="41"/>
    </row>
    <row r="199" spans="2:8" x14ac:dyDescent="0.25">
      <c r="B199" s="16" t="s">
        <v>132</v>
      </c>
      <c r="C199" s="15">
        <v>3.3270000000000001E-3</v>
      </c>
      <c r="D199" s="19">
        <f t="shared" si="2"/>
        <v>1.357416</v>
      </c>
      <c r="E199" s="45"/>
      <c r="F199" s="45"/>
      <c r="G199" s="42"/>
    </row>
    <row r="200" spans="2:8" x14ac:dyDescent="0.25">
      <c r="B200" s="16" t="s">
        <v>131</v>
      </c>
      <c r="C200" s="15">
        <v>4.411E-3</v>
      </c>
      <c r="D200" s="19">
        <f>C200*332</f>
        <v>1.4644520000000001</v>
      </c>
      <c r="E200" s="46">
        <f>MAX(D200:D205)</f>
        <v>1.575672</v>
      </c>
      <c r="F200" s="43">
        <f>AVERAGE(D200:D205)</f>
        <v>1.5044026666666666</v>
      </c>
      <c r="G200" s="43">
        <f>E200/F200</f>
        <v>1.047373841400618</v>
      </c>
      <c r="H200" s="11" t="str">
        <f>IF(G200&gt;1.3,"IRREGULAR","REGULAR")</f>
        <v>REGULAR</v>
      </c>
    </row>
    <row r="201" spans="2:8" x14ac:dyDescent="0.25">
      <c r="B201" s="16" t="s">
        <v>131</v>
      </c>
      <c r="C201" s="15">
        <v>4.7460000000000002E-3</v>
      </c>
      <c r="D201" s="19">
        <f t="shared" ref="D201:D206" si="3">C201*332</f>
        <v>1.575672</v>
      </c>
      <c r="E201" s="46"/>
      <c r="F201" s="44"/>
      <c r="G201" s="44"/>
    </row>
    <row r="202" spans="2:8" x14ac:dyDescent="0.25">
      <c r="B202" s="16" t="s">
        <v>131</v>
      </c>
      <c r="C202" s="15">
        <v>4.7460000000000002E-3</v>
      </c>
      <c r="D202" s="19">
        <f t="shared" si="3"/>
        <v>1.575672</v>
      </c>
      <c r="E202" s="46"/>
      <c r="F202" s="44"/>
      <c r="G202" s="44"/>
    </row>
    <row r="203" spans="2:8" x14ac:dyDescent="0.25">
      <c r="B203" s="16" t="s">
        <v>131</v>
      </c>
      <c r="C203" s="15">
        <v>4.411E-3</v>
      </c>
      <c r="D203" s="19">
        <f t="shared" si="3"/>
        <v>1.4644520000000001</v>
      </c>
      <c r="E203" s="46"/>
      <c r="F203" s="44"/>
      <c r="G203" s="44"/>
    </row>
    <row r="204" spans="2:8" x14ac:dyDescent="0.25">
      <c r="B204" s="16" t="s">
        <v>131</v>
      </c>
      <c r="C204" s="15">
        <v>4.437E-3</v>
      </c>
      <c r="D204" s="19">
        <f t="shared" si="3"/>
        <v>1.4730840000000001</v>
      </c>
      <c r="E204" s="46"/>
      <c r="F204" s="44"/>
      <c r="G204" s="44"/>
    </row>
    <row r="205" spans="2:8" x14ac:dyDescent="0.25">
      <c r="B205" s="16" t="s">
        <v>131</v>
      </c>
      <c r="C205" s="15">
        <v>4.437E-3</v>
      </c>
      <c r="D205" s="19">
        <f t="shared" si="3"/>
        <v>1.4730840000000001</v>
      </c>
      <c r="E205" s="46"/>
      <c r="F205" s="45"/>
      <c r="G205" s="45"/>
    </row>
    <row r="206" spans="2:8" x14ac:dyDescent="0.25">
      <c r="B206" s="16" t="s">
        <v>127</v>
      </c>
      <c r="C206" s="47">
        <v>2.1280000000000001E-3</v>
      </c>
      <c r="D206" s="48">
        <f>C206*469</f>
        <v>0.99803200000000003</v>
      </c>
      <c r="E206" s="49">
        <f>MAX(D206)</f>
        <v>0.99803200000000003</v>
      </c>
      <c r="F206" s="49">
        <f>AVERAGE(E206)</f>
        <v>0.99803200000000003</v>
      </c>
      <c r="G206" s="49">
        <f>E206/F206</f>
        <v>1</v>
      </c>
      <c r="H206" s="11" t="str">
        <f>IF(G206&gt;1.3,"IRREGULAR","REGULAR")</f>
        <v>REGULAR</v>
      </c>
    </row>
    <row r="208" spans="2:8" x14ac:dyDescent="0.25">
      <c r="B208" s="4" t="s">
        <v>133</v>
      </c>
    </row>
    <row r="210" spans="2:8" x14ac:dyDescent="0.25">
      <c r="B210" s="14" t="s">
        <v>121</v>
      </c>
      <c r="C210" s="14" t="s">
        <v>195</v>
      </c>
      <c r="D210" s="31" t="s">
        <v>169</v>
      </c>
      <c r="E210" s="39" t="s">
        <v>196</v>
      </c>
      <c r="F210" s="39" t="s">
        <v>197</v>
      </c>
      <c r="G210" s="31" t="s">
        <v>166</v>
      </c>
    </row>
    <row r="211" spans="2:8" x14ac:dyDescent="0.25">
      <c r="B211" s="16" t="s">
        <v>132</v>
      </c>
      <c r="C211" s="15">
        <v>2.0249999999999999E-3</v>
      </c>
      <c r="D211" s="19">
        <f>C211*408</f>
        <v>0.82619999999999993</v>
      </c>
      <c r="E211" s="43">
        <f>MAX(D211:D214)</f>
        <v>0.82619999999999993</v>
      </c>
      <c r="F211" s="43">
        <f>AVERAGE(D211:D214)</f>
        <v>0.816612</v>
      </c>
      <c r="G211" s="40">
        <f>E211/F211</f>
        <v>1.0117411941044216</v>
      </c>
      <c r="H211" s="11" t="str">
        <f>IF(G211&gt;1.3,"IRREGULAR","REGULAR")</f>
        <v>REGULAR</v>
      </c>
    </row>
    <row r="212" spans="2:8" x14ac:dyDescent="0.25">
      <c r="B212" s="16" t="s">
        <v>132</v>
      </c>
      <c r="C212" s="15">
        <v>1.9780000000000002E-3</v>
      </c>
      <c r="D212" s="19">
        <f t="shared" ref="D212:D214" si="4">C212*408</f>
        <v>0.80702400000000007</v>
      </c>
      <c r="E212" s="44"/>
      <c r="F212" s="44"/>
      <c r="G212" s="41"/>
    </row>
    <row r="213" spans="2:8" x14ac:dyDescent="0.25">
      <c r="B213" s="16" t="s">
        <v>132</v>
      </c>
      <c r="C213" s="15">
        <v>2.0249999999999999E-3</v>
      </c>
      <c r="D213" s="19">
        <f t="shared" si="4"/>
        <v>0.82619999999999993</v>
      </c>
      <c r="E213" s="44"/>
      <c r="F213" s="44"/>
      <c r="G213" s="41"/>
    </row>
    <row r="214" spans="2:8" x14ac:dyDescent="0.25">
      <c r="B214" s="16" t="s">
        <v>132</v>
      </c>
      <c r="C214" s="15">
        <v>1.9780000000000002E-3</v>
      </c>
      <c r="D214" s="19">
        <f t="shared" si="4"/>
        <v>0.80702400000000007</v>
      </c>
      <c r="E214" s="45"/>
      <c r="F214" s="45"/>
      <c r="G214" s="42"/>
    </row>
    <row r="215" spans="2:8" x14ac:dyDescent="0.25">
      <c r="B215" s="16" t="s">
        <v>131</v>
      </c>
      <c r="C215" s="15">
        <v>2.3509999999999998E-3</v>
      </c>
      <c r="D215" s="19">
        <f>C215*332</f>
        <v>0.78053199999999989</v>
      </c>
      <c r="E215" s="46">
        <f>MAX(D215:D220)</f>
        <v>0.82568399999999997</v>
      </c>
      <c r="F215" s="43">
        <f>AVERAGE(D215:D220)</f>
        <v>0.80310799999999993</v>
      </c>
      <c r="G215" s="43">
        <f>E215/F215</f>
        <v>1.0281107895824722</v>
      </c>
      <c r="H215" s="11" t="str">
        <f>IF(G215&gt;1.3,"IRREGULAR","REGULAR")</f>
        <v>REGULAR</v>
      </c>
    </row>
    <row r="216" spans="2:8" x14ac:dyDescent="0.25">
      <c r="B216" s="16" t="s">
        <v>131</v>
      </c>
      <c r="C216" s="15">
        <v>2.4870000000000001E-3</v>
      </c>
      <c r="D216" s="19">
        <f t="shared" ref="D216:D221" si="5">C216*332</f>
        <v>0.82568399999999997</v>
      </c>
      <c r="E216" s="46"/>
      <c r="F216" s="44"/>
      <c r="G216" s="44"/>
    </row>
    <row r="217" spans="2:8" x14ac:dyDescent="0.25">
      <c r="B217" s="16" t="s">
        <v>131</v>
      </c>
      <c r="C217" s="15">
        <v>2.3509999999999998E-3</v>
      </c>
      <c r="D217" s="19">
        <f t="shared" si="5"/>
        <v>0.78053199999999989</v>
      </c>
      <c r="E217" s="46"/>
      <c r="F217" s="44"/>
      <c r="G217" s="44"/>
    </row>
    <row r="218" spans="2:8" x14ac:dyDescent="0.25">
      <c r="B218" s="16" t="s">
        <v>131</v>
      </c>
      <c r="C218" s="15">
        <v>2.4870000000000001E-3</v>
      </c>
      <c r="D218" s="19">
        <f t="shared" si="5"/>
        <v>0.82568399999999997</v>
      </c>
      <c r="E218" s="46"/>
      <c r="F218" s="44"/>
      <c r="G218" s="44"/>
    </row>
    <row r="219" spans="2:8" x14ac:dyDescent="0.25">
      <c r="B219" s="16" t="s">
        <v>131</v>
      </c>
      <c r="C219" s="15">
        <v>2.3509999999999998E-3</v>
      </c>
      <c r="D219" s="19">
        <f t="shared" si="5"/>
        <v>0.78053199999999989</v>
      </c>
      <c r="E219" s="46"/>
      <c r="F219" s="44"/>
      <c r="G219" s="44"/>
    </row>
    <row r="220" spans="2:8" x14ac:dyDescent="0.25">
      <c r="B220" s="16" t="s">
        <v>131</v>
      </c>
      <c r="C220" s="15">
        <v>2.4870000000000001E-3</v>
      </c>
      <c r="D220" s="19">
        <f t="shared" si="5"/>
        <v>0.82568399999999997</v>
      </c>
      <c r="E220" s="46"/>
      <c r="F220" s="45"/>
      <c r="G220" s="45"/>
    </row>
    <row r="221" spans="2:8" x14ac:dyDescent="0.25">
      <c r="B221" s="16" t="s">
        <v>127</v>
      </c>
      <c r="C221" s="47">
        <v>1.4220000000000001E-3</v>
      </c>
      <c r="D221" s="48">
        <f>C221*469</f>
        <v>0.66691800000000001</v>
      </c>
      <c r="E221" s="49">
        <f>MAX(D221)</f>
        <v>0.66691800000000001</v>
      </c>
      <c r="F221" s="49">
        <f>AVERAGE(E221)</f>
        <v>0.66691800000000001</v>
      </c>
      <c r="G221" s="49">
        <f>E221/F221</f>
        <v>1</v>
      </c>
      <c r="H221" s="11" t="str">
        <f>IF(G221&gt;1.3,"IRREGULAR","REGULAR")</f>
        <v>REGULAR</v>
      </c>
    </row>
  </sheetData>
  <mergeCells count="70">
    <mergeCell ref="E211:E214"/>
    <mergeCell ref="F211:F214"/>
    <mergeCell ref="G211:G214"/>
    <mergeCell ref="E215:E220"/>
    <mergeCell ref="F215:F220"/>
    <mergeCell ref="G215:G220"/>
    <mergeCell ref="E196:E199"/>
    <mergeCell ref="F196:F199"/>
    <mergeCell ref="G196:G199"/>
    <mergeCell ref="E200:E205"/>
    <mergeCell ref="F200:F205"/>
    <mergeCell ref="G200:G205"/>
    <mergeCell ref="B149:B150"/>
    <mergeCell ref="G149:J149"/>
    <mergeCell ref="G150:J150"/>
    <mergeCell ref="B164:B165"/>
    <mergeCell ref="C164:D164"/>
    <mergeCell ref="E164:L164"/>
    <mergeCell ref="E165:H165"/>
    <mergeCell ref="I165:L165"/>
    <mergeCell ref="H129:I129"/>
    <mergeCell ref="H130:I130"/>
    <mergeCell ref="B137:B138"/>
    <mergeCell ref="C137:C138"/>
    <mergeCell ref="D137:D138"/>
    <mergeCell ref="E137:E138"/>
    <mergeCell ref="H137:I137"/>
    <mergeCell ref="H138:I138"/>
    <mergeCell ref="B115:B116"/>
    <mergeCell ref="D115:E115"/>
    <mergeCell ref="D116:E116"/>
    <mergeCell ref="B129:B130"/>
    <mergeCell ref="C129:C130"/>
    <mergeCell ref="D129:D130"/>
    <mergeCell ref="E129:E130"/>
    <mergeCell ref="B110:B111"/>
    <mergeCell ref="C110:C111"/>
    <mergeCell ref="D110:D111"/>
    <mergeCell ref="E110:E111"/>
    <mergeCell ref="B104:B105"/>
    <mergeCell ref="C104:C105"/>
    <mergeCell ref="D104:D105"/>
    <mergeCell ref="E104:E105"/>
    <mergeCell ref="B91:B92"/>
    <mergeCell ref="C91:C92"/>
    <mergeCell ref="D91:D92"/>
    <mergeCell ref="E91:E92"/>
    <mergeCell ref="B96:B97"/>
    <mergeCell ref="D96:E96"/>
    <mergeCell ref="D97:E97"/>
    <mergeCell ref="K78:K79"/>
    <mergeCell ref="L78:L79"/>
    <mergeCell ref="M78:M79"/>
    <mergeCell ref="N78:N79"/>
    <mergeCell ref="B85:B86"/>
    <mergeCell ref="C85:C86"/>
    <mergeCell ref="D85:D86"/>
    <mergeCell ref="E85:E86"/>
    <mergeCell ref="E78:E79"/>
    <mergeCell ref="F78:F79"/>
    <mergeCell ref="G78:G79"/>
    <mergeCell ref="H78:H79"/>
    <mergeCell ref="I78:I79"/>
    <mergeCell ref="J78:J79"/>
    <mergeCell ref="B9:B10"/>
    <mergeCell ref="C9:C10"/>
    <mergeCell ref="D9:D10"/>
    <mergeCell ref="B78:B79"/>
    <mergeCell ref="C78:C79"/>
    <mergeCell ref="D78:D79"/>
  </mergeCells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A1A6-F6F3-44CA-97BA-B2EC77F6FF28}">
  <dimension ref="B2:I83"/>
  <sheetViews>
    <sheetView topLeftCell="A31" workbookViewId="0">
      <selection activeCell="F46" sqref="F46"/>
    </sheetView>
  </sheetViews>
  <sheetFormatPr baseColWidth="10" defaultRowHeight="15" x14ac:dyDescent="0.25"/>
  <cols>
    <col min="3" max="3" width="20.85546875" customWidth="1"/>
  </cols>
  <sheetData>
    <row r="2" spans="2:9" x14ac:dyDescent="0.25">
      <c r="B2" s="4" t="s">
        <v>173</v>
      </c>
      <c r="D2" s="26">
        <f>(H9+H17+H19+H21+H24+H28+H37)+0.5*H41</f>
        <v>265.03350057119997</v>
      </c>
      <c r="E2" s="4" t="s">
        <v>178</v>
      </c>
    </row>
    <row r="4" spans="2:9" x14ac:dyDescent="0.25">
      <c r="B4" s="3" t="s">
        <v>28</v>
      </c>
    </row>
    <row r="5" spans="2:9" x14ac:dyDescent="0.25">
      <c r="C5" t="s">
        <v>174</v>
      </c>
      <c r="D5">
        <v>3</v>
      </c>
      <c r="E5">
        <v>0.2417</v>
      </c>
      <c r="F5">
        <v>4.08</v>
      </c>
      <c r="G5">
        <v>2.4028</v>
      </c>
      <c r="H5" s="1">
        <f>D5*E5*F5*G5</f>
        <v>7.1084627423999995</v>
      </c>
    </row>
    <row r="6" spans="2:9" x14ac:dyDescent="0.25">
      <c r="C6" t="s">
        <v>175</v>
      </c>
      <c r="D6">
        <v>4</v>
      </c>
      <c r="E6">
        <v>0.108</v>
      </c>
      <c r="F6">
        <v>4.08</v>
      </c>
      <c r="G6">
        <v>2.4028</v>
      </c>
      <c r="H6" s="1">
        <f t="shared" ref="H6:H8" si="0">D6*E6*F6*G6</f>
        <v>4.2350791679999995</v>
      </c>
    </row>
    <row r="7" spans="2:9" x14ac:dyDescent="0.25">
      <c r="C7" t="s">
        <v>176</v>
      </c>
      <c r="D7">
        <v>8</v>
      </c>
      <c r="E7">
        <v>0.38150000000000001</v>
      </c>
      <c r="F7">
        <v>4.08</v>
      </c>
      <c r="G7">
        <v>2.4028</v>
      </c>
      <c r="H7" s="1">
        <f t="shared" si="0"/>
        <v>29.920050048000004</v>
      </c>
    </row>
    <row r="8" spans="2:9" x14ac:dyDescent="0.25">
      <c r="C8" t="s">
        <v>177</v>
      </c>
      <c r="D8">
        <v>1</v>
      </c>
      <c r="E8">
        <v>0.37369999999999998</v>
      </c>
      <c r="F8">
        <v>4.08</v>
      </c>
      <c r="G8">
        <v>2.4028</v>
      </c>
      <c r="H8" s="1">
        <f t="shared" si="0"/>
        <v>3.6635395487999998</v>
      </c>
    </row>
    <row r="9" spans="2:9" x14ac:dyDescent="0.25">
      <c r="H9" s="26">
        <f>SUM(H5:H8)</f>
        <v>44.927131507200002</v>
      </c>
      <c r="I9" s="4" t="s">
        <v>178</v>
      </c>
    </row>
    <row r="11" spans="2:9" x14ac:dyDescent="0.25">
      <c r="C11" t="s">
        <v>179</v>
      </c>
      <c r="D11">
        <v>12</v>
      </c>
      <c r="E11">
        <f>0.25*0.5</f>
        <v>0.125</v>
      </c>
      <c r="F11">
        <v>3.9</v>
      </c>
      <c r="G11">
        <v>2.4028</v>
      </c>
      <c r="H11" s="1">
        <f t="shared" ref="H11" si="1">D11*E11*F11*G11</f>
        <v>14.056379999999999</v>
      </c>
    </row>
    <row r="12" spans="2:9" x14ac:dyDescent="0.25">
      <c r="C12" t="s">
        <v>180</v>
      </c>
      <c r="D12">
        <v>6</v>
      </c>
      <c r="E12">
        <f>0.13*0.5</f>
        <v>6.5000000000000002E-2</v>
      </c>
      <c r="F12">
        <v>3.9</v>
      </c>
      <c r="G12">
        <v>2.4028</v>
      </c>
      <c r="H12" s="1">
        <f t="shared" ref="H12" si="2">D12*E12*F12*G12</f>
        <v>3.6546588</v>
      </c>
    </row>
    <row r="13" spans="2:9" x14ac:dyDescent="0.25">
      <c r="C13" t="s">
        <v>181</v>
      </c>
      <c r="D13">
        <v>3</v>
      </c>
      <c r="E13">
        <f>0.24*0.5</f>
        <v>0.12</v>
      </c>
      <c r="F13">
        <v>7.65</v>
      </c>
      <c r="G13">
        <v>2.4028</v>
      </c>
      <c r="H13" s="1">
        <f t="shared" ref="H13" si="3">D13*E13*F13*G13</f>
        <v>6.6173112000000005</v>
      </c>
    </row>
    <row r="14" spans="2:9" x14ac:dyDescent="0.25">
      <c r="D14">
        <v>2</v>
      </c>
      <c r="E14">
        <f>0.24*0.5</f>
        <v>0.12</v>
      </c>
      <c r="F14">
        <v>2.2200000000000002</v>
      </c>
      <c r="G14">
        <v>2.4028</v>
      </c>
      <c r="H14" s="1">
        <f t="shared" ref="H14:H15" si="4">D14*E14*F14*G14</f>
        <v>1.2802118400000002</v>
      </c>
    </row>
    <row r="15" spans="2:9" x14ac:dyDescent="0.25">
      <c r="C15" t="s">
        <v>182</v>
      </c>
      <c r="D15">
        <v>4</v>
      </c>
      <c r="E15">
        <f>0.27*0.65</f>
        <v>0.17550000000000002</v>
      </c>
      <c r="F15">
        <v>7.65</v>
      </c>
      <c r="G15">
        <v>2.4028</v>
      </c>
      <c r="H15" s="1">
        <f t="shared" si="4"/>
        <v>12.903756840000003</v>
      </c>
    </row>
    <row r="16" spans="2:9" x14ac:dyDescent="0.25">
      <c r="C16" t="s">
        <v>183</v>
      </c>
      <c r="D16">
        <v>4</v>
      </c>
      <c r="E16">
        <f>0.27*0.5</f>
        <v>0.13500000000000001</v>
      </c>
      <c r="F16">
        <v>2.2200000000000002</v>
      </c>
      <c r="G16">
        <v>2.4028</v>
      </c>
      <c r="H16" s="1">
        <f t="shared" ref="H16" si="5">D16*E16*F16*G16</f>
        <v>2.8804766400000004</v>
      </c>
    </row>
    <row r="17" spans="2:9" x14ac:dyDescent="0.25">
      <c r="H17" s="26">
        <f>SUM(H11:H16)</f>
        <v>41.392795319999998</v>
      </c>
      <c r="I17" s="4" t="s">
        <v>178</v>
      </c>
    </row>
    <row r="19" spans="2:9" x14ac:dyDescent="0.25">
      <c r="C19" t="s">
        <v>184</v>
      </c>
      <c r="D19">
        <v>1</v>
      </c>
      <c r="E19">
        <f>23.4*(7.65+2.22)</f>
        <v>230.958</v>
      </c>
      <c r="G19">
        <v>0.3</v>
      </c>
      <c r="H19" s="26">
        <f>D19*E19*G19</f>
        <v>69.287399999999991</v>
      </c>
      <c r="I19" s="4" t="s">
        <v>178</v>
      </c>
    </row>
    <row r="21" spans="2:9" x14ac:dyDescent="0.25">
      <c r="C21" t="s">
        <v>185</v>
      </c>
      <c r="D21">
        <v>1</v>
      </c>
      <c r="E21">
        <v>2.431</v>
      </c>
      <c r="F21">
        <v>4.08</v>
      </c>
      <c r="G21">
        <v>2.4028</v>
      </c>
      <c r="H21" s="26">
        <f>D21*E21*F21*G21</f>
        <v>23.832123744</v>
      </c>
      <c r="I21" s="4" t="s">
        <v>178</v>
      </c>
    </row>
    <row r="23" spans="2:9" x14ac:dyDescent="0.25">
      <c r="B23" s="3" t="s">
        <v>30</v>
      </c>
    </row>
    <row r="24" spans="2:9" x14ac:dyDescent="0.25">
      <c r="C24" t="s">
        <v>186</v>
      </c>
      <c r="D24">
        <v>1</v>
      </c>
      <c r="E24">
        <f>23.4*(7.65+2.22)</f>
        <v>230.958</v>
      </c>
      <c r="G24">
        <v>0.1</v>
      </c>
      <c r="H24" s="26">
        <f>D24*E24*G24</f>
        <v>23.095800000000001</v>
      </c>
      <c r="I24" s="4" t="s">
        <v>178</v>
      </c>
    </row>
    <row r="26" spans="2:9" x14ac:dyDescent="0.25">
      <c r="C26" t="s">
        <v>187</v>
      </c>
      <c r="D26">
        <v>2</v>
      </c>
      <c r="E26">
        <v>2.2200000000000002</v>
      </c>
      <c r="G26">
        <v>0.05</v>
      </c>
      <c r="H26" s="27">
        <f>D26*E26*G26</f>
        <v>0.22200000000000003</v>
      </c>
      <c r="I26" s="28"/>
    </row>
    <row r="27" spans="2:9" x14ac:dyDescent="0.25">
      <c r="D27">
        <v>6</v>
      </c>
      <c r="E27">
        <v>3.9</v>
      </c>
      <c r="G27">
        <v>0.05</v>
      </c>
      <c r="H27" s="27">
        <f>D27*E27*G27</f>
        <v>1.17</v>
      </c>
      <c r="I27" s="28"/>
    </row>
    <row r="28" spans="2:9" x14ac:dyDescent="0.25">
      <c r="H28" s="26">
        <f>SUM(H26:H27)</f>
        <v>1.3919999999999999</v>
      </c>
      <c r="I28" s="4" t="s">
        <v>178</v>
      </c>
    </row>
    <row r="30" spans="2:9" x14ac:dyDescent="0.25">
      <c r="C30" t="s">
        <v>188</v>
      </c>
      <c r="D30">
        <v>2</v>
      </c>
      <c r="E30">
        <f>2.76-0.23</f>
        <v>2.5299999999999998</v>
      </c>
      <c r="G30">
        <v>1.155</v>
      </c>
      <c r="H30" s="27">
        <f>D30*E30*G30</f>
        <v>5.8442999999999996</v>
      </c>
    </row>
    <row r="31" spans="2:9" x14ac:dyDescent="0.25">
      <c r="D31">
        <v>2</v>
      </c>
      <c r="E31">
        <f>1.25-0.23</f>
        <v>1.02</v>
      </c>
      <c r="G31">
        <v>1.155</v>
      </c>
      <c r="H31" s="27">
        <f>D31*E31*G31</f>
        <v>2.3562000000000003</v>
      </c>
    </row>
    <row r="32" spans="2:9" x14ac:dyDescent="0.25">
      <c r="D32">
        <v>1</v>
      </c>
      <c r="E32">
        <f>2.86-0.33</f>
        <v>2.5299999999999998</v>
      </c>
      <c r="G32">
        <v>1.155</v>
      </c>
      <c r="H32" s="27">
        <f>D32*E32*G32</f>
        <v>2.9221499999999998</v>
      </c>
    </row>
    <row r="33" spans="2:9" x14ac:dyDescent="0.25">
      <c r="D33">
        <v>1</v>
      </c>
      <c r="E33">
        <f>2.86-0.73</f>
        <v>2.13</v>
      </c>
      <c r="G33">
        <v>1.155</v>
      </c>
      <c r="H33" s="27">
        <f>D33*E33*G33</f>
        <v>2.4601500000000001</v>
      </c>
    </row>
    <row r="34" spans="2:9" x14ac:dyDescent="0.25">
      <c r="D34">
        <v>6</v>
      </c>
      <c r="E34">
        <f>3.24-0.66</f>
        <v>2.58</v>
      </c>
      <c r="G34">
        <v>0.52</v>
      </c>
      <c r="H34" s="27">
        <f>D34*E34*G34</f>
        <v>8.0495999999999999</v>
      </c>
    </row>
    <row r="35" spans="2:9" x14ac:dyDescent="0.25">
      <c r="D35">
        <v>3</v>
      </c>
      <c r="E35">
        <f>2.24-0.66</f>
        <v>1.58</v>
      </c>
      <c r="G35">
        <v>0.52</v>
      </c>
      <c r="H35" s="27">
        <f>D35*E35*G35</f>
        <v>2.4648000000000003</v>
      </c>
    </row>
    <row r="36" spans="2:9" x14ac:dyDescent="0.25">
      <c r="D36">
        <v>3</v>
      </c>
      <c r="E36">
        <f>3.24-0.52</f>
        <v>2.72</v>
      </c>
      <c r="G36">
        <v>0.52</v>
      </c>
      <c r="H36" s="27">
        <f>D36*E36*G36</f>
        <v>4.2431999999999999</v>
      </c>
    </row>
    <row r="37" spans="2:9" x14ac:dyDescent="0.25">
      <c r="H37" s="26">
        <f>SUM(H30:H36)</f>
        <v>28.340400000000002</v>
      </c>
      <c r="I37" s="4" t="s">
        <v>178</v>
      </c>
    </row>
    <row r="39" spans="2:9" x14ac:dyDescent="0.25">
      <c r="B39" s="3" t="s">
        <v>31</v>
      </c>
      <c r="D39">
        <v>6</v>
      </c>
      <c r="E39">
        <f>3.9*7.65</f>
        <v>29.835000000000001</v>
      </c>
      <c r="G39">
        <v>0.25</v>
      </c>
      <c r="H39" s="27">
        <f>D39*E39*G39</f>
        <v>44.752499999999998</v>
      </c>
    </row>
    <row r="40" spans="2:9" x14ac:dyDescent="0.25">
      <c r="D40">
        <v>6</v>
      </c>
      <c r="E40">
        <f>3.9*2.22</f>
        <v>8.6580000000000013</v>
      </c>
      <c r="G40">
        <v>0.4</v>
      </c>
      <c r="H40" s="27">
        <f>D40*E40*G40</f>
        <v>20.779200000000003</v>
      </c>
    </row>
    <row r="41" spans="2:9" x14ac:dyDescent="0.25">
      <c r="H41" s="26">
        <f>SUM(H39:H40)</f>
        <v>65.531700000000001</v>
      </c>
      <c r="I41" s="4" t="s">
        <v>178</v>
      </c>
    </row>
    <row r="43" spans="2:9" x14ac:dyDescent="0.25">
      <c r="B43" s="4" t="s">
        <v>189</v>
      </c>
      <c r="D43" s="26">
        <f>(H50+H58+H60+H62+H65+H69+H78)+0.5*H83</f>
        <v>255.9547790048</v>
      </c>
      <c r="E43" s="4" t="s">
        <v>178</v>
      </c>
    </row>
    <row r="45" spans="2:9" x14ac:dyDescent="0.25">
      <c r="B45" s="3" t="s">
        <v>28</v>
      </c>
    </row>
    <row r="46" spans="2:9" x14ac:dyDescent="0.25">
      <c r="C46" t="s">
        <v>174</v>
      </c>
      <c r="D46">
        <v>3</v>
      </c>
      <c r="E46">
        <v>0.2417</v>
      </c>
      <c r="F46">
        <v>3.32</v>
      </c>
      <c r="G46">
        <v>2.4028</v>
      </c>
      <c r="H46" s="1">
        <f>D46*E46*F46*G46</f>
        <v>5.7843373295999996</v>
      </c>
    </row>
    <row r="47" spans="2:9" x14ac:dyDescent="0.25">
      <c r="C47" t="s">
        <v>175</v>
      </c>
      <c r="D47">
        <v>4</v>
      </c>
      <c r="E47">
        <v>0.108</v>
      </c>
      <c r="F47">
        <v>3.32</v>
      </c>
      <c r="G47">
        <v>2.4028</v>
      </c>
      <c r="H47" s="1">
        <f t="shared" ref="H47:H49" si="6">D47*E47*F47*G47</f>
        <v>3.446191872</v>
      </c>
    </row>
    <row r="48" spans="2:9" x14ac:dyDescent="0.25">
      <c r="C48" t="s">
        <v>176</v>
      </c>
      <c r="D48">
        <v>8</v>
      </c>
      <c r="E48">
        <v>0.38150000000000001</v>
      </c>
      <c r="F48">
        <v>3.32</v>
      </c>
      <c r="G48">
        <v>2.4028</v>
      </c>
      <c r="H48" s="1">
        <f t="shared" si="6"/>
        <v>24.346707392000003</v>
      </c>
    </row>
    <row r="49" spans="2:9" x14ac:dyDescent="0.25">
      <c r="C49" t="s">
        <v>177</v>
      </c>
      <c r="D49">
        <v>1</v>
      </c>
      <c r="E49">
        <v>0.37369999999999998</v>
      </c>
      <c r="F49">
        <v>3.32</v>
      </c>
      <c r="G49">
        <v>2.4028</v>
      </c>
      <c r="H49" s="1">
        <f t="shared" si="6"/>
        <v>2.9811155152</v>
      </c>
    </row>
    <row r="50" spans="2:9" x14ac:dyDescent="0.25">
      <c r="H50" s="26">
        <f>SUM(H46:H49)</f>
        <v>36.558352108800008</v>
      </c>
      <c r="I50" s="4" t="s">
        <v>178</v>
      </c>
    </row>
    <row r="52" spans="2:9" x14ac:dyDescent="0.25">
      <c r="C52" t="s">
        <v>179</v>
      </c>
      <c r="D52">
        <v>12</v>
      </c>
      <c r="E52">
        <f>0.25*0.5</f>
        <v>0.125</v>
      </c>
      <c r="F52">
        <v>3.9</v>
      </c>
      <c r="G52">
        <v>2.4028</v>
      </c>
      <c r="H52" s="1">
        <f t="shared" ref="H52:H57" si="7">D52*E52*F52*G52</f>
        <v>14.056379999999999</v>
      </c>
    </row>
    <row r="53" spans="2:9" x14ac:dyDescent="0.25">
      <c r="C53" t="s">
        <v>180</v>
      </c>
      <c r="D53">
        <v>6</v>
      </c>
      <c r="E53">
        <f>0.13*0.5</f>
        <v>6.5000000000000002E-2</v>
      </c>
      <c r="F53">
        <v>3.9</v>
      </c>
      <c r="G53">
        <v>2.4028</v>
      </c>
      <c r="H53" s="1">
        <f t="shared" si="7"/>
        <v>3.6546588</v>
      </c>
    </row>
    <row r="54" spans="2:9" x14ac:dyDescent="0.25">
      <c r="C54" t="s">
        <v>181</v>
      </c>
      <c r="D54">
        <v>3</v>
      </c>
      <c r="E54">
        <f>0.24*0.5</f>
        <v>0.12</v>
      </c>
      <c r="F54">
        <v>7.65</v>
      </c>
      <c r="G54">
        <v>2.4028</v>
      </c>
      <c r="H54" s="1">
        <f t="shared" si="7"/>
        <v>6.6173112000000005</v>
      </c>
    </row>
    <row r="55" spans="2:9" x14ac:dyDescent="0.25">
      <c r="D55">
        <v>2</v>
      </c>
      <c r="E55">
        <f>0.24*0.5</f>
        <v>0.12</v>
      </c>
      <c r="F55">
        <v>2.2200000000000002</v>
      </c>
      <c r="G55">
        <v>2.4028</v>
      </c>
      <c r="H55" s="1">
        <f t="shared" si="7"/>
        <v>1.2802118400000002</v>
      </c>
    </row>
    <row r="56" spans="2:9" x14ac:dyDescent="0.25">
      <c r="C56" t="s">
        <v>182</v>
      </c>
      <c r="D56">
        <v>4</v>
      </c>
      <c r="E56">
        <f>0.27*0.65</f>
        <v>0.17550000000000002</v>
      </c>
      <c r="F56">
        <v>7.65</v>
      </c>
      <c r="G56">
        <v>2.4028</v>
      </c>
      <c r="H56" s="1">
        <f t="shared" si="7"/>
        <v>12.903756840000003</v>
      </c>
    </row>
    <row r="57" spans="2:9" x14ac:dyDescent="0.25">
      <c r="C57" t="s">
        <v>183</v>
      </c>
      <c r="D57">
        <v>4</v>
      </c>
      <c r="E57">
        <f>0.27*0.5</f>
        <v>0.13500000000000001</v>
      </c>
      <c r="F57">
        <v>2.2200000000000002</v>
      </c>
      <c r="G57">
        <v>2.4028</v>
      </c>
      <c r="H57" s="1">
        <f t="shared" si="7"/>
        <v>2.8804766400000004</v>
      </c>
    </row>
    <row r="58" spans="2:9" x14ac:dyDescent="0.25">
      <c r="H58" s="26">
        <f>SUM(H52:H57)</f>
        <v>41.392795319999998</v>
      </c>
      <c r="I58" s="4" t="s">
        <v>178</v>
      </c>
    </row>
    <row r="60" spans="2:9" x14ac:dyDescent="0.25">
      <c r="C60" t="s">
        <v>184</v>
      </c>
      <c r="D60">
        <v>1</v>
      </c>
      <c r="E60">
        <f>23.4*(7.65+2.22)</f>
        <v>230.958</v>
      </c>
      <c r="G60">
        <v>0.3</v>
      </c>
      <c r="H60" s="26">
        <f>D60*E60*G60</f>
        <v>69.287399999999991</v>
      </c>
      <c r="I60" s="4" t="s">
        <v>178</v>
      </c>
    </row>
    <row r="62" spans="2:9" x14ac:dyDescent="0.25">
      <c r="C62" t="s">
        <v>185</v>
      </c>
      <c r="D62">
        <v>1</v>
      </c>
      <c r="E62">
        <v>2.431</v>
      </c>
      <c r="F62">
        <v>3.32</v>
      </c>
      <c r="G62">
        <v>2.4028</v>
      </c>
      <c r="H62" s="26">
        <f>D62*E62*F62*G62</f>
        <v>19.392806575999998</v>
      </c>
      <c r="I62" s="4" t="s">
        <v>178</v>
      </c>
    </row>
    <row r="64" spans="2:9" x14ac:dyDescent="0.25">
      <c r="B64" s="3" t="s">
        <v>30</v>
      </c>
    </row>
    <row r="65" spans="2:9" x14ac:dyDescent="0.25">
      <c r="C65" t="s">
        <v>186</v>
      </c>
      <c r="D65">
        <v>1</v>
      </c>
      <c r="E65">
        <f>23.4*(7.65+2.22)</f>
        <v>230.958</v>
      </c>
      <c r="G65">
        <v>0.1</v>
      </c>
      <c r="H65" s="26">
        <f>D65*E65*G65</f>
        <v>23.095800000000001</v>
      </c>
      <c r="I65" s="4" t="s">
        <v>178</v>
      </c>
    </row>
    <row r="67" spans="2:9" x14ac:dyDescent="0.25">
      <c r="C67" t="s">
        <v>187</v>
      </c>
      <c r="D67">
        <v>2</v>
      </c>
      <c r="E67">
        <v>2.2200000000000002</v>
      </c>
      <c r="G67">
        <v>0.05</v>
      </c>
      <c r="H67" s="27">
        <f>D67*E67*G67</f>
        <v>0.22200000000000003</v>
      </c>
      <c r="I67" s="28"/>
    </row>
    <row r="68" spans="2:9" x14ac:dyDescent="0.25">
      <c r="D68">
        <v>6</v>
      </c>
      <c r="E68">
        <v>3.9</v>
      </c>
      <c r="G68">
        <v>0.05</v>
      </c>
      <c r="H68" s="27">
        <f>D68*E68*G68</f>
        <v>1.17</v>
      </c>
      <c r="I68" s="28"/>
    </row>
    <row r="69" spans="2:9" x14ac:dyDescent="0.25">
      <c r="H69" s="26">
        <f>SUM(H67:H68)</f>
        <v>1.3919999999999999</v>
      </c>
      <c r="I69" s="4" t="s">
        <v>178</v>
      </c>
    </row>
    <row r="71" spans="2:9" x14ac:dyDescent="0.25">
      <c r="C71" t="s">
        <v>188</v>
      </c>
      <c r="D71">
        <v>2</v>
      </c>
      <c r="E71">
        <f>2.76-0.23</f>
        <v>2.5299999999999998</v>
      </c>
      <c r="G71">
        <v>1.155</v>
      </c>
      <c r="H71" s="27">
        <f>D71*E71*G71</f>
        <v>5.8442999999999996</v>
      </c>
    </row>
    <row r="72" spans="2:9" x14ac:dyDescent="0.25">
      <c r="D72">
        <v>2</v>
      </c>
      <c r="E72">
        <f>1.25-0.23</f>
        <v>1.02</v>
      </c>
      <c r="G72">
        <v>1.155</v>
      </c>
      <c r="H72" s="27">
        <f>D72*E72*G72</f>
        <v>2.3562000000000003</v>
      </c>
    </row>
    <row r="73" spans="2:9" x14ac:dyDescent="0.25">
      <c r="D73">
        <v>1</v>
      </c>
      <c r="E73">
        <f>2.86-0.33</f>
        <v>2.5299999999999998</v>
      </c>
      <c r="G73">
        <v>1.155</v>
      </c>
      <c r="H73" s="27">
        <f>D73*E73*G73</f>
        <v>2.9221499999999998</v>
      </c>
    </row>
    <row r="74" spans="2:9" x14ac:dyDescent="0.25">
      <c r="D74">
        <v>1</v>
      </c>
      <c r="E74">
        <f>2.86-0.73</f>
        <v>2.13</v>
      </c>
      <c r="G74">
        <v>1.155</v>
      </c>
      <c r="H74" s="27">
        <f>D74*E74*G74</f>
        <v>2.4601500000000001</v>
      </c>
    </row>
    <row r="75" spans="2:9" x14ac:dyDescent="0.25">
      <c r="D75">
        <v>6</v>
      </c>
      <c r="E75">
        <f>3.24-0.66</f>
        <v>2.58</v>
      </c>
      <c r="G75">
        <v>0.52</v>
      </c>
      <c r="H75" s="27">
        <f>D75*E75*G75</f>
        <v>8.0495999999999999</v>
      </c>
    </row>
    <row r="76" spans="2:9" x14ac:dyDescent="0.25">
      <c r="D76">
        <v>3</v>
      </c>
      <c r="E76">
        <f>2.24-0.66</f>
        <v>1.58</v>
      </c>
      <c r="G76">
        <v>0.52</v>
      </c>
      <c r="H76" s="27">
        <f>D76*E76*G76</f>
        <v>2.4648000000000003</v>
      </c>
    </row>
    <row r="77" spans="2:9" x14ac:dyDescent="0.25">
      <c r="D77">
        <v>3</v>
      </c>
      <c r="E77">
        <f>3.24-0.52</f>
        <v>2.72</v>
      </c>
      <c r="G77">
        <v>0.52</v>
      </c>
      <c r="H77" s="27">
        <f>D77*E77*G77</f>
        <v>4.2431999999999999</v>
      </c>
    </row>
    <row r="78" spans="2:9" x14ac:dyDescent="0.25">
      <c r="H78" s="26">
        <f>SUM(H71:H77)</f>
        <v>28.340400000000002</v>
      </c>
      <c r="I78" s="4" t="s">
        <v>178</v>
      </c>
    </row>
    <row r="80" spans="2:9" x14ac:dyDescent="0.25">
      <c r="B80" s="3" t="s">
        <v>31</v>
      </c>
      <c r="D80">
        <v>5</v>
      </c>
      <c r="E80">
        <f>3.9*7.65</f>
        <v>29.835000000000001</v>
      </c>
      <c r="G80">
        <v>0.25</v>
      </c>
      <c r="H80" s="27">
        <f>D80*E80*G80</f>
        <v>37.293750000000003</v>
      </c>
    </row>
    <row r="81" spans="4:9" x14ac:dyDescent="0.25">
      <c r="D81">
        <v>6</v>
      </c>
      <c r="E81">
        <f>3.9*2.22</f>
        <v>8.6580000000000013</v>
      </c>
      <c r="G81">
        <v>0.4</v>
      </c>
      <c r="H81" s="27">
        <f>D81*E81*G81</f>
        <v>20.779200000000003</v>
      </c>
    </row>
    <row r="82" spans="4:9" x14ac:dyDescent="0.25">
      <c r="D82">
        <v>1</v>
      </c>
      <c r="E82">
        <f>3.9*7.65</f>
        <v>29.835000000000001</v>
      </c>
      <c r="G82">
        <v>0.5</v>
      </c>
      <c r="H82" s="27">
        <f>D82*E82*G82</f>
        <v>14.9175</v>
      </c>
    </row>
    <row r="83" spans="4:9" x14ac:dyDescent="0.25">
      <c r="H83" s="26">
        <f>SUM(H80:H82)</f>
        <v>72.99045000000001</v>
      </c>
      <c r="I83" s="4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ESPECTRO DISEÑO</vt:lpstr>
      <vt:lpstr>CARGAS</vt:lpstr>
      <vt:lpstr>VERIFICACIONES</vt:lpstr>
      <vt:lpstr>PESO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Sheylla Barrantes</dc:creator>
  <cp:lastModifiedBy>Sheylla Barrantes</cp:lastModifiedBy>
  <dcterms:created xsi:type="dcterms:W3CDTF">2025-01-12T15:25:38Z</dcterms:created>
  <dcterms:modified xsi:type="dcterms:W3CDTF">2025-01-26T17:43:10Z</dcterms:modified>
</cp:coreProperties>
</file>