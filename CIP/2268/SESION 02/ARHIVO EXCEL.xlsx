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IP\ETABS 2024\"/>
    </mc:Choice>
  </mc:AlternateContent>
  <xr:revisionPtr revIDLastSave="0" documentId="13_ncr:1_{0C13B1B8-D2D9-4209-9DA0-238539359797}" xr6:coauthVersionLast="47" xr6:coauthVersionMax="47" xr10:uidLastSave="{00000000-0000-0000-0000-000000000000}"/>
  <bookViews>
    <workbookView xWindow="-120" yWindow="-120" windowWidth="29040" windowHeight="15720" activeTab="1" xr2:uid="{E7A79BFB-9217-40C3-BE0B-8439947B2130}"/>
  </bookViews>
  <sheets>
    <sheet name="Hoja1" sheetId="1" r:id="rId1"/>
    <sheet name="ESPECTRO DISEÑ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13" i="2"/>
  <c r="C7" i="2"/>
  <c r="O13" i="1"/>
  <c r="O12" i="1"/>
  <c r="O10" i="1"/>
  <c r="O9" i="1"/>
  <c r="O7" i="1"/>
  <c r="J10" i="1"/>
  <c r="J8" i="1"/>
  <c r="E13" i="1"/>
  <c r="E12" i="1"/>
  <c r="E9" i="1"/>
  <c r="E10" i="1"/>
  <c r="G3" i="1"/>
</calcChain>
</file>

<file path=xl/sharedStrings.xml><?xml version="1.0" encoding="utf-8"?>
<sst xmlns="http://schemas.openxmlformats.org/spreadsheetml/2006/main" count="37" uniqueCount="27">
  <si>
    <t>e &lt;= 0.25L</t>
  </si>
  <si>
    <t>Shell Thin</t>
  </si>
  <si>
    <t>e &gt; 0.25L</t>
  </si>
  <si>
    <t>Shell Thick</t>
  </si>
  <si>
    <t>e</t>
  </si>
  <si>
    <t>L</t>
  </si>
  <si>
    <t>X</t>
  </si>
  <si>
    <t>Y</t>
  </si>
  <si>
    <t>COLUMNA L</t>
  </si>
  <si>
    <t>COLUMA T</t>
  </si>
  <si>
    <t>COLUMNA U</t>
  </si>
  <si>
    <t>ZUCS/R</t>
  </si>
  <si>
    <t>U</t>
  </si>
  <si>
    <t>C</t>
  </si>
  <si>
    <t>Tp</t>
  </si>
  <si>
    <t>Tl</t>
  </si>
  <si>
    <t>S</t>
  </si>
  <si>
    <t>R</t>
  </si>
  <si>
    <t>Ro</t>
  </si>
  <si>
    <t>Ia</t>
  </si>
  <si>
    <t>Ip</t>
  </si>
  <si>
    <t>Z4</t>
  </si>
  <si>
    <t>T</t>
  </si>
  <si>
    <t>Ct</t>
  </si>
  <si>
    <t>Hn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</si>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</sst>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6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E5702-6721-4C48-9714-29CE5EE0B09F}">
  <dimension ref="B2:O13"/>
  <sheetViews>
    <sheetView workbookViewId="0">
      <selection activeCell="O14" sqref="O14"/>
    </sheetView>
  </sheetViews>
  <sheetFormatPr baseColWidth="10" defaultRowHeight="15" x14ac:dyDescent="0.25"/>
  <sheetData>
    <row r="2" spans="2:15" x14ac:dyDescent="0.25">
      <c r="B2" t="s">
        <v>0</v>
      </c>
      <c r="C2" t="s">
        <v>1</v>
      </c>
      <c r="E2" t="s">
        <v>4</v>
      </c>
      <c r="F2">
        <v>0.2</v>
      </c>
    </row>
    <row r="3" spans="2:15" x14ac:dyDescent="0.25">
      <c r="B3" t="s">
        <v>2</v>
      </c>
      <c r="C3" t="s">
        <v>3</v>
      </c>
      <c r="E3" t="s">
        <v>5</v>
      </c>
      <c r="F3">
        <v>7.65</v>
      </c>
      <c r="G3">
        <f>0.25*F3</f>
        <v>1.9125000000000001</v>
      </c>
    </row>
    <row r="6" spans="2:15" x14ac:dyDescent="0.25">
      <c r="B6" t="s">
        <v>8</v>
      </c>
      <c r="D6" t="s">
        <v>6</v>
      </c>
      <c r="E6">
        <v>0.33667000000000002</v>
      </c>
      <c r="G6" t="s">
        <v>9</v>
      </c>
      <c r="I6" t="s">
        <v>7</v>
      </c>
      <c r="J6">
        <v>0.15684999999999999</v>
      </c>
      <c r="L6" t="s">
        <v>10</v>
      </c>
      <c r="N6" t="s">
        <v>6</v>
      </c>
      <c r="O6">
        <v>0.28632000000000002</v>
      </c>
    </row>
    <row r="7" spans="2:15" x14ac:dyDescent="0.25">
      <c r="D7" t="s">
        <v>7</v>
      </c>
      <c r="E7">
        <v>0.16944000000000001</v>
      </c>
      <c r="N7" t="s">
        <v>7</v>
      </c>
      <c r="O7">
        <f>0.85-0.49796</f>
        <v>0.35203999999999996</v>
      </c>
    </row>
    <row r="8" spans="2:15" x14ac:dyDescent="0.25">
      <c r="I8" t="s">
        <v>7</v>
      </c>
      <c r="J8">
        <f>0.25/2</f>
        <v>0.125</v>
      </c>
    </row>
    <row r="9" spans="2:15" x14ac:dyDescent="0.25">
      <c r="D9" t="s">
        <v>6</v>
      </c>
      <c r="E9">
        <f>0.24/2</f>
        <v>0.12</v>
      </c>
      <c r="N9" t="s">
        <v>6</v>
      </c>
      <c r="O9">
        <f>0.24/2</f>
        <v>0.12</v>
      </c>
    </row>
    <row r="10" spans="2:15" x14ac:dyDescent="0.25">
      <c r="D10" t="s">
        <v>7</v>
      </c>
      <c r="E10">
        <f>0.25/2</f>
        <v>0.125</v>
      </c>
      <c r="J10">
        <f>J6-J8</f>
        <v>3.1849999999999989E-2</v>
      </c>
      <c r="N10" t="s">
        <v>7</v>
      </c>
      <c r="O10">
        <f>0.25/2</f>
        <v>0.125</v>
      </c>
    </row>
    <row r="12" spans="2:15" x14ac:dyDescent="0.25">
      <c r="E12">
        <f>E6-E9</f>
        <v>0.21667000000000003</v>
      </c>
      <c r="O12">
        <f>O6-O9</f>
        <v>0.16632000000000002</v>
      </c>
    </row>
    <row r="13" spans="2:15" x14ac:dyDescent="0.25">
      <c r="E13">
        <f>E7-E10</f>
        <v>4.4440000000000007E-2</v>
      </c>
      <c r="O13">
        <f>O7-O10</f>
        <v>0.22703999999999996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D8759-4448-474B-8AE1-38013864F156}">
  <dimension ref="B2:D16"/>
  <sheetViews>
    <sheetView tabSelected="1" workbookViewId="0">
      <selection activeCell="F15" sqref="F15"/>
    </sheetView>
  </sheetViews>
  <sheetFormatPr baseColWidth="10" defaultRowHeight="15" x14ac:dyDescent="0.25"/>
  <sheetData>
    <row r="2" spans="2:4" x14ac:dyDescent="0.25">
      <c r="B2" t="s">
        <v>11</v>
      </c>
      <c r="C2" s="2">
        <f>(C4*C5*C6*C12)/C13</f>
        <v>0.30937500000000001</v>
      </c>
    </row>
    <row r="4" spans="2:4" x14ac:dyDescent="0.25">
      <c r="B4" t="s">
        <v>21</v>
      </c>
      <c r="C4">
        <v>0.45</v>
      </c>
    </row>
    <row r="5" spans="2:4" x14ac:dyDescent="0.25">
      <c r="B5" t="s">
        <v>12</v>
      </c>
      <c r="C5" s="1">
        <v>1.5</v>
      </c>
    </row>
    <row r="6" spans="2:4" x14ac:dyDescent="0.25">
      <c r="B6" t="s">
        <v>13</v>
      </c>
      <c r="C6" s="1">
        <v>2.5</v>
      </c>
    </row>
    <row r="7" spans="2:4" x14ac:dyDescent="0.25">
      <c r="B7" s="3" t="s">
        <v>22</v>
      </c>
      <c r="C7" s="3">
        <f>C8/C9</f>
        <v>0.20149999999999998</v>
      </c>
      <c r="D7" s="3" t="s">
        <v>26</v>
      </c>
    </row>
    <row r="8" spans="2:4" x14ac:dyDescent="0.25">
      <c r="B8" t="s">
        <v>24</v>
      </c>
      <c r="C8">
        <v>12.09</v>
      </c>
      <c r="D8" t="s">
        <v>25</v>
      </c>
    </row>
    <row r="9" spans="2:4" x14ac:dyDescent="0.25">
      <c r="B9" t="s">
        <v>23</v>
      </c>
      <c r="C9">
        <v>60</v>
      </c>
    </row>
    <row r="10" spans="2:4" x14ac:dyDescent="0.25">
      <c r="B10" t="s">
        <v>14</v>
      </c>
      <c r="C10" s="1">
        <v>1</v>
      </c>
      <c r="D10" t="s">
        <v>26</v>
      </c>
    </row>
    <row r="11" spans="2:4" x14ac:dyDescent="0.25">
      <c r="B11" t="s">
        <v>15</v>
      </c>
      <c r="C11" s="1">
        <v>1.6</v>
      </c>
      <c r="D11" t="s">
        <v>26</v>
      </c>
    </row>
    <row r="12" spans="2:4" x14ac:dyDescent="0.25">
      <c r="B12" t="s">
        <v>16</v>
      </c>
      <c r="C12" s="1">
        <v>1.1000000000000001</v>
      </c>
    </row>
    <row r="13" spans="2:4" x14ac:dyDescent="0.25">
      <c r="B13" t="s">
        <v>17</v>
      </c>
      <c r="C13" s="1">
        <f>C14*C15*C16</f>
        <v>6</v>
      </c>
    </row>
    <row r="14" spans="2:4" x14ac:dyDescent="0.25">
      <c r="B14" t="s">
        <v>18</v>
      </c>
      <c r="C14" s="1">
        <v>6</v>
      </c>
    </row>
    <row r="15" spans="2:4" x14ac:dyDescent="0.25">
      <c r="B15" t="s">
        <v>19</v>
      </c>
      <c r="C15" s="1">
        <v>1</v>
      </c>
    </row>
    <row r="16" spans="2:4" x14ac:dyDescent="0.25">
      <c r="B16" t="s">
        <v>20</v>
      </c>
      <c r="C1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ESPECTRO DISEÑO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Sheylla Barrantes</dc:creator>
  <cp:lastModifiedBy>Sheylla Barrantes</cp:lastModifiedBy>
  <dcterms:created xsi:type="dcterms:W3CDTF">2025-01-12T15:25:38Z</dcterms:created>
  <dcterms:modified xsi:type="dcterms:W3CDTF">2025-01-12T17:25:44Z</dcterms:modified>
</cp:coreProperties>
</file>