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ETABS 2024\"/>
    </mc:Choice>
  </mc:AlternateContent>
  <xr:revisionPtr revIDLastSave="0" documentId="13_ncr:1_{7DD5665D-2F1C-4FAE-BA0D-874FBC7F444A}" xr6:coauthVersionLast="47" xr6:coauthVersionMax="47" xr10:uidLastSave="{00000000-0000-0000-0000-000000000000}"/>
  <bookViews>
    <workbookView xWindow="-120" yWindow="-120" windowWidth="29040" windowHeight="15720" activeTab="2" xr2:uid="{E7A79BFB-9217-40C3-BE0B-8439947B2130}"/>
  </bookViews>
  <sheets>
    <sheet name="Hoja1" sheetId="1" r:id="rId1"/>
    <sheet name="ESPECTRO DISEÑO" sheetId="2" r:id="rId2"/>
    <sheet name="CARG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" i="3" l="1"/>
  <c r="Q50" i="3"/>
  <c r="Q41" i="3"/>
  <c r="Q30" i="3"/>
  <c r="Q29" i="3"/>
  <c r="Q25" i="3"/>
  <c r="Q19" i="3"/>
  <c r="Q10" i="3"/>
  <c r="C2" i="2"/>
  <c r="C13" i="2"/>
  <c r="C7" i="2"/>
  <c r="O13" i="1"/>
  <c r="O12" i="1"/>
  <c r="O10" i="1"/>
  <c r="O9" i="1"/>
  <c r="O7" i="1"/>
  <c r="J10" i="1"/>
  <c r="J8" i="1"/>
  <c r="E13" i="1"/>
  <c r="E12" i="1"/>
  <c r="E9" i="1"/>
  <c r="E10" i="1"/>
  <c r="G3" i="1"/>
</calcChain>
</file>

<file path=xl/sharedStrings.xml><?xml version="1.0" encoding="utf-8"?>
<sst xmlns="http://schemas.openxmlformats.org/spreadsheetml/2006/main" count="244" uniqueCount="107">
  <si>
    <t>e &lt;= 0.25L</t>
  </si>
  <si>
    <t>Shell Thin</t>
  </si>
  <si>
    <t>e &gt; 0.25L</t>
  </si>
  <si>
    <t>Shell Thick</t>
  </si>
  <si>
    <t>e</t>
  </si>
  <si>
    <t>L</t>
  </si>
  <si>
    <t>X</t>
  </si>
  <si>
    <t>Y</t>
  </si>
  <si>
    <t>COLUMNA L</t>
  </si>
  <si>
    <t>COLUMA T</t>
  </si>
  <si>
    <t>COLUMNA U</t>
  </si>
  <si>
    <t>ZUCS/R</t>
  </si>
  <si>
    <t>U</t>
  </si>
  <si>
    <t>C</t>
  </si>
  <si>
    <t>Tp</t>
  </si>
  <si>
    <t>Tl</t>
  </si>
  <si>
    <t>S</t>
  </si>
  <si>
    <t>R</t>
  </si>
  <si>
    <t>Ro</t>
  </si>
  <si>
    <t>Ia</t>
  </si>
  <si>
    <t>Ip</t>
  </si>
  <si>
    <t>Z4</t>
  </si>
  <si>
    <t>T</t>
  </si>
  <si>
    <t>Ct</t>
  </si>
  <si>
    <t>Hn</t>
  </si>
  <si>
    <t>m</t>
  </si>
  <si>
    <t>s</t>
  </si>
  <si>
    <t>Patrones Cargas</t>
  </si>
  <si>
    <t>DEAD</t>
  </si>
  <si>
    <t>Peso Propio de los Elementos Estructurales</t>
  </si>
  <si>
    <t>CM</t>
  </si>
  <si>
    <t>LIVE</t>
  </si>
  <si>
    <t>Carga Viva E-020</t>
  </si>
  <si>
    <t>LIVE UP</t>
  </si>
  <si>
    <t>Carga Viva de Techo</t>
  </si>
  <si>
    <t>LIVE 1</t>
  </si>
  <si>
    <t>LIVE 2</t>
  </si>
  <si>
    <t>Carga Viva Alterna para Diseño</t>
  </si>
  <si>
    <t>Casos de Carga</t>
  </si>
  <si>
    <t>SxE</t>
  </si>
  <si>
    <t>SyE</t>
  </si>
  <si>
    <t>Sísmo Estático Dirección X</t>
  </si>
  <si>
    <t>Sísmo Estático Dirección Y</t>
  </si>
  <si>
    <t>SyD</t>
  </si>
  <si>
    <t>Sísmo Dinámico Dirección X</t>
  </si>
  <si>
    <t>Sísmo Dinámico Dirección Y</t>
  </si>
  <si>
    <t>Combinaciones de Carga para Diseño</t>
  </si>
  <si>
    <t>Combinación General</t>
  </si>
  <si>
    <t>Comb1</t>
  </si>
  <si>
    <t>Comb2</t>
  </si>
  <si>
    <t>Comb3</t>
  </si>
  <si>
    <t xml:space="preserve"> 1.4 CM +  1.7 CV</t>
  </si>
  <si>
    <t>Comb4</t>
  </si>
  <si>
    <t>SxD</t>
  </si>
  <si>
    <t>Comb5</t>
  </si>
  <si>
    <t>Comb6</t>
  </si>
  <si>
    <t>Comb7</t>
  </si>
  <si>
    <t>Comb8</t>
  </si>
  <si>
    <t>Comb9</t>
  </si>
  <si>
    <t>Comb10</t>
  </si>
  <si>
    <t>Comb11</t>
  </si>
  <si>
    <t>Comb12</t>
  </si>
  <si>
    <t>Comb13</t>
  </si>
  <si>
    <t>Comb14</t>
  </si>
  <si>
    <t>Comb15</t>
  </si>
  <si>
    <t xml:space="preserve">Combinación General </t>
  </si>
  <si>
    <t>Comb16</t>
  </si>
  <si>
    <t>Comb17</t>
  </si>
  <si>
    <t>Comb18</t>
  </si>
  <si>
    <t>Comb19</t>
  </si>
  <si>
    <t>ENVOLVENTE</t>
  </si>
  <si>
    <t>Comb1 + … + Comb19</t>
  </si>
  <si>
    <t>CARGA VIVA</t>
  </si>
  <si>
    <t>AULAS</t>
  </si>
  <si>
    <t>kg/m2</t>
  </si>
  <si>
    <t>CORREDORES</t>
  </si>
  <si>
    <t>DEPÓSITOS</t>
  </si>
  <si>
    <t>X &lt;= 3°</t>
  </si>
  <si>
    <t>100-5(X-3) &gt;= 50</t>
  </si>
  <si>
    <t>100-5(15-3)</t>
  </si>
  <si>
    <t>Peso Acabados</t>
  </si>
  <si>
    <t>Vc=0.05+0.25H</t>
  </si>
  <si>
    <t>Vc=0.05+0.25(0.15)</t>
  </si>
  <si>
    <t>Vc</t>
  </si>
  <si>
    <t>m3/m2</t>
  </si>
  <si>
    <t>Peso Específico</t>
  </si>
  <si>
    <t>Concreto</t>
  </si>
  <si>
    <t>kg/m3</t>
  </si>
  <si>
    <t>Wc=Peso Esp. Concreto * Vc</t>
  </si>
  <si>
    <t>Wladrllo=Wl-Wc</t>
  </si>
  <si>
    <t>Wlosa</t>
  </si>
  <si>
    <t>Wconcreto</t>
  </si>
  <si>
    <t>Wladrillo techo</t>
  </si>
  <si>
    <t>Peso Barandas</t>
  </si>
  <si>
    <t>kg/m</t>
  </si>
  <si>
    <t>Peso Muro Ladrillo</t>
  </si>
  <si>
    <t>Peso Ladrillo de Losa</t>
  </si>
  <si>
    <t>Peso Acabados + Peso Ladrillo Losa + Peso Baranda + Peso Muro Ladrillo</t>
  </si>
  <si>
    <t>Altura</t>
  </si>
  <si>
    <t>Espesor</t>
  </si>
  <si>
    <t>W muro ladrillo</t>
  </si>
  <si>
    <t>Ejes A Y D</t>
  </si>
  <si>
    <t>Ejes 13 y 19</t>
  </si>
  <si>
    <t>Primer Piso</t>
  </si>
  <si>
    <t>Segundo Piso</t>
  </si>
  <si>
    <t>1.25 CM + 1.25 CV +- 1.00 CS</t>
  </si>
  <si>
    <t>0.90 CM +- 1.00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</si>
</sst>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5702-6721-4C48-9714-29CE5EE0B09F}">
  <dimension ref="B2:O13"/>
  <sheetViews>
    <sheetView workbookViewId="0">
      <selection activeCell="O14" sqref="O14"/>
    </sheetView>
  </sheetViews>
  <sheetFormatPr baseColWidth="10" defaultRowHeight="15" x14ac:dyDescent="0.25"/>
  <sheetData>
    <row r="2" spans="2:15" x14ac:dyDescent="0.25">
      <c r="B2" t="s">
        <v>0</v>
      </c>
      <c r="C2" t="s">
        <v>1</v>
      </c>
      <c r="E2" t="s">
        <v>4</v>
      </c>
      <c r="F2">
        <v>0.2</v>
      </c>
    </row>
    <row r="3" spans="2:15" x14ac:dyDescent="0.25">
      <c r="B3" t="s">
        <v>2</v>
      </c>
      <c r="C3" t="s">
        <v>3</v>
      </c>
      <c r="E3" t="s">
        <v>5</v>
      </c>
      <c r="F3">
        <v>7.65</v>
      </c>
      <c r="G3">
        <f>0.25*F3</f>
        <v>1.9125000000000001</v>
      </c>
    </row>
    <row r="6" spans="2:15" x14ac:dyDescent="0.25">
      <c r="B6" t="s">
        <v>8</v>
      </c>
      <c r="D6" t="s">
        <v>6</v>
      </c>
      <c r="E6">
        <v>0.33667000000000002</v>
      </c>
      <c r="G6" t="s">
        <v>9</v>
      </c>
      <c r="I6" t="s">
        <v>7</v>
      </c>
      <c r="J6">
        <v>0.15684999999999999</v>
      </c>
      <c r="L6" t="s">
        <v>10</v>
      </c>
      <c r="N6" t="s">
        <v>6</v>
      </c>
      <c r="O6">
        <v>0.28632000000000002</v>
      </c>
    </row>
    <row r="7" spans="2:15" x14ac:dyDescent="0.25">
      <c r="D7" t="s">
        <v>7</v>
      </c>
      <c r="E7">
        <v>0.16944000000000001</v>
      </c>
      <c r="N7" t="s">
        <v>7</v>
      </c>
      <c r="O7">
        <f>0.85-0.49796</f>
        <v>0.35203999999999996</v>
      </c>
    </row>
    <row r="8" spans="2:15" x14ac:dyDescent="0.25">
      <c r="I8" t="s">
        <v>7</v>
      </c>
      <c r="J8">
        <f>0.25/2</f>
        <v>0.125</v>
      </c>
    </row>
    <row r="9" spans="2:15" x14ac:dyDescent="0.25">
      <c r="D9" t="s">
        <v>6</v>
      </c>
      <c r="E9">
        <f>0.24/2</f>
        <v>0.12</v>
      </c>
      <c r="N9" t="s">
        <v>6</v>
      </c>
      <c r="O9">
        <f>0.24/2</f>
        <v>0.12</v>
      </c>
    </row>
    <row r="10" spans="2:15" x14ac:dyDescent="0.25">
      <c r="D10" t="s">
        <v>7</v>
      </c>
      <c r="E10">
        <f>0.25/2</f>
        <v>0.125</v>
      </c>
      <c r="J10">
        <f>J6-J8</f>
        <v>3.1849999999999989E-2</v>
      </c>
      <c r="N10" t="s">
        <v>7</v>
      </c>
      <c r="O10">
        <f>0.25/2</f>
        <v>0.125</v>
      </c>
    </row>
    <row r="12" spans="2:15" x14ac:dyDescent="0.25">
      <c r="E12">
        <f>E6-E9</f>
        <v>0.21667000000000003</v>
      </c>
      <c r="O12">
        <f>O6-O9</f>
        <v>0.16632000000000002</v>
      </c>
    </row>
    <row r="13" spans="2:15" x14ac:dyDescent="0.25">
      <c r="E13">
        <f>E7-E10</f>
        <v>4.4440000000000007E-2</v>
      </c>
      <c r="O13">
        <f>O7-O10</f>
        <v>0.22703999999999996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8759-4448-474B-8AE1-38013864F156}">
  <dimension ref="B2:D16"/>
  <sheetViews>
    <sheetView workbookViewId="0">
      <selection activeCell="B7" sqref="B7"/>
    </sheetView>
  </sheetViews>
  <sheetFormatPr baseColWidth="10" defaultRowHeight="15" x14ac:dyDescent="0.25"/>
  <sheetData>
    <row r="2" spans="2:4" x14ac:dyDescent="0.25">
      <c r="B2" t="s">
        <v>11</v>
      </c>
      <c r="C2" s="2">
        <f>(C4*C5*C6*C12)/C13</f>
        <v>0.30937500000000001</v>
      </c>
    </row>
    <row r="4" spans="2:4" x14ac:dyDescent="0.25">
      <c r="B4" t="s">
        <v>21</v>
      </c>
      <c r="C4">
        <v>0.45</v>
      </c>
    </row>
    <row r="5" spans="2:4" x14ac:dyDescent="0.25">
      <c r="B5" t="s">
        <v>12</v>
      </c>
      <c r="C5" s="1">
        <v>1.5</v>
      </c>
    </row>
    <row r="6" spans="2:4" x14ac:dyDescent="0.25">
      <c r="B6" t="s">
        <v>13</v>
      </c>
      <c r="C6" s="1">
        <v>2.5</v>
      </c>
    </row>
    <row r="7" spans="2:4" x14ac:dyDescent="0.25">
      <c r="B7" s="3" t="s">
        <v>22</v>
      </c>
      <c r="C7" s="3">
        <f>C8/C9</f>
        <v>0.20149999999999998</v>
      </c>
      <c r="D7" s="3" t="s">
        <v>26</v>
      </c>
    </row>
    <row r="8" spans="2:4" x14ac:dyDescent="0.25">
      <c r="B8" t="s">
        <v>24</v>
      </c>
      <c r="C8">
        <v>12.09</v>
      </c>
      <c r="D8" t="s">
        <v>25</v>
      </c>
    </row>
    <row r="9" spans="2:4" x14ac:dyDescent="0.25">
      <c r="B9" t="s">
        <v>23</v>
      </c>
      <c r="C9">
        <v>60</v>
      </c>
    </row>
    <row r="10" spans="2:4" x14ac:dyDescent="0.25">
      <c r="B10" t="s">
        <v>14</v>
      </c>
      <c r="C10" s="1">
        <v>1</v>
      </c>
      <c r="D10" t="s">
        <v>26</v>
      </c>
    </row>
    <row r="11" spans="2:4" x14ac:dyDescent="0.25">
      <c r="B11" t="s">
        <v>15</v>
      </c>
      <c r="C11" s="1">
        <v>1.6</v>
      </c>
      <c r="D11" t="s">
        <v>26</v>
      </c>
    </row>
    <row r="12" spans="2:4" x14ac:dyDescent="0.25">
      <c r="B12" t="s">
        <v>16</v>
      </c>
      <c r="C12" s="1">
        <v>1.1000000000000001</v>
      </c>
    </row>
    <row r="13" spans="2:4" x14ac:dyDescent="0.25">
      <c r="B13" t="s">
        <v>17</v>
      </c>
      <c r="C13" s="1">
        <f>C14*C15*C16</f>
        <v>6</v>
      </c>
    </row>
    <row r="14" spans="2:4" x14ac:dyDescent="0.25">
      <c r="B14" t="s">
        <v>18</v>
      </c>
      <c r="C14" s="1">
        <v>6</v>
      </c>
    </row>
    <row r="15" spans="2:4" x14ac:dyDescent="0.25">
      <c r="B15" t="s">
        <v>19</v>
      </c>
      <c r="C15" s="1">
        <v>1</v>
      </c>
    </row>
    <row r="16" spans="2:4" x14ac:dyDescent="0.25">
      <c r="B16" t="s">
        <v>20</v>
      </c>
      <c r="C1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E8BC-D20A-4E3F-8451-974C6377F6F3}">
  <dimension ref="B2:R58"/>
  <sheetViews>
    <sheetView tabSelected="1" workbookViewId="0">
      <selection activeCell="G59" sqref="G59"/>
    </sheetView>
  </sheetViews>
  <sheetFormatPr baseColWidth="10" defaultRowHeight="15" x14ac:dyDescent="0.25"/>
  <cols>
    <col min="2" max="2" width="12.85546875" customWidth="1"/>
    <col min="16" max="16" width="16.85546875" customWidth="1"/>
  </cols>
  <sheetData>
    <row r="2" spans="2:18" x14ac:dyDescent="0.25">
      <c r="B2" s="5" t="s">
        <v>27</v>
      </c>
    </row>
    <row r="3" spans="2:18" x14ac:dyDescent="0.25">
      <c r="M3" s="4" t="s">
        <v>72</v>
      </c>
      <c r="O3" t="s">
        <v>31</v>
      </c>
      <c r="P3" t="s">
        <v>73</v>
      </c>
      <c r="Q3" s="4">
        <v>250</v>
      </c>
      <c r="R3" s="4" t="s">
        <v>74</v>
      </c>
    </row>
    <row r="4" spans="2:18" x14ac:dyDescent="0.25">
      <c r="B4" t="s">
        <v>28</v>
      </c>
      <c r="C4" t="s">
        <v>29</v>
      </c>
      <c r="P4" t="s">
        <v>75</v>
      </c>
      <c r="Q4" s="4">
        <v>400</v>
      </c>
      <c r="R4" s="4" t="s">
        <v>74</v>
      </c>
    </row>
    <row r="5" spans="2:18" x14ac:dyDescent="0.25">
      <c r="B5" t="s">
        <v>30</v>
      </c>
      <c r="C5" t="s">
        <v>97</v>
      </c>
      <c r="P5" t="s">
        <v>76</v>
      </c>
      <c r="Q5" s="4">
        <v>500</v>
      </c>
      <c r="R5" s="4" t="s">
        <v>74</v>
      </c>
    </row>
    <row r="6" spans="2:18" x14ac:dyDescent="0.25">
      <c r="B6" t="s">
        <v>31</v>
      </c>
      <c r="C6" t="s">
        <v>32</v>
      </c>
    </row>
    <row r="7" spans="2:18" x14ac:dyDescent="0.25">
      <c r="B7" t="s">
        <v>33</v>
      </c>
      <c r="C7" t="s">
        <v>34</v>
      </c>
      <c r="O7" t="s">
        <v>33</v>
      </c>
      <c r="P7">
        <v>100</v>
      </c>
      <c r="Q7" t="s">
        <v>74</v>
      </c>
      <c r="R7" t="s">
        <v>77</v>
      </c>
    </row>
    <row r="8" spans="2:18" x14ac:dyDescent="0.25">
      <c r="B8" t="s">
        <v>35</v>
      </c>
      <c r="C8" t="s">
        <v>37</v>
      </c>
      <c r="P8" s="6" t="s">
        <v>78</v>
      </c>
      <c r="Q8" t="s">
        <v>74</v>
      </c>
    </row>
    <row r="9" spans="2:18" x14ac:dyDescent="0.25">
      <c r="B9" t="s">
        <v>36</v>
      </c>
      <c r="C9" t="s">
        <v>37</v>
      </c>
    </row>
    <row r="10" spans="2:18" x14ac:dyDescent="0.25">
      <c r="B10" t="s">
        <v>39</v>
      </c>
      <c r="C10" t="s">
        <v>41</v>
      </c>
      <c r="P10" s="6" t="s">
        <v>79</v>
      </c>
      <c r="Q10">
        <f>100-5*(15-3)</f>
        <v>40</v>
      </c>
      <c r="R10" t="s">
        <v>74</v>
      </c>
    </row>
    <row r="11" spans="2:18" x14ac:dyDescent="0.25">
      <c r="B11" t="s">
        <v>40</v>
      </c>
      <c r="C11" t="s">
        <v>42</v>
      </c>
      <c r="Q11" s="4">
        <v>50</v>
      </c>
      <c r="R11" s="4" t="s">
        <v>74</v>
      </c>
    </row>
    <row r="13" spans="2:18" x14ac:dyDescent="0.25">
      <c r="B13" s="5" t="s">
        <v>38</v>
      </c>
      <c r="O13" t="s">
        <v>30</v>
      </c>
      <c r="P13" s="3" t="s">
        <v>80</v>
      </c>
      <c r="Q13" s="4">
        <v>100</v>
      </c>
      <c r="R13" s="4" t="s">
        <v>74</v>
      </c>
    </row>
    <row r="15" spans="2:18" x14ac:dyDescent="0.25">
      <c r="B15" t="s">
        <v>43</v>
      </c>
      <c r="C15" t="s">
        <v>44</v>
      </c>
      <c r="P15" s="3" t="s">
        <v>96</v>
      </c>
    </row>
    <row r="16" spans="2:18" x14ac:dyDescent="0.25">
      <c r="B16" t="s">
        <v>40</v>
      </c>
      <c r="C16" t="s">
        <v>45</v>
      </c>
    </row>
    <row r="17" spans="2:18" x14ac:dyDescent="0.25">
      <c r="P17" t="s">
        <v>81</v>
      </c>
    </row>
    <row r="18" spans="2:18" x14ac:dyDescent="0.25">
      <c r="B18" s="5" t="s">
        <v>46</v>
      </c>
      <c r="C18" s="5"/>
      <c r="D18" s="5"/>
      <c r="P18" t="s">
        <v>82</v>
      </c>
    </row>
    <row r="19" spans="2:18" x14ac:dyDescent="0.25">
      <c r="P19" t="s">
        <v>83</v>
      </c>
      <c r="Q19">
        <f>0.05+0.25*0.15</f>
        <v>8.7499999999999994E-2</v>
      </c>
      <c r="R19" t="s">
        <v>84</v>
      </c>
    </row>
    <row r="20" spans="2:18" x14ac:dyDescent="0.25">
      <c r="B20" t="s">
        <v>47</v>
      </c>
      <c r="D20" t="s">
        <v>51</v>
      </c>
    </row>
    <row r="21" spans="2:18" x14ac:dyDescent="0.25">
      <c r="P21" t="s">
        <v>85</v>
      </c>
      <c r="Q21">
        <v>2400</v>
      </c>
      <c r="R21" t="s">
        <v>87</v>
      </c>
    </row>
    <row r="22" spans="2:18" x14ac:dyDescent="0.25">
      <c r="B22" t="s">
        <v>48</v>
      </c>
      <c r="C22">
        <v>1.4</v>
      </c>
      <c r="D22" t="s">
        <v>28</v>
      </c>
      <c r="E22">
        <v>1.4</v>
      </c>
      <c r="F22" t="s">
        <v>30</v>
      </c>
      <c r="G22">
        <v>1.7</v>
      </c>
      <c r="H22" t="s">
        <v>31</v>
      </c>
      <c r="I22">
        <v>1.7</v>
      </c>
      <c r="J22" t="s">
        <v>33</v>
      </c>
      <c r="P22" t="s">
        <v>86</v>
      </c>
    </row>
    <row r="23" spans="2:18" x14ac:dyDescent="0.25">
      <c r="B23" t="s">
        <v>49</v>
      </c>
      <c r="C23">
        <v>1.4</v>
      </c>
      <c r="D23" t="s">
        <v>28</v>
      </c>
      <c r="E23">
        <v>1.4</v>
      </c>
      <c r="F23" t="s">
        <v>30</v>
      </c>
      <c r="G23">
        <v>1.7</v>
      </c>
      <c r="H23" t="s">
        <v>35</v>
      </c>
      <c r="I23">
        <v>1.7</v>
      </c>
      <c r="J23" t="s">
        <v>33</v>
      </c>
    </row>
    <row r="24" spans="2:18" x14ac:dyDescent="0.25">
      <c r="B24" t="s">
        <v>50</v>
      </c>
      <c r="C24">
        <v>1.4</v>
      </c>
      <c r="D24" t="s">
        <v>28</v>
      </c>
      <c r="E24">
        <v>1.4</v>
      </c>
      <c r="F24" t="s">
        <v>30</v>
      </c>
      <c r="G24">
        <v>1.7</v>
      </c>
      <c r="H24" t="s">
        <v>36</v>
      </c>
      <c r="I24">
        <v>1.7</v>
      </c>
      <c r="J24" t="s">
        <v>33</v>
      </c>
      <c r="P24" t="s">
        <v>88</v>
      </c>
    </row>
    <row r="25" spans="2:18" x14ac:dyDescent="0.25">
      <c r="Q25">
        <f>Q21*Q19</f>
        <v>210</v>
      </c>
      <c r="R25" t="s">
        <v>74</v>
      </c>
    </row>
    <row r="26" spans="2:18" x14ac:dyDescent="0.25">
      <c r="B26" t="s">
        <v>47</v>
      </c>
      <c r="D26" t="s">
        <v>105</v>
      </c>
    </row>
    <row r="27" spans="2:18" x14ac:dyDescent="0.25">
      <c r="P27" t="s">
        <v>89</v>
      </c>
    </row>
    <row r="28" spans="2:18" x14ac:dyDescent="0.25">
      <c r="B28" t="s">
        <v>52</v>
      </c>
      <c r="C28">
        <v>1.25</v>
      </c>
      <c r="D28" t="s">
        <v>28</v>
      </c>
      <c r="E28">
        <v>1.25</v>
      </c>
      <c r="F28" t="s">
        <v>30</v>
      </c>
      <c r="G28">
        <v>1.25</v>
      </c>
      <c r="H28" t="s">
        <v>31</v>
      </c>
      <c r="I28">
        <v>1.25</v>
      </c>
      <c r="J28" t="s">
        <v>33</v>
      </c>
      <c r="K28" s="1">
        <v>1</v>
      </c>
      <c r="L28" t="s">
        <v>53</v>
      </c>
      <c r="P28" t="s">
        <v>90</v>
      </c>
      <c r="Q28">
        <v>300</v>
      </c>
      <c r="R28" t="s">
        <v>74</v>
      </c>
    </row>
    <row r="29" spans="2:18" x14ac:dyDescent="0.25">
      <c r="B29" t="s">
        <v>54</v>
      </c>
      <c r="C29">
        <v>1.25</v>
      </c>
      <c r="D29" t="s">
        <v>28</v>
      </c>
      <c r="E29">
        <v>1.25</v>
      </c>
      <c r="F29" t="s">
        <v>30</v>
      </c>
      <c r="G29">
        <v>1.25</v>
      </c>
      <c r="H29" t="s">
        <v>31</v>
      </c>
      <c r="I29">
        <v>1.25</v>
      </c>
      <c r="J29" t="s">
        <v>33</v>
      </c>
      <c r="K29" s="1">
        <v>-1</v>
      </c>
      <c r="L29" t="s">
        <v>53</v>
      </c>
      <c r="P29" t="s">
        <v>91</v>
      </c>
      <c r="Q29">
        <f>Q25</f>
        <v>210</v>
      </c>
      <c r="R29" t="s">
        <v>74</v>
      </c>
    </row>
    <row r="30" spans="2:18" x14ac:dyDescent="0.25">
      <c r="B30" t="s">
        <v>55</v>
      </c>
      <c r="C30">
        <v>1.25</v>
      </c>
      <c r="D30" t="s">
        <v>28</v>
      </c>
      <c r="E30">
        <v>1.25</v>
      </c>
      <c r="F30" t="s">
        <v>30</v>
      </c>
      <c r="G30">
        <v>1.25</v>
      </c>
      <c r="H30" t="s">
        <v>31</v>
      </c>
      <c r="I30">
        <v>1.25</v>
      </c>
      <c r="J30" t="s">
        <v>33</v>
      </c>
      <c r="K30" s="1">
        <v>1</v>
      </c>
      <c r="L30" t="s">
        <v>43</v>
      </c>
      <c r="P30" t="s">
        <v>92</v>
      </c>
      <c r="Q30" s="4">
        <f>Q28-Q29</f>
        <v>90</v>
      </c>
      <c r="R30" s="4" t="s">
        <v>74</v>
      </c>
    </row>
    <row r="31" spans="2:18" x14ac:dyDescent="0.25">
      <c r="B31" t="s">
        <v>56</v>
      </c>
      <c r="C31">
        <v>1.25</v>
      </c>
      <c r="D31" t="s">
        <v>28</v>
      </c>
      <c r="E31">
        <v>1.25</v>
      </c>
      <c r="F31" t="s">
        <v>30</v>
      </c>
      <c r="G31">
        <v>1.25</v>
      </c>
      <c r="H31" t="s">
        <v>31</v>
      </c>
      <c r="I31">
        <v>1.25</v>
      </c>
      <c r="J31" t="s">
        <v>33</v>
      </c>
      <c r="K31" s="1">
        <v>-1</v>
      </c>
      <c r="L31" t="s">
        <v>43</v>
      </c>
    </row>
    <row r="32" spans="2:18" x14ac:dyDescent="0.25">
      <c r="B32" t="s">
        <v>57</v>
      </c>
      <c r="C32">
        <v>1.25</v>
      </c>
      <c r="D32" t="s">
        <v>28</v>
      </c>
      <c r="E32">
        <v>1.25</v>
      </c>
      <c r="F32" t="s">
        <v>30</v>
      </c>
      <c r="G32">
        <v>1.25</v>
      </c>
      <c r="H32" t="s">
        <v>35</v>
      </c>
      <c r="I32">
        <v>1.25</v>
      </c>
      <c r="J32" t="s">
        <v>33</v>
      </c>
      <c r="K32" s="1">
        <v>1</v>
      </c>
      <c r="L32" t="s">
        <v>53</v>
      </c>
      <c r="P32" s="3" t="s">
        <v>93</v>
      </c>
      <c r="Q32" s="4">
        <v>50</v>
      </c>
      <c r="R32" s="4" t="s">
        <v>94</v>
      </c>
    </row>
    <row r="33" spans="2:18" x14ac:dyDescent="0.25">
      <c r="B33" t="s">
        <v>58</v>
      </c>
      <c r="C33">
        <v>1.25</v>
      </c>
      <c r="D33" t="s">
        <v>28</v>
      </c>
      <c r="E33">
        <v>1.25</v>
      </c>
      <c r="F33" t="s">
        <v>30</v>
      </c>
      <c r="G33">
        <v>1.25</v>
      </c>
      <c r="H33" t="s">
        <v>35</v>
      </c>
      <c r="I33">
        <v>1.25</v>
      </c>
      <c r="J33" t="s">
        <v>33</v>
      </c>
      <c r="K33" s="1">
        <v>-1</v>
      </c>
      <c r="L33" t="s">
        <v>53</v>
      </c>
    </row>
    <row r="34" spans="2:18" x14ac:dyDescent="0.25">
      <c r="B34" t="s">
        <v>59</v>
      </c>
      <c r="C34">
        <v>1.25</v>
      </c>
      <c r="D34" t="s">
        <v>28</v>
      </c>
      <c r="E34">
        <v>1.25</v>
      </c>
      <c r="F34" t="s">
        <v>30</v>
      </c>
      <c r="G34">
        <v>1.25</v>
      </c>
      <c r="H34" t="s">
        <v>35</v>
      </c>
      <c r="I34">
        <v>1.25</v>
      </c>
      <c r="J34" t="s">
        <v>33</v>
      </c>
      <c r="K34" s="1">
        <v>1</v>
      </c>
      <c r="L34" t="s">
        <v>43</v>
      </c>
      <c r="P34" s="3" t="s">
        <v>95</v>
      </c>
    </row>
    <row r="35" spans="2:18" x14ac:dyDescent="0.25">
      <c r="B35" t="s">
        <v>60</v>
      </c>
      <c r="C35">
        <v>1.25</v>
      </c>
      <c r="D35" t="s">
        <v>28</v>
      </c>
      <c r="E35">
        <v>1.25</v>
      </c>
      <c r="F35" t="s">
        <v>30</v>
      </c>
      <c r="G35">
        <v>1.25</v>
      </c>
      <c r="H35" t="s">
        <v>35</v>
      </c>
      <c r="I35">
        <v>1.25</v>
      </c>
      <c r="J35" t="s">
        <v>33</v>
      </c>
      <c r="K35" s="1">
        <v>-1</v>
      </c>
      <c r="L35" t="s">
        <v>43</v>
      </c>
    </row>
    <row r="36" spans="2:18" x14ac:dyDescent="0.25">
      <c r="B36" t="s">
        <v>61</v>
      </c>
      <c r="C36">
        <v>1.25</v>
      </c>
      <c r="D36" t="s">
        <v>28</v>
      </c>
      <c r="E36">
        <v>1.25</v>
      </c>
      <c r="F36" t="s">
        <v>30</v>
      </c>
      <c r="G36">
        <v>1.25</v>
      </c>
      <c r="H36" t="s">
        <v>36</v>
      </c>
      <c r="I36">
        <v>1.25</v>
      </c>
      <c r="J36" t="s">
        <v>33</v>
      </c>
      <c r="K36" s="1">
        <v>1</v>
      </c>
      <c r="L36" t="s">
        <v>53</v>
      </c>
      <c r="P36" s="4" t="s">
        <v>101</v>
      </c>
    </row>
    <row r="37" spans="2:18" x14ac:dyDescent="0.25">
      <c r="B37" t="s">
        <v>62</v>
      </c>
      <c r="C37">
        <v>1.25</v>
      </c>
      <c r="D37" t="s">
        <v>28</v>
      </c>
      <c r="E37">
        <v>1.25</v>
      </c>
      <c r="F37" t="s">
        <v>30</v>
      </c>
      <c r="G37">
        <v>1.25</v>
      </c>
      <c r="H37" t="s">
        <v>36</v>
      </c>
      <c r="I37">
        <v>1.25</v>
      </c>
      <c r="J37" t="s">
        <v>33</v>
      </c>
      <c r="K37" s="1">
        <v>-1</v>
      </c>
      <c r="L37" t="s">
        <v>53</v>
      </c>
    </row>
    <row r="38" spans="2:18" x14ac:dyDescent="0.25">
      <c r="B38" t="s">
        <v>63</v>
      </c>
      <c r="C38">
        <v>1.25</v>
      </c>
      <c r="D38" t="s">
        <v>28</v>
      </c>
      <c r="E38">
        <v>1.25</v>
      </c>
      <c r="F38" t="s">
        <v>30</v>
      </c>
      <c r="G38">
        <v>1.25</v>
      </c>
      <c r="H38" t="s">
        <v>36</v>
      </c>
      <c r="I38">
        <v>1.25</v>
      </c>
      <c r="J38" t="s">
        <v>33</v>
      </c>
      <c r="K38" s="1">
        <v>1</v>
      </c>
      <c r="L38" t="s">
        <v>43</v>
      </c>
      <c r="P38" t="s">
        <v>85</v>
      </c>
      <c r="Q38">
        <v>1800</v>
      </c>
      <c r="R38" t="s">
        <v>87</v>
      </c>
    </row>
    <row r="39" spans="2:18" x14ac:dyDescent="0.25">
      <c r="B39" t="s">
        <v>64</v>
      </c>
      <c r="C39">
        <v>1.25</v>
      </c>
      <c r="D39" t="s">
        <v>28</v>
      </c>
      <c r="E39">
        <v>1.25</v>
      </c>
      <c r="F39" t="s">
        <v>30</v>
      </c>
      <c r="G39">
        <v>1.25</v>
      </c>
      <c r="H39" t="s">
        <v>36</v>
      </c>
      <c r="I39">
        <v>1.25</v>
      </c>
      <c r="J39" t="s">
        <v>33</v>
      </c>
      <c r="K39" s="1">
        <v>-1</v>
      </c>
      <c r="L39" t="s">
        <v>43</v>
      </c>
      <c r="P39" t="s">
        <v>98</v>
      </c>
      <c r="Q39" s="1">
        <v>1.2</v>
      </c>
      <c r="R39" t="s">
        <v>25</v>
      </c>
    </row>
    <row r="40" spans="2:18" x14ac:dyDescent="0.25">
      <c r="P40" t="s">
        <v>99</v>
      </c>
      <c r="Q40" s="1">
        <v>0.24</v>
      </c>
      <c r="R40" t="s">
        <v>25</v>
      </c>
    </row>
    <row r="41" spans="2:18" x14ac:dyDescent="0.25">
      <c r="B41" t="s">
        <v>65</v>
      </c>
      <c r="D41" t="s">
        <v>106</v>
      </c>
      <c r="P41" t="s">
        <v>100</v>
      </c>
      <c r="Q41" s="1">
        <f>Q38*Q39*Q40</f>
        <v>518.4</v>
      </c>
      <c r="R41" t="s">
        <v>94</v>
      </c>
    </row>
    <row r="42" spans="2:18" x14ac:dyDescent="0.25">
      <c r="P42" t="s">
        <v>100</v>
      </c>
      <c r="Q42" s="7">
        <v>520</v>
      </c>
      <c r="R42" s="4" t="s">
        <v>94</v>
      </c>
    </row>
    <row r="43" spans="2:18" x14ac:dyDescent="0.25">
      <c r="B43" t="s">
        <v>66</v>
      </c>
      <c r="C43">
        <v>0.9</v>
      </c>
      <c r="D43" t="s">
        <v>28</v>
      </c>
      <c r="E43">
        <v>0.9</v>
      </c>
      <c r="F43" t="s">
        <v>30</v>
      </c>
      <c r="G43" s="1">
        <v>1</v>
      </c>
      <c r="H43" t="s">
        <v>53</v>
      </c>
    </row>
    <row r="44" spans="2:18" x14ac:dyDescent="0.25">
      <c r="B44" t="s">
        <v>67</v>
      </c>
      <c r="C44">
        <v>0.9</v>
      </c>
      <c r="D44" t="s">
        <v>28</v>
      </c>
      <c r="E44">
        <v>0.9</v>
      </c>
      <c r="F44" t="s">
        <v>30</v>
      </c>
      <c r="G44" s="1">
        <v>-1</v>
      </c>
      <c r="H44" t="s">
        <v>53</v>
      </c>
      <c r="P44" s="4" t="s">
        <v>102</v>
      </c>
    </row>
    <row r="45" spans="2:18" x14ac:dyDescent="0.25">
      <c r="B45" t="s">
        <v>68</v>
      </c>
      <c r="C45">
        <v>0.9</v>
      </c>
      <c r="D45" t="s">
        <v>28</v>
      </c>
      <c r="E45">
        <v>0.9</v>
      </c>
      <c r="F45" t="s">
        <v>30</v>
      </c>
      <c r="G45" s="1">
        <v>1</v>
      </c>
      <c r="H45" t="s">
        <v>43</v>
      </c>
    </row>
    <row r="46" spans="2:18" x14ac:dyDescent="0.25">
      <c r="B46" t="s">
        <v>69</v>
      </c>
      <c r="C46">
        <v>0.9</v>
      </c>
      <c r="D46" t="s">
        <v>28</v>
      </c>
      <c r="E46">
        <v>0.9</v>
      </c>
      <c r="F46" t="s">
        <v>30</v>
      </c>
      <c r="G46" s="1">
        <v>-1</v>
      </c>
      <c r="H46" t="s">
        <v>43</v>
      </c>
      <c r="P46" t="s">
        <v>103</v>
      </c>
    </row>
    <row r="47" spans="2:18" x14ac:dyDescent="0.25">
      <c r="P47" t="s">
        <v>85</v>
      </c>
      <c r="Q47">
        <v>1800</v>
      </c>
      <c r="R47" t="s">
        <v>87</v>
      </c>
    </row>
    <row r="48" spans="2:18" x14ac:dyDescent="0.25">
      <c r="B48" t="s">
        <v>70</v>
      </c>
      <c r="C48" t="s">
        <v>71</v>
      </c>
      <c r="P48" t="s">
        <v>98</v>
      </c>
      <c r="Q48" s="1">
        <v>2.67</v>
      </c>
      <c r="R48" t="s">
        <v>25</v>
      </c>
    </row>
    <row r="49" spans="16:18" x14ac:dyDescent="0.25">
      <c r="P49" t="s">
        <v>99</v>
      </c>
      <c r="Q49" s="1">
        <v>0.24</v>
      </c>
      <c r="R49" t="s">
        <v>25</v>
      </c>
    </row>
    <row r="50" spans="16:18" x14ac:dyDescent="0.25">
      <c r="P50" t="s">
        <v>100</v>
      </c>
      <c r="Q50" s="1">
        <f>Q47*Q48*Q49</f>
        <v>1153.44</v>
      </c>
      <c r="R50" t="s">
        <v>94</v>
      </c>
    </row>
    <row r="51" spans="16:18" x14ac:dyDescent="0.25">
      <c r="P51" t="s">
        <v>100</v>
      </c>
      <c r="Q51" s="7">
        <v>1155</v>
      </c>
      <c r="R51" s="4" t="s">
        <v>94</v>
      </c>
    </row>
    <row r="53" spans="16:18" x14ac:dyDescent="0.25">
      <c r="P53" t="s">
        <v>104</v>
      </c>
    </row>
    <row r="54" spans="16:18" x14ac:dyDescent="0.25">
      <c r="P54" t="s">
        <v>85</v>
      </c>
      <c r="Q54">
        <v>1800</v>
      </c>
      <c r="R54" t="s">
        <v>87</v>
      </c>
    </row>
    <row r="55" spans="16:18" x14ac:dyDescent="0.25">
      <c r="P55" t="s">
        <v>98</v>
      </c>
      <c r="Q55" s="1">
        <v>4</v>
      </c>
      <c r="R55" t="s">
        <v>25</v>
      </c>
    </row>
    <row r="56" spans="16:18" x14ac:dyDescent="0.25">
      <c r="P56" t="s">
        <v>99</v>
      </c>
      <c r="Q56" s="1">
        <v>0.24</v>
      </c>
      <c r="R56" t="s">
        <v>25</v>
      </c>
    </row>
    <row r="57" spans="16:18" x14ac:dyDescent="0.25">
      <c r="P57" t="s">
        <v>100</v>
      </c>
      <c r="Q57" s="1">
        <f>Q54*Q55*Q56</f>
        <v>1728</v>
      </c>
      <c r="R57" t="s">
        <v>94</v>
      </c>
    </row>
    <row r="58" spans="16:18" x14ac:dyDescent="0.25">
      <c r="P58" t="s">
        <v>100</v>
      </c>
      <c r="Q58" s="7">
        <v>1730</v>
      </c>
      <c r="R58" s="4" t="s">
        <v>94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ESPECTRO DISEÑO</vt:lpstr>
      <vt:lpstr>CARGAS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2025-01-12T15:25:38Z</dcterms:created>
  <dcterms:modified xsi:type="dcterms:W3CDTF">2025-01-19T17:31:06Z</dcterms:modified>
</cp:coreProperties>
</file>