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COLEGIO DE INGENIEROS-RESIDENCIALES\CURSO VIRTUAL DE INSTALACIONES ELECTRICAS RESIDENCIALES CON AUTOCAD\PDF Y DIAPOS\clase 1\CLASE 8- CIP\JHOSETH\"/>
    </mc:Choice>
  </mc:AlternateContent>
  <bookViews>
    <workbookView xWindow="0" yWindow="0" windowWidth="20490" windowHeight="7350"/>
  </bookViews>
  <sheets>
    <sheet name="SELECCION DE CONDUCTOR" sheetId="2" r:id="rId1"/>
    <sheet name="Hoja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" i="2" l="1"/>
  <c r="P21" i="2"/>
  <c r="P22" i="2"/>
  <c r="P23" i="2"/>
  <c r="O19" i="2"/>
  <c r="P19" i="2" s="1"/>
  <c r="H9" i="2" l="1"/>
  <c r="O20" i="2"/>
  <c r="O21" i="2"/>
  <c r="O22" i="2"/>
  <c r="O23" i="2"/>
</calcChain>
</file>

<file path=xl/sharedStrings.xml><?xml version="1.0" encoding="utf-8"?>
<sst xmlns="http://schemas.openxmlformats.org/spreadsheetml/2006/main" count="45" uniqueCount="29">
  <si>
    <t>seccion</t>
  </si>
  <si>
    <t>voltios</t>
  </si>
  <si>
    <t>TD-05</t>
  </si>
  <si>
    <t>Corirente Diseño</t>
  </si>
  <si>
    <t>m</t>
  </si>
  <si>
    <t>Longitud 5</t>
  </si>
  <si>
    <t>TD-04</t>
  </si>
  <si>
    <t>Corriente Diseño</t>
  </si>
  <si>
    <t>Longitud 4</t>
  </si>
  <si>
    <t>TD-03</t>
  </si>
  <si>
    <t>Longitud 3</t>
  </si>
  <si>
    <t>TD-02</t>
  </si>
  <si>
    <t>Longitud 2</t>
  </si>
  <si>
    <t>TD-01</t>
  </si>
  <si>
    <t>Longitud 1</t>
  </si>
  <si>
    <t>Conductor seccion (mm2)</t>
  </si>
  <si>
    <t>Δ V= Maximo 5.5 V condiserando el  2.5%</t>
  </si>
  <si>
    <t>Id : corriente de diseño(A)</t>
  </si>
  <si>
    <t>Longitud: Metros (m)</t>
  </si>
  <si>
    <t>% Caida</t>
  </si>
  <si>
    <t>V</t>
  </si>
  <si>
    <t>Caida Tension (ΔV)</t>
  </si>
  <si>
    <t>Ω mm2/ m</t>
  </si>
  <si>
    <t>Resistividad Cu (ρ)=</t>
  </si>
  <si>
    <t>Cos ø =</t>
  </si>
  <si>
    <t>K=</t>
  </si>
  <si>
    <t>Voltaje(V)=</t>
  </si>
  <si>
    <t>DATOS  ESPECIFICOS</t>
  </si>
  <si>
    <t>SELECCIÓN DE 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</si>
</sst>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b/>
      <sz val="10"/>
      <name val="Arial"/>
      <family val="2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Font="1" applyBorder="1"/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 applyProtection="1">
      <alignment horizontal="right"/>
    </xf>
    <xf numFmtId="10" fontId="8" fillId="0" borderId="1" xfId="1" applyNumberFormat="1" applyFont="1" applyBorder="1"/>
    <xf numFmtId="0" fontId="7" fillId="0" borderId="1" xfId="0" applyFont="1" applyBorder="1" applyAlignment="1">
      <alignment horizontal="right"/>
    </xf>
    <xf numFmtId="0" fontId="0" fillId="0" borderId="1" xfId="0" applyBorder="1"/>
    <xf numFmtId="164" fontId="9" fillId="0" borderId="1" xfId="0" applyNumberFormat="1" applyFont="1" applyBorder="1"/>
    <xf numFmtId="0" fontId="10" fillId="0" borderId="1" xfId="0" applyFont="1" applyBorder="1" applyAlignment="1" applyProtection="1">
      <alignment horizontal="center"/>
    </xf>
    <xf numFmtId="0" fontId="11" fillId="0" borderId="1" xfId="0" applyFont="1" applyBorder="1" applyAlignment="1" applyProtection="1">
      <alignment horizontal="right"/>
    </xf>
    <xf numFmtId="37" fontId="10" fillId="0" borderId="1" xfId="0" applyNumberFormat="1" applyFont="1" applyBorder="1" applyAlignment="1" applyProtection="1">
      <alignment horizontal="center"/>
    </xf>
    <xf numFmtId="0" fontId="7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1" fillId="0" borderId="4" xfId="0" applyFont="1" applyBorder="1" applyAlignment="1" applyProtection="1">
      <alignment horizontal="center"/>
    </xf>
    <xf numFmtId="0" fontId="11" fillId="0" borderId="2" xfId="0" applyFont="1" applyBorder="1" applyAlignment="1" applyProtection="1">
      <alignment horizontal="center"/>
    </xf>
    <xf numFmtId="0" fontId="0" fillId="4" borderId="1" xfId="0" applyFont="1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2</xdr:row>
      <xdr:rowOff>38100</xdr:rowOff>
    </xdr:from>
    <xdr:ext cx="3024374" cy="1977870"/>
    <xdr:pic>
      <xdr:nvPicPr>
        <xdr:cNvPr id="2" name="Imagen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27" t="25630" r="55701" b="23429"/>
        <a:stretch/>
      </xdr:blipFill>
      <xdr:spPr>
        <a:xfrm rot="5400000">
          <a:off x="904252" y="-104152"/>
          <a:ext cx="1977870" cy="302437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0</xdr:col>
      <xdr:colOff>0</xdr:colOff>
      <xdr:row>25</xdr:row>
      <xdr:rowOff>9525</xdr:rowOff>
    </xdr:from>
    <xdr:ext cx="6971428" cy="3895238"/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72025"/>
          <a:ext cx="6971428" cy="3895238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  <xdr:oneCellAnchor>
    <xdr:from>
      <xdr:col>9</xdr:col>
      <xdr:colOff>257175</xdr:colOff>
      <xdr:row>25</xdr:row>
      <xdr:rowOff>9525</xdr:rowOff>
    </xdr:from>
    <xdr:ext cx="6954220" cy="4239217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15175" y="4772025"/>
          <a:ext cx="6954220" cy="4239217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3"/>
  <sheetViews>
    <sheetView tabSelected="1" zoomScaleNormal="100" workbookViewId="0">
      <selection activeCell="S25" sqref="S25"/>
    </sheetView>
  </sheetViews>
  <sheetFormatPr baseColWidth="10" defaultRowHeight="15" x14ac:dyDescent="0.25"/>
  <cols>
    <col min="13" max="13" width="17.7109375" customWidth="1"/>
  </cols>
  <sheetData>
    <row r="1" spans="2:13" ht="26.25" x14ac:dyDescent="0.4">
      <c r="B1" s="21" t="s">
        <v>28</v>
      </c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3" spans="2:13" x14ac:dyDescent="0.25">
      <c r="G3" s="20" t="s">
        <v>27</v>
      </c>
      <c r="H3" s="20"/>
      <c r="I3" s="20"/>
    </row>
    <row r="5" spans="2:13" x14ac:dyDescent="0.25">
      <c r="F5" s="24" t="s">
        <v>26</v>
      </c>
      <c r="G5" s="25"/>
      <c r="H5" s="12">
        <v>220</v>
      </c>
      <c r="I5" s="4" t="s">
        <v>20</v>
      </c>
    </row>
    <row r="6" spans="2:13" x14ac:dyDescent="0.25">
      <c r="F6" s="24" t="s">
        <v>25</v>
      </c>
      <c r="G6" s="25"/>
      <c r="H6" s="10">
        <v>2</v>
      </c>
      <c r="I6" s="4"/>
    </row>
    <row r="7" spans="2:13" x14ac:dyDescent="0.25">
      <c r="F7" s="24" t="s">
        <v>24</v>
      </c>
      <c r="G7" s="25"/>
      <c r="H7" s="4">
        <v>0.9</v>
      </c>
      <c r="I7" s="4"/>
    </row>
    <row r="8" spans="2:13" x14ac:dyDescent="0.25">
      <c r="F8" s="8"/>
      <c r="G8" s="11" t="s">
        <v>23</v>
      </c>
      <c r="H8" s="10">
        <v>1.7500000000000002E-2</v>
      </c>
      <c r="I8" s="10" t="s">
        <v>22</v>
      </c>
    </row>
    <row r="9" spans="2:13" ht="15.75" x14ac:dyDescent="0.25">
      <c r="F9" s="8"/>
      <c r="G9" s="7" t="s">
        <v>21</v>
      </c>
      <c r="H9" s="9">
        <f>+H5*H10</f>
        <v>5.5</v>
      </c>
      <c r="I9" s="4" t="s">
        <v>20</v>
      </c>
    </row>
    <row r="10" spans="2:13" ht="15.75" x14ac:dyDescent="0.25">
      <c r="F10" s="8"/>
      <c r="G10" s="7" t="s">
        <v>19</v>
      </c>
      <c r="H10" s="6">
        <v>2.5000000000000001E-2</v>
      </c>
      <c r="I10" s="4"/>
    </row>
    <row r="18" spans="5:16" ht="15.75" x14ac:dyDescent="0.25">
      <c r="E18" s="13" t="s">
        <v>18</v>
      </c>
      <c r="F18" s="13"/>
      <c r="G18" s="13"/>
      <c r="H18" s="13" t="s">
        <v>17</v>
      </c>
      <c r="I18" s="13"/>
      <c r="J18" s="13"/>
      <c r="K18" s="14" t="s">
        <v>16</v>
      </c>
      <c r="L18" s="15"/>
      <c r="M18" s="15"/>
      <c r="N18" s="16" t="s">
        <v>15</v>
      </c>
      <c r="O18" s="17"/>
      <c r="P18" s="18"/>
    </row>
    <row r="19" spans="5:16" x14ac:dyDescent="0.25">
      <c r="E19" s="5" t="s">
        <v>14</v>
      </c>
      <c r="F19" s="1">
        <v>15</v>
      </c>
      <c r="G19" s="4" t="s">
        <v>4</v>
      </c>
      <c r="H19" s="19" t="s">
        <v>7</v>
      </c>
      <c r="I19" s="19"/>
      <c r="J19" s="1">
        <v>30</v>
      </c>
      <c r="K19" s="2" t="s">
        <v>13</v>
      </c>
      <c r="L19" s="2">
        <v>5.5</v>
      </c>
      <c r="M19" s="3" t="s">
        <v>1</v>
      </c>
      <c r="N19" s="2" t="s">
        <v>0</v>
      </c>
      <c r="O19" s="2">
        <f>H$6*H$8*J19*F19/L19</f>
        <v>2.8636363636363638</v>
      </c>
      <c r="P19" s="26">
        <f>O19/0.8</f>
        <v>3.5795454545454546</v>
      </c>
    </row>
    <row r="20" spans="5:16" x14ac:dyDescent="0.25">
      <c r="E20" s="5" t="s">
        <v>12</v>
      </c>
      <c r="F20" s="1">
        <v>15</v>
      </c>
      <c r="G20" s="4" t="s">
        <v>4</v>
      </c>
      <c r="H20" s="19" t="s">
        <v>7</v>
      </c>
      <c r="I20" s="19"/>
      <c r="J20" s="1">
        <v>14</v>
      </c>
      <c r="K20" s="2" t="s">
        <v>11</v>
      </c>
      <c r="L20" s="2">
        <v>5.5</v>
      </c>
      <c r="M20" s="3" t="s">
        <v>1</v>
      </c>
      <c r="N20" s="2" t="s">
        <v>0</v>
      </c>
      <c r="O20" s="2">
        <f>H$6*H$8*J20*F20/L20</f>
        <v>1.3363636363636364</v>
      </c>
      <c r="P20" s="26">
        <f t="shared" ref="P20:P23" si="0">O20/0.8</f>
        <v>1.6704545454545454</v>
      </c>
    </row>
    <row r="21" spans="5:16" x14ac:dyDescent="0.25">
      <c r="E21" s="5" t="s">
        <v>10</v>
      </c>
      <c r="F21" s="1">
        <v>18</v>
      </c>
      <c r="G21" s="4" t="s">
        <v>4</v>
      </c>
      <c r="H21" s="19" t="s">
        <v>7</v>
      </c>
      <c r="I21" s="19"/>
      <c r="J21" s="1">
        <v>14</v>
      </c>
      <c r="K21" s="2" t="s">
        <v>9</v>
      </c>
      <c r="L21" s="2">
        <v>5.5</v>
      </c>
      <c r="M21" s="3" t="s">
        <v>1</v>
      </c>
      <c r="N21" s="2" t="s">
        <v>0</v>
      </c>
      <c r="O21" s="2">
        <f>H$6*H$8*J21*F21/L21</f>
        <v>1.6036363636363637</v>
      </c>
      <c r="P21" s="26">
        <f t="shared" si="0"/>
        <v>2.0045454545454544</v>
      </c>
    </row>
    <row r="22" spans="5:16" x14ac:dyDescent="0.25">
      <c r="E22" s="5" t="s">
        <v>8</v>
      </c>
      <c r="F22" s="1">
        <v>14</v>
      </c>
      <c r="G22" s="4" t="s">
        <v>4</v>
      </c>
      <c r="H22" s="19" t="s">
        <v>7</v>
      </c>
      <c r="I22" s="19"/>
      <c r="J22" s="1">
        <v>14</v>
      </c>
      <c r="K22" s="2" t="s">
        <v>6</v>
      </c>
      <c r="L22" s="2">
        <v>5.5</v>
      </c>
      <c r="M22" s="3" t="s">
        <v>1</v>
      </c>
      <c r="N22" s="2" t="s">
        <v>0</v>
      </c>
      <c r="O22" s="2">
        <f>H$6*H$8*J22*F22/L22</f>
        <v>1.2472727272727273</v>
      </c>
      <c r="P22" s="26">
        <f t="shared" si="0"/>
        <v>1.5590909090909091</v>
      </c>
    </row>
    <row r="23" spans="5:16" x14ac:dyDescent="0.25">
      <c r="E23" s="5" t="s">
        <v>5</v>
      </c>
      <c r="F23" s="1">
        <v>24</v>
      </c>
      <c r="G23" s="4" t="s">
        <v>4</v>
      </c>
      <c r="H23" s="19" t="s">
        <v>3</v>
      </c>
      <c r="I23" s="19"/>
      <c r="J23" s="1">
        <v>14</v>
      </c>
      <c r="K23" s="2" t="s">
        <v>2</v>
      </c>
      <c r="L23" s="2">
        <v>5.5</v>
      </c>
      <c r="M23" s="3" t="s">
        <v>1</v>
      </c>
      <c r="N23" s="2" t="s">
        <v>0</v>
      </c>
      <c r="O23" s="2">
        <f>H$6*H$8*J23*F23/L23</f>
        <v>2.1381818181818186</v>
      </c>
      <c r="P23" s="26">
        <f t="shared" si="0"/>
        <v>2.6727272727272733</v>
      </c>
    </row>
  </sheetData>
  <mergeCells count="14">
    <mergeCell ref="E18:G18"/>
    <mergeCell ref="G3:I3"/>
    <mergeCell ref="B1:M1"/>
    <mergeCell ref="F5:G5"/>
    <mergeCell ref="F6:G6"/>
    <mergeCell ref="F7:G7"/>
    <mergeCell ref="H18:J18"/>
    <mergeCell ref="K18:M18"/>
    <mergeCell ref="N18:P18"/>
    <mergeCell ref="H19:I19"/>
    <mergeCell ref="H23:I23"/>
    <mergeCell ref="H20:I20"/>
    <mergeCell ref="H21:I21"/>
    <mergeCell ref="H22:I2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SELECCION DE CONDUCTOR</vt:lpstr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2020-05-04T16:38:00Z</dcterms:created>
  <dcterms:modified xsi:type="dcterms:W3CDTF">2020-08-05T17:32:29Z</dcterms:modified>
</cp:coreProperties>
</file>