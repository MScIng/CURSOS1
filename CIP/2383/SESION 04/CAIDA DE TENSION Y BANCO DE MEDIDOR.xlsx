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527C2A4A-74FF-406C-8270-493B3F4B771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" i="2" l="1"/>
  <c r="L9" i="2"/>
  <c r="L10" i="2"/>
  <c r="Y12" i="2" l="1"/>
  <c r="N8" i="2"/>
  <c r="AD8" i="2" l="1"/>
  <c r="AE8" i="2" s="1"/>
  <c r="AC8" i="2"/>
  <c r="Y40" i="2"/>
  <c r="X38" i="2" s="1"/>
  <c r="X39" i="2" s="1"/>
  <c r="Y24" i="2"/>
  <c r="X10" i="2"/>
  <c r="X11" i="2" s="1"/>
  <c r="L41" i="2"/>
  <c r="N41" i="2" s="1"/>
  <c r="L40" i="2"/>
  <c r="N40" i="2" s="1"/>
  <c r="L39" i="2"/>
  <c r="N39" i="2" s="1"/>
  <c r="L25" i="2"/>
  <c r="N25" i="2" s="1"/>
  <c r="L24" i="2"/>
  <c r="N24" i="2" s="1"/>
  <c r="L23" i="2"/>
  <c r="N23" i="2" s="1"/>
  <c r="L22" i="2"/>
  <c r="N22" i="2" s="1"/>
  <c r="L21" i="2"/>
  <c r="N21" i="2" s="1"/>
  <c r="N10" i="2"/>
  <c r="N9" i="2"/>
  <c r="N42" i="2" l="1"/>
  <c r="M45" i="2" s="1"/>
  <c r="N45" i="2" s="1"/>
  <c r="R12" i="2" s="1"/>
  <c r="AC36" i="2"/>
  <c r="AD36" i="2" s="1"/>
  <c r="AE36" i="2" s="1"/>
  <c r="AC35" i="2"/>
  <c r="AD35" i="2" s="1"/>
  <c r="AE35" i="2" s="1"/>
  <c r="AC18" i="2"/>
  <c r="AD18" i="2" s="1"/>
  <c r="AE18" i="2" s="1"/>
  <c r="AC34" i="2"/>
  <c r="AD34" i="2" s="1"/>
  <c r="AE34" i="2" s="1"/>
  <c r="AC9" i="2"/>
  <c r="AD9" i="2" s="1"/>
  <c r="AE9" i="2" s="1"/>
  <c r="V20" i="2"/>
  <c r="X20" i="2" s="1"/>
  <c r="X21" i="2" s="1"/>
  <c r="V22" i="2"/>
  <c r="X22" i="2" s="1"/>
  <c r="X23" i="2" s="1"/>
  <c r="AC20" i="2"/>
  <c r="AD20" i="2" s="1"/>
  <c r="AE20" i="2" s="1"/>
  <c r="AC21" i="2"/>
  <c r="AD21" i="2" s="1"/>
  <c r="AE21" i="2" s="1"/>
  <c r="AC10" i="2"/>
  <c r="AD10" i="2" s="1"/>
  <c r="AE10" i="2" s="1"/>
  <c r="AC19" i="2"/>
  <c r="AD19" i="2" s="1"/>
  <c r="AE19" i="2" s="1"/>
  <c r="AC22" i="2"/>
  <c r="AD22" i="2" s="1"/>
  <c r="AE22" i="2" s="1"/>
  <c r="N11" i="2"/>
  <c r="M14" i="2" s="1"/>
  <c r="N14" i="2" s="1"/>
  <c r="R8" i="2" s="1"/>
  <c r="S8" i="2" s="1"/>
  <c r="L42" i="2"/>
  <c r="V36" i="2" s="1"/>
  <c r="N26" i="2"/>
  <c r="M29" i="2" s="1"/>
  <c r="N29" i="2" s="1"/>
  <c r="L26" i="2"/>
  <c r="L11" i="2"/>
  <c r="V8" i="2" s="1"/>
  <c r="X8" i="2" s="1"/>
  <c r="X9" i="2" s="1"/>
  <c r="X36" i="2" l="1"/>
  <c r="X37" i="2" s="1"/>
  <c r="W40" i="2"/>
  <c r="Z36" i="2" s="1"/>
  <c r="Z37" i="2" s="1"/>
  <c r="W24" i="2"/>
  <c r="Z20" i="2" s="1"/>
  <c r="Z21" i="2" s="1"/>
  <c r="W12" i="2"/>
  <c r="R11" i="2"/>
  <c r="S11" i="2" s="1"/>
  <c r="S12" i="2"/>
  <c r="R10" i="2"/>
  <c r="S10" i="2" s="1"/>
  <c r="R9" i="2"/>
  <c r="S9" i="2" s="1"/>
  <c r="Z8" i="2" l="1"/>
  <c r="Z9" i="2" s="1"/>
  <c r="S13" i="2"/>
</calcChain>
</file>

<file path=xl/sharedStrings.xml><?xml version="1.0" encoding="utf-8"?>
<sst xmlns="http://schemas.openxmlformats.org/spreadsheetml/2006/main" count="163" uniqueCount="66">
  <si>
    <t>CIRCUITO</t>
  </si>
  <si>
    <t>DESCRIPCION</t>
  </si>
  <si>
    <t>W</t>
  </si>
  <si>
    <t>FOCO LED (W)</t>
  </si>
  <si>
    <t>FLORECENTE (W)</t>
  </si>
  <si>
    <t>TOMAC. DOBLE</t>
  </si>
  <si>
    <t>P.INSTALADA</t>
  </si>
  <si>
    <t>(W)</t>
  </si>
  <si>
    <t>F.D</t>
  </si>
  <si>
    <t>%</t>
  </si>
  <si>
    <t>M.D.</t>
  </si>
  <si>
    <t>CANTIDAD</t>
  </si>
  <si>
    <t>TOTAL</t>
  </si>
  <si>
    <t xml:space="preserve">CIRCUITO </t>
  </si>
  <si>
    <t>PUNTOS</t>
  </si>
  <si>
    <t>CARGA( W/UND.)</t>
  </si>
  <si>
    <t>P.I. (W)</t>
  </si>
  <si>
    <t>F.D. (%)</t>
  </si>
  <si>
    <t>M.D.(W)</t>
  </si>
  <si>
    <t>C1</t>
  </si>
  <si>
    <t>ALUMBRADO</t>
  </si>
  <si>
    <t>C2</t>
  </si>
  <si>
    <t>TOMACORRIENTE</t>
  </si>
  <si>
    <t>C3</t>
  </si>
  <si>
    <t>LAVADORA</t>
  </si>
  <si>
    <t>C4</t>
  </si>
  <si>
    <t>CALENTADOR DE AGUA</t>
  </si>
  <si>
    <t>C5</t>
  </si>
  <si>
    <t>RESERVA</t>
  </si>
  <si>
    <t>FD</t>
  </si>
  <si>
    <t>TOTAL M.D.(KW)</t>
  </si>
  <si>
    <t>FS</t>
  </si>
  <si>
    <t>M.D.(KW)</t>
  </si>
  <si>
    <t>CUADRO DE CARGAS  DE TABLEROS ELECTRICOS  TD-1 PRIMER PISO COCHERA</t>
  </si>
  <si>
    <t>RESUMEN DE ANÁLISIS DE CARGA DE TODO EL EDIFICIO</t>
  </si>
  <si>
    <t>M.D. (KW)</t>
  </si>
  <si>
    <t>TOTAL M.D (KW)</t>
  </si>
  <si>
    <t xml:space="preserve">AREAS COMUNES </t>
  </si>
  <si>
    <t>TOTAL A SOLICITAR A LA CONCIONARIA(KW)</t>
  </si>
  <si>
    <t>PRIMER 1 PISO COCHERA</t>
  </si>
  <si>
    <t xml:space="preserve"> 2 PISO</t>
  </si>
  <si>
    <t>3 PISO</t>
  </si>
  <si>
    <t>4 PISO</t>
  </si>
  <si>
    <t>CUADRO DE CARGAS  DE TABLERO ELECTRICOS PARA AREAS COMUNES TSG</t>
  </si>
  <si>
    <t>ELECTROBOMBA</t>
  </si>
  <si>
    <t>F.D.</t>
  </si>
  <si>
    <t>TOTAL M. D. (KW)</t>
  </si>
  <si>
    <t>F.S.</t>
  </si>
  <si>
    <t>P.I</t>
  </si>
  <si>
    <t>CORRIENTE</t>
  </si>
  <si>
    <t>LLAVES DIFER.</t>
  </si>
  <si>
    <t>LLAVE GENERAL</t>
  </si>
  <si>
    <t>C1,C2 Y C3</t>
  </si>
  <si>
    <t>I= DISEÑO</t>
  </si>
  <si>
    <t>I =DISEÑO</t>
  </si>
  <si>
    <t>I =CORRIENTE</t>
  </si>
  <si>
    <t>C4 Y C5</t>
  </si>
  <si>
    <t>VX 0.9=</t>
  </si>
  <si>
    <t>LLAVES TERMOMAGNETICAS MONOFASICA  POR CIRCCUITO 1PISO</t>
  </si>
  <si>
    <t xml:space="preserve">TOTAL </t>
  </si>
  <si>
    <t>COCHERA TD.001 - LLAVES TERMICAS</t>
  </si>
  <si>
    <t>CUADRO DE CARGAS  DE TABLEROS ELECTRICOS  TD-02,03,04-SEGUNDO ,TERCERO Y CUARTO PISO</t>
  </si>
  <si>
    <t>SELECCIÓN DE INTERRUPTORES TERMOMAGNETICOS Y INTERRUPTORES DIFERENCIAL</t>
  </si>
  <si>
    <t>I= NOMINAL</t>
  </si>
  <si>
    <t>I =NOMINAL</t>
  </si>
  <si>
    <t>LLAVES TERMOMAGNETICAS MONOFASICA  POR CIRCCUITO PISOS TIPICOS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</si>
</sst>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4" fillId="5" borderId="7" xfId="0" applyFont="1" applyFill="1" applyBorder="1"/>
    <xf numFmtId="0" fontId="2" fillId="3" borderId="2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1" fillId="5" borderId="2" xfId="0" applyFont="1" applyFill="1" applyBorder="1" applyAlignment="1">
      <alignment horizontal="center" wrapText="1"/>
    </xf>
    <xf numFmtId="0" fontId="1" fillId="5" borderId="2" xfId="0" applyFont="1" applyFill="1" applyBorder="1"/>
    <xf numFmtId="0" fontId="2" fillId="3" borderId="1" xfId="0" applyFont="1" applyFill="1" applyBorder="1"/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0" fontId="0" fillId="0" borderId="2" xfId="0" applyBorder="1"/>
    <xf numFmtId="0" fontId="0" fillId="0" borderId="11" xfId="0" applyBorder="1"/>
    <xf numFmtId="0" fontId="0" fillId="5" borderId="2" xfId="0" applyFill="1" applyBorder="1"/>
    <xf numFmtId="0" fontId="0" fillId="0" borderId="12" xfId="0" applyBorder="1"/>
    <xf numFmtId="0" fontId="4" fillId="5" borderId="3" xfId="0" applyFont="1" applyFill="1" applyBorder="1"/>
    <xf numFmtId="0" fontId="0" fillId="0" borderId="4" xfId="0" applyBorder="1"/>
    <xf numFmtId="0" fontId="0" fillId="5" borderId="13" xfId="0" applyFill="1" applyBorder="1"/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8" borderId="0" xfId="0" applyFont="1" applyFill="1" applyAlignment="1">
      <alignment horizontal="center"/>
    </xf>
    <xf numFmtId="0" fontId="0" fillId="5" borderId="15" xfId="0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M7"/>
  <sheetViews>
    <sheetView workbookViewId="0">
      <selection activeCell="J1" sqref="J1"/>
    </sheetView>
  </sheetViews>
  <sheetFormatPr baseColWidth="10" defaultRowHeight="15" x14ac:dyDescent="0.25"/>
  <cols>
    <col min="4" max="4" width="12.85546875" bestFit="1" customWidth="1"/>
    <col min="5" max="5" width="13.28515625" bestFit="1" customWidth="1"/>
    <col min="7" max="7" width="15.7109375" bestFit="1" customWidth="1"/>
    <col min="9" max="9" width="14.28515625" bestFit="1" customWidth="1"/>
    <col min="11" max="11" width="12.7109375" bestFit="1" customWidth="1"/>
  </cols>
  <sheetData>
    <row r="5" spans="3:13" x14ac:dyDescent="0.25">
      <c r="E5" t="s">
        <v>3</v>
      </c>
      <c r="G5" t="s">
        <v>4</v>
      </c>
      <c r="I5" t="s">
        <v>5</v>
      </c>
      <c r="K5" t="s">
        <v>6</v>
      </c>
      <c r="L5" t="s">
        <v>8</v>
      </c>
      <c r="M5" t="s">
        <v>10</v>
      </c>
    </row>
    <row r="6" spans="3:13" x14ac:dyDescent="0.25">
      <c r="C6" t="s">
        <v>0</v>
      </c>
      <c r="D6" t="s">
        <v>1</v>
      </c>
      <c r="E6">
        <v>10</v>
      </c>
      <c r="F6" t="s">
        <v>2</v>
      </c>
      <c r="G6">
        <v>32</v>
      </c>
      <c r="H6" t="s">
        <v>2</v>
      </c>
      <c r="I6">
        <v>150</v>
      </c>
      <c r="J6" t="s">
        <v>2</v>
      </c>
      <c r="K6" t="s">
        <v>7</v>
      </c>
      <c r="L6" t="s">
        <v>9</v>
      </c>
      <c r="M6" t="s">
        <v>7</v>
      </c>
    </row>
    <row r="7" spans="3:13" x14ac:dyDescent="0.25">
      <c r="E7" t="s">
        <v>11</v>
      </c>
      <c r="F7" t="s">
        <v>12</v>
      </c>
      <c r="G7" t="s">
        <v>11</v>
      </c>
      <c r="H7" t="s">
        <v>12</v>
      </c>
      <c r="I7" t="s">
        <v>11</v>
      </c>
      <c r="J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2:AE45"/>
  <sheetViews>
    <sheetView tabSelected="1" topLeftCell="F1" zoomScale="80" zoomScaleNormal="80" workbookViewId="0">
      <selection activeCell="O14" sqref="O14"/>
    </sheetView>
  </sheetViews>
  <sheetFormatPr baseColWidth="10" defaultRowHeight="15" x14ac:dyDescent="0.25"/>
  <cols>
    <col min="6" max="6" width="18.7109375" customWidth="1"/>
    <col min="7" max="7" width="21.42578125" bestFit="1" customWidth="1"/>
    <col min="8" max="8" width="18.7109375" customWidth="1"/>
    <col min="9" max="9" width="21.42578125" bestFit="1" customWidth="1"/>
    <col min="10" max="12" width="18.7109375" customWidth="1"/>
    <col min="14" max="14" width="17.7109375" customWidth="1"/>
    <col min="15" max="15" width="18.7109375" customWidth="1"/>
    <col min="16" max="16" width="33.42578125" bestFit="1" customWidth="1"/>
    <col min="17" max="17" width="11.140625" bestFit="1" customWidth="1"/>
    <col min="18" max="26" width="18.7109375" customWidth="1"/>
    <col min="28" max="31" width="17.7109375" customWidth="1"/>
  </cols>
  <sheetData>
    <row r="2" spans="8:31" ht="21" x14ac:dyDescent="0.35">
      <c r="W2" s="23" t="s">
        <v>62</v>
      </c>
      <c r="X2" s="23"/>
      <c r="Y2" s="23"/>
      <c r="Z2" s="23"/>
      <c r="AA2" s="23"/>
      <c r="AB2" s="23"/>
      <c r="AC2" s="23"/>
    </row>
    <row r="5" spans="8:31" ht="15.75" thickBot="1" x14ac:dyDescent="0.3">
      <c r="U5" s="24" t="s">
        <v>60</v>
      </c>
      <c r="V5" s="24"/>
      <c r="W5" s="24"/>
      <c r="X5" s="24"/>
      <c r="Y5" s="24"/>
      <c r="Z5" s="24"/>
    </row>
    <row r="6" spans="8:31" ht="15.75" x14ac:dyDescent="0.25">
      <c r="H6" s="36" t="s">
        <v>33</v>
      </c>
      <c r="I6" s="36"/>
      <c r="J6" s="36"/>
      <c r="K6" s="36"/>
      <c r="L6" s="36"/>
      <c r="M6" s="36"/>
      <c r="N6" s="36"/>
      <c r="P6" s="25" t="s">
        <v>34</v>
      </c>
      <c r="Q6" s="26"/>
      <c r="R6" s="26"/>
      <c r="S6" s="27"/>
      <c r="U6" s="12" t="s">
        <v>1</v>
      </c>
      <c r="V6" s="13" t="s">
        <v>48</v>
      </c>
      <c r="W6" s="12" t="s">
        <v>49</v>
      </c>
      <c r="X6" s="12" t="s">
        <v>50</v>
      </c>
      <c r="Y6" s="34" t="s">
        <v>51</v>
      </c>
      <c r="Z6" s="35"/>
      <c r="AB6" s="31" t="s">
        <v>58</v>
      </c>
      <c r="AC6" s="31"/>
      <c r="AD6" s="31"/>
      <c r="AE6" s="31"/>
    </row>
    <row r="7" spans="8:31" ht="15.75" x14ac:dyDescent="0.25">
      <c r="H7" s="1" t="s">
        <v>13</v>
      </c>
      <c r="I7" s="1" t="s">
        <v>1</v>
      </c>
      <c r="J7" s="1" t="s">
        <v>14</v>
      </c>
      <c r="K7" s="1" t="s">
        <v>15</v>
      </c>
      <c r="L7" s="1" t="s">
        <v>16</v>
      </c>
      <c r="M7" s="1" t="s">
        <v>17</v>
      </c>
      <c r="N7" s="1" t="s">
        <v>18</v>
      </c>
      <c r="P7" s="6" t="s">
        <v>1</v>
      </c>
      <c r="Q7" s="6" t="s">
        <v>11</v>
      </c>
      <c r="R7" s="6" t="s">
        <v>35</v>
      </c>
      <c r="S7" s="6" t="s">
        <v>36</v>
      </c>
      <c r="U7" s="14"/>
      <c r="V7" s="14"/>
      <c r="X7" s="14"/>
      <c r="Y7" s="15"/>
      <c r="Z7" s="14"/>
      <c r="AB7" s="14" t="s">
        <v>1</v>
      </c>
      <c r="AC7" s="22" t="s">
        <v>48</v>
      </c>
      <c r="AD7" s="14" t="s">
        <v>64</v>
      </c>
      <c r="AE7" s="22" t="s">
        <v>54</v>
      </c>
    </row>
    <row r="8" spans="8:31" x14ac:dyDescent="0.25">
      <c r="H8" s="2" t="s">
        <v>19</v>
      </c>
      <c r="I8" s="2" t="s">
        <v>20</v>
      </c>
      <c r="J8" s="2"/>
      <c r="K8" s="2"/>
      <c r="L8" s="2">
        <f>J8*K8</f>
        <v>0</v>
      </c>
      <c r="M8" s="2">
        <v>1</v>
      </c>
      <c r="N8" s="2">
        <f>L8*M8</f>
        <v>0</v>
      </c>
      <c r="P8" s="7" t="s">
        <v>39</v>
      </c>
      <c r="Q8" s="7">
        <v>1</v>
      </c>
      <c r="R8" s="7">
        <f>N14</f>
        <v>0</v>
      </c>
      <c r="S8" s="7">
        <f>Q8*R8</f>
        <v>0</v>
      </c>
      <c r="U8" s="14" t="s">
        <v>52</v>
      </c>
      <c r="V8" s="14">
        <f>L11</f>
        <v>0</v>
      </c>
      <c r="W8" s="15" t="s">
        <v>63</v>
      </c>
      <c r="X8" s="14">
        <f>V8/Y12</f>
        <v>0</v>
      </c>
      <c r="Y8" s="15" t="s">
        <v>64</v>
      </c>
      <c r="Z8" s="14">
        <f>W12/Y12</f>
        <v>0</v>
      </c>
      <c r="AB8" s="14" t="s">
        <v>19</v>
      </c>
      <c r="AC8" s="14">
        <f>L8</f>
        <v>0</v>
      </c>
      <c r="AD8" s="14">
        <f>L8/Y12</f>
        <v>0</v>
      </c>
      <c r="AE8" s="16">
        <f>AD8/0.8</f>
        <v>0</v>
      </c>
    </row>
    <row r="9" spans="8:31" x14ac:dyDescent="0.25">
      <c r="H9" s="2" t="s">
        <v>21</v>
      </c>
      <c r="I9" s="2" t="s">
        <v>22</v>
      </c>
      <c r="J9" s="2"/>
      <c r="K9" s="2"/>
      <c r="L9" s="2">
        <f>J9*K9</f>
        <v>0</v>
      </c>
      <c r="M9" s="2">
        <v>1</v>
      </c>
      <c r="N9" s="2">
        <f t="shared" ref="N9:N10" si="0">L9*M9</f>
        <v>0</v>
      </c>
      <c r="P9" s="7" t="s">
        <v>40</v>
      </c>
      <c r="Q9" s="7">
        <v>1</v>
      </c>
      <c r="R9" s="7">
        <f>N29</f>
        <v>0</v>
      </c>
      <c r="S9" s="7">
        <f t="shared" ref="S9:S12" si="1">Q9*R9</f>
        <v>0</v>
      </c>
      <c r="U9" s="14"/>
      <c r="V9" s="14"/>
      <c r="W9" s="15" t="s">
        <v>53</v>
      </c>
      <c r="X9" s="16">
        <f>X8/0.8</f>
        <v>0</v>
      </c>
      <c r="Y9" s="17" t="s">
        <v>54</v>
      </c>
      <c r="Z9" s="18">
        <f>Z8/0.8</f>
        <v>0</v>
      </c>
      <c r="AB9" s="14" t="s">
        <v>21</v>
      </c>
      <c r="AC9" s="14">
        <f>L9</f>
        <v>0</v>
      </c>
      <c r="AD9" s="14">
        <f>AC9/Y12</f>
        <v>0</v>
      </c>
      <c r="AE9" s="16">
        <f t="shared" ref="AE9:AE10" si="2">AD9/0.8</f>
        <v>0</v>
      </c>
    </row>
    <row r="10" spans="8:31" x14ac:dyDescent="0.25">
      <c r="H10" s="2" t="s">
        <v>23</v>
      </c>
      <c r="I10" s="2" t="s">
        <v>28</v>
      </c>
      <c r="J10" s="2"/>
      <c r="K10" s="2"/>
      <c r="L10" s="2">
        <f t="shared" ref="L10" si="3">J10*K10</f>
        <v>0</v>
      </c>
      <c r="M10" s="2">
        <v>1</v>
      </c>
      <c r="N10" s="2">
        <f t="shared" si="0"/>
        <v>0</v>
      </c>
      <c r="P10" s="7" t="s">
        <v>41</v>
      </c>
      <c r="Q10" s="7">
        <v>1</v>
      </c>
      <c r="R10" s="7">
        <f>N29</f>
        <v>0</v>
      </c>
      <c r="S10" s="7">
        <f t="shared" si="1"/>
        <v>0</v>
      </c>
      <c r="U10" s="14"/>
      <c r="V10" s="14"/>
      <c r="W10" s="15" t="s">
        <v>63</v>
      </c>
      <c r="X10" s="19">
        <f>V11/Y12</f>
        <v>0</v>
      </c>
      <c r="Y10" s="14"/>
      <c r="Z10" s="14"/>
      <c r="AB10" s="14" t="s">
        <v>23</v>
      </c>
      <c r="AC10" s="14">
        <f>L10</f>
        <v>0</v>
      </c>
      <c r="AD10" s="14">
        <f>AC10/Y12</f>
        <v>0</v>
      </c>
      <c r="AE10" s="16">
        <f t="shared" si="2"/>
        <v>0</v>
      </c>
    </row>
    <row r="11" spans="8:31" ht="15.75" thickBot="1" x14ac:dyDescent="0.3">
      <c r="H11" s="37" t="s">
        <v>12</v>
      </c>
      <c r="I11" s="30"/>
      <c r="J11" s="30"/>
      <c r="K11" s="30"/>
      <c r="L11" s="2">
        <f>SUM(L8:L10)</f>
        <v>0</v>
      </c>
      <c r="M11" s="2"/>
      <c r="N11" s="3">
        <f>SUM(N8:N10)</f>
        <v>0</v>
      </c>
      <c r="P11" s="7" t="s">
        <v>42</v>
      </c>
      <c r="Q11" s="7">
        <v>1</v>
      </c>
      <c r="R11" s="7">
        <f>N29</f>
        <v>0</v>
      </c>
      <c r="S11" s="7">
        <f t="shared" si="1"/>
        <v>0</v>
      </c>
      <c r="U11" s="14"/>
      <c r="V11" s="14"/>
      <c r="W11" s="15" t="s">
        <v>53</v>
      </c>
      <c r="X11" s="20">
        <f>X10/0.8</f>
        <v>0</v>
      </c>
      <c r="Y11" s="14"/>
      <c r="Z11" s="14"/>
    </row>
    <row r="12" spans="8:31" ht="15.75" thickBot="1" x14ac:dyDescent="0.3">
      <c r="L12" s="2" t="s">
        <v>29</v>
      </c>
      <c r="M12" s="4">
        <v>1</v>
      </c>
      <c r="N12" s="32" t="s">
        <v>30</v>
      </c>
      <c r="P12" s="7" t="s">
        <v>37</v>
      </c>
      <c r="Q12" s="7">
        <v>1</v>
      </c>
      <c r="R12" s="8">
        <f>N45</f>
        <v>0</v>
      </c>
      <c r="S12" s="8">
        <f t="shared" si="1"/>
        <v>0</v>
      </c>
      <c r="V12" s="14" t="s">
        <v>59</v>
      </c>
      <c r="W12" s="19">
        <f>SUM(V8:V11)</f>
        <v>0</v>
      </c>
      <c r="X12" s="21" t="s">
        <v>57</v>
      </c>
      <c r="Y12" s="14">
        <f>220 * 0.9</f>
        <v>198</v>
      </c>
      <c r="Z12" s="14"/>
    </row>
    <row r="13" spans="8:31" ht="45.75" thickBot="1" x14ac:dyDescent="0.3">
      <c r="L13" s="2" t="s">
        <v>31</v>
      </c>
      <c r="M13" s="4">
        <v>0.7</v>
      </c>
      <c r="N13" s="33"/>
      <c r="R13" s="9" t="s">
        <v>38</v>
      </c>
      <c r="S13" s="10">
        <f>SUM(S8:S12)</f>
        <v>0</v>
      </c>
    </row>
    <row r="14" spans="8:31" ht="15.75" thickBot="1" x14ac:dyDescent="0.3">
      <c r="L14" s="2" t="s">
        <v>32</v>
      </c>
      <c r="M14" s="4">
        <f>M12*M13*N11</f>
        <v>0</v>
      </c>
      <c r="N14" s="5">
        <f>M14/1000</f>
        <v>0</v>
      </c>
    </row>
    <row r="16" spans="8:31" x14ac:dyDescent="0.25">
      <c r="AB16" s="31" t="s">
        <v>65</v>
      </c>
      <c r="AC16" s="31"/>
      <c r="AD16" s="31"/>
      <c r="AE16" s="31"/>
    </row>
    <row r="17" spans="8:31" x14ac:dyDescent="0.25">
      <c r="AB17" s="14" t="s">
        <v>1</v>
      </c>
      <c r="AC17" s="22" t="s">
        <v>48</v>
      </c>
      <c r="AD17" s="14" t="s">
        <v>64</v>
      </c>
      <c r="AE17" s="22" t="s">
        <v>54</v>
      </c>
    </row>
    <row r="18" spans="8:31" x14ac:dyDescent="0.25">
      <c r="U18" s="12" t="s">
        <v>1</v>
      </c>
      <c r="V18" s="13" t="s">
        <v>48</v>
      </c>
      <c r="W18" s="12" t="s">
        <v>49</v>
      </c>
      <c r="X18" s="12" t="s">
        <v>50</v>
      </c>
      <c r="Y18" s="34" t="s">
        <v>51</v>
      </c>
      <c r="Z18" s="35"/>
      <c r="AB18" s="14" t="s">
        <v>19</v>
      </c>
      <c r="AC18" s="14">
        <f>L21</f>
        <v>0</v>
      </c>
      <c r="AD18" s="14">
        <f>AC18/$Y$24</f>
        <v>0</v>
      </c>
      <c r="AE18" s="16">
        <f>AD18/0.8</f>
        <v>0</v>
      </c>
    </row>
    <row r="19" spans="8:31" ht="15.75" x14ac:dyDescent="0.25">
      <c r="H19" s="36" t="s">
        <v>61</v>
      </c>
      <c r="I19" s="36"/>
      <c r="J19" s="36"/>
      <c r="K19" s="36"/>
      <c r="L19" s="36"/>
      <c r="M19" s="36"/>
      <c r="N19" s="36"/>
      <c r="U19" s="14"/>
      <c r="V19" s="14"/>
      <c r="X19" s="14"/>
      <c r="Y19" s="15"/>
      <c r="Z19" s="14"/>
      <c r="AB19" s="14" t="s">
        <v>21</v>
      </c>
      <c r="AC19" s="14">
        <f>L22</f>
        <v>0</v>
      </c>
      <c r="AD19" s="14">
        <f>AC19/$Y$24</f>
        <v>0</v>
      </c>
      <c r="AE19" s="16">
        <f t="shared" ref="AE19:AE22" si="4">AD19/0.8</f>
        <v>0</v>
      </c>
    </row>
    <row r="20" spans="8:31" ht="15.75" x14ac:dyDescent="0.25">
      <c r="H20" s="1" t="s">
        <v>13</v>
      </c>
      <c r="I20" s="1" t="s">
        <v>1</v>
      </c>
      <c r="J20" s="1" t="s">
        <v>14</v>
      </c>
      <c r="K20" s="1" t="s">
        <v>15</v>
      </c>
      <c r="L20" s="1" t="s">
        <v>16</v>
      </c>
      <c r="M20" s="1" t="s">
        <v>17</v>
      </c>
      <c r="N20" s="1" t="s">
        <v>18</v>
      </c>
      <c r="U20" s="14" t="s">
        <v>52</v>
      </c>
      <c r="V20" s="14">
        <f>SUM(L21:L23)</f>
        <v>0</v>
      </c>
      <c r="W20" s="15" t="s">
        <v>63</v>
      </c>
      <c r="X20" s="14">
        <f>V20/Y24</f>
        <v>0</v>
      </c>
      <c r="Y20" s="15" t="s">
        <v>64</v>
      </c>
      <c r="Z20" s="14">
        <f>W24/Y24</f>
        <v>0</v>
      </c>
      <c r="AB20" s="14" t="s">
        <v>23</v>
      </c>
      <c r="AC20" s="14">
        <f>L23</f>
        <v>0</v>
      </c>
      <c r="AD20" s="14">
        <f t="shared" ref="AD20:AD22" si="5">AC20/$Y$24</f>
        <v>0</v>
      </c>
      <c r="AE20" s="16">
        <f t="shared" si="4"/>
        <v>0</v>
      </c>
    </row>
    <row r="21" spans="8:31" x14ac:dyDescent="0.25">
      <c r="H21" s="2" t="s">
        <v>19</v>
      </c>
      <c r="I21" s="2" t="s">
        <v>20</v>
      </c>
      <c r="J21" s="2"/>
      <c r="K21" s="2"/>
      <c r="L21" s="2">
        <f>J21*K21</f>
        <v>0</v>
      </c>
      <c r="M21" s="2">
        <v>1</v>
      </c>
      <c r="N21" s="2">
        <f t="shared" ref="N21:N23" si="6">L21*M21</f>
        <v>0</v>
      </c>
      <c r="U21" s="14"/>
      <c r="V21" s="14"/>
      <c r="W21" s="15" t="s">
        <v>53</v>
      </c>
      <c r="X21" s="16">
        <f>X20/0.8</f>
        <v>0</v>
      </c>
      <c r="Y21" s="17" t="s">
        <v>54</v>
      </c>
      <c r="Z21" s="18">
        <f>Z20/0.8</f>
        <v>0</v>
      </c>
      <c r="AB21" s="14" t="s">
        <v>25</v>
      </c>
      <c r="AC21" s="14">
        <f>L24</f>
        <v>0</v>
      </c>
      <c r="AD21" s="14">
        <f t="shared" si="5"/>
        <v>0</v>
      </c>
      <c r="AE21" s="16">
        <f t="shared" si="4"/>
        <v>0</v>
      </c>
    </row>
    <row r="22" spans="8:31" x14ac:dyDescent="0.25">
      <c r="H22" s="2" t="s">
        <v>21</v>
      </c>
      <c r="I22" s="2" t="s">
        <v>22</v>
      </c>
      <c r="J22" s="2"/>
      <c r="K22" s="2"/>
      <c r="L22" s="2">
        <f>J22*K22</f>
        <v>0</v>
      </c>
      <c r="M22" s="2">
        <v>1</v>
      </c>
      <c r="N22" s="2">
        <f t="shared" si="6"/>
        <v>0</v>
      </c>
      <c r="U22" s="14" t="s">
        <v>56</v>
      </c>
      <c r="V22" s="14">
        <f>SUM(L24:L25)</f>
        <v>0</v>
      </c>
      <c r="W22" s="15" t="s">
        <v>63</v>
      </c>
      <c r="X22" s="19">
        <f>V22/Y24</f>
        <v>0</v>
      </c>
      <c r="Y22" s="14"/>
      <c r="Z22" s="14"/>
      <c r="AB22" s="14" t="s">
        <v>27</v>
      </c>
      <c r="AC22" s="14">
        <f>L25</f>
        <v>0</v>
      </c>
      <c r="AD22" s="14">
        <f t="shared" si="5"/>
        <v>0</v>
      </c>
      <c r="AE22" s="16">
        <f t="shared" si="4"/>
        <v>0</v>
      </c>
    </row>
    <row r="23" spans="8:31" ht="15.75" thickBot="1" x14ac:dyDescent="0.3">
      <c r="H23" s="2" t="s">
        <v>23</v>
      </c>
      <c r="I23" s="2" t="s">
        <v>24</v>
      </c>
      <c r="J23" s="2"/>
      <c r="K23" s="2"/>
      <c r="L23" s="2">
        <f t="shared" ref="L23" si="7">J23*K23</f>
        <v>0</v>
      </c>
      <c r="M23" s="2">
        <v>1</v>
      </c>
      <c r="N23" s="2">
        <f t="shared" si="6"/>
        <v>0</v>
      </c>
      <c r="U23" s="14"/>
      <c r="V23" s="14"/>
      <c r="W23" s="15" t="s">
        <v>53</v>
      </c>
      <c r="X23" s="20">
        <f>X22/0.8</f>
        <v>0</v>
      </c>
      <c r="Y23" s="14"/>
      <c r="Z23" s="14"/>
    </row>
    <row r="24" spans="8:31" ht="15.75" thickBot="1" x14ac:dyDescent="0.3">
      <c r="H24" s="2" t="s">
        <v>25</v>
      </c>
      <c r="I24" s="2" t="s">
        <v>26</v>
      </c>
      <c r="J24" s="2"/>
      <c r="K24" s="2"/>
      <c r="L24" s="2">
        <f>J24*K24</f>
        <v>0</v>
      </c>
      <c r="M24" s="2">
        <v>0.5</v>
      </c>
      <c r="N24" s="2">
        <f>L24*M24</f>
        <v>0</v>
      </c>
      <c r="V24" s="14" t="s">
        <v>12</v>
      </c>
      <c r="W24" s="19">
        <f>SUM(V20:V23)</f>
        <v>0</v>
      </c>
      <c r="X24" s="21" t="s">
        <v>57</v>
      </c>
      <c r="Y24" s="14">
        <f>220 * 0.9</f>
        <v>198</v>
      </c>
      <c r="Z24" s="14"/>
    </row>
    <row r="25" spans="8:31" x14ac:dyDescent="0.25">
      <c r="H25" s="2" t="s">
        <v>27</v>
      </c>
      <c r="I25" s="2" t="s">
        <v>28</v>
      </c>
      <c r="J25" s="2"/>
      <c r="K25" s="2"/>
      <c r="L25" s="2">
        <f t="shared" ref="L25" si="8">J25*K25</f>
        <v>0</v>
      </c>
      <c r="M25" s="2">
        <v>1</v>
      </c>
      <c r="N25" s="2">
        <f t="shared" ref="N25" si="9">L25*M25</f>
        <v>0</v>
      </c>
    </row>
    <row r="26" spans="8:31" ht="15.75" thickBot="1" x14ac:dyDescent="0.3">
      <c r="H26" s="37" t="s">
        <v>12</v>
      </c>
      <c r="I26" s="30"/>
      <c r="J26" s="30"/>
      <c r="K26" s="30"/>
      <c r="L26" s="2">
        <f>SUM(L21:L25)</f>
        <v>0</v>
      </c>
      <c r="M26" s="2"/>
      <c r="N26" s="3">
        <f>SUM(N21:N25)</f>
        <v>0</v>
      </c>
    </row>
    <row r="27" spans="8:31" x14ac:dyDescent="0.25">
      <c r="L27" s="2" t="s">
        <v>29</v>
      </c>
      <c r="M27" s="4">
        <v>1</v>
      </c>
      <c r="N27" s="32" t="s">
        <v>30</v>
      </c>
    </row>
    <row r="28" spans="8:31" ht="15.75" thickBot="1" x14ac:dyDescent="0.3">
      <c r="L28" s="2" t="s">
        <v>31</v>
      </c>
      <c r="M28" s="4">
        <v>0.7</v>
      </c>
      <c r="N28" s="33"/>
    </row>
    <row r="29" spans="8:31" ht="15.75" thickBot="1" x14ac:dyDescent="0.3">
      <c r="L29" s="2" t="s">
        <v>32</v>
      </c>
      <c r="M29" s="4">
        <f>M27*M28*N26</f>
        <v>0</v>
      </c>
      <c r="N29" s="5">
        <f>M29/1000</f>
        <v>0</v>
      </c>
    </row>
    <row r="32" spans="8:31" x14ac:dyDescent="0.25">
      <c r="AB32" s="31" t="s">
        <v>58</v>
      </c>
      <c r="AC32" s="31"/>
      <c r="AD32" s="31"/>
      <c r="AE32" s="31"/>
    </row>
    <row r="33" spans="8:31" x14ac:dyDescent="0.25">
      <c r="AB33" s="14" t="s">
        <v>1</v>
      </c>
      <c r="AC33" s="22" t="s">
        <v>48</v>
      </c>
      <c r="AD33" s="14" t="s">
        <v>64</v>
      </c>
      <c r="AE33" s="22" t="s">
        <v>54</v>
      </c>
    </row>
    <row r="34" spans="8:31" x14ac:dyDescent="0.25">
      <c r="U34" s="12" t="s">
        <v>1</v>
      </c>
      <c r="V34" s="13" t="s">
        <v>48</v>
      </c>
      <c r="W34" s="12" t="s">
        <v>49</v>
      </c>
      <c r="X34" s="12" t="s">
        <v>50</v>
      </c>
      <c r="Y34" s="34" t="s">
        <v>51</v>
      </c>
      <c r="Z34" s="35"/>
      <c r="AB34" s="14" t="s">
        <v>19</v>
      </c>
      <c r="AC34" s="14">
        <f>L39</f>
        <v>0</v>
      </c>
      <c r="AD34" s="14">
        <f>AC34/$Y$40</f>
        <v>0</v>
      </c>
      <c r="AE34" s="16">
        <f>AD34/0.8</f>
        <v>0</v>
      </c>
    </row>
    <row r="35" spans="8:31" x14ac:dyDescent="0.25">
      <c r="U35" s="14"/>
      <c r="V35" s="14"/>
      <c r="X35" s="14"/>
      <c r="Y35" s="15"/>
      <c r="Z35" s="14"/>
      <c r="AB35" s="14" t="s">
        <v>21</v>
      </c>
      <c r="AC35" s="14">
        <f>L40</f>
        <v>0</v>
      </c>
      <c r="AD35" s="14">
        <f t="shared" ref="AD35:AD36" si="10">AC35/$Y$40</f>
        <v>0</v>
      </c>
      <c r="AE35" s="16">
        <f t="shared" ref="AE35:AE36" si="11">AD35/0.8</f>
        <v>0</v>
      </c>
    </row>
    <row r="36" spans="8:31" x14ac:dyDescent="0.25">
      <c r="U36" s="14" t="s">
        <v>52</v>
      </c>
      <c r="V36" s="14">
        <f>L42</f>
        <v>0</v>
      </c>
      <c r="W36" s="15" t="s">
        <v>63</v>
      </c>
      <c r="X36" s="14">
        <f>V36/Y40</f>
        <v>0</v>
      </c>
      <c r="Y36" s="15" t="s">
        <v>54</v>
      </c>
      <c r="Z36" s="14">
        <f>W40/Y40</f>
        <v>0</v>
      </c>
      <c r="AB36" s="14" t="s">
        <v>23</v>
      </c>
      <c r="AC36" s="14">
        <f>L41</f>
        <v>0</v>
      </c>
      <c r="AD36" s="14">
        <f t="shared" si="10"/>
        <v>0</v>
      </c>
      <c r="AE36" s="16">
        <f t="shared" si="11"/>
        <v>0</v>
      </c>
    </row>
    <row r="37" spans="8:31" ht="15.75" x14ac:dyDescent="0.25">
      <c r="H37" s="28" t="s">
        <v>43</v>
      </c>
      <c r="I37" s="28"/>
      <c r="J37" s="28"/>
      <c r="K37" s="28"/>
      <c r="L37" s="28"/>
      <c r="M37" s="28"/>
      <c r="N37" s="28"/>
      <c r="U37" s="14"/>
      <c r="V37" s="14"/>
      <c r="W37" s="15" t="s">
        <v>53</v>
      </c>
      <c r="X37" s="16">
        <f>X36/0.8</f>
        <v>0</v>
      </c>
      <c r="Y37" s="17" t="s">
        <v>55</v>
      </c>
      <c r="Z37" s="18">
        <f>Z36/0.8</f>
        <v>0</v>
      </c>
    </row>
    <row r="38" spans="8:31" ht="15.75" x14ac:dyDescent="0.25">
      <c r="H38" s="11" t="s">
        <v>13</v>
      </c>
      <c r="I38" s="11" t="s">
        <v>1</v>
      </c>
      <c r="J38" s="11" t="s">
        <v>14</v>
      </c>
      <c r="K38" s="11" t="s">
        <v>15</v>
      </c>
      <c r="L38" s="11" t="s">
        <v>16</v>
      </c>
      <c r="M38" s="11" t="s">
        <v>17</v>
      </c>
      <c r="N38" s="11" t="s">
        <v>18</v>
      </c>
      <c r="U38" s="14"/>
      <c r="V38" s="14"/>
      <c r="W38" s="15" t="s">
        <v>63</v>
      </c>
      <c r="X38" s="19">
        <f>V39/Y40</f>
        <v>0</v>
      </c>
      <c r="Y38" s="14"/>
      <c r="Z38" s="14"/>
    </row>
    <row r="39" spans="8:31" ht="15.75" thickBot="1" x14ac:dyDescent="0.3">
      <c r="H39" s="2" t="s">
        <v>19</v>
      </c>
      <c r="I39" s="2" t="s">
        <v>20</v>
      </c>
      <c r="J39" s="2"/>
      <c r="K39" s="2"/>
      <c r="L39" s="2">
        <f>J39*K39</f>
        <v>0</v>
      </c>
      <c r="M39" s="2">
        <v>1</v>
      </c>
      <c r="N39" s="2">
        <f>L39*M39</f>
        <v>0</v>
      </c>
      <c r="U39" s="14"/>
      <c r="V39" s="14"/>
      <c r="W39" s="15" t="s">
        <v>53</v>
      </c>
      <c r="X39" s="20">
        <f>X38/0.8</f>
        <v>0</v>
      </c>
      <c r="Y39" s="14"/>
      <c r="Z39" s="14"/>
    </row>
    <row r="40" spans="8:31" ht="15.75" thickBot="1" x14ac:dyDescent="0.3">
      <c r="H40" s="2" t="s">
        <v>21</v>
      </c>
      <c r="I40" s="2" t="s">
        <v>44</v>
      </c>
      <c r="J40" s="2"/>
      <c r="K40" s="2"/>
      <c r="L40" s="2">
        <f t="shared" ref="L40:L41" si="12">J40*K40</f>
        <v>0</v>
      </c>
      <c r="M40" s="2">
        <v>1</v>
      </c>
      <c r="N40" s="2">
        <f>L40*M40</f>
        <v>0</v>
      </c>
      <c r="V40" s="14" t="s">
        <v>12</v>
      </c>
      <c r="W40" s="19">
        <f>SUM(V36:V39)</f>
        <v>0</v>
      </c>
      <c r="X40" s="21" t="s">
        <v>57</v>
      </c>
      <c r="Y40" s="14">
        <f>220 * 0.9</f>
        <v>198</v>
      </c>
      <c r="Z40" s="14"/>
    </row>
    <row r="41" spans="8:31" x14ac:dyDescent="0.25">
      <c r="H41" s="2" t="s">
        <v>23</v>
      </c>
      <c r="I41" s="2" t="s">
        <v>28</v>
      </c>
      <c r="J41" s="2"/>
      <c r="K41" s="2"/>
      <c r="L41" s="2">
        <f t="shared" si="12"/>
        <v>0</v>
      </c>
      <c r="M41" s="2">
        <v>1</v>
      </c>
      <c r="N41" s="2">
        <f>L41*M41</f>
        <v>0</v>
      </c>
    </row>
    <row r="42" spans="8:31" ht="15.75" thickBot="1" x14ac:dyDescent="0.3">
      <c r="H42" s="29" t="s">
        <v>12</v>
      </c>
      <c r="I42" s="30"/>
      <c r="J42" s="30"/>
      <c r="K42" s="30"/>
      <c r="L42" s="2">
        <f>SUM(L39:L41)</f>
        <v>0</v>
      </c>
      <c r="M42" s="2"/>
      <c r="N42" s="3">
        <f>SUM(N39:N41)</f>
        <v>0</v>
      </c>
    </row>
    <row r="43" spans="8:31" x14ac:dyDescent="0.25">
      <c r="L43" s="2" t="s">
        <v>45</v>
      </c>
      <c r="M43" s="4">
        <v>1</v>
      </c>
      <c r="N43" s="32" t="s">
        <v>46</v>
      </c>
    </row>
    <row r="44" spans="8:31" ht="15.75" thickBot="1" x14ac:dyDescent="0.3">
      <c r="L44" s="2" t="s">
        <v>47</v>
      </c>
      <c r="M44" s="4">
        <v>0.7</v>
      </c>
      <c r="N44" s="33"/>
    </row>
    <row r="45" spans="8:31" ht="15.75" thickBot="1" x14ac:dyDescent="0.3">
      <c r="L45" s="2" t="s">
        <v>32</v>
      </c>
      <c r="M45" s="4">
        <f>M43*M44*N42</f>
        <v>0</v>
      </c>
      <c r="N45" s="5">
        <f>M45/1000</f>
        <v>0</v>
      </c>
    </row>
  </sheetData>
  <mergeCells count="18">
    <mergeCell ref="N43:N44"/>
    <mergeCell ref="Y6:Z6"/>
    <mergeCell ref="H19:N19"/>
    <mergeCell ref="H26:K26"/>
    <mergeCell ref="N27:N28"/>
    <mergeCell ref="H6:N6"/>
    <mergeCell ref="H11:K11"/>
    <mergeCell ref="N12:N13"/>
    <mergeCell ref="Y18:Z18"/>
    <mergeCell ref="Y34:Z34"/>
    <mergeCell ref="W2:AC2"/>
    <mergeCell ref="U5:Z5"/>
    <mergeCell ref="P6:S6"/>
    <mergeCell ref="H37:N37"/>
    <mergeCell ref="H42:K42"/>
    <mergeCell ref="AB6:AE6"/>
    <mergeCell ref="AB16:AE16"/>
    <mergeCell ref="AB32:AE3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jhoseth henrry chapoñan huaman</cp:lastModifiedBy>
  <dcterms:created xsi:type="dcterms:W3CDTF">2020-02-06T16:33:43Z</dcterms:created>
  <dcterms:modified xsi:type="dcterms:W3CDTF">2025-03-04T23:58:13Z</dcterms:modified>
</cp:coreProperties>
</file>