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IP\SAP2000 2025\"/>
    </mc:Choice>
  </mc:AlternateContent>
  <xr:revisionPtr revIDLastSave="0" documentId="13_ncr:1_{D11C9D23-6D54-4881-8614-C42907898FE2}" xr6:coauthVersionLast="47" xr6:coauthVersionMax="47" xr10:uidLastSave="{00000000-0000-0000-0000-000000000000}"/>
  <bookViews>
    <workbookView xWindow="-120" yWindow="-120" windowWidth="29040" windowHeight="15720" activeTab="4" xr2:uid="{1C354E47-704F-42B3-AA11-98B0FB5BEB34}"/>
  </bookViews>
  <sheets>
    <sheet name="Espectro Diseño" sheetId="1" r:id="rId1"/>
    <sheet name="CARGAS" sheetId="2" r:id="rId2"/>
    <sheet name="COMBINACIONES" sheetId="3" r:id="rId3"/>
    <sheet name="VERIFICACIONES" sheetId="4" r:id="rId4"/>
    <sheet name="PES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4" i="5" l="1"/>
  <c r="I104" i="5" s="1"/>
  <c r="H103" i="5"/>
  <c r="E103" i="5"/>
  <c r="I103" i="5" s="1"/>
  <c r="I95" i="5"/>
  <c r="I96" i="5"/>
  <c r="I90" i="5"/>
  <c r="I86" i="5"/>
  <c r="I83" i="5"/>
  <c r="I80" i="5"/>
  <c r="I102" i="5"/>
  <c r="I101" i="5"/>
  <c r="I100" i="5"/>
  <c r="I99" i="5"/>
  <c r="E107" i="5"/>
  <c r="I107" i="5" s="1"/>
  <c r="D94" i="5"/>
  <c r="I94" i="5" s="1"/>
  <c r="I93" i="5"/>
  <c r="D92" i="5"/>
  <c r="I92" i="5" s="1"/>
  <c r="I91" i="5"/>
  <c r="E89" i="5"/>
  <c r="I89" i="5" s="1"/>
  <c r="I88" i="5"/>
  <c r="I87" i="5"/>
  <c r="I85" i="5"/>
  <c r="I84" i="5"/>
  <c r="I82" i="5"/>
  <c r="E81" i="5"/>
  <c r="I81" i="5" s="1"/>
  <c r="I79" i="5"/>
  <c r="I97" i="5" s="1"/>
  <c r="D69" i="5"/>
  <c r="I69" i="5" s="1"/>
  <c r="D67" i="5"/>
  <c r="I67" i="5" s="1"/>
  <c r="E74" i="5"/>
  <c r="I74" i="5" s="1"/>
  <c r="E72" i="5"/>
  <c r="E65" i="5"/>
  <c r="I65" i="5" s="1"/>
  <c r="H72" i="5"/>
  <c r="I68" i="5"/>
  <c r="I66" i="5"/>
  <c r="I64" i="5"/>
  <c r="I63" i="5"/>
  <c r="I62" i="5"/>
  <c r="I61" i="5"/>
  <c r="I60" i="5"/>
  <c r="I59" i="5"/>
  <c r="E58" i="5"/>
  <c r="I58" i="5" s="1"/>
  <c r="E57" i="5"/>
  <c r="I57" i="5" s="1"/>
  <c r="I56" i="5"/>
  <c r="E51" i="5"/>
  <c r="I51" i="5" s="1"/>
  <c r="H49" i="5"/>
  <c r="E49" i="5"/>
  <c r="I46" i="5"/>
  <c r="I45" i="5"/>
  <c r="I44" i="5"/>
  <c r="I43" i="5"/>
  <c r="E42" i="5"/>
  <c r="I42" i="5" s="1"/>
  <c r="I41" i="5"/>
  <c r="I40" i="5"/>
  <c r="I39" i="5"/>
  <c r="I38" i="5"/>
  <c r="I37" i="5"/>
  <c r="I36" i="5"/>
  <c r="E35" i="5"/>
  <c r="I35" i="5" s="1"/>
  <c r="E34" i="5"/>
  <c r="I34" i="5" s="1"/>
  <c r="E33" i="5"/>
  <c r="I33" i="5" s="1"/>
  <c r="E32" i="5"/>
  <c r="I32" i="5" s="1"/>
  <c r="E31" i="5"/>
  <c r="I31" i="5" s="1"/>
  <c r="I30" i="5"/>
  <c r="E25" i="5"/>
  <c r="I25" i="5" s="1"/>
  <c r="H23" i="5"/>
  <c r="E23" i="5"/>
  <c r="I20" i="5"/>
  <c r="I19" i="5"/>
  <c r="I18" i="5"/>
  <c r="I17" i="5"/>
  <c r="E16" i="5"/>
  <c r="I16" i="5" s="1"/>
  <c r="I14" i="5"/>
  <c r="I15" i="5"/>
  <c r="I13" i="5"/>
  <c r="I12" i="5"/>
  <c r="I11" i="5"/>
  <c r="I10" i="5"/>
  <c r="E9" i="5"/>
  <c r="I9" i="5" s="1"/>
  <c r="E8" i="5"/>
  <c r="I8" i="5" s="1"/>
  <c r="E7" i="5"/>
  <c r="I7" i="5" s="1"/>
  <c r="E6" i="5"/>
  <c r="I6" i="5" s="1"/>
  <c r="E5" i="5"/>
  <c r="I5" i="5" s="1"/>
  <c r="I4" i="5"/>
  <c r="E227" i="4"/>
  <c r="G227" i="4" s="1"/>
  <c r="H227" i="4" s="1"/>
  <c r="E226" i="4"/>
  <c r="G226" i="4" s="1"/>
  <c r="H226" i="4" s="1"/>
  <c r="E225" i="4"/>
  <c r="G225" i="4" s="1"/>
  <c r="H225" i="4" s="1"/>
  <c r="E224" i="4"/>
  <c r="G224" i="4" s="1"/>
  <c r="H224" i="4" s="1"/>
  <c r="E223" i="4"/>
  <c r="G223" i="4" s="1"/>
  <c r="H223" i="4" s="1"/>
  <c r="E222" i="4"/>
  <c r="G222" i="4" s="1"/>
  <c r="H222" i="4" s="1"/>
  <c r="E221" i="4"/>
  <c r="G221" i="4" s="1"/>
  <c r="H221" i="4" s="1"/>
  <c r="E220" i="4"/>
  <c r="G220" i="4" s="1"/>
  <c r="H220" i="4" s="1"/>
  <c r="E130" i="4"/>
  <c r="G130" i="4" s="1"/>
  <c r="H130" i="4" s="1"/>
  <c r="E129" i="4"/>
  <c r="G129" i="4" s="1"/>
  <c r="H129" i="4" s="1"/>
  <c r="E128" i="4"/>
  <c r="G128" i="4" s="1"/>
  <c r="H128" i="4" s="1"/>
  <c r="E127" i="4"/>
  <c r="G127" i="4" s="1"/>
  <c r="H127" i="4" s="1"/>
  <c r="E126" i="4"/>
  <c r="G126" i="4" s="1"/>
  <c r="H126" i="4" s="1"/>
  <c r="E125" i="4"/>
  <c r="G125" i="4" s="1"/>
  <c r="H125" i="4" s="1"/>
  <c r="E124" i="4"/>
  <c r="G124" i="4" s="1"/>
  <c r="H124" i="4" s="1"/>
  <c r="E123" i="4"/>
  <c r="G123" i="4" s="1"/>
  <c r="H123" i="4" s="1"/>
  <c r="E218" i="4"/>
  <c r="G218" i="4" s="1"/>
  <c r="H218" i="4" s="1"/>
  <c r="E217" i="4"/>
  <c r="G217" i="4" s="1"/>
  <c r="H217" i="4" s="1"/>
  <c r="E216" i="4"/>
  <c r="G216" i="4" s="1"/>
  <c r="H216" i="4" s="1"/>
  <c r="E215" i="4"/>
  <c r="G215" i="4" s="1"/>
  <c r="H215" i="4" s="1"/>
  <c r="E214" i="4"/>
  <c r="G214" i="4" s="1"/>
  <c r="H214" i="4" s="1"/>
  <c r="E213" i="4"/>
  <c r="G213" i="4" s="1"/>
  <c r="H213" i="4" s="1"/>
  <c r="E212" i="4"/>
  <c r="G212" i="4" s="1"/>
  <c r="H212" i="4" s="1"/>
  <c r="E211" i="4"/>
  <c r="G211" i="4" s="1"/>
  <c r="H211" i="4" s="1"/>
  <c r="E121" i="4"/>
  <c r="G121" i="4" s="1"/>
  <c r="H121" i="4" s="1"/>
  <c r="E120" i="4"/>
  <c r="G120" i="4" s="1"/>
  <c r="H120" i="4" s="1"/>
  <c r="E119" i="4"/>
  <c r="G119" i="4" s="1"/>
  <c r="H119" i="4" s="1"/>
  <c r="E118" i="4"/>
  <c r="G118" i="4" s="1"/>
  <c r="H118" i="4" s="1"/>
  <c r="E117" i="4"/>
  <c r="G117" i="4" s="1"/>
  <c r="H117" i="4" s="1"/>
  <c r="E116" i="4"/>
  <c r="G116" i="4" s="1"/>
  <c r="H116" i="4" s="1"/>
  <c r="E115" i="4"/>
  <c r="G115" i="4" s="1"/>
  <c r="H115" i="4" s="1"/>
  <c r="E114" i="4"/>
  <c r="G114" i="4" s="1"/>
  <c r="H114" i="4" s="1"/>
  <c r="E209" i="4"/>
  <c r="G209" i="4" s="1"/>
  <c r="H209" i="4" s="1"/>
  <c r="E208" i="4"/>
  <c r="G208" i="4" s="1"/>
  <c r="H208" i="4" s="1"/>
  <c r="E207" i="4"/>
  <c r="G207" i="4" s="1"/>
  <c r="H207" i="4" s="1"/>
  <c r="E206" i="4"/>
  <c r="G206" i="4" s="1"/>
  <c r="H206" i="4" s="1"/>
  <c r="E205" i="4"/>
  <c r="G205" i="4" s="1"/>
  <c r="H205" i="4" s="1"/>
  <c r="E204" i="4"/>
  <c r="G204" i="4" s="1"/>
  <c r="H204" i="4" s="1"/>
  <c r="E203" i="4"/>
  <c r="G203" i="4" s="1"/>
  <c r="H203" i="4" s="1"/>
  <c r="E202" i="4"/>
  <c r="G202" i="4" s="1"/>
  <c r="H202" i="4" s="1"/>
  <c r="E112" i="4"/>
  <c r="G112" i="4" s="1"/>
  <c r="H112" i="4" s="1"/>
  <c r="E111" i="4"/>
  <c r="G111" i="4" s="1"/>
  <c r="H111" i="4" s="1"/>
  <c r="E110" i="4"/>
  <c r="G110" i="4" s="1"/>
  <c r="H110" i="4" s="1"/>
  <c r="E109" i="4"/>
  <c r="G109" i="4" s="1"/>
  <c r="H109" i="4" s="1"/>
  <c r="E108" i="4"/>
  <c r="G108" i="4" s="1"/>
  <c r="H108" i="4" s="1"/>
  <c r="E107" i="4"/>
  <c r="G107" i="4" s="1"/>
  <c r="H107" i="4" s="1"/>
  <c r="E106" i="4"/>
  <c r="G106" i="4" s="1"/>
  <c r="H106" i="4" s="1"/>
  <c r="E105" i="4"/>
  <c r="G105" i="4" s="1"/>
  <c r="H105" i="4" s="1"/>
  <c r="E200" i="4"/>
  <c r="G200" i="4" s="1"/>
  <c r="H200" i="4" s="1"/>
  <c r="E199" i="4"/>
  <c r="G199" i="4" s="1"/>
  <c r="H199" i="4" s="1"/>
  <c r="E198" i="4"/>
  <c r="G198" i="4" s="1"/>
  <c r="H198" i="4" s="1"/>
  <c r="E197" i="4"/>
  <c r="G197" i="4" s="1"/>
  <c r="H197" i="4" s="1"/>
  <c r="E196" i="4"/>
  <c r="G196" i="4" s="1"/>
  <c r="H196" i="4" s="1"/>
  <c r="E195" i="4"/>
  <c r="G195" i="4" s="1"/>
  <c r="H195" i="4" s="1"/>
  <c r="E194" i="4"/>
  <c r="G194" i="4" s="1"/>
  <c r="H194" i="4" s="1"/>
  <c r="E193" i="4"/>
  <c r="G193" i="4" s="1"/>
  <c r="H193" i="4" s="1"/>
  <c r="E192" i="4"/>
  <c r="G192" i="4" s="1"/>
  <c r="H192" i="4" s="1"/>
  <c r="E191" i="4"/>
  <c r="G191" i="4" s="1"/>
  <c r="H191" i="4" s="1"/>
  <c r="E190" i="4"/>
  <c r="G190" i="4" s="1"/>
  <c r="H190" i="4" s="1"/>
  <c r="E189" i="4"/>
  <c r="G189" i="4" s="1"/>
  <c r="H189" i="4" s="1"/>
  <c r="E103" i="4"/>
  <c r="G103" i="4" s="1"/>
  <c r="H103" i="4" s="1"/>
  <c r="E102" i="4"/>
  <c r="G102" i="4" s="1"/>
  <c r="H102" i="4" s="1"/>
  <c r="E101" i="4"/>
  <c r="G101" i="4" s="1"/>
  <c r="H101" i="4" s="1"/>
  <c r="E100" i="4"/>
  <c r="G100" i="4" s="1"/>
  <c r="H100" i="4" s="1"/>
  <c r="E99" i="4"/>
  <c r="G99" i="4" s="1"/>
  <c r="H99" i="4" s="1"/>
  <c r="E98" i="4"/>
  <c r="G98" i="4" s="1"/>
  <c r="H98" i="4" s="1"/>
  <c r="E97" i="4"/>
  <c r="G97" i="4" s="1"/>
  <c r="H97" i="4" s="1"/>
  <c r="E96" i="4"/>
  <c r="G96" i="4" s="1"/>
  <c r="H96" i="4" s="1"/>
  <c r="E95" i="4"/>
  <c r="G95" i="4" s="1"/>
  <c r="H95" i="4" s="1"/>
  <c r="E94" i="4"/>
  <c r="G94" i="4" s="1"/>
  <c r="H94" i="4" s="1"/>
  <c r="E93" i="4"/>
  <c r="G93" i="4" s="1"/>
  <c r="H93" i="4" s="1"/>
  <c r="E92" i="4"/>
  <c r="G92" i="4" s="1"/>
  <c r="H92" i="4" s="1"/>
  <c r="E187" i="4"/>
  <c r="G187" i="4" s="1"/>
  <c r="H187" i="4" s="1"/>
  <c r="E186" i="4"/>
  <c r="G186" i="4" s="1"/>
  <c r="H186" i="4" s="1"/>
  <c r="E185" i="4"/>
  <c r="G185" i="4" s="1"/>
  <c r="H185" i="4" s="1"/>
  <c r="E184" i="4"/>
  <c r="G184" i="4" s="1"/>
  <c r="H184" i="4" s="1"/>
  <c r="E183" i="4"/>
  <c r="G183" i="4" s="1"/>
  <c r="H183" i="4" s="1"/>
  <c r="E182" i="4"/>
  <c r="G182" i="4" s="1"/>
  <c r="H182" i="4" s="1"/>
  <c r="E181" i="4"/>
  <c r="G181" i="4" s="1"/>
  <c r="H181" i="4" s="1"/>
  <c r="E180" i="4"/>
  <c r="G180" i="4" s="1"/>
  <c r="H180" i="4" s="1"/>
  <c r="E179" i="4"/>
  <c r="G179" i="4" s="1"/>
  <c r="H179" i="4" s="1"/>
  <c r="E178" i="4"/>
  <c r="G178" i="4" s="1"/>
  <c r="H178" i="4" s="1"/>
  <c r="E177" i="4"/>
  <c r="G177" i="4" s="1"/>
  <c r="H177" i="4" s="1"/>
  <c r="E176" i="4"/>
  <c r="G176" i="4" s="1"/>
  <c r="H176" i="4" s="1"/>
  <c r="E90" i="4"/>
  <c r="G90" i="4" s="1"/>
  <c r="H90" i="4" s="1"/>
  <c r="E89" i="4"/>
  <c r="G89" i="4" s="1"/>
  <c r="H89" i="4" s="1"/>
  <c r="E88" i="4"/>
  <c r="G88" i="4" s="1"/>
  <c r="H88" i="4" s="1"/>
  <c r="E87" i="4"/>
  <c r="G87" i="4" s="1"/>
  <c r="H87" i="4" s="1"/>
  <c r="E86" i="4"/>
  <c r="G86" i="4" s="1"/>
  <c r="H86" i="4" s="1"/>
  <c r="E85" i="4"/>
  <c r="G85" i="4" s="1"/>
  <c r="H85" i="4" s="1"/>
  <c r="E84" i="4"/>
  <c r="G84" i="4" s="1"/>
  <c r="H84" i="4" s="1"/>
  <c r="E83" i="4"/>
  <c r="G83" i="4" s="1"/>
  <c r="H83" i="4" s="1"/>
  <c r="E82" i="4"/>
  <c r="G82" i="4" s="1"/>
  <c r="H82" i="4" s="1"/>
  <c r="E81" i="4"/>
  <c r="G81" i="4" s="1"/>
  <c r="H81" i="4" s="1"/>
  <c r="E80" i="4"/>
  <c r="G80" i="4" s="1"/>
  <c r="H80" i="4" s="1"/>
  <c r="E79" i="4"/>
  <c r="G79" i="4" s="1"/>
  <c r="H79" i="4" s="1"/>
  <c r="E77" i="4"/>
  <c r="G77" i="4" s="1"/>
  <c r="H77" i="4" s="1"/>
  <c r="E76" i="4"/>
  <c r="G76" i="4" s="1"/>
  <c r="H76" i="4" s="1"/>
  <c r="E174" i="4"/>
  <c r="G174" i="4" s="1"/>
  <c r="H174" i="4" s="1"/>
  <c r="E173" i="4"/>
  <c r="G173" i="4" s="1"/>
  <c r="H173" i="4" s="1"/>
  <c r="E74" i="4"/>
  <c r="G74" i="4" s="1"/>
  <c r="H74" i="4" s="1"/>
  <c r="E73" i="4"/>
  <c r="G73" i="4" s="1"/>
  <c r="H73" i="4" s="1"/>
  <c r="E171" i="4"/>
  <c r="G171" i="4" s="1"/>
  <c r="H171" i="4" s="1"/>
  <c r="E170" i="4"/>
  <c r="G170" i="4" s="1"/>
  <c r="H170" i="4" s="1"/>
  <c r="E169" i="4"/>
  <c r="G169" i="4" s="1"/>
  <c r="H169" i="4" s="1"/>
  <c r="E168" i="4"/>
  <c r="G168" i="4" s="1"/>
  <c r="H168" i="4" s="1"/>
  <c r="E167" i="4"/>
  <c r="G167" i="4" s="1"/>
  <c r="H167" i="4" s="1"/>
  <c r="E166" i="4"/>
  <c r="G166" i="4" s="1"/>
  <c r="H166" i="4" s="1"/>
  <c r="E165" i="4"/>
  <c r="G165" i="4" s="1"/>
  <c r="H165" i="4" s="1"/>
  <c r="E164" i="4"/>
  <c r="G164" i="4" s="1"/>
  <c r="H164" i="4" s="1"/>
  <c r="E163" i="4"/>
  <c r="G163" i="4" s="1"/>
  <c r="H163" i="4" s="1"/>
  <c r="E162" i="4"/>
  <c r="G162" i="4" s="1"/>
  <c r="H162" i="4" s="1"/>
  <c r="E161" i="4"/>
  <c r="G161" i="4" s="1"/>
  <c r="H161" i="4" s="1"/>
  <c r="E160" i="4"/>
  <c r="G160" i="4" s="1"/>
  <c r="H160" i="4" s="1"/>
  <c r="E71" i="4"/>
  <c r="G71" i="4" s="1"/>
  <c r="H71" i="4" s="1"/>
  <c r="E70" i="4"/>
  <c r="G70" i="4" s="1"/>
  <c r="H70" i="4" s="1"/>
  <c r="E69" i="4"/>
  <c r="G69" i="4" s="1"/>
  <c r="H69" i="4" s="1"/>
  <c r="E68" i="4"/>
  <c r="G68" i="4" s="1"/>
  <c r="H68" i="4" s="1"/>
  <c r="E67" i="4"/>
  <c r="G67" i="4" s="1"/>
  <c r="H67" i="4" s="1"/>
  <c r="E66" i="4"/>
  <c r="G66" i="4" s="1"/>
  <c r="H66" i="4" s="1"/>
  <c r="E65" i="4"/>
  <c r="G65" i="4" s="1"/>
  <c r="H65" i="4" s="1"/>
  <c r="E64" i="4"/>
  <c r="G64" i="4" s="1"/>
  <c r="H64" i="4" s="1"/>
  <c r="E63" i="4"/>
  <c r="G63" i="4" s="1"/>
  <c r="H63" i="4" s="1"/>
  <c r="E62" i="4"/>
  <c r="G62" i="4" s="1"/>
  <c r="H62" i="4" s="1"/>
  <c r="E61" i="4"/>
  <c r="G61" i="4" s="1"/>
  <c r="H61" i="4" s="1"/>
  <c r="E60" i="4"/>
  <c r="G60" i="4" s="1"/>
  <c r="H60" i="4" s="1"/>
  <c r="E158" i="4"/>
  <c r="G158" i="4" s="1"/>
  <c r="H158" i="4" s="1"/>
  <c r="E157" i="4"/>
  <c r="G157" i="4" s="1"/>
  <c r="H157" i="4" s="1"/>
  <c r="E156" i="4"/>
  <c r="G156" i="4" s="1"/>
  <c r="H156" i="4" s="1"/>
  <c r="E155" i="4"/>
  <c r="G155" i="4" s="1"/>
  <c r="H155" i="4" s="1"/>
  <c r="E154" i="4"/>
  <c r="G154" i="4" s="1"/>
  <c r="H154" i="4" s="1"/>
  <c r="E153" i="4"/>
  <c r="G153" i="4" s="1"/>
  <c r="H153" i="4" s="1"/>
  <c r="E152" i="4"/>
  <c r="G152" i="4" s="1"/>
  <c r="H152" i="4" s="1"/>
  <c r="E151" i="4"/>
  <c r="G151" i="4" s="1"/>
  <c r="H151" i="4" s="1"/>
  <c r="E150" i="4"/>
  <c r="G150" i="4" s="1"/>
  <c r="H150" i="4" s="1"/>
  <c r="E149" i="4"/>
  <c r="G149" i="4" s="1"/>
  <c r="H149" i="4" s="1"/>
  <c r="E148" i="4"/>
  <c r="G148" i="4" s="1"/>
  <c r="H148" i="4" s="1"/>
  <c r="E147" i="4"/>
  <c r="G147" i="4" s="1"/>
  <c r="H147" i="4" s="1"/>
  <c r="E47" i="4"/>
  <c r="G47" i="4" s="1"/>
  <c r="H47" i="4" s="1"/>
  <c r="E48" i="4"/>
  <c r="G48" i="4" s="1"/>
  <c r="H48" i="4" s="1"/>
  <c r="E49" i="4"/>
  <c r="G49" i="4" s="1"/>
  <c r="H49" i="4" s="1"/>
  <c r="E50" i="4"/>
  <c r="G50" i="4" s="1"/>
  <c r="H50" i="4" s="1"/>
  <c r="E58" i="4"/>
  <c r="G58" i="4" s="1"/>
  <c r="H58" i="4" s="1"/>
  <c r="E57" i="4"/>
  <c r="G57" i="4" s="1"/>
  <c r="H57" i="4" s="1"/>
  <c r="E56" i="4"/>
  <c r="G56" i="4" s="1"/>
  <c r="H56" i="4" s="1"/>
  <c r="E55" i="4"/>
  <c r="G55" i="4" s="1"/>
  <c r="H55" i="4" s="1"/>
  <c r="E54" i="4"/>
  <c r="G54" i="4" s="1"/>
  <c r="H54" i="4" s="1"/>
  <c r="E53" i="4"/>
  <c r="G53" i="4" s="1"/>
  <c r="H53" i="4" s="1"/>
  <c r="E52" i="4"/>
  <c r="G52" i="4" s="1"/>
  <c r="H52" i="4" s="1"/>
  <c r="E51" i="4"/>
  <c r="G51" i="4" s="1"/>
  <c r="H51" i="4" s="1"/>
  <c r="E145" i="4"/>
  <c r="G145" i="4" s="1"/>
  <c r="H145" i="4" s="1"/>
  <c r="E144" i="4"/>
  <c r="G144" i="4" s="1"/>
  <c r="H144" i="4" s="1"/>
  <c r="E143" i="4"/>
  <c r="G143" i="4" s="1"/>
  <c r="H143" i="4" s="1"/>
  <c r="E142" i="4"/>
  <c r="G142" i="4" s="1"/>
  <c r="H142" i="4" s="1"/>
  <c r="E141" i="4"/>
  <c r="G141" i="4" s="1"/>
  <c r="H141" i="4" s="1"/>
  <c r="E140" i="4"/>
  <c r="G140" i="4" s="1"/>
  <c r="H140" i="4" s="1"/>
  <c r="E139" i="4"/>
  <c r="G139" i="4" s="1"/>
  <c r="H139" i="4" s="1"/>
  <c r="E138" i="4"/>
  <c r="G138" i="4" s="1"/>
  <c r="H138" i="4" s="1"/>
  <c r="E38" i="4"/>
  <c r="G38" i="4" s="1"/>
  <c r="H38" i="4" s="1"/>
  <c r="E39" i="4"/>
  <c r="G39" i="4" s="1"/>
  <c r="H39" i="4" s="1"/>
  <c r="E40" i="4"/>
  <c r="G40" i="4" s="1"/>
  <c r="H40" i="4" s="1"/>
  <c r="E41" i="4"/>
  <c r="G41" i="4" s="1"/>
  <c r="H41" i="4" s="1"/>
  <c r="E42" i="4"/>
  <c r="G42" i="4" s="1"/>
  <c r="H42" i="4" s="1"/>
  <c r="E43" i="4"/>
  <c r="G43" i="4" s="1"/>
  <c r="H43" i="4" s="1"/>
  <c r="E44" i="4"/>
  <c r="G44" i="4" s="1"/>
  <c r="H44" i="4" s="1"/>
  <c r="E45" i="4"/>
  <c r="G45" i="4" s="1"/>
  <c r="H45" i="4" s="1"/>
  <c r="G12" i="4"/>
  <c r="G11" i="4"/>
  <c r="F31" i="2"/>
  <c r="F33" i="2"/>
  <c r="F35" i="2" s="1"/>
  <c r="F27" i="2"/>
  <c r="F29" i="2" s="1"/>
  <c r="F23" i="2"/>
  <c r="F10" i="2"/>
  <c r="F14" i="2" s="1"/>
  <c r="F16" i="2" s="1"/>
  <c r="E7" i="2" s="1"/>
  <c r="C17" i="1"/>
  <c r="C2" i="1"/>
  <c r="C12" i="1"/>
  <c r="C7" i="1"/>
  <c r="C8" i="1"/>
  <c r="I105" i="5" l="1"/>
  <c r="I49" i="5"/>
  <c r="I21" i="5"/>
  <c r="I72" i="5"/>
  <c r="I70" i="5"/>
  <c r="C54" i="5" s="1"/>
  <c r="I47" i="5"/>
  <c r="I23" i="5"/>
  <c r="C77" i="5" l="1"/>
  <c r="C2" i="5"/>
  <c r="C28" i="5"/>
</calcChain>
</file>

<file path=xl/sharedStrings.xml><?xml version="1.0" encoding="utf-8"?>
<sst xmlns="http://schemas.openxmlformats.org/spreadsheetml/2006/main" count="612" uniqueCount="167">
  <si>
    <t>ZUCS</t>
  </si>
  <si>
    <t>R</t>
  </si>
  <si>
    <t>Z4</t>
  </si>
  <si>
    <t>Uc</t>
  </si>
  <si>
    <t>C</t>
  </si>
  <si>
    <t>Tp</t>
  </si>
  <si>
    <t>TL</t>
  </si>
  <si>
    <t>T (hn/CT)</t>
  </si>
  <si>
    <t>S1</t>
  </si>
  <si>
    <t>Ro</t>
  </si>
  <si>
    <t>Ia</t>
  </si>
  <si>
    <t>Ip</t>
  </si>
  <si>
    <t>k</t>
  </si>
  <si>
    <t>DEAD</t>
  </si>
  <si>
    <t>Peso Propio de los Elementos Estructurales</t>
  </si>
  <si>
    <t>CM</t>
  </si>
  <si>
    <t>Peso Acabados</t>
  </si>
  <si>
    <t>kg/m2</t>
  </si>
  <si>
    <t>Peso Ladrillo de Techo</t>
  </si>
  <si>
    <t>Vc</t>
  </si>
  <si>
    <t>Vc=0.05+0.25H</t>
  </si>
  <si>
    <t>m3/m2</t>
  </si>
  <si>
    <t>Vc=0.05+0.25(0.15)</t>
  </si>
  <si>
    <t>Peso Esp. Concreto</t>
  </si>
  <si>
    <t>kg/m3</t>
  </si>
  <si>
    <t>Wc</t>
  </si>
  <si>
    <t>Wladrillo</t>
  </si>
  <si>
    <t>Wladrillo = Wlosa-Wc</t>
  </si>
  <si>
    <t>Peso Muros sobre Área</t>
  </si>
  <si>
    <t>Peso Muros sobre Viga</t>
  </si>
  <si>
    <t>e</t>
  </si>
  <si>
    <t>m</t>
  </si>
  <si>
    <t>h</t>
  </si>
  <si>
    <t>Peso Esp.</t>
  </si>
  <si>
    <t>Wmuro</t>
  </si>
  <si>
    <t>kg/m</t>
  </si>
  <si>
    <t>LIVE</t>
  </si>
  <si>
    <t>Sótano</t>
  </si>
  <si>
    <t>Semisótano</t>
  </si>
  <si>
    <t>Garaje</t>
  </si>
  <si>
    <t>Restaurante</t>
  </si>
  <si>
    <t>1°-2°nivel</t>
  </si>
  <si>
    <t>Escalera</t>
  </si>
  <si>
    <t>3°-10°nivel</t>
  </si>
  <si>
    <t>Departamentos</t>
  </si>
  <si>
    <t>Carga Viva de Entrepiso</t>
  </si>
  <si>
    <t>LIVE UP</t>
  </si>
  <si>
    <t>Carga Viva de Techo</t>
  </si>
  <si>
    <t>Azotea</t>
  </si>
  <si>
    <t>Peso Acabados + Peso ladrillo Techo + Peso muros albañilería + Tanque Elevado</t>
  </si>
  <si>
    <t>Vol</t>
  </si>
  <si>
    <t>m3</t>
  </si>
  <si>
    <t>Peso Esp. H2O</t>
  </si>
  <si>
    <t>Wtanque</t>
  </si>
  <si>
    <t>kg</t>
  </si>
  <si>
    <t>Área</t>
  </si>
  <si>
    <t>m2</t>
  </si>
  <si>
    <t>Wtanque/m2</t>
  </si>
  <si>
    <t>Tanque Losa Ascensor (1)</t>
  </si>
  <si>
    <t>Tanque Losa Central (4)</t>
  </si>
  <si>
    <t>COMB1</t>
  </si>
  <si>
    <t>COMB2</t>
  </si>
  <si>
    <t>COMBINACIÓN N°01: 1.4CM+1.7CV</t>
  </si>
  <si>
    <t>LIVE 1</t>
  </si>
  <si>
    <t>COMB3</t>
  </si>
  <si>
    <t>LIVE 2</t>
  </si>
  <si>
    <t>COMB4</t>
  </si>
  <si>
    <t>SxD</t>
  </si>
  <si>
    <t>COMB5</t>
  </si>
  <si>
    <t>COMB6</t>
  </si>
  <si>
    <t>COMB7</t>
  </si>
  <si>
    <t>COMB8</t>
  </si>
  <si>
    <t>COMB9</t>
  </si>
  <si>
    <t>COMB10</t>
  </si>
  <si>
    <t>COMB11</t>
  </si>
  <si>
    <t>COMB12</t>
  </si>
  <si>
    <t>COMB13</t>
  </si>
  <si>
    <t>COMB14</t>
  </si>
  <si>
    <t>COMB15</t>
  </si>
  <si>
    <t>SyD</t>
  </si>
  <si>
    <t>COMBINACIÓN N°02: 1.25CM+1.25CV+-CS</t>
  </si>
  <si>
    <t>COMBINACIÓN N°03: 0.90CM+-CS</t>
  </si>
  <si>
    <t>COMB16</t>
  </si>
  <si>
    <t>COMB17</t>
  </si>
  <si>
    <t>COMB18</t>
  </si>
  <si>
    <t>COMB19</t>
  </si>
  <si>
    <t>COMBINACIÓN N°04: ENVOLVENTE</t>
  </si>
  <si>
    <t>COMB20</t>
  </si>
  <si>
    <t>COMB1 + COMB2 + … + COMB19</t>
  </si>
  <si>
    <t>VERIFICACIÓN POR PARTICIPACIÓN MODAL</t>
  </si>
  <si>
    <t>MODAL</t>
  </si>
  <si>
    <t>Acceleration</t>
  </si>
  <si>
    <t>UX</t>
  </si>
  <si>
    <t>UY</t>
  </si>
  <si>
    <t>UZ</t>
  </si>
  <si>
    <t>TABLE:  Modal Load Participation Ratios</t>
  </si>
  <si>
    <t>OutputCase</t>
  </si>
  <si>
    <t>ItemType</t>
  </si>
  <si>
    <t>Item</t>
  </si>
  <si>
    <t>Static</t>
  </si>
  <si>
    <t>Dynamic</t>
  </si>
  <si>
    <t>Text</t>
  </si>
  <si>
    <t>Percent</t>
  </si>
  <si>
    <t>VERIFICACIÓN DE DESPLAZAMIENTOS LATERALES</t>
  </si>
  <si>
    <t>DIRECCIÓN X</t>
  </si>
  <si>
    <t>DIRECCIÓN Y</t>
  </si>
  <si>
    <t>EJE A Y EJE 1</t>
  </si>
  <si>
    <t>PISO 6</t>
  </si>
  <si>
    <t>PISO 5</t>
  </si>
  <si>
    <t>PISO 4</t>
  </si>
  <si>
    <t>PISO 3</t>
  </si>
  <si>
    <t>PISO 2</t>
  </si>
  <si>
    <t>PISO 1</t>
  </si>
  <si>
    <t>SEMISÓTANO</t>
  </si>
  <si>
    <t>SÓTANO</t>
  </si>
  <si>
    <t>EJES</t>
  </si>
  <si>
    <t>N° PISO</t>
  </si>
  <si>
    <t>DESP. ABS.</t>
  </si>
  <si>
    <t>BASE</t>
  </si>
  <si>
    <t>hei</t>
  </si>
  <si>
    <r>
      <rPr>
        <b/>
        <sz val="11"/>
        <color theme="1"/>
        <rFont val="Aptos Narrow"/>
        <family val="2"/>
      </rPr>
      <t>Δ</t>
    </r>
    <r>
      <rPr>
        <b/>
        <sz val="13.2"/>
        <color theme="1"/>
        <rFont val="Aptos Narrow"/>
        <family val="2"/>
      </rPr>
      <t>i</t>
    </r>
  </si>
  <si>
    <t>DISTORSIÓN</t>
  </si>
  <si>
    <t>EJE A Y EJE 3</t>
  </si>
  <si>
    <t>PISO 10</t>
  </si>
  <si>
    <t>PISO 9</t>
  </si>
  <si>
    <t>PISO 8</t>
  </si>
  <si>
    <t>PISO 7</t>
  </si>
  <si>
    <t>EJE A Y EJE 8</t>
  </si>
  <si>
    <t>EJE A Y EJE 10</t>
  </si>
  <si>
    <t>EJE F Y EJE 1</t>
  </si>
  <si>
    <t>EJE F Y EJE 3</t>
  </si>
  <si>
    <t>EJE F Y EJE 8</t>
  </si>
  <si>
    <t>EJE F Y EJE 10</t>
  </si>
  <si>
    <t>EJE 1 Y EJE E</t>
  </si>
  <si>
    <t>EJE 10 Y EJE B</t>
  </si>
  <si>
    <t>VERIFICACIÓN DE IRREGULARIDADES ESTRUCTURALES</t>
  </si>
  <si>
    <t>IRREGULARIDADES ESTRUCTURALES EN ALTURA</t>
  </si>
  <si>
    <t>TABLE:  Auto Seismic - User Coefficient</t>
  </si>
  <si>
    <t>LoadPat</t>
  </si>
  <si>
    <t>Dir</t>
  </si>
  <si>
    <t>PercentEcc</t>
  </si>
  <si>
    <t>EccOverride</t>
  </si>
  <si>
    <t>UserZ</t>
  </si>
  <si>
    <t>K</t>
  </si>
  <si>
    <t>WeightUsed</t>
  </si>
  <si>
    <t>BaseShear</t>
  </si>
  <si>
    <t>Unitless</t>
  </si>
  <si>
    <t>Yes/No</t>
  </si>
  <si>
    <t>Tonf</t>
  </si>
  <si>
    <t>SxE</t>
  </si>
  <si>
    <t>X</t>
  </si>
  <si>
    <t>No</t>
  </si>
  <si>
    <t>SyE</t>
  </si>
  <si>
    <t>Y</t>
  </si>
  <si>
    <t>COLUNAS</t>
  </si>
  <si>
    <t>Ton</t>
  </si>
  <si>
    <t>VIGAS</t>
  </si>
  <si>
    <t>PISO 1 - 2</t>
  </si>
  <si>
    <t>MUROS</t>
  </si>
  <si>
    <t>ESCALERA</t>
  </si>
  <si>
    <t>LOSA</t>
  </si>
  <si>
    <t>LOSA 5cm</t>
  </si>
  <si>
    <t>VIGUETAS</t>
  </si>
  <si>
    <t>PISO 3 - 6</t>
  </si>
  <si>
    <t>PISO 7-9</t>
  </si>
  <si>
    <t>AZOTEA</t>
  </si>
  <si>
    <t>ASCENSOR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</si>
</sst>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74" formatCode="0.0000"/>
  </numFmts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/>
      <name val="Aptos Narrow"/>
      <family val="2"/>
    </font>
    <font>
      <b/>
      <sz val="13.2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/>
    <xf numFmtId="0" fontId="0" fillId="0" borderId="0" xfId="0"/>
    <xf numFmtId="49" fontId="2" fillId="4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49" fontId="0" fillId="4" borderId="2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2" xfId="0" applyBorder="1"/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49" fontId="2" fillId="2" borderId="4" xfId="0" applyNumberFormat="1" applyFont="1" applyFill="1" applyBorder="1" applyAlignment="1">
      <alignment horizontal="center"/>
    </xf>
    <xf numFmtId="49" fontId="2" fillId="2" borderId="5" xfId="0" applyNumberFormat="1" applyFont="1" applyFill="1" applyBorder="1" applyAlignment="1">
      <alignment horizontal="center"/>
    </xf>
    <xf numFmtId="0" fontId="3" fillId="0" borderId="0" xfId="0" applyFont="1"/>
    <xf numFmtId="49" fontId="2" fillId="0" borderId="0" xfId="0" applyNumberFormat="1" applyFont="1" applyFill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174" fontId="0" fillId="0" borderId="2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0" xfId="0"/>
    <xf numFmtId="2" fontId="0" fillId="0" borderId="0" xfId="0" applyNumberFormat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/>
    <xf numFmtId="2" fontId="0" fillId="0" borderId="0" xfId="0" applyNumberFormat="1" applyBorder="1" applyAlignment="1">
      <alignment horizontal="center"/>
    </xf>
    <xf numFmtId="0" fontId="0" fillId="0" borderId="0" xfId="0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9" fontId="2" fillId="3" borderId="2" xfId="0" applyNumberFormat="1" applyFont="1" applyFill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1"/>
    <xf numFmtId="49" fontId="2" fillId="2" borderId="0" xfId="0" applyNumberFormat="1" applyFont="1" applyFill="1"/>
    <xf numFmtId="49" fontId="0" fillId="2" borderId="0" xfId="0" applyNumberFormat="1" applyFill="1"/>
    <xf numFmtId="0" fontId="2" fillId="3" borderId="2" xfId="0" applyFont="1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2" fontId="2" fillId="0" borderId="0" xfId="0" applyNumberFormat="1" applyFont="1"/>
    <xf numFmtId="2" fontId="0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271097</xdr:colOff>
      <xdr:row>5</xdr:row>
      <xdr:rowOff>139211</xdr:rowOff>
    </xdr:from>
    <xdr:to>
      <xdr:col>6</xdr:col>
      <xdr:colOff>92709</xdr:colOff>
      <xdr:row>7</xdr:row>
      <xdr:rowOff>90232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6835E2-16C8-44FE-3707-5DAE40AB1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57097" y="1091711"/>
          <a:ext cx="2107612" cy="332021"/>
        </a:xfrm>
        <a:prstGeom prst="rect">
          <a:avLst/>
        </a:prstGeom>
      </xdr:spPr>
    </xdr:pic>
    <xdr:clientData/>
  </xdr:twoCellAnchor>
  <xdr:twoCellAnchor editAs="oneCell">
    <xdr:from>
      <xdr:col>3</xdr:col>
      <xdr:colOff>212482</xdr:colOff>
      <xdr:row>16</xdr:row>
      <xdr:rowOff>21981</xdr:rowOff>
    </xdr:from>
    <xdr:to>
      <xdr:col>6</xdr:col>
      <xdr:colOff>674078</xdr:colOff>
      <xdr:row>17</xdr:row>
      <xdr:rowOff>69462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850C88-33A1-F049-F787-402E333FD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98482" y="3069981"/>
          <a:ext cx="2747596" cy="2379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6</xdr:col>
      <xdr:colOff>367125</xdr:colOff>
      <xdr:row>6</xdr:row>
      <xdr:rowOff>138359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957AEE-F4AC-27CA-8137-70F209DB4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571500"/>
          <a:ext cx="4320000" cy="7098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6</xdr:col>
      <xdr:colOff>367125</xdr:colOff>
      <xdr:row>22</xdr:row>
      <xdr:rowOff>46500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A41356-4108-76C8-A13C-291B29979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0375" y="3238500"/>
          <a:ext cx="4320000" cy="999000"/>
        </a:xfrm>
        <a:prstGeom prst="rect">
          <a:avLst/>
        </a:prstGeom>
      </xdr:spPr>
    </xdr:pic>
    <xdr:clientData/>
  </xdr:twoCellAnchor>
  <xdr:twoCellAnchor editAs="oneCell">
    <xdr:from>
      <xdr:col>1</xdr:col>
      <xdr:colOff>277813</xdr:colOff>
      <xdr:row>22</xdr:row>
      <xdr:rowOff>182562</xdr:rowOff>
    </xdr:from>
    <xdr:to>
      <xdr:col>5</xdr:col>
      <xdr:colOff>686938</xdr:colOff>
      <xdr:row>32</xdr:row>
      <xdr:rowOff>80388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5A612E8-AB4C-664A-C20F-1127D464B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8188" y="4373562"/>
          <a:ext cx="3600000" cy="18028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234</xdr:row>
      <xdr:rowOff>1</xdr:rowOff>
    </xdr:from>
    <xdr:to>
      <xdr:col>6</xdr:col>
      <xdr:colOff>367125</xdr:colOff>
      <xdr:row>243</xdr:row>
      <xdr:rowOff>72778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08B083A-8C66-2E82-0D4A-8F24CE3AA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0375" y="44656376"/>
          <a:ext cx="4320000" cy="17872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7A1A2-4E49-4F9A-9395-4B85B83F3D41}">
  <dimension ref="B2:C17"/>
  <sheetViews>
    <sheetView zoomScale="130" zoomScaleNormal="130" workbookViewId="0">
      <selection activeCell="C12" sqref="C12"/>
    </sheetView>
  </sheetViews>
  <sheetFormatPr baseColWidth="10" defaultRowHeight="15" x14ac:dyDescent="0.25"/>
  <sheetData>
    <row r="2" spans="2:3" x14ac:dyDescent="0.25">
      <c r="B2" s="2" t="s">
        <v>0</v>
      </c>
      <c r="C2" s="4">
        <f>(C5*C6*C7*C11)/C12</f>
        <v>0.13089005235602094</v>
      </c>
    </row>
    <row r="3" spans="2:3" x14ac:dyDescent="0.25">
      <c r="B3" s="1" t="s">
        <v>1</v>
      </c>
    </row>
    <row r="5" spans="2:3" x14ac:dyDescent="0.25">
      <c r="B5" s="1" t="s">
        <v>2</v>
      </c>
      <c r="C5">
        <v>0.45</v>
      </c>
    </row>
    <row r="6" spans="2:3" x14ac:dyDescent="0.25">
      <c r="B6" s="1" t="s">
        <v>3</v>
      </c>
      <c r="C6" s="3">
        <v>1</v>
      </c>
    </row>
    <row r="7" spans="2:3" x14ac:dyDescent="0.25">
      <c r="B7" s="1" t="s">
        <v>4</v>
      </c>
      <c r="C7" s="3">
        <f>2.5*(C9/C8)</f>
        <v>1.5706806282722514</v>
      </c>
    </row>
    <row r="8" spans="2:3" x14ac:dyDescent="0.25">
      <c r="B8" s="1" t="s">
        <v>7</v>
      </c>
      <c r="C8" s="3">
        <f>38.2/60</f>
        <v>0.63666666666666671</v>
      </c>
    </row>
    <row r="9" spans="2:3" x14ac:dyDescent="0.25">
      <c r="B9" s="1" t="s">
        <v>5</v>
      </c>
      <c r="C9" s="3">
        <v>0.4</v>
      </c>
    </row>
    <row r="10" spans="2:3" x14ac:dyDescent="0.25">
      <c r="B10" s="1" t="s">
        <v>6</v>
      </c>
      <c r="C10" s="3">
        <v>2.5</v>
      </c>
    </row>
    <row r="11" spans="2:3" x14ac:dyDescent="0.25">
      <c r="B11" s="1" t="s">
        <v>8</v>
      </c>
      <c r="C11" s="3">
        <v>1</v>
      </c>
    </row>
    <row r="12" spans="2:3" x14ac:dyDescent="0.25">
      <c r="B12" s="1" t="s">
        <v>1</v>
      </c>
      <c r="C12" s="3">
        <f>C13*C14*C15</f>
        <v>5.4</v>
      </c>
    </row>
    <row r="13" spans="2:3" x14ac:dyDescent="0.25">
      <c r="B13" s="1" t="s">
        <v>9</v>
      </c>
      <c r="C13" s="3">
        <v>6</v>
      </c>
    </row>
    <row r="14" spans="2:3" x14ac:dyDescent="0.25">
      <c r="B14" s="1" t="s">
        <v>10</v>
      </c>
      <c r="C14" s="3">
        <v>0.9</v>
      </c>
    </row>
    <row r="15" spans="2:3" x14ac:dyDescent="0.25">
      <c r="B15" s="1" t="s">
        <v>11</v>
      </c>
      <c r="C15" s="3">
        <v>1</v>
      </c>
    </row>
    <row r="17" spans="2:3" x14ac:dyDescent="0.25">
      <c r="B17" s="1" t="s">
        <v>12</v>
      </c>
      <c r="C17" s="4">
        <f>0.75+(0.5*C8)</f>
        <v>1.0683333333333334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47BED-1646-4DDC-8792-27FA3C33FFAD}">
  <dimension ref="B2:H47"/>
  <sheetViews>
    <sheetView topLeftCell="A4" workbookViewId="0">
      <selection activeCell="F29" sqref="F29"/>
    </sheetView>
  </sheetViews>
  <sheetFormatPr baseColWidth="10" defaultRowHeight="15" x14ac:dyDescent="0.25"/>
  <cols>
    <col min="5" max="5" width="13.7109375" customWidth="1"/>
  </cols>
  <sheetData>
    <row r="2" spans="2:8" x14ac:dyDescent="0.25">
      <c r="B2" t="s">
        <v>13</v>
      </c>
      <c r="C2" t="s">
        <v>14</v>
      </c>
    </row>
    <row r="4" spans="2:8" x14ac:dyDescent="0.25">
      <c r="B4" t="s">
        <v>15</v>
      </c>
      <c r="C4" t="s">
        <v>49</v>
      </c>
    </row>
    <row r="6" spans="2:8" x14ac:dyDescent="0.25">
      <c r="C6" t="s">
        <v>16</v>
      </c>
      <c r="E6">
        <v>100</v>
      </c>
      <c r="F6" t="s">
        <v>17</v>
      </c>
    </row>
    <row r="7" spans="2:8" x14ac:dyDescent="0.25">
      <c r="C7" t="s">
        <v>18</v>
      </c>
      <c r="E7">
        <f>F16</f>
        <v>90</v>
      </c>
      <c r="F7" t="s">
        <v>17</v>
      </c>
    </row>
    <row r="8" spans="2:8" x14ac:dyDescent="0.25">
      <c r="E8" t="s">
        <v>20</v>
      </c>
    </row>
    <row r="9" spans="2:8" x14ac:dyDescent="0.25">
      <c r="E9" t="s">
        <v>22</v>
      </c>
    </row>
    <row r="10" spans="2:8" x14ac:dyDescent="0.25">
      <c r="E10" s="1" t="s">
        <v>19</v>
      </c>
      <c r="F10">
        <f>0.05+0.25*(0.15)</f>
        <v>8.7499999999999994E-2</v>
      </c>
      <c r="G10" t="s">
        <v>21</v>
      </c>
    </row>
    <row r="12" spans="2:8" x14ac:dyDescent="0.25">
      <c r="E12" t="s">
        <v>23</v>
      </c>
      <c r="G12">
        <v>2400</v>
      </c>
      <c r="H12" t="s">
        <v>24</v>
      </c>
    </row>
    <row r="14" spans="2:8" x14ac:dyDescent="0.25">
      <c r="E14" s="1" t="s">
        <v>25</v>
      </c>
      <c r="F14">
        <f>G12*F10</f>
        <v>210</v>
      </c>
      <c r="G14" t="s">
        <v>17</v>
      </c>
    </row>
    <row r="15" spans="2:8" x14ac:dyDescent="0.25">
      <c r="E15" s="5" t="s">
        <v>27</v>
      </c>
    </row>
    <row r="16" spans="2:8" x14ac:dyDescent="0.25">
      <c r="E16" t="s">
        <v>26</v>
      </c>
      <c r="F16">
        <f>300-F14</f>
        <v>90</v>
      </c>
      <c r="G16" t="s">
        <v>17</v>
      </c>
    </row>
    <row r="18" spans="3:7" x14ac:dyDescent="0.25">
      <c r="C18" t="s">
        <v>28</v>
      </c>
      <c r="E18">
        <v>250</v>
      </c>
      <c r="F18" t="s">
        <v>17</v>
      </c>
    </row>
    <row r="20" spans="3:7" x14ac:dyDescent="0.25">
      <c r="C20" t="s">
        <v>29</v>
      </c>
      <c r="E20" s="1" t="s">
        <v>30</v>
      </c>
      <c r="F20">
        <v>0.15</v>
      </c>
      <c r="G20" t="s">
        <v>31</v>
      </c>
    </row>
    <row r="21" spans="3:7" x14ac:dyDescent="0.25">
      <c r="E21" s="1" t="s">
        <v>32</v>
      </c>
      <c r="F21" s="3">
        <v>1.2</v>
      </c>
      <c r="G21" t="s">
        <v>31</v>
      </c>
    </row>
    <row r="22" spans="3:7" x14ac:dyDescent="0.25">
      <c r="E22" s="1" t="s">
        <v>33</v>
      </c>
      <c r="F22">
        <v>1350</v>
      </c>
      <c r="G22" t="s">
        <v>24</v>
      </c>
    </row>
    <row r="23" spans="3:7" x14ac:dyDescent="0.25">
      <c r="E23" s="1" t="s">
        <v>34</v>
      </c>
      <c r="F23">
        <f>F22*F21*F20</f>
        <v>243</v>
      </c>
      <c r="G23" t="s">
        <v>35</v>
      </c>
    </row>
    <row r="25" spans="3:7" x14ac:dyDescent="0.25">
      <c r="C25" t="s">
        <v>58</v>
      </c>
      <c r="E25" s="1" t="s">
        <v>50</v>
      </c>
      <c r="F25">
        <v>2.5</v>
      </c>
      <c r="G25" t="s">
        <v>51</v>
      </c>
    </row>
    <row r="26" spans="3:7" x14ac:dyDescent="0.25">
      <c r="E26" s="1" t="s">
        <v>52</v>
      </c>
      <c r="F26">
        <v>1000</v>
      </c>
      <c r="G26" t="s">
        <v>24</v>
      </c>
    </row>
    <row r="27" spans="3:7" x14ac:dyDescent="0.25">
      <c r="E27" s="1" t="s">
        <v>53</v>
      </c>
      <c r="F27">
        <f>F26*F25</f>
        <v>2500</v>
      </c>
      <c r="G27" t="s">
        <v>54</v>
      </c>
    </row>
    <row r="28" spans="3:7" x14ac:dyDescent="0.25">
      <c r="E28" s="1" t="s">
        <v>55</v>
      </c>
      <c r="F28" s="3">
        <v>4</v>
      </c>
      <c r="G28" t="s">
        <v>56</v>
      </c>
    </row>
    <row r="29" spans="3:7" x14ac:dyDescent="0.25">
      <c r="E29" s="1" t="s">
        <v>57</v>
      </c>
      <c r="F29">
        <f>F27/F28</f>
        <v>625</v>
      </c>
      <c r="G29" t="s">
        <v>17</v>
      </c>
    </row>
    <row r="31" spans="3:7" x14ac:dyDescent="0.25">
      <c r="C31" t="s">
        <v>59</v>
      </c>
      <c r="E31" s="1" t="s">
        <v>50</v>
      </c>
      <c r="F31">
        <f>2.5*4</f>
        <v>10</v>
      </c>
      <c r="G31" t="s">
        <v>51</v>
      </c>
    </row>
    <row r="32" spans="3:7" x14ac:dyDescent="0.25">
      <c r="E32" s="1" t="s">
        <v>52</v>
      </c>
      <c r="F32">
        <v>1000</v>
      </c>
      <c r="G32" t="s">
        <v>24</v>
      </c>
    </row>
    <row r="33" spans="2:7" x14ac:dyDescent="0.25">
      <c r="E33" s="1" t="s">
        <v>53</v>
      </c>
      <c r="F33">
        <f>F32*F31</f>
        <v>10000</v>
      </c>
      <c r="G33" t="s">
        <v>54</v>
      </c>
    </row>
    <row r="34" spans="2:7" x14ac:dyDescent="0.25">
      <c r="E34" s="1" t="s">
        <v>55</v>
      </c>
      <c r="F34" s="3">
        <v>17.5</v>
      </c>
      <c r="G34" t="s">
        <v>56</v>
      </c>
    </row>
    <row r="35" spans="2:7" x14ac:dyDescent="0.25">
      <c r="E35" s="1" t="s">
        <v>57</v>
      </c>
      <c r="F35" s="3">
        <f>F33/F34</f>
        <v>571.42857142857144</v>
      </c>
      <c r="G35" t="s">
        <v>17</v>
      </c>
    </row>
    <row r="37" spans="2:7" x14ac:dyDescent="0.25">
      <c r="B37" t="s">
        <v>36</v>
      </c>
      <c r="C37" t="s">
        <v>45</v>
      </c>
    </row>
    <row r="38" spans="2:7" x14ac:dyDescent="0.25">
      <c r="C38" t="s">
        <v>37</v>
      </c>
      <c r="D38" t="s">
        <v>39</v>
      </c>
      <c r="E38">
        <v>250</v>
      </c>
      <c r="F38" t="s">
        <v>17</v>
      </c>
    </row>
    <row r="39" spans="2:7" x14ac:dyDescent="0.25">
      <c r="C39" t="s">
        <v>38</v>
      </c>
      <c r="D39" t="s">
        <v>39</v>
      </c>
      <c r="E39">
        <v>250</v>
      </c>
      <c r="F39" t="s">
        <v>17</v>
      </c>
    </row>
    <row r="40" spans="2:7" x14ac:dyDescent="0.25">
      <c r="D40" t="s">
        <v>42</v>
      </c>
      <c r="E40">
        <v>250</v>
      </c>
      <c r="F40" t="s">
        <v>17</v>
      </c>
    </row>
    <row r="41" spans="2:7" x14ac:dyDescent="0.25">
      <c r="C41" t="s">
        <v>41</v>
      </c>
      <c r="D41" t="s">
        <v>40</v>
      </c>
      <c r="E41">
        <v>400</v>
      </c>
      <c r="F41" t="s">
        <v>17</v>
      </c>
    </row>
    <row r="42" spans="2:7" x14ac:dyDescent="0.25">
      <c r="D42" t="s">
        <v>42</v>
      </c>
      <c r="E42">
        <v>500</v>
      </c>
      <c r="F42" t="s">
        <v>17</v>
      </c>
    </row>
    <row r="43" spans="2:7" x14ac:dyDescent="0.25">
      <c r="C43" t="s">
        <v>43</v>
      </c>
      <c r="D43" t="s">
        <v>44</v>
      </c>
      <c r="E43">
        <v>200</v>
      </c>
      <c r="F43" t="s">
        <v>17</v>
      </c>
    </row>
    <row r="44" spans="2:7" x14ac:dyDescent="0.25">
      <c r="D44" t="s">
        <v>42</v>
      </c>
      <c r="E44">
        <v>200</v>
      </c>
      <c r="F44" t="s">
        <v>17</v>
      </c>
    </row>
    <row r="46" spans="2:7" x14ac:dyDescent="0.25">
      <c r="B46" t="s">
        <v>46</v>
      </c>
      <c r="C46" t="s">
        <v>47</v>
      </c>
    </row>
    <row r="47" spans="2:7" x14ac:dyDescent="0.25">
      <c r="D47" t="s">
        <v>48</v>
      </c>
      <c r="E47">
        <v>100</v>
      </c>
      <c r="F47" t="s">
        <v>17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C8BB5-FC77-4536-A322-F4303C8BB6BF}">
  <dimension ref="B1:L31"/>
  <sheetViews>
    <sheetView workbookViewId="0">
      <selection activeCell="G33" sqref="G33"/>
    </sheetView>
  </sheetViews>
  <sheetFormatPr baseColWidth="10" defaultRowHeight="15" x14ac:dyDescent="0.25"/>
  <sheetData>
    <row r="1" spans="2:12" x14ac:dyDescent="0.25">
      <c r="B1" t="s">
        <v>62</v>
      </c>
    </row>
    <row r="3" spans="2:12" x14ac:dyDescent="0.25">
      <c r="B3" t="s">
        <v>60</v>
      </c>
      <c r="C3">
        <v>1.4</v>
      </c>
      <c r="D3" t="s">
        <v>13</v>
      </c>
      <c r="E3">
        <v>1.4</v>
      </c>
      <c r="F3" t="s">
        <v>15</v>
      </c>
      <c r="G3">
        <v>1.7</v>
      </c>
      <c r="H3" t="s">
        <v>36</v>
      </c>
      <c r="I3">
        <v>1.7</v>
      </c>
      <c r="J3" t="s">
        <v>46</v>
      </c>
    </row>
    <row r="4" spans="2:12" x14ac:dyDescent="0.25">
      <c r="B4" t="s">
        <v>61</v>
      </c>
      <c r="C4">
        <v>1.4</v>
      </c>
      <c r="D4" t="s">
        <v>13</v>
      </c>
      <c r="E4">
        <v>1.4</v>
      </c>
      <c r="F4" t="s">
        <v>15</v>
      </c>
      <c r="G4">
        <v>1.7</v>
      </c>
      <c r="H4" t="s">
        <v>63</v>
      </c>
      <c r="I4">
        <v>1.7</v>
      </c>
      <c r="J4" t="s">
        <v>46</v>
      </c>
    </row>
    <row r="5" spans="2:12" x14ac:dyDescent="0.25">
      <c r="B5" t="s">
        <v>64</v>
      </c>
      <c r="C5">
        <v>1.4</v>
      </c>
      <c r="D5" t="s">
        <v>13</v>
      </c>
      <c r="E5">
        <v>1.4</v>
      </c>
      <c r="F5" t="s">
        <v>15</v>
      </c>
      <c r="G5">
        <v>1.7</v>
      </c>
      <c r="H5" t="s">
        <v>65</v>
      </c>
      <c r="I5">
        <v>1.7</v>
      </c>
      <c r="J5" t="s">
        <v>46</v>
      </c>
    </row>
    <row r="7" spans="2:12" x14ac:dyDescent="0.25">
      <c r="B7" t="s">
        <v>80</v>
      </c>
    </row>
    <row r="9" spans="2:12" x14ac:dyDescent="0.25">
      <c r="B9" t="s">
        <v>66</v>
      </c>
      <c r="C9">
        <v>1.25</v>
      </c>
      <c r="D9" t="s">
        <v>13</v>
      </c>
      <c r="E9">
        <v>1.25</v>
      </c>
      <c r="F9" t="s">
        <v>15</v>
      </c>
      <c r="G9">
        <v>1.25</v>
      </c>
      <c r="H9" t="s">
        <v>36</v>
      </c>
      <c r="I9">
        <v>1.25</v>
      </c>
      <c r="J9" t="s">
        <v>46</v>
      </c>
      <c r="K9" s="3">
        <v>1</v>
      </c>
      <c r="L9" t="s">
        <v>67</v>
      </c>
    </row>
    <row r="10" spans="2:12" x14ac:dyDescent="0.25">
      <c r="B10" t="s">
        <v>68</v>
      </c>
      <c r="C10">
        <v>1.25</v>
      </c>
      <c r="D10" t="s">
        <v>13</v>
      </c>
      <c r="E10">
        <v>1.25</v>
      </c>
      <c r="F10" t="s">
        <v>15</v>
      </c>
      <c r="G10">
        <v>1.25</v>
      </c>
      <c r="H10" t="s">
        <v>36</v>
      </c>
      <c r="I10">
        <v>1.25</v>
      </c>
      <c r="J10" t="s">
        <v>46</v>
      </c>
      <c r="K10" s="3">
        <v>-1</v>
      </c>
      <c r="L10" t="s">
        <v>67</v>
      </c>
    </row>
    <row r="11" spans="2:12" x14ac:dyDescent="0.25">
      <c r="B11" t="s">
        <v>69</v>
      </c>
      <c r="C11">
        <v>1.25</v>
      </c>
      <c r="D11" t="s">
        <v>13</v>
      </c>
      <c r="E11">
        <v>1.25</v>
      </c>
      <c r="F11" t="s">
        <v>15</v>
      </c>
      <c r="G11">
        <v>1.25</v>
      </c>
      <c r="H11" t="s">
        <v>36</v>
      </c>
      <c r="I11">
        <v>1.25</v>
      </c>
      <c r="J11" t="s">
        <v>46</v>
      </c>
      <c r="K11" s="3">
        <v>1</v>
      </c>
      <c r="L11" t="s">
        <v>79</v>
      </c>
    </row>
    <row r="12" spans="2:12" x14ac:dyDescent="0.25">
      <c r="B12" t="s">
        <v>70</v>
      </c>
      <c r="C12">
        <v>1.25</v>
      </c>
      <c r="D12" t="s">
        <v>13</v>
      </c>
      <c r="E12">
        <v>1.25</v>
      </c>
      <c r="F12" t="s">
        <v>15</v>
      </c>
      <c r="G12">
        <v>1.25</v>
      </c>
      <c r="H12" t="s">
        <v>36</v>
      </c>
      <c r="I12">
        <v>1.25</v>
      </c>
      <c r="J12" t="s">
        <v>46</v>
      </c>
      <c r="K12" s="3">
        <v>-1</v>
      </c>
      <c r="L12" t="s">
        <v>79</v>
      </c>
    </row>
    <row r="13" spans="2:12" x14ac:dyDescent="0.25">
      <c r="B13" t="s">
        <v>71</v>
      </c>
      <c r="C13">
        <v>1.25</v>
      </c>
      <c r="D13" t="s">
        <v>13</v>
      </c>
      <c r="E13">
        <v>1.25</v>
      </c>
      <c r="F13" t="s">
        <v>15</v>
      </c>
      <c r="G13">
        <v>1.25</v>
      </c>
      <c r="H13" t="s">
        <v>63</v>
      </c>
      <c r="I13">
        <v>1.25</v>
      </c>
      <c r="J13" t="s">
        <v>46</v>
      </c>
      <c r="K13" s="3">
        <v>1</v>
      </c>
      <c r="L13" t="s">
        <v>67</v>
      </c>
    </row>
    <row r="14" spans="2:12" x14ac:dyDescent="0.25">
      <c r="B14" t="s">
        <v>72</v>
      </c>
      <c r="C14">
        <v>1.25</v>
      </c>
      <c r="D14" t="s">
        <v>13</v>
      </c>
      <c r="E14">
        <v>1.25</v>
      </c>
      <c r="F14" t="s">
        <v>15</v>
      </c>
      <c r="G14">
        <v>1.25</v>
      </c>
      <c r="H14" t="s">
        <v>63</v>
      </c>
      <c r="I14">
        <v>1.25</v>
      </c>
      <c r="J14" t="s">
        <v>46</v>
      </c>
      <c r="K14" s="3">
        <v>-1</v>
      </c>
      <c r="L14" t="s">
        <v>67</v>
      </c>
    </row>
    <row r="15" spans="2:12" x14ac:dyDescent="0.25">
      <c r="B15" t="s">
        <v>73</v>
      </c>
      <c r="C15">
        <v>1.25</v>
      </c>
      <c r="D15" t="s">
        <v>13</v>
      </c>
      <c r="E15">
        <v>1.25</v>
      </c>
      <c r="F15" t="s">
        <v>15</v>
      </c>
      <c r="G15">
        <v>1.25</v>
      </c>
      <c r="H15" t="s">
        <v>63</v>
      </c>
      <c r="I15">
        <v>1.25</v>
      </c>
      <c r="J15" t="s">
        <v>46</v>
      </c>
      <c r="K15" s="3">
        <v>1</v>
      </c>
      <c r="L15" t="s">
        <v>79</v>
      </c>
    </row>
    <row r="16" spans="2:12" x14ac:dyDescent="0.25">
      <c r="B16" t="s">
        <v>74</v>
      </c>
      <c r="C16">
        <v>1.25</v>
      </c>
      <c r="D16" t="s">
        <v>13</v>
      </c>
      <c r="E16">
        <v>1.25</v>
      </c>
      <c r="F16" t="s">
        <v>15</v>
      </c>
      <c r="G16">
        <v>1.25</v>
      </c>
      <c r="H16" t="s">
        <v>63</v>
      </c>
      <c r="I16">
        <v>1.25</v>
      </c>
      <c r="J16" t="s">
        <v>46</v>
      </c>
      <c r="K16" s="3">
        <v>-1</v>
      </c>
      <c r="L16" t="s">
        <v>79</v>
      </c>
    </row>
    <row r="17" spans="2:12" x14ac:dyDescent="0.25">
      <c r="B17" t="s">
        <v>75</v>
      </c>
      <c r="C17">
        <v>1.25</v>
      </c>
      <c r="D17" t="s">
        <v>13</v>
      </c>
      <c r="E17">
        <v>1.25</v>
      </c>
      <c r="F17" t="s">
        <v>15</v>
      </c>
      <c r="G17">
        <v>1.25</v>
      </c>
      <c r="H17" t="s">
        <v>65</v>
      </c>
      <c r="I17">
        <v>1.25</v>
      </c>
      <c r="J17" t="s">
        <v>46</v>
      </c>
      <c r="K17" s="3">
        <v>1</v>
      </c>
      <c r="L17" t="s">
        <v>67</v>
      </c>
    </row>
    <row r="18" spans="2:12" x14ac:dyDescent="0.25">
      <c r="B18" t="s">
        <v>76</v>
      </c>
      <c r="C18">
        <v>1.25</v>
      </c>
      <c r="D18" t="s">
        <v>13</v>
      </c>
      <c r="E18">
        <v>1.25</v>
      </c>
      <c r="F18" t="s">
        <v>15</v>
      </c>
      <c r="G18">
        <v>1.25</v>
      </c>
      <c r="H18" t="s">
        <v>65</v>
      </c>
      <c r="I18">
        <v>1.25</v>
      </c>
      <c r="J18" t="s">
        <v>46</v>
      </c>
      <c r="K18" s="3">
        <v>-1</v>
      </c>
      <c r="L18" t="s">
        <v>67</v>
      </c>
    </row>
    <row r="19" spans="2:12" x14ac:dyDescent="0.25">
      <c r="B19" t="s">
        <v>77</v>
      </c>
      <c r="C19">
        <v>1.25</v>
      </c>
      <c r="D19" t="s">
        <v>13</v>
      </c>
      <c r="E19">
        <v>1.25</v>
      </c>
      <c r="F19" t="s">
        <v>15</v>
      </c>
      <c r="G19">
        <v>1.25</v>
      </c>
      <c r="H19" t="s">
        <v>65</v>
      </c>
      <c r="I19">
        <v>1.25</v>
      </c>
      <c r="J19" t="s">
        <v>46</v>
      </c>
      <c r="K19" s="3">
        <v>1</v>
      </c>
      <c r="L19" t="s">
        <v>79</v>
      </c>
    </row>
    <row r="20" spans="2:12" x14ac:dyDescent="0.25">
      <c r="B20" t="s">
        <v>78</v>
      </c>
      <c r="C20">
        <v>1.25</v>
      </c>
      <c r="D20" t="s">
        <v>13</v>
      </c>
      <c r="E20">
        <v>1.25</v>
      </c>
      <c r="F20" t="s">
        <v>15</v>
      </c>
      <c r="G20">
        <v>1.25</v>
      </c>
      <c r="H20" t="s">
        <v>65</v>
      </c>
      <c r="I20">
        <v>1.25</v>
      </c>
      <c r="J20" t="s">
        <v>46</v>
      </c>
      <c r="K20" s="3">
        <v>-1</v>
      </c>
      <c r="L20" t="s">
        <v>79</v>
      </c>
    </row>
    <row r="22" spans="2:12" x14ac:dyDescent="0.25">
      <c r="B22" t="s">
        <v>81</v>
      </c>
    </row>
    <row r="24" spans="2:12" x14ac:dyDescent="0.25">
      <c r="B24" t="s">
        <v>82</v>
      </c>
      <c r="C24">
        <v>0.9</v>
      </c>
      <c r="D24" t="s">
        <v>13</v>
      </c>
      <c r="E24">
        <v>0.9</v>
      </c>
      <c r="F24" t="s">
        <v>15</v>
      </c>
      <c r="G24" s="3">
        <v>1</v>
      </c>
      <c r="H24" t="s">
        <v>67</v>
      </c>
    </row>
    <row r="25" spans="2:12" x14ac:dyDescent="0.25">
      <c r="B25" t="s">
        <v>83</v>
      </c>
      <c r="C25">
        <v>0.9</v>
      </c>
      <c r="D25" t="s">
        <v>13</v>
      </c>
      <c r="E25">
        <v>0.9</v>
      </c>
      <c r="F25" t="s">
        <v>15</v>
      </c>
      <c r="G25" s="3">
        <v>-1</v>
      </c>
      <c r="H25" t="s">
        <v>67</v>
      </c>
    </row>
    <row r="26" spans="2:12" x14ac:dyDescent="0.25">
      <c r="B26" t="s">
        <v>84</v>
      </c>
      <c r="C26">
        <v>0.9</v>
      </c>
      <c r="D26" t="s">
        <v>13</v>
      </c>
      <c r="E26">
        <v>0.9</v>
      </c>
      <c r="F26" t="s">
        <v>15</v>
      </c>
      <c r="G26" s="3">
        <v>1</v>
      </c>
      <c r="H26" t="s">
        <v>79</v>
      </c>
    </row>
    <row r="27" spans="2:12" x14ac:dyDescent="0.25">
      <c r="B27" t="s">
        <v>85</v>
      </c>
      <c r="C27">
        <v>0.9</v>
      </c>
      <c r="D27" t="s">
        <v>13</v>
      </c>
      <c r="E27">
        <v>0.9</v>
      </c>
      <c r="F27" t="s">
        <v>15</v>
      </c>
      <c r="G27" s="3">
        <v>-1</v>
      </c>
      <c r="H27" t="s">
        <v>79</v>
      </c>
    </row>
    <row r="29" spans="2:12" x14ac:dyDescent="0.25">
      <c r="B29" t="s">
        <v>86</v>
      </c>
    </row>
    <row r="31" spans="2:12" x14ac:dyDescent="0.25">
      <c r="B31" t="s">
        <v>87</v>
      </c>
      <c r="C31" t="s">
        <v>88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276B0-AFA8-4699-913D-49CA73E1DC91}">
  <dimension ref="A2:M254"/>
  <sheetViews>
    <sheetView topLeftCell="A234" zoomScale="120" zoomScaleNormal="120" workbookViewId="0">
      <selection activeCell="B251" sqref="B251"/>
    </sheetView>
  </sheetViews>
  <sheetFormatPr baseColWidth="10" defaultRowHeight="15" x14ac:dyDescent="0.25"/>
  <cols>
    <col min="1" max="1" width="6.85546875" customWidth="1"/>
    <col min="2" max="2" width="12.42578125" customWidth="1"/>
    <col min="3" max="3" width="12.5703125" customWidth="1"/>
    <col min="7" max="7" width="12.5703125" customWidth="1"/>
  </cols>
  <sheetData>
    <row r="2" spans="1:7" x14ac:dyDescent="0.25">
      <c r="A2" s="6">
        <v>1</v>
      </c>
      <c r="B2" s="6" t="s">
        <v>89</v>
      </c>
    </row>
    <row r="8" spans="1:7" x14ac:dyDescent="0.25">
      <c r="B8" s="15" t="s">
        <v>95</v>
      </c>
      <c r="C8" s="16"/>
      <c r="D8" s="16"/>
      <c r="E8" s="16"/>
      <c r="F8" s="17"/>
    </row>
    <row r="9" spans="1:7" x14ac:dyDescent="0.25">
      <c r="B9" s="8" t="s">
        <v>96</v>
      </c>
      <c r="C9" s="8" t="s">
        <v>97</v>
      </c>
      <c r="D9" s="8" t="s">
        <v>98</v>
      </c>
      <c r="E9" s="9" t="s">
        <v>99</v>
      </c>
      <c r="F9" s="9" t="s">
        <v>100</v>
      </c>
    </row>
    <row r="10" spans="1:7" x14ac:dyDescent="0.25">
      <c r="B10" s="10" t="s">
        <v>101</v>
      </c>
      <c r="C10" s="10" t="s">
        <v>101</v>
      </c>
      <c r="D10" s="10" t="s">
        <v>101</v>
      </c>
      <c r="E10" s="11" t="s">
        <v>102</v>
      </c>
      <c r="F10" s="11" t="s">
        <v>102</v>
      </c>
    </row>
    <row r="11" spans="1:7" x14ac:dyDescent="0.25">
      <c r="B11" s="13" t="s">
        <v>90</v>
      </c>
      <c r="C11" s="13" t="s">
        <v>91</v>
      </c>
      <c r="D11" s="13" t="s">
        <v>92</v>
      </c>
      <c r="E11" s="14">
        <v>100</v>
      </c>
      <c r="F11" s="14">
        <v>98.207999999999998</v>
      </c>
      <c r="G11" s="18" t="str">
        <f>IF(F11&gt;90,"OK","ERROR")</f>
        <v>OK</v>
      </c>
    </row>
    <row r="12" spans="1:7" x14ac:dyDescent="0.25">
      <c r="B12" s="13" t="s">
        <v>90</v>
      </c>
      <c r="C12" s="13" t="s">
        <v>91</v>
      </c>
      <c r="D12" s="13" t="s">
        <v>93</v>
      </c>
      <c r="E12" s="14">
        <v>100</v>
      </c>
      <c r="F12" s="14">
        <v>97.452500000000001</v>
      </c>
      <c r="G12" s="18" t="str">
        <f>IF(F12&gt;90,"OK","ERROR")</f>
        <v>OK</v>
      </c>
    </row>
    <row r="13" spans="1:7" x14ac:dyDescent="0.25">
      <c r="B13" s="13" t="s">
        <v>90</v>
      </c>
      <c r="C13" s="13" t="s">
        <v>91</v>
      </c>
      <c r="D13" s="13" t="s">
        <v>94</v>
      </c>
      <c r="E13" s="14">
        <v>0</v>
      </c>
      <c r="F13" s="14">
        <v>0</v>
      </c>
    </row>
    <row r="16" spans="1:7" x14ac:dyDescent="0.25">
      <c r="A16" s="6">
        <v>2</v>
      </c>
      <c r="B16" s="19" t="s">
        <v>103</v>
      </c>
    </row>
    <row r="35" spans="2:8" x14ac:dyDescent="0.25">
      <c r="B35" s="6" t="s">
        <v>104</v>
      </c>
    </row>
    <row r="37" spans="2:8" s="7" customFormat="1" ht="18" x14ac:dyDescent="0.3">
      <c r="B37" s="21" t="s">
        <v>115</v>
      </c>
      <c r="C37" s="21" t="s">
        <v>116</v>
      </c>
      <c r="D37" s="21" t="s">
        <v>117</v>
      </c>
      <c r="E37" s="29" t="s">
        <v>120</v>
      </c>
      <c r="F37" s="28" t="s">
        <v>119</v>
      </c>
      <c r="G37" s="28" t="s">
        <v>121</v>
      </c>
    </row>
    <row r="38" spans="2:8" x14ac:dyDescent="0.25">
      <c r="B38" s="20" t="s">
        <v>106</v>
      </c>
      <c r="C38" s="14" t="s">
        <v>107</v>
      </c>
      <c r="D38" s="25">
        <v>9.9721189999999993</v>
      </c>
      <c r="E38" s="25">
        <f t="shared" ref="E38:E44" si="0">D38-D39</f>
        <v>1.9687899999999985</v>
      </c>
      <c r="F38" s="14">
        <v>300</v>
      </c>
      <c r="G38" s="24">
        <f>E38/F38</f>
        <v>6.562633333333328E-3</v>
      </c>
      <c r="H38" s="18" t="str">
        <f>IF(G38&lt;0.007,"OK","ERROR")</f>
        <v>OK</v>
      </c>
    </row>
    <row r="39" spans="2:8" x14ac:dyDescent="0.25">
      <c r="B39" s="20"/>
      <c r="C39" s="14" t="s">
        <v>108</v>
      </c>
      <c r="D39" s="25">
        <v>8.0033290000000008</v>
      </c>
      <c r="E39" s="25">
        <f t="shared" si="0"/>
        <v>1.9466740000000007</v>
      </c>
      <c r="F39" s="14">
        <v>300</v>
      </c>
      <c r="G39" s="24">
        <f t="shared" ref="G39:G45" si="1">E39/F39</f>
        <v>6.4889133333333356E-3</v>
      </c>
      <c r="H39" s="18" t="str">
        <f t="shared" ref="H39:H45" si="2">IF(G39&lt;0.007,"OK","ERROR")</f>
        <v>OK</v>
      </c>
    </row>
    <row r="40" spans="2:8" x14ac:dyDescent="0.25">
      <c r="B40" s="20"/>
      <c r="C40" s="14" t="s">
        <v>109</v>
      </c>
      <c r="D40" s="25">
        <v>6.0566550000000001</v>
      </c>
      <c r="E40" s="25">
        <f t="shared" si="0"/>
        <v>1.8679930000000002</v>
      </c>
      <c r="F40" s="14">
        <v>300</v>
      </c>
      <c r="G40" s="24">
        <f t="shared" si="1"/>
        <v>6.2266433333333345E-3</v>
      </c>
      <c r="H40" s="18" t="str">
        <f t="shared" si="2"/>
        <v>OK</v>
      </c>
    </row>
    <row r="41" spans="2:8" x14ac:dyDescent="0.25">
      <c r="B41" s="20"/>
      <c r="C41" s="14" t="s">
        <v>110</v>
      </c>
      <c r="D41" s="25">
        <v>4.1886619999999999</v>
      </c>
      <c r="E41" s="25">
        <f t="shared" si="0"/>
        <v>1.7077589999999998</v>
      </c>
      <c r="F41" s="14">
        <v>300</v>
      </c>
      <c r="G41" s="24">
        <f t="shared" si="1"/>
        <v>5.6925299999999995E-3</v>
      </c>
      <c r="H41" s="18" t="str">
        <f t="shared" si="2"/>
        <v>OK</v>
      </c>
    </row>
    <row r="42" spans="2:8" x14ac:dyDescent="0.25">
      <c r="B42" s="20"/>
      <c r="C42" s="14" t="s">
        <v>111</v>
      </c>
      <c r="D42" s="25">
        <v>2.4809030000000001</v>
      </c>
      <c r="E42" s="25">
        <f t="shared" si="0"/>
        <v>1.4291070000000001</v>
      </c>
      <c r="F42" s="14">
        <v>300</v>
      </c>
      <c r="G42" s="24">
        <f t="shared" si="1"/>
        <v>4.7636900000000001E-3</v>
      </c>
      <c r="H42" s="18" t="str">
        <f t="shared" si="2"/>
        <v>OK</v>
      </c>
    </row>
    <row r="43" spans="2:8" x14ac:dyDescent="0.25">
      <c r="B43" s="20"/>
      <c r="C43" s="14" t="s">
        <v>112</v>
      </c>
      <c r="D43" s="25">
        <v>1.051796</v>
      </c>
      <c r="E43" s="25">
        <f t="shared" si="0"/>
        <v>0.95858299999999996</v>
      </c>
      <c r="F43" s="14">
        <v>300</v>
      </c>
      <c r="G43" s="24">
        <f t="shared" si="1"/>
        <v>3.1952766666666667E-3</v>
      </c>
      <c r="H43" s="18" t="str">
        <f t="shared" si="2"/>
        <v>OK</v>
      </c>
    </row>
    <row r="44" spans="2:8" x14ac:dyDescent="0.25">
      <c r="B44" s="20"/>
      <c r="C44" s="14" t="s">
        <v>113</v>
      </c>
      <c r="D44" s="25">
        <v>9.3213000000000004E-2</v>
      </c>
      <c r="E44" s="25">
        <f t="shared" si="0"/>
        <v>9.3213000000000004E-2</v>
      </c>
      <c r="F44" s="14">
        <v>280</v>
      </c>
      <c r="G44" s="24">
        <f t="shared" si="1"/>
        <v>3.3290357142857146E-4</v>
      </c>
      <c r="H44" s="18" t="str">
        <f t="shared" si="2"/>
        <v>OK</v>
      </c>
    </row>
    <row r="45" spans="2:8" x14ac:dyDescent="0.25">
      <c r="B45" s="20"/>
      <c r="C45" s="14" t="s">
        <v>114</v>
      </c>
      <c r="D45" s="25">
        <v>0</v>
      </c>
      <c r="E45" s="25">
        <f>D45-D46</f>
        <v>0</v>
      </c>
      <c r="F45" s="14">
        <v>280</v>
      </c>
      <c r="G45" s="24">
        <f t="shared" si="1"/>
        <v>0</v>
      </c>
      <c r="H45" s="18" t="str">
        <f t="shared" si="2"/>
        <v>OK</v>
      </c>
    </row>
    <row r="46" spans="2:8" x14ac:dyDescent="0.25">
      <c r="B46" s="20"/>
      <c r="C46" s="23" t="s">
        <v>118</v>
      </c>
      <c r="D46" s="25">
        <v>0</v>
      </c>
      <c r="E46" s="12"/>
      <c r="F46" s="12"/>
      <c r="G46" s="12"/>
    </row>
    <row r="47" spans="2:8" x14ac:dyDescent="0.25">
      <c r="B47" s="20" t="s">
        <v>122</v>
      </c>
      <c r="C47" s="23" t="s">
        <v>123</v>
      </c>
      <c r="D47" s="25">
        <v>16.478505999999999</v>
      </c>
      <c r="E47" s="25">
        <f t="shared" ref="E47:E50" si="3">D47-D48</f>
        <v>1.7662889999999987</v>
      </c>
      <c r="F47" s="14">
        <v>300</v>
      </c>
      <c r="G47" s="24">
        <f t="shared" ref="G47:G50" si="4">E47/F47</f>
        <v>5.8876299999999953E-3</v>
      </c>
      <c r="H47" s="18" t="str">
        <f t="shared" ref="H47:H50" si="5">IF(G47&lt;0.007,"OK","ERROR")</f>
        <v>OK</v>
      </c>
    </row>
    <row r="48" spans="2:8" s="26" customFormat="1" x14ac:dyDescent="0.25">
      <c r="B48" s="20"/>
      <c r="C48" s="23" t="s">
        <v>124</v>
      </c>
      <c r="D48" s="25">
        <v>14.712217000000001</v>
      </c>
      <c r="E48" s="25">
        <f t="shared" si="3"/>
        <v>1.8126260000000016</v>
      </c>
      <c r="F48" s="14">
        <v>300</v>
      </c>
      <c r="G48" s="24">
        <f t="shared" si="4"/>
        <v>6.0420866666666719E-3</v>
      </c>
      <c r="H48" s="18" t="str">
        <f t="shared" si="5"/>
        <v>OK</v>
      </c>
    </row>
    <row r="49" spans="2:8" s="26" customFormat="1" x14ac:dyDescent="0.25">
      <c r="B49" s="20"/>
      <c r="C49" s="23" t="s">
        <v>125</v>
      </c>
      <c r="D49" s="25">
        <v>12.899590999999999</v>
      </c>
      <c r="E49" s="25">
        <f t="shared" si="3"/>
        <v>1.8468579999999992</v>
      </c>
      <c r="F49" s="14">
        <v>300</v>
      </c>
      <c r="G49" s="24">
        <f t="shared" si="4"/>
        <v>6.1561933333333305E-3</v>
      </c>
      <c r="H49" s="18" t="str">
        <f t="shared" si="5"/>
        <v>OK</v>
      </c>
    </row>
    <row r="50" spans="2:8" s="26" customFormat="1" x14ac:dyDescent="0.25">
      <c r="B50" s="20"/>
      <c r="C50" s="23" t="s">
        <v>126</v>
      </c>
      <c r="D50" s="25">
        <v>11.052733</v>
      </c>
      <c r="E50" s="25">
        <f t="shared" si="3"/>
        <v>1.8554539999999999</v>
      </c>
      <c r="F50" s="14">
        <v>300</v>
      </c>
      <c r="G50" s="24">
        <f t="shared" si="4"/>
        <v>6.1848466666666662E-3</v>
      </c>
      <c r="H50" s="18" t="str">
        <f t="shared" si="5"/>
        <v>OK</v>
      </c>
    </row>
    <row r="51" spans="2:8" s="26" customFormat="1" x14ac:dyDescent="0.25">
      <c r="B51" s="20"/>
      <c r="C51" s="14" t="s">
        <v>107</v>
      </c>
      <c r="D51" s="25">
        <v>9.197279</v>
      </c>
      <c r="E51" s="25">
        <f t="shared" ref="E51:E57" si="6">D51-D52</f>
        <v>1.8218949999999996</v>
      </c>
      <c r="F51" s="14">
        <v>300</v>
      </c>
      <c r="G51" s="24">
        <f>E51/F51</f>
        <v>6.072983333333332E-3</v>
      </c>
      <c r="H51" s="18" t="str">
        <f>IF(G51&lt;0.007,"OK","ERROR")</f>
        <v>OK</v>
      </c>
    </row>
    <row r="52" spans="2:8" s="26" customFormat="1" x14ac:dyDescent="0.25">
      <c r="B52" s="20"/>
      <c r="C52" s="14" t="s">
        <v>108</v>
      </c>
      <c r="D52" s="25">
        <v>7.3753840000000004</v>
      </c>
      <c r="E52" s="25">
        <f t="shared" si="6"/>
        <v>1.7981220000000002</v>
      </c>
      <c r="F52" s="14">
        <v>300</v>
      </c>
      <c r="G52" s="24">
        <f t="shared" ref="G52:G58" si="7">E52/F52</f>
        <v>5.9937400000000009E-3</v>
      </c>
      <c r="H52" s="18" t="str">
        <f t="shared" ref="H52:H58" si="8">IF(G52&lt;0.007,"OK","ERROR")</f>
        <v>OK</v>
      </c>
    </row>
    <row r="53" spans="2:8" s="26" customFormat="1" x14ac:dyDescent="0.25">
      <c r="B53" s="20"/>
      <c r="C53" s="14" t="s">
        <v>109</v>
      </c>
      <c r="D53" s="25">
        <v>5.5772620000000002</v>
      </c>
      <c r="E53" s="25">
        <f t="shared" si="6"/>
        <v>1.7224150000000003</v>
      </c>
      <c r="F53" s="14">
        <v>300</v>
      </c>
      <c r="G53" s="24">
        <f t="shared" si="7"/>
        <v>5.7413833333333341E-3</v>
      </c>
      <c r="H53" s="18" t="str">
        <f t="shared" si="8"/>
        <v>OK</v>
      </c>
    </row>
    <row r="54" spans="2:8" s="26" customFormat="1" x14ac:dyDescent="0.25">
      <c r="B54" s="20"/>
      <c r="C54" s="14" t="s">
        <v>110</v>
      </c>
      <c r="D54" s="25">
        <v>3.8548469999999999</v>
      </c>
      <c r="E54" s="25">
        <f t="shared" si="6"/>
        <v>1.571917</v>
      </c>
      <c r="F54" s="14">
        <v>300</v>
      </c>
      <c r="G54" s="24">
        <f t="shared" si="7"/>
        <v>5.2397233333333331E-3</v>
      </c>
      <c r="H54" s="18" t="str">
        <f t="shared" si="8"/>
        <v>OK</v>
      </c>
    </row>
    <row r="55" spans="2:8" s="26" customFormat="1" x14ac:dyDescent="0.25">
      <c r="B55" s="20"/>
      <c r="C55" s="14" t="s">
        <v>111</v>
      </c>
      <c r="D55" s="25">
        <v>2.2829299999999999</v>
      </c>
      <c r="E55" s="25">
        <f t="shared" si="6"/>
        <v>1.313002</v>
      </c>
      <c r="F55" s="14">
        <v>300</v>
      </c>
      <c r="G55" s="24">
        <f t="shared" si="7"/>
        <v>4.3766733333333334E-3</v>
      </c>
      <c r="H55" s="18" t="str">
        <f t="shared" si="8"/>
        <v>OK</v>
      </c>
    </row>
    <row r="56" spans="2:8" x14ac:dyDescent="0.25">
      <c r="B56" s="20"/>
      <c r="C56" s="14" t="s">
        <v>112</v>
      </c>
      <c r="D56" s="25">
        <v>0.96992800000000001</v>
      </c>
      <c r="E56" s="25">
        <f t="shared" si="6"/>
        <v>0.87936000000000003</v>
      </c>
      <c r="F56" s="14">
        <v>300</v>
      </c>
      <c r="G56" s="24">
        <f t="shared" si="7"/>
        <v>2.9312000000000001E-3</v>
      </c>
      <c r="H56" s="18" t="str">
        <f t="shared" si="8"/>
        <v>OK</v>
      </c>
    </row>
    <row r="57" spans="2:8" x14ac:dyDescent="0.25">
      <c r="B57" s="20"/>
      <c r="C57" s="14" t="s">
        <v>113</v>
      </c>
      <c r="D57" s="25">
        <v>9.0567999999999996E-2</v>
      </c>
      <c r="E57" s="25">
        <f t="shared" si="6"/>
        <v>9.0567999999999996E-2</v>
      </c>
      <c r="F57" s="14">
        <v>280</v>
      </c>
      <c r="G57" s="24">
        <f t="shared" si="7"/>
        <v>3.2345714285714287E-4</v>
      </c>
      <c r="H57" s="18" t="str">
        <f t="shared" si="8"/>
        <v>OK</v>
      </c>
    </row>
    <row r="58" spans="2:8" x14ac:dyDescent="0.25">
      <c r="B58" s="20"/>
      <c r="C58" s="14" t="s">
        <v>114</v>
      </c>
      <c r="D58" s="25">
        <v>0</v>
      </c>
      <c r="E58" s="25">
        <f>D58-D59</f>
        <v>0</v>
      </c>
      <c r="F58" s="14">
        <v>280</v>
      </c>
      <c r="G58" s="24">
        <f t="shared" si="7"/>
        <v>0</v>
      </c>
      <c r="H58" s="18" t="str">
        <f t="shared" si="8"/>
        <v>OK</v>
      </c>
    </row>
    <row r="59" spans="2:8" x14ac:dyDescent="0.25">
      <c r="B59" s="20"/>
      <c r="C59" s="23" t="s">
        <v>118</v>
      </c>
      <c r="D59" s="25">
        <v>0</v>
      </c>
      <c r="E59" s="12"/>
      <c r="F59" s="12"/>
      <c r="G59" s="12"/>
      <c r="H59" s="26"/>
    </row>
    <row r="60" spans="2:8" s="34" customFormat="1" x14ac:dyDescent="0.25">
      <c r="B60" s="20" t="s">
        <v>127</v>
      </c>
      <c r="C60" s="23" t="s">
        <v>123</v>
      </c>
      <c r="D60" s="25">
        <v>16.505413999999998</v>
      </c>
      <c r="E60" s="25">
        <f t="shared" ref="E60:E70" si="9">D60-D61</f>
        <v>1.7735819999999975</v>
      </c>
      <c r="F60" s="14">
        <v>300</v>
      </c>
      <c r="G60" s="24">
        <f t="shared" ref="G60:G63" si="10">E60/F60</f>
        <v>5.9119399999999914E-3</v>
      </c>
      <c r="H60" s="18" t="str">
        <f t="shared" ref="H60:H63" si="11">IF(G60&lt;0.007,"OK","ERROR")</f>
        <v>OK</v>
      </c>
    </row>
    <row r="61" spans="2:8" s="34" customFormat="1" x14ac:dyDescent="0.25">
      <c r="B61" s="20"/>
      <c r="C61" s="23" t="s">
        <v>124</v>
      </c>
      <c r="D61" s="25">
        <v>14.731832000000001</v>
      </c>
      <c r="E61" s="25">
        <f t="shared" si="9"/>
        <v>1.8190249999999999</v>
      </c>
      <c r="F61" s="14">
        <v>300</v>
      </c>
      <c r="G61" s="24">
        <f t="shared" si="10"/>
        <v>6.0634166666666666E-3</v>
      </c>
      <c r="H61" s="18" t="str">
        <f t="shared" si="11"/>
        <v>OK</v>
      </c>
    </row>
    <row r="62" spans="2:8" s="34" customFormat="1" x14ac:dyDescent="0.25">
      <c r="B62" s="20"/>
      <c r="C62" s="23" t="s">
        <v>125</v>
      </c>
      <c r="D62" s="25">
        <v>12.912807000000001</v>
      </c>
      <c r="E62" s="25">
        <f t="shared" si="9"/>
        <v>1.8522220000000011</v>
      </c>
      <c r="F62" s="14">
        <v>300</v>
      </c>
      <c r="G62" s="24">
        <f t="shared" si="10"/>
        <v>6.174073333333337E-3</v>
      </c>
      <c r="H62" s="18" t="str">
        <f t="shared" si="11"/>
        <v>OK</v>
      </c>
    </row>
    <row r="63" spans="2:8" s="34" customFormat="1" x14ac:dyDescent="0.25">
      <c r="B63" s="20"/>
      <c r="C63" s="23" t="s">
        <v>126</v>
      </c>
      <c r="D63" s="25">
        <v>11.060585</v>
      </c>
      <c r="E63" s="25">
        <f t="shared" si="9"/>
        <v>1.8597479999999997</v>
      </c>
      <c r="F63" s="14">
        <v>300</v>
      </c>
      <c r="G63" s="24">
        <f t="shared" si="10"/>
        <v>6.1991599999999987E-3</v>
      </c>
      <c r="H63" s="18" t="str">
        <f t="shared" si="11"/>
        <v>OK</v>
      </c>
    </row>
    <row r="64" spans="2:8" s="34" customFormat="1" x14ac:dyDescent="0.25">
      <c r="B64" s="20"/>
      <c r="C64" s="14" t="s">
        <v>107</v>
      </c>
      <c r="D64" s="25">
        <v>9.2008369999999999</v>
      </c>
      <c r="E64" s="25">
        <f t="shared" si="9"/>
        <v>1.8249599999999999</v>
      </c>
      <c r="F64" s="14">
        <v>300</v>
      </c>
      <c r="G64" s="24">
        <f>E64/F64</f>
        <v>6.0831999999999995E-3</v>
      </c>
      <c r="H64" s="18" t="str">
        <f>IF(G64&lt;0.007,"OK","ERROR")</f>
        <v>OK</v>
      </c>
    </row>
    <row r="65" spans="2:8" s="34" customFormat="1" x14ac:dyDescent="0.25">
      <c r="B65" s="20"/>
      <c r="C65" s="14" t="s">
        <v>108</v>
      </c>
      <c r="D65" s="25">
        <v>7.375877</v>
      </c>
      <c r="E65" s="25">
        <f t="shared" si="9"/>
        <v>1.8002760000000002</v>
      </c>
      <c r="F65" s="14">
        <v>300</v>
      </c>
      <c r="G65" s="24">
        <f t="shared" ref="G65:G71" si="12">E65/F65</f>
        <v>6.0009200000000007E-3</v>
      </c>
      <c r="H65" s="18" t="str">
        <f t="shared" ref="H65:H71" si="13">IF(G65&lt;0.007,"OK","ERROR")</f>
        <v>OK</v>
      </c>
    </row>
    <row r="66" spans="2:8" s="34" customFormat="1" x14ac:dyDescent="0.25">
      <c r="B66" s="20"/>
      <c r="C66" s="14" t="s">
        <v>109</v>
      </c>
      <c r="D66" s="25">
        <v>5.5756009999999998</v>
      </c>
      <c r="E66" s="25">
        <f t="shared" si="9"/>
        <v>1.7235289999999996</v>
      </c>
      <c r="F66" s="14">
        <v>300</v>
      </c>
      <c r="G66" s="24">
        <f t="shared" si="12"/>
        <v>5.7450966666666653E-3</v>
      </c>
      <c r="H66" s="18" t="str">
        <f t="shared" si="13"/>
        <v>OK</v>
      </c>
    </row>
    <row r="67" spans="2:8" s="34" customFormat="1" x14ac:dyDescent="0.25">
      <c r="B67" s="20"/>
      <c r="C67" s="14" t="s">
        <v>110</v>
      </c>
      <c r="D67" s="25">
        <v>3.8520720000000002</v>
      </c>
      <c r="E67" s="25">
        <f t="shared" si="9"/>
        <v>1.5719820000000002</v>
      </c>
      <c r="F67" s="14">
        <v>300</v>
      </c>
      <c r="G67" s="24">
        <f t="shared" si="12"/>
        <v>5.2399400000000011E-3</v>
      </c>
      <c r="H67" s="18" t="str">
        <f t="shared" si="13"/>
        <v>OK</v>
      </c>
    </row>
    <row r="68" spans="2:8" s="34" customFormat="1" x14ac:dyDescent="0.25">
      <c r="B68" s="20"/>
      <c r="C68" s="14" t="s">
        <v>111</v>
      </c>
      <c r="D68" s="25">
        <v>2.28009</v>
      </c>
      <c r="E68" s="25">
        <f t="shared" si="9"/>
        <v>1.3120449999999999</v>
      </c>
      <c r="F68" s="14">
        <v>300</v>
      </c>
      <c r="G68" s="24">
        <f t="shared" si="12"/>
        <v>4.3734833333333332E-3</v>
      </c>
      <c r="H68" s="18" t="str">
        <f t="shared" si="13"/>
        <v>OK</v>
      </c>
    </row>
    <row r="69" spans="2:8" s="34" customFormat="1" x14ac:dyDescent="0.25">
      <c r="B69" s="20"/>
      <c r="C69" s="14" t="s">
        <v>112</v>
      </c>
      <c r="D69" s="25">
        <v>0.96804500000000004</v>
      </c>
      <c r="E69" s="25">
        <f t="shared" si="9"/>
        <v>0.87747300000000006</v>
      </c>
      <c r="F69" s="14">
        <v>300</v>
      </c>
      <c r="G69" s="24">
        <f t="shared" si="12"/>
        <v>2.9249100000000002E-3</v>
      </c>
      <c r="H69" s="18" t="str">
        <f t="shared" si="13"/>
        <v>OK</v>
      </c>
    </row>
    <row r="70" spans="2:8" s="34" customFormat="1" x14ac:dyDescent="0.25">
      <c r="B70" s="20"/>
      <c r="C70" s="14" t="s">
        <v>113</v>
      </c>
      <c r="D70" s="25">
        <v>9.0572E-2</v>
      </c>
      <c r="E70" s="25">
        <f t="shared" si="9"/>
        <v>9.0572E-2</v>
      </c>
      <c r="F70" s="14">
        <v>280</v>
      </c>
      <c r="G70" s="24">
        <f t="shared" si="12"/>
        <v>3.234714285714286E-4</v>
      </c>
      <c r="H70" s="18" t="str">
        <f t="shared" si="13"/>
        <v>OK</v>
      </c>
    </row>
    <row r="71" spans="2:8" s="34" customFormat="1" x14ac:dyDescent="0.25">
      <c r="B71" s="20"/>
      <c r="C71" s="14" t="s">
        <v>114</v>
      </c>
      <c r="D71" s="25">
        <v>0</v>
      </c>
      <c r="E71" s="25">
        <f>D71-D72</f>
        <v>0</v>
      </c>
      <c r="F71" s="14">
        <v>280</v>
      </c>
      <c r="G71" s="24">
        <f t="shared" si="12"/>
        <v>0</v>
      </c>
      <c r="H71" s="18" t="str">
        <f t="shared" si="13"/>
        <v>OK</v>
      </c>
    </row>
    <row r="72" spans="2:8" s="34" customFormat="1" x14ac:dyDescent="0.25">
      <c r="B72" s="20"/>
      <c r="C72" s="23" t="s">
        <v>118</v>
      </c>
      <c r="D72" s="25">
        <v>0</v>
      </c>
      <c r="E72" s="12"/>
      <c r="F72" s="12"/>
      <c r="G72" s="12"/>
    </row>
    <row r="73" spans="2:8" s="36" customFormat="1" x14ac:dyDescent="0.25">
      <c r="B73" s="20" t="s">
        <v>128</v>
      </c>
      <c r="C73" s="14" t="s">
        <v>113</v>
      </c>
      <c r="D73" s="27">
        <v>9.3187999999999993E-2</v>
      </c>
      <c r="E73" s="25">
        <f t="shared" ref="E73" si="14">D73-D74</f>
        <v>9.3187999999999993E-2</v>
      </c>
      <c r="F73" s="14">
        <v>280</v>
      </c>
      <c r="G73" s="24">
        <f t="shared" ref="G73:G74" si="15">E73/F73</f>
        <v>3.3281428571428569E-4</v>
      </c>
      <c r="H73" s="18" t="str">
        <f t="shared" ref="H73:H77" si="16">IF(G73&lt;0.007,"OK","ERROR")</f>
        <v>OK</v>
      </c>
    </row>
    <row r="74" spans="2:8" s="36" customFormat="1" x14ac:dyDescent="0.25">
      <c r="B74" s="20"/>
      <c r="C74" s="14" t="s">
        <v>114</v>
      </c>
      <c r="D74" s="25">
        <v>0</v>
      </c>
      <c r="E74" s="25">
        <f>D74-D75</f>
        <v>0</v>
      </c>
      <c r="F74" s="14">
        <v>280</v>
      </c>
      <c r="G74" s="24">
        <f t="shared" si="15"/>
        <v>0</v>
      </c>
      <c r="H74" s="18" t="str">
        <f t="shared" si="16"/>
        <v>OK</v>
      </c>
    </row>
    <row r="75" spans="2:8" s="36" customFormat="1" x14ac:dyDescent="0.25">
      <c r="B75" s="20"/>
      <c r="C75" s="23" t="s">
        <v>118</v>
      </c>
      <c r="D75" s="25">
        <v>0</v>
      </c>
      <c r="E75" s="12"/>
      <c r="F75" s="12"/>
      <c r="G75" s="12"/>
    </row>
    <row r="76" spans="2:8" s="38" customFormat="1" x14ac:dyDescent="0.25">
      <c r="B76" s="20" t="s">
        <v>129</v>
      </c>
      <c r="C76" s="14" t="s">
        <v>113</v>
      </c>
      <c r="D76" s="27">
        <v>9.3213000000000004E-2</v>
      </c>
      <c r="E76" s="25">
        <f t="shared" ref="E76" si="17">D76-D77</f>
        <v>9.3213000000000004E-2</v>
      </c>
      <c r="F76" s="14">
        <v>280</v>
      </c>
      <c r="G76" s="24">
        <f t="shared" ref="G76:G77" si="18">E76/F76</f>
        <v>3.3290357142857146E-4</v>
      </c>
      <c r="H76" s="18" t="str">
        <f t="shared" si="16"/>
        <v>OK</v>
      </c>
    </row>
    <row r="77" spans="2:8" s="38" customFormat="1" x14ac:dyDescent="0.25">
      <c r="B77" s="20"/>
      <c r="C77" s="14" t="s">
        <v>114</v>
      </c>
      <c r="D77" s="25">
        <v>0</v>
      </c>
      <c r="E77" s="25">
        <f>D77-D78</f>
        <v>0</v>
      </c>
      <c r="F77" s="14">
        <v>280</v>
      </c>
      <c r="G77" s="24">
        <f t="shared" si="18"/>
        <v>0</v>
      </c>
      <c r="H77" s="18" t="str">
        <f t="shared" si="16"/>
        <v>OK</v>
      </c>
    </row>
    <row r="78" spans="2:8" s="38" customFormat="1" x14ac:dyDescent="0.25">
      <c r="B78" s="20"/>
      <c r="C78" s="23" t="s">
        <v>118</v>
      </c>
      <c r="D78" s="25">
        <v>0</v>
      </c>
      <c r="E78" s="12"/>
      <c r="F78" s="12"/>
      <c r="G78" s="12"/>
    </row>
    <row r="79" spans="2:8" s="38" customFormat="1" x14ac:dyDescent="0.25">
      <c r="B79" s="20" t="s">
        <v>130</v>
      </c>
      <c r="C79" s="23" t="s">
        <v>123</v>
      </c>
      <c r="D79" s="25">
        <v>16.478505999999999</v>
      </c>
      <c r="E79" s="25">
        <f t="shared" ref="E79:E89" si="19">D79-D80</f>
        <v>1.7662889999999987</v>
      </c>
      <c r="F79" s="14">
        <v>300</v>
      </c>
      <c r="G79" s="24">
        <f t="shared" ref="G79:G82" si="20">E79/F79</f>
        <v>5.8876299999999953E-3</v>
      </c>
      <c r="H79" s="18" t="str">
        <f t="shared" ref="H79:H82" si="21">IF(G79&lt;0.007,"OK","ERROR")</f>
        <v>OK</v>
      </c>
    </row>
    <row r="80" spans="2:8" s="38" customFormat="1" x14ac:dyDescent="0.25">
      <c r="B80" s="20"/>
      <c r="C80" s="23" t="s">
        <v>124</v>
      </c>
      <c r="D80" s="25">
        <v>14.712217000000001</v>
      </c>
      <c r="E80" s="25">
        <f t="shared" si="19"/>
        <v>1.8126260000000016</v>
      </c>
      <c r="F80" s="14">
        <v>300</v>
      </c>
      <c r="G80" s="24">
        <f t="shared" si="20"/>
        <v>6.0420866666666719E-3</v>
      </c>
      <c r="H80" s="18" t="str">
        <f t="shared" si="21"/>
        <v>OK</v>
      </c>
    </row>
    <row r="81" spans="2:8" s="38" customFormat="1" x14ac:dyDescent="0.25">
      <c r="B81" s="20"/>
      <c r="C81" s="23" t="s">
        <v>125</v>
      </c>
      <c r="D81" s="25">
        <v>12.899590999999999</v>
      </c>
      <c r="E81" s="25">
        <f t="shared" si="19"/>
        <v>1.8468579999999992</v>
      </c>
      <c r="F81" s="14">
        <v>300</v>
      </c>
      <c r="G81" s="24">
        <f t="shared" si="20"/>
        <v>6.1561933333333305E-3</v>
      </c>
      <c r="H81" s="18" t="str">
        <f t="shared" si="21"/>
        <v>OK</v>
      </c>
    </row>
    <row r="82" spans="2:8" s="38" customFormat="1" x14ac:dyDescent="0.25">
      <c r="B82" s="20"/>
      <c r="C82" s="23" t="s">
        <v>126</v>
      </c>
      <c r="D82" s="25">
        <v>11.052733</v>
      </c>
      <c r="E82" s="25">
        <f t="shared" si="19"/>
        <v>1.8554539999999999</v>
      </c>
      <c r="F82" s="14">
        <v>300</v>
      </c>
      <c r="G82" s="24">
        <f t="shared" si="20"/>
        <v>6.1848466666666662E-3</v>
      </c>
      <c r="H82" s="18" t="str">
        <f t="shared" si="21"/>
        <v>OK</v>
      </c>
    </row>
    <row r="83" spans="2:8" s="38" customFormat="1" x14ac:dyDescent="0.25">
      <c r="B83" s="20"/>
      <c r="C83" s="14" t="s">
        <v>107</v>
      </c>
      <c r="D83" s="25">
        <v>9.197279</v>
      </c>
      <c r="E83" s="25">
        <f t="shared" si="19"/>
        <v>1.8218949999999996</v>
      </c>
      <c r="F83" s="14">
        <v>300</v>
      </c>
      <c r="G83" s="24">
        <f>E83/F83</f>
        <v>6.072983333333332E-3</v>
      </c>
      <c r="H83" s="18" t="str">
        <f>IF(G83&lt;0.007,"OK","ERROR")</f>
        <v>OK</v>
      </c>
    </row>
    <row r="84" spans="2:8" s="38" customFormat="1" x14ac:dyDescent="0.25">
      <c r="B84" s="20"/>
      <c r="C84" s="14" t="s">
        <v>108</v>
      </c>
      <c r="D84" s="25">
        <v>7.3753840000000004</v>
      </c>
      <c r="E84" s="25">
        <f t="shared" si="19"/>
        <v>1.7981220000000002</v>
      </c>
      <c r="F84" s="14">
        <v>300</v>
      </c>
      <c r="G84" s="24">
        <f t="shared" ref="G84:G90" si="22">E84/F84</f>
        <v>5.9937400000000009E-3</v>
      </c>
      <c r="H84" s="18" t="str">
        <f t="shared" ref="H84:H90" si="23">IF(G84&lt;0.007,"OK","ERROR")</f>
        <v>OK</v>
      </c>
    </row>
    <row r="85" spans="2:8" s="38" customFormat="1" x14ac:dyDescent="0.25">
      <c r="B85" s="20"/>
      <c r="C85" s="14" t="s">
        <v>109</v>
      </c>
      <c r="D85" s="25">
        <v>5.5772620000000002</v>
      </c>
      <c r="E85" s="25">
        <f t="shared" si="19"/>
        <v>1.7224150000000003</v>
      </c>
      <c r="F85" s="14">
        <v>300</v>
      </c>
      <c r="G85" s="24">
        <f t="shared" si="22"/>
        <v>5.7413833333333341E-3</v>
      </c>
      <c r="H85" s="18" t="str">
        <f t="shared" si="23"/>
        <v>OK</v>
      </c>
    </row>
    <row r="86" spans="2:8" s="38" customFormat="1" x14ac:dyDescent="0.25">
      <c r="B86" s="20"/>
      <c r="C86" s="14" t="s">
        <v>110</v>
      </c>
      <c r="D86" s="25">
        <v>3.8548469999999999</v>
      </c>
      <c r="E86" s="25">
        <f t="shared" si="19"/>
        <v>1.571917</v>
      </c>
      <c r="F86" s="14">
        <v>300</v>
      </c>
      <c r="G86" s="24">
        <f t="shared" si="22"/>
        <v>5.2397233333333331E-3</v>
      </c>
      <c r="H86" s="18" t="str">
        <f t="shared" si="23"/>
        <v>OK</v>
      </c>
    </row>
    <row r="87" spans="2:8" s="38" customFormat="1" x14ac:dyDescent="0.25">
      <c r="B87" s="20"/>
      <c r="C87" s="14" t="s">
        <v>111</v>
      </c>
      <c r="D87" s="25">
        <v>2.2829299999999999</v>
      </c>
      <c r="E87" s="25">
        <f t="shared" si="19"/>
        <v>1.313002</v>
      </c>
      <c r="F87" s="14">
        <v>300</v>
      </c>
      <c r="G87" s="24">
        <f t="shared" si="22"/>
        <v>4.3766733333333334E-3</v>
      </c>
      <c r="H87" s="18" t="str">
        <f t="shared" si="23"/>
        <v>OK</v>
      </c>
    </row>
    <row r="88" spans="2:8" s="38" customFormat="1" x14ac:dyDescent="0.25">
      <c r="B88" s="20"/>
      <c r="C88" s="14" t="s">
        <v>112</v>
      </c>
      <c r="D88" s="25">
        <v>0.96992800000000001</v>
      </c>
      <c r="E88" s="25">
        <f t="shared" si="19"/>
        <v>0.87936000000000003</v>
      </c>
      <c r="F88" s="14">
        <v>300</v>
      </c>
      <c r="G88" s="24">
        <f t="shared" si="22"/>
        <v>2.9312000000000001E-3</v>
      </c>
      <c r="H88" s="18" t="str">
        <f t="shared" si="23"/>
        <v>OK</v>
      </c>
    </row>
    <row r="89" spans="2:8" s="38" customFormat="1" x14ac:dyDescent="0.25">
      <c r="B89" s="20"/>
      <c r="C89" s="14" t="s">
        <v>113</v>
      </c>
      <c r="D89" s="25">
        <v>9.0567999999999996E-2</v>
      </c>
      <c r="E89" s="25">
        <f t="shared" si="19"/>
        <v>9.0567999999999996E-2</v>
      </c>
      <c r="F89" s="14">
        <v>280</v>
      </c>
      <c r="G89" s="24">
        <f t="shared" si="22"/>
        <v>3.2345714285714287E-4</v>
      </c>
      <c r="H89" s="18" t="str">
        <f t="shared" si="23"/>
        <v>OK</v>
      </c>
    </row>
    <row r="90" spans="2:8" s="38" customFormat="1" x14ac:dyDescent="0.25">
      <c r="B90" s="20"/>
      <c r="C90" s="14" t="s">
        <v>114</v>
      </c>
      <c r="D90" s="25">
        <v>0</v>
      </c>
      <c r="E90" s="25">
        <f>D90-D91</f>
        <v>0</v>
      </c>
      <c r="F90" s="14">
        <v>280</v>
      </c>
      <c r="G90" s="24">
        <f t="shared" si="22"/>
        <v>0</v>
      </c>
      <c r="H90" s="18" t="str">
        <f t="shared" si="23"/>
        <v>OK</v>
      </c>
    </row>
    <row r="91" spans="2:8" s="38" customFormat="1" x14ac:dyDescent="0.25">
      <c r="B91" s="20"/>
      <c r="C91" s="23" t="s">
        <v>118</v>
      </c>
      <c r="D91" s="25">
        <v>0</v>
      </c>
      <c r="E91" s="12"/>
      <c r="F91" s="12"/>
      <c r="G91" s="12"/>
    </row>
    <row r="92" spans="2:8" s="41" customFormat="1" x14ac:dyDescent="0.25">
      <c r="B92" s="20" t="s">
        <v>131</v>
      </c>
      <c r="C92" s="23" t="s">
        <v>123</v>
      </c>
      <c r="D92" s="25">
        <v>16.505413999999998</v>
      </c>
      <c r="E92" s="25">
        <f t="shared" ref="E92:E102" si="24">D92-D93</f>
        <v>1.7735819999999975</v>
      </c>
      <c r="F92" s="14">
        <v>300</v>
      </c>
      <c r="G92" s="24">
        <f t="shared" ref="G92:G95" si="25">E92/F92</f>
        <v>5.9119399999999914E-3</v>
      </c>
      <c r="H92" s="18" t="str">
        <f t="shared" ref="H92:H95" si="26">IF(G92&lt;0.007,"OK","ERROR")</f>
        <v>OK</v>
      </c>
    </row>
    <row r="93" spans="2:8" s="41" customFormat="1" x14ac:dyDescent="0.25">
      <c r="B93" s="20"/>
      <c r="C93" s="23" t="s">
        <v>124</v>
      </c>
      <c r="D93" s="25">
        <v>14.731832000000001</v>
      </c>
      <c r="E93" s="25">
        <f t="shared" si="24"/>
        <v>1.8190249999999999</v>
      </c>
      <c r="F93" s="14">
        <v>300</v>
      </c>
      <c r="G93" s="24">
        <f t="shared" si="25"/>
        <v>6.0634166666666666E-3</v>
      </c>
      <c r="H93" s="18" t="str">
        <f t="shared" si="26"/>
        <v>OK</v>
      </c>
    </row>
    <row r="94" spans="2:8" s="41" customFormat="1" x14ac:dyDescent="0.25">
      <c r="B94" s="20"/>
      <c r="C94" s="23" t="s">
        <v>125</v>
      </c>
      <c r="D94" s="25">
        <v>12.912807000000001</v>
      </c>
      <c r="E94" s="25">
        <f t="shared" si="24"/>
        <v>1.8522220000000011</v>
      </c>
      <c r="F94" s="14">
        <v>300</v>
      </c>
      <c r="G94" s="24">
        <f t="shared" si="25"/>
        <v>6.174073333333337E-3</v>
      </c>
      <c r="H94" s="18" t="str">
        <f t="shared" si="26"/>
        <v>OK</v>
      </c>
    </row>
    <row r="95" spans="2:8" s="41" customFormat="1" x14ac:dyDescent="0.25">
      <c r="B95" s="20"/>
      <c r="C95" s="23" t="s">
        <v>126</v>
      </c>
      <c r="D95" s="25">
        <v>11.060585</v>
      </c>
      <c r="E95" s="25">
        <f t="shared" si="24"/>
        <v>1.8597479999999997</v>
      </c>
      <c r="F95" s="14">
        <v>300</v>
      </c>
      <c r="G95" s="24">
        <f t="shared" si="25"/>
        <v>6.1991599999999987E-3</v>
      </c>
      <c r="H95" s="18" t="str">
        <f t="shared" si="26"/>
        <v>OK</v>
      </c>
    </row>
    <row r="96" spans="2:8" s="41" customFormat="1" x14ac:dyDescent="0.25">
      <c r="B96" s="20"/>
      <c r="C96" s="14" t="s">
        <v>107</v>
      </c>
      <c r="D96" s="25">
        <v>9.2008369999999999</v>
      </c>
      <c r="E96" s="25">
        <f t="shared" si="24"/>
        <v>1.8249599999999999</v>
      </c>
      <c r="F96" s="14">
        <v>300</v>
      </c>
      <c r="G96" s="24">
        <f>E96/F96</f>
        <v>6.0831999999999995E-3</v>
      </c>
      <c r="H96" s="18" t="str">
        <f>IF(G96&lt;0.007,"OK","ERROR")</f>
        <v>OK</v>
      </c>
    </row>
    <row r="97" spans="2:8" s="41" customFormat="1" x14ac:dyDescent="0.25">
      <c r="B97" s="20"/>
      <c r="C97" s="14" t="s">
        <v>108</v>
      </c>
      <c r="D97" s="25">
        <v>7.375877</v>
      </c>
      <c r="E97" s="25">
        <f t="shared" si="24"/>
        <v>1.8002760000000002</v>
      </c>
      <c r="F97" s="14">
        <v>300</v>
      </c>
      <c r="G97" s="24">
        <f t="shared" ref="G97:G103" si="27">E97/F97</f>
        <v>6.0009200000000007E-3</v>
      </c>
      <c r="H97" s="18" t="str">
        <f t="shared" ref="H97:H103" si="28">IF(G97&lt;0.007,"OK","ERROR")</f>
        <v>OK</v>
      </c>
    </row>
    <row r="98" spans="2:8" s="41" customFormat="1" x14ac:dyDescent="0.25">
      <c r="B98" s="20"/>
      <c r="C98" s="14" t="s">
        <v>109</v>
      </c>
      <c r="D98" s="25">
        <v>5.5756009999999998</v>
      </c>
      <c r="E98" s="25">
        <f t="shared" si="24"/>
        <v>1.7235289999999996</v>
      </c>
      <c r="F98" s="14">
        <v>300</v>
      </c>
      <c r="G98" s="24">
        <f t="shared" si="27"/>
        <v>5.7450966666666653E-3</v>
      </c>
      <c r="H98" s="18" t="str">
        <f t="shared" si="28"/>
        <v>OK</v>
      </c>
    </row>
    <row r="99" spans="2:8" s="41" customFormat="1" x14ac:dyDescent="0.25">
      <c r="B99" s="20"/>
      <c r="C99" s="14" t="s">
        <v>110</v>
      </c>
      <c r="D99" s="25">
        <v>3.8520720000000002</v>
      </c>
      <c r="E99" s="25">
        <f t="shared" si="24"/>
        <v>1.5719820000000002</v>
      </c>
      <c r="F99" s="14">
        <v>300</v>
      </c>
      <c r="G99" s="24">
        <f t="shared" si="27"/>
        <v>5.2399400000000011E-3</v>
      </c>
      <c r="H99" s="18" t="str">
        <f t="shared" si="28"/>
        <v>OK</v>
      </c>
    </row>
    <row r="100" spans="2:8" s="41" customFormat="1" x14ac:dyDescent="0.25">
      <c r="B100" s="20"/>
      <c r="C100" s="14" t="s">
        <v>111</v>
      </c>
      <c r="D100" s="25">
        <v>2.28009</v>
      </c>
      <c r="E100" s="25">
        <f t="shared" si="24"/>
        <v>1.3120449999999999</v>
      </c>
      <c r="F100" s="14">
        <v>300</v>
      </c>
      <c r="G100" s="24">
        <f t="shared" si="27"/>
        <v>4.3734833333333332E-3</v>
      </c>
      <c r="H100" s="18" t="str">
        <f t="shared" si="28"/>
        <v>OK</v>
      </c>
    </row>
    <row r="101" spans="2:8" s="41" customFormat="1" x14ac:dyDescent="0.25">
      <c r="B101" s="20"/>
      <c r="C101" s="14" t="s">
        <v>112</v>
      </c>
      <c r="D101" s="25">
        <v>0.96804500000000004</v>
      </c>
      <c r="E101" s="25">
        <f t="shared" si="24"/>
        <v>0.87747300000000006</v>
      </c>
      <c r="F101" s="14">
        <v>300</v>
      </c>
      <c r="G101" s="24">
        <f t="shared" si="27"/>
        <v>2.9249100000000002E-3</v>
      </c>
      <c r="H101" s="18" t="str">
        <f t="shared" si="28"/>
        <v>OK</v>
      </c>
    </row>
    <row r="102" spans="2:8" s="41" customFormat="1" x14ac:dyDescent="0.25">
      <c r="B102" s="20"/>
      <c r="C102" s="14" t="s">
        <v>113</v>
      </c>
      <c r="D102" s="25">
        <v>9.0572E-2</v>
      </c>
      <c r="E102" s="25">
        <f t="shared" si="24"/>
        <v>9.0572E-2</v>
      </c>
      <c r="F102" s="14">
        <v>280</v>
      </c>
      <c r="G102" s="24">
        <f t="shared" si="27"/>
        <v>3.234714285714286E-4</v>
      </c>
      <c r="H102" s="18" t="str">
        <f t="shared" si="28"/>
        <v>OK</v>
      </c>
    </row>
    <row r="103" spans="2:8" s="41" customFormat="1" x14ac:dyDescent="0.25">
      <c r="B103" s="20"/>
      <c r="C103" s="14" t="s">
        <v>114</v>
      </c>
      <c r="D103" s="25">
        <v>0</v>
      </c>
      <c r="E103" s="25">
        <f>D103-D104</f>
        <v>0</v>
      </c>
      <c r="F103" s="14">
        <v>280</v>
      </c>
      <c r="G103" s="24">
        <f t="shared" si="27"/>
        <v>0</v>
      </c>
      <c r="H103" s="18" t="str">
        <f t="shared" si="28"/>
        <v>OK</v>
      </c>
    </row>
    <row r="104" spans="2:8" s="41" customFormat="1" x14ac:dyDescent="0.25">
      <c r="B104" s="20"/>
      <c r="C104" s="23" t="s">
        <v>118</v>
      </c>
      <c r="D104" s="25">
        <v>0</v>
      </c>
      <c r="E104" s="12"/>
      <c r="F104" s="12"/>
      <c r="G104" s="12"/>
    </row>
    <row r="105" spans="2:8" s="43" customFormat="1" x14ac:dyDescent="0.25">
      <c r="B105" s="20" t="s">
        <v>132</v>
      </c>
      <c r="C105" s="14" t="s">
        <v>107</v>
      </c>
      <c r="D105" s="25">
        <v>9.9771450000000002</v>
      </c>
      <c r="E105" s="25">
        <f t="shared" ref="E105:E111" si="29">D105-D106</f>
        <v>1.9738609999999994</v>
      </c>
      <c r="F105" s="14">
        <v>300</v>
      </c>
      <c r="G105" s="24">
        <f>E105/F105</f>
        <v>6.579536666666665E-3</v>
      </c>
      <c r="H105" s="18" t="str">
        <f>IF(G105&lt;0.007,"OK","ERROR")</f>
        <v>OK</v>
      </c>
    </row>
    <row r="106" spans="2:8" s="43" customFormat="1" x14ac:dyDescent="0.25">
      <c r="B106" s="20"/>
      <c r="C106" s="14" t="s">
        <v>108</v>
      </c>
      <c r="D106" s="25">
        <v>8.0032840000000007</v>
      </c>
      <c r="E106" s="25">
        <f t="shared" si="29"/>
        <v>1.9502160000000011</v>
      </c>
      <c r="F106" s="14">
        <v>300</v>
      </c>
      <c r="G106" s="24">
        <f t="shared" ref="G106:G112" si="30">E106/F106</f>
        <v>6.5007200000000032E-3</v>
      </c>
      <c r="H106" s="18" t="str">
        <f t="shared" ref="H106:H112" si="31">IF(G106&lt;0.007,"OK","ERROR")</f>
        <v>OK</v>
      </c>
    </row>
    <row r="107" spans="2:8" s="43" customFormat="1" x14ac:dyDescent="0.25">
      <c r="B107" s="20"/>
      <c r="C107" s="14" t="s">
        <v>109</v>
      </c>
      <c r="D107" s="25">
        <v>6.0530679999999997</v>
      </c>
      <c r="E107" s="25">
        <f t="shared" si="29"/>
        <v>1.8697529999999993</v>
      </c>
      <c r="F107" s="14">
        <v>300</v>
      </c>
      <c r="G107" s="24">
        <f t="shared" si="30"/>
        <v>6.2325099999999975E-3</v>
      </c>
      <c r="H107" s="18" t="str">
        <f t="shared" si="31"/>
        <v>OK</v>
      </c>
    </row>
    <row r="108" spans="2:8" s="43" customFormat="1" x14ac:dyDescent="0.25">
      <c r="B108" s="20"/>
      <c r="C108" s="14" t="s">
        <v>110</v>
      </c>
      <c r="D108" s="25">
        <v>4.1833150000000003</v>
      </c>
      <c r="E108" s="25">
        <f t="shared" si="29"/>
        <v>1.7076980000000002</v>
      </c>
      <c r="F108" s="14">
        <v>300</v>
      </c>
      <c r="G108" s="24">
        <f t="shared" si="30"/>
        <v>5.6923266666666673E-3</v>
      </c>
      <c r="H108" s="18" t="str">
        <f t="shared" si="31"/>
        <v>OK</v>
      </c>
    </row>
    <row r="109" spans="2:8" s="43" customFormat="1" x14ac:dyDescent="0.25">
      <c r="B109" s="20"/>
      <c r="C109" s="14" t="s">
        <v>111</v>
      </c>
      <c r="D109" s="25">
        <v>2.4756170000000002</v>
      </c>
      <c r="E109" s="25">
        <f t="shared" si="29"/>
        <v>1.4272620000000003</v>
      </c>
      <c r="F109" s="14">
        <v>300</v>
      </c>
      <c r="G109" s="24">
        <f t="shared" si="30"/>
        <v>4.7575400000000011E-3</v>
      </c>
      <c r="H109" s="18" t="str">
        <f t="shared" si="31"/>
        <v>OK</v>
      </c>
    </row>
    <row r="110" spans="2:8" s="43" customFormat="1" x14ac:dyDescent="0.25">
      <c r="B110" s="20"/>
      <c r="C110" s="14" t="s">
        <v>112</v>
      </c>
      <c r="D110" s="25">
        <v>1.0483549999999999</v>
      </c>
      <c r="E110" s="25">
        <f t="shared" si="29"/>
        <v>0.95516699999999988</v>
      </c>
      <c r="F110" s="14">
        <v>300</v>
      </c>
      <c r="G110" s="24">
        <f t="shared" si="30"/>
        <v>3.1838899999999996E-3</v>
      </c>
      <c r="H110" s="18" t="str">
        <f t="shared" si="31"/>
        <v>OK</v>
      </c>
    </row>
    <row r="111" spans="2:8" s="43" customFormat="1" x14ac:dyDescent="0.25">
      <c r="B111" s="20"/>
      <c r="C111" s="14" t="s">
        <v>113</v>
      </c>
      <c r="D111" s="25">
        <v>9.3187999999999993E-2</v>
      </c>
      <c r="E111" s="25">
        <f t="shared" si="29"/>
        <v>9.3187999999999993E-2</v>
      </c>
      <c r="F111" s="14">
        <v>280</v>
      </c>
      <c r="G111" s="24">
        <f t="shared" si="30"/>
        <v>3.3281428571428569E-4</v>
      </c>
      <c r="H111" s="18" t="str">
        <f t="shared" si="31"/>
        <v>OK</v>
      </c>
    </row>
    <row r="112" spans="2:8" s="43" customFormat="1" x14ac:dyDescent="0.25">
      <c r="B112" s="20"/>
      <c r="C112" s="14" t="s">
        <v>114</v>
      </c>
      <c r="D112" s="25">
        <v>0</v>
      </c>
      <c r="E112" s="25">
        <f>D112-D113</f>
        <v>0</v>
      </c>
      <c r="F112" s="14">
        <v>280</v>
      </c>
      <c r="G112" s="24">
        <f t="shared" si="30"/>
        <v>0</v>
      </c>
      <c r="H112" s="18" t="str">
        <f t="shared" si="31"/>
        <v>OK</v>
      </c>
    </row>
    <row r="113" spans="2:8" s="43" customFormat="1" x14ac:dyDescent="0.25">
      <c r="B113" s="20"/>
      <c r="C113" s="23" t="s">
        <v>118</v>
      </c>
      <c r="D113" s="25">
        <v>0</v>
      </c>
      <c r="E113" s="12"/>
      <c r="F113" s="12"/>
      <c r="G113" s="12"/>
    </row>
    <row r="114" spans="2:8" s="45" customFormat="1" x14ac:dyDescent="0.25">
      <c r="B114" s="20" t="s">
        <v>133</v>
      </c>
      <c r="C114" s="14" t="s">
        <v>107</v>
      </c>
      <c r="D114" s="25">
        <v>9.9721189999999993</v>
      </c>
      <c r="E114" s="25">
        <f t="shared" ref="E114:E120" si="32">D114-D115</f>
        <v>1.9687899999999985</v>
      </c>
      <c r="F114" s="14">
        <v>300</v>
      </c>
      <c r="G114" s="24">
        <f>E114/F114</f>
        <v>6.562633333333328E-3</v>
      </c>
      <c r="H114" s="18" t="str">
        <f>IF(G114&lt;0.007,"OK","ERROR")</f>
        <v>OK</v>
      </c>
    </row>
    <row r="115" spans="2:8" s="45" customFormat="1" x14ac:dyDescent="0.25">
      <c r="B115" s="20"/>
      <c r="C115" s="14" t="s">
        <v>108</v>
      </c>
      <c r="D115" s="25">
        <v>8.0033290000000008</v>
      </c>
      <c r="E115" s="25">
        <f t="shared" si="32"/>
        <v>1.9466740000000007</v>
      </c>
      <c r="F115" s="14">
        <v>300</v>
      </c>
      <c r="G115" s="24">
        <f t="shared" ref="G115:G121" si="33">E115/F115</f>
        <v>6.4889133333333356E-3</v>
      </c>
      <c r="H115" s="18" t="str">
        <f t="shared" ref="H115:H121" si="34">IF(G115&lt;0.007,"OK","ERROR")</f>
        <v>OK</v>
      </c>
    </row>
    <row r="116" spans="2:8" s="45" customFormat="1" x14ac:dyDescent="0.25">
      <c r="B116" s="20"/>
      <c r="C116" s="14" t="s">
        <v>109</v>
      </c>
      <c r="D116" s="25">
        <v>6.0566550000000001</v>
      </c>
      <c r="E116" s="25">
        <f t="shared" si="32"/>
        <v>1.8679930000000002</v>
      </c>
      <c r="F116" s="14">
        <v>300</v>
      </c>
      <c r="G116" s="24">
        <f t="shared" si="33"/>
        <v>6.2266433333333345E-3</v>
      </c>
      <c r="H116" s="18" t="str">
        <f t="shared" si="34"/>
        <v>OK</v>
      </c>
    </row>
    <row r="117" spans="2:8" s="45" customFormat="1" x14ac:dyDescent="0.25">
      <c r="B117" s="20"/>
      <c r="C117" s="14" t="s">
        <v>110</v>
      </c>
      <c r="D117" s="25">
        <v>4.1886619999999999</v>
      </c>
      <c r="E117" s="25">
        <f t="shared" si="32"/>
        <v>1.7077589999999998</v>
      </c>
      <c r="F117" s="14">
        <v>300</v>
      </c>
      <c r="G117" s="24">
        <f t="shared" si="33"/>
        <v>5.6925299999999995E-3</v>
      </c>
      <c r="H117" s="18" t="str">
        <f t="shared" si="34"/>
        <v>OK</v>
      </c>
    </row>
    <row r="118" spans="2:8" s="45" customFormat="1" x14ac:dyDescent="0.25">
      <c r="B118" s="20"/>
      <c r="C118" s="14" t="s">
        <v>111</v>
      </c>
      <c r="D118" s="25">
        <v>2.4809030000000001</v>
      </c>
      <c r="E118" s="25">
        <f t="shared" si="32"/>
        <v>1.4291070000000001</v>
      </c>
      <c r="F118" s="14">
        <v>300</v>
      </c>
      <c r="G118" s="24">
        <f t="shared" si="33"/>
        <v>4.7636900000000001E-3</v>
      </c>
      <c r="H118" s="18" t="str">
        <f t="shared" si="34"/>
        <v>OK</v>
      </c>
    </row>
    <row r="119" spans="2:8" s="45" customFormat="1" x14ac:dyDescent="0.25">
      <c r="B119" s="20"/>
      <c r="C119" s="14" t="s">
        <v>112</v>
      </c>
      <c r="D119" s="25">
        <v>1.051796</v>
      </c>
      <c r="E119" s="25">
        <f t="shared" si="32"/>
        <v>0.95858299999999996</v>
      </c>
      <c r="F119" s="14">
        <v>300</v>
      </c>
      <c r="G119" s="24">
        <f t="shared" si="33"/>
        <v>3.1952766666666667E-3</v>
      </c>
      <c r="H119" s="18" t="str">
        <f t="shared" si="34"/>
        <v>OK</v>
      </c>
    </row>
    <row r="120" spans="2:8" s="45" customFormat="1" x14ac:dyDescent="0.25">
      <c r="B120" s="20"/>
      <c r="C120" s="14" t="s">
        <v>113</v>
      </c>
      <c r="D120" s="25">
        <v>9.3213000000000004E-2</v>
      </c>
      <c r="E120" s="25">
        <f t="shared" si="32"/>
        <v>9.3213000000000004E-2</v>
      </c>
      <c r="F120" s="14">
        <v>280</v>
      </c>
      <c r="G120" s="24">
        <f t="shared" si="33"/>
        <v>3.3290357142857146E-4</v>
      </c>
      <c r="H120" s="18" t="str">
        <f t="shared" si="34"/>
        <v>OK</v>
      </c>
    </row>
    <row r="121" spans="2:8" s="45" customFormat="1" x14ac:dyDescent="0.25">
      <c r="B121" s="20"/>
      <c r="C121" s="14" t="s">
        <v>114</v>
      </c>
      <c r="D121" s="25">
        <v>0</v>
      </c>
      <c r="E121" s="25">
        <f>D121-D122</f>
        <v>0</v>
      </c>
      <c r="F121" s="14">
        <v>280</v>
      </c>
      <c r="G121" s="24">
        <f t="shared" si="33"/>
        <v>0</v>
      </c>
      <c r="H121" s="18" t="str">
        <f t="shared" si="34"/>
        <v>OK</v>
      </c>
    </row>
    <row r="122" spans="2:8" s="45" customFormat="1" x14ac:dyDescent="0.25">
      <c r="B122" s="20"/>
      <c r="C122" s="23" t="s">
        <v>118</v>
      </c>
      <c r="D122" s="25">
        <v>0</v>
      </c>
      <c r="E122" s="12"/>
      <c r="F122" s="12"/>
      <c r="G122" s="12"/>
    </row>
    <row r="123" spans="2:8" s="47" customFormat="1" x14ac:dyDescent="0.25">
      <c r="B123" s="20" t="s">
        <v>134</v>
      </c>
      <c r="C123" s="14" t="s">
        <v>107</v>
      </c>
      <c r="D123" s="25">
        <v>9.9771450000000002</v>
      </c>
      <c r="E123" s="25">
        <f t="shared" ref="E123:E129" si="35">D123-D124</f>
        <v>1.9738609999999994</v>
      </c>
      <c r="F123" s="14">
        <v>300</v>
      </c>
      <c r="G123" s="24">
        <f>E123/F123</f>
        <v>6.579536666666665E-3</v>
      </c>
      <c r="H123" s="18" t="str">
        <f>IF(G123&lt;0.007,"OK","ERROR")</f>
        <v>OK</v>
      </c>
    </row>
    <row r="124" spans="2:8" s="47" customFormat="1" x14ac:dyDescent="0.25">
      <c r="B124" s="20"/>
      <c r="C124" s="14" t="s">
        <v>108</v>
      </c>
      <c r="D124" s="25">
        <v>8.0032840000000007</v>
      </c>
      <c r="E124" s="25">
        <f t="shared" si="35"/>
        <v>1.9502160000000011</v>
      </c>
      <c r="F124" s="14">
        <v>300</v>
      </c>
      <c r="G124" s="24">
        <f t="shared" ref="G124:G130" si="36">E124/F124</f>
        <v>6.5007200000000032E-3</v>
      </c>
      <c r="H124" s="18" t="str">
        <f t="shared" ref="H124:H130" si="37">IF(G124&lt;0.007,"OK","ERROR")</f>
        <v>OK</v>
      </c>
    </row>
    <row r="125" spans="2:8" s="47" customFormat="1" x14ac:dyDescent="0.25">
      <c r="B125" s="20"/>
      <c r="C125" s="14" t="s">
        <v>109</v>
      </c>
      <c r="D125" s="25">
        <v>6.0530679999999997</v>
      </c>
      <c r="E125" s="25">
        <f t="shared" si="35"/>
        <v>1.8697529999999993</v>
      </c>
      <c r="F125" s="14">
        <v>300</v>
      </c>
      <c r="G125" s="24">
        <f t="shared" si="36"/>
        <v>6.2325099999999975E-3</v>
      </c>
      <c r="H125" s="18" t="str">
        <f t="shared" si="37"/>
        <v>OK</v>
      </c>
    </row>
    <row r="126" spans="2:8" s="47" customFormat="1" x14ac:dyDescent="0.25">
      <c r="B126" s="20"/>
      <c r="C126" s="14" t="s">
        <v>110</v>
      </c>
      <c r="D126" s="25">
        <v>4.1833150000000003</v>
      </c>
      <c r="E126" s="25">
        <f t="shared" si="35"/>
        <v>1.7076980000000002</v>
      </c>
      <c r="F126" s="14">
        <v>300</v>
      </c>
      <c r="G126" s="24">
        <f t="shared" si="36"/>
        <v>5.6923266666666673E-3</v>
      </c>
      <c r="H126" s="18" t="str">
        <f t="shared" si="37"/>
        <v>OK</v>
      </c>
    </row>
    <row r="127" spans="2:8" s="47" customFormat="1" x14ac:dyDescent="0.25">
      <c r="B127" s="20"/>
      <c r="C127" s="14" t="s">
        <v>111</v>
      </c>
      <c r="D127" s="25">
        <v>2.4756170000000002</v>
      </c>
      <c r="E127" s="25">
        <f t="shared" si="35"/>
        <v>1.4272620000000003</v>
      </c>
      <c r="F127" s="14">
        <v>300</v>
      </c>
      <c r="G127" s="24">
        <f t="shared" si="36"/>
        <v>4.7575400000000011E-3</v>
      </c>
      <c r="H127" s="18" t="str">
        <f t="shared" si="37"/>
        <v>OK</v>
      </c>
    </row>
    <row r="128" spans="2:8" s="47" customFormat="1" x14ac:dyDescent="0.25">
      <c r="B128" s="20"/>
      <c r="C128" s="14" t="s">
        <v>112</v>
      </c>
      <c r="D128" s="25">
        <v>1.0483549999999999</v>
      </c>
      <c r="E128" s="25">
        <f t="shared" si="35"/>
        <v>0.95516699999999988</v>
      </c>
      <c r="F128" s="14">
        <v>300</v>
      </c>
      <c r="G128" s="24">
        <f t="shared" si="36"/>
        <v>3.1838899999999996E-3</v>
      </c>
      <c r="H128" s="18" t="str">
        <f t="shared" si="37"/>
        <v>OK</v>
      </c>
    </row>
    <row r="129" spans="2:8" s="47" customFormat="1" x14ac:dyDescent="0.25">
      <c r="B129" s="20"/>
      <c r="C129" s="14" t="s">
        <v>113</v>
      </c>
      <c r="D129" s="25">
        <v>9.3187999999999993E-2</v>
      </c>
      <c r="E129" s="25">
        <f t="shared" si="35"/>
        <v>9.3187999999999993E-2</v>
      </c>
      <c r="F129" s="14">
        <v>280</v>
      </c>
      <c r="G129" s="24">
        <f t="shared" si="36"/>
        <v>3.3281428571428569E-4</v>
      </c>
      <c r="H129" s="18" t="str">
        <f t="shared" si="37"/>
        <v>OK</v>
      </c>
    </row>
    <row r="130" spans="2:8" s="47" customFormat="1" x14ac:dyDescent="0.25">
      <c r="B130" s="20"/>
      <c r="C130" s="14" t="s">
        <v>114</v>
      </c>
      <c r="D130" s="25">
        <v>0</v>
      </c>
      <c r="E130" s="25">
        <f>D130-D131</f>
        <v>0</v>
      </c>
      <c r="F130" s="14">
        <v>280</v>
      </c>
      <c r="G130" s="24">
        <f t="shared" si="36"/>
        <v>0</v>
      </c>
      <c r="H130" s="18" t="str">
        <f t="shared" si="37"/>
        <v>OK</v>
      </c>
    </row>
    <row r="131" spans="2:8" s="47" customFormat="1" x14ac:dyDescent="0.25">
      <c r="B131" s="20"/>
      <c r="C131" s="23" t="s">
        <v>118</v>
      </c>
      <c r="D131" s="25">
        <v>0</v>
      </c>
      <c r="E131" s="12"/>
      <c r="F131" s="12"/>
      <c r="G131" s="12"/>
    </row>
    <row r="132" spans="2:8" s="36" customFormat="1" x14ac:dyDescent="0.25">
      <c r="B132" s="22"/>
      <c r="C132" s="30"/>
      <c r="D132" s="32"/>
      <c r="E132" s="33"/>
      <c r="F132" s="33"/>
      <c r="G132" s="33"/>
    </row>
    <row r="133" spans="2:8" s="26" customFormat="1" x14ac:dyDescent="0.25">
      <c r="C133" s="30"/>
    </row>
    <row r="134" spans="2:8" s="26" customFormat="1" x14ac:dyDescent="0.25">
      <c r="C134" s="30"/>
    </row>
    <row r="135" spans="2:8" x14ac:dyDescent="0.25">
      <c r="B135" s="6" t="s">
        <v>105</v>
      </c>
      <c r="H135" s="26"/>
    </row>
    <row r="136" spans="2:8" x14ac:dyDescent="0.25">
      <c r="H136" s="26"/>
    </row>
    <row r="137" spans="2:8" ht="18" x14ac:dyDescent="0.3">
      <c r="B137" s="21" t="s">
        <v>115</v>
      </c>
      <c r="C137" s="21" t="s">
        <v>116</v>
      </c>
      <c r="D137" s="21" t="s">
        <v>117</v>
      </c>
      <c r="E137" s="29" t="s">
        <v>120</v>
      </c>
      <c r="F137" s="28" t="s">
        <v>119</v>
      </c>
      <c r="G137" s="28" t="s">
        <v>121</v>
      </c>
      <c r="H137" s="26"/>
    </row>
    <row r="138" spans="2:8" x14ac:dyDescent="0.25">
      <c r="B138" s="20" t="s">
        <v>106</v>
      </c>
      <c r="C138" s="14" t="s">
        <v>107</v>
      </c>
      <c r="D138" s="25">
        <v>7.1571910000000001</v>
      </c>
      <c r="E138" s="25">
        <f t="shared" ref="E138:E144" si="38">D138-D139</f>
        <v>1.4642780000000002</v>
      </c>
      <c r="F138" s="14">
        <v>300</v>
      </c>
      <c r="G138" s="24">
        <f>E138/F138</f>
        <v>4.880926666666667E-3</v>
      </c>
      <c r="H138" s="18" t="str">
        <f>IF(G138&lt;0.007,"OK","ERROR")</f>
        <v>OK</v>
      </c>
    </row>
    <row r="139" spans="2:8" x14ac:dyDescent="0.25">
      <c r="B139" s="20"/>
      <c r="C139" s="14" t="s">
        <v>108</v>
      </c>
      <c r="D139" s="25">
        <v>5.6929129999999999</v>
      </c>
      <c r="E139" s="25">
        <f t="shared" si="38"/>
        <v>1.4296340000000001</v>
      </c>
      <c r="F139" s="14">
        <v>300</v>
      </c>
      <c r="G139" s="24">
        <f t="shared" ref="G139:G145" si="39">E139/F139</f>
        <v>4.7654466666666668E-3</v>
      </c>
      <c r="H139" s="18" t="str">
        <f t="shared" ref="H139:H145" si="40">IF(G139&lt;0.007,"OK","ERROR")</f>
        <v>OK</v>
      </c>
    </row>
    <row r="140" spans="2:8" x14ac:dyDescent="0.25">
      <c r="B140" s="20"/>
      <c r="C140" s="14" t="s">
        <v>109</v>
      </c>
      <c r="D140" s="25">
        <v>4.2632789999999998</v>
      </c>
      <c r="E140" s="25">
        <f t="shared" si="38"/>
        <v>1.3491459999999997</v>
      </c>
      <c r="F140" s="14">
        <v>300</v>
      </c>
      <c r="G140" s="24">
        <f t="shared" si="39"/>
        <v>4.4971533333333326E-3</v>
      </c>
      <c r="H140" s="18" t="str">
        <f t="shared" si="40"/>
        <v>OK</v>
      </c>
    </row>
    <row r="141" spans="2:8" x14ac:dyDescent="0.25">
      <c r="B141" s="20"/>
      <c r="C141" s="14" t="s">
        <v>110</v>
      </c>
      <c r="D141" s="25">
        <v>2.9141330000000001</v>
      </c>
      <c r="E141" s="25">
        <f t="shared" si="38"/>
        <v>1.2100500000000001</v>
      </c>
      <c r="F141" s="14">
        <v>300</v>
      </c>
      <c r="G141" s="24">
        <f t="shared" si="39"/>
        <v>4.0335000000000006E-3</v>
      </c>
      <c r="H141" s="18" t="str">
        <f t="shared" si="40"/>
        <v>OK</v>
      </c>
    </row>
    <row r="142" spans="2:8" x14ac:dyDescent="0.25">
      <c r="B142" s="20"/>
      <c r="C142" s="14" t="s">
        <v>111</v>
      </c>
      <c r="D142" s="25">
        <v>1.704083</v>
      </c>
      <c r="E142" s="25">
        <f t="shared" si="38"/>
        <v>0.99348700000000001</v>
      </c>
      <c r="F142" s="14">
        <v>300</v>
      </c>
      <c r="G142" s="24">
        <f t="shared" si="39"/>
        <v>3.3116233333333332E-3</v>
      </c>
      <c r="H142" s="18" t="str">
        <f t="shared" si="40"/>
        <v>OK</v>
      </c>
    </row>
    <row r="143" spans="2:8" x14ac:dyDescent="0.25">
      <c r="B143" s="20"/>
      <c r="C143" s="14" t="s">
        <v>112</v>
      </c>
      <c r="D143" s="25">
        <v>0.71059600000000001</v>
      </c>
      <c r="E143" s="25">
        <f t="shared" si="38"/>
        <v>0.65899300000000005</v>
      </c>
      <c r="F143" s="14">
        <v>300</v>
      </c>
      <c r="G143" s="24">
        <f t="shared" si="39"/>
        <v>2.1966433333333335E-3</v>
      </c>
      <c r="H143" s="18" t="str">
        <f t="shared" si="40"/>
        <v>OK</v>
      </c>
    </row>
    <row r="144" spans="2:8" x14ac:dyDescent="0.25">
      <c r="B144" s="20"/>
      <c r="C144" s="14" t="s">
        <v>113</v>
      </c>
      <c r="D144" s="25">
        <v>5.1603000000000003E-2</v>
      </c>
      <c r="E144" s="25">
        <f t="shared" si="38"/>
        <v>5.1603000000000003E-2</v>
      </c>
      <c r="F144" s="14">
        <v>280</v>
      </c>
      <c r="G144" s="24">
        <f t="shared" si="39"/>
        <v>1.8429642857142859E-4</v>
      </c>
      <c r="H144" s="18" t="str">
        <f t="shared" si="40"/>
        <v>OK</v>
      </c>
    </row>
    <row r="145" spans="2:8" x14ac:dyDescent="0.25">
      <c r="B145" s="20"/>
      <c r="C145" s="14" t="s">
        <v>114</v>
      </c>
      <c r="D145" s="25">
        <v>0</v>
      </c>
      <c r="E145" s="25">
        <f>D145-D146</f>
        <v>0</v>
      </c>
      <c r="F145" s="14">
        <v>280</v>
      </c>
      <c r="G145" s="24">
        <f t="shared" si="39"/>
        <v>0</v>
      </c>
      <c r="H145" s="18" t="str">
        <f t="shared" si="40"/>
        <v>OK</v>
      </c>
    </row>
    <row r="146" spans="2:8" x14ac:dyDescent="0.25">
      <c r="B146" s="20"/>
      <c r="C146" s="23" t="s">
        <v>118</v>
      </c>
      <c r="D146" s="25">
        <v>0</v>
      </c>
      <c r="E146" s="12"/>
      <c r="F146" s="12"/>
      <c r="G146" s="12"/>
      <c r="H146" s="26"/>
    </row>
    <row r="147" spans="2:8" s="31" customFormat="1" x14ac:dyDescent="0.25">
      <c r="B147" s="20" t="s">
        <v>122</v>
      </c>
      <c r="C147" s="23" t="s">
        <v>123</v>
      </c>
      <c r="D147" s="25">
        <v>13.141610999999999</v>
      </c>
      <c r="E147" s="25">
        <f t="shared" ref="E147:E157" si="41">D147-D148</f>
        <v>1.4456809999999987</v>
      </c>
      <c r="F147" s="14">
        <v>300</v>
      </c>
      <c r="G147" s="24">
        <f t="shared" ref="G147:G150" si="42">E147/F147</f>
        <v>4.8189366666666622E-3</v>
      </c>
      <c r="H147" s="18" t="str">
        <f t="shared" ref="H147:H150" si="43">IF(G147&lt;0.007,"OK","ERROR")</f>
        <v>OK</v>
      </c>
    </row>
    <row r="148" spans="2:8" s="31" customFormat="1" x14ac:dyDescent="0.25">
      <c r="B148" s="20"/>
      <c r="C148" s="23" t="s">
        <v>124</v>
      </c>
      <c r="D148" s="25">
        <v>11.695930000000001</v>
      </c>
      <c r="E148" s="25">
        <f t="shared" si="41"/>
        <v>1.4938700000000011</v>
      </c>
      <c r="F148" s="14">
        <v>300</v>
      </c>
      <c r="G148" s="24">
        <f t="shared" si="42"/>
        <v>4.9795666666666702E-3</v>
      </c>
      <c r="H148" s="18" t="str">
        <f t="shared" si="43"/>
        <v>OK</v>
      </c>
    </row>
    <row r="149" spans="2:8" s="31" customFormat="1" x14ac:dyDescent="0.25">
      <c r="B149" s="20"/>
      <c r="C149" s="23" t="s">
        <v>125</v>
      </c>
      <c r="D149" s="25">
        <v>10.202059999999999</v>
      </c>
      <c r="E149" s="25">
        <f t="shared" si="41"/>
        <v>1.5231149999999989</v>
      </c>
      <c r="F149" s="14">
        <v>300</v>
      </c>
      <c r="G149" s="24">
        <f t="shared" si="42"/>
        <v>5.0770499999999961E-3</v>
      </c>
      <c r="H149" s="18" t="str">
        <f t="shared" si="43"/>
        <v>OK</v>
      </c>
    </row>
    <row r="150" spans="2:8" s="31" customFormat="1" x14ac:dyDescent="0.25">
      <c r="B150" s="20"/>
      <c r="C150" s="23" t="s">
        <v>126</v>
      </c>
      <c r="D150" s="25">
        <v>8.6789450000000006</v>
      </c>
      <c r="E150" s="25">
        <f t="shared" si="41"/>
        <v>1.5217540000000005</v>
      </c>
      <c r="F150" s="14">
        <v>300</v>
      </c>
      <c r="G150" s="24">
        <f t="shared" si="42"/>
        <v>5.0725133333333347E-3</v>
      </c>
      <c r="H150" s="18" t="str">
        <f t="shared" si="43"/>
        <v>OK</v>
      </c>
    </row>
    <row r="151" spans="2:8" s="31" customFormat="1" x14ac:dyDescent="0.25">
      <c r="B151" s="20"/>
      <c r="C151" s="14" t="s">
        <v>107</v>
      </c>
      <c r="D151" s="25">
        <v>7.1571910000000001</v>
      </c>
      <c r="E151" s="25">
        <f t="shared" si="41"/>
        <v>1.4642780000000002</v>
      </c>
      <c r="F151" s="14">
        <v>300</v>
      </c>
      <c r="G151" s="24">
        <f>E151/F151</f>
        <v>4.880926666666667E-3</v>
      </c>
      <c r="H151" s="18" t="str">
        <f>IF(G151&lt;0.007,"OK","ERROR")</f>
        <v>OK</v>
      </c>
    </row>
    <row r="152" spans="2:8" s="31" customFormat="1" x14ac:dyDescent="0.25">
      <c r="B152" s="20"/>
      <c r="C152" s="14" t="s">
        <v>108</v>
      </c>
      <c r="D152" s="25">
        <v>5.6929129999999999</v>
      </c>
      <c r="E152" s="25">
        <f t="shared" si="41"/>
        <v>1.4296340000000001</v>
      </c>
      <c r="F152" s="14">
        <v>300</v>
      </c>
      <c r="G152" s="24">
        <f t="shared" ref="G152:G158" si="44">E152/F152</f>
        <v>4.7654466666666668E-3</v>
      </c>
      <c r="H152" s="18" t="str">
        <f t="shared" ref="H152:H158" si="45">IF(G152&lt;0.007,"OK","ERROR")</f>
        <v>OK</v>
      </c>
    </row>
    <row r="153" spans="2:8" s="31" customFormat="1" x14ac:dyDescent="0.25">
      <c r="B153" s="20"/>
      <c r="C153" s="14" t="s">
        <v>109</v>
      </c>
      <c r="D153" s="25">
        <v>4.2632789999999998</v>
      </c>
      <c r="E153" s="25">
        <f t="shared" si="41"/>
        <v>1.3491459999999997</v>
      </c>
      <c r="F153" s="14">
        <v>300</v>
      </c>
      <c r="G153" s="24">
        <f t="shared" si="44"/>
        <v>4.4971533333333326E-3</v>
      </c>
      <c r="H153" s="18" t="str">
        <f t="shared" si="45"/>
        <v>OK</v>
      </c>
    </row>
    <row r="154" spans="2:8" s="31" customFormat="1" x14ac:dyDescent="0.25">
      <c r="B154" s="20"/>
      <c r="C154" s="14" t="s">
        <v>110</v>
      </c>
      <c r="D154" s="25">
        <v>2.9141330000000001</v>
      </c>
      <c r="E154" s="25">
        <f t="shared" si="41"/>
        <v>1.2100500000000001</v>
      </c>
      <c r="F154" s="14">
        <v>300</v>
      </c>
      <c r="G154" s="24">
        <f t="shared" si="44"/>
        <v>4.0335000000000006E-3</v>
      </c>
      <c r="H154" s="18" t="str">
        <f t="shared" si="45"/>
        <v>OK</v>
      </c>
    </row>
    <row r="155" spans="2:8" s="31" customFormat="1" x14ac:dyDescent="0.25">
      <c r="B155" s="20"/>
      <c r="C155" s="14" t="s">
        <v>111</v>
      </c>
      <c r="D155" s="25">
        <v>1.704083</v>
      </c>
      <c r="E155" s="25">
        <f t="shared" si="41"/>
        <v>0.99348700000000001</v>
      </c>
      <c r="F155" s="14">
        <v>300</v>
      </c>
      <c r="G155" s="24">
        <f t="shared" si="44"/>
        <v>3.3116233333333332E-3</v>
      </c>
      <c r="H155" s="18" t="str">
        <f t="shared" si="45"/>
        <v>OK</v>
      </c>
    </row>
    <row r="156" spans="2:8" s="31" customFormat="1" x14ac:dyDescent="0.25">
      <c r="B156" s="20"/>
      <c r="C156" s="14" t="s">
        <v>112</v>
      </c>
      <c r="D156" s="25">
        <v>0.71059600000000001</v>
      </c>
      <c r="E156" s="25">
        <f t="shared" si="41"/>
        <v>0.65899300000000005</v>
      </c>
      <c r="F156" s="14">
        <v>300</v>
      </c>
      <c r="G156" s="24">
        <f t="shared" si="44"/>
        <v>2.1966433333333335E-3</v>
      </c>
      <c r="H156" s="18" t="str">
        <f t="shared" si="45"/>
        <v>OK</v>
      </c>
    </row>
    <row r="157" spans="2:8" s="31" customFormat="1" x14ac:dyDescent="0.25">
      <c r="B157" s="20"/>
      <c r="C157" s="14" t="s">
        <v>113</v>
      </c>
      <c r="D157" s="25">
        <v>5.1603000000000003E-2</v>
      </c>
      <c r="E157" s="25">
        <f t="shared" si="41"/>
        <v>5.1603000000000003E-2</v>
      </c>
      <c r="F157" s="14">
        <v>280</v>
      </c>
      <c r="G157" s="24">
        <f t="shared" si="44"/>
        <v>1.8429642857142859E-4</v>
      </c>
      <c r="H157" s="18" t="str">
        <f t="shared" si="45"/>
        <v>OK</v>
      </c>
    </row>
    <row r="158" spans="2:8" s="31" customFormat="1" x14ac:dyDescent="0.25">
      <c r="B158" s="20"/>
      <c r="C158" s="14" t="s">
        <v>114</v>
      </c>
      <c r="D158" s="25">
        <v>0</v>
      </c>
      <c r="E158" s="25">
        <f>D158-D159</f>
        <v>0</v>
      </c>
      <c r="F158" s="14">
        <v>280</v>
      </c>
      <c r="G158" s="24">
        <f t="shared" si="44"/>
        <v>0</v>
      </c>
      <c r="H158" s="18" t="str">
        <f t="shared" si="45"/>
        <v>OK</v>
      </c>
    </row>
    <row r="159" spans="2:8" s="31" customFormat="1" x14ac:dyDescent="0.25">
      <c r="B159" s="20"/>
      <c r="C159" s="23" t="s">
        <v>118</v>
      </c>
      <c r="D159" s="25">
        <v>0</v>
      </c>
      <c r="E159" s="12"/>
      <c r="F159" s="12"/>
      <c r="G159" s="12"/>
    </row>
    <row r="160" spans="2:8" s="35" customFormat="1" x14ac:dyDescent="0.25">
      <c r="B160" s="20" t="s">
        <v>127</v>
      </c>
      <c r="C160" s="23" t="s">
        <v>123</v>
      </c>
      <c r="D160" s="25">
        <v>13.141610999999999</v>
      </c>
      <c r="E160" s="25">
        <f t="shared" ref="E160:E170" si="46">D160-D161</f>
        <v>1.4456809999999987</v>
      </c>
      <c r="F160" s="14">
        <v>300</v>
      </c>
      <c r="G160" s="24">
        <f t="shared" ref="G160:G163" si="47">E160/F160</f>
        <v>4.8189366666666622E-3</v>
      </c>
      <c r="H160" s="18" t="str">
        <f t="shared" ref="H160:H163" si="48">IF(G160&lt;0.007,"OK","ERROR")</f>
        <v>OK</v>
      </c>
    </row>
    <row r="161" spans="2:8" s="35" customFormat="1" x14ac:dyDescent="0.25">
      <c r="B161" s="20"/>
      <c r="C161" s="23" t="s">
        <v>124</v>
      </c>
      <c r="D161" s="25">
        <v>11.695930000000001</v>
      </c>
      <c r="E161" s="25">
        <f t="shared" si="46"/>
        <v>1.4938700000000011</v>
      </c>
      <c r="F161" s="14">
        <v>300</v>
      </c>
      <c r="G161" s="24">
        <f t="shared" si="47"/>
        <v>4.9795666666666702E-3</v>
      </c>
      <c r="H161" s="18" t="str">
        <f t="shared" si="48"/>
        <v>OK</v>
      </c>
    </row>
    <row r="162" spans="2:8" s="35" customFormat="1" x14ac:dyDescent="0.25">
      <c r="B162" s="20"/>
      <c r="C162" s="23" t="s">
        <v>125</v>
      </c>
      <c r="D162" s="25">
        <v>10.202059999999999</v>
      </c>
      <c r="E162" s="25">
        <f t="shared" si="46"/>
        <v>1.5231149999999989</v>
      </c>
      <c r="F162" s="14">
        <v>300</v>
      </c>
      <c r="G162" s="24">
        <f t="shared" si="47"/>
        <v>5.0770499999999961E-3</v>
      </c>
      <c r="H162" s="18" t="str">
        <f t="shared" si="48"/>
        <v>OK</v>
      </c>
    </row>
    <row r="163" spans="2:8" s="35" customFormat="1" x14ac:dyDescent="0.25">
      <c r="B163" s="20"/>
      <c r="C163" s="23" t="s">
        <v>126</v>
      </c>
      <c r="D163" s="25">
        <v>8.6789450000000006</v>
      </c>
      <c r="E163" s="25">
        <f t="shared" si="46"/>
        <v>1.5217540000000005</v>
      </c>
      <c r="F163" s="14">
        <v>300</v>
      </c>
      <c r="G163" s="24">
        <f t="shared" si="47"/>
        <v>5.0725133333333347E-3</v>
      </c>
      <c r="H163" s="18" t="str">
        <f t="shared" si="48"/>
        <v>OK</v>
      </c>
    </row>
    <row r="164" spans="2:8" s="35" customFormat="1" x14ac:dyDescent="0.25">
      <c r="B164" s="20"/>
      <c r="C164" s="14" t="s">
        <v>107</v>
      </c>
      <c r="D164" s="25">
        <v>7.1571910000000001</v>
      </c>
      <c r="E164" s="25">
        <f t="shared" si="46"/>
        <v>1.4642780000000002</v>
      </c>
      <c r="F164" s="14">
        <v>300</v>
      </c>
      <c r="G164" s="24">
        <f>E164/F164</f>
        <v>4.880926666666667E-3</v>
      </c>
      <c r="H164" s="18" t="str">
        <f>IF(G164&lt;0.007,"OK","ERROR")</f>
        <v>OK</v>
      </c>
    </row>
    <row r="165" spans="2:8" s="35" customFormat="1" x14ac:dyDescent="0.25">
      <c r="B165" s="20"/>
      <c r="C165" s="14" t="s">
        <v>108</v>
      </c>
      <c r="D165" s="25">
        <v>5.6929129999999999</v>
      </c>
      <c r="E165" s="25">
        <f t="shared" si="46"/>
        <v>1.4296340000000001</v>
      </c>
      <c r="F165" s="14">
        <v>300</v>
      </c>
      <c r="G165" s="24">
        <f t="shared" ref="G165:G171" si="49">E165/F165</f>
        <v>4.7654466666666668E-3</v>
      </c>
      <c r="H165" s="18" t="str">
        <f t="shared" ref="H165:H171" si="50">IF(G165&lt;0.007,"OK","ERROR")</f>
        <v>OK</v>
      </c>
    </row>
    <row r="166" spans="2:8" s="35" customFormat="1" x14ac:dyDescent="0.25">
      <c r="B166" s="20"/>
      <c r="C166" s="14" t="s">
        <v>109</v>
      </c>
      <c r="D166" s="25">
        <v>4.2632789999999998</v>
      </c>
      <c r="E166" s="25">
        <f t="shared" si="46"/>
        <v>1.3491459999999997</v>
      </c>
      <c r="F166" s="14">
        <v>300</v>
      </c>
      <c r="G166" s="24">
        <f t="shared" si="49"/>
        <v>4.4971533333333326E-3</v>
      </c>
      <c r="H166" s="18" t="str">
        <f t="shared" si="50"/>
        <v>OK</v>
      </c>
    </row>
    <row r="167" spans="2:8" s="35" customFormat="1" x14ac:dyDescent="0.25">
      <c r="B167" s="20"/>
      <c r="C167" s="14" t="s">
        <v>110</v>
      </c>
      <c r="D167" s="25">
        <v>2.9141330000000001</v>
      </c>
      <c r="E167" s="25">
        <f t="shared" si="46"/>
        <v>1.2100500000000001</v>
      </c>
      <c r="F167" s="14">
        <v>300</v>
      </c>
      <c r="G167" s="24">
        <f t="shared" si="49"/>
        <v>4.0335000000000006E-3</v>
      </c>
      <c r="H167" s="18" t="str">
        <f t="shared" si="50"/>
        <v>OK</v>
      </c>
    </row>
    <row r="168" spans="2:8" s="35" customFormat="1" x14ac:dyDescent="0.25">
      <c r="B168" s="20"/>
      <c r="C168" s="14" t="s">
        <v>111</v>
      </c>
      <c r="D168" s="25">
        <v>1.704083</v>
      </c>
      <c r="E168" s="25">
        <f t="shared" si="46"/>
        <v>0.99348700000000001</v>
      </c>
      <c r="F168" s="14">
        <v>300</v>
      </c>
      <c r="G168" s="24">
        <f t="shared" si="49"/>
        <v>3.3116233333333332E-3</v>
      </c>
      <c r="H168" s="18" t="str">
        <f t="shared" si="50"/>
        <v>OK</v>
      </c>
    </row>
    <row r="169" spans="2:8" s="35" customFormat="1" x14ac:dyDescent="0.25">
      <c r="B169" s="20"/>
      <c r="C169" s="14" t="s">
        <v>112</v>
      </c>
      <c r="D169" s="25">
        <v>0.71059600000000001</v>
      </c>
      <c r="E169" s="25">
        <f t="shared" si="46"/>
        <v>0.65899300000000005</v>
      </c>
      <c r="F169" s="14">
        <v>300</v>
      </c>
      <c r="G169" s="24">
        <f t="shared" si="49"/>
        <v>2.1966433333333335E-3</v>
      </c>
      <c r="H169" s="18" t="str">
        <f t="shared" si="50"/>
        <v>OK</v>
      </c>
    </row>
    <row r="170" spans="2:8" s="35" customFormat="1" x14ac:dyDescent="0.25">
      <c r="B170" s="20"/>
      <c r="C170" s="14" t="s">
        <v>113</v>
      </c>
      <c r="D170" s="25">
        <v>5.1603000000000003E-2</v>
      </c>
      <c r="E170" s="25">
        <f t="shared" si="46"/>
        <v>5.1603000000000003E-2</v>
      </c>
      <c r="F170" s="14">
        <v>280</v>
      </c>
      <c r="G170" s="24">
        <f t="shared" si="49"/>
        <v>1.8429642857142859E-4</v>
      </c>
      <c r="H170" s="18" t="str">
        <f t="shared" si="50"/>
        <v>OK</v>
      </c>
    </row>
    <row r="171" spans="2:8" s="35" customFormat="1" x14ac:dyDescent="0.25">
      <c r="B171" s="20"/>
      <c r="C171" s="14" t="s">
        <v>114</v>
      </c>
      <c r="D171" s="25">
        <v>0</v>
      </c>
      <c r="E171" s="25">
        <f>D171-D172</f>
        <v>0</v>
      </c>
      <c r="F171" s="14">
        <v>280</v>
      </c>
      <c r="G171" s="24">
        <f t="shared" si="49"/>
        <v>0</v>
      </c>
      <c r="H171" s="18" t="str">
        <f t="shared" si="50"/>
        <v>OK</v>
      </c>
    </row>
    <row r="172" spans="2:8" s="35" customFormat="1" x14ac:dyDescent="0.25">
      <c r="B172" s="20"/>
      <c r="C172" s="23" t="s">
        <v>118</v>
      </c>
      <c r="D172" s="25">
        <v>0</v>
      </c>
      <c r="E172" s="12"/>
      <c r="F172" s="12"/>
      <c r="G172" s="12"/>
    </row>
    <row r="173" spans="2:8" s="37" customFormat="1" x14ac:dyDescent="0.25">
      <c r="B173" s="20" t="s">
        <v>128</v>
      </c>
      <c r="C173" s="14" t="s">
        <v>113</v>
      </c>
      <c r="D173" s="25">
        <v>5.1603000000000003E-2</v>
      </c>
      <c r="E173" s="25">
        <f t="shared" ref="E173" si="51">D173-D174</f>
        <v>5.1603000000000003E-2</v>
      </c>
      <c r="F173" s="14">
        <v>280</v>
      </c>
      <c r="G173" s="24">
        <f t="shared" ref="G173:G174" si="52">E173/F173</f>
        <v>1.8429642857142859E-4</v>
      </c>
      <c r="H173" s="18" t="str">
        <f t="shared" ref="H173:H174" si="53">IF(G173&lt;0.007,"OK","ERROR")</f>
        <v>OK</v>
      </c>
    </row>
    <row r="174" spans="2:8" s="37" customFormat="1" x14ac:dyDescent="0.25">
      <c r="B174" s="20"/>
      <c r="C174" s="14" t="s">
        <v>114</v>
      </c>
      <c r="D174" s="25">
        <v>0</v>
      </c>
      <c r="E174" s="25">
        <f>D174-D175</f>
        <v>0</v>
      </c>
      <c r="F174" s="14">
        <v>280</v>
      </c>
      <c r="G174" s="24">
        <f t="shared" si="52"/>
        <v>0</v>
      </c>
      <c r="H174" s="18" t="str">
        <f t="shared" si="53"/>
        <v>OK</v>
      </c>
    </row>
    <row r="175" spans="2:8" s="37" customFormat="1" x14ac:dyDescent="0.25">
      <c r="B175" s="20"/>
      <c r="C175" s="23" t="s">
        <v>118</v>
      </c>
      <c r="D175" s="25">
        <v>0</v>
      </c>
      <c r="E175" s="12"/>
      <c r="F175" s="12"/>
      <c r="G175" s="12"/>
    </row>
    <row r="176" spans="2:8" s="40" customFormat="1" x14ac:dyDescent="0.25">
      <c r="B176" s="20" t="s">
        <v>130</v>
      </c>
      <c r="C176" s="23" t="s">
        <v>123</v>
      </c>
      <c r="D176" s="25">
        <v>13.144589</v>
      </c>
      <c r="E176" s="25">
        <f t="shared" ref="E176:E186" si="54">D176-D177</f>
        <v>1.4460870000000003</v>
      </c>
      <c r="F176" s="14">
        <v>300</v>
      </c>
      <c r="G176" s="24">
        <f t="shared" ref="G176:G179" si="55">E176/F176</f>
        <v>4.8202900000000014E-3</v>
      </c>
      <c r="H176" s="18" t="str">
        <f t="shared" ref="H176:H179" si="56">IF(G176&lt;0.007,"OK","ERROR")</f>
        <v>OK</v>
      </c>
    </row>
    <row r="177" spans="2:8" s="40" customFormat="1" x14ac:dyDescent="0.25">
      <c r="B177" s="20"/>
      <c r="C177" s="23" t="s">
        <v>124</v>
      </c>
      <c r="D177" s="25">
        <v>11.698502</v>
      </c>
      <c r="E177" s="25">
        <f t="shared" si="54"/>
        <v>1.4943179999999998</v>
      </c>
      <c r="F177" s="14">
        <v>300</v>
      </c>
      <c r="G177" s="24">
        <f t="shared" si="55"/>
        <v>4.981059999999999E-3</v>
      </c>
      <c r="H177" s="18" t="str">
        <f t="shared" si="56"/>
        <v>OK</v>
      </c>
    </row>
    <row r="178" spans="2:8" s="40" customFormat="1" x14ac:dyDescent="0.25">
      <c r="B178" s="20"/>
      <c r="C178" s="23" t="s">
        <v>125</v>
      </c>
      <c r="D178" s="25">
        <v>10.204184</v>
      </c>
      <c r="E178" s="25">
        <f t="shared" si="54"/>
        <v>1.5235419999999991</v>
      </c>
      <c r="F178" s="14">
        <v>300</v>
      </c>
      <c r="G178" s="24">
        <f t="shared" si="55"/>
        <v>5.0784733333333306E-3</v>
      </c>
      <c r="H178" s="18" t="str">
        <f t="shared" si="56"/>
        <v>OK</v>
      </c>
    </row>
    <row r="179" spans="2:8" s="40" customFormat="1" x14ac:dyDescent="0.25">
      <c r="B179" s="20"/>
      <c r="C179" s="23" t="s">
        <v>126</v>
      </c>
      <c r="D179" s="25">
        <v>8.6806420000000006</v>
      </c>
      <c r="E179" s="25">
        <f t="shared" si="54"/>
        <v>1.5221400000000003</v>
      </c>
      <c r="F179" s="14">
        <v>300</v>
      </c>
      <c r="G179" s="24">
        <f t="shared" si="55"/>
        <v>5.0738000000000007E-3</v>
      </c>
      <c r="H179" s="18" t="str">
        <f t="shared" si="56"/>
        <v>OK</v>
      </c>
    </row>
    <row r="180" spans="2:8" s="40" customFormat="1" x14ac:dyDescent="0.25">
      <c r="B180" s="20"/>
      <c r="C180" s="14" t="s">
        <v>107</v>
      </c>
      <c r="D180" s="25">
        <v>7.1585020000000004</v>
      </c>
      <c r="E180" s="25">
        <f t="shared" si="54"/>
        <v>1.4646150000000002</v>
      </c>
      <c r="F180" s="14">
        <v>300</v>
      </c>
      <c r="G180" s="24">
        <f>E180/F180</f>
        <v>4.8820500000000006E-3</v>
      </c>
      <c r="H180" s="18" t="str">
        <f>IF(G180&lt;0.007,"OK","ERROR")</f>
        <v>OK</v>
      </c>
    </row>
    <row r="181" spans="2:8" s="40" customFormat="1" x14ac:dyDescent="0.25">
      <c r="B181" s="20"/>
      <c r="C181" s="14" t="s">
        <v>108</v>
      </c>
      <c r="D181" s="25">
        <v>5.6938870000000001</v>
      </c>
      <c r="E181" s="25">
        <f t="shared" si="54"/>
        <v>1.4299270000000002</v>
      </c>
      <c r="F181" s="14">
        <v>300</v>
      </c>
      <c r="G181" s="24">
        <f t="shared" ref="G181:G187" si="57">E181/F181</f>
        <v>4.7664233333333337E-3</v>
      </c>
      <c r="H181" s="18" t="str">
        <f t="shared" ref="H181:H187" si="58">IF(G181&lt;0.007,"OK","ERROR")</f>
        <v>OK</v>
      </c>
    </row>
    <row r="182" spans="2:8" s="40" customFormat="1" x14ac:dyDescent="0.25">
      <c r="B182" s="20"/>
      <c r="C182" s="14" t="s">
        <v>109</v>
      </c>
      <c r="D182" s="25">
        <v>4.26396</v>
      </c>
      <c r="E182" s="25">
        <f t="shared" si="54"/>
        <v>1.3493900000000001</v>
      </c>
      <c r="F182" s="14">
        <v>300</v>
      </c>
      <c r="G182" s="24">
        <f t="shared" si="57"/>
        <v>4.4979666666666671E-3</v>
      </c>
      <c r="H182" s="18" t="str">
        <f t="shared" si="58"/>
        <v>OK</v>
      </c>
    </row>
    <row r="183" spans="2:8" s="40" customFormat="1" x14ac:dyDescent="0.25">
      <c r="B183" s="20"/>
      <c r="C183" s="14" t="s">
        <v>110</v>
      </c>
      <c r="D183" s="25">
        <v>2.9145699999999999</v>
      </c>
      <c r="E183" s="25">
        <f t="shared" si="54"/>
        <v>1.2102449999999998</v>
      </c>
      <c r="F183" s="14">
        <v>300</v>
      </c>
      <c r="G183" s="24">
        <f t="shared" si="57"/>
        <v>4.0341499999999994E-3</v>
      </c>
      <c r="H183" s="18" t="str">
        <f t="shared" si="58"/>
        <v>OK</v>
      </c>
    </row>
    <row r="184" spans="2:8" s="40" customFormat="1" x14ac:dyDescent="0.25">
      <c r="B184" s="20"/>
      <c r="C184" s="14" t="s">
        <v>111</v>
      </c>
      <c r="D184" s="25">
        <v>1.7043250000000001</v>
      </c>
      <c r="E184" s="25">
        <f t="shared" si="54"/>
        <v>0.9936370000000001</v>
      </c>
      <c r="F184" s="14">
        <v>300</v>
      </c>
      <c r="G184" s="24">
        <f t="shared" si="57"/>
        <v>3.3121233333333337E-3</v>
      </c>
      <c r="H184" s="18" t="str">
        <f t="shared" si="58"/>
        <v>OK</v>
      </c>
    </row>
    <row r="185" spans="2:8" s="40" customFormat="1" x14ac:dyDescent="0.25">
      <c r="B185" s="20"/>
      <c r="C185" s="14" t="s">
        <v>112</v>
      </c>
      <c r="D185" s="25">
        <v>0.71068799999999999</v>
      </c>
      <c r="E185" s="25">
        <f t="shared" si="54"/>
        <v>0.65908500000000003</v>
      </c>
      <c r="F185" s="14">
        <v>300</v>
      </c>
      <c r="G185" s="24">
        <f t="shared" si="57"/>
        <v>2.19695E-3</v>
      </c>
      <c r="H185" s="18" t="str">
        <f t="shared" si="58"/>
        <v>OK</v>
      </c>
    </row>
    <row r="186" spans="2:8" s="40" customFormat="1" x14ac:dyDescent="0.25">
      <c r="B186" s="20"/>
      <c r="C186" s="14" t="s">
        <v>113</v>
      </c>
      <c r="D186" s="25">
        <v>5.1603000000000003E-2</v>
      </c>
      <c r="E186" s="25">
        <f t="shared" si="54"/>
        <v>5.1603000000000003E-2</v>
      </c>
      <c r="F186" s="14">
        <v>280</v>
      </c>
      <c r="G186" s="24">
        <f t="shared" si="57"/>
        <v>1.8429642857142859E-4</v>
      </c>
      <c r="H186" s="18" t="str">
        <f t="shared" si="58"/>
        <v>OK</v>
      </c>
    </row>
    <row r="187" spans="2:8" s="40" customFormat="1" x14ac:dyDescent="0.25">
      <c r="B187" s="20"/>
      <c r="C187" s="14" t="s">
        <v>114</v>
      </c>
      <c r="D187" s="25">
        <v>0</v>
      </c>
      <c r="E187" s="25">
        <f>D187-D188</f>
        <v>0</v>
      </c>
      <c r="F187" s="14">
        <v>280</v>
      </c>
      <c r="G187" s="24">
        <f t="shared" si="57"/>
        <v>0</v>
      </c>
      <c r="H187" s="18" t="str">
        <f t="shared" si="58"/>
        <v>OK</v>
      </c>
    </row>
    <row r="188" spans="2:8" s="40" customFormat="1" x14ac:dyDescent="0.25">
      <c r="B188" s="20"/>
      <c r="C188" s="23" t="s">
        <v>118</v>
      </c>
      <c r="D188" s="25">
        <v>0</v>
      </c>
      <c r="E188" s="12"/>
      <c r="F188" s="12"/>
      <c r="G188" s="12"/>
    </row>
    <row r="189" spans="2:8" s="42" customFormat="1" x14ac:dyDescent="0.25">
      <c r="B189" s="20" t="s">
        <v>131</v>
      </c>
      <c r="C189" s="23" t="s">
        <v>123</v>
      </c>
      <c r="D189" s="25">
        <v>13.144589</v>
      </c>
      <c r="E189" s="25">
        <f t="shared" ref="E189:E199" si="59">D189-D190</f>
        <v>1.4460870000000003</v>
      </c>
      <c r="F189" s="14">
        <v>300</v>
      </c>
      <c r="G189" s="24">
        <f t="shared" ref="G189:G192" si="60">E189/F189</f>
        <v>4.8202900000000014E-3</v>
      </c>
      <c r="H189" s="18" t="str">
        <f t="shared" ref="H189:H192" si="61">IF(G189&lt;0.007,"OK","ERROR")</f>
        <v>OK</v>
      </c>
    </row>
    <row r="190" spans="2:8" s="42" customFormat="1" x14ac:dyDescent="0.25">
      <c r="B190" s="20"/>
      <c r="C190" s="23" t="s">
        <v>124</v>
      </c>
      <c r="D190" s="25">
        <v>11.698502</v>
      </c>
      <c r="E190" s="25">
        <f t="shared" si="59"/>
        <v>1.4943179999999998</v>
      </c>
      <c r="F190" s="14">
        <v>300</v>
      </c>
      <c r="G190" s="24">
        <f t="shared" si="60"/>
        <v>4.981059999999999E-3</v>
      </c>
      <c r="H190" s="18" t="str">
        <f t="shared" si="61"/>
        <v>OK</v>
      </c>
    </row>
    <row r="191" spans="2:8" s="42" customFormat="1" x14ac:dyDescent="0.25">
      <c r="B191" s="20"/>
      <c r="C191" s="23" t="s">
        <v>125</v>
      </c>
      <c r="D191" s="25">
        <v>10.204184</v>
      </c>
      <c r="E191" s="25">
        <f t="shared" si="59"/>
        <v>1.5235419999999991</v>
      </c>
      <c r="F191" s="14">
        <v>300</v>
      </c>
      <c r="G191" s="24">
        <f t="shared" si="60"/>
        <v>5.0784733333333306E-3</v>
      </c>
      <c r="H191" s="18" t="str">
        <f t="shared" si="61"/>
        <v>OK</v>
      </c>
    </row>
    <row r="192" spans="2:8" s="42" customFormat="1" x14ac:dyDescent="0.25">
      <c r="B192" s="20"/>
      <c r="C192" s="23" t="s">
        <v>126</v>
      </c>
      <c r="D192" s="25">
        <v>8.6806420000000006</v>
      </c>
      <c r="E192" s="25">
        <f t="shared" si="59"/>
        <v>1.5221400000000003</v>
      </c>
      <c r="F192" s="14">
        <v>300</v>
      </c>
      <c r="G192" s="24">
        <f t="shared" si="60"/>
        <v>5.0738000000000007E-3</v>
      </c>
      <c r="H192" s="18" t="str">
        <f t="shared" si="61"/>
        <v>OK</v>
      </c>
    </row>
    <row r="193" spans="2:8" s="42" customFormat="1" x14ac:dyDescent="0.25">
      <c r="B193" s="20"/>
      <c r="C193" s="14" t="s">
        <v>107</v>
      </c>
      <c r="D193" s="25">
        <v>7.1585020000000004</v>
      </c>
      <c r="E193" s="25">
        <f t="shared" si="59"/>
        <v>1.4646150000000002</v>
      </c>
      <c r="F193" s="14">
        <v>300</v>
      </c>
      <c r="G193" s="24">
        <f>E193/F193</f>
        <v>4.8820500000000006E-3</v>
      </c>
      <c r="H193" s="18" t="str">
        <f>IF(G193&lt;0.007,"OK","ERROR")</f>
        <v>OK</v>
      </c>
    </row>
    <row r="194" spans="2:8" s="42" customFormat="1" x14ac:dyDescent="0.25">
      <c r="B194" s="20"/>
      <c r="C194" s="14" t="s">
        <v>108</v>
      </c>
      <c r="D194" s="25">
        <v>5.6938870000000001</v>
      </c>
      <c r="E194" s="25">
        <f t="shared" si="59"/>
        <v>1.4299270000000002</v>
      </c>
      <c r="F194" s="14">
        <v>300</v>
      </c>
      <c r="G194" s="24">
        <f t="shared" ref="G194:G200" si="62">E194/F194</f>
        <v>4.7664233333333337E-3</v>
      </c>
      <c r="H194" s="18" t="str">
        <f t="shared" ref="H194:H200" si="63">IF(G194&lt;0.007,"OK","ERROR")</f>
        <v>OK</v>
      </c>
    </row>
    <row r="195" spans="2:8" s="42" customFormat="1" x14ac:dyDescent="0.25">
      <c r="B195" s="20"/>
      <c r="C195" s="14" t="s">
        <v>109</v>
      </c>
      <c r="D195" s="25">
        <v>4.26396</v>
      </c>
      <c r="E195" s="25">
        <f t="shared" si="59"/>
        <v>1.3493900000000001</v>
      </c>
      <c r="F195" s="14">
        <v>300</v>
      </c>
      <c r="G195" s="24">
        <f t="shared" si="62"/>
        <v>4.4979666666666671E-3</v>
      </c>
      <c r="H195" s="18" t="str">
        <f t="shared" si="63"/>
        <v>OK</v>
      </c>
    </row>
    <row r="196" spans="2:8" s="42" customFormat="1" x14ac:dyDescent="0.25">
      <c r="B196" s="20"/>
      <c r="C196" s="14" t="s">
        <v>110</v>
      </c>
      <c r="D196" s="25">
        <v>2.9145699999999999</v>
      </c>
      <c r="E196" s="25">
        <f t="shared" si="59"/>
        <v>1.2102449999999998</v>
      </c>
      <c r="F196" s="14">
        <v>300</v>
      </c>
      <c r="G196" s="24">
        <f t="shared" si="62"/>
        <v>4.0341499999999994E-3</v>
      </c>
      <c r="H196" s="18" t="str">
        <f t="shared" si="63"/>
        <v>OK</v>
      </c>
    </row>
    <row r="197" spans="2:8" s="42" customFormat="1" x14ac:dyDescent="0.25">
      <c r="B197" s="20"/>
      <c r="C197" s="14" t="s">
        <v>111</v>
      </c>
      <c r="D197" s="25">
        <v>1.7043250000000001</v>
      </c>
      <c r="E197" s="25">
        <f t="shared" si="59"/>
        <v>0.9936370000000001</v>
      </c>
      <c r="F197" s="14">
        <v>300</v>
      </c>
      <c r="G197" s="24">
        <f t="shared" si="62"/>
        <v>3.3121233333333337E-3</v>
      </c>
      <c r="H197" s="18" t="str">
        <f t="shared" si="63"/>
        <v>OK</v>
      </c>
    </row>
    <row r="198" spans="2:8" s="42" customFormat="1" x14ac:dyDescent="0.25">
      <c r="B198" s="20"/>
      <c r="C198" s="14" t="s">
        <v>112</v>
      </c>
      <c r="D198" s="25">
        <v>0.71068799999999999</v>
      </c>
      <c r="E198" s="25">
        <f t="shared" si="59"/>
        <v>0.65908500000000003</v>
      </c>
      <c r="F198" s="14">
        <v>300</v>
      </c>
      <c r="G198" s="24">
        <f t="shared" si="62"/>
        <v>2.19695E-3</v>
      </c>
      <c r="H198" s="18" t="str">
        <f t="shared" si="63"/>
        <v>OK</v>
      </c>
    </row>
    <row r="199" spans="2:8" s="42" customFormat="1" x14ac:dyDescent="0.25">
      <c r="B199" s="20"/>
      <c r="C199" s="14" t="s">
        <v>113</v>
      </c>
      <c r="D199" s="25">
        <v>5.1603000000000003E-2</v>
      </c>
      <c r="E199" s="25">
        <f t="shared" si="59"/>
        <v>5.1603000000000003E-2</v>
      </c>
      <c r="F199" s="14">
        <v>280</v>
      </c>
      <c r="G199" s="24">
        <f t="shared" si="62"/>
        <v>1.8429642857142859E-4</v>
      </c>
      <c r="H199" s="18" t="str">
        <f t="shared" si="63"/>
        <v>OK</v>
      </c>
    </row>
    <row r="200" spans="2:8" s="42" customFormat="1" x14ac:dyDescent="0.25">
      <c r="B200" s="20"/>
      <c r="C200" s="14" t="s">
        <v>114</v>
      </c>
      <c r="D200" s="25">
        <v>0</v>
      </c>
      <c r="E200" s="25">
        <f>D200-D201</f>
        <v>0</v>
      </c>
      <c r="F200" s="14">
        <v>280</v>
      </c>
      <c r="G200" s="24">
        <f t="shared" si="62"/>
        <v>0</v>
      </c>
      <c r="H200" s="18" t="str">
        <f t="shared" si="63"/>
        <v>OK</v>
      </c>
    </row>
    <row r="201" spans="2:8" s="42" customFormat="1" x14ac:dyDescent="0.25">
      <c r="B201" s="20"/>
      <c r="C201" s="23" t="s">
        <v>118</v>
      </c>
      <c r="D201" s="25">
        <v>0</v>
      </c>
      <c r="E201" s="12"/>
      <c r="F201" s="12"/>
      <c r="G201" s="12"/>
    </row>
    <row r="202" spans="2:8" s="44" customFormat="1" x14ac:dyDescent="0.25">
      <c r="B202" s="20" t="s">
        <v>132</v>
      </c>
      <c r="C202" s="14" t="s">
        <v>107</v>
      </c>
      <c r="D202" s="25">
        <v>7.1585020000000004</v>
      </c>
      <c r="E202" s="25">
        <f t="shared" ref="E202:E208" si="64">D202-D203</f>
        <v>1.4646150000000002</v>
      </c>
      <c r="F202" s="14">
        <v>300</v>
      </c>
      <c r="G202" s="24">
        <f>E202/F202</f>
        <v>4.8820500000000006E-3</v>
      </c>
      <c r="H202" s="18" t="str">
        <f>IF(G202&lt;0.007,"OK","ERROR")</f>
        <v>OK</v>
      </c>
    </row>
    <row r="203" spans="2:8" s="44" customFormat="1" x14ac:dyDescent="0.25">
      <c r="B203" s="20"/>
      <c r="C203" s="14" t="s">
        <v>108</v>
      </c>
      <c r="D203" s="25">
        <v>5.6938870000000001</v>
      </c>
      <c r="E203" s="25">
        <f t="shared" si="64"/>
        <v>1.4299270000000002</v>
      </c>
      <c r="F203" s="14">
        <v>300</v>
      </c>
      <c r="G203" s="24">
        <f t="shared" ref="G203:G209" si="65">E203/F203</f>
        <v>4.7664233333333337E-3</v>
      </c>
      <c r="H203" s="18" t="str">
        <f t="shared" ref="H203:H209" si="66">IF(G203&lt;0.007,"OK","ERROR")</f>
        <v>OK</v>
      </c>
    </row>
    <row r="204" spans="2:8" s="44" customFormat="1" x14ac:dyDescent="0.25">
      <c r="B204" s="20"/>
      <c r="C204" s="14" t="s">
        <v>109</v>
      </c>
      <c r="D204" s="25">
        <v>4.26396</v>
      </c>
      <c r="E204" s="25">
        <f t="shared" si="64"/>
        <v>1.3493900000000001</v>
      </c>
      <c r="F204" s="14">
        <v>300</v>
      </c>
      <c r="G204" s="24">
        <f t="shared" si="65"/>
        <v>4.4979666666666671E-3</v>
      </c>
      <c r="H204" s="18" t="str">
        <f t="shared" si="66"/>
        <v>OK</v>
      </c>
    </row>
    <row r="205" spans="2:8" s="44" customFormat="1" x14ac:dyDescent="0.25">
      <c r="B205" s="20"/>
      <c r="C205" s="14" t="s">
        <v>110</v>
      </c>
      <c r="D205" s="25">
        <v>2.9145699999999999</v>
      </c>
      <c r="E205" s="25">
        <f t="shared" si="64"/>
        <v>1.2102449999999998</v>
      </c>
      <c r="F205" s="14">
        <v>300</v>
      </c>
      <c r="G205" s="24">
        <f t="shared" si="65"/>
        <v>4.0341499999999994E-3</v>
      </c>
      <c r="H205" s="18" t="str">
        <f t="shared" si="66"/>
        <v>OK</v>
      </c>
    </row>
    <row r="206" spans="2:8" s="44" customFormat="1" x14ac:dyDescent="0.25">
      <c r="B206" s="20"/>
      <c r="C206" s="14" t="s">
        <v>111</v>
      </c>
      <c r="D206" s="25">
        <v>1.7043250000000001</v>
      </c>
      <c r="E206" s="25">
        <f t="shared" si="64"/>
        <v>0.9936370000000001</v>
      </c>
      <c r="F206" s="14">
        <v>300</v>
      </c>
      <c r="G206" s="24">
        <f t="shared" si="65"/>
        <v>3.3121233333333337E-3</v>
      </c>
      <c r="H206" s="18" t="str">
        <f t="shared" si="66"/>
        <v>OK</v>
      </c>
    </row>
    <row r="207" spans="2:8" s="44" customFormat="1" x14ac:dyDescent="0.25">
      <c r="B207" s="20"/>
      <c r="C207" s="14" t="s">
        <v>112</v>
      </c>
      <c r="D207" s="25">
        <v>0.71068799999999999</v>
      </c>
      <c r="E207" s="25">
        <f t="shared" si="64"/>
        <v>0.65908500000000003</v>
      </c>
      <c r="F207" s="14">
        <v>300</v>
      </c>
      <c r="G207" s="24">
        <f t="shared" si="65"/>
        <v>2.19695E-3</v>
      </c>
      <c r="H207" s="18" t="str">
        <f t="shared" si="66"/>
        <v>OK</v>
      </c>
    </row>
    <row r="208" spans="2:8" s="44" customFormat="1" x14ac:dyDescent="0.25">
      <c r="B208" s="20"/>
      <c r="C208" s="14" t="s">
        <v>113</v>
      </c>
      <c r="D208" s="25">
        <v>5.1603000000000003E-2</v>
      </c>
      <c r="E208" s="25">
        <f t="shared" si="64"/>
        <v>5.1603000000000003E-2</v>
      </c>
      <c r="F208" s="14">
        <v>280</v>
      </c>
      <c r="G208" s="24">
        <f t="shared" si="65"/>
        <v>1.8429642857142859E-4</v>
      </c>
      <c r="H208" s="18" t="str">
        <f t="shared" si="66"/>
        <v>OK</v>
      </c>
    </row>
    <row r="209" spans="2:8" s="44" customFormat="1" x14ac:dyDescent="0.25">
      <c r="B209" s="20"/>
      <c r="C209" s="14" t="s">
        <v>114</v>
      </c>
      <c r="D209" s="25">
        <v>0</v>
      </c>
      <c r="E209" s="25">
        <f>D209-D210</f>
        <v>0</v>
      </c>
      <c r="F209" s="14">
        <v>280</v>
      </c>
      <c r="G209" s="24">
        <f t="shared" si="65"/>
        <v>0</v>
      </c>
      <c r="H209" s="18" t="str">
        <f t="shared" si="66"/>
        <v>OK</v>
      </c>
    </row>
    <row r="210" spans="2:8" s="44" customFormat="1" x14ac:dyDescent="0.25">
      <c r="B210" s="20"/>
      <c r="C210" s="23" t="s">
        <v>118</v>
      </c>
      <c r="D210" s="25">
        <v>0</v>
      </c>
      <c r="E210" s="12"/>
      <c r="F210" s="12"/>
      <c r="G210" s="12"/>
    </row>
    <row r="211" spans="2:8" s="46" customFormat="1" x14ac:dyDescent="0.25">
      <c r="B211" s="20" t="s">
        <v>133</v>
      </c>
      <c r="C211" s="14" t="s">
        <v>107</v>
      </c>
      <c r="D211" s="25">
        <v>6.7837370000000004</v>
      </c>
      <c r="E211" s="25">
        <f t="shared" ref="E211:E217" si="67">D211-D212</f>
        <v>1.3909790000000006</v>
      </c>
      <c r="F211" s="14">
        <v>300</v>
      </c>
      <c r="G211" s="24">
        <f>E211/F211</f>
        <v>4.6365966666666687E-3</v>
      </c>
      <c r="H211" s="18" t="str">
        <f>IF(G211&lt;0.007,"OK","ERROR")</f>
        <v>OK</v>
      </c>
    </row>
    <row r="212" spans="2:8" s="46" customFormat="1" x14ac:dyDescent="0.25">
      <c r="B212" s="20"/>
      <c r="C212" s="14" t="s">
        <v>108</v>
      </c>
      <c r="D212" s="25">
        <v>5.3927579999999997</v>
      </c>
      <c r="E212" s="25">
        <f t="shared" si="67"/>
        <v>1.3566529999999997</v>
      </c>
      <c r="F212" s="14">
        <v>300</v>
      </c>
      <c r="G212" s="24">
        <f t="shared" ref="G212:G218" si="68">E212/F212</f>
        <v>4.5221766666666656E-3</v>
      </c>
      <c r="H212" s="18" t="str">
        <f t="shared" ref="H212:H218" si="69">IF(G212&lt;0.007,"OK","ERROR")</f>
        <v>OK</v>
      </c>
    </row>
    <row r="213" spans="2:8" s="46" customFormat="1" x14ac:dyDescent="0.25">
      <c r="B213" s="20"/>
      <c r="C213" s="14" t="s">
        <v>109</v>
      </c>
      <c r="D213" s="25">
        <v>4.0361050000000001</v>
      </c>
      <c r="E213" s="25">
        <f t="shared" si="67"/>
        <v>1.278769</v>
      </c>
      <c r="F213" s="14">
        <v>300</v>
      </c>
      <c r="G213" s="24">
        <f t="shared" si="68"/>
        <v>4.2625633333333336E-3</v>
      </c>
      <c r="H213" s="18" t="str">
        <f t="shared" si="69"/>
        <v>OK</v>
      </c>
    </row>
    <row r="214" spans="2:8" s="46" customFormat="1" x14ac:dyDescent="0.25">
      <c r="B214" s="20"/>
      <c r="C214" s="14" t="s">
        <v>110</v>
      </c>
      <c r="D214" s="25">
        <v>2.757336</v>
      </c>
      <c r="E214" s="25">
        <f t="shared" si="67"/>
        <v>1.145384</v>
      </c>
      <c r="F214" s="14">
        <v>300</v>
      </c>
      <c r="G214" s="24">
        <f t="shared" si="68"/>
        <v>3.8179466666666663E-3</v>
      </c>
      <c r="H214" s="18" t="str">
        <f t="shared" si="69"/>
        <v>OK</v>
      </c>
    </row>
    <row r="215" spans="2:8" s="46" customFormat="1" x14ac:dyDescent="0.25">
      <c r="B215" s="20"/>
      <c r="C215" s="14" t="s">
        <v>111</v>
      </c>
      <c r="D215" s="25">
        <v>1.6119520000000001</v>
      </c>
      <c r="E215" s="25">
        <f t="shared" si="67"/>
        <v>0.93905800000000006</v>
      </c>
      <c r="F215" s="14">
        <v>300</v>
      </c>
      <c r="G215" s="24">
        <f t="shared" si="68"/>
        <v>3.1301933333333335E-3</v>
      </c>
      <c r="H215" s="18" t="str">
        <f t="shared" si="69"/>
        <v>OK</v>
      </c>
    </row>
    <row r="216" spans="2:8" s="46" customFormat="1" x14ac:dyDescent="0.25">
      <c r="B216" s="20"/>
      <c r="C216" s="14" t="s">
        <v>112</v>
      </c>
      <c r="D216" s="25">
        <v>0.67289399999999999</v>
      </c>
      <c r="E216" s="25">
        <f t="shared" si="67"/>
        <v>0.62248899999999996</v>
      </c>
      <c r="F216" s="14">
        <v>300</v>
      </c>
      <c r="G216" s="24">
        <f t="shared" si="68"/>
        <v>2.0749633333333331E-3</v>
      </c>
      <c r="H216" s="18" t="str">
        <f t="shared" si="69"/>
        <v>OK</v>
      </c>
    </row>
    <row r="217" spans="2:8" s="46" customFormat="1" x14ac:dyDescent="0.25">
      <c r="B217" s="20"/>
      <c r="C217" s="14" t="s">
        <v>113</v>
      </c>
      <c r="D217" s="25">
        <v>5.0404999999999998E-2</v>
      </c>
      <c r="E217" s="25">
        <f t="shared" si="67"/>
        <v>5.0404999999999998E-2</v>
      </c>
      <c r="F217" s="14">
        <v>280</v>
      </c>
      <c r="G217" s="24">
        <f t="shared" si="68"/>
        <v>1.8001785714285713E-4</v>
      </c>
      <c r="H217" s="18" t="str">
        <f t="shared" si="69"/>
        <v>OK</v>
      </c>
    </row>
    <row r="218" spans="2:8" s="46" customFormat="1" x14ac:dyDescent="0.25">
      <c r="B218" s="20"/>
      <c r="C218" s="14" t="s">
        <v>114</v>
      </c>
      <c r="D218" s="25">
        <v>0</v>
      </c>
      <c r="E218" s="25">
        <f>D218-D219</f>
        <v>0</v>
      </c>
      <c r="F218" s="14">
        <v>280</v>
      </c>
      <c r="G218" s="24">
        <f t="shared" si="68"/>
        <v>0</v>
      </c>
      <c r="H218" s="18" t="str">
        <f t="shared" si="69"/>
        <v>OK</v>
      </c>
    </row>
    <row r="219" spans="2:8" s="46" customFormat="1" x14ac:dyDescent="0.25">
      <c r="B219" s="20"/>
      <c r="C219" s="23" t="s">
        <v>118</v>
      </c>
      <c r="D219" s="25">
        <v>0</v>
      </c>
      <c r="E219" s="12"/>
      <c r="F219" s="12"/>
      <c r="G219" s="12"/>
    </row>
    <row r="220" spans="2:8" s="48" customFormat="1" x14ac:dyDescent="0.25">
      <c r="B220" s="20" t="s">
        <v>134</v>
      </c>
      <c r="C220" s="14" t="s">
        <v>107</v>
      </c>
      <c r="D220" s="25">
        <v>6.7830009999999996</v>
      </c>
      <c r="E220" s="25">
        <f t="shared" ref="E220:E226" si="70">D220-D221</f>
        <v>1.3908049999999994</v>
      </c>
      <c r="F220" s="14">
        <v>300</v>
      </c>
      <c r="G220" s="24">
        <f>E220/F220</f>
        <v>4.6360166666666643E-3</v>
      </c>
      <c r="H220" s="18" t="str">
        <f>IF(G220&lt;0.007,"OK","ERROR")</f>
        <v>OK</v>
      </c>
    </row>
    <row r="221" spans="2:8" s="48" customFormat="1" x14ac:dyDescent="0.25">
      <c r="B221" s="20"/>
      <c r="C221" s="14" t="s">
        <v>108</v>
      </c>
      <c r="D221" s="25">
        <v>5.3921960000000002</v>
      </c>
      <c r="E221" s="25">
        <f t="shared" si="70"/>
        <v>1.3564959999999999</v>
      </c>
      <c r="F221" s="14">
        <v>300</v>
      </c>
      <c r="G221" s="24">
        <f t="shared" ref="G221:G227" si="71">E221/F221</f>
        <v>4.5216533333333328E-3</v>
      </c>
      <c r="H221" s="18" t="str">
        <f t="shared" ref="H221:H227" si="72">IF(G221&lt;0.007,"OK","ERROR")</f>
        <v>OK</v>
      </c>
    </row>
    <row r="222" spans="2:8" s="48" customFormat="1" x14ac:dyDescent="0.25">
      <c r="B222" s="20"/>
      <c r="C222" s="14" t="s">
        <v>109</v>
      </c>
      <c r="D222" s="25">
        <v>4.0357000000000003</v>
      </c>
      <c r="E222" s="25">
        <f t="shared" si="70"/>
        <v>1.2786340000000003</v>
      </c>
      <c r="F222" s="14">
        <v>300</v>
      </c>
      <c r="G222" s="24">
        <f t="shared" si="71"/>
        <v>4.2621133333333346E-3</v>
      </c>
      <c r="H222" s="18" t="str">
        <f t="shared" si="72"/>
        <v>OK</v>
      </c>
    </row>
    <row r="223" spans="2:8" s="48" customFormat="1" x14ac:dyDescent="0.25">
      <c r="B223" s="20"/>
      <c r="C223" s="14" t="s">
        <v>110</v>
      </c>
      <c r="D223" s="25">
        <v>2.757066</v>
      </c>
      <c r="E223" s="25">
        <f t="shared" si="70"/>
        <v>1.14527</v>
      </c>
      <c r="F223" s="14">
        <v>300</v>
      </c>
      <c r="G223" s="24">
        <f t="shared" si="71"/>
        <v>3.8175666666666669E-3</v>
      </c>
      <c r="H223" s="18" t="str">
        <f t="shared" si="72"/>
        <v>OK</v>
      </c>
    </row>
    <row r="224" spans="2:8" s="48" customFormat="1" x14ac:dyDescent="0.25">
      <c r="B224" s="20"/>
      <c r="C224" s="14" t="s">
        <v>111</v>
      </c>
      <c r="D224" s="25">
        <v>1.611796</v>
      </c>
      <c r="E224" s="25">
        <f t="shared" si="70"/>
        <v>0.93896500000000005</v>
      </c>
      <c r="F224" s="14">
        <v>300</v>
      </c>
      <c r="G224" s="24">
        <f t="shared" si="71"/>
        <v>3.1298833333333336E-3</v>
      </c>
      <c r="H224" s="18" t="str">
        <f t="shared" si="72"/>
        <v>OK</v>
      </c>
    </row>
    <row r="225" spans="1:8" s="48" customFormat="1" x14ac:dyDescent="0.25">
      <c r="B225" s="20"/>
      <c r="C225" s="14" t="s">
        <v>112</v>
      </c>
      <c r="D225" s="25">
        <v>0.67283099999999996</v>
      </c>
      <c r="E225" s="25">
        <f t="shared" si="70"/>
        <v>0.62242799999999998</v>
      </c>
      <c r="F225" s="14">
        <v>300</v>
      </c>
      <c r="G225" s="24">
        <f t="shared" si="71"/>
        <v>2.0747600000000001E-3</v>
      </c>
      <c r="H225" s="18" t="str">
        <f t="shared" si="72"/>
        <v>OK</v>
      </c>
    </row>
    <row r="226" spans="1:8" s="48" customFormat="1" x14ac:dyDescent="0.25">
      <c r="B226" s="20"/>
      <c r="C226" s="14" t="s">
        <v>113</v>
      </c>
      <c r="D226" s="25">
        <v>5.0403000000000003E-2</v>
      </c>
      <c r="E226" s="25">
        <f t="shared" si="70"/>
        <v>5.0403000000000003E-2</v>
      </c>
      <c r="F226" s="14">
        <v>280</v>
      </c>
      <c r="G226" s="24">
        <f t="shared" si="71"/>
        <v>1.800107142857143E-4</v>
      </c>
      <c r="H226" s="18" t="str">
        <f t="shared" si="72"/>
        <v>OK</v>
      </c>
    </row>
    <row r="227" spans="1:8" s="48" customFormat="1" x14ac:dyDescent="0.25">
      <c r="B227" s="20"/>
      <c r="C227" s="14" t="s">
        <v>114</v>
      </c>
      <c r="D227" s="25">
        <v>0</v>
      </c>
      <c r="E227" s="25">
        <f>D227-D228</f>
        <v>0</v>
      </c>
      <c r="F227" s="14">
        <v>280</v>
      </c>
      <c r="G227" s="24">
        <f t="shared" si="71"/>
        <v>0</v>
      </c>
      <c r="H227" s="18" t="str">
        <f t="shared" si="72"/>
        <v>OK</v>
      </c>
    </row>
    <row r="228" spans="1:8" s="48" customFormat="1" x14ac:dyDescent="0.25">
      <c r="B228" s="20"/>
      <c r="C228" s="23" t="s">
        <v>118</v>
      </c>
      <c r="D228" s="25">
        <v>0</v>
      </c>
      <c r="E228" s="12"/>
      <c r="F228" s="12"/>
      <c r="G228" s="12"/>
    </row>
    <row r="231" spans="1:8" x14ac:dyDescent="0.25">
      <c r="A231" s="6">
        <v>3</v>
      </c>
      <c r="B231" s="19" t="s">
        <v>135</v>
      </c>
    </row>
    <row r="233" spans="1:8" x14ac:dyDescent="0.25">
      <c r="A233" s="6">
        <v>3.1</v>
      </c>
      <c r="B233" s="6" t="s">
        <v>136</v>
      </c>
    </row>
    <row r="245" spans="2:13" x14ac:dyDescent="0.25">
      <c r="B245" s="51" t="s">
        <v>137</v>
      </c>
      <c r="C245" s="52"/>
      <c r="D245" s="50"/>
      <c r="E245" s="52"/>
      <c r="F245" s="52"/>
      <c r="G245" s="50"/>
      <c r="H245" s="50"/>
      <c r="I245" s="50"/>
      <c r="J245" s="50"/>
    </row>
    <row r="246" spans="2:13" x14ac:dyDescent="0.25">
      <c r="B246" s="39" t="s">
        <v>138</v>
      </c>
      <c r="C246" s="39" t="s">
        <v>139</v>
      </c>
      <c r="D246" s="53" t="s">
        <v>140</v>
      </c>
      <c r="E246" s="8" t="s">
        <v>141</v>
      </c>
      <c r="F246" s="39" t="s">
        <v>142</v>
      </c>
      <c r="G246" s="53" t="s">
        <v>4</v>
      </c>
      <c r="H246" s="53" t="s">
        <v>143</v>
      </c>
      <c r="I246" s="9" t="s">
        <v>144</v>
      </c>
      <c r="J246" s="9" t="s">
        <v>145</v>
      </c>
    </row>
    <row r="247" spans="2:13" x14ac:dyDescent="0.25">
      <c r="B247" s="54" t="s">
        <v>101</v>
      </c>
      <c r="C247" s="54" t="s">
        <v>101</v>
      </c>
      <c r="D247" s="55" t="s">
        <v>146</v>
      </c>
      <c r="E247" s="10" t="s">
        <v>147</v>
      </c>
      <c r="F247" s="54" t="s">
        <v>147</v>
      </c>
      <c r="G247" s="55" t="s">
        <v>146</v>
      </c>
      <c r="H247" s="55" t="s">
        <v>146</v>
      </c>
      <c r="I247" s="11" t="s">
        <v>148</v>
      </c>
      <c r="J247" s="11" t="s">
        <v>148</v>
      </c>
    </row>
    <row r="248" spans="2:13" x14ac:dyDescent="0.25">
      <c r="B248" s="13" t="s">
        <v>149</v>
      </c>
      <c r="C248" s="13" t="s">
        <v>150</v>
      </c>
      <c r="D248" s="14">
        <v>0.05</v>
      </c>
      <c r="E248" s="13" t="s">
        <v>151</v>
      </c>
      <c r="F248" s="13" t="s">
        <v>151</v>
      </c>
      <c r="G248" s="14">
        <v>0.13089999999999999</v>
      </c>
      <c r="H248" s="14">
        <v>1.0683</v>
      </c>
      <c r="I248" s="14">
        <v>8617.4367000000002</v>
      </c>
      <c r="J248" s="14">
        <v>1128.0225</v>
      </c>
    </row>
    <row r="249" spans="2:13" x14ac:dyDescent="0.25">
      <c r="B249" s="13" t="s">
        <v>152</v>
      </c>
      <c r="C249" s="13" t="s">
        <v>153</v>
      </c>
      <c r="D249" s="14">
        <v>0.05</v>
      </c>
      <c r="E249" s="13" t="s">
        <v>151</v>
      </c>
      <c r="F249" s="13" t="s">
        <v>151</v>
      </c>
      <c r="G249" s="14">
        <v>0.13089999999999999</v>
      </c>
      <c r="H249" s="14">
        <v>1.0683</v>
      </c>
      <c r="I249" s="14">
        <v>8617.4367000000002</v>
      </c>
      <c r="J249" s="14">
        <v>1128.0225</v>
      </c>
    </row>
    <row r="254" spans="2:13" x14ac:dyDescent="0.25">
      <c r="M254" s="6" t="s">
        <v>105</v>
      </c>
    </row>
  </sheetData>
  <mergeCells count="20">
    <mergeCell ref="B211:B219"/>
    <mergeCell ref="B123:B131"/>
    <mergeCell ref="B220:B228"/>
    <mergeCell ref="B176:B188"/>
    <mergeCell ref="B92:B104"/>
    <mergeCell ref="B189:B201"/>
    <mergeCell ref="B105:B113"/>
    <mergeCell ref="B202:B210"/>
    <mergeCell ref="B114:B122"/>
    <mergeCell ref="B147:B159"/>
    <mergeCell ref="B60:B72"/>
    <mergeCell ref="B160:B172"/>
    <mergeCell ref="B73:B75"/>
    <mergeCell ref="B173:B175"/>
    <mergeCell ref="B76:B78"/>
    <mergeCell ref="B79:B91"/>
    <mergeCell ref="B8:F8"/>
    <mergeCell ref="B38:B46"/>
    <mergeCell ref="B138:B146"/>
    <mergeCell ref="B47:B59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91E31-003C-4E1B-A546-99C0B3B8097F}">
  <dimension ref="B2:J110"/>
  <sheetViews>
    <sheetView tabSelected="1" workbookViewId="0">
      <selection activeCell="L11" sqref="L11"/>
    </sheetView>
  </sheetViews>
  <sheetFormatPr baseColWidth="10" defaultRowHeight="15" x14ac:dyDescent="0.25"/>
  <sheetData>
    <row r="2" spans="2:10" x14ac:dyDescent="0.25">
      <c r="B2" s="6" t="s">
        <v>157</v>
      </c>
      <c r="C2" s="56">
        <f>I21+I23+0.25*I25</f>
        <v>855.95008416600001</v>
      </c>
      <c r="D2" s="6" t="s">
        <v>155</v>
      </c>
    </row>
    <row r="4" spans="2:10" x14ac:dyDescent="0.25">
      <c r="B4" t="s">
        <v>13</v>
      </c>
      <c r="C4" t="s">
        <v>154</v>
      </c>
      <c r="D4">
        <v>58</v>
      </c>
      <c r="E4">
        <v>3</v>
      </c>
      <c r="F4">
        <v>0.4</v>
      </c>
      <c r="G4">
        <v>0.5</v>
      </c>
      <c r="H4" s="3">
        <v>2.4028</v>
      </c>
      <c r="I4" s="3">
        <f>D4*E4*F4*G4*H4</f>
        <v>83.617440000000016</v>
      </c>
      <c r="J4" t="s">
        <v>155</v>
      </c>
    </row>
    <row r="5" spans="2:10" x14ac:dyDescent="0.25">
      <c r="C5" t="s">
        <v>156</v>
      </c>
      <c r="D5">
        <v>2</v>
      </c>
      <c r="E5">
        <f>3.5*3</f>
        <v>10.5</v>
      </c>
      <c r="F5">
        <v>0.25</v>
      </c>
      <c r="G5">
        <v>0.4</v>
      </c>
      <c r="H5" s="3">
        <v>2.4028</v>
      </c>
      <c r="I5" s="3">
        <f>D5*E5*F5*G5*H5</f>
        <v>5.0458800000000004</v>
      </c>
      <c r="J5" s="49" t="s">
        <v>155</v>
      </c>
    </row>
    <row r="6" spans="2:10" x14ac:dyDescent="0.25">
      <c r="D6">
        <v>4</v>
      </c>
      <c r="E6">
        <f>3.5*3+5</f>
        <v>15.5</v>
      </c>
      <c r="F6" s="49">
        <v>0.25</v>
      </c>
      <c r="G6" s="49">
        <v>0.4</v>
      </c>
      <c r="H6" s="3">
        <v>2.4028</v>
      </c>
      <c r="I6" s="3">
        <f>D6*E6*F6*G6*H6</f>
        <v>14.897360000000001</v>
      </c>
      <c r="J6" s="49" t="s">
        <v>155</v>
      </c>
    </row>
    <row r="7" spans="2:10" x14ac:dyDescent="0.25">
      <c r="D7">
        <v>4</v>
      </c>
      <c r="E7">
        <f>3.5*3+5*2</f>
        <v>20.5</v>
      </c>
      <c r="F7" s="49">
        <v>0.25</v>
      </c>
      <c r="G7" s="49">
        <v>0.4</v>
      </c>
      <c r="H7" s="3">
        <v>2.4028</v>
      </c>
      <c r="I7" s="3">
        <f>D7*E7*F7*G7*H7</f>
        <v>19.702960000000004</v>
      </c>
      <c r="J7" s="49" t="s">
        <v>155</v>
      </c>
    </row>
    <row r="8" spans="2:10" x14ac:dyDescent="0.25">
      <c r="D8">
        <v>2</v>
      </c>
      <c r="E8">
        <f>4*5+2*4</f>
        <v>28</v>
      </c>
      <c r="F8" s="49">
        <v>0.25</v>
      </c>
      <c r="G8" s="49">
        <v>0.4</v>
      </c>
      <c r="H8" s="3">
        <v>2.4028</v>
      </c>
      <c r="I8" s="3">
        <f>D8*E8*F8*G8*H8</f>
        <v>13.455680000000001</v>
      </c>
      <c r="J8" s="49" t="s">
        <v>155</v>
      </c>
    </row>
    <row r="9" spans="2:10" x14ac:dyDescent="0.25">
      <c r="D9">
        <v>2</v>
      </c>
      <c r="E9">
        <f>41-4</f>
        <v>37</v>
      </c>
      <c r="F9" s="49">
        <v>0.25</v>
      </c>
      <c r="G9" s="49">
        <v>0.4</v>
      </c>
      <c r="H9" s="3">
        <v>2.4028</v>
      </c>
      <c r="I9" s="3">
        <f>D9*E9*F9*G9*H9</f>
        <v>17.780720000000002</v>
      </c>
      <c r="J9" s="49" t="s">
        <v>155</v>
      </c>
    </row>
    <row r="10" spans="2:10" x14ac:dyDescent="0.25">
      <c r="D10">
        <v>2</v>
      </c>
      <c r="E10">
        <v>41</v>
      </c>
      <c r="F10" s="49">
        <v>0.25</v>
      </c>
      <c r="G10" s="49">
        <v>0.4</v>
      </c>
      <c r="H10" s="3">
        <v>2.4028</v>
      </c>
      <c r="I10" s="3">
        <f>D10*E10*F10*G10*H10</f>
        <v>19.702960000000004</v>
      </c>
      <c r="J10" s="49" t="s">
        <v>155</v>
      </c>
    </row>
    <row r="11" spans="2:10" x14ac:dyDescent="0.25">
      <c r="C11" t="s">
        <v>158</v>
      </c>
      <c r="D11">
        <v>6</v>
      </c>
      <c r="E11">
        <v>5</v>
      </c>
      <c r="F11">
        <v>0.25</v>
      </c>
      <c r="G11">
        <v>3</v>
      </c>
      <c r="H11" s="3">
        <v>2.4028</v>
      </c>
      <c r="I11" s="3">
        <f>D11*E11*F11*G11*H11</f>
        <v>54.063000000000002</v>
      </c>
      <c r="J11" s="49" t="s">
        <v>155</v>
      </c>
    </row>
    <row r="12" spans="2:10" x14ac:dyDescent="0.25">
      <c r="D12">
        <v>2</v>
      </c>
      <c r="E12" s="49">
        <v>4</v>
      </c>
      <c r="F12" s="49">
        <v>0.25</v>
      </c>
      <c r="G12" s="49">
        <v>3</v>
      </c>
      <c r="H12" s="3">
        <v>2.4028</v>
      </c>
      <c r="I12" s="3">
        <f>D12*E12*F12*G12*H12</f>
        <v>14.4168</v>
      </c>
      <c r="J12" s="49" t="s">
        <v>155</v>
      </c>
    </row>
    <row r="13" spans="2:10" x14ac:dyDescent="0.25">
      <c r="D13">
        <v>4</v>
      </c>
      <c r="E13">
        <v>6</v>
      </c>
      <c r="F13">
        <v>0.25</v>
      </c>
      <c r="G13" s="49">
        <v>3</v>
      </c>
      <c r="H13" s="3">
        <v>2.4028</v>
      </c>
      <c r="I13" s="3">
        <f>D13*E13*F13*G13*H13</f>
        <v>43.250399999999999</v>
      </c>
      <c r="J13" s="49" t="s">
        <v>155</v>
      </c>
    </row>
    <row r="14" spans="2:10" x14ac:dyDescent="0.25">
      <c r="C14" t="s">
        <v>159</v>
      </c>
      <c r="D14">
        <v>3</v>
      </c>
      <c r="E14">
        <v>3.3540999999999999</v>
      </c>
      <c r="F14">
        <v>0.15</v>
      </c>
      <c r="G14">
        <v>1</v>
      </c>
      <c r="H14" s="3">
        <v>2.4028</v>
      </c>
      <c r="I14" s="3">
        <f t="shared" ref="I14:I15" si="0">D14*E14*F14*G14*H14</f>
        <v>3.6266541659999998</v>
      </c>
      <c r="J14" s="49" t="s">
        <v>155</v>
      </c>
    </row>
    <row r="15" spans="2:10" x14ac:dyDescent="0.25">
      <c r="D15">
        <v>2</v>
      </c>
      <c r="E15">
        <v>2.25</v>
      </c>
      <c r="F15">
        <v>0.15</v>
      </c>
      <c r="G15">
        <v>1</v>
      </c>
      <c r="H15" s="3">
        <v>2.4028</v>
      </c>
      <c r="I15" s="3">
        <f t="shared" si="0"/>
        <v>1.6218899999999998</v>
      </c>
      <c r="J15" s="49" t="s">
        <v>155</v>
      </c>
    </row>
    <row r="16" spans="2:10" x14ac:dyDescent="0.25">
      <c r="C16" t="s">
        <v>161</v>
      </c>
      <c r="D16">
        <v>1</v>
      </c>
      <c r="E16">
        <f>(41*20.5)-(80+(3.5*5*4)+(1.5*5))</f>
        <v>683</v>
      </c>
      <c r="F16">
        <v>0.05</v>
      </c>
      <c r="G16">
        <v>1</v>
      </c>
      <c r="H16" s="3">
        <v>2.4028</v>
      </c>
      <c r="I16" s="3">
        <f t="shared" ref="I16" si="1">D16*E16*F16*G16*H16</f>
        <v>82.055620000000005</v>
      </c>
      <c r="J16" s="49" t="s">
        <v>155</v>
      </c>
    </row>
    <row r="17" spans="2:10" x14ac:dyDescent="0.25">
      <c r="C17" t="s">
        <v>162</v>
      </c>
      <c r="D17">
        <v>132</v>
      </c>
      <c r="E17">
        <v>5</v>
      </c>
      <c r="F17">
        <v>0.1</v>
      </c>
      <c r="G17">
        <v>0.15</v>
      </c>
      <c r="H17" s="3">
        <v>2.4028</v>
      </c>
      <c r="I17" s="3">
        <f t="shared" ref="I17" si="2">D17*E17*F17*G17*H17</f>
        <v>23.78772</v>
      </c>
      <c r="J17" s="49" t="s">
        <v>155</v>
      </c>
    </row>
    <row r="18" spans="2:10" x14ac:dyDescent="0.25">
      <c r="D18">
        <v>264</v>
      </c>
      <c r="E18">
        <v>3.5</v>
      </c>
      <c r="F18" s="49">
        <v>0.1</v>
      </c>
      <c r="G18" s="49">
        <v>0.15</v>
      </c>
      <c r="H18" s="3">
        <v>2.4028</v>
      </c>
      <c r="I18" s="3">
        <f t="shared" ref="I18" si="3">D18*E18*F18*G18*H18</f>
        <v>33.302808000000006</v>
      </c>
      <c r="J18" s="49" t="s">
        <v>155</v>
      </c>
    </row>
    <row r="19" spans="2:10" x14ac:dyDescent="0.25">
      <c r="D19">
        <v>144</v>
      </c>
      <c r="E19">
        <v>4</v>
      </c>
      <c r="F19" s="49">
        <v>0.1</v>
      </c>
      <c r="G19" s="49">
        <v>0.15</v>
      </c>
      <c r="H19" s="3">
        <v>2.4028</v>
      </c>
      <c r="I19" s="3">
        <f t="shared" ref="I19" si="4">D19*E19*F19*G19*H19</f>
        <v>20.760192000000004</v>
      </c>
      <c r="J19" s="49" t="s">
        <v>155</v>
      </c>
    </row>
    <row r="20" spans="2:10" x14ac:dyDescent="0.25">
      <c r="D20">
        <v>200</v>
      </c>
      <c r="E20">
        <v>5</v>
      </c>
      <c r="F20" s="49">
        <v>0.1</v>
      </c>
      <c r="G20" s="49">
        <v>0.15</v>
      </c>
      <c r="H20" s="3">
        <v>2.4028</v>
      </c>
      <c r="I20" s="3">
        <f t="shared" ref="I20" si="5">D20*E20*F20*G20*H20</f>
        <v>36.042000000000002</v>
      </c>
      <c r="J20" s="49" t="s">
        <v>155</v>
      </c>
    </row>
    <row r="21" spans="2:10" x14ac:dyDescent="0.25">
      <c r="I21" s="56">
        <f>SUM(I4:I20)</f>
        <v>487.13008416600007</v>
      </c>
      <c r="J21" s="6" t="s">
        <v>155</v>
      </c>
    </row>
    <row r="23" spans="2:10" x14ac:dyDescent="0.25">
      <c r="B23" t="s">
        <v>15</v>
      </c>
      <c r="C23" t="s">
        <v>160</v>
      </c>
      <c r="D23" s="49">
        <v>1</v>
      </c>
      <c r="E23" s="49">
        <f>(41*20.5)-(80+(3.5*5*4)+(1.5*5))</f>
        <v>683</v>
      </c>
      <c r="F23" s="49">
        <v>1</v>
      </c>
      <c r="G23" s="49">
        <v>1</v>
      </c>
      <c r="H23" s="3">
        <f>0.1+0.09+0.25</f>
        <v>0.44</v>
      </c>
      <c r="I23" s="56">
        <f t="shared" ref="I23" si="6">D23*E23*F23*G23*H23</f>
        <v>300.52</v>
      </c>
      <c r="J23" s="6" t="s">
        <v>155</v>
      </c>
    </row>
    <row r="25" spans="2:10" x14ac:dyDescent="0.25">
      <c r="B25" t="s">
        <v>36</v>
      </c>
      <c r="C25" s="49" t="s">
        <v>160</v>
      </c>
      <c r="D25" s="49">
        <v>1</v>
      </c>
      <c r="E25" s="49">
        <f>(41*20.5)-(80+(3.5*5*4)+(1.5*5))</f>
        <v>683</v>
      </c>
      <c r="F25" s="49">
        <v>1</v>
      </c>
      <c r="G25" s="49">
        <v>1</v>
      </c>
      <c r="H25" s="3">
        <v>0.4</v>
      </c>
      <c r="I25" s="56">
        <f t="shared" ref="I25" si="7">D25*E25*F25*G25*H25</f>
        <v>273.2</v>
      </c>
      <c r="J25" s="6" t="s">
        <v>155</v>
      </c>
    </row>
    <row r="28" spans="2:10" s="49" customFormat="1" x14ac:dyDescent="0.25">
      <c r="B28" s="6" t="s">
        <v>163</v>
      </c>
      <c r="C28" s="56">
        <f>I47+I49+0.25*I51</f>
        <v>821.80008416600003</v>
      </c>
      <c r="D28" s="6" t="s">
        <v>155</v>
      </c>
    </row>
    <row r="29" spans="2:10" s="49" customFormat="1" x14ac:dyDescent="0.25"/>
    <row r="30" spans="2:10" s="49" customFormat="1" x14ac:dyDescent="0.25">
      <c r="B30" s="49" t="s">
        <v>13</v>
      </c>
      <c r="C30" s="49" t="s">
        <v>154</v>
      </c>
      <c r="D30" s="49">
        <v>58</v>
      </c>
      <c r="E30" s="49">
        <v>3</v>
      </c>
      <c r="F30" s="49">
        <v>0.4</v>
      </c>
      <c r="G30" s="49">
        <v>0.5</v>
      </c>
      <c r="H30" s="3">
        <v>2.4028</v>
      </c>
      <c r="I30" s="3">
        <f>D30*E30*F30*G30*H30</f>
        <v>83.617440000000016</v>
      </c>
      <c r="J30" s="49" t="s">
        <v>155</v>
      </c>
    </row>
    <row r="31" spans="2:10" s="49" customFormat="1" x14ac:dyDescent="0.25">
      <c r="C31" s="49" t="s">
        <v>156</v>
      </c>
      <c r="D31" s="49">
        <v>2</v>
      </c>
      <c r="E31" s="49">
        <f>3.5*3</f>
        <v>10.5</v>
      </c>
      <c r="F31" s="49">
        <v>0.25</v>
      </c>
      <c r="G31" s="49">
        <v>0.4</v>
      </c>
      <c r="H31" s="3">
        <v>2.4028</v>
      </c>
      <c r="I31" s="3">
        <f>D31*E31*F31*G31*H31</f>
        <v>5.0458800000000004</v>
      </c>
      <c r="J31" s="49" t="s">
        <v>155</v>
      </c>
    </row>
    <row r="32" spans="2:10" s="49" customFormat="1" x14ac:dyDescent="0.25">
      <c r="D32" s="49">
        <v>4</v>
      </c>
      <c r="E32" s="49">
        <f>3.5*3+5</f>
        <v>15.5</v>
      </c>
      <c r="F32" s="49">
        <v>0.25</v>
      </c>
      <c r="G32" s="49">
        <v>0.4</v>
      </c>
      <c r="H32" s="3">
        <v>2.4028</v>
      </c>
      <c r="I32" s="3">
        <f>D32*E32*F32*G32*H32</f>
        <v>14.897360000000001</v>
      </c>
      <c r="J32" s="49" t="s">
        <v>155</v>
      </c>
    </row>
    <row r="33" spans="3:10" s="49" customFormat="1" x14ac:dyDescent="0.25">
      <c r="D33" s="49">
        <v>4</v>
      </c>
      <c r="E33" s="49">
        <f>3.5*3+5*2</f>
        <v>20.5</v>
      </c>
      <c r="F33" s="49">
        <v>0.25</v>
      </c>
      <c r="G33" s="49">
        <v>0.4</v>
      </c>
      <c r="H33" s="3">
        <v>2.4028</v>
      </c>
      <c r="I33" s="3">
        <f>D33*E33*F33*G33*H33</f>
        <v>19.702960000000004</v>
      </c>
      <c r="J33" s="49" t="s">
        <v>155</v>
      </c>
    </row>
    <row r="34" spans="3:10" s="49" customFormat="1" x14ac:dyDescent="0.25">
      <c r="D34" s="49">
        <v>2</v>
      </c>
      <c r="E34" s="49">
        <f>4*5+2*4</f>
        <v>28</v>
      </c>
      <c r="F34" s="49">
        <v>0.25</v>
      </c>
      <c r="G34" s="49">
        <v>0.4</v>
      </c>
      <c r="H34" s="3">
        <v>2.4028</v>
      </c>
      <c r="I34" s="3">
        <f>D34*E34*F34*G34*H34</f>
        <v>13.455680000000001</v>
      </c>
      <c r="J34" s="49" t="s">
        <v>155</v>
      </c>
    </row>
    <row r="35" spans="3:10" s="49" customFormat="1" x14ac:dyDescent="0.25">
      <c r="D35" s="49">
        <v>2</v>
      </c>
      <c r="E35" s="49">
        <f>41-4</f>
        <v>37</v>
      </c>
      <c r="F35" s="49">
        <v>0.25</v>
      </c>
      <c r="G35" s="49">
        <v>0.4</v>
      </c>
      <c r="H35" s="3">
        <v>2.4028</v>
      </c>
      <c r="I35" s="3">
        <f>D35*E35*F35*G35*H35</f>
        <v>17.780720000000002</v>
      </c>
      <c r="J35" s="49" t="s">
        <v>155</v>
      </c>
    </row>
    <row r="36" spans="3:10" s="49" customFormat="1" x14ac:dyDescent="0.25">
      <c r="D36" s="49">
        <v>2</v>
      </c>
      <c r="E36" s="49">
        <v>41</v>
      </c>
      <c r="F36" s="49">
        <v>0.25</v>
      </c>
      <c r="G36" s="49">
        <v>0.4</v>
      </c>
      <c r="H36" s="3">
        <v>2.4028</v>
      </c>
      <c r="I36" s="3">
        <f>D36*E36*F36*G36*H36</f>
        <v>19.702960000000004</v>
      </c>
      <c r="J36" s="49" t="s">
        <v>155</v>
      </c>
    </row>
    <row r="37" spans="3:10" s="49" customFormat="1" x14ac:dyDescent="0.25">
      <c r="C37" s="49" t="s">
        <v>158</v>
      </c>
      <c r="D37" s="49">
        <v>6</v>
      </c>
      <c r="E37" s="49">
        <v>5</v>
      </c>
      <c r="F37" s="49">
        <v>0.25</v>
      </c>
      <c r="G37" s="49">
        <v>3</v>
      </c>
      <c r="H37" s="3">
        <v>2.4028</v>
      </c>
      <c r="I37" s="3">
        <f>D37*E37*F37*G37*H37</f>
        <v>54.063000000000002</v>
      </c>
      <c r="J37" s="49" t="s">
        <v>155</v>
      </c>
    </row>
    <row r="38" spans="3:10" s="49" customFormat="1" x14ac:dyDescent="0.25">
      <c r="D38" s="49">
        <v>2</v>
      </c>
      <c r="E38" s="49">
        <v>4</v>
      </c>
      <c r="F38" s="49">
        <v>0.25</v>
      </c>
      <c r="G38" s="49">
        <v>3</v>
      </c>
      <c r="H38" s="3">
        <v>2.4028</v>
      </c>
      <c r="I38" s="3">
        <f>D38*E38*F38*G38*H38</f>
        <v>14.4168</v>
      </c>
      <c r="J38" s="49" t="s">
        <v>155</v>
      </c>
    </row>
    <row r="39" spans="3:10" s="49" customFormat="1" x14ac:dyDescent="0.25">
      <c r="D39" s="49">
        <v>4</v>
      </c>
      <c r="E39" s="49">
        <v>6</v>
      </c>
      <c r="F39" s="49">
        <v>0.25</v>
      </c>
      <c r="G39" s="49">
        <v>3</v>
      </c>
      <c r="H39" s="3">
        <v>2.4028</v>
      </c>
      <c r="I39" s="3">
        <f>D39*E39*F39*G39*H39</f>
        <v>43.250399999999999</v>
      </c>
      <c r="J39" s="49" t="s">
        <v>155</v>
      </c>
    </row>
    <row r="40" spans="3:10" s="49" customFormat="1" x14ac:dyDescent="0.25">
      <c r="C40" s="49" t="s">
        <v>159</v>
      </c>
      <c r="D40" s="49">
        <v>3</v>
      </c>
      <c r="E40" s="49">
        <v>3.3540999999999999</v>
      </c>
      <c r="F40" s="49">
        <v>0.15</v>
      </c>
      <c r="G40" s="49">
        <v>1</v>
      </c>
      <c r="H40" s="3">
        <v>2.4028</v>
      </c>
      <c r="I40" s="3">
        <f t="shared" ref="I40:I46" si="8">D40*E40*F40*G40*H40</f>
        <v>3.6266541659999998</v>
      </c>
      <c r="J40" s="49" t="s">
        <v>155</v>
      </c>
    </row>
    <row r="41" spans="3:10" s="49" customFormat="1" x14ac:dyDescent="0.25">
      <c r="D41" s="49">
        <v>2</v>
      </c>
      <c r="E41" s="49">
        <v>2.25</v>
      </c>
      <c r="F41" s="49">
        <v>0.15</v>
      </c>
      <c r="G41" s="49">
        <v>1</v>
      </c>
      <c r="H41" s="3">
        <v>2.4028</v>
      </c>
      <c r="I41" s="3">
        <f t="shared" si="8"/>
        <v>1.6218899999999998</v>
      </c>
      <c r="J41" s="49" t="s">
        <v>155</v>
      </c>
    </row>
    <row r="42" spans="3:10" s="49" customFormat="1" x14ac:dyDescent="0.25">
      <c r="C42" s="49" t="s">
        <v>161</v>
      </c>
      <c r="D42" s="49">
        <v>1</v>
      </c>
      <c r="E42" s="49">
        <f>(41*20.5)-(80+(3.5*5*4)+(1.5*5))</f>
        <v>683</v>
      </c>
      <c r="F42" s="49">
        <v>0.05</v>
      </c>
      <c r="G42" s="49">
        <v>1</v>
      </c>
      <c r="H42" s="3">
        <v>2.4028</v>
      </c>
      <c r="I42" s="3">
        <f t="shared" si="8"/>
        <v>82.055620000000005</v>
      </c>
      <c r="J42" s="49" t="s">
        <v>155</v>
      </c>
    </row>
    <row r="43" spans="3:10" s="49" customFormat="1" x14ac:dyDescent="0.25">
      <c r="C43" s="49" t="s">
        <v>162</v>
      </c>
      <c r="D43" s="49">
        <v>132</v>
      </c>
      <c r="E43" s="49">
        <v>5</v>
      </c>
      <c r="F43" s="49">
        <v>0.1</v>
      </c>
      <c r="G43" s="49">
        <v>0.15</v>
      </c>
      <c r="H43" s="3">
        <v>2.4028</v>
      </c>
      <c r="I43" s="3">
        <f t="shared" si="8"/>
        <v>23.78772</v>
      </c>
      <c r="J43" s="49" t="s">
        <v>155</v>
      </c>
    </row>
    <row r="44" spans="3:10" s="49" customFormat="1" x14ac:dyDescent="0.25">
      <c r="D44" s="49">
        <v>264</v>
      </c>
      <c r="E44" s="49">
        <v>3.5</v>
      </c>
      <c r="F44" s="49">
        <v>0.1</v>
      </c>
      <c r="G44" s="49">
        <v>0.15</v>
      </c>
      <c r="H44" s="3">
        <v>2.4028</v>
      </c>
      <c r="I44" s="3">
        <f t="shared" si="8"/>
        <v>33.302808000000006</v>
      </c>
      <c r="J44" s="49" t="s">
        <v>155</v>
      </c>
    </row>
    <row r="45" spans="3:10" s="49" customFormat="1" x14ac:dyDescent="0.25">
      <c r="D45" s="49">
        <v>144</v>
      </c>
      <c r="E45" s="49">
        <v>4</v>
      </c>
      <c r="F45" s="49">
        <v>0.1</v>
      </c>
      <c r="G45" s="49">
        <v>0.15</v>
      </c>
      <c r="H45" s="3">
        <v>2.4028</v>
      </c>
      <c r="I45" s="3">
        <f t="shared" si="8"/>
        <v>20.760192000000004</v>
      </c>
      <c r="J45" s="49" t="s">
        <v>155</v>
      </c>
    </row>
    <row r="46" spans="3:10" s="49" customFormat="1" x14ac:dyDescent="0.25">
      <c r="D46" s="49">
        <v>200</v>
      </c>
      <c r="E46" s="49">
        <v>5</v>
      </c>
      <c r="F46" s="49">
        <v>0.1</v>
      </c>
      <c r="G46" s="49">
        <v>0.15</v>
      </c>
      <c r="H46" s="3">
        <v>2.4028</v>
      </c>
      <c r="I46" s="3">
        <f t="shared" si="8"/>
        <v>36.042000000000002</v>
      </c>
      <c r="J46" s="49" t="s">
        <v>155</v>
      </c>
    </row>
    <row r="47" spans="3:10" s="49" customFormat="1" x14ac:dyDescent="0.25">
      <c r="I47" s="56">
        <f>SUM(I30:I46)</f>
        <v>487.13008416600007</v>
      </c>
      <c r="J47" s="6" t="s">
        <v>155</v>
      </c>
    </row>
    <row r="48" spans="3:10" s="49" customFormat="1" x14ac:dyDescent="0.25"/>
    <row r="49" spans="2:10" s="49" customFormat="1" x14ac:dyDescent="0.25">
      <c r="B49" s="49" t="s">
        <v>15</v>
      </c>
      <c r="C49" s="49" t="s">
        <v>160</v>
      </c>
      <c r="D49" s="49">
        <v>1</v>
      </c>
      <c r="E49" s="49">
        <f>(41*20.5)-(80+(3.5*5*4)+(1.5*5))</f>
        <v>683</v>
      </c>
      <c r="F49" s="49">
        <v>1</v>
      </c>
      <c r="G49" s="49">
        <v>1</v>
      </c>
      <c r="H49" s="3">
        <f>0.1+0.09+0.25</f>
        <v>0.44</v>
      </c>
      <c r="I49" s="56">
        <f t="shared" ref="I49" si="9">D49*E49*F49*G49*H49</f>
        <v>300.52</v>
      </c>
      <c r="J49" s="6" t="s">
        <v>155</v>
      </c>
    </row>
    <row r="50" spans="2:10" s="49" customFormat="1" x14ac:dyDescent="0.25"/>
    <row r="51" spans="2:10" s="49" customFormat="1" x14ac:dyDescent="0.25">
      <c r="B51" s="49" t="s">
        <v>36</v>
      </c>
      <c r="C51" s="49" t="s">
        <v>160</v>
      </c>
      <c r="D51" s="49">
        <v>1</v>
      </c>
      <c r="E51" s="49">
        <f>(41*20.5)-(80+(3.5*5*4)+(1.5*5))</f>
        <v>683</v>
      </c>
      <c r="F51" s="49">
        <v>1</v>
      </c>
      <c r="G51" s="49">
        <v>1</v>
      </c>
      <c r="H51" s="3">
        <v>0.2</v>
      </c>
      <c r="I51" s="56">
        <f t="shared" ref="I51" si="10">D51*E51*F51*G51*H51</f>
        <v>136.6</v>
      </c>
      <c r="J51" s="6" t="s">
        <v>155</v>
      </c>
    </row>
    <row r="54" spans="2:10" s="49" customFormat="1" x14ac:dyDescent="0.25">
      <c r="B54" s="6" t="s">
        <v>164</v>
      </c>
      <c r="C54" s="56">
        <f>I70+I72+0.25*I74</f>
        <v>530.58683716600001</v>
      </c>
      <c r="D54" s="6" t="s">
        <v>155</v>
      </c>
    </row>
    <row r="55" spans="2:10" s="49" customFormat="1" x14ac:dyDescent="0.25"/>
    <row r="56" spans="2:10" s="49" customFormat="1" x14ac:dyDescent="0.25">
      <c r="B56" s="49" t="s">
        <v>13</v>
      </c>
      <c r="C56" s="49" t="s">
        <v>154</v>
      </c>
      <c r="D56" s="49">
        <v>36</v>
      </c>
      <c r="E56" s="49">
        <v>3</v>
      </c>
      <c r="F56" s="49">
        <v>0.4</v>
      </c>
      <c r="G56" s="49">
        <v>0.5</v>
      </c>
      <c r="H56" s="3">
        <v>2.4028</v>
      </c>
      <c r="I56" s="3">
        <f>D56*E56*F56*G56*H56</f>
        <v>51.900480000000002</v>
      </c>
      <c r="J56" s="49" t="s">
        <v>155</v>
      </c>
    </row>
    <row r="57" spans="2:10" s="49" customFormat="1" x14ac:dyDescent="0.25">
      <c r="C57" s="49" t="s">
        <v>156</v>
      </c>
      <c r="D57" s="49">
        <v>2</v>
      </c>
      <c r="E57" s="49">
        <f>3.5*3+5</f>
        <v>15.5</v>
      </c>
      <c r="F57" s="49">
        <v>0.25</v>
      </c>
      <c r="G57" s="49">
        <v>0.4</v>
      </c>
      <c r="H57" s="3">
        <v>2.4028</v>
      </c>
      <c r="I57" s="3">
        <f>D57*E57*F57*G57*H57</f>
        <v>7.4486800000000004</v>
      </c>
      <c r="J57" s="49" t="s">
        <v>155</v>
      </c>
    </row>
    <row r="58" spans="2:10" s="49" customFormat="1" x14ac:dyDescent="0.25">
      <c r="D58" s="49">
        <v>4</v>
      </c>
      <c r="E58" s="49">
        <f>3.5*3+5*2</f>
        <v>20.5</v>
      </c>
      <c r="F58" s="49">
        <v>0.25</v>
      </c>
      <c r="G58" s="49">
        <v>0.4</v>
      </c>
      <c r="H58" s="3">
        <v>2.4028</v>
      </c>
      <c r="I58" s="3">
        <f>D58*E58*F58*G58*H58</f>
        <v>19.702960000000004</v>
      </c>
      <c r="J58" s="49" t="s">
        <v>155</v>
      </c>
    </row>
    <row r="59" spans="2:10" s="49" customFormat="1" x14ac:dyDescent="0.25">
      <c r="D59" s="49">
        <v>2</v>
      </c>
      <c r="E59" s="49">
        <v>20</v>
      </c>
      <c r="F59" s="49">
        <v>0.25</v>
      </c>
      <c r="G59" s="49">
        <v>0.4</v>
      </c>
      <c r="H59" s="3">
        <v>2.4028</v>
      </c>
      <c r="I59" s="3">
        <f>D59*E59*F59*G59*H59</f>
        <v>9.6112000000000002</v>
      </c>
      <c r="J59" s="49" t="s">
        <v>155</v>
      </c>
    </row>
    <row r="60" spans="2:10" s="49" customFormat="1" x14ac:dyDescent="0.25">
      <c r="D60" s="49">
        <v>4</v>
      </c>
      <c r="E60" s="49">
        <v>25</v>
      </c>
      <c r="F60" s="49">
        <v>0.25</v>
      </c>
      <c r="G60" s="49">
        <v>0.4</v>
      </c>
      <c r="H60" s="3">
        <v>2.4028</v>
      </c>
      <c r="I60" s="3">
        <f>D60*E60*F60*G60*H60</f>
        <v>24.027999999999999</v>
      </c>
      <c r="J60" s="49" t="s">
        <v>155</v>
      </c>
    </row>
    <row r="61" spans="2:10" s="49" customFormat="1" x14ac:dyDescent="0.25">
      <c r="C61" s="49" t="s">
        <v>158</v>
      </c>
      <c r="D61" s="49">
        <v>4</v>
      </c>
      <c r="E61" s="49">
        <v>5</v>
      </c>
      <c r="F61" s="49">
        <v>0.25</v>
      </c>
      <c r="G61" s="49">
        <v>3</v>
      </c>
      <c r="H61" s="3">
        <v>2.4028</v>
      </c>
      <c r="I61" s="3">
        <f>D61*E61*F61*G61*H61</f>
        <v>36.042000000000002</v>
      </c>
      <c r="J61" s="49" t="s">
        <v>155</v>
      </c>
    </row>
    <row r="62" spans="2:10" s="49" customFormat="1" x14ac:dyDescent="0.25">
      <c r="D62" s="49">
        <v>4</v>
      </c>
      <c r="E62" s="49">
        <v>6</v>
      </c>
      <c r="F62" s="49">
        <v>0.25</v>
      </c>
      <c r="G62" s="49">
        <v>3</v>
      </c>
      <c r="H62" s="3">
        <v>2.4028</v>
      </c>
      <c r="I62" s="3">
        <f>D62*E62*F62*G62*H62</f>
        <v>43.250399999999999</v>
      </c>
      <c r="J62" s="49" t="s">
        <v>155</v>
      </c>
    </row>
    <row r="63" spans="2:10" s="49" customFormat="1" x14ac:dyDescent="0.25">
      <c r="C63" s="49" t="s">
        <v>159</v>
      </c>
      <c r="D63" s="49">
        <v>3</v>
      </c>
      <c r="E63" s="49">
        <v>3.3540999999999999</v>
      </c>
      <c r="F63" s="49">
        <v>0.15</v>
      </c>
      <c r="G63" s="49">
        <v>1</v>
      </c>
      <c r="H63" s="3">
        <v>2.4028</v>
      </c>
      <c r="I63" s="3">
        <f t="shared" ref="I63:I69" si="11">D63*E63*F63*G63*H63</f>
        <v>3.6266541659999998</v>
      </c>
      <c r="J63" s="49" t="s">
        <v>155</v>
      </c>
    </row>
    <row r="64" spans="2:10" s="49" customFormat="1" x14ac:dyDescent="0.25">
      <c r="D64" s="49">
        <v>2</v>
      </c>
      <c r="E64" s="49">
        <v>2.25</v>
      </c>
      <c r="F64" s="49">
        <v>0.15</v>
      </c>
      <c r="G64" s="49">
        <v>1</v>
      </c>
      <c r="H64" s="3">
        <v>2.4028</v>
      </c>
      <c r="I64" s="3">
        <f t="shared" si="11"/>
        <v>1.6218899999999998</v>
      </c>
      <c r="J64" s="49" t="s">
        <v>155</v>
      </c>
    </row>
    <row r="65" spans="2:10" s="49" customFormat="1" x14ac:dyDescent="0.25">
      <c r="C65" s="49" t="s">
        <v>161</v>
      </c>
      <c r="D65" s="49">
        <v>1</v>
      </c>
      <c r="E65" s="49">
        <f>(25*20.5)-((1.5*3.5)+(3.5*5*4)+(1.5*5))</f>
        <v>429.75</v>
      </c>
      <c r="F65" s="49">
        <v>0.05</v>
      </c>
      <c r="G65" s="49">
        <v>1</v>
      </c>
      <c r="H65" s="3">
        <v>2.4028</v>
      </c>
      <c r="I65" s="3">
        <f t="shared" si="11"/>
        <v>51.630165000000005</v>
      </c>
      <c r="J65" s="49" t="s">
        <v>155</v>
      </c>
    </row>
    <row r="66" spans="2:10" s="49" customFormat="1" x14ac:dyDescent="0.25">
      <c r="C66" s="49" t="s">
        <v>162</v>
      </c>
      <c r="D66" s="49">
        <v>96</v>
      </c>
      <c r="E66" s="49">
        <v>5</v>
      </c>
      <c r="F66" s="49">
        <v>0.1</v>
      </c>
      <c r="G66" s="49">
        <v>0.15</v>
      </c>
      <c r="H66" s="3">
        <v>2.4028</v>
      </c>
      <c r="I66" s="3">
        <f t="shared" si="11"/>
        <v>17.300159999999998</v>
      </c>
      <c r="J66" s="49" t="s">
        <v>155</v>
      </c>
    </row>
    <row r="67" spans="2:10" s="49" customFormat="1" x14ac:dyDescent="0.25">
      <c r="D67" s="49">
        <f>244-96</f>
        <v>148</v>
      </c>
      <c r="E67" s="49">
        <v>3.5</v>
      </c>
      <c r="F67" s="49">
        <v>0.1</v>
      </c>
      <c r="G67" s="49">
        <v>0.15</v>
      </c>
      <c r="H67" s="3">
        <v>2.4028</v>
      </c>
      <c r="I67" s="3">
        <f t="shared" si="11"/>
        <v>18.669756000000003</v>
      </c>
      <c r="J67" s="49" t="s">
        <v>155</v>
      </c>
    </row>
    <row r="68" spans="2:10" s="49" customFormat="1" x14ac:dyDescent="0.25">
      <c r="D68" s="49">
        <v>16</v>
      </c>
      <c r="E68" s="49">
        <v>3.5</v>
      </c>
      <c r="F68" s="49">
        <v>0.1</v>
      </c>
      <c r="G68" s="49">
        <v>0.15</v>
      </c>
      <c r="H68" s="3">
        <v>2.4028</v>
      </c>
      <c r="I68" s="3">
        <f t="shared" si="11"/>
        <v>2.0183520000000001</v>
      </c>
      <c r="J68" s="49" t="s">
        <v>155</v>
      </c>
    </row>
    <row r="69" spans="2:10" s="49" customFormat="1" x14ac:dyDescent="0.25">
      <c r="D69" s="49">
        <f>200-16</f>
        <v>184</v>
      </c>
      <c r="E69" s="49">
        <v>5</v>
      </c>
      <c r="F69" s="49">
        <v>0.1</v>
      </c>
      <c r="G69" s="49">
        <v>0.15</v>
      </c>
      <c r="H69" s="3">
        <v>2.4028</v>
      </c>
      <c r="I69" s="3">
        <f t="shared" si="11"/>
        <v>33.158639999999998</v>
      </c>
      <c r="J69" s="49" t="s">
        <v>155</v>
      </c>
    </row>
    <row r="70" spans="2:10" s="49" customFormat="1" x14ac:dyDescent="0.25">
      <c r="I70" s="56">
        <f>SUM(I56:I69)</f>
        <v>320.00933716600002</v>
      </c>
      <c r="J70" s="6" t="s">
        <v>155</v>
      </c>
    </row>
    <row r="71" spans="2:10" s="49" customFormat="1" x14ac:dyDescent="0.25"/>
    <row r="72" spans="2:10" s="49" customFormat="1" x14ac:dyDescent="0.25">
      <c r="B72" s="49" t="s">
        <v>15</v>
      </c>
      <c r="C72" s="49" t="s">
        <v>160</v>
      </c>
      <c r="D72" s="49">
        <v>1</v>
      </c>
      <c r="E72" s="49">
        <f>(25*20.5)-((1.5*3.5)+(3.5*5*4)+(1.5*5))</f>
        <v>429.75</v>
      </c>
      <c r="F72" s="49">
        <v>1</v>
      </c>
      <c r="G72" s="49">
        <v>1</v>
      </c>
      <c r="H72" s="3">
        <f>0.1+0.09+0.25</f>
        <v>0.44</v>
      </c>
      <c r="I72" s="56">
        <f t="shared" ref="I72" si="12">D72*E72*F72*G72*H72</f>
        <v>189.09</v>
      </c>
      <c r="J72" s="6" t="s">
        <v>155</v>
      </c>
    </row>
    <row r="73" spans="2:10" s="49" customFormat="1" x14ac:dyDescent="0.25"/>
    <row r="74" spans="2:10" s="49" customFormat="1" x14ac:dyDescent="0.25">
      <c r="B74" s="49" t="s">
        <v>36</v>
      </c>
      <c r="C74" s="49" t="s">
        <v>160</v>
      </c>
      <c r="D74" s="49">
        <v>1</v>
      </c>
      <c r="E74" s="49">
        <f>(25*20.5)-((1.5*3.5)+(3.5*5*4)+(1.5*5))</f>
        <v>429.75</v>
      </c>
      <c r="F74" s="49">
        <v>1</v>
      </c>
      <c r="G74" s="49">
        <v>1</v>
      </c>
      <c r="H74" s="3">
        <v>0.2</v>
      </c>
      <c r="I74" s="56">
        <f t="shared" ref="I74" si="13">D74*E74*F74*G74*H74</f>
        <v>85.95</v>
      </c>
      <c r="J74" s="6" t="s">
        <v>155</v>
      </c>
    </row>
    <row r="77" spans="2:10" x14ac:dyDescent="0.25">
      <c r="B77" s="6" t="s">
        <v>123</v>
      </c>
      <c r="C77" s="56">
        <f>I97+I105+0.25*I107</f>
        <v>428.99811516600005</v>
      </c>
      <c r="D77" s="6" t="s">
        <v>155</v>
      </c>
      <c r="E77" s="49"/>
      <c r="F77" s="49"/>
      <c r="G77" s="49"/>
      <c r="H77" s="49"/>
      <c r="I77" s="49"/>
      <c r="J77" s="49"/>
    </row>
    <row r="78" spans="2:10" x14ac:dyDescent="0.25">
      <c r="B78" s="49"/>
      <c r="C78" s="49"/>
      <c r="D78" s="49"/>
      <c r="E78" s="49"/>
      <c r="F78" s="49"/>
      <c r="G78" s="49"/>
      <c r="H78" s="49"/>
      <c r="I78" s="49"/>
      <c r="J78" s="49"/>
    </row>
    <row r="79" spans="2:10" x14ac:dyDescent="0.25">
      <c r="B79" s="49" t="s">
        <v>13</v>
      </c>
      <c r="C79" s="49" t="s">
        <v>154</v>
      </c>
      <c r="D79" s="49">
        <v>36</v>
      </c>
      <c r="E79" s="49">
        <v>3</v>
      </c>
      <c r="F79" s="49">
        <v>0.4</v>
      </c>
      <c r="G79" s="49">
        <v>0.5</v>
      </c>
      <c r="H79" s="3">
        <v>2.4028</v>
      </c>
      <c r="I79" s="3">
        <f>D79*E79*F79*G79*H79</f>
        <v>51.900480000000002</v>
      </c>
      <c r="J79" s="49" t="s">
        <v>155</v>
      </c>
    </row>
    <row r="80" spans="2:10" s="49" customFormat="1" x14ac:dyDescent="0.25">
      <c r="C80" s="49" t="s">
        <v>165</v>
      </c>
      <c r="D80" s="49">
        <v>4</v>
      </c>
      <c r="E80" s="49">
        <v>2.6</v>
      </c>
      <c r="F80" s="49">
        <v>0.4</v>
      </c>
      <c r="G80" s="49">
        <v>0.5</v>
      </c>
      <c r="H80" s="3">
        <v>2.4028</v>
      </c>
      <c r="I80" s="3">
        <f>D80*E80*F80*G80*H80</f>
        <v>4.9978240000000005</v>
      </c>
      <c r="J80" s="49" t="s">
        <v>155</v>
      </c>
    </row>
    <row r="81" spans="2:10" x14ac:dyDescent="0.25">
      <c r="B81" s="49"/>
      <c r="C81" s="49" t="s">
        <v>156</v>
      </c>
      <c r="D81" s="49">
        <v>6</v>
      </c>
      <c r="E81" s="49">
        <f>3.5*3+5*2</f>
        <v>20.5</v>
      </c>
      <c r="F81" s="49">
        <v>0.25</v>
      </c>
      <c r="G81" s="49">
        <v>0.4</v>
      </c>
      <c r="H81" s="3">
        <v>2.4028</v>
      </c>
      <c r="I81" s="3">
        <f>D81*E81*F81*G81*H81</f>
        <v>29.554440000000003</v>
      </c>
      <c r="J81" s="49" t="s">
        <v>155</v>
      </c>
    </row>
    <row r="82" spans="2:10" x14ac:dyDescent="0.25">
      <c r="B82" s="49"/>
      <c r="C82" s="49"/>
      <c r="D82" s="49">
        <v>6</v>
      </c>
      <c r="E82" s="49">
        <v>25</v>
      </c>
      <c r="F82" s="49">
        <v>0.25</v>
      </c>
      <c r="G82" s="49">
        <v>0.4</v>
      </c>
      <c r="H82" s="3">
        <v>2.4028</v>
      </c>
      <c r="I82" s="3">
        <f>D82*E82*F82*G82*H82</f>
        <v>36.042000000000002</v>
      </c>
      <c r="J82" s="49" t="s">
        <v>155</v>
      </c>
    </row>
    <row r="83" spans="2:10" s="49" customFormat="1" x14ac:dyDescent="0.25">
      <c r="C83" s="49" t="s">
        <v>165</v>
      </c>
      <c r="D83" s="49">
        <v>1</v>
      </c>
      <c r="E83" s="49">
        <v>17</v>
      </c>
      <c r="F83" s="49">
        <v>0.25</v>
      </c>
      <c r="G83" s="49">
        <v>0.4</v>
      </c>
      <c r="H83" s="3">
        <v>2.4028</v>
      </c>
      <c r="I83" s="3">
        <f>D83*E83*F83*G83*H83</f>
        <v>4.0847600000000002</v>
      </c>
      <c r="J83" s="49" t="s">
        <v>155</v>
      </c>
    </row>
    <row r="84" spans="2:10" x14ac:dyDescent="0.25">
      <c r="B84" s="49"/>
      <c r="C84" s="49" t="s">
        <v>158</v>
      </c>
      <c r="D84" s="49">
        <v>4</v>
      </c>
      <c r="E84" s="49">
        <v>5</v>
      </c>
      <c r="F84" s="49">
        <v>0.25</v>
      </c>
      <c r="G84" s="49">
        <v>3</v>
      </c>
      <c r="H84" s="3">
        <v>2.4028</v>
      </c>
      <c r="I84" s="3">
        <f>D84*E84*F84*G84*H84</f>
        <v>36.042000000000002</v>
      </c>
      <c r="J84" s="49" t="s">
        <v>155</v>
      </c>
    </row>
    <row r="85" spans="2:10" x14ac:dyDescent="0.25">
      <c r="B85" s="49"/>
      <c r="C85" s="49"/>
      <c r="D85" s="49">
        <v>4</v>
      </c>
      <c r="E85" s="49">
        <v>6</v>
      </c>
      <c r="F85" s="49">
        <v>0.25</v>
      </c>
      <c r="G85" s="49">
        <v>3</v>
      </c>
      <c r="H85" s="3">
        <v>2.4028</v>
      </c>
      <c r="I85" s="3">
        <f>D85*E85*F85*G85*H85</f>
        <v>43.250399999999999</v>
      </c>
      <c r="J85" s="49" t="s">
        <v>155</v>
      </c>
    </row>
    <row r="86" spans="2:10" s="49" customFormat="1" x14ac:dyDescent="0.25">
      <c r="C86" s="49" t="s">
        <v>165</v>
      </c>
      <c r="D86" s="49">
        <v>4</v>
      </c>
      <c r="E86" s="49">
        <v>6</v>
      </c>
      <c r="F86" s="49">
        <v>0.25</v>
      </c>
      <c r="G86" s="49">
        <v>2.6</v>
      </c>
      <c r="H86" s="3">
        <v>2.4028</v>
      </c>
      <c r="I86" s="3">
        <f>D86*E86*F86*G86*H86</f>
        <v>37.483680000000007</v>
      </c>
      <c r="J86" s="49" t="s">
        <v>155</v>
      </c>
    </row>
    <row r="87" spans="2:10" x14ac:dyDescent="0.25">
      <c r="B87" s="49"/>
      <c r="C87" s="49" t="s">
        <v>159</v>
      </c>
      <c r="D87" s="49">
        <v>3</v>
      </c>
      <c r="E87" s="49">
        <v>3.3540999999999999</v>
      </c>
      <c r="F87" s="49">
        <v>0.15</v>
      </c>
      <c r="G87" s="49">
        <v>1</v>
      </c>
      <c r="H87" s="3">
        <v>2.4028</v>
      </c>
      <c r="I87" s="3">
        <f t="shared" ref="I87:I94" si="14">D87*E87*F87*G87*H87</f>
        <v>3.6266541659999998</v>
      </c>
      <c r="J87" s="49" t="s">
        <v>155</v>
      </c>
    </row>
    <row r="88" spans="2:10" x14ac:dyDescent="0.25">
      <c r="B88" s="49"/>
      <c r="C88" s="49"/>
      <c r="D88" s="49">
        <v>2</v>
      </c>
      <c r="E88" s="49">
        <v>2.25</v>
      </c>
      <c r="F88" s="49">
        <v>0.15</v>
      </c>
      <c r="G88" s="49">
        <v>1</v>
      </c>
      <c r="H88" s="3">
        <v>2.4028</v>
      </c>
      <c r="I88" s="3">
        <f t="shared" si="14"/>
        <v>1.6218899999999998</v>
      </c>
      <c r="J88" s="49" t="s">
        <v>155</v>
      </c>
    </row>
    <row r="89" spans="2:10" x14ac:dyDescent="0.25">
      <c r="B89" s="49"/>
      <c r="C89" s="49" t="s">
        <v>161</v>
      </c>
      <c r="D89" s="49">
        <v>1</v>
      </c>
      <c r="E89" s="49">
        <f>(25*20.5)-((1.5*3.5)+(3.5*5*4)+(1.5*5))</f>
        <v>429.75</v>
      </c>
      <c r="F89" s="49">
        <v>0.05</v>
      </c>
      <c r="G89" s="49">
        <v>1</v>
      </c>
      <c r="H89" s="3">
        <v>2.4028</v>
      </c>
      <c r="I89" s="3">
        <f t="shared" si="14"/>
        <v>51.630165000000005</v>
      </c>
      <c r="J89" s="49" t="s">
        <v>155</v>
      </c>
    </row>
    <row r="90" spans="2:10" s="49" customFormat="1" x14ac:dyDescent="0.25">
      <c r="C90" s="49" t="s">
        <v>166</v>
      </c>
      <c r="D90" s="49">
        <v>4</v>
      </c>
      <c r="E90" s="49">
        <v>4</v>
      </c>
      <c r="F90" s="49">
        <v>0.15</v>
      </c>
      <c r="G90" s="49">
        <v>1</v>
      </c>
      <c r="H90" s="3">
        <v>2.4028</v>
      </c>
      <c r="I90" s="3">
        <f t="shared" ref="I90" si="15">D90*E90*F90*G90*H90</f>
        <v>5.7667200000000003</v>
      </c>
      <c r="J90" s="49" t="s">
        <v>155</v>
      </c>
    </row>
    <row r="91" spans="2:10" x14ac:dyDescent="0.25">
      <c r="B91" s="49"/>
      <c r="C91" s="49" t="s">
        <v>162</v>
      </c>
      <c r="D91" s="49">
        <v>96</v>
      </c>
      <c r="E91" s="49">
        <v>5</v>
      </c>
      <c r="F91" s="49">
        <v>0.1</v>
      </c>
      <c r="G91" s="49">
        <v>0.15</v>
      </c>
      <c r="H91" s="3">
        <v>2.4028</v>
      </c>
      <c r="I91" s="3">
        <f t="shared" si="14"/>
        <v>17.300159999999998</v>
      </c>
      <c r="J91" s="49" t="s">
        <v>155</v>
      </c>
    </row>
    <row r="92" spans="2:10" x14ac:dyDescent="0.25">
      <c r="B92" s="49"/>
      <c r="C92" s="49"/>
      <c r="D92" s="49">
        <f>244-96</f>
        <v>148</v>
      </c>
      <c r="E92" s="49">
        <v>3.5</v>
      </c>
      <c r="F92" s="49">
        <v>0.1</v>
      </c>
      <c r="G92" s="49">
        <v>0.15</v>
      </c>
      <c r="H92" s="3">
        <v>2.4028</v>
      </c>
      <c r="I92" s="3">
        <f t="shared" si="14"/>
        <v>18.669756000000003</v>
      </c>
      <c r="J92" s="49" t="s">
        <v>155</v>
      </c>
    </row>
    <row r="93" spans="2:10" x14ac:dyDescent="0.25">
      <c r="B93" s="49"/>
      <c r="C93" s="49"/>
      <c r="D93" s="49">
        <v>16</v>
      </c>
      <c r="E93" s="49">
        <v>3.5</v>
      </c>
      <c r="F93" s="49">
        <v>0.1</v>
      </c>
      <c r="G93" s="49">
        <v>0.15</v>
      </c>
      <c r="H93" s="3">
        <v>2.4028</v>
      </c>
      <c r="I93" s="3">
        <f t="shared" si="14"/>
        <v>2.0183520000000001</v>
      </c>
      <c r="J93" s="49" t="s">
        <v>155</v>
      </c>
    </row>
    <row r="94" spans="2:10" x14ac:dyDescent="0.25">
      <c r="B94" s="49"/>
      <c r="C94" s="49"/>
      <c r="D94" s="49">
        <f>200-16</f>
        <v>184</v>
      </c>
      <c r="E94" s="49">
        <v>5</v>
      </c>
      <c r="F94" s="49">
        <v>0.1</v>
      </c>
      <c r="G94" s="49">
        <v>0.15</v>
      </c>
      <c r="H94" s="3">
        <v>2.4028</v>
      </c>
      <c r="I94" s="3">
        <f t="shared" si="14"/>
        <v>33.158639999999998</v>
      </c>
      <c r="J94" s="49" t="s">
        <v>155</v>
      </c>
    </row>
    <row r="95" spans="2:10" s="49" customFormat="1" x14ac:dyDescent="0.25">
      <c r="C95" s="49" t="s">
        <v>165</v>
      </c>
      <c r="D95" s="49">
        <v>12</v>
      </c>
      <c r="E95" s="49">
        <v>3.5</v>
      </c>
      <c r="F95" s="49">
        <v>0.1</v>
      </c>
      <c r="G95" s="49">
        <v>0.15</v>
      </c>
      <c r="H95" s="3">
        <v>2.4028</v>
      </c>
      <c r="I95" s="3">
        <f t="shared" ref="I95:I96" si="16">D95*E95*F95*G95*H95</f>
        <v>1.5137640000000001</v>
      </c>
      <c r="J95" s="49" t="s">
        <v>155</v>
      </c>
    </row>
    <row r="96" spans="2:10" s="49" customFormat="1" x14ac:dyDescent="0.25">
      <c r="C96" s="49" t="s">
        <v>165</v>
      </c>
      <c r="D96" s="49">
        <v>8</v>
      </c>
      <c r="E96" s="49">
        <v>5</v>
      </c>
      <c r="F96" s="49">
        <v>0.1</v>
      </c>
      <c r="G96" s="49">
        <v>0.15</v>
      </c>
      <c r="H96" s="3">
        <v>2.4028</v>
      </c>
      <c r="I96" s="3">
        <f t="shared" si="16"/>
        <v>1.4416800000000001</v>
      </c>
      <c r="J96" s="49" t="s">
        <v>155</v>
      </c>
    </row>
    <row r="97" spans="2:10" x14ac:dyDescent="0.25">
      <c r="B97" s="49"/>
      <c r="C97" s="49"/>
      <c r="D97" s="49"/>
      <c r="E97" s="49"/>
      <c r="F97" s="49"/>
      <c r="G97" s="49"/>
      <c r="H97" s="49"/>
      <c r="I97" s="56">
        <f>SUM(I79:I96)</f>
        <v>380.10336516600006</v>
      </c>
      <c r="J97" s="6" t="s">
        <v>155</v>
      </c>
    </row>
    <row r="98" spans="2:10" x14ac:dyDescent="0.25">
      <c r="B98" s="49"/>
      <c r="C98" s="49"/>
      <c r="D98" s="49"/>
      <c r="E98" s="49"/>
      <c r="F98" s="49"/>
      <c r="G98" s="49"/>
      <c r="H98" s="49"/>
      <c r="I98" s="49"/>
      <c r="J98" s="49"/>
    </row>
    <row r="99" spans="2:10" x14ac:dyDescent="0.25">
      <c r="B99" s="49" t="s">
        <v>15</v>
      </c>
      <c r="C99" s="49" t="s">
        <v>156</v>
      </c>
      <c r="D99" s="49">
        <v>2</v>
      </c>
      <c r="E99" s="49">
        <v>20.5</v>
      </c>
      <c r="F99" s="49">
        <v>1</v>
      </c>
      <c r="G99" s="49">
        <v>1</v>
      </c>
      <c r="H99" s="3">
        <v>0.24299999999999999</v>
      </c>
      <c r="I99" s="3">
        <f t="shared" ref="I99" si="17">D99*E99*F99*G99*H99</f>
        <v>9.9629999999999992</v>
      </c>
      <c r="J99" s="49" t="s">
        <v>155</v>
      </c>
    </row>
    <row r="100" spans="2:10" s="49" customFormat="1" x14ac:dyDescent="0.25">
      <c r="D100" s="49">
        <v>2</v>
      </c>
      <c r="E100" s="49">
        <v>25</v>
      </c>
      <c r="F100" s="49">
        <v>1</v>
      </c>
      <c r="G100" s="49">
        <v>1</v>
      </c>
      <c r="H100" s="3">
        <v>0.24299999999999999</v>
      </c>
      <c r="I100" s="3">
        <f t="shared" ref="I100" si="18">D100*E100*F100*G100*H100</f>
        <v>12.15</v>
      </c>
      <c r="J100" s="49" t="s">
        <v>155</v>
      </c>
    </row>
    <row r="101" spans="2:10" s="49" customFormat="1" x14ac:dyDescent="0.25">
      <c r="D101" s="49">
        <v>8</v>
      </c>
      <c r="E101" s="49">
        <v>1.5</v>
      </c>
      <c r="F101" s="49">
        <v>1</v>
      </c>
      <c r="G101" s="49">
        <v>1</v>
      </c>
      <c r="H101" s="3">
        <v>0.24299999999999999</v>
      </c>
      <c r="I101" s="3">
        <f t="shared" ref="I101" si="19">D101*E101*F101*G101*H101</f>
        <v>2.9159999999999999</v>
      </c>
      <c r="J101" s="49" t="s">
        <v>155</v>
      </c>
    </row>
    <row r="102" spans="2:10" s="49" customFormat="1" x14ac:dyDescent="0.25">
      <c r="D102" s="49">
        <v>4</v>
      </c>
      <c r="E102" s="49">
        <v>13.5</v>
      </c>
      <c r="F102" s="49">
        <v>1</v>
      </c>
      <c r="G102" s="49">
        <v>1</v>
      </c>
      <c r="H102" s="3">
        <v>0.24299999999999999</v>
      </c>
      <c r="I102" s="3">
        <f t="shared" ref="I102:I103" si="20">D102*E102*F102*G102*H102</f>
        <v>13.122</v>
      </c>
      <c r="J102" s="49" t="s">
        <v>155</v>
      </c>
    </row>
    <row r="103" spans="2:10" s="49" customFormat="1" x14ac:dyDescent="0.25">
      <c r="C103" s="49" t="s">
        <v>165</v>
      </c>
      <c r="D103" s="49">
        <v>1</v>
      </c>
      <c r="E103" s="49">
        <f>3.5*5</f>
        <v>17.5</v>
      </c>
      <c r="F103" s="49">
        <v>1</v>
      </c>
      <c r="G103" s="49">
        <v>1</v>
      </c>
      <c r="H103" s="3">
        <f>0.1+0.09+0.5714</f>
        <v>0.76140000000000008</v>
      </c>
      <c r="I103" s="57">
        <f t="shared" si="20"/>
        <v>13.3245</v>
      </c>
      <c r="J103" s="58" t="s">
        <v>155</v>
      </c>
    </row>
    <row r="104" spans="2:10" s="49" customFormat="1" x14ac:dyDescent="0.25">
      <c r="D104" s="49">
        <v>4</v>
      </c>
      <c r="E104" s="49">
        <v>4</v>
      </c>
      <c r="F104" s="49">
        <v>1</v>
      </c>
      <c r="G104" s="49">
        <v>1</v>
      </c>
      <c r="H104" s="3">
        <f>0.1+0.625</f>
        <v>0.72499999999999998</v>
      </c>
      <c r="I104" s="57">
        <f t="shared" ref="I104" si="21">D104*E104*F104*G104*H104</f>
        <v>11.6</v>
      </c>
      <c r="J104" s="58" t="s">
        <v>155</v>
      </c>
    </row>
    <row r="105" spans="2:10" s="49" customFormat="1" x14ac:dyDescent="0.25">
      <c r="H105" s="3"/>
      <c r="I105" s="56">
        <f>SUM(I99:I102)</f>
        <v>38.150999999999996</v>
      </c>
      <c r="J105" s="6" t="s">
        <v>155</v>
      </c>
    </row>
    <row r="106" spans="2:10" x14ac:dyDescent="0.25">
      <c r="B106" s="49"/>
      <c r="C106" s="49"/>
      <c r="D106" s="49"/>
      <c r="E106" s="49"/>
      <c r="F106" s="49"/>
      <c r="G106" s="49"/>
      <c r="H106" s="49"/>
      <c r="I106" s="49"/>
      <c r="J106" s="49"/>
    </row>
    <row r="107" spans="2:10" x14ac:dyDescent="0.25">
      <c r="B107" s="49" t="s">
        <v>46</v>
      </c>
      <c r="C107" s="49" t="s">
        <v>160</v>
      </c>
      <c r="D107" s="49">
        <v>1</v>
      </c>
      <c r="E107" s="49">
        <f>(25*20.5)-((1.5*3.5)+(3.5*5*4)+(1.5*5))</f>
        <v>429.75</v>
      </c>
      <c r="F107" s="49">
        <v>1</v>
      </c>
      <c r="G107" s="49">
        <v>1</v>
      </c>
      <c r="H107" s="3">
        <v>0.1</v>
      </c>
      <c r="I107" s="56">
        <f t="shared" ref="I107" si="22">D107*E107*F107*G107*H107</f>
        <v>42.975000000000001</v>
      </c>
      <c r="J107" s="6" t="s">
        <v>155</v>
      </c>
    </row>
    <row r="110" spans="2:10" x14ac:dyDescent="0.25">
      <c r="B11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Espectro Diseño</vt:lpstr>
      <vt:lpstr>CARGAS</vt:lpstr>
      <vt:lpstr>COMBINACIONES</vt:lpstr>
      <vt:lpstr>VERIFICACIONES</vt:lpstr>
      <vt:lpstr>PESO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Sheylla Barrantes</dc:creator>
  <cp:lastModifiedBy>Sheylla Barrantes</cp:lastModifiedBy>
  <dcterms:created xsi:type="dcterms:W3CDTF">2025-04-06T16:04:06Z</dcterms:created>
  <dcterms:modified xsi:type="dcterms:W3CDTF">2025-04-27T17:25:32Z</dcterms:modified>
</cp:coreProperties>
</file>