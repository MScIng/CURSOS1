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SAP2000 2025\"/>
    </mc:Choice>
  </mc:AlternateContent>
  <xr:revisionPtr revIDLastSave="0" documentId="13_ncr:1_{53D57E8F-8F12-492E-A96C-40F7E6C89C5C}" xr6:coauthVersionLast="47" xr6:coauthVersionMax="47" xr10:uidLastSave="{00000000-0000-0000-0000-000000000000}"/>
  <bookViews>
    <workbookView xWindow="-120" yWindow="-120" windowWidth="29040" windowHeight="15720" activeTab="3" xr2:uid="{1C354E47-704F-42B3-AA11-98B0FB5BEB34}"/>
  </bookViews>
  <sheets>
    <sheet name="Espectro Diseño" sheetId="1" r:id="rId1"/>
    <sheet name="CARGAS" sheetId="2" r:id="rId2"/>
    <sheet name="COMBINACIONES" sheetId="3" r:id="rId3"/>
    <sheet name="VERIFICACIONES" sheetId="4" r:id="rId4"/>
    <sheet name="PES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4" i="4" l="1"/>
  <c r="E594" i="4"/>
  <c r="E593" i="4"/>
  <c r="F593" i="4" s="1"/>
  <c r="E592" i="4"/>
  <c r="F592" i="4" s="1"/>
  <c r="E591" i="4"/>
  <c r="F591" i="4" s="1"/>
  <c r="E590" i="4"/>
  <c r="F590" i="4" s="1"/>
  <c r="F589" i="4"/>
  <c r="E589" i="4"/>
  <c r="F588" i="4"/>
  <c r="E588" i="4"/>
  <c r="E587" i="4"/>
  <c r="F587" i="4" s="1"/>
  <c r="F586" i="4"/>
  <c r="E586" i="4"/>
  <c r="E585" i="4"/>
  <c r="F585" i="4" s="1"/>
  <c r="E584" i="4"/>
  <c r="F584" i="4" s="1"/>
  <c r="F583" i="4"/>
  <c r="E583" i="4"/>
  <c r="F567" i="4"/>
  <c r="F568" i="4"/>
  <c r="F569" i="4"/>
  <c r="F570" i="4"/>
  <c r="F571" i="4"/>
  <c r="F572" i="4"/>
  <c r="F573" i="4"/>
  <c r="F574" i="4"/>
  <c r="F575" i="4"/>
  <c r="F576" i="4"/>
  <c r="F578" i="4"/>
  <c r="F577" i="4"/>
  <c r="E578" i="4"/>
  <c r="E567" i="4"/>
  <c r="E568" i="4"/>
  <c r="E569" i="4"/>
  <c r="E570" i="4"/>
  <c r="E571" i="4"/>
  <c r="E572" i="4"/>
  <c r="E573" i="4"/>
  <c r="E574" i="4"/>
  <c r="E575" i="4"/>
  <c r="E576" i="4"/>
  <c r="E577" i="4"/>
  <c r="C557" i="4"/>
  <c r="C548" i="4"/>
  <c r="C547" i="4"/>
  <c r="C523" i="4"/>
  <c r="C515" i="4"/>
  <c r="C488" i="4"/>
  <c r="G549" i="4"/>
  <c r="C467" i="4"/>
  <c r="C418" i="4"/>
  <c r="C411" i="4"/>
  <c r="C410" i="4"/>
  <c r="D359" i="4"/>
  <c r="E359" i="4" s="1"/>
  <c r="F358" i="4"/>
  <c r="G358" i="4" s="1"/>
  <c r="D358" i="4"/>
  <c r="E358" i="4" s="1"/>
  <c r="F357" i="4"/>
  <c r="G357" i="4" s="1"/>
  <c r="D357" i="4"/>
  <c r="E357" i="4" s="1"/>
  <c r="F356" i="4"/>
  <c r="G356" i="4" s="1"/>
  <c r="D356" i="4"/>
  <c r="E356" i="4" s="1"/>
  <c r="F355" i="4"/>
  <c r="G355" i="4" s="1"/>
  <c r="D355" i="4"/>
  <c r="E355" i="4" s="1"/>
  <c r="F354" i="4"/>
  <c r="G354" i="4" s="1"/>
  <c r="D354" i="4"/>
  <c r="E354" i="4" s="1"/>
  <c r="F353" i="4"/>
  <c r="G353" i="4" s="1"/>
  <c r="D353" i="4"/>
  <c r="E353" i="4" s="1"/>
  <c r="F352" i="4"/>
  <c r="G352" i="4" s="1"/>
  <c r="D352" i="4"/>
  <c r="E352" i="4" s="1"/>
  <c r="F351" i="4"/>
  <c r="G351" i="4" s="1"/>
  <c r="D351" i="4"/>
  <c r="E351" i="4" s="1"/>
  <c r="F350" i="4"/>
  <c r="G350" i="4" s="1"/>
  <c r="D343" i="4"/>
  <c r="E343" i="4" s="1"/>
  <c r="F342" i="4"/>
  <c r="G342" i="4" s="1"/>
  <c r="D342" i="4"/>
  <c r="E342" i="4" s="1"/>
  <c r="F341" i="4"/>
  <c r="G341" i="4" s="1"/>
  <c r="D341" i="4"/>
  <c r="E341" i="4" s="1"/>
  <c r="F340" i="4"/>
  <c r="G340" i="4" s="1"/>
  <c r="D340" i="4"/>
  <c r="E340" i="4" s="1"/>
  <c r="F339" i="4"/>
  <c r="G339" i="4" s="1"/>
  <c r="D339" i="4"/>
  <c r="E339" i="4" s="1"/>
  <c r="F338" i="4"/>
  <c r="G338" i="4" s="1"/>
  <c r="D338" i="4"/>
  <c r="E338" i="4" s="1"/>
  <c r="F337" i="4"/>
  <c r="G337" i="4" s="1"/>
  <c r="D337" i="4"/>
  <c r="E337" i="4" s="1"/>
  <c r="F336" i="4"/>
  <c r="G336" i="4" s="1"/>
  <c r="D336" i="4"/>
  <c r="E336" i="4" s="1"/>
  <c r="F335" i="4"/>
  <c r="G335" i="4" s="1"/>
  <c r="D335" i="4"/>
  <c r="E335" i="4" s="1"/>
  <c r="F334" i="4"/>
  <c r="G334" i="4" s="1"/>
  <c r="D269" i="4"/>
  <c r="D270" i="4"/>
  <c r="D271" i="4"/>
  <c r="D272" i="4"/>
  <c r="D273" i="4"/>
  <c r="D274" i="4"/>
  <c r="D275" i="4"/>
  <c r="D276" i="4"/>
  <c r="D277" i="4"/>
  <c r="D278" i="4"/>
  <c r="D279" i="4"/>
  <c r="D262" i="4"/>
  <c r="D261" i="4"/>
  <c r="D260" i="4"/>
  <c r="D259" i="4"/>
  <c r="D258" i="4"/>
  <c r="D257" i="4"/>
  <c r="D256" i="4"/>
  <c r="C316" i="4" s="1"/>
  <c r="D255" i="4"/>
  <c r="C315" i="4" s="1"/>
  <c r="D254" i="4"/>
  <c r="C314" i="4" s="1"/>
  <c r="D253" i="4"/>
  <c r="D252" i="4"/>
  <c r="M250" i="4"/>
  <c r="C139" i="5"/>
  <c r="D263" i="4" s="1"/>
  <c r="I121" i="5"/>
  <c r="I119" i="5"/>
  <c r="H134" i="5"/>
  <c r="D129" i="5"/>
  <c r="I129" i="5" s="1"/>
  <c r="D131" i="5"/>
  <c r="I131" i="5" s="1"/>
  <c r="E16" i="5"/>
  <c r="I16" i="5" s="1"/>
  <c r="E42" i="5"/>
  <c r="E49" i="5" s="1"/>
  <c r="E65" i="5"/>
  <c r="I65" i="5" s="1"/>
  <c r="E89" i="5"/>
  <c r="E107" i="5" s="1"/>
  <c r="I107" i="5" s="1"/>
  <c r="E127" i="5"/>
  <c r="I127" i="5" s="1"/>
  <c r="I125" i="5"/>
  <c r="I122" i="5"/>
  <c r="I130" i="5"/>
  <c r="I128" i="5"/>
  <c r="I126" i="5"/>
  <c r="I124" i="5"/>
  <c r="I123" i="5"/>
  <c r="I120" i="5"/>
  <c r="I118" i="5"/>
  <c r="I117" i="5"/>
  <c r="I116" i="5"/>
  <c r="I115" i="5"/>
  <c r="E114" i="5"/>
  <c r="I114" i="5" s="1"/>
  <c r="E113" i="5"/>
  <c r="I113" i="5" s="1"/>
  <c r="I112" i="5"/>
  <c r="H104" i="5"/>
  <c r="I104" i="5" s="1"/>
  <c r="H103" i="5"/>
  <c r="E103" i="5"/>
  <c r="I95" i="5"/>
  <c r="I96" i="5"/>
  <c r="I90" i="5"/>
  <c r="I86" i="5"/>
  <c r="I83" i="5"/>
  <c r="I80" i="5"/>
  <c r="I102" i="5"/>
  <c r="I101" i="5"/>
  <c r="I100" i="5"/>
  <c r="I99" i="5"/>
  <c r="D94" i="5"/>
  <c r="I94" i="5" s="1"/>
  <c r="I93" i="5"/>
  <c r="D92" i="5"/>
  <c r="I92" i="5" s="1"/>
  <c r="I91" i="5"/>
  <c r="I88" i="5"/>
  <c r="I87" i="5"/>
  <c r="I85" i="5"/>
  <c r="I84" i="5"/>
  <c r="I82" i="5"/>
  <c r="E81" i="5"/>
  <c r="I81" i="5" s="1"/>
  <c r="I79" i="5"/>
  <c r="D69" i="5"/>
  <c r="I69" i="5" s="1"/>
  <c r="D67" i="5"/>
  <c r="I67" i="5" s="1"/>
  <c r="H72" i="5"/>
  <c r="I68" i="5"/>
  <c r="I66" i="5"/>
  <c r="I64" i="5"/>
  <c r="I63" i="5"/>
  <c r="I62" i="5"/>
  <c r="I61" i="5"/>
  <c r="I60" i="5"/>
  <c r="I59" i="5"/>
  <c r="E58" i="5"/>
  <c r="I58" i="5" s="1"/>
  <c r="E57" i="5"/>
  <c r="I57" i="5" s="1"/>
  <c r="I56" i="5"/>
  <c r="H49" i="5"/>
  <c r="I46" i="5"/>
  <c r="I45" i="5"/>
  <c r="I44" i="5"/>
  <c r="I43" i="5"/>
  <c r="I41" i="5"/>
  <c r="I40" i="5"/>
  <c r="I39" i="5"/>
  <c r="I38" i="5"/>
  <c r="I37" i="5"/>
  <c r="I36" i="5"/>
  <c r="E35" i="5"/>
  <c r="I35" i="5" s="1"/>
  <c r="E34" i="5"/>
  <c r="I34" i="5" s="1"/>
  <c r="E33" i="5"/>
  <c r="I33" i="5" s="1"/>
  <c r="E32" i="5"/>
  <c r="I32" i="5" s="1"/>
  <c r="E31" i="5"/>
  <c r="I31" i="5" s="1"/>
  <c r="I30" i="5"/>
  <c r="H23" i="5"/>
  <c r="I20" i="5"/>
  <c r="I19" i="5"/>
  <c r="I18" i="5"/>
  <c r="I17" i="5"/>
  <c r="I14" i="5"/>
  <c r="I15" i="5"/>
  <c r="I13" i="5"/>
  <c r="I12" i="5"/>
  <c r="I11" i="5"/>
  <c r="I10" i="5"/>
  <c r="E9" i="5"/>
  <c r="I9" i="5" s="1"/>
  <c r="E8" i="5"/>
  <c r="I8" i="5" s="1"/>
  <c r="E7" i="5"/>
  <c r="I7" i="5" s="1"/>
  <c r="E6" i="5"/>
  <c r="I6" i="5" s="1"/>
  <c r="E5" i="5"/>
  <c r="I5" i="5" s="1"/>
  <c r="I4" i="5"/>
  <c r="E227" i="4"/>
  <c r="G227" i="4" s="1"/>
  <c r="H227" i="4" s="1"/>
  <c r="E226" i="4"/>
  <c r="G226" i="4" s="1"/>
  <c r="H226" i="4" s="1"/>
  <c r="E225" i="4"/>
  <c r="G225" i="4" s="1"/>
  <c r="H225" i="4" s="1"/>
  <c r="E224" i="4"/>
  <c r="G224" i="4" s="1"/>
  <c r="H224" i="4" s="1"/>
  <c r="E223" i="4"/>
  <c r="G223" i="4" s="1"/>
  <c r="H223" i="4" s="1"/>
  <c r="E222" i="4"/>
  <c r="G222" i="4" s="1"/>
  <c r="H222" i="4" s="1"/>
  <c r="E221" i="4"/>
  <c r="G221" i="4" s="1"/>
  <c r="H221" i="4" s="1"/>
  <c r="E220" i="4"/>
  <c r="G220" i="4" s="1"/>
  <c r="H220" i="4" s="1"/>
  <c r="E130" i="4"/>
  <c r="G130" i="4" s="1"/>
  <c r="H130" i="4" s="1"/>
  <c r="E129" i="4"/>
  <c r="G129" i="4" s="1"/>
  <c r="H129" i="4" s="1"/>
  <c r="E128" i="4"/>
  <c r="G128" i="4" s="1"/>
  <c r="H128" i="4" s="1"/>
  <c r="E127" i="4"/>
  <c r="G127" i="4" s="1"/>
  <c r="H127" i="4" s="1"/>
  <c r="E126" i="4"/>
  <c r="G126" i="4" s="1"/>
  <c r="H126" i="4" s="1"/>
  <c r="E125" i="4"/>
  <c r="G125" i="4" s="1"/>
  <c r="H125" i="4" s="1"/>
  <c r="E124" i="4"/>
  <c r="G124" i="4" s="1"/>
  <c r="H124" i="4" s="1"/>
  <c r="E123" i="4"/>
  <c r="G123" i="4" s="1"/>
  <c r="H123" i="4" s="1"/>
  <c r="E218" i="4"/>
  <c r="G218" i="4" s="1"/>
  <c r="H218" i="4" s="1"/>
  <c r="E217" i="4"/>
  <c r="G217" i="4" s="1"/>
  <c r="H217" i="4" s="1"/>
  <c r="E216" i="4"/>
  <c r="G216" i="4" s="1"/>
  <c r="H216" i="4" s="1"/>
  <c r="E215" i="4"/>
  <c r="G215" i="4" s="1"/>
  <c r="H215" i="4" s="1"/>
  <c r="E214" i="4"/>
  <c r="G214" i="4" s="1"/>
  <c r="H214" i="4" s="1"/>
  <c r="E213" i="4"/>
  <c r="G213" i="4" s="1"/>
  <c r="H213" i="4" s="1"/>
  <c r="E212" i="4"/>
  <c r="G212" i="4" s="1"/>
  <c r="H212" i="4" s="1"/>
  <c r="E211" i="4"/>
  <c r="G211" i="4" s="1"/>
  <c r="H211" i="4" s="1"/>
  <c r="E121" i="4"/>
  <c r="G121" i="4" s="1"/>
  <c r="H121" i="4" s="1"/>
  <c r="E120" i="4"/>
  <c r="G120" i="4" s="1"/>
  <c r="H120" i="4" s="1"/>
  <c r="E119" i="4"/>
  <c r="G119" i="4" s="1"/>
  <c r="H119" i="4" s="1"/>
  <c r="E118" i="4"/>
  <c r="G118" i="4" s="1"/>
  <c r="H118" i="4" s="1"/>
  <c r="E117" i="4"/>
  <c r="G117" i="4" s="1"/>
  <c r="H117" i="4" s="1"/>
  <c r="E116" i="4"/>
  <c r="G116" i="4" s="1"/>
  <c r="H116" i="4" s="1"/>
  <c r="E115" i="4"/>
  <c r="G115" i="4" s="1"/>
  <c r="H115" i="4" s="1"/>
  <c r="E114" i="4"/>
  <c r="G114" i="4" s="1"/>
  <c r="H114" i="4" s="1"/>
  <c r="E209" i="4"/>
  <c r="G209" i="4" s="1"/>
  <c r="H209" i="4" s="1"/>
  <c r="E208" i="4"/>
  <c r="G208" i="4" s="1"/>
  <c r="H208" i="4" s="1"/>
  <c r="E207" i="4"/>
  <c r="G207" i="4" s="1"/>
  <c r="H207" i="4" s="1"/>
  <c r="E206" i="4"/>
  <c r="G206" i="4" s="1"/>
  <c r="H206" i="4" s="1"/>
  <c r="E205" i="4"/>
  <c r="G205" i="4" s="1"/>
  <c r="H205" i="4" s="1"/>
  <c r="E204" i="4"/>
  <c r="G204" i="4" s="1"/>
  <c r="H204" i="4" s="1"/>
  <c r="E203" i="4"/>
  <c r="G203" i="4" s="1"/>
  <c r="H203" i="4" s="1"/>
  <c r="E202" i="4"/>
  <c r="G202" i="4" s="1"/>
  <c r="H202" i="4" s="1"/>
  <c r="E112" i="4"/>
  <c r="G112" i="4" s="1"/>
  <c r="H112" i="4" s="1"/>
  <c r="E111" i="4"/>
  <c r="G111" i="4" s="1"/>
  <c r="H111" i="4" s="1"/>
  <c r="E110" i="4"/>
  <c r="G110" i="4" s="1"/>
  <c r="H110" i="4" s="1"/>
  <c r="E109" i="4"/>
  <c r="G109" i="4" s="1"/>
  <c r="H109" i="4" s="1"/>
  <c r="E108" i="4"/>
  <c r="G108" i="4" s="1"/>
  <c r="H108" i="4" s="1"/>
  <c r="E107" i="4"/>
  <c r="G107" i="4" s="1"/>
  <c r="H107" i="4" s="1"/>
  <c r="E106" i="4"/>
  <c r="G106" i="4" s="1"/>
  <c r="H106" i="4" s="1"/>
  <c r="E105" i="4"/>
  <c r="G105" i="4" s="1"/>
  <c r="H105" i="4" s="1"/>
  <c r="E200" i="4"/>
  <c r="G200" i="4" s="1"/>
  <c r="H200" i="4" s="1"/>
  <c r="E199" i="4"/>
  <c r="G199" i="4" s="1"/>
  <c r="H199" i="4" s="1"/>
  <c r="E198" i="4"/>
  <c r="G198" i="4" s="1"/>
  <c r="H198" i="4" s="1"/>
  <c r="E197" i="4"/>
  <c r="G197" i="4" s="1"/>
  <c r="H197" i="4" s="1"/>
  <c r="E196" i="4"/>
  <c r="G196" i="4" s="1"/>
  <c r="H196" i="4" s="1"/>
  <c r="E195" i="4"/>
  <c r="G195" i="4" s="1"/>
  <c r="H195" i="4" s="1"/>
  <c r="E194" i="4"/>
  <c r="G194" i="4" s="1"/>
  <c r="H194" i="4" s="1"/>
  <c r="E193" i="4"/>
  <c r="G193" i="4" s="1"/>
  <c r="H193" i="4" s="1"/>
  <c r="E192" i="4"/>
  <c r="G192" i="4" s="1"/>
  <c r="H192" i="4" s="1"/>
  <c r="E191" i="4"/>
  <c r="G191" i="4" s="1"/>
  <c r="H191" i="4" s="1"/>
  <c r="E190" i="4"/>
  <c r="G190" i="4" s="1"/>
  <c r="H190" i="4" s="1"/>
  <c r="E189" i="4"/>
  <c r="G189" i="4" s="1"/>
  <c r="H189" i="4" s="1"/>
  <c r="E103" i="4"/>
  <c r="G103" i="4" s="1"/>
  <c r="H103" i="4" s="1"/>
  <c r="E102" i="4"/>
  <c r="G102" i="4" s="1"/>
  <c r="H102" i="4" s="1"/>
  <c r="E101" i="4"/>
  <c r="G101" i="4" s="1"/>
  <c r="H101" i="4" s="1"/>
  <c r="E100" i="4"/>
  <c r="G100" i="4" s="1"/>
  <c r="H100" i="4" s="1"/>
  <c r="E99" i="4"/>
  <c r="G99" i="4" s="1"/>
  <c r="H99" i="4" s="1"/>
  <c r="E98" i="4"/>
  <c r="G98" i="4" s="1"/>
  <c r="H98" i="4" s="1"/>
  <c r="E97" i="4"/>
  <c r="G97" i="4" s="1"/>
  <c r="H97" i="4" s="1"/>
  <c r="E96" i="4"/>
  <c r="G96" i="4" s="1"/>
  <c r="H96" i="4" s="1"/>
  <c r="E95" i="4"/>
  <c r="G95" i="4" s="1"/>
  <c r="H95" i="4" s="1"/>
  <c r="E94" i="4"/>
  <c r="G94" i="4" s="1"/>
  <c r="H94" i="4" s="1"/>
  <c r="E93" i="4"/>
  <c r="G93" i="4" s="1"/>
  <c r="H93" i="4" s="1"/>
  <c r="E92" i="4"/>
  <c r="G92" i="4" s="1"/>
  <c r="H92" i="4" s="1"/>
  <c r="E187" i="4"/>
  <c r="G187" i="4" s="1"/>
  <c r="H187" i="4" s="1"/>
  <c r="E186" i="4"/>
  <c r="G186" i="4" s="1"/>
  <c r="H186" i="4" s="1"/>
  <c r="E185" i="4"/>
  <c r="G185" i="4" s="1"/>
  <c r="H185" i="4" s="1"/>
  <c r="E184" i="4"/>
  <c r="G184" i="4" s="1"/>
  <c r="H184" i="4" s="1"/>
  <c r="E183" i="4"/>
  <c r="G183" i="4" s="1"/>
  <c r="H183" i="4" s="1"/>
  <c r="E182" i="4"/>
  <c r="G182" i="4" s="1"/>
  <c r="H182" i="4" s="1"/>
  <c r="E181" i="4"/>
  <c r="G181" i="4" s="1"/>
  <c r="H181" i="4" s="1"/>
  <c r="E180" i="4"/>
  <c r="G180" i="4" s="1"/>
  <c r="H180" i="4" s="1"/>
  <c r="E179" i="4"/>
  <c r="G179" i="4" s="1"/>
  <c r="H179" i="4" s="1"/>
  <c r="E178" i="4"/>
  <c r="G178" i="4" s="1"/>
  <c r="H178" i="4" s="1"/>
  <c r="E177" i="4"/>
  <c r="G177" i="4" s="1"/>
  <c r="H177" i="4" s="1"/>
  <c r="E176" i="4"/>
  <c r="G176" i="4" s="1"/>
  <c r="H176" i="4" s="1"/>
  <c r="E90" i="4"/>
  <c r="G90" i="4" s="1"/>
  <c r="H90" i="4" s="1"/>
  <c r="E89" i="4"/>
  <c r="G89" i="4" s="1"/>
  <c r="H89" i="4" s="1"/>
  <c r="E88" i="4"/>
  <c r="G88" i="4" s="1"/>
  <c r="H88" i="4" s="1"/>
  <c r="E87" i="4"/>
  <c r="G87" i="4" s="1"/>
  <c r="H87" i="4" s="1"/>
  <c r="E86" i="4"/>
  <c r="G86" i="4" s="1"/>
  <c r="H86" i="4" s="1"/>
  <c r="E85" i="4"/>
  <c r="G85" i="4" s="1"/>
  <c r="H85" i="4" s="1"/>
  <c r="E84" i="4"/>
  <c r="G84" i="4" s="1"/>
  <c r="H84" i="4" s="1"/>
  <c r="E83" i="4"/>
  <c r="G83" i="4" s="1"/>
  <c r="H83" i="4" s="1"/>
  <c r="E82" i="4"/>
  <c r="G82" i="4" s="1"/>
  <c r="H82" i="4" s="1"/>
  <c r="E81" i="4"/>
  <c r="G81" i="4" s="1"/>
  <c r="H81" i="4" s="1"/>
  <c r="E80" i="4"/>
  <c r="G80" i="4" s="1"/>
  <c r="H80" i="4" s="1"/>
  <c r="E79" i="4"/>
  <c r="G79" i="4" s="1"/>
  <c r="H79" i="4" s="1"/>
  <c r="E77" i="4"/>
  <c r="G77" i="4" s="1"/>
  <c r="H77" i="4" s="1"/>
  <c r="E76" i="4"/>
  <c r="G76" i="4" s="1"/>
  <c r="H76" i="4" s="1"/>
  <c r="E174" i="4"/>
  <c r="G174" i="4" s="1"/>
  <c r="H174" i="4" s="1"/>
  <c r="E173" i="4"/>
  <c r="G173" i="4" s="1"/>
  <c r="H173" i="4" s="1"/>
  <c r="E74" i="4"/>
  <c r="G74" i="4" s="1"/>
  <c r="H74" i="4" s="1"/>
  <c r="E73" i="4"/>
  <c r="G73" i="4" s="1"/>
  <c r="H73" i="4" s="1"/>
  <c r="E171" i="4"/>
  <c r="G171" i="4" s="1"/>
  <c r="H171" i="4" s="1"/>
  <c r="E170" i="4"/>
  <c r="G170" i="4" s="1"/>
  <c r="H170" i="4" s="1"/>
  <c r="E169" i="4"/>
  <c r="G169" i="4" s="1"/>
  <c r="H169" i="4" s="1"/>
  <c r="E168" i="4"/>
  <c r="G168" i="4" s="1"/>
  <c r="H168" i="4" s="1"/>
  <c r="E167" i="4"/>
  <c r="G167" i="4" s="1"/>
  <c r="H167" i="4" s="1"/>
  <c r="E166" i="4"/>
  <c r="G166" i="4" s="1"/>
  <c r="H166" i="4" s="1"/>
  <c r="E165" i="4"/>
  <c r="G165" i="4" s="1"/>
  <c r="H165" i="4" s="1"/>
  <c r="E164" i="4"/>
  <c r="G164" i="4" s="1"/>
  <c r="H164" i="4" s="1"/>
  <c r="E163" i="4"/>
  <c r="G163" i="4" s="1"/>
  <c r="H163" i="4" s="1"/>
  <c r="E162" i="4"/>
  <c r="G162" i="4" s="1"/>
  <c r="H162" i="4" s="1"/>
  <c r="E161" i="4"/>
  <c r="G161" i="4" s="1"/>
  <c r="H161" i="4" s="1"/>
  <c r="E160" i="4"/>
  <c r="G160" i="4" s="1"/>
  <c r="H160" i="4" s="1"/>
  <c r="E71" i="4"/>
  <c r="G71" i="4" s="1"/>
  <c r="H71" i="4" s="1"/>
  <c r="E70" i="4"/>
  <c r="G70" i="4" s="1"/>
  <c r="H70" i="4" s="1"/>
  <c r="E69" i="4"/>
  <c r="G69" i="4" s="1"/>
  <c r="H69" i="4" s="1"/>
  <c r="E68" i="4"/>
  <c r="G68" i="4" s="1"/>
  <c r="H68" i="4" s="1"/>
  <c r="E67" i="4"/>
  <c r="G67" i="4" s="1"/>
  <c r="H67" i="4" s="1"/>
  <c r="E66" i="4"/>
  <c r="G66" i="4" s="1"/>
  <c r="H66" i="4" s="1"/>
  <c r="E65" i="4"/>
  <c r="G65" i="4" s="1"/>
  <c r="H65" i="4" s="1"/>
  <c r="E64" i="4"/>
  <c r="G64" i="4" s="1"/>
  <c r="H64" i="4" s="1"/>
  <c r="E63" i="4"/>
  <c r="G63" i="4" s="1"/>
  <c r="H63" i="4" s="1"/>
  <c r="E62" i="4"/>
  <c r="G62" i="4" s="1"/>
  <c r="H62" i="4" s="1"/>
  <c r="E61" i="4"/>
  <c r="G61" i="4" s="1"/>
  <c r="H61" i="4" s="1"/>
  <c r="E60" i="4"/>
  <c r="G60" i="4" s="1"/>
  <c r="H60" i="4" s="1"/>
  <c r="E158" i="4"/>
  <c r="G158" i="4" s="1"/>
  <c r="H158" i="4" s="1"/>
  <c r="E157" i="4"/>
  <c r="G157" i="4" s="1"/>
  <c r="H157" i="4" s="1"/>
  <c r="E156" i="4"/>
  <c r="G156" i="4" s="1"/>
  <c r="H156" i="4" s="1"/>
  <c r="E155" i="4"/>
  <c r="G155" i="4" s="1"/>
  <c r="H155" i="4" s="1"/>
  <c r="E154" i="4"/>
  <c r="G154" i="4" s="1"/>
  <c r="H154" i="4" s="1"/>
  <c r="E153" i="4"/>
  <c r="G153" i="4" s="1"/>
  <c r="H153" i="4" s="1"/>
  <c r="E152" i="4"/>
  <c r="G152" i="4" s="1"/>
  <c r="H152" i="4" s="1"/>
  <c r="E151" i="4"/>
  <c r="G151" i="4" s="1"/>
  <c r="H151" i="4" s="1"/>
  <c r="E150" i="4"/>
  <c r="G150" i="4" s="1"/>
  <c r="H150" i="4" s="1"/>
  <c r="E149" i="4"/>
  <c r="G149" i="4" s="1"/>
  <c r="H149" i="4" s="1"/>
  <c r="E148" i="4"/>
  <c r="G148" i="4" s="1"/>
  <c r="H148" i="4" s="1"/>
  <c r="E147" i="4"/>
  <c r="G147" i="4" s="1"/>
  <c r="H147" i="4" s="1"/>
  <c r="E47" i="4"/>
  <c r="G47" i="4" s="1"/>
  <c r="H47" i="4" s="1"/>
  <c r="E48" i="4"/>
  <c r="G48" i="4" s="1"/>
  <c r="H48" i="4" s="1"/>
  <c r="E49" i="4"/>
  <c r="G49" i="4" s="1"/>
  <c r="H49" i="4" s="1"/>
  <c r="E50" i="4"/>
  <c r="G50" i="4" s="1"/>
  <c r="H50" i="4" s="1"/>
  <c r="E58" i="4"/>
  <c r="G58" i="4" s="1"/>
  <c r="H58" i="4" s="1"/>
  <c r="E57" i="4"/>
  <c r="G57" i="4" s="1"/>
  <c r="H57" i="4" s="1"/>
  <c r="E56" i="4"/>
  <c r="G56" i="4" s="1"/>
  <c r="H56" i="4" s="1"/>
  <c r="E55" i="4"/>
  <c r="G55" i="4" s="1"/>
  <c r="H55" i="4" s="1"/>
  <c r="E54" i="4"/>
  <c r="G54" i="4" s="1"/>
  <c r="H54" i="4" s="1"/>
  <c r="E53" i="4"/>
  <c r="G53" i="4" s="1"/>
  <c r="H53" i="4" s="1"/>
  <c r="E52" i="4"/>
  <c r="G52" i="4" s="1"/>
  <c r="H52" i="4" s="1"/>
  <c r="E51" i="4"/>
  <c r="G51" i="4" s="1"/>
  <c r="H51" i="4" s="1"/>
  <c r="E145" i="4"/>
  <c r="G145" i="4" s="1"/>
  <c r="H145" i="4" s="1"/>
  <c r="E144" i="4"/>
  <c r="G144" i="4" s="1"/>
  <c r="H144" i="4" s="1"/>
  <c r="E143" i="4"/>
  <c r="G143" i="4" s="1"/>
  <c r="H143" i="4" s="1"/>
  <c r="E142" i="4"/>
  <c r="G142" i="4" s="1"/>
  <c r="H142" i="4" s="1"/>
  <c r="E141" i="4"/>
  <c r="G141" i="4" s="1"/>
  <c r="H141" i="4" s="1"/>
  <c r="E140" i="4"/>
  <c r="G140" i="4" s="1"/>
  <c r="H140" i="4" s="1"/>
  <c r="E139" i="4"/>
  <c r="G139" i="4" s="1"/>
  <c r="H139" i="4" s="1"/>
  <c r="E138" i="4"/>
  <c r="G138" i="4" s="1"/>
  <c r="H138" i="4" s="1"/>
  <c r="E38" i="4"/>
  <c r="G38" i="4" s="1"/>
  <c r="H38" i="4" s="1"/>
  <c r="E39" i="4"/>
  <c r="G39" i="4" s="1"/>
  <c r="H39" i="4" s="1"/>
  <c r="E40" i="4"/>
  <c r="G40" i="4" s="1"/>
  <c r="H40" i="4" s="1"/>
  <c r="E41" i="4"/>
  <c r="G41" i="4" s="1"/>
  <c r="H41" i="4" s="1"/>
  <c r="E42" i="4"/>
  <c r="G42" i="4" s="1"/>
  <c r="H42" i="4" s="1"/>
  <c r="E43" i="4"/>
  <c r="G43" i="4" s="1"/>
  <c r="H43" i="4" s="1"/>
  <c r="E44" i="4"/>
  <c r="G44" i="4" s="1"/>
  <c r="H44" i="4" s="1"/>
  <c r="E45" i="4"/>
  <c r="G45" i="4" s="1"/>
  <c r="H45" i="4" s="1"/>
  <c r="G12" i="4"/>
  <c r="G11" i="4"/>
  <c r="F31" i="2"/>
  <c r="F33" i="2"/>
  <c r="F35" i="2" s="1"/>
  <c r="F27" i="2"/>
  <c r="F29" i="2" s="1"/>
  <c r="F23" i="2"/>
  <c r="F10" i="2"/>
  <c r="F14" i="2" s="1"/>
  <c r="F16" i="2" s="1"/>
  <c r="E7" i="2" s="1"/>
  <c r="C17" i="1"/>
  <c r="C2" i="1"/>
  <c r="C12" i="1"/>
  <c r="C7" i="1"/>
  <c r="C8" i="1"/>
  <c r="C484" i="4" l="1"/>
  <c r="E484" i="4" s="1"/>
  <c r="C419" i="4"/>
  <c r="C487" i="4"/>
  <c r="C549" i="4"/>
  <c r="E549" i="4" s="1"/>
  <c r="C422" i="4"/>
  <c r="C491" i="4"/>
  <c r="C550" i="4"/>
  <c r="C430" i="4"/>
  <c r="C497" i="4"/>
  <c r="C551" i="4"/>
  <c r="C425" i="4"/>
  <c r="C498" i="4"/>
  <c r="C552" i="4"/>
  <c r="C433" i="4"/>
  <c r="C526" i="4"/>
  <c r="C553" i="4"/>
  <c r="C456" i="4"/>
  <c r="C534" i="4"/>
  <c r="C554" i="4"/>
  <c r="C457" i="4"/>
  <c r="C521" i="4"/>
  <c r="C555" i="4"/>
  <c r="C466" i="4"/>
  <c r="C535" i="4"/>
  <c r="C556" i="4"/>
  <c r="D549" i="4"/>
  <c r="C409" i="4"/>
  <c r="C417" i="4"/>
  <c r="C445" i="4"/>
  <c r="C448" i="4"/>
  <c r="C451" i="4"/>
  <c r="C455" i="4"/>
  <c r="C465" i="4"/>
  <c r="C480" i="4"/>
  <c r="C483" i="4"/>
  <c r="C496" i="4"/>
  <c r="C518" i="4"/>
  <c r="C513" i="4"/>
  <c r="C507" i="4"/>
  <c r="C438" i="4"/>
  <c r="C449" i="4"/>
  <c r="C458" i="4"/>
  <c r="C468" i="4"/>
  <c r="C477" i="4"/>
  <c r="C492" i="4"/>
  <c r="C499" i="4"/>
  <c r="C503" i="4"/>
  <c r="C536" i="4"/>
  <c r="C531" i="4"/>
  <c r="C446" i="4"/>
  <c r="C441" i="4"/>
  <c r="C459" i="4"/>
  <c r="C469" i="4"/>
  <c r="C481" i="4"/>
  <c r="C500" i="4"/>
  <c r="C511" i="4"/>
  <c r="C537" i="4"/>
  <c r="C539" i="4"/>
  <c r="C420" i="4"/>
  <c r="C423" i="4"/>
  <c r="C426" i="4"/>
  <c r="C460" i="4"/>
  <c r="C470" i="4"/>
  <c r="C485" i="4"/>
  <c r="C508" i="4"/>
  <c r="C501" i="4"/>
  <c r="C519" i="4"/>
  <c r="C506" i="4"/>
  <c r="C540" i="4"/>
  <c r="D540" i="4" s="1"/>
  <c r="C428" i="4"/>
  <c r="C431" i="4"/>
  <c r="C434" i="4"/>
  <c r="C461" i="4"/>
  <c r="C471" i="4"/>
  <c r="C489" i="4"/>
  <c r="C516" i="4"/>
  <c r="C509" i="4"/>
  <c r="C527" i="4"/>
  <c r="C514" i="4"/>
  <c r="C541" i="4"/>
  <c r="C412" i="4"/>
  <c r="C436" i="4"/>
  <c r="C439" i="4"/>
  <c r="C442" i="4"/>
  <c r="C478" i="4"/>
  <c r="D476" i="4" s="1"/>
  <c r="C524" i="4"/>
  <c r="C517" i="4"/>
  <c r="C504" i="4"/>
  <c r="C522" i="4"/>
  <c r="C542" i="4"/>
  <c r="C413" i="4"/>
  <c r="C444" i="4"/>
  <c r="C447" i="4"/>
  <c r="C450" i="4"/>
  <c r="C482" i="4"/>
  <c r="C532" i="4"/>
  <c r="C525" i="4"/>
  <c r="D524" i="4" s="1"/>
  <c r="C512" i="4"/>
  <c r="C543" i="4"/>
  <c r="C414" i="4"/>
  <c r="C421" i="4"/>
  <c r="C424" i="4"/>
  <c r="C427" i="4"/>
  <c r="C452" i="4"/>
  <c r="C462" i="4"/>
  <c r="C486" i="4"/>
  <c r="C493" i="4"/>
  <c r="C533" i="4"/>
  <c r="C520" i="4"/>
  <c r="C538" i="4"/>
  <c r="C544" i="4"/>
  <c r="C415" i="4"/>
  <c r="C429" i="4"/>
  <c r="C432" i="4"/>
  <c r="C435" i="4"/>
  <c r="C453" i="4"/>
  <c r="C463" i="4"/>
  <c r="C490" i="4"/>
  <c r="D488" i="4" s="1"/>
  <c r="C494" i="4"/>
  <c r="C502" i="4"/>
  <c r="C528" i="4"/>
  <c r="C529" i="4"/>
  <c r="C545" i="4"/>
  <c r="C408" i="4"/>
  <c r="C416" i="4"/>
  <c r="C437" i="4"/>
  <c r="C440" i="4"/>
  <c r="C443" i="4"/>
  <c r="C454" i="4"/>
  <c r="C464" i="4"/>
  <c r="D462" i="4" s="1"/>
  <c r="C476" i="4"/>
  <c r="C479" i="4"/>
  <c r="C495" i="4"/>
  <c r="C510" i="4"/>
  <c r="C505" i="4"/>
  <c r="C530" i="4"/>
  <c r="C546" i="4"/>
  <c r="C391" i="4"/>
  <c r="C392" i="4"/>
  <c r="C389" i="4"/>
  <c r="C400" i="4"/>
  <c r="F314" i="4"/>
  <c r="G314" i="4" s="1"/>
  <c r="C393" i="4"/>
  <c r="C401" i="4"/>
  <c r="E253" i="4"/>
  <c r="E255" i="4"/>
  <c r="C394" i="4"/>
  <c r="C402" i="4"/>
  <c r="E256" i="4"/>
  <c r="C395" i="4"/>
  <c r="C403" i="4"/>
  <c r="E257" i="4"/>
  <c r="C396" i="4"/>
  <c r="E252" i="4"/>
  <c r="E258" i="4"/>
  <c r="C397" i="4"/>
  <c r="E259" i="4"/>
  <c r="C398" i="4"/>
  <c r="C404" i="4"/>
  <c r="E260" i="4"/>
  <c r="C399" i="4"/>
  <c r="C405" i="4"/>
  <c r="E261" i="4"/>
  <c r="C388" i="4"/>
  <c r="D388" i="4" s="1"/>
  <c r="C406" i="4"/>
  <c r="E263" i="4"/>
  <c r="E262" i="4"/>
  <c r="C322" i="4"/>
  <c r="C390" i="4"/>
  <c r="C407" i="4"/>
  <c r="E254" i="4"/>
  <c r="C323" i="4"/>
  <c r="D316" i="4"/>
  <c r="E316" i="4" s="1"/>
  <c r="D315" i="4"/>
  <c r="E315" i="4" s="1"/>
  <c r="C313" i="4"/>
  <c r="C312" i="4"/>
  <c r="F312" i="4" s="1"/>
  <c r="G312" i="4" s="1"/>
  <c r="F315" i="4"/>
  <c r="G315" i="4" s="1"/>
  <c r="C321" i="4"/>
  <c r="C320" i="4"/>
  <c r="C319" i="4"/>
  <c r="C318" i="4"/>
  <c r="C317" i="4"/>
  <c r="I89" i="5"/>
  <c r="E136" i="5"/>
  <c r="I136" i="5" s="1"/>
  <c r="E74" i="5"/>
  <c r="I74" i="5" s="1"/>
  <c r="E51" i="5"/>
  <c r="I51" i="5" s="1"/>
  <c r="E23" i="5"/>
  <c r="I42" i="5"/>
  <c r="E25" i="5"/>
  <c r="I25" i="5" s="1"/>
  <c r="E134" i="5"/>
  <c r="I134" i="5" s="1"/>
  <c r="I103" i="5"/>
  <c r="E72" i="5"/>
  <c r="I72" i="5" s="1"/>
  <c r="I132" i="5"/>
  <c r="C110" i="5" s="1"/>
  <c r="I97" i="5"/>
  <c r="I105" i="5"/>
  <c r="I49" i="5"/>
  <c r="I21" i="5"/>
  <c r="I70" i="5"/>
  <c r="I47" i="5"/>
  <c r="I23" i="5"/>
  <c r="E516" i="4" l="1"/>
  <c r="E532" i="4"/>
  <c r="E476" i="4"/>
  <c r="F476" i="4" s="1"/>
  <c r="G476" i="4" s="1"/>
  <c r="D492" i="4"/>
  <c r="E540" i="4"/>
  <c r="F540" i="4" s="1"/>
  <c r="G540" i="4" s="1"/>
  <c r="E500" i="4"/>
  <c r="D480" i="4"/>
  <c r="D508" i="4"/>
  <c r="E462" i="4"/>
  <c r="G462" i="4" s="1"/>
  <c r="D516" i="4"/>
  <c r="E488" i="4"/>
  <c r="F488" i="4" s="1"/>
  <c r="G488" i="4" s="1"/>
  <c r="F480" i="4"/>
  <c r="G480" i="4" s="1"/>
  <c r="E508" i="4"/>
  <c r="F508" i="4" s="1"/>
  <c r="G508" i="4" s="1"/>
  <c r="E480" i="4"/>
  <c r="D484" i="4"/>
  <c r="F484" i="4" s="1"/>
  <c r="G484" i="4" s="1"/>
  <c r="E428" i="4"/>
  <c r="D428" i="4"/>
  <c r="E404" i="4"/>
  <c r="D404" i="4"/>
  <c r="F404" i="4" s="1"/>
  <c r="G404" i="4" s="1"/>
  <c r="E392" i="4"/>
  <c r="E524" i="4"/>
  <c r="E412" i="4"/>
  <c r="D412" i="4"/>
  <c r="E492" i="4"/>
  <c r="F492" i="4" s="1"/>
  <c r="G492" i="4" s="1"/>
  <c r="D420" i="4"/>
  <c r="E420" i="4"/>
  <c r="E436" i="4"/>
  <c r="D436" i="4"/>
  <c r="D532" i="4"/>
  <c r="E452" i="4"/>
  <c r="D452" i="4"/>
  <c r="F452" i="4" s="1"/>
  <c r="G452" i="4" s="1"/>
  <c r="E444" i="4"/>
  <c r="D444" i="4"/>
  <c r="F444" i="4" s="1"/>
  <c r="G444" i="4" s="1"/>
  <c r="E388" i="4"/>
  <c r="F388" i="4" s="1"/>
  <c r="G388" i="4" s="1"/>
  <c r="D500" i="4"/>
  <c r="F500" i="4" s="1"/>
  <c r="G500" i="4" s="1"/>
  <c r="F524" i="4"/>
  <c r="G524" i="4" s="1"/>
  <c r="F516" i="4"/>
  <c r="G516" i="4" s="1"/>
  <c r="D392" i="4"/>
  <c r="E264" i="4"/>
  <c r="F263" i="4" s="1"/>
  <c r="G263" i="4" s="1"/>
  <c r="E396" i="4"/>
  <c r="D396" i="4"/>
  <c r="E400" i="4"/>
  <c r="D400" i="4"/>
  <c r="F317" i="4"/>
  <c r="G317" i="4" s="1"/>
  <c r="D317" i="4"/>
  <c r="E317" i="4" s="1"/>
  <c r="F320" i="4"/>
  <c r="G320" i="4" s="1"/>
  <c r="D320" i="4"/>
  <c r="E320" i="4" s="1"/>
  <c r="F316" i="4"/>
  <c r="G316" i="4" s="1"/>
  <c r="F318" i="4"/>
  <c r="G318" i="4" s="1"/>
  <c r="D318" i="4"/>
  <c r="E318" i="4" s="1"/>
  <c r="F319" i="4"/>
  <c r="G319" i="4" s="1"/>
  <c r="D319" i="4"/>
  <c r="E319" i="4" s="1"/>
  <c r="D321" i="4"/>
  <c r="E321" i="4" s="1"/>
  <c r="D313" i="4"/>
  <c r="E313" i="4" s="1"/>
  <c r="F313" i="4"/>
  <c r="G313" i="4" s="1"/>
  <c r="D314" i="4"/>
  <c r="E314" i="4" s="1"/>
  <c r="C54" i="5"/>
  <c r="C77" i="5"/>
  <c r="C2" i="5"/>
  <c r="C28" i="5"/>
  <c r="F258" i="4" l="1"/>
  <c r="G258" i="4" s="1"/>
  <c r="F254" i="4"/>
  <c r="G254" i="4" s="1"/>
  <c r="F257" i="4"/>
  <c r="G257" i="4" s="1"/>
  <c r="F261" i="4"/>
  <c r="G261" i="4" s="1"/>
  <c r="F252" i="4"/>
  <c r="G252" i="4" s="1"/>
  <c r="H252" i="4" s="1"/>
  <c r="F532" i="4"/>
  <c r="G532" i="4" s="1"/>
  <c r="F428" i="4"/>
  <c r="G428" i="4" s="1"/>
  <c r="F436" i="4"/>
  <c r="G436" i="4" s="1"/>
  <c r="F400" i="4"/>
  <c r="G400" i="4" s="1"/>
  <c r="F392" i="4"/>
  <c r="G392" i="4" s="1"/>
  <c r="F255" i="4"/>
  <c r="G255" i="4" s="1"/>
  <c r="F253" i="4"/>
  <c r="G253" i="4" s="1"/>
  <c r="H253" i="4" s="1"/>
  <c r="C294" i="4" s="1"/>
  <c r="F262" i="4"/>
  <c r="G262" i="4" s="1"/>
  <c r="F420" i="4"/>
  <c r="G420" i="4" s="1"/>
  <c r="F412" i="4"/>
  <c r="G412" i="4" s="1"/>
  <c r="F256" i="4"/>
  <c r="G256" i="4" s="1"/>
  <c r="F259" i="4"/>
  <c r="G259" i="4" s="1"/>
  <c r="F260" i="4"/>
  <c r="G260" i="4" s="1"/>
  <c r="F396" i="4"/>
  <c r="G396" i="4" s="1"/>
  <c r="E269" i="4"/>
  <c r="F269" i="4" s="1"/>
  <c r="G269" i="4" s="1"/>
  <c r="C293" i="4"/>
  <c r="D293" i="4" s="1"/>
  <c r="E293" i="4" l="1"/>
  <c r="D294" i="4"/>
  <c r="H254" i="4"/>
  <c r="C295" i="4" s="1"/>
  <c r="E270" i="4"/>
  <c r="F270" i="4" s="1"/>
  <c r="D295" i="4" l="1"/>
  <c r="E294" i="4"/>
  <c r="H255" i="4"/>
  <c r="C296" i="4" s="1"/>
  <c r="E271" i="4"/>
  <c r="F271" i="4" s="1"/>
  <c r="I271" i="4" s="1"/>
  <c r="G270" i="4"/>
  <c r="H269" i="4"/>
  <c r="E295" i="4" l="1"/>
  <c r="D296" i="4"/>
  <c r="H256" i="4"/>
  <c r="C297" i="4" s="1"/>
  <c r="E272" i="4"/>
  <c r="F272" i="4" s="1"/>
  <c r="I272" i="4" s="1"/>
  <c r="G271" i="4"/>
  <c r="H270" i="4"/>
  <c r="E296" i="4" l="1"/>
  <c r="D297" i="4"/>
  <c r="G272" i="4"/>
  <c r="H271" i="4"/>
  <c r="J271" i="4"/>
  <c r="H257" i="4"/>
  <c r="C298" i="4" s="1"/>
  <c r="E273" i="4"/>
  <c r="F273" i="4" s="1"/>
  <c r="E297" i="4" l="1"/>
  <c r="D298" i="4"/>
  <c r="G273" i="4"/>
  <c r="H272" i="4"/>
  <c r="J272" i="4"/>
  <c r="I273" i="4"/>
  <c r="H258" i="4"/>
  <c r="C299" i="4" s="1"/>
  <c r="E274" i="4"/>
  <c r="F274" i="4" s="1"/>
  <c r="E298" i="4" l="1"/>
  <c r="D299" i="4"/>
  <c r="J273" i="4"/>
  <c r="G274" i="4"/>
  <c r="H273" i="4"/>
  <c r="I274" i="4"/>
  <c r="H259" i="4"/>
  <c r="C300" i="4" s="1"/>
  <c r="E275" i="4"/>
  <c r="F275" i="4" s="1"/>
  <c r="E299" i="4" l="1"/>
  <c r="D300" i="4"/>
  <c r="G275" i="4"/>
  <c r="H274" i="4"/>
  <c r="I275" i="4"/>
  <c r="H260" i="4"/>
  <c r="C301" i="4" s="1"/>
  <c r="E276" i="4"/>
  <c r="F276" i="4" s="1"/>
  <c r="I276" i="4" s="1"/>
  <c r="J274" i="4"/>
  <c r="E300" i="4" l="1"/>
  <c r="D301" i="4"/>
  <c r="J275" i="4"/>
  <c r="G276" i="4"/>
  <c r="H275" i="4"/>
  <c r="H261" i="4"/>
  <c r="C302" i="4" s="1"/>
  <c r="E277" i="4"/>
  <c r="F277" i="4" s="1"/>
  <c r="I277" i="4"/>
  <c r="E301" i="4" l="1"/>
  <c r="D302" i="4"/>
  <c r="H276" i="4"/>
  <c r="J276" i="4"/>
  <c r="G277" i="4"/>
  <c r="H262" i="4"/>
  <c r="C303" i="4" s="1"/>
  <c r="E278" i="4"/>
  <c r="F278" i="4" s="1"/>
  <c r="I278" i="4"/>
  <c r="E302" i="4" l="1"/>
  <c r="D303" i="4"/>
  <c r="J277" i="4"/>
  <c r="H277" i="4"/>
  <c r="G278" i="4"/>
  <c r="H263" i="4"/>
  <c r="E279" i="4"/>
  <c r="F279" i="4" s="1"/>
  <c r="E280" i="4" l="1"/>
  <c r="C304" i="4"/>
  <c r="E303" i="4" s="1"/>
  <c r="J278" i="4"/>
  <c r="H278" i="4"/>
</calcChain>
</file>

<file path=xl/sharedStrings.xml><?xml version="1.0" encoding="utf-8"?>
<sst xmlns="http://schemas.openxmlformats.org/spreadsheetml/2006/main" count="834" uniqueCount="190">
  <si>
    <t>ZUCS</t>
  </si>
  <si>
    <t>R</t>
  </si>
  <si>
    <t>Z4</t>
  </si>
  <si>
    <t>Uc</t>
  </si>
  <si>
    <t>C</t>
  </si>
  <si>
    <t>Tp</t>
  </si>
  <si>
    <t>TL</t>
  </si>
  <si>
    <t>T (hn/CT)</t>
  </si>
  <si>
    <t>S1</t>
  </si>
  <si>
    <t>Ro</t>
  </si>
  <si>
    <t>Ia</t>
  </si>
  <si>
    <t>Ip</t>
  </si>
  <si>
    <t>k</t>
  </si>
  <si>
    <t>DEAD</t>
  </si>
  <si>
    <t>Peso Propio de los Elementos Estructurales</t>
  </si>
  <si>
    <t>CM</t>
  </si>
  <si>
    <t>Peso Acabados</t>
  </si>
  <si>
    <t>kg/m2</t>
  </si>
  <si>
    <t>Peso Ladrillo de Techo</t>
  </si>
  <si>
    <t>Vc</t>
  </si>
  <si>
    <t>Vc=0.05+0.25H</t>
  </si>
  <si>
    <t>m3/m2</t>
  </si>
  <si>
    <t>Vc=0.05+0.25(0.15)</t>
  </si>
  <si>
    <t>Peso Esp. Concreto</t>
  </si>
  <si>
    <t>kg/m3</t>
  </si>
  <si>
    <t>Wc</t>
  </si>
  <si>
    <t>Wladrillo</t>
  </si>
  <si>
    <t>Wladrillo = Wlosa-Wc</t>
  </si>
  <si>
    <t>Peso Muros sobre Área</t>
  </si>
  <si>
    <t>Peso Muros sobre Viga</t>
  </si>
  <si>
    <t>e</t>
  </si>
  <si>
    <t>m</t>
  </si>
  <si>
    <t>h</t>
  </si>
  <si>
    <t>Peso Esp.</t>
  </si>
  <si>
    <t>Wmuro</t>
  </si>
  <si>
    <t>kg/m</t>
  </si>
  <si>
    <t>LIVE</t>
  </si>
  <si>
    <t>Sótano</t>
  </si>
  <si>
    <t>Semisótano</t>
  </si>
  <si>
    <t>Garaje</t>
  </si>
  <si>
    <t>Restaurante</t>
  </si>
  <si>
    <t>1°-2°nivel</t>
  </si>
  <si>
    <t>Escalera</t>
  </si>
  <si>
    <t>3°-10°nivel</t>
  </si>
  <si>
    <t>Departamentos</t>
  </si>
  <si>
    <t>Carga Viva de Entrepiso</t>
  </si>
  <si>
    <t>LIVE UP</t>
  </si>
  <si>
    <t>Carga Viva de Techo</t>
  </si>
  <si>
    <t>Azotea</t>
  </si>
  <si>
    <t>Peso Acabados + Peso ladrillo Techo + Peso muros albañilería + Tanque Elevado</t>
  </si>
  <si>
    <t>Vol</t>
  </si>
  <si>
    <t>m3</t>
  </si>
  <si>
    <t>Peso Esp. H2O</t>
  </si>
  <si>
    <t>Wtanque</t>
  </si>
  <si>
    <t>kg</t>
  </si>
  <si>
    <t>Área</t>
  </si>
  <si>
    <t>m2</t>
  </si>
  <si>
    <t>Wtanque/m2</t>
  </si>
  <si>
    <t>Tanque Losa Ascensor (1)</t>
  </si>
  <si>
    <t>Tanque Losa Central (4)</t>
  </si>
  <si>
    <t>COMB1</t>
  </si>
  <si>
    <t>COMB2</t>
  </si>
  <si>
    <t>COMBINACIÓN N°01: 1.4CM+1.7CV</t>
  </si>
  <si>
    <t>LIVE 1</t>
  </si>
  <si>
    <t>COMB3</t>
  </si>
  <si>
    <t>LIVE 2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</si>
  <si>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</si>
  <si>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</si>
  <si>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</si>
  <si>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</si>
  <si>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</si>
  <si>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</si>
  <si>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</si>
  <si>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</si>
  <si>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</si>
  <si>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</si>
  <si>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</si>
  <si>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</si>
  <si>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</si>
  <si>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>SyD</t>
  </si>
  <si>
    <t>COMBINACIÓN N°02: 1.25CM+1.25CV+-CS</t>
  </si>
  <si>
    <t>COMBINACIÓN N°03: 0.90CM+-CS</t>
  </si>
  <si>
    <t>COMB16</t>
  </si>
  <si>
    <t>COMB17</t>
  </si>
  <si>
    <t>COMB18</t>
  </si>
  <si>
    <t>COMB19</t>
  </si>
  <si>
    <t>COMBINACIÓN N°04: ENVOLVENTE</t>
  </si>
  <si>
    <t>COMB20</t>
  </si>
  <si>
    <t>COMB1 + COMB2 + … + COMB19</t>
  </si>
  <si>
    <t>VERIFICACIÓN POR PARTICIPACIÓN MODAL</t>
  </si>
  <si>
    <t>MODAL</t>
  </si>
  <si>
    <t>Acceleration</t>
  </si>
  <si>
    <t>UX</t>
  </si>
  <si>
    <t>UY</t>
  </si>
  <si>
    <t>UZ</t>
  </si>
  <si>
    <t>TABLE:  Modal Load Participation Ratios</t>
  </si>
  <si>
    <t>OutputCase</t>
  </si>
  <si>
    <t>ItemType</t>
  </si>
  <si>
    <t>Item</t>
  </si>
  <si>
    <t>Static</t>
  </si>
  <si>
    <t>Dynamic</t>
  </si>
  <si>
    <t>Text</t>
  </si>
  <si>
    <t>Percent</t>
  </si>
  <si>
    <t>VERIFICACIÓN DE DESPLAZAMIENTOS LATERALES</t>
  </si>
  <si>
    <t>DIRECCIÓN X</t>
  </si>
  <si>
    <t>DIRECCIÓN Y</t>
  </si>
  <si>
    <t>EJE A Y EJE 1</t>
  </si>
  <si>
    <t>PISO 6</t>
  </si>
  <si>
    <t>PISO 5</t>
  </si>
  <si>
    <t>PISO 4</t>
  </si>
  <si>
    <t>PISO 3</t>
  </si>
  <si>
    <t>PISO 2</t>
  </si>
  <si>
    <t>PISO 1</t>
  </si>
  <si>
    <t>SEMISÓTANO</t>
  </si>
  <si>
    <t>SÓTANO</t>
  </si>
  <si>
    <t>EJES</t>
  </si>
  <si>
    <t>N° PISO</t>
  </si>
  <si>
    <t>DESP. ABS.</t>
  </si>
  <si>
    <t>BASE</t>
  </si>
  <si>
    <t>hei</t>
  </si>
  <si>
    <r>
      <rPr>
        <b/>
        <sz val="11"/>
        <color theme="1"/>
        <rFont val="Aptos Narrow"/>
        <family val="2"/>
      </rPr>
      <t>Δ</t>
    </r>
    <r>
      <rPr>
        <b/>
        <sz val="13.2"/>
        <color theme="1"/>
        <rFont val="Aptos Narrow"/>
        <family val="2"/>
      </rPr>
      <t>i</t>
    </r>
  </si>
  <si>
    <t>DISTORSIÓN</t>
  </si>
  <si>
    <t>EJE A Y EJE 3</t>
  </si>
  <si>
    <t>PISO 10</t>
  </si>
  <si>
    <t>PISO 9</t>
  </si>
  <si>
    <t>PISO 8</t>
  </si>
  <si>
    <t>PISO 7</t>
  </si>
  <si>
    <t>EJE A Y EJE 8</t>
  </si>
  <si>
    <t>EJE A Y EJE 10</t>
  </si>
  <si>
    <t>EJE F Y EJE 1</t>
  </si>
  <si>
    <t>EJE F Y EJE 3</t>
  </si>
  <si>
    <t>EJE F Y EJE 8</t>
  </si>
  <si>
    <t>EJE F Y EJE 10</t>
  </si>
  <si>
    <t>EJE 1 Y EJE E</t>
  </si>
  <si>
    <t>EJE 10 Y EJE B</t>
  </si>
  <si>
    <t>VERIFICACIÓN DE IRREGULARIDADES ESTRUCTURALES</t>
  </si>
  <si>
    <t>IRREGULARIDADES ESTRUCTURALES EN ALTURA</t>
  </si>
  <si>
    <t>TABLE:  Auto Seismic - User Coefficient</t>
  </si>
  <si>
    <t>LoadPat</t>
  </si>
  <si>
    <t>Dir</t>
  </si>
  <si>
    <t>PercentEcc</t>
  </si>
  <si>
    <t>EccOverride</t>
  </si>
  <si>
    <t>UserZ</t>
  </si>
  <si>
    <t>K</t>
  </si>
  <si>
    <t>WeightUsed</t>
  </si>
  <si>
    <t>BaseShear</t>
  </si>
  <si>
    <t>Unitless</t>
  </si>
  <si>
    <t>Yes/No</t>
  </si>
  <si>
    <t>Tonf</t>
  </si>
  <si>
    <t>SxE</t>
  </si>
  <si>
    <t>X</t>
  </si>
  <si>
    <t>No</t>
  </si>
  <si>
    <t>SyE</t>
  </si>
  <si>
    <t>Y</t>
  </si>
  <si>
    <t>COLUNAS</t>
  </si>
  <si>
    <t>Ton</t>
  </si>
  <si>
    <t>VIGAS</t>
  </si>
  <si>
    <t>PISO 1 - 2</t>
  </si>
  <si>
    <t>MUROS</t>
  </si>
  <si>
    <t>ESCALERA</t>
  </si>
  <si>
    <t>LOSA</t>
  </si>
  <si>
    <t>LOSA 5cm</t>
  </si>
  <si>
    <t>VIGUETAS</t>
  </si>
  <si>
    <t>PISO 3 - 6</t>
  </si>
  <si>
    <t>PISO 7-9</t>
  </si>
  <si>
    <t>AZOTEA</t>
  </si>
  <si>
    <t>ASCENSOR</t>
  </si>
  <si>
    <t>SEMISOTANO</t>
  </si>
  <si>
    <t>N°PISO</t>
  </si>
  <si>
    <t>Pi*(hi)^k</t>
  </si>
  <si>
    <r>
      <t>α</t>
    </r>
    <r>
      <rPr>
        <b/>
        <sz val="13.2"/>
        <color theme="1"/>
        <rFont val="Aptos Narrow"/>
        <family val="2"/>
      </rPr>
      <t>i</t>
    </r>
  </si>
  <si>
    <t>hi (m)</t>
  </si>
  <si>
    <t>Pi (Ton)</t>
  </si>
  <si>
    <t>Fi (Ton)</t>
  </si>
  <si>
    <t>Qi (Ton)</t>
  </si>
  <si>
    <t>RIGIDEZ LATERAL</t>
  </si>
  <si>
    <r>
      <t>Δ</t>
    </r>
    <r>
      <rPr>
        <b/>
        <sz val="13.2"/>
        <color theme="1"/>
        <rFont val="Aptos Narrow"/>
        <family val="2"/>
      </rPr>
      <t>i</t>
    </r>
    <r>
      <rPr>
        <b/>
        <sz val="11"/>
        <color theme="1"/>
        <rFont val="Aptos Narrow"/>
        <family val="2"/>
      </rPr>
      <t xml:space="preserve"> (CM)</t>
    </r>
  </si>
  <si>
    <t>VERIFICACIÓN N°01</t>
  </si>
  <si>
    <t>VERIFICACIÓN N°02</t>
  </si>
  <si>
    <t>Los desplazamientos absolutos en el centro de masa para la considición de carga SyD es cero para todos los pisos, por ende no se verifica.</t>
  </si>
  <si>
    <t>VERIFICACIÓN</t>
  </si>
  <si>
    <t>L (m)</t>
  </si>
  <si>
    <t>Todos los elementos verticales (columnas y muros de corte) se encuentran alineados, ninguno se desalínea.</t>
  </si>
  <si>
    <t>IRREGULARIDADES ESTRUCTURALES EN PLANTA</t>
  </si>
  <si>
    <r>
      <t>Max Δ</t>
    </r>
    <r>
      <rPr>
        <b/>
        <sz val="13.2"/>
        <color theme="1"/>
        <rFont val="Aptos Narrow"/>
        <family val="2"/>
      </rPr>
      <t>i</t>
    </r>
  </si>
  <si>
    <r>
      <t>Prom Δ</t>
    </r>
    <r>
      <rPr>
        <b/>
        <sz val="13.2"/>
        <color theme="1"/>
        <rFont val="Aptos Narrow"/>
        <family val="2"/>
      </rPr>
      <t>i</t>
    </r>
  </si>
  <si>
    <t>L Esq. Ent.</t>
  </si>
  <si>
    <t>El área de las aberturas por piso no superan el 50% del área bruta del diafragma.</t>
  </si>
  <si>
    <t>El área neta resistente por dirección (X y Y) es mayor al 25% del área de la sección transversal total.</t>
  </si>
  <si>
    <t>Ningún eje se está desalineando.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</si>
</sst>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7" formatCode="0.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13.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0" fillId="2" borderId="0" xfId="0" applyFill="1"/>
    <xf numFmtId="49" fontId="2" fillId="2" borderId="0" xfId="0" applyNumberFormat="1" applyFont="1" applyFill="1"/>
    <xf numFmtId="49" fontId="0" fillId="2" borderId="0" xfId="0" applyNumberFormat="1" applyFill="1"/>
    <xf numFmtId="0" fontId="2" fillId="3" borderId="2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2" fillId="0" borderId="0" xfId="0" applyNumberFormat="1" applyFont="1"/>
    <xf numFmtId="0" fontId="0" fillId="0" borderId="2" xfId="0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2" xfId="0" applyNumberFormat="1" applyBorder="1"/>
    <xf numFmtId="167" fontId="0" fillId="0" borderId="2" xfId="0" applyNumberForma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271097</xdr:colOff>
      <xdr:row>5</xdr:row>
      <xdr:rowOff>139211</xdr:rowOff>
    </xdr:from>
    <xdr:to>
      <xdr:col>6</xdr:col>
      <xdr:colOff>92709</xdr:colOff>
      <xdr:row>7</xdr:row>
      <xdr:rowOff>90232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6835E2-16C8-44FE-3707-5DAE40AB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097" y="1091711"/>
          <a:ext cx="2107612" cy="332021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212482</xdr:colOff>
      <xdr:row>16</xdr:row>
      <xdr:rowOff>21981</xdr:rowOff>
    </xdr:from>
    <xdr:to>
      <xdr:col>6</xdr:col>
      <xdr:colOff>674078</xdr:colOff>
      <xdr:row>17</xdr:row>
      <xdr:rowOff>69462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50C88-33A1-F049-F787-402E333F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482" y="3069981"/>
          <a:ext cx="2747596" cy="237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208375</xdr:colOff>
      <xdr:row>6</xdr:row>
      <xdr:rowOff>138359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57AEE-F4AC-27CA-8137-70F209DB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571500"/>
          <a:ext cx="4320000" cy="709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208375</xdr:colOff>
      <xdr:row>22</xdr:row>
      <xdr:rowOff>46500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A41356-4108-76C8-A13C-291B2997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375" y="3238500"/>
          <a:ext cx="4320000" cy="999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277813</xdr:colOff>
      <xdr:row>22</xdr:row>
      <xdr:rowOff>182562</xdr:rowOff>
    </xdr:from>
    <xdr:to>
      <xdr:col>5</xdr:col>
      <xdr:colOff>686938</xdr:colOff>
      <xdr:row>32</xdr:row>
      <xdr:rowOff>80388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A612E8-AB4C-664A-C20F-1127D464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188" y="4373562"/>
          <a:ext cx="3600000" cy="18028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1</xdr:rowOff>
    </xdr:from>
    <xdr:to>
      <xdr:col>6</xdr:col>
      <xdr:colOff>208375</xdr:colOff>
      <xdr:row>243</xdr:row>
      <xdr:rowOff>72778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8B083A-8C66-2E82-0D4A-8F24CE3AA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375" y="44656376"/>
          <a:ext cx="4320000" cy="1787277"/>
        </a:xfrm>
        <a:prstGeom prst="rect">
          <a:avLst/>
        </a:prstGeom>
      </xdr:spPr>
    </xdr:pic>
    <xdr:clientData/>
  </xdr:twoCellAnchor>
  <xdr:twoCellAnchor editAs="oneCell">
    <xdr:from>
      <xdr:col>11</xdr:col>
      <xdr:colOff>244765</xdr:colOff>
      <xdr:row>243</xdr:row>
      <xdr:rowOff>47626</xdr:rowOff>
    </xdr:from>
    <xdr:to>
      <xdr:col>12</xdr:col>
      <xdr:colOff>467015</xdr:colOff>
      <xdr:row>248</xdr:row>
      <xdr:rowOff>79376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205069-2F6D-A435-F558-E08CD84B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47390" y="46418501"/>
          <a:ext cx="984250" cy="984250"/>
        </a:xfrm>
        <a:prstGeom prst="rect">
          <a:avLst/>
        </a:prstGeom>
      </xdr:spPr>
    </xdr:pic>
    <xdr:clientData/>
  </xdr:twoCellAnchor>
  <xdr:twoCellAnchor editAs="oneCell">
    <xdr:from>
      <xdr:col>1</xdr:col>
      <xdr:colOff>7937</xdr:colOff>
      <xdr:row>285</xdr:row>
      <xdr:rowOff>79376</xdr:rowOff>
    </xdr:from>
    <xdr:to>
      <xdr:col>6</xdr:col>
      <xdr:colOff>216312</xdr:colOff>
      <xdr:row>290</xdr:row>
      <xdr:rowOff>102943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C99845-0DD3-5BA9-4C5B-BB3D6B9D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8312" y="54681439"/>
          <a:ext cx="4320000" cy="9760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305</xdr:row>
      <xdr:rowOff>71438</xdr:rowOff>
    </xdr:from>
    <xdr:to>
      <xdr:col>6</xdr:col>
      <xdr:colOff>208375</xdr:colOff>
      <xdr:row>309</xdr:row>
      <xdr:rowOff>114407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7E9DE39-C7DC-85F7-EB64-0112B4F8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0375" y="58483501"/>
          <a:ext cx="4320000" cy="804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6</xdr:col>
      <xdr:colOff>208375</xdr:colOff>
      <xdr:row>329</xdr:row>
      <xdr:rowOff>51317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26FC7C4-DB8A-C688-849D-373B97AAB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0375" y="62031563"/>
          <a:ext cx="4320000" cy="10038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63500</xdr:rowOff>
    </xdr:from>
    <xdr:to>
      <xdr:col>6</xdr:col>
      <xdr:colOff>208375</xdr:colOff>
      <xdr:row>368</xdr:row>
      <xdr:rowOff>92943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63979E1-C012-8160-9934-95271921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0375" y="69334063"/>
          <a:ext cx="4320000" cy="11724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6</xdr:col>
      <xdr:colOff>208375</xdr:colOff>
      <xdr:row>383</xdr:row>
      <xdr:rowOff>29059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6B6B111-6366-C334-A834-81F2DC20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0375" y="71366063"/>
          <a:ext cx="4320000" cy="193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6</xdr:col>
      <xdr:colOff>208375</xdr:colOff>
      <xdr:row>561</xdr:row>
      <xdr:rowOff>173947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E906039-9FA5-8E26-E753-6B2C34766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0375" y="106687938"/>
          <a:ext cx="4320000" cy="745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6</xdr:col>
      <xdr:colOff>208375</xdr:colOff>
      <xdr:row>604</xdr:row>
      <xdr:rowOff>22595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7FA6747-E9E3-CB92-261A-1CBA423E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0375" y="113736438"/>
          <a:ext cx="4320000" cy="1737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608</xdr:row>
      <xdr:rowOff>1</xdr:rowOff>
    </xdr:from>
    <xdr:to>
      <xdr:col>6</xdr:col>
      <xdr:colOff>208375</xdr:colOff>
      <xdr:row>614</xdr:row>
      <xdr:rowOff>6606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9D7BBD3-0685-0B02-59B5-7D85761DE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0375" y="116212939"/>
          <a:ext cx="4320000" cy="114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1A2-4E49-4F9A-9395-4B85B83F3D41}">
  <dimension ref="B2:C17"/>
  <sheetViews>
    <sheetView zoomScale="130" zoomScaleNormal="130" workbookViewId="0">
      <selection activeCell="D14" sqref="D14"/>
    </sheetView>
  </sheetViews>
  <sheetFormatPr baseColWidth="10" defaultRowHeight="15" x14ac:dyDescent="0.25"/>
  <sheetData>
    <row r="2" spans="2:3" x14ac:dyDescent="0.25">
      <c r="B2" s="2" t="s">
        <v>0</v>
      </c>
      <c r="C2" s="4">
        <f>(C5*C6*C7*C11)/C12</f>
        <v>0.13089005235602094</v>
      </c>
    </row>
    <row r="3" spans="2:3" x14ac:dyDescent="0.25">
      <c r="B3" s="1" t="s">
        <v>1</v>
      </c>
    </row>
    <row r="5" spans="2:3" x14ac:dyDescent="0.25">
      <c r="B5" s="1" t="s">
        <v>2</v>
      </c>
      <c r="C5">
        <v>0.45</v>
      </c>
    </row>
    <row r="6" spans="2:3" x14ac:dyDescent="0.25">
      <c r="B6" s="1" t="s">
        <v>3</v>
      </c>
      <c r="C6" s="3">
        <v>1</v>
      </c>
    </row>
    <row r="7" spans="2:3" x14ac:dyDescent="0.25">
      <c r="B7" s="1" t="s">
        <v>4</v>
      </c>
      <c r="C7" s="3">
        <f>2.5*(C9/C8)</f>
        <v>1.5706806282722514</v>
      </c>
    </row>
    <row r="8" spans="2:3" x14ac:dyDescent="0.25">
      <c r="B8" s="1" t="s">
        <v>7</v>
      </c>
      <c r="C8" s="3">
        <f>38.2/60</f>
        <v>0.63666666666666671</v>
      </c>
    </row>
    <row r="9" spans="2:3" x14ac:dyDescent="0.25">
      <c r="B9" s="1" t="s">
        <v>5</v>
      </c>
      <c r="C9" s="3">
        <v>0.4</v>
      </c>
    </row>
    <row r="10" spans="2:3" x14ac:dyDescent="0.25">
      <c r="B10" s="1" t="s">
        <v>6</v>
      </c>
      <c r="C10" s="3">
        <v>2.5</v>
      </c>
    </row>
    <row r="11" spans="2:3" x14ac:dyDescent="0.25">
      <c r="B11" s="1" t="s">
        <v>8</v>
      </c>
      <c r="C11" s="3">
        <v>1</v>
      </c>
    </row>
    <row r="12" spans="2:3" x14ac:dyDescent="0.25">
      <c r="B12" s="1" t="s">
        <v>1</v>
      </c>
      <c r="C12" s="3">
        <f>C13*C14*C15</f>
        <v>5.4</v>
      </c>
    </row>
    <row r="13" spans="2:3" x14ac:dyDescent="0.25">
      <c r="B13" s="1" t="s">
        <v>9</v>
      </c>
      <c r="C13" s="3">
        <v>6</v>
      </c>
    </row>
    <row r="14" spans="2:3" x14ac:dyDescent="0.25">
      <c r="B14" s="1" t="s">
        <v>10</v>
      </c>
      <c r="C14" s="3">
        <v>0.9</v>
      </c>
    </row>
    <row r="15" spans="2:3" x14ac:dyDescent="0.25">
      <c r="B15" s="1" t="s">
        <v>11</v>
      </c>
      <c r="C15" s="3">
        <v>1</v>
      </c>
    </row>
    <row r="17" spans="2:3" x14ac:dyDescent="0.25">
      <c r="B17" s="1" t="s">
        <v>12</v>
      </c>
      <c r="C17" s="4">
        <f>0.75+(0.5*C8)</f>
        <v>1.0683333333333334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BED-1646-4DDC-8792-27FA3C33FFAD}">
  <dimension ref="B2:H47"/>
  <sheetViews>
    <sheetView topLeftCell="A4" workbookViewId="0">
      <selection activeCell="F29" sqref="F29"/>
    </sheetView>
  </sheetViews>
  <sheetFormatPr baseColWidth="10" defaultRowHeight="15" x14ac:dyDescent="0.25"/>
  <cols>
    <col min="5" max="5" width="13.7109375" customWidth="1"/>
  </cols>
  <sheetData>
    <row r="2" spans="2:8" x14ac:dyDescent="0.25">
      <c r="B2" t="s">
        <v>13</v>
      </c>
      <c r="C2" t="s">
        <v>14</v>
      </c>
    </row>
    <row r="4" spans="2:8" x14ac:dyDescent="0.25">
      <c r="B4" t="s">
        <v>15</v>
      </c>
      <c r="C4" t="s">
        <v>49</v>
      </c>
    </row>
    <row r="6" spans="2:8" x14ac:dyDescent="0.25">
      <c r="C6" t="s">
        <v>16</v>
      </c>
      <c r="E6">
        <v>100</v>
      </c>
      <c r="F6" t="s">
        <v>17</v>
      </c>
    </row>
    <row r="7" spans="2:8" x14ac:dyDescent="0.25">
      <c r="C7" t="s">
        <v>18</v>
      </c>
      <c r="E7">
        <f>F16</f>
        <v>90</v>
      </c>
      <c r="F7" t="s">
        <v>17</v>
      </c>
    </row>
    <row r="8" spans="2:8" x14ac:dyDescent="0.25">
      <c r="E8" t="s">
        <v>20</v>
      </c>
    </row>
    <row r="9" spans="2:8" x14ac:dyDescent="0.25">
      <c r="E9" t="s">
        <v>22</v>
      </c>
    </row>
    <row r="10" spans="2:8" x14ac:dyDescent="0.25">
      <c r="E10" s="1" t="s">
        <v>19</v>
      </c>
      <c r="F10">
        <f>0.05+0.25*(0.15)</f>
        <v>8.7499999999999994E-2</v>
      </c>
      <c r="G10" t="s">
        <v>21</v>
      </c>
    </row>
    <row r="12" spans="2:8" x14ac:dyDescent="0.25">
      <c r="E12" t="s">
        <v>23</v>
      </c>
      <c r="G12">
        <v>2400</v>
      </c>
      <c r="H12" t="s">
        <v>24</v>
      </c>
    </row>
    <row r="14" spans="2:8" x14ac:dyDescent="0.25">
      <c r="E14" s="1" t="s">
        <v>25</v>
      </c>
      <c r="F14">
        <f>G12*F10</f>
        <v>210</v>
      </c>
      <c r="G14" t="s">
        <v>17</v>
      </c>
    </row>
    <row r="15" spans="2:8" x14ac:dyDescent="0.25">
      <c r="E15" s="5" t="s">
        <v>27</v>
      </c>
    </row>
    <row r="16" spans="2:8" x14ac:dyDescent="0.25">
      <c r="E16" t="s">
        <v>26</v>
      </c>
      <c r="F16">
        <f>300-F14</f>
        <v>90</v>
      </c>
      <c r="G16" t="s">
        <v>17</v>
      </c>
    </row>
    <row r="18" spans="3:7" x14ac:dyDescent="0.25">
      <c r="C18" t="s">
        <v>28</v>
      </c>
      <c r="E18">
        <v>250</v>
      </c>
      <c r="F18" t="s">
        <v>17</v>
      </c>
    </row>
    <row r="20" spans="3:7" x14ac:dyDescent="0.25">
      <c r="C20" t="s">
        <v>29</v>
      </c>
      <c r="E20" s="1" t="s">
        <v>30</v>
      </c>
      <c r="F20">
        <v>0.15</v>
      </c>
      <c r="G20" t="s">
        <v>31</v>
      </c>
    </row>
    <row r="21" spans="3:7" x14ac:dyDescent="0.25">
      <c r="E21" s="1" t="s">
        <v>32</v>
      </c>
      <c r="F21" s="3">
        <v>1.2</v>
      </c>
      <c r="G21" t="s">
        <v>31</v>
      </c>
    </row>
    <row r="22" spans="3:7" x14ac:dyDescent="0.25">
      <c r="E22" s="1" t="s">
        <v>33</v>
      </c>
      <c r="F22">
        <v>1350</v>
      </c>
      <c r="G22" t="s">
        <v>24</v>
      </c>
    </row>
    <row r="23" spans="3:7" x14ac:dyDescent="0.25">
      <c r="E23" s="1" t="s">
        <v>34</v>
      </c>
      <c r="F23">
        <f>F22*F21*F20</f>
        <v>243</v>
      </c>
      <c r="G23" t="s">
        <v>35</v>
      </c>
    </row>
    <row r="25" spans="3:7" x14ac:dyDescent="0.25">
      <c r="C25" t="s">
        <v>58</v>
      </c>
      <c r="E25" s="1" t="s">
        <v>50</v>
      </c>
      <c r="F25">
        <v>2.5</v>
      </c>
      <c r="G25" t="s">
        <v>51</v>
      </c>
    </row>
    <row r="26" spans="3:7" x14ac:dyDescent="0.25">
      <c r="E26" s="1" t="s">
        <v>52</v>
      </c>
      <c r="F26">
        <v>1000</v>
      </c>
      <c r="G26" t="s">
        <v>24</v>
      </c>
    </row>
    <row r="27" spans="3:7" x14ac:dyDescent="0.25">
      <c r="E27" s="1" t="s">
        <v>53</v>
      </c>
      <c r="F27">
        <f>F26*F25</f>
        <v>2500</v>
      </c>
      <c r="G27" t="s">
        <v>54</v>
      </c>
    </row>
    <row r="28" spans="3:7" x14ac:dyDescent="0.25">
      <c r="E28" s="1" t="s">
        <v>55</v>
      </c>
      <c r="F28" s="3">
        <v>4</v>
      </c>
      <c r="G28" t="s">
        <v>56</v>
      </c>
    </row>
    <row r="29" spans="3:7" x14ac:dyDescent="0.25">
      <c r="E29" s="1" t="s">
        <v>57</v>
      </c>
      <c r="F29">
        <f>F27/F28</f>
        <v>625</v>
      </c>
      <c r="G29" t="s">
        <v>17</v>
      </c>
    </row>
    <row r="31" spans="3:7" x14ac:dyDescent="0.25">
      <c r="C31" t="s">
        <v>59</v>
      </c>
      <c r="E31" s="1" t="s">
        <v>50</v>
      </c>
      <c r="F31">
        <f>2.5*4</f>
        <v>10</v>
      </c>
      <c r="G31" t="s">
        <v>51</v>
      </c>
    </row>
    <row r="32" spans="3:7" x14ac:dyDescent="0.25">
      <c r="E32" s="1" t="s">
        <v>52</v>
      </c>
      <c r="F32">
        <v>1000</v>
      </c>
      <c r="G32" t="s">
        <v>24</v>
      </c>
    </row>
    <row r="33" spans="2:7" x14ac:dyDescent="0.25">
      <c r="E33" s="1" t="s">
        <v>53</v>
      </c>
      <c r="F33">
        <f>F32*F31</f>
        <v>10000</v>
      </c>
      <c r="G33" t="s">
        <v>54</v>
      </c>
    </row>
    <row r="34" spans="2:7" x14ac:dyDescent="0.25">
      <c r="E34" s="1" t="s">
        <v>55</v>
      </c>
      <c r="F34" s="3">
        <v>17.5</v>
      </c>
      <c r="G34" t="s">
        <v>56</v>
      </c>
    </row>
    <row r="35" spans="2:7" x14ac:dyDescent="0.25">
      <c r="E35" s="1" t="s">
        <v>57</v>
      </c>
      <c r="F35" s="3">
        <f>F33/F34</f>
        <v>571.42857142857144</v>
      </c>
      <c r="G35" t="s">
        <v>17</v>
      </c>
    </row>
    <row r="37" spans="2:7" x14ac:dyDescent="0.25">
      <c r="B37" t="s">
        <v>36</v>
      </c>
      <c r="C37" t="s">
        <v>45</v>
      </c>
    </row>
    <row r="38" spans="2:7" x14ac:dyDescent="0.25">
      <c r="C38" t="s">
        <v>37</v>
      </c>
      <c r="D38" t="s">
        <v>39</v>
      </c>
      <c r="E38">
        <v>250</v>
      </c>
      <c r="F38" t="s">
        <v>17</v>
      </c>
    </row>
    <row r="39" spans="2:7" x14ac:dyDescent="0.25">
      <c r="C39" t="s">
        <v>38</v>
      </c>
      <c r="D39" t="s">
        <v>39</v>
      </c>
      <c r="E39">
        <v>250</v>
      </c>
      <c r="F39" t="s">
        <v>17</v>
      </c>
    </row>
    <row r="40" spans="2:7" x14ac:dyDescent="0.25">
      <c r="D40" t="s">
        <v>42</v>
      </c>
      <c r="E40">
        <v>250</v>
      </c>
      <c r="F40" t="s">
        <v>17</v>
      </c>
    </row>
    <row r="41" spans="2:7" x14ac:dyDescent="0.25">
      <c r="C41" t="s">
        <v>41</v>
      </c>
      <c r="D41" t="s">
        <v>40</v>
      </c>
      <c r="E41">
        <v>400</v>
      </c>
      <c r="F41" t="s">
        <v>17</v>
      </c>
    </row>
    <row r="42" spans="2:7" x14ac:dyDescent="0.25">
      <c r="D42" t="s">
        <v>42</v>
      </c>
      <c r="E42">
        <v>500</v>
      </c>
      <c r="F42" t="s">
        <v>17</v>
      </c>
    </row>
    <row r="43" spans="2:7" x14ac:dyDescent="0.25">
      <c r="C43" t="s">
        <v>43</v>
      </c>
      <c r="D43" t="s">
        <v>44</v>
      </c>
      <c r="E43">
        <v>200</v>
      </c>
      <c r="F43" t="s">
        <v>17</v>
      </c>
    </row>
    <row r="44" spans="2:7" x14ac:dyDescent="0.25">
      <c r="D44" t="s">
        <v>42</v>
      </c>
      <c r="E44">
        <v>200</v>
      </c>
      <c r="F44" t="s">
        <v>17</v>
      </c>
    </row>
    <row r="46" spans="2:7" x14ac:dyDescent="0.25">
      <c r="B46" t="s">
        <v>46</v>
      </c>
      <c r="C46" t="s">
        <v>47</v>
      </c>
    </row>
    <row r="47" spans="2:7" x14ac:dyDescent="0.25">
      <c r="D47" t="s">
        <v>48</v>
      </c>
      <c r="E47">
        <v>100</v>
      </c>
      <c r="F47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8BB5-FC77-4536-A322-F4303C8BB6BF}">
  <dimension ref="B1:L31"/>
  <sheetViews>
    <sheetView workbookViewId="0">
      <selection activeCell="G33" sqref="G33"/>
    </sheetView>
  </sheetViews>
  <sheetFormatPr baseColWidth="10" defaultRowHeight="15" x14ac:dyDescent="0.25"/>
  <sheetData>
    <row r="1" spans="2:12" x14ac:dyDescent="0.25">
      <c r="B1" t="s">
        <v>62</v>
      </c>
    </row>
    <row r="3" spans="2:12" x14ac:dyDescent="0.25">
      <c r="B3" t="s">
        <v>60</v>
      </c>
      <c r="C3">
        <v>1.4</v>
      </c>
      <c r="D3" t="s">
        <v>13</v>
      </c>
      <c r="E3">
        <v>1.4</v>
      </c>
      <c r="F3" t="s">
        <v>15</v>
      </c>
      <c r="G3">
        <v>1.7</v>
      </c>
      <c r="H3" t="s">
        <v>36</v>
      </c>
      <c r="I3">
        <v>1.7</v>
      </c>
      <c r="J3" t="s">
        <v>46</v>
      </c>
    </row>
    <row r="4" spans="2:12" x14ac:dyDescent="0.25">
      <c r="B4" t="s">
        <v>61</v>
      </c>
      <c r="C4">
        <v>1.4</v>
      </c>
      <c r="D4" t="s">
        <v>13</v>
      </c>
      <c r="E4">
        <v>1.4</v>
      </c>
      <c r="F4" t="s">
        <v>15</v>
      </c>
      <c r="G4">
        <v>1.7</v>
      </c>
      <c r="H4" t="s">
        <v>63</v>
      </c>
      <c r="I4">
        <v>1.7</v>
      </c>
      <c r="J4" t="s">
        <v>46</v>
      </c>
    </row>
    <row r="5" spans="2:12" x14ac:dyDescent="0.25">
      <c r="B5" t="s">
        <v>64</v>
      </c>
      <c r="C5">
        <v>1.4</v>
      </c>
      <c r="D5" t="s">
        <v>13</v>
      </c>
      <c r="E5">
        <v>1.4</v>
      </c>
      <c r="F5" t="s">
        <v>15</v>
      </c>
      <c r="G5">
        <v>1.7</v>
      </c>
      <c r="H5" t="s">
        <v>65</v>
      </c>
      <c r="I5">
        <v>1.7</v>
      </c>
      <c r="J5" t="s">
        <v>46</v>
      </c>
    </row>
    <row r="7" spans="2:12" x14ac:dyDescent="0.25">
      <c r="B7" t="s">
        <v>80</v>
      </c>
    </row>
    <row r="9" spans="2:12" x14ac:dyDescent="0.25">
      <c r="B9" t="s">
        <v>66</v>
      </c>
      <c r="C9">
        <v>1.25</v>
      </c>
      <c r="D9" t="s">
        <v>13</v>
      </c>
      <c r="E9">
        <v>1.25</v>
      </c>
      <c r="F9" t="s">
        <v>15</v>
      </c>
      <c r="G9">
        <v>1.25</v>
      </c>
      <c r="H9" t="s">
        <v>36</v>
      </c>
      <c r="I9">
        <v>1.25</v>
      </c>
      <c r="J9" t="s">
        <v>46</v>
      </c>
      <c r="K9" s="3">
        <v>1</v>
      </c>
      <c r="L9" t="s">
        <v>67</v>
      </c>
    </row>
    <row r="10" spans="2:12" x14ac:dyDescent="0.25">
      <c r="B10" t="s">
        <v>68</v>
      </c>
      <c r="C10">
        <v>1.25</v>
      </c>
      <c r="D10" t="s">
        <v>13</v>
      </c>
      <c r="E10">
        <v>1.25</v>
      </c>
      <c r="F10" t="s">
        <v>15</v>
      </c>
      <c r="G10">
        <v>1.25</v>
      </c>
      <c r="H10" t="s">
        <v>36</v>
      </c>
      <c r="I10">
        <v>1.25</v>
      </c>
      <c r="J10" t="s">
        <v>46</v>
      </c>
      <c r="K10" s="3">
        <v>-1</v>
      </c>
      <c r="L10" t="s">
        <v>67</v>
      </c>
    </row>
    <row r="11" spans="2:12" x14ac:dyDescent="0.25">
      <c r="B11" t="s">
        <v>69</v>
      </c>
      <c r="C11">
        <v>1.25</v>
      </c>
      <c r="D11" t="s">
        <v>13</v>
      </c>
      <c r="E11">
        <v>1.25</v>
      </c>
      <c r="F11" t="s">
        <v>15</v>
      </c>
      <c r="G11">
        <v>1.25</v>
      </c>
      <c r="H11" t="s">
        <v>36</v>
      </c>
      <c r="I11">
        <v>1.25</v>
      </c>
      <c r="J11" t="s">
        <v>46</v>
      </c>
      <c r="K11" s="3">
        <v>1</v>
      </c>
      <c r="L11" t="s">
        <v>79</v>
      </c>
    </row>
    <row r="12" spans="2:12" x14ac:dyDescent="0.25">
      <c r="B12" t="s">
        <v>70</v>
      </c>
      <c r="C12">
        <v>1.25</v>
      </c>
      <c r="D12" t="s">
        <v>13</v>
      </c>
      <c r="E12">
        <v>1.25</v>
      </c>
      <c r="F12" t="s">
        <v>15</v>
      </c>
      <c r="G12">
        <v>1.25</v>
      </c>
      <c r="H12" t="s">
        <v>36</v>
      </c>
      <c r="I12">
        <v>1.25</v>
      </c>
      <c r="J12" t="s">
        <v>46</v>
      </c>
      <c r="K12" s="3">
        <v>-1</v>
      </c>
      <c r="L12" t="s">
        <v>79</v>
      </c>
    </row>
    <row r="13" spans="2:12" x14ac:dyDescent="0.25">
      <c r="B13" t="s">
        <v>71</v>
      </c>
      <c r="C13">
        <v>1.25</v>
      </c>
      <c r="D13" t="s">
        <v>13</v>
      </c>
      <c r="E13">
        <v>1.25</v>
      </c>
      <c r="F13" t="s">
        <v>15</v>
      </c>
      <c r="G13">
        <v>1.25</v>
      </c>
      <c r="H13" t="s">
        <v>63</v>
      </c>
      <c r="I13">
        <v>1.25</v>
      </c>
      <c r="J13" t="s">
        <v>46</v>
      </c>
      <c r="K13" s="3">
        <v>1</v>
      </c>
      <c r="L13" t="s">
        <v>67</v>
      </c>
    </row>
    <row r="14" spans="2:12" x14ac:dyDescent="0.25">
      <c r="B14" t="s">
        <v>72</v>
      </c>
      <c r="C14">
        <v>1.25</v>
      </c>
      <c r="D14" t="s">
        <v>13</v>
      </c>
      <c r="E14">
        <v>1.25</v>
      </c>
      <c r="F14" t="s">
        <v>15</v>
      </c>
      <c r="G14">
        <v>1.25</v>
      </c>
      <c r="H14" t="s">
        <v>63</v>
      </c>
      <c r="I14">
        <v>1.25</v>
      </c>
      <c r="J14" t="s">
        <v>46</v>
      </c>
      <c r="K14" s="3">
        <v>-1</v>
      </c>
      <c r="L14" t="s">
        <v>67</v>
      </c>
    </row>
    <row r="15" spans="2:12" x14ac:dyDescent="0.25">
      <c r="B15" t="s">
        <v>73</v>
      </c>
      <c r="C15">
        <v>1.25</v>
      </c>
      <c r="D15" t="s">
        <v>13</v>
      </c>
      <c r="E15">
        <v>1.25</v>
      </c>
      <c r="F15" t="s">
        <v>15</v>
      </c>
      <c r="G15">
        <v>1.25</v>
      </c>
      <c r="H15" t="s">
        <v>63</v>
      </c>
      <c r="I15">
        <v>1.25</v>
      </c>
      <c r="J15" t="s">
        <v>46</v>
      </c>
      <c r="K15" s="3">
        <v>1</v>
      </c>
      <c r="L15" t="s">
        <v>79</v>
      </c>
    </row>
    <row r="16" spans="2:12" x14ac:dyDescent="0.25">
      <c r="B16" t="s">
        <v>74</v>
      </c>
      <c r="C16">
        <v>1.25</v>
      </c>
      <c r="D16" t="s">
        <v>13</v>
      </c>
      <c r="E16">
        <v>1.25</v>
      </c>
      <c r="F16" t="s">
        <v>15</v>
      </c>
      <c r="G16">
        <v>1.25</v>
      </c>
      <c r="H16" t="s">
        <v>63</v>
      </c>
      <c r="I16">
        <v>1.25</v>
      </c>
      <c r="J16" t="s">
        <v>46</v>
      </c>
      <c r="K16" s="3">
        <v>-1</v>
      </c>
      <c r="L16" t="s">
        <v>79</v>
      </c>
    </row>
    <row r="17" spans="2:12" x14ac:dyDescent="0.25">
      <c r="B17" t="s">
        <v>75</v>
      </c>
      <c r="C17">
        <v>1.25</v>
      </c>
      <c r="D17" t="s">
        <v>13</v>
      </c>
      <c r="E17">
        <v>1.25</v>
      </c>
      <c r="F17" t="s">
        <v>15</v>
      </c>
      <c r="G17">
        <v>1.25</v>
      </c>
      <c r="H17" t="s">
        <v>65</v>
      </c>
      <c r="I17">
        <v>1.25</v>
      </c>
      <c r="J17" t="s">
        <v>46</v>
      </c>
      <c r="K17" s="3">
        <v>1</v>
      </c>
      <c r="L17" t="s">
        <v>67</v>
      </c>
    </row>
    <row r="18" spans="2:12" x14ac:dyDescent="0.25">
      <c r="B18" t="s">
        <v>76</v>
      </c>
      <c r="C18">
        <v>1.25</v>
      </c>
      <c r="D18" t="s">
        <v>13</v>
      </c>
      <c r="E18">
        <v>1.25</v>
      </c>
      <c r="F18" t="s">
        <v>15</v>
      </c>
      <c r="G18">
        <v>1.25</v>
      </c>
      <c r="H18" t="s">
        <v>65</v>
      </c>
      <c r="I18">
        <v>1.25</v>
      </c>
      <c r="J18" t="s">
        <v>46</v>
      </c>
      <c r="K18" s="3">
        <v>-1</v>
      </c>
      <c r="L18" t="s">
        <v>67</v>
      </c>
    </row>
    <row r="19" spans="2:12" x14ac:dyDescent="0.25">
      <c r="B19" t="s">
        <v>77</v>
      </c>
      <c r="C19">
        <v>1.25</v>
      </c>
      <c r="D19" t="s">
        <v>13</v>
      </c>
      <c r="E19">
        <v>1.25</v>
      </c>
      <c r="F19" t="s">
        <v>15</v>
      </c>
      <c r="G19">
        <v>1.25</v>
      </c>
      <c r="H19" t="s">
        <v>65</v>
      </c>
      <c r="I19">
        <v>1.25</v>
      </c>
      <c r="J19" t="s">
        <v>46</v>
      </c>
      <c r="K19" s="3">
        <v>1</v>
      </c>
      <c r="L19" t="s">
        <v>79</v>
      </c>
    </row>
    <row r="20" spans="2:12" x14ac:dyDescent="0.25">
      <c r="B20" t="s">
        <v>78</v>
      </c>
      <c r="C20">
        <v>1.25</v>
      </c>
      <c r="D20" t="s">
        <v>13</v>
      </c>
      <c r="E20">
        <v>1.25</v>
      </c>
      <c r="F20" t="s">
        <v>15</v>
      </c>
      <c r="G20">
        <v>1.25</v>
      </c>
      <c r="H20" t="s">
        <v>65</v>
      </c>
      <c r="I20">
        <v>1.25</v>
      </c>
      <c r="J20" t="s">
        <v>46</v>
      </c>
      <c r="K20" s="3">
        <v>-1</v>
      </c>
      <c r="L20" t="s">
        <v>79</v>
      </c>
    </row>
    <row r="22" spans="2:12" x14ac:dyDescent="0.25">
      <c r="B22" t="s">
        <v>81</v>
      </c>
    </row>
    <row r="24" spans="2:12" x14ac:dyDescent="0.25">
      <c r="B24" t="s">
        <v>82</v>
      </c>
      <c r="C24">
        <v>0.9</v>
      </c>
      <c r="D24" t="s">
        <v>13</v>
      </c>
      <c r="E24">
        <v>0.9</v>
      </c>
      <c r="F24" t="s">
        <v>15</v>
      </c>
      <c r="G24" s="3">
        <v>1</v>
      </c>
      <c r="H24" t="s">
        <v>67</v>
      </c>
    </row>
    <row r="25" spans="2:12" x14ac:dyDescent="0.25">
      <c r="B25" t="s">
        <v>83</v>
      </c>
      <c r="C25">
        <v>0.9</v>
      </c>
      <c r="D25" t="s">
        <v>13</v>
      </c>
      <c r="E25">
        <v>0.9</v>
      </c>
      <c r="F25" t="s">
        <v>15</v>
      </c>
      <c r="G25" s="3">
        <v>-1</v>
      </c>
      <c r="H25" t="s">
        <v>67</v>
      </c>
    </row>
    <row r="26" spans="2:12" x14ac:dyDescent="0.25">
      <c r="B26" t="s">
        <v>84</v>
      </c>
      <c r="C26">
        <v>0.9</v>
      </c>
      <c r="D26" t="s">
        <v>13</v>
      </c>
      <c r="E26">
        <v>0.9</v>
      </c>
      <c r="F26" t="s">
        <v>15</v>
      </c>
      <c r="G26" s="3">
        <v>1</v>
      </c>
      <c r="H26" t="s">
        <v>79</v>
      </c>
    </row>
    <row r="27" spans="2:12" x14ac:dyDescent="0.25">
      <c r="B27" t="s">
        <v>85</v>
      </c>
      <c r="C27">
        <v>0.9</v>
      </c>
      <c r="D27" t="s">
        <v>13</v>
      </c>
      <c r="E27">
        <v>0.9</v>
      </c>
      <c r="F27" t="s">
        <v>15</v>
      </c>
      <c r="G27" s="3">
        <v>-1</v>
      </c>
      <c r="H27" t="s">
        <v>79</v>
      </c>
    </row>
    <row r="29" spans="2:12" x14ac:dyDescent="0.25">
      <c r="B29" t="s">
        <v>86</v>
      </c>
    </row>
    <row r="31" spans="2:12" x14ac:dyDescent="0.25">
      <c r="B31" t="s">
        <v>87</v>
      </c>
      <c r="C31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76B0-AFA8-4699-913D-49CA73E1DC91}">
  <dimension ref="A2:M616"/>
  <sheetViews>
    <sheetView tabSelected="1" topLeftCell="A224" zoomScale="120" zoomScaleNormal="120" workbookViewId="0">
      <selection activeCell="N238" sqref="N238"/>
    </sheetView>
  </sheetViews>
  <sheetFormatPr baseColWidth="10" defaultRowHeight="15" x14ac:dyDescent="0.25"/>
  <cols>
    <col min="1" max="1" width="6.85546875" customWidth="1"/>
    <col min="2" max="2" width="12.42578125" customWidth="1"/>
    <col min="3" max="3" width="12.5703125" customWidth="1"/>
    <col min="6" max="6" width="13.85546875" customWidth="1"/>
    <col min="7" max="7" width="12.5703125" customWidth="1"/>
  </cols>
  <sheetData>
    <row r="2" spans="1:7" x14ac:dyDescent="0.25">
      <c r="A2" s="6">
        <v>1</v>
      </c>
      <c r="B2" s="6" t="s">
        <v>89</v>
      </c>
    </row>
    <row r="8" spans="1:7" x14ac:dyDescent="0.25">
      <c r="B8" s="31" t="s">
        <v>95</v>
      </c>
      <c r="C8" s="32"/>
      <c r="D8" s="32"/>
      <c r="E8" s="32"/>
      <c r="F8" s="33"/>
    </row>
    <row r="9" spans="1:7" x14ac:dyDescent="0.25">
      <c r="B9" s="7" t="s">
        <v>96</v>
      </c>
      <c r="C9" s="7" t="s">
        <v>97</v>
      </c>
      <c r="D9" s="7" t="s">
        <v>98</v>
      </c>
      <c r="E9" s="8" t="s">
        <v>99</v>
      </c>
      <c r="F9" s="8" t="s">
        <v>100</v>
      </c>
    </row>
    <row r="10" spans="1:7" x14ac:dyDescent="0.25">
      <c r="B10" s="9" t="s">
        <v>101</v>
      </c>
      <c r="C10" s="9" t="s">
        <v>101</v>
      </c>
      <c r="D10" s="9" t="s">
        <v>101</v>
      </c>
      <c r="E10" s="10" t="s">
        <v>102</v>
      </c>
      <c r="F10" s="10" t="s">
        <v>102</v>
      </c>
    </row>
    <row r="11" spans="1:7" x14ac:dyDescent="0.25">
      <c r="B11" s="12" t="s">
        <v>90</v>
      </c>
      <c r="C11" s="12" t="s">
        <v>91</v>
      </c>
      <c r="D11" s="12" t="s">
        <v>92</v>
      </c>
      <c r="E11" s="13">
        <v>100</v>
      </c>
      <c r="F11" s="13">
        <v>98.207999999999998</v>
      </c>
      <c r="G11" s="14" t="str">
        <f>IF(F11&gt;90,"OK","ERROR")</f>
        <v>OK</v>
      </c>
    </row>
    <row r="12" spans="1:7" x14ac:dyDescent="0.25">
      <c r="B12" s="12" t="s">
        <v>90</v>
      </c>
      <c r="C12" s="12" t="s">
        <v>91</v>
      </c>
      <c r="D12" s="12" t="s">
        <v>93</v>
      </c>
      <c r="E12" s="13">
        <v>100</v>
      </c>
      <c r="F12" s="13">
        <v>97.452500000000001</v>
      </c>
      <c r="G12" s="14" t="str">
        <f>IF(F12&gt;90,"OK","ERROR")</f>
        <v>OK</v>
      </c>
    </row>
    <row r="13" spans="1:7" x14ac:dyDescent="0.25">
      <c r="B13" s="12" t="s">
        <v>90</v>
      </c>
      <c r="C13" s="12" t="s">
        <v>91</v>
      </c>
      <c r="D13" s="12" t="s">
        <v>94</v>
      </c>
      <c r="E13" s="13">
        <v>0</v>
      </c>
      <c r="F13" s="13">
        <v>0</v>
      </c>
    </row>
    <row r="16" spans="1:7" x14ac:dyDescent="0.25">
      <c r="A16" s="6">
        <v>2</v>
      </c>
      <c r="B16" s="15" t="s">
        <v>103</v>
      </c>
    </row>
    <row r="35" spans="2:8" x14ac:dyDescent="0.25">
      <c r="B35" s="6" t="s">
        <v>104</v>
      </c>
    </row>
    <row r="37" spans="2:8" ht="18" x14ac:dyDescent="0.3">
      <c r="B37" s="16" t="s">
        <v>115</v>
      </c>
      <c r="C37" s="16" t="s">
        <v>116</v>
      </c>
      <c r="D37" s="16" t="s">
        <v>117</v>
      </c>
      <c r="E37" s="21" t="s">
        <v>120</v>
      </c>
      <c r="F37" s="16" t="s">
        <v>119</v>
      </c>
      <c r="G37" s="16" t="s">
        <v>121</v>
      </c>
    </row>
    <row r="38" spans="2:8" x14ac:dyDescent="0.25">
      <c r="B38" s="30" t="s">
        <v>106</v>
      </c>
      <c r="C38" s="13" t="s">
        <v>107</v>
      </c>
      <c r="D38" s="19">
        <v>9.9721189999999993</v>
      </c>
      <c r="E38" s="19">
        <f t="shared" ref="E38:E44" si="0">D38-D39</f>
        <v>1.9687899999999985</v>
      </c>
      <c r="F38" s="13">
        <v>300</v>
      </c>
      <c r="G38" s="18">
        <f>E38/F38</f>
        <v>6.562633333333328E-3</v>
      </c>
      <c r="H38" s="14" t="str">
        <f>IF(G38&lt;0.007,"OK","ERROR")</f>
        <v>OK</v>
      </c>
    </row>
    <row r="39" spans="2:8" x14ac:dyDescent="0.25">
      <c r="B39" s="30"/>
      <c r="C39" s="13" t="s">
        <v>108</v>
      </c>
      <c r="D39" s="19">
        <v>8.0033290000000008</v>
      </c>
      <c r="E39" s="19">
        <f t="shared" si="0"/>
        <v>1.9466740000000007</v>
      </c>
      <c r="F39" s="13">
        <v>300</v>
      </c>
      <c r="G39" s="18">
        <f t="shared" ref="G39:G45" si="1">E39/F39</f>
        <v>6.4889133333333356E-3</v>
      </c>
      <c r="H39" s="14" t="str">
        <f t="shared" ref="H39:H45" si="2">IF(G39&lt;0.007,"OK","ERROR")</f>
        <v>OK</v>
      </c>
    </row>
    <row r="40" spans="2:8" x14ac:dyDescent="0.25">
      <c r="B40" s="30"/>
      <c r="C40" s="13" t="s">
        <v>109</v>
      </c>
      <c r="D40" s="19">
        <v>6.0566550000000001</v>
      </c>
      <c r="E40" s="19">
        <f t="shared" si="0"/>
        <v>1.8679930000000002</v>
      </c>
      <c r="F40" s="13">
        <v>300</v>
      </c>
      <c r="G40" s="18">
        <f t="shared" si="1"/>
        <v>6.2266433333333345E-3</v>
      </c>
      <c r="H40" s="14" t="str">
        <f t="shared" si="2"/>
        <v>OK</v>
      </c>
    </row>
    <row r="41" spans="2:8" x14ac:dyDescent="0.25">
      <c r="B41" s="30"/>
      <c r="C41" s="13" t="s">
        <v>110</v>
      </c>
      <c r="D41" s="19">
        <v>4.1886619999999999</v>
      </c>
      <c r="E41" s="19">
        <f t="shared" si="0"/>
        <v>1.7077589999999998</v>
      </c>
      <c r="F41" s="13">
        <v>300</v>
      </c>
      <c r="G41" s="18">
        <f t="shared" si="1"/>
        <v>5.6925299999999995E-3</v>
      </c>
      <c r="H41" s="14" t="str">
        <f t="shared" si="2"/>
        <v>OK</v>
      </c>
    </row>
    <row r="42" spans="2:8" x14ac:dyDescent="0.25">
      <c r="B42" s="30"/>
      <c r="C42" s="13" t="s">
        <v>111</v>
      </c>
      <c r="D42" s="19">
        <v>2.4809030000000001</v>
      </c>
      <c r="E42" s="19">
        <f t="shared" si="0"/>
        <v>1.4291070000000001</v>
      </c>
      <c r="F42" s="13">
        <v>300</v>
      </c>
      <c r="G42" s="18">
        <f t="shared" si="1"/>
        <v>4.7636900000000001E-3</v>
      </c>
      <c r="H42" s="14" t="str">
        <f t="shared" si="2"/>
        <v>OK</v>
      </c>
    </row>
    <row r="43" spans="2:8" x14ac:dyDescent="0.25">
      <c r="B43" s="30"/>
      <c r="C43" s="13" t="s">
        <v>112</v>
      </c>
      <c r="D43" s="19">
        <v>1.051796</v>
      </c>
      <c r="E43" s="19">
        <f t="shared" si="0"/>
        <v>0.95858299999999996</v>
      </c>
      <c r="F43" s="13">
        <v>300</v>
      </c>
      <c r="G43" s="18">
        <f t="shared" si="1"/>
        <v>3.1952766666666667E-3</v>
      </c>
      <c r="H43" s="14" t="str">
        <f t="shared" si="2"/>
        <v>OK</v>
      </c>
    </row>
    <row r="44" spans="2:8" x14ac:dyDescent="0.25">
      <c r="B44" s="30"/>
      <c r="C44" s="13" t="s">
        <v>113</v>
      </c>
      <c r="D44" s="19">
        <v>9.3213000000000004E-2</v>
      </c>
      <c r="E44" s="19">
        <f t="shared" si="0"/>
        <v>9.3213000000000004E-2</v>
      </c>
      <c r="F44" s="13">
        <v>280</v>
      </c>
      <c r="G44" s="18">
        <f t="shared" si="1"/>
        <v>3.3290357142857146E-4</v>
      </c>
      <c r="H44" s="14" t="str">
        <f t="shared" si="2"/>
        <v>OK</v>
      </c>
    </row>
    <row r="45" spans="2:8" x14ac:dyDescent="0.25">
      <c r="B45" s="30"/>
      <c r="C45" s="13" t="s">
        <v>114</v>
      </c>
      <c r="D45" s="19">
        <v>0</v>
      </c>
      <c r="E45" s="19">
        <f>D45-D46</f>
        <v>0</v>
      </c>
      <c r="F45" s="13">
        <v>280</v>
      </c>
      <c r="G45" s="18">
        <f t="shared" si="1"/>
        <v>0</v>
      </c>
      <c r="H45" s="14" t="str">
        <f t="shared" si="2"/>
        <v>OK</v>
      </c>
    </row>
    <row r="46" spans="2:8" x14ac:dyDescent="0.25">
      <c r="B46" s="30"/>
      <c r="C46" s="13" t="s">
        <v>118</v>
      </c>
      <c r="D46" s="19">
        <v>0</v>
      </c>
      <c r="E46" s="11"/>
      <c r="F46" s="11"/>
      <c r="G46" s="11"/>
    </row>
    <row r="47" spans="2:8" x14ac:dyDescent="0.25">
      <c r="B47" s="30" t="s">
        <v>122</v>
      </c>
      <c r="C47" s="13" t="s">
        <v>123</v>
      </c>
      <c r="D47" s="19">
        <v>16.478505999999999</v>
      </c>
      <c r="E47" s="19">
        <f t="shared" ref="E47:E50" si="3">D47-D48</f>
        <v>1.7662889999999987</v>
      </c>
      <c r="F47" s="13">
        <v>300</v>
      </c>
      <c r="G47" s="18">
        <f t="shared" ref="G47:G50" si="4">E47/F47</f>
        <v>5.8876299999999953E-3</v>
      </c>
      <c r="H47" s="14" t="str">
        <f t="shared" ref="H47:H50" si="5">IF(G47&lt;0.007,"OK","ERROR")</f>
        <v>OK</v>
      </c>
    </row>
    <row r="48" spans="2:8" x14ac:dyDescent="0.25">
      <c r="B48" s="30"/>
      <c r="C48" s="13" t="s">
        <v>124</v>
      </c>
      <c r="D48" s="19">
        <v>14.712217000000001</v>
      </c>
      <c r="E48" s="19">
        <f t="shared" si="3"/>
        <v>1.8126260000000016</v>
      </c>
      <c r="F48" s="13">
        <v>300</v>
      </c>
      <c r="G48" s="18">
        <f t="shared" si="4"/>
        <v>6.0420866666666719E-3</v>
      </c>
      <c r="H48" s="14" t="str">
        <f t="shared" si="5"/>
        <v>OK</v>
      </c>
    </row>
    <row r="49" spans="2:8" x14ac:dyDescent="0.25">
      <c r="B49" s="30"/>
      <c r="C49" s="13" t="s">
        <v>125</v>
      </c>
      <c r="D49" s="19">
        <v>12.899590999999999</v>
      </c>
      <c r="E49" s="19">
        <f t="shared" si="3"/>
        <v>1.8468579999999992</v>
      </c>
      <c r="F49" s="13">
        <v>300</v>
      </c>
      <c r="G49" s="18">
        <f t="shared" si="4"/>
        <v>6.1561933333333305E-3</v>
      </c>
      <c r="H49" s="14" t="str">
        <f t="shared" si="5"/>
        <v>OK</v>
      </c>
    </row>
    <row r="50" spans="2:8" x14ac:dyDescent="0.25">
      <c r="B50" s="30"/>
      <c r="C50" s="13" t="s">
        <v>126</v>
      </c>
      <c r="D50" s="19">
        <v>11.052733</v>
      </c>
      <c r="E50" s="19">
        <f t="shared" si="3"/>
        <v>1.8554539999999999</v>
      </c>
      <c r="F50" s="13">
        <v>300</v>
      </c>
      <c r="G50" s="18">
        <f t="shared" si="4"/>
        <v>6.1848466666666662E-3</v>
      </c>
      <c r="H50" s="14" t="str">
        <f t="shared" si="5"/>
        <v>OK</v>
      </c>
    </row>
    <row r="51" spans="2:8" x14ac:dyDescent="0.25">
      <c r="B51" s="30"/>
      <c r="C51" s="13" t="s">
        <v>107</v>
      </c>
      <c r="D51" s="19">
        <v>9.197279</v>
      </c>
      <c r="E51" s="19">
        <f t="shared" ref="E51:E57" si="6">D51-D52</f>
        <v>1.8218949999999996</v>
      </c>
      <c r="F51" s="13">
        <v>300</v>
      </c>
      <c r="G51" s="18">
        <f>E51/F51</f>
        <v>6.072983333333332E-3</v>
      </c>
      <c r="H51" s="14" t="str">
        <f>IF(G51&lt;0.007,"OK","ERROR")</f>
        <v>OK</v>
      </c>
    </row>
    <row r="52" spans="2:8" x14ac:dyDescent="0.25">
      <c r="B52" s="30"/>
      <c r="C52" s="13" t="s">
        <v>108</v>
      </c>
      <c r="D52" s="19">
        <v>7.3753840000000004</v>
      </c>
      <c r="E52" s="19">
        <f t="shared" si="6"/>
        <v>1.7981220000000002</v>
      </c>
      <c r="F52" s="13">
        <v>300</v>
      </c>
      <c r="G52" s="18">
        <f t="shared" ref="G52:G58" si="7">E52/F52</f>
        <v>5.9937400000000009E-3</v>
      </c>
      <c r="H52" s="14" t="str">
        <f t="shared" ref="H52:H58" si="8">IF(G52&lt;0.007,"OK","ERROR")</f>
        <v>OK</v>
      </c>
    </row>
    <row r="53" spans="2:8" x14ac:dyDescent="0.25">
      <c r="B53" s="30"/>
      <c r="C53" s="13" t="s">
        <v>109</v>
      </c>
      <c r="D53" s="19">
        <v>5.5772620000000002</v>
      </c>
      <c r="E53" s="19">
        <f t="shared" si="6"/>
        <v>1.7224150000000003</v>
      </c>
      <c r="F53" s="13">
        <v>300</v>
      </c>
      <c r="G53" s="18">
        <f t="shared" si="7"/>
        <v>5.7413833333333341E-3</v>
      </c>
      <c r="H53" s="14" t="str">
        <f t="shared" si="8"/>
        <v>OK</v>
      </c>
    </row>
    <row r="54" spans="2:8" x14ac:dyDescent="0.25">
      <c r="B54" s="30"/>
      <c r="C54" s="13" t="s">
        <v>110</v>
      </c>
      <c r="D54" s="19">
        <v>3.8548469999999999</v>
      </c>
      <c r="E54" s="19">
        <f t="shared" si="6"/>
        <v>1.571917</v>
      </c>
      <c r="F54" s="13">
        <v>300</v>
      </c>
      <c r="G54" s="18">
        <f t="shared" si="7"/>
        <v>5.2397233333333331E-3</v>
      </c>
      <c r="H54" s="14" t="str">
        <f t="shared" si="8"/>
        <v>OK</v>
      </c>
    </row>
    <row r="55" spans="2:8" x14ac:dyDescent="0.25">
      <c r="B55" s="30"/>
      <c r="C55" s="13" t="s">
        <v>111</v>
      </c>
      <c r="D55" s="19">
        <v>2.2829299999999999</v>
      </c>
      <c r="E55" s="19">
        <f t="shared" si="6"/>
        <v>1.313002</v>
      </c>
      <c r="F55" s="13">
        <v>300</v>
      </c>
      <c r="G55" s="18">
        <f t="shared" si="7"/>
        <v>4.3766733333333334E-3</v>
      </c>
      <c r="H55" s="14" t="str">
        <f t="shared" si="8"/>
        <v>OK</v>
      </c>
    </row>
    <row r="56" spans="2:8" x14ac:dyDescent="0.25">
      <c r="B56" s="30"/>
      <c r="C56" s="13" t="s">
        <v>112</v>
      </c>
      <c r="D56" s="19">
        <v>0.96992800000000001</v>
      </c>
      <c r="E56" s="19">
        <f t="shared" si="6"/>
        <v>0.87936000000000003</v>
      </c>
      <c r="F56" s="13">
        <v>300</v>
      </c>
      <c r="G56" s="18">
        <f t="shared" si="7"/>
        <v>2.9312000000000001E-3</v>
      </c>
      <c r="H56" s="14" t="str">
        <f t="shared" si="8"/>
        <v>OK</v>
      </c>
    </row>
    <row r="57" spans="2:8" x14ac:dyDescent="0.25">
      <c r="B57" s="30"/>
      <c r="C57" s="13" t="s">
        <v>113</v>
      </c>
      <c r="D57" s="19">
        <v>9.0567999999999996E-2</v>
      </c>
      <c r="E57" s="19">
        <f t="shared" si="6"/>
        <v>9.0567999999999996E-2</v>
      </c>
      <c r="F57" s="13">
        <v>280</v>
      </c>
      <c r="G57" s="18">
        <f t="shared" si="7"/>
        <v>3.2345714285714287E-4</v>
      </c>
      <c r="H57" s="14" t="str">
        <f t="shared" si="8"/>
        <v>OK</v>
      </c>
    </row>
    <row r="58" spans="2:8" x14ac:dyDescent="0.25">
      <c r="B58" s="30"/>
      <c r="C58" s="13" t="s">
        <v>114</v>
      </c>
      <c r="D58" s="19">
        <v>0</v>
      </c>
      <c r="E58" s="19">
        <f>D58-D59</f>
        <v>0</v>
      </c>
      <c r="F58" s="13">
        <v>280</v>
      </c>
      <c r="G58" s="18">
        <f t="shared" si="7"/>
        <v>0</v>
      </c>
      <c r="H58" s="14" t="str">
        <f t="shared" si="8"/>
        <v>OK</v>
      </c>
    </row>
    <row r="59" spans="2:8" x14ac:dyDescent="0.25">
      <c r="B59" s="30"/>
      <c r="C59" s="13" t="s">
        <v>118</v>
      </c>
      <c r="D59" s="19">
        <v>0</v>
      </c>
      <c r="E59" s="11"/>
      <c r="F59" s="11"/>
      <c r="G59" s="11"/>
    </row>
    <row r="60" spans="2:8" x14ac:dyDescent="0.25">
      <c r="B60" s="30" t="s">
        <v>127</v>
      </c>
      <c r="C60" s="13" t="s">
        <v>123</v>
      </c>
      <c r="D60" s="19">
        <v>16.505413999999998</v>
      </c>
      <c r="E60" s="19">
        <f t="shared" ref="E60:E70" si="9">D60-D61</f>
        <v>1.7735819999999975</v>
      </c>
      <c r="F60" s="13">
        <v>300</v>
      </c>
      <c r="G60" s="18">
        <f t="shared" ref="G60:G63" si="10">E60/F60</f>
        <v>5.9119399999999914E-3</v>
      </c>
      <c r="H60" s="14" t="str">
        <f t="shared" ref="H60:H63" si="11">IF(G60&lt;0.007,"OK","ERROR")</f>
        <v>OK</v>
      </c>
    </row>
    <row r="61" spans="2:8" x14ac:dyDescent="0.25">
      <c r="B61" s="30"/>
      <c r="C61" s="13" t="s">
        <v>124</v>
      </c>
      <c r="D61" s="19">
        <v>14.731832000000001</v>
      </c>
      <c r="E61" s="19">
        <f t="shared" si="9"/>
        <v>1.8190249999999999</v>
      </c>
      <c r="F61" s="13">
        <v>300</v>
      </c>
      <c r="G61" s="18">
        <f t="shared" si="10"/>
        <v>6.0634166666666666E-3</v>
      </c>
      <c r="H61" s="14" t="str">
        <f t="shared" si="11"/>
        <v>OK</v>
      </c>
    </row>
    <row r="62" spans="2:8" x14ac:dyDescent="0.25">
      <c r="B62" s="30"/>
      <c r="C62" s="13" t="s">
        <v>125</v>
      </c>
      <c r="D62" s="19">
        <v>12.912807000000001</v>
      </c>
      <c r="E62" s="19">
        <f t="shared" si="9"/>
        <v>1.8522220000000011</v>
      </c>
      <c r="F62" s="13">
        <v>300</v>
      </c>
      <c r="G62" s="18">
        <f t="shared" si="10"/>
        <v>6.174073333333337E-3</v>
      </c>
      <c r="H62" s="14" t="str">
        <f t="shared" si="11"/>
        <v>OK</v>
      </c>
    </row>
    <row r="63" spans="2:8" x14ac:dyDescent="0.25">
      <c r="B63" s="30"/>
      <c r="C63" s="13" t="s">
        <v>126</v>
      </c>
      <c r="D63" s="19">
        <v>11.060585</v>
      </c>
      <c r="E63" s="19">
        <f t="shared" si="9"/>
        <v>1.8597479999999997</v>
      </c>
      <c r="F63" s="13">
        <v>300</v>
      </c>
      <c r="G63" s="18">
        <f t="shared" si="10"/>
        <v>6.1991599999999987E-3</v>
      </c>
      <c r="H63" s="14" t="str">
        <f t="shared" si="11"/>
        <v>OK</v>
      </c>
    </row>
    <row r="64" spans="2:8" x14ac:dyDescent="0.25">
      <c r="B64" s="30"/>
      <c r="C64" s="13" t="s">
        <v>107</v>
      </c>
      <c r="D64" s="19">
        <v>9.2008369999999999</v>
      </c>
      <c r="E64" s="19">
        <f t="shared" si="9"/>
        <v>1.8249599999999999</v>
      </c>
      <c r="F64" s="13">
        <v>300</v>
      </c>
      <c r="G64" s="18">
        <f>E64/F64</f>
        <v>6.0831999999999995E-3</v>
      </c>
      <c r="H64" s="14" t="str">
        <f>IF(G64&lt;0.007,"OK","ERROR")</f>
        <v>OK</v>
      </c>
    </row>
    <row r="65" spans="2:8" x14ac:dyDescent="0.25">
      <c r="B65" s="30"/>
      <c r="C65" s="13" t="s">
        <v>108</v>
      </c>
      <c r="D65" s="19">
        <v>7.375877</v>
      </c>
      <c r="E65" s="19">
        <f t="shared" si="9"/>
        <v>1.8002760000000002</v>
      </c>
      <c r="F65" s="13">
        <v>300</v>
      </c>
      <c r="G65" s="18">
        <f t="shared" ref="G65:G71" si="12">E65/F65</f>
        <v>6.0009200000000007E-3</v>
      </c>
      <c r="H65" s="14" t="str">
        <f t="shared" ref="H65:H71" si="13">IF(G65&lt;0.007,"OK","ERROR")</f>
        <v>OK</v>
      </c>
    </row>
    <row r="66" spans="2:8" x14ac:dyDescent="0.25">
      <c r="B66" s="30"/>
      <c r="C66" s="13" t="s">
        <v>109</v>
      </c>
      <c r="D66" s="19">
        <v>5.5756009999999998</v>
      </c>
      <c r="E66" s="19">
        <f t="shared" si="9"/>
        <v>1.7235289999999996</v>
      </c>
      <c r="F66" s="13">
        <v>300</v>
      </c>
      <c r="G66" s="18">
        <f t="shared" si="12"/>
        <v>5.7450966666666653E-3</v>
      </c>
      <c r="H66" s="14" t="str">
        <f t="shared" si="13"/>
        <v>OK</v>
      </c>
    </row>
    <row r="67" spans="2:8" x14ac:dyDescent="0.25">
      <c r="B67" s="30"/>
      <c r="C67" s="13" t="s">
        <v>110</v>
      </c>
      <c r="D67" s="19">
        <v>3.8520720000000002</v>
      </c>
      <c r="E67" s="19">
        <f t="shared" si="9"/>
        <v>1.5719820000000002</v>
      </c>
      <c r="F67" s="13">
        <v>300</v>
      </c>
      <c r="G67" s="18">
        <f t="shared" si="12"/>
        <v>5.2399400000000011E-3</v>
      </c>
      <c r="H67" s="14" t="str">
        <f t="shared" si="13"/>
        <v>OK</v>
      </c>
    </row>
    <row r="68" spans="2:8" x14ac:dyDescent="0.25">
      <c r="B68" s="30"/>
      <c r="C68" s="13" t="s">
        <v>111</v>
      </c>
      <c r="D68" s="19">
        <v>2.28009</v>
      </c>
      <c r="E68" s="19">
        <f t="shared" si="9"/>
        <v>1.3120449999999999</v>
      </c>
      <c r="F68" s="13">
        <v>300</v>
      </c>
      <c r="G68" s="18">
        <f t="shared" si="12"/>
        <v>4.3734833333333332E-3</v>
      </c>
      <c r="H68" s="14" t="str">
        <f t="shared" si="13"/>
        <v>OK</v>
      </c>
    </row>
    <row r="69" spans="2:8" x14ac:dyDescent="0.25">
      <c r="B69" s="30"/>
      <c r="C69" s="13" t="s">
        <v>112</v>
      </c>
      <c r="D69" s="19">
        <v>0.96804500000000004</v>
      </c>
      <c r="E69" s="19">
        <f t="shared" si="9"/>
        <v>0.87747300000000006</v>
      </c>
      <c r="F69" s="13">
        <v>300</v>
      </c>
      <c r="G69" s="18">
        <f t="shared" si="12"/>
        <v>2.9249100000000002E-3</v>
      </c>
      <c r="H69" s="14" t="str">
        <f t="shared" si="13"/>
        <v>OK</v>
      </c>
    </row>
    <row r="70" spans="2:8" x14ac:dyDescent="0.25">
      <c r="B70" s="30"/>
      <c r="C70" s="13" t="s">
        <v>113</v>
      </c>
      <c r="D70" s="19">
        <v>9.0572E-2</v>
      </c>
      <c r="E70" s="19">
        <f t="shared" si="9"/>
        <v>9.0572E-2</v>
      </c>
      <c r="F70" s="13">
        <v>280</v>
      </c>
      <c r="G70" s="18">
        <f t="shared" si="12"/>
        <v>3.234714285714286E-4</v>
      </c>
      <c r="H70" s="14" t="str">
        <f t="shared" si="13"/>
        <v>OK</v>
      </c>
    </row>
    <row r="71" spans="2:8" x14ac:dyDescent="0.25">
      <c r="B71" s="30"/>
      <c r="C71" s="13" t="s">
        <v>114</v>
      </c>
      <c r="D71" s="19">
        <v>0</v>
      </c>
      <c r="E71" s="19">
        <f>D71-D72</f>
        <v>0</v>
      </c>
      <c r="F71" s="13">
        <v>280</v>
      </c>
      <c r="G71" s="18">
        <f t="shared" si="12"/>
        <v>0</v>
      </c>
      <c r="H71" s="14" t="str">
        <f t="shared" si="13"/>
        <v>OK</v>
      </c>
    </row>
    <row r="72" spans="2:8" x14ac:dyDescent="0.25">
      <c r="B72" s="30"/>
      <c r="C72" s="13" t="s">
        <v>118</v>
      </c>
      <c r="D72" s="19">
        <v>0</v>
      </c>
      <c r="E72" s="11"/>
      <c r="F72" s="11"/>
      <c r="G72" s="11"/>
    </row>
    <row r="73" spans="2:8" x14ac:dyDescent="0.25">
      <c r="B73" s="30" t="s">
        <v>128</v>
      </c>
      <c r="C73" s="13" t="s">
        <v>113</v>
      </c>
      <c r="D73" s="20">
        <v>9.3187999999999993E-2</v>
      </c>
      <c r="E73" s="19">
        <f t="shared" ref="E73" si="14">D73-D74</f>
        <v>9.3187999999999993E-2</v>
      </c>
      <c r="F73" s="13">
        <v>280</v>
      </c>
      <c r="G73" s="18">
        <f t="shared" ref="G73:G74" si="15">E73/F73</f>
        <v>3.3281428571428569E-4</v>
      </c>
      <c r="H73" s="14" t="str">
        <f t="shared" ref="H73:H77" si="16">IF(G73&lt;0.007,"OK","ERROR")</f>
        <v>OK</v>
      </c>
    </row>
    <row r="74" spans="2:8" x14ac:dyDescent="0.25">
      <c r="B74" s="30"/>
      <c r="C74" s="13" t="s">
        <v>114</v>
      </c>
      <c r="D74" s="19">
        <v>0</v>
      </c>
      <c r="E74" s="19">
        <f>D74-D75</f>
        <v>0</v>
      </c>
      <c r="F74" s="13">
        <v>280</v>
      </c>
      <c r="G74" s="18">
        <f t="shared" si="15"/>
        <v>0</v>
      </c>
      <c r="H74" s="14" t="str">
        <f t="shared" si="16"/>
        <v>OK</v>
      </c>
    </row>
    <row r="75" spans="2:8" x14ac:dyDescent="0.25">
      <c r="B75" s="30"/>
      <c r="C75" s="13" t="s">
        <v>118</v>
      </c>
      <c r="D75" s="19">
        <v>0</v>
      </c>
      <c r="E75" s="11"/>
      <c r="F75" s="11"/>
      <c r="G75" s="11"/>
    </row>
    <row r="76" spans="2:8" x14ac:dyDescent="0.25">
      <c r="B76" s="30" t="s">
        <v>129</v>
      </c>
      <c r="C76" s="13" t="s">
        <v>113</v>
      </c>
      <c r="D76" s="20">
        <v>9.3213000000000004E-2</v>
      </c>
      <c r="E76" s="19">
        <f t="shared" ref="E76" si="17">D76-D77</f>
        <v>9.3213000000000004E-2</v>
      </c>
      <c r="F76" s="13">
        <v>280</v>
      </c>
      <c r="G76" s="18">
        <f t="shared" ref="G76:G77" si="18">E76/F76</f>
        <v>3.3290357142857146E-4</v>
      </c>
      <c r="H76" s="14" t="str">
        <f t="shared" si="16"/>
        <v>OK</v>
      </c>
    </row>
    <row r="77" spans="2:8" x14ac:dyDescent="0.25">
      <c r="B77" s="30"/>
      <c r="C77" s="13" t="s">
        <v>114</v>
      </c>
      <c r="D77" s="19">
        <v>0</v>
      </c>
      <c r="E77" s="19">
        <f>D77-D78</f>
        <v>0</v>
      </c>
      <c r="F77" s="13">
        <v>280</v>
      </c>
      <c r="G77" s="18">
        <f t="shared" si="18"/>
        <v>0</v>
      </c>
      <c r="H77" s="14" t="str">
        <f t="shared" si="16"/>
        <v>OK</v>
      </c>
    </row>
    <row r="78" spans="2:8" x14ac:dyDescent="0.25">
      <c r="B78" s="30"/>
      <c r="C78" s="13" t="s">
        <v>118</v>
      </c>
      <c r="D78" s="19">
        <v>0</v>
      </c>
      <c r="E78" s="11"/>
      <c r="F78" s="11"/>
      <c r="G78" s="11"/>
    </row>
    <row r="79" spans="2:8" x14ac:dyDescent="0.25">
      <c r="B79" s="30" t="s">
        <v>130</v>
      </c>
      <c r="C79" s="13" t="s">
        <v>123</v>
      </c>
      <c r="D79" s="19">
        <v>16.478505999999999</v>
      </c>
      <c r="E79" s="19">
        <f t="shared" ref="E79:E89" si="19">D79-D80</f>
        <v>1.7662889999999987</v>
      </c>
      <c r="F79" s="13">
        <v>300</v>
      </c>
      <c r="G79" s="18">
        <f t="shared" ref="G79:G82" si="20">E79/F79</f>
        <v>5.8876299999999953E-3</v>
      </c>
      <c r="H79" s="14" t="str">
        <f t="shared" ref="H79:H82" si="21">IF(G79&lt;0.007,"OK","ERROR")</f>
        <v>OK</v>
      </c>
    </row>
    <row r="80" spans="2:8" x14ac:dyDescent="0.25">
      <c r="B80" s="30"/>
      <c r="C80" s="13" t="s">
        <v>124</v>
      </c>
      <c r="D80" s="19">
        <v>14.712217000000001</v>
      </c>
      <c r="E80" s="19">
        <f t="shared" si="19"/>
        <v>1.8126260000000016</v>
      </c>
      <c r="F80" s="13">
        <v>300</v>
      </c>
      <c r="G80" s="18">
        <f t="shared" si="20"/>
        <v>6.0420866666666719E-3</v>
      </c>
      <c r="H80" s="14" t="str">
        <f t="shared" si="21"/>
        <v>OK</v>
      </c>
    </row>
    <row r="81" spans="2:8" x14ac:dyDescent="0.25">
      <c r="B81" s="30"/>
      <c r="C81" s="13" t="s">
        <v>125</v>
      </c>
      <c r="D81" s="19">
        <v>12.899590999999999</v>
      </c>
      <c r="E81" s="19">
        <f t="shared" si="19"/>
        <v>1.8468579999999992</v>
      </c>
      <c r="F81" s="13">
        <v>300</v>
      </c>
      <c r="G81" s="18">
        <f t="shared" si="20"/>
        <v>6.1561933333333305E-3</v>
      </c>
      <c r="H81" s="14" t="str">
        <f t="shared" si="21"/>
        <v>OK</v>
      </c>
    </row>
    <row r="82" spans="2:8" x14ac:dyDescent="0.25">
      <c r="B82" s="30"/>
      <c r="C82" s="13" t="s">
        <v>126</v>
      </c>
      <c r="D82" s="19">
        <v>11.052733</v>
      </c>
      <c r="E82" s="19">
        <f t="shared" si="19"/>
        <v>1.8554539999999999</v>
      </c>
      <c r="F82" s="13">
        <v>300</v>
      </c>
      <c r="G82" s="18">
        <f t="shared" si="20"/>
        <v>6.1848466666666662E-3</v>
      </c>
      <c r="H82" s="14" t="str">
        <f t="shared" si="21"/>
        <v>OK</v>
      </c>
    </row>
    <row r="83" spans="2:8" x14ac:dyDescent="0.25">
      <c r="B83" s="30"/>
      <c r="C83" s="13" t="s">
        <v>107</v>
      </c>
      <c r="D83" s="19">
        <v>9.197279</v>
      </c>
      <c r="E83" s="19">
        <f t="shared" si="19"/>
        <v>1.8218949999999996</v>
      </c>
      <c r="F83" s="13">
        <v>300</v>
      </c>
      <c r="G83" s="18">
        <f>E83/F83</f>
        <v>6.072983333333332E-3</v>
      </c>
      <c r="H83" s="14" t="str">
        <f>IF(G83&lt;0.007,"OK","ERROR")</f>
        <v>OK</v>
      </c>
    </row>
    <row r="84" spans="2:8" x14ac:dyDescent="0.25">
      <c r="B84" s="30"/>
      <c r="C84" s="13" t="s">
        <v>108</v>
      </c>
      <c r="D84" s="19">
        <v>7.3753840000000004</v>
      </c>
      <c r="E84" s="19">
        <f t="shared" si="19"/>
        <v>1.7981220000000002</v>
      </c>
      <c r="F84" s="13">
        <v>300</v>
      </c>
      <c r="G84" s="18">
        <f t="shared" ref="G84:G90" si="22">E84/F84</f>
        <v>5.9937400000000009E-3</v>
      </c>
      <c r="H84" s="14" t="str">
        <f t="shared" ref="H84:H90" si="23">IF(G84&lt;0.007,"OK","ERROR")</f>
        <v>OK</v>
      </c>
    </row>
    <row r="85" spans="2:8" x14ac:dyDescent="0.25">
      <c r="B85" s="30"/>
      <c r="C85" s="13" t="s">
        <v>109</v>
      </c>
      <c r="D85" s="19">
        <v>5.5772620000000002</v>
      </c>
      <c r="E85" s="19">
        <f t="shared" si="19"/>
        <v>1.7224150000000003</v>
      </c>
      <c r="F85" s="13">
        <v>300</v>
      </c>
      <c r="G85" s="18">
        <f t="shared" si="22"/>
        <v>5.7413833333333341E-3</v>
      </c>
      <c r="H85" s="14" t="str">
        <f t="shared" si="23"/>
        <v>OK</v>
      </c>
    </row>
    <row r="86" spans="2:8" x14ac:dyDescent="0.25">
      <c r="B86" s="30"/>
      <c r="C86" s="13" t="s">
        <v>110</v>
      </c>
      <c r="D86" s="19">
        <v>3.8548469999999999</v>
      </c>
      <c r="E86" s="19">
        <f t="shared" si="19"/>
        <v>1.571917</v>
      </c>
      <c r="F86" s="13">
        <v>300</v>
      </c>
      <c r="G86" s="18">
        <f t="shared" si="22"/>
        <v>5.2397233333333331E-3</v>
      </c>
      <c r="H86" s="14" t="str">
        <f t="shared" si="23"/>
        <v>OK</v>
      </c>
    </row>
    <row r="87" spans="2:8" x14ac:dyDescent="0.25">
      <c r="B87" s="30"/>
      <c r="C87" s="13" t="s">
        <v>111</v>
      </c>
      <c r="D87" s="19">
        <v>2.2829299999999999</v>
      </c>
      <c r="E87" s="19">
        <f t="shared" si="19"/>
        <v>1.313002</v>
      </c>
      <c r="F87" s="13">
        <v>300</v>
      </c>
      <c r="G87" s="18">
        <f t="shared" si="22"/>
        <v>4.3766733333333334E-3</v>
      </c>
      <c r="H87" s="14" t="str">
        <f t="shared" si="23"/>
        <v>OK</v>
      </c>
    </row>
    <row r="88" spans="2:8" x14ac:dyDescent="0.25">
      <c r="B88" s="30"/>
      <c r="C88" s="13" t="s">
        <v>112</v>
      </c>
      <c r="D88" s="19">
        <v>0.96992800000000001</v>
      </c>
      <c r="E88" s="19">
        <f t="shared" si="19"/>
        <v>0.87936000000000003</v>
      </c>
      <c r="F88" s="13">
        <v>300</v>
      </c>
      <c r="G88" s="18">
        <f t="shared" si="22"/>
        <v>2.9312000000000001E-3</v>
      </c>
      <c r="H88" s="14" t="str">
        <f t="shared" si="23"/>
        <v>OK</v>
      </c>
    </row>
    <row r="89" spans="2:8" x14ac:dyDescent="0.25">
      <c r="B89" s="30"/>
      <c r="C89" s="13" t="s">
        <v>113</v>
      </c>
      <c r="D89" s="19">
        <v>9.0567999999999996E-2</v>
      </c>
      <c r="E89" s="19">
        <f t="shared" si="19"/>
        <v>9.0567999999999996E-2</v>
      </c>
      <c r="F89" s="13">
        <v>280</v>
      </c>
      <c r="G89" s="18">
        <f t="shared" si="22"/>
        <v>3.2345714285714287E-4</v>
      </c>
      <c r="H89" s="14" t="str">
        <f t="shared" si="23"/>
        <v>OK</v>
      </c>
    </row>
    <row r="90" spans="2:8" x14ac:dyDescent="0.25">
      <c r="B90" s="30"/>
      <c r="C90" s="13" t="s">
        <v>114</v>
      </c>
      <c r="D90" s="19">
        <v>0</v>
      </c>
      <c r="E90" s="19">
        <f>D90-D91</f>
        <v>0</v>
      </c>
      <c r="F90" s="13">
        <v>280</v>
      </c>
      <c r="G90" s="18">
        <f t="shared" si="22"/>
        <v>0</v>
      </c>
      <c r="H90" s="14" t="str">
        <f t="shared" si="23"/>
        <v>OK</v>
      </c>
    </row>
    <row r="91" spans="2:8" x14ac:dyDescent="0.25">
      <c r="B91" s="30"/>
      <c r="C91" s="13" t="s">
        <v>118</v>
      </c>
      <c r="D91" s="19">
        <v>0</v>
      </c>
      <c r="E91" s="11"/>
      <c r="F91" s="11"/>
      <c r="G91" s="11"/>
    </row>
    <row r="92" spans="2:8" x14ac:dyDescent="0.25">
      <c r="B92" s="30" t="s">
        <v>131</v>
      </c>
      <c r="C92" s="13" t="s">
        <v>123</v>
      </c>
      <c r="D92" s="19">
        <v>16.505413999999998</v>
      </c>
      <c r="E92" s="19">
        <f t="shared" ref="E92:E102" si="24">D92-D93</f>
        <v>1.7735819999999975</v>
      </c>
      <c r="F92" s="13">
        <v>300</v>
      </c>
      <c r="G92" s="18">
        <f t="shared" ref="G92:G95" si="25">E92/F92</f>
        <v>5.9119399999999914E-3</v>
      </c>
      <c r="H92" s="14" t="str">
        <f t="shared" ref="H92:H95" si="26">IF(G92&lt;0.007,"OK","ERROR")</f>
        <v>OK</v>
      </c>
    </row>
    <row r="93" spans="2:8" x14ac:dyDescent="0.25">
      <c r="B93" s="30"/>
      <c r="C93" s="13" t="s">
        <v>124</v>
      </c>
      <c r="D93" s="19">
        <v>14.731832000000001</v>
      </c>
      <c r="E93" s="19">
        <f t="shared" si="24"/>
        <v>1.8190249999999999</v>
      </c>
      <c r="F93" s="13">
        <v>300</v>
      </c>
      <c r="G93" s="18">
        <f t="shared" si="25"/>
        <v>6.0634166666666666E-3</v>
      </c>
      <c r="H93" s="14" t="str">
        <f t="shared" si="26"/>
        <v>OK</v>
      </c>
    </row>
    <row r="94" spans="2:8" x14ac:dyDescent="0.25">
      <c r="B94" s="30"/>
      <c r="C94" s="13" t="s">
        <v>125</v>
      </c>
      <c r="D94" s="19">
        <v>12.912807000000001</v>
      </c>
      <c r="E94" s="19">
        <f t="shared" si="24"/>
        <v>1.8522220000000011</v>
      </c>
      <c r="F94" s="13">
        <v>300</v>
      </c>
      <c r="G94" s="18">
        <f t="shared" si="25"/>
        <v>6.174073333333337E-3</v>
      </c>
      <c r="H94" s="14" t="str">
        <f t="shared" si="26"/>
        <v>OK</v>
      </c>
    </row>
    <row r="95" spans="2:8" x14ac:dyDescent="0.25">
      <c r="B95" s="30"/>
      <c r="C95" s="13" t="s">
        <v>126</v>
      </c>
      <c r="D95" s="19">
        <v>11.060585</v>
      </c>
      <c r="E95" s="19">
        <f t="shared" si="24"/>
        <v>1.8597479999999997</v>
      </c>
      <c r="F95" s="13">
        <v>300</v>
      </c>
      <c r="G95" s="18">
        <f t="shared" si="25"/>
        <v>6.1991599999999987E-3</v>
      </c>
      <c r="H95" s="14" t="str">
        <f t="shared" si="26"/>
        <v>OK</v>
      </c>
    </row>
    <row r="96" spans="2:8" x14ac:dyDescent="0.25">
      <c r="B96" s="30"/>
      <c r="C96" s="13" t="s">
        <v>107</v>
      </c>
      <c r="D96" s="19">
        <v>9.2008369999999999</v>
      </c>
      <c r="E96" s="19">
        <f t="shared" si="24"/>
        <v>1.8249599999999999</v>
      </c>
      <c r="F96" s="13">
        <v>300</v>
      </c>
      <c r="G96" s="18">
        <f>E96/F96</f>
        <v>6.0831999999999995E-3</v>
      </c>
      <c r="H96" s="14" t="str">
        <f>IF(G96&lt;0.007,"OK","ERROR")</f>
        <v>OK</v>
      </c>
    </row>
    <row r="97" spans="2:8" x14ac:dyDescent="0.25">
      <c r="B97" s="30"/>
      <c r="C97" s="13" t="s">
        <v>108</v>
      </c>
      <c r="D97" s="19">
        <v>7.375877</v>
      </c>
      <c r="E97" s="19">
        <f t="shared" si="24"/>
        <v>1.8002760000000002</v>
      </c>
      <c r="F97" s="13">
        <v>300</v>
      </c>
      <c r="G97" s="18">
        <f t="shared" ref="G97:G103" si="27">E97/F97</f>
        <v>6.0009200000000007E-3</v>
      </c>
      <c r="H97" s="14" t="str">
        <f t="shared" ref="H97:H103" si="28">IF(G97&lt;0.007,"OK","ERROR")</f>
        <v>OK</v>
      </c>
    </row>
    <row r="98" spans="2:8" x14ac:dyDescent="0.25">
      <c r="B98" s="30"/>
      <c r="C98" s="13" t="s">
        <v>109</v>
      </c>
      <c r="D98" s="19">
        <v>5.5756009999999998</v>
      </c>
      <c r="E98" s="19">
        <f t="shared" si="24"/>
        <v>1.7235289999999996</v>
      </c>
      <c r="F98" s="13">
        <v>300</v>
      </c>
      <c r="G98" s="18">
        <f t="shared" si="27"/>
        <v>5.7450966666666653E-3</v>
      </c>
      <c r="H98" s="14" t="str">
        <f t="shared" si="28"/>
        <v>OK</v>
      </c>
    </row>
    <row r="99" spans="2:8" x14ac:dyDescent="0.25">
      <c r="B99" s="30"/>
      <c r="C99" s="13" t="s">
        <v>110</v>
      </c>
      <c r="D99" s="19">
        <v>3.8520720000000002</v>
      </c>
      <c r="E99" s="19">
        <f t="shared" si="24"/>
        <v>1.5719820000000002</v>
      </c>
      <c r="F99" s="13">
        <v>300</v>
      </c>
      <c r="G99" s="18">
        <f t="shared" si="27"/>
        <v>5.2399400000000011E-3</v>
      </c>
      <c r="H99" s="14" t="str">
        <f t="shared" si="28"/>
        <v>OK</v>
      </c>
    </row>
    <row r="100" spans="2:8" x14ac:dyDescent="0.25">
      <c r="B100" s="30"/>
      <c r="C100" s="13" t="s">
        <v>111</v>
      </c>
      <c r="D100" s="19">
        <v>2.28009</v>
      </c>
      <c r="E100" s="19">
        <f t="shared" si="24"/>
        <v>1.3120449999999999</v>
      </c>
      <c r="F100" s="13">
        <v>300</v>
      </c>
      <c r="G100" s="18">
        <f t="shared" si="27"/>
        <v>4.3734833333333332E-3</v>
      </c>
      <c r="H100" s="14" t="str">
        <f t="shared" si="28"/>
        <v>OK</v>
      </c>
    </row>
    <row r="101" spans="2:8" x14ac:dyDescent="0.25">
      <c r="B101" s="30"/>
      <c r="C101" s="13" t="s">
        <v>112</v>
      </c>
      <c r="D101" s="19">
        <v>0.96804500000000004</v>
      </c>
      <c r="E101" s="19">
        <f t="shared" si="24"/>
        <v>0.87747300000000006</v>
      </c>
      <c r="F101" s="13">
        <v>300</v>
      </c>
      <c r="G101" s="18">
        <f t="shared" si="27"/>
        <v>2.9249100000000002E-3</v>
      </c>
      <c r="H101" s="14" t="str">
        <f t="shared" si="28"/>
        <v>OK</v>
      </c>
    </row>
    <row r="102" spans="2:8" x14ac:dyDescent="0.25">
      <c r="B102" s="30"/>
      <c r="C102" s="13" t="s">
        <v>113</v>
      </c>
      <c r="D102" s="19">
        <v>9.0572E-2</v>
      </c>
      <c r="E102" s="19">
        <f t="shared" si="24"/>
        <v>9.0572E-2</v>
      </c>
      <c r="F102" s="13">
        <v>280</v>
      </c>
      <c r="G102" s="18">
        <f t="shared" si="27"/>
        <v>3.234714285714286E-4</v>
      </c>
      <c r="H102" s="14" t="str">
        <f t="shared" si="28"/>
        <v>OK</v>
      </c>
    </row>
    <row r="103" spans="2:8" x14ac:dyDescent="0.25">
      <c r="B103" s="30"/>
      <c r="C103" s="13" t="s">
        <v>114</v>
      </c>
      <c r="D103" s="19">
        <v>0</v>
      </c>
      <c r="E103" s="19">
        <f>D103-D104</f>
        <v>0</v>
      </c>
      <c r="F103" s="13">
        <v>280</v>
      </c>
      <c r="G103" s="18">
        <f t="shared" si="27"/>
        <v>0</v>
      </c>
      <c r="H103" s="14" t="str">
        <f t="shared" si="28"/>
        <v>OK</v>
      </c>
    </row>
    <row r="104" spans="2:8" x14ac:dyDescent="0.25">
      <c r="B104" s="30"/>
      <c r="C104" s="13" t="s">
        <v>118</v>
      </c>
      <c r="D104" s="19">
        <v>0</v>
      </c>
      <c r="E104" s="11"/>
      <c r="F104" s="11"/>
      <c r="G104" s="11"/>
    </row>
    <row r="105" spans="2:8" x14ac:dyDescent="0.25">
      <c r="B105" s="30" t="s">
        <v>132</v>
      </c>
      <c r="C105" s="13" t="s">
        <v>107</v>
      </c>
      <c r="D105" s="19">
        <v>9.9771450000000002</v>
      </c>
      <c r="E105" s="19">
        <f t="shared" ref="E105:E111" si="29">D105-D106</f>
        <v>1.9738609999999994</v>
      </c>
      <c r="F105" s="13">
        <v>300</v>
      </c>
      <c r="G105" s="18">
        <f>E105/F105</f>
        <v>6.579536666666665E-3</v>
      </c>
      <c r="H105" s="14" t="str">
        <f>IF(G105&lt;0.007,"OK","ERROR")</f>
        <v>OK</v>
      </c>
    </row>
    <row r="106" spans="2:8" x14ac:dyDescent="0.25">
      <c r="B106" s="30"/>
      <c r="C106" s="13" t="s">
        <v>108</v>
      </c>
      <c r="D106" s="19">
        <v>8.0032840000000007</v>
      </c>
      <c r="E106" s="19">
        <f t="shared" si="29"/>
        <v>1.9502160000000011</v>
      </c>
      <c r="F106" s="13">
        <v>300</v>
      </c>
      <c r="G106" s="18">
        <f t="shared" ref="G106:G112" si="30">E106/F106</f>
        <v>6.5007200000000032E-3</v>
      </c>
      <c r="H106" s="14" t="str">
        <f t="shared" ref="H106:H112" si="31">IF(G106&lt;0.007,"OK","ERROR")</f>
        <v>OK</v>
      </c>
    </row>
    <row r="107" spans="2:8" x14ac:dyDescent="0.25">
      <c r="B107" s="30"/>
      <c r="C107" s="13" t="s">
        <v>109</v>
      </c>
      <c r="D107" s="19">
        <v>6.0530679999999997</v>
      </c>
      <c r="E107" s="19">
        <f t="shared" si="29"/>
        <v>1.8697529999999993</v>
      </c>
      <c r="F107" s="13">
        <v>300</v>
      </c>
      <c r="G107" s="18">
        <f t="shared" si="30"/>
        <v>6.2325099999999975E-3</v>
      </c>
      <c r="H107" s="14" t="str">
        <f t="shared" si="31"/>
        <v>OK</v>
      </c>
    </row>
    <row r="108" spans="2:8" x14ac:dyDescent="0.25">
      <c r="B108" s="30"/>
      <c r="C108" s="13" t="s">
        <v>110</v>
      </c>
      <c r="D108" s="19">
        <v>4.1833150000000003</v>
      </c>
      <c r="E108" s="19">
        <f t="shared" si="29"/>
        <v>1.7076980000000002</v>
      </c>
      <c r="F108" s="13">
        <v>300</v>
      </c>
      <c r="G108" s="18">
        <f t="shared" si="30"/>
        <v>5.6923266666666673E-3</v>
      </c>
      <c r="H108" s="14" t="str">
        <f t="shared" si="31"/>
        <v>OK</v>
      </c>
    </row>
    <row r="109" spans="2:8" x14ac:dyDescent="0.25">
      <c r="B109" s="30"/>
      <c r="C109" s="13" t="s">
        <v>111</v>
      </c>
      <c r="D109" s="19">
        <v>2.4756170000000002</v>
      </c>
      <c r="E109" s="19">
        <f t="shared" si="29"/>
        <v>1.4272620000000003</v>
      </c>
      <c r="F109" s="13">
        <v>300</v>
      </c>
      <c r="G109" s="18">
        <f t="shared" si="30"/>
        <v>4.7575400000000011E-3</v>
      </c>
      <c r="H109" s="14" t="str">
        <f t="shared" si="31"/>
        <v>OK</v>
      </c>
    </row>
    <row r="110" spans="2:8" x14ac:dyDescent="0.25">
      <c r="B110" s="30"/>
      <c r="C110" s="13" t="s">
        <v>112</v>
      </c>
      <c r="D110" s="19">
        <v>1.0483549999999999</v>
      </c>
      <c r="E110" s="19">
        <f t="shared" si="29"/>
        <v>0.95516699999999988</v>
      </c>
      <c r="F110" s="13">
        <v>300</v>
      </c>
      <c r="G110" s="18">
        <f t="shared" si="30"/>
        <v>3.1838899999999996E-3</v>
      </c>
      <c r="H110" s="14" t="str">
        <f t="shared" si="31"/>
        <v>OK</v>
      </c>
    </row>
    <row r="111" spans="2:8" x14ac:dyDescent="0.25">
      <c r="B111" s="30"/>
      <c r="C111" s="13" t="s">
        <v>113</v>
      </c>
      <c r="D111" s="19">
        <v>9.3187999999999993E-2</v>
      </c>
      <c r="E111" s="19">
        <f t="shared" si="29"/>
        <v>9.3187999999999993E-2</v>
      </c>
      <c r="F111" s="13">
        <v>280</v>
      </c>
      <c r="G111" s="18">
        <f t="shared" si="30"/>
        <v>3.3281428571428569E-4</v>
      </c>
      <c r="H111" s="14" t="str">
        <f t="shared" si="31"/>
        <v>OK</v>
      </c>
    </row>
    <row r="112" spans="2:8" x14ac:dyDescent="0.25">
      <c r="B112" s="30"/>
      <c r="C112" s="13" t="s">
        <v>114</v>
      </c>
      <c r="D112" s="19">
        <v>0</v>
      </c>
      <c r="E112" s="19">
        <f>D112-D113</f>
        <v>0</v>
      </c>
      <c r="F112" s="13">
        <v>280</v>
      </c>
      <c r="G112" s="18">
        <f t="shared" si="30"/>
        <v>0</v>
      </c>
      <c r="H112" s="14" t="str">
        <f t="shared" si="31"/>
        <v>OK</v>
      </c>
    </row>
    <row r="113" spans="2:8" x14ac:dyDescent="0.25">
      <c r="B113" s="30"/>
      <c r="C113" s="13" t="s">
        <v>118</v>
      </c>
      <c r="D113" s="19">
        <v>0</v>
      </c>
      <c r="E113" s="11"/>
      <c r="F113" s="11"/>
      <c r="G113" s="11"/>
    </row>
    <row r="114" spans="2:8" x14ac:dyDescent="0.25">
      <c r="B114" s="30" t="s">
        <v>133</v>
      </c>
      <c r="C114" s="13" t="s">
        <v>107</v>
      </c>
      <c r="D114" s="19">
        <v>9.9721189999999993</v>
      </c>
      <c r="E114" s="19">
        <f t="shared" ref="E114:E120" si="32">D114-D115</f>
        <v>1.9687899999999985</v>
      </c>
      <c r="F114" s="13">
        <v>300</v>
      </c>
      <c r="G114" s="18">
        <f>E114/F114</f>
        <v>6.562633333333328E-3</v>
      </c>
      <c r="H114" s="14" t="str">
        <f>IF(G114&lt;0.007,"OK","ERROR")</f>
        <v>OK</v>
      </c>
    </row>
    <row r="115" spans="2:8" x14ac:dyDescent="0.25">
      <c r="B115" s="30"/>
      <c r="C115" s="13" t="s">
        <v>108</v>
      </c>
      <c r="D115" s="19">
        <v>8.0033290000000008</v>
      </c>
      <c r="E115" s="19">
        <f t="shared" si="32"/>
        <v>1.9466740000000007</v>
      </c>
      <c r="F115" s="13">
        <v>300</v>
      </c>
      <c r="G115" s="18">
        <f t="shared" ref="G115:G121" si="33">E115/F115</f>
        <v>6.4889133333333356E-3</v>
      </c>
      <c r="H115" s="14" t="str">
        <f t="shared" ref="H115:H121" si="34">IF(G115&lt;0.007,"OK","ERROR")</f>
        <v>OK</v>
      </c>
    </row>
    <row r="116" spans="2:8" x14ac:dyDescent="0.25">
      <c r="B116" s="30"/>
      <c r="C116" s="13" t="s">
        <v>109</v>
      </c>
      <c r="D116" s="19">
        <v>6.0566550000000001</v>
      </c>
      <c r="E116" s="19">
        <f t="shared" si="32"/>
        <v>1.8679930000000002</v>
      </c>
      <c r="F116" s="13">
        <v>300</v>
      </c>
      <c r="G116" s="18">
        <f t="shared" si="33"/>
        <v>6.2266433333333345E-3</v>
      </c>
      <c r="H116" s="14" t="str">
        <f t="shared" si="34"/>
        <v>OK</v>
      </c>
    </row>
    <row r="117" spans="2:8" x14ac:dyDescent="0.25">
      <c r="B117" s="30"/>
      <c r="C117" s="13" t="s">
        <v>110</v>
      </c>
      <c r="D117" s="19">
        <v>4.1886619999999999</v>
      </c>
      <c r="E117" s="19">
        <f t="shared" si="32"/>
        <v>1.7077589999999998</v>
      </c>
      <c r="F117" s="13">
        <v>300</v>
      </c>
      <c r="G117" s="18">
        <f t="shared" si="33"/>
        <v>5.6925299999999995E-3</v>
      </c>
      <c r="H117" s="14" t="str">
        <f t="shared" si="34"/>
        <v>OK</v>
      </c>
    </row>
    <row r="118" spans="2:8" x14ac:dyDescent="0.25">
      <c r="B118" s="30"/>
      <c r="C118" s="13" t="s">
        <v>111</v>
      </c>
      <c r="D118" s="19">
        <v>2.4809030000000001</v>
      </c>
      <c r="E118" s="19">
        <f t="shared" si="32"/>
        <v>1.4291070000000001</v>
      </c>
      <c r="F118" s="13">
        <v>300</v>
      </c>
      <c r="G118" s="18">
        <f t="shared" si="33"/>
        <v>4.7636900000000001E-3</v>
      </c>
      <c r="H118" s="14" t="str">
        <f t="shared" si="34"/>
        <v>OK</v>
      </c>
    </row>
    <row r="119" spans="2:8" x14ac:dyDescent="0.25">
      <c r="B119" s="30"/>
      <c r="C119" s="13" t="s">
        <v>112</v>
      </c>
      <c r="D119" s="19">
        <v>1.051796</v>
      </c>
      <c r="E119" s="19">
        <f t="shared" si="32"/>
        <v>0.95858299999999996</v>
      </c>
      <c r="F119" s="13">
        <v>300</v>
      </c>
      <c r="G119" s="18">
        <f t="shared" si="33"/>
        <v>3.1952766666666667E-3</v>
      </c>
      <c r="H119" s="14" t="str">
        <f t="shared" si="34"/>
        <v>OK</v>
      </c>
    </row>
    <row r="120" spans="2:8" x14ac:dyDescent="0.25">
      <c r="B120" s="30"/>
      <c r="C120" s="13" t="s">
        <v>113</v>
      </c>
      <c r="D120" s="19">
        <v>9.3213000000000004E-2</v>
      </c>
      <c r="E120" s="19">
        <f t="shared" si="32"/>
        <v>9.3213000000000004E-2</v>
      </c>
      <c r="F120" s="13">
        <v>280</v>
      </c>
      <c r="G120" s="18">
        <f t="shared" si="33"/>
        <v>3.3290357142857146E-4</v>
      </c>
      <c r="H120" s="14" t="str">
        <f t="shared" si="34"/>
        <v>OK</v>
      </c>
    </row>
    <row r="121" spans="2:8" x14ac:dyDescent="0.25">
      <c r="B121" s="30"/>
      <c r="C121" s="13" t="s">
        <v>114</v>
      </c>
      <c r="D121" s="19">
        <v>0</v>
      </c>
      <c r="E121" s="19">
        <f>D121-D122</f>
        <v>0</v>
      </c>
      <c r="F121" s="13">
        <v>280</v>
      </c>
      <c r="G121" s="18">
        <f t="shared" si="33"/>
        <v>0</v>
      </c>
      <c r="H121" s="14" t="str">
        <f t="shared" si="34"/>
        <v>OK</v>
      </c>
    </row>
    <row r="122" spans="2:8" x14ac:dyDescent="0.25">
      <c r="B122" s="30"/>
      <c r="C122" s="13" t="s">
        <v>118</v>
      </c>
      <c r="D122" s="19">
        <v>0</v>
      </c>
      <c r="E122" s="11"/>
      <c r="F122" s="11"/>
      <c r="G122" s="11"/>
    </row>
    <row r="123" spans="2:8" x14ac:dyDescent="0.25">
      <c r="B123" s="30" t="s">
        <v>134</v>
      </c>
      <c r="C123" s="13" t="s">
        <v>107</v>
      </c>
      <c r="D123" s="19">
        <v>9.9771450000000002</v>
      </c>
      <c r="E123" s="19">
        <f t="shared" ref="E123:E129" si="35">D123-D124</f>
        <v>1.9738609999999994</v>
      </c>
      <c r="F123" s="13">
        <v>300</v>
      </c>
      <c r="G123" s="18">
        <f>E123/F123</f>
        <v>6.579536666666665E-3</v>
      </c>
      <c r="H123" s="14" t="str">
        <f>IF(G123&lt;0.007,"OK","ERROR")</f>
        <v>OK</v>
      </c>
    </row>
    <row r="124" spans="2:8" x14ac:dyDescent="0.25">
      <c r="B124" s="30"/>
      <c r="C124" s="13" t="s">
        <v>108</v>
      </c>
      <c r="D124" s="19">
        <v>8.0032840000000007</v>
      </c>
      <c r="E124" s="19">
        <f t="shared" si="35"/>
        <v>1.9502160000000011</v>
      </c>
      <c r="F124" s="13">
        <v>300</v>
      </c>
      <c r="G124" s="18">
        <f t="shared" ref="G124:G130" si="36">E124/F124</f>
        <v>6.5007200000000032E-3</v>
      </c>
      <c r="H124" s="14" t="str">
        <f t="shared" ref="H124:H130" si="37">IF(G124&lt;0.007,"OK","ERROR")</f>
        <v>OK</v>
      </c>
    </row>
    <row r="125" spans="2:8" x14ac:dyDescent="0.25">
      <c r="B125" s="30"/>
      <c r="C125" s="13" t="s">
        <v>109</v>
      </c>
      <c r="D125" s="19">
        <v>6.0530679999999997</v>
      </c>
      <c r="E125" s="19">
        <f t="shared" si="35"/>
        <v>1.8697529999999993</v>
      </c>
      <c r="F125" s="13">
        <v>300</v>
      </c>
      <c r="G125" s="18">
        <f t="shared" si="36"/>
        <v>6.2325099999999975E-3</v>
      </c>
      <c r="H125" s="14" t="str">
        <f t="shared" si="37"/>
        <v>OK</v>
      </c>
    </row>
    <row r="126" spans="2:8" x14ac:dyDescent="0.25">
      <c r="B126" s="30"/>
      <c r="C126" s="13" t="s">
        <v>110</v>
      </c>
      <c r="D126" s="19">
        <v>4.1833150000000003</v>
      </c>
      <c r="E126" s="19">
        <f t="shared" si="35"/>
        <v>1.7076980000000002</v>
      </c>
      <c r="F126" s="13">
        <v>300</v>
      </c>
      <c r="G126" s="18">
        <f t="shared" si="36"/>
        <v>5.6923266666666673E-3</v>
      </c>
      <c r="H126" s="14" t="str">
        <f t="shared" si="37"/>
        <v>OK</v>
      </c>
    </row>
    <row r="127" spans="2:8" x14ac:dyDescent="0.25">
      <c r="B127" s="30"/>
      <c r="C127" s="13" t="s">
        <v>111</v>
      </c>
      <c r="D127" s="19">
        <v>2.4756170000000002</v>
      </c>
      <c r="E127" s="19">
        <f t="shared" si="35"/>
        <v>1.4272620000000003</v>
      </c>
      <c r="F127" s="13">
        <v>300</v>
      </c>
      <c r="G127" s="18">
        <f t="shared" si="36"/>
        <v>4.7575400000000011E-3</v>
      </c>
      <c r="H127" s="14" t="str">
        <f t="shared" si="37"/>
        <v>OK</v>
      </c>
    </row>
    <row r="128" spans="2:8" x14ac:dyDescent="0.25">
      <c r="B128" s="30"/>
      <c r="C128" s="13" t="s">
        <v>112</v>
      </c>
      <c r="D128" s="19">
        <v>1.0483549999999999</v>
      </c>
      <c r="E128" s="19">
        <f t="shared" si="35"/>
        <v>0.95516699999999988</v>
      </c>
      <c r="F128" s="13">
        <v>300</v>
      </c>
      <c r="G128" s="18">
        <f t="shared" si="36"/>
        <v>3.1838899999999996E-3</v>
      </c>
      <c r="H128" s="14" t="str">
        <f t="shared" si="37"/>
        <v>OK</v>
      </c>
    </row>
    <row r="129" spans="2:8" x14ac:dyDescent="0.25">
      <c r="B129" s="30"/>
      <c r="C129" s="13" t="s">
        <v>113</v>
      </c>
      <c r="D129" s="19">
        <v>9.3187999999999993E-2</v>
      </c>
      <c r="E129" s="19">
        <f t="shared" si="35"/>
        <v>9.3187999999999993E-2</v>
      </c>
      <c r="F129" s="13">
        <v>280</v>
      </c>
      <c r="G129" s="18">
        <f t="shared" si="36"/>
        <v>3.3281428571428569E-4</v>
      </c>
      <c r="H129" s="14" t="str">
        <f t="shared" si="37"/>
        <v>OK</v>
      </c>
    </row>
    <row r="130" spans="2:8" x14ac:dyDescent="0.25">
      <c r="B130" s="30"/>
      <c r="C130" s="13" t="s">
        <v>114</v>
      </c>
      <c r="D130" s="19">
        <v>0</v>
      </c>
      <c r="E130" s="19">
        <f>D130-D131</f>
        <v>0</v>
      </c>
      <c r="F130" s="13">
        <v>280</v>
      </c>
      <c r="G130" s="18">
        <f t="shared" si="36"/>
        <v>0</v>
      </c>
      <c r="H130" s="14" t="str">
        <f t="shared" si="37"/>
        <v>OK</v>
      </c>
    </row>
    <row r="131" spans="2:8" x14ac:dyDescent="0.25">
      <c r="B131" s="30"/>
      <c r="C131" s="13" t="s">
        <v>118</v>
      </c>
      <c r="D131" s="19">
        <v>0</v>
      </c>
      <c r="E131" s="11"/>
      <c r="F131" s="11"/>
      <c r="G131" s="11"/>
    </row>
    <row r="132" spans="2:8" x14ac:dyDescent="0.25">
      <c r="B132" s="17"/>
      <c r="C132" s="1"/>
      <c r="D132" s="20"/>
    </row>
    <row r="133" spans="2:8" x14ac:dyDescent="0.25">
      <c r="C133" s="1"/>
    </row>
    <row r="134" spans="2:8" x14ac:dyDescent="0.25">
      <c r="C134" s="1"/>
    </row>
    <row r="135" spans="2:8" x14ac:dyDescent="0.25">
      <c r="B135" s="6" t="s">
        <v>105</v>
      </c>
    </row>
    <row r="137" spans="2:8" ht="18" x14ac:dyDescent="0.3">
      <c r="B137" s="16" t="s">
        <v>115</v>
      </c>
      <c r="C137" s="16" t="s">
        <v>116</v>
      </c>
      <c r="D137" s="16" t="s">
        <v>117</v>
      </c>
      <c r="E137" s="21" t="s">
        <v>120</v>
      </c>
      <c r="F137" s="16" t="s">
        <v>119</v>
      </c>
      <c r="G137" s="16" t="s">
        <v>121</v>
      </c>
    </row>
    <row r="138" spans="2:8" x14ac:dyDescent="0.25">
      <c r="B138" s="30" t="s">
        <v>106</v>
      </c>
      <c r="C138" s="13" t="s">
        <v>107</v>
      </c>
      <c r="D138" s="19">
        <v>7.1571910000000001</v>
      </c>
      <c r="E138" s="19">
        <f t="shared" ref="E138:E144" si="38">D138-D139</f>
        <v>1.4642780000000002</v>
      </c>
      <c r="F138" s="13">
        <v>300</v>
      </c>
      <c r="G138" s="18">
        <f>E138/F138</f>
        <v>4.880926666666667E-3</v>
      </c>
      <c r="H138" s="14" t="str">
        <f>IF(G138&lt;0.007,"OK","ERROR")</f>
        <v>OK</v>
      </c>
    </row>
    <row r="139" spans="2:8" x14ac:dyDescent="0.25">
      <c r="B139" s="30"/>
      <c r="C139" s="13" t="s">
        <v>108</v>
      </c>
      <c r="D139" s="19">
        <v>5.6929129999999999</v>
      </c>
      <c r="E139" s="19">
        <f t="shared" si="38"/>
        <v>1.4296340000000001</v>
      </c>
      <c r="F139" s="13">
        <v>300</v>
      </c>
      <c r="G139" s="18">
        <f t="shared" ref="G139:G145" si="39">E139/F139</f>
        <v>4.7654466666666668E-3</v>
      </c>
      <c r="H139" s="14" t="str">
        <f t="shared" ref="H139:H145" si="40">IF(G139&lt;0.007,"OK","ERROR")</f>
        <v>OK</v>
      </c>
    </row>
    <row r="140" spans="2:8" x14ac:dyDescent="0.25">
      <c r="B140" s="30"/>
      <c r="C140" s="13" t="s">
        <v>109</v>
      </c>
      <c r="D140" s="19">
        <v>4.2632789999999998</v>
      </c>
      <c r="E140" s="19">
        <f t="shared" si="38"/>
        <v>1.3491459999999997</v>
      </c>
      <c r="F140" s="13">
        <v>300</v>
      </c>
      <c r="G140" s="18">
        <f t="shared" si="39"/>
        <v>4.4971533333333326E-3</v>
      </c>
      <c r="H140" s="14" t="str">
        <f t="shared" si="40"/>
        <v>OK</v>
      </c>
    </row>
    <row r="141" spans="2:8" x14ac:dyDescent="0.25">
      <c r="B141" s="30"/>
      <c r="C141" s="13" t="s">
        <v>110</v>
      </c>
      <c r="D141" s="19">
        <v>2.9141330000000001</v>
      </c>
      <c r="E141" s="19">
        <f t="shared" si="38"/>
        <v>1.2100500000000001</v>
      </c>
      <c r="F141" s="13">
        <v>300</v>
      </c>
      <c r="G141" s="18">
        <f t="shared" si="39"/>
        <v>4.0335000000000006E-3</v>
      </c>
      <c r="H141" s="14" t="str">
        <f t="shared" si="40"/>
        <v>OK</v>
      </c>
    </row>
    <row r="142" spans="2:8" x14ac:dyDescent="0.25">
      <c r="B142" s="30"/>
      <c r="C142" s="13" t="s">
        <v>111</v>
      </c>
      <c r="D142" s="19">
        <v>1.704083</v>
      </c>
      <c r="E142" s="19">
        <f t="shared" si="38"/>
        <v>0.99348700000000001</v>
      </c>
      <c r="F142" s="13">
        <v>300</v>
      </c>
      <c r="G142" s="18">
        <f t="shared" si="39"/>
        <v>3.3116233333333332E-3</v>
      </c>
      <c r="H142" s="14" t="str">
        <f t="shared" si="40"/>
        <v>OK</v>
      </c>
    </row>
    <row r="143" spans="2:8" x14ac:dyDescent="0.25">
      <c r="B143" s="30"/>
      <c r="C143" s="13" t="s">
        <v>112</v>
      </c>
      <c r="D143" s="19">
        <v>0.71059600000000001</v>
      </c>
      <c r="E143" s="19">
        <f t="shared" si="38"/>
        <v>0.65899300000000005</v>
      </c>
      <c r="F143" s="13">
        <v>300</v>
      </c>
      <c r="G143" s="18">
        <f t="shared" si="39"/>
        <v>2.1966433333333335E-3</v>
      </c>
      <c r="H143" s="14" t="str">
        <f t="shared" si="40"/>
        <v>OK</v>
      </c>
    </row>
    <row r="144" spans="2:8" x14ac:dyDescent="0.25">
      <c r="B144" s="30"/>
      <c r="C144" s="13" t="s">
        <v>113</v>
      </c>
      <c r="D144" s="19">
        <v>5.1603000000000003E-2</v>
      </c>
      <c r="E144" s="19">
        <f t="shared" si="38"/>
        <v>5.1603000000000003E-2</v>
      </c>
      <c r="F144" s="13">
        <v>280</v>
      </c>
      <c r="G144" s="18">
        <f t="shared" si="39"/>
        <v>1.8429642857142859E-4</v>
      </c>
      <c r="H144" s="14" t="str">
        <f t="shared" si="40"/>
        <v>OK</v>
      </c>
    </row>
    <row r="145" spans="2:8" x14ac:dyDescent="0.25">
      <c r="B145" s="30"/>
      <c r="C145" s="13" t="s">
        <v>114</v>
      </c>
      <c r="D145" s="19">
        <v>0</v>
      </c>
      <c r="E145" s="19">
        <f>D145-D146</f>
        <v>0</v>
      </c>
      <c r="F145" s="13">
        <v>280</v>
      </c>
      <c r="G145" s="18">
        <f t="shared" si="39"/>
        <v>0</v>
      </c>
      <c r="H145" s="14" t="str">
        <f t="shared" si="40"/>
        <v>OK</v>
      </c>
    </row>
    <row r="146" spans="2:8" x14ac:dyDescent="0.25">
      <c r="B146" s="30"/>
      <c r="C146" s="13" t="s">
        <v>118</v>
      </c>
      <c r="D146" s="19">
        <v>0</v>
      </c>
      <c r="E146" s="11"/>
      <c r="F146" s="11"/>
      <c r="G146" s="11"/>
    </row>
    <row r="147" spans="2:8" x14ac:dyDescent="0.25">
      <c r="B147" s="30" t="s">
        <v>122</v>
      </c>
      <c r="C147" s="13" t="s">
        <v>123</v>
      </c>
      <c r="D147" s="19">
        <v>13.141610999999999</v>
      </c>
      <c r="E147" s="19">
        <f t="shared" ref="E147:E157" si="41">D147-D148</f>
        <v>1.4456809999999987</v>
      </c>
      <c r="F147" s="13">
        <v>300</v>
      </c>
      <c r="G147" s="18">
        <f t="shared" ref="G147:G150" si="42">E147/F147</f>
        <v>4.8189366666666622E-3</v>
      </c>
      <c r="H147" s="14" t="str">
        <f t="shared" ref="H147:H150" si="43">IF(G147&lt;0.007,"OK","ERROR")</f>
        <v>OK</v>
      </c>
    </row>
    <row r="148" spans="2:8" x14ac:dyDescent="0.25">
      <c r="B148" s="30"/>
      <c r="C148" s="13" t="s">
        <v>124</v>
      </c>
      <c r="D148" s="19">
        <v>11.695930000000001</v>
      </c>
      <c r="E148" s="19">
        <f t="shared" si="41"/>
        <v>1.4938700000000011</v>
      </c>
      <c r="F148" s="13">
        <v>300</v>
      </c>
      <c r="G148" s="18">
        <f t="shared" si="42"/>
        <v>4.9795666666666702E-3</v>
      </c>
      <c r="H148" s="14" t="str">
        <f t="shared" si="43"/>
        <v>OK</v>
      </c>
    </row>
    <row r="149" spans="2:8" x14ac:dyDescent="0.25">
      <c r="B149" s="30"/>
      <c r="C149" s="13" t="s">
        <v>125</v>
      </c>
      <c r="D149" s="19">
        <v>10.202059999999999</v>
      </c>
      <c r="E149" s="19">
        <f t="shared" si="41"/>
        <v>1.5231149999999989</v>
      </c>
      <c r="F149" s="13">
        <v>300</v>
      </c>
      <c r="G149" s="18">
        <f t="shared" si="42"/>
        <v>5.0770499999999961E-3</v>
      </c>
      <c r="H149" s="14" t="str">
        <f t="shared" si="43"/>
        <v>OK</v>
      </c>
    </row>
    <row r="150" spans="2:8" x14ac:dyDescent="0.25">
      <c r="B150" s="30"/>
      <c r="C150" s="13" t="s">
        <v>126</v>
      </c>
      <c r="D150" s="19">
        <v>8.6789450000000006</v>
      </c>
      <c r="E150" s="19">
        <f t="shared" si="41"/>
        <v>1.5217540000000005</v>
      </c>
      <c r="F150" s="13">
        <v>300</v>
      </c>
      <c r="G150" s="18">
        <f t="shared" si="42"/>
        <v>5.0725133333333347E-3</v>
      </c>
      <c r="H150" s="14" t="str">
        <f t="shared" si="43"/>
        <v>OK</v>
      </c>
    </row>
    <row r="151" spans="2:8" x14ac:dyDescent="0.25">
      <c r="B151" s="30"/>
      <c r="C151" s="13" t="s">
        <v>107</v>
      </c>
      <c r="D151" s="19">
        <v>7.1571910000000001</v>
      </c>
      <c r="E151" s="19">
        <f t="shared" si="41"/>
        <v>1.4642780000000002</v>
      </c>
      <c r="F151" s="13">
        <v>300</v>
      </c>
      <c r="G151" s="18">
        <f>E151/F151</f>
        <v>4.880926666666667E-3</v>
      </c>
      <c r="H151" s="14" t="str">
        <f>IF(G151&lt;0.007,"OK","ERROR")</f>
        <v>OK</v>
      </c>
    </row>
    <row r="152" spans="2:8" x14ac:dyDescent="0.25">
      <c r="B152" s="30"/>
      <c r="C152" s="13" t="s">
        <v>108</v>
      </c>
      <c r="D152" s="19">
        <v>5.6929129999999999</v>
      </c>
      <c r="E152" s="19">
        <f t="shared" si="41"/>
        <v>1.4296340000000001</v>
      </c>
      <c r="F152" s="13">
        <v>300</v>
      </c>
      <c r="G152" s="18">
        <f t="shared" ref="G152:G158" si="44">E152/F152</f>
        <v>4.7654466666666668E-3</v>
      </c>
      <c r="H152" s="14" t="str">
        <f t="shared" ref="H152:H158" si="45">IF(G152&lt;0.007,"OK","ERROR")</f>
        <v>OK</v>
      </c>
    </row>
    <row r="153" spans="2:8" x14ac:dyDescent="0.25">
      <c r="B153" s="30"/>
      <c r="C153" s="13" t="s">
        <v>109</v>
      </c>
      <c r="D153" s="19">
        <v>4.2632789999999998</v>
      </c>
      <c r="E153" s="19">
        <f t="shared" si="41"/>
        <v>1.3491459999999997</v>
      </c>
      <c r="F153" s="13">
        <v>300</v>
      </c>
      <c r="G153" s="18">
        <f t="shared" si="44"/>
        <v>4.4971533333333326E-3</v>
      </c>
      <c r="H153" s="14" t="str">
        <f t="shared" si="45"/>
        <v>OK</v>
      </c>
    </row>
    <row r="154" spans="2:8" x14ac:dyDescent="0.25">
      <c r="B154" s="30"/>
      <c r="C154" s="13" t="s">
        <v>110</v>
      </c>
      <c r="D154" s="19">
        <v>2.9141330000000001</v>
      </c>
      <c r="E154" s="19">
        <f t="shared" si="41"/>
        <v>1.2100500000000001</v>
      </c>
      <c r="F154" s="13">
        <v>300</v>
      </c>
      <c r="G154" s="18">
        <f t="shared" si="44"/>
        <v>4.0335000000000006E-3</v>
      </c>
      <c r="H154" s="14" t="str">
        <f t="shared" si="45"/>
        <v>OK</v>
      </c>
    </row>
    <row r="155" spans="2:8" x14ac:dyDescent="0.25">
      <c r="B155" s="30"/>
      <c r="C155" s="13" t="s">
        <v>111</v>
      </c>
      <c r="D155" s="19">
        <v>1.704083</v>
      </c>
      <c r="E155" s="19">
        <f t="shared" si="41"/>
        <v>0.99348700000000001</v>
      </c>
      <c r="F155" s="13">
        <v>300</v>
      </c>
      <c r="G155" s="18">
        <f t="shared" si="44"/>
        <v>3.3116233333333332E-3</v>
      </c>
      <c r="H155" s="14" t="str">
        <f t="shared" si="45"/>
        <v>OK</v>
      </c>
    </row>
    <row r="156" spans="2:8" x14ac:dyDescent="0.25">
      <c r="B156" s="30"/>
      <c r="C156" s="13" t="s">
        <v>112</v>
      </c>
      <c r="D156" s="19">
        <v>0.71059600000000001</v>
      </c>
      <c r="E156" s="19">
        <f t="shared" si="41"/>
        <v>0.65899300000000005</v>
      </c>
      <c r="F156" s="13">
        <v>300</v>
      </c>
      <c r="G156" s="18">
        <f t="shared" si="44"/>
        <v>2.1966433333333335E-3</v>
      </c>
      <c r="H156" s="14" t="str">
        <f t="shared" si="45"/>
        <v>OK</v>
      </c>
    </row>
    <row r="157" spans="2:8" x14ac:dyDescent="0.25">
      <c r="B157" s="30"/>
      <c r="C157" s="13" t="s">
        <v>113</v>
      </c>
      <c r="D157" s="19">
        <v>5.1603000000000003E-2</v>
      </c>
      <c r="E157" s="19">
        <f t="shared" si="41"/>
        <v>5.1603000000000003E-2</v>
      </c>
      <c r="F157" s="13">
        <v>280</v>
      </c>
      <c r="G157" s="18">
        <f t="shared" si="44"/>
        <v>1.8429642857142859E-4</v>
      </c>
      <c r="H157" s="14" t="str">
        <f t="shared" si="45"/>
        <v>OK</v>
      </c>
    </row>
    <row r="158" spans="2:8" x14ac:dyDescent="0.25">
      <c r="B158" s="30"/>
      <c r="C158" s="13" t="s">
        <v>114</v>
      </c>
      <c r="D158" s="19">
        <v>0</v>
      </c>
      <c r="E158" s="19">
        <f>D158-D159</f>
        <v>0</v>
      </c>
      <c r="F158" s="13">
        <v>280</v>
      </c>
      <c r="G158" s="18">
        <f t="shared" si="44"/>
        <v>0</v>
      </c>
      <c r="H158" s="14" t="str">
        <f t="shared" si="45"/>
        <v>OK</v>
      </c>
    </row>
    <row r="159" spans="2:8" x14ac:dyDescent="0.25">
      <c r="B159" s="30"/>
      <c r="C159" s="13" t="s">
        <v>118</v>
      </c>
      <c r="D159" s="19">
        <v>0</v>
      </c>
      <c r="E159" s="11"/>
      <c r="F159" s="11"/>
      <c r="G159" s="11"/>
    </row>
    <row r="160" spans="2:8" x14ac:dyDescent="0.25">
      <c r="B160" s="30" t="s">
        <v>127</v>
      </c>
      <c r="C160" s="13" t="s">
        <v>123</v>
      </c>
      <c r="D160" s="19">
        <v>13.141610999999999</v>
      </c>
      <c r="E160" s="19">
        <f t="shared" ref="E160:E170" si="46">D160-D161</f>
        <v>1.4456809999999987</v>
      </c>
      <c r="F160" s="13">
        <v>300</v>
      </c>
      <c r="G160" s="18">
        <f t="shared" ref="G160:G163" si="47">E160/F160</f>
        <v>4.8189366666666622E-3</v>
      </c>
      <c r="H160" s="14" t="str">
        <f t="shared" ref="H160:H163" si="48">IF(G160&lt;0.007,"OK","ERROR")</f>
        <v>OK</v>
      </c>
    </row>
    <row r="161" spans="2:8" x14ac:dyDescent="0.25">
      <c r="B161" s="30"/>
      <c r="C161" s="13" t="s">
        <v>124</v>
      </c>
      <c r="D161" s="19">
        <v>11.695930000000001</v>
      </c>
      <c r="E161" s="19">
        <f t="shared" si="46"/>
        <v>1.4938700000000011</v>
      </c>
      <c r="F161" s="13">
        <v>300</v>
      </c>
      <c r="G161" s="18">
        <f t="shared" si="47"/>
        <v>4.9795666666666702E-3</v>
      </c>
      <c r="H161" s="14" t="str">
        <f t="shared" si="48"/>
        <v>OK</v>
      </c>
    </row>
    <row r="162" spans="2:8" x14ac:dyDescent="0.25">
      <c r="B162" s="30"/>
      <c r="C162" s="13" t="s">
        <v>125</v>
      </c>
      <c r="D162" s="19">
        <v>10.202059999999999</v>
      </c>
      <c r="E162" s="19">
        <f t="shared" si="46"/>
        <v>1.5231149999999989</v>
      </c>
      <c r="F162" s="13">
        <v>300</v>
      </c>
      <c r="G162" s="18">
        <f t="shared" si="47"/>
        <v>5.0770499999999961E-3</v>
      </c>
      <c r="H162" s="14" t="str">
        <f t="shared" si="48"/>
        <v>OK</v>
      </c>
    </row>
    <row r="163" spans="2:8" x14ac:dyDescent="0.25">
      <c r="B163" s="30"/>
      <c r="C163" s="13" t="s">
        <v>126</v>
      </c>
      <c r="D163" s="19">
        <v>8.6789450000000006</v>
      </c>
      <c r="E163" s="19">
        <f t="shared" si="46"/>
        <v>1.5217540000000005</v>
      </c>
      <c r="F163" s="13">
        <v>300</v>
      </c>
      <c r="G163" s="18">
        <f t="shared" si="47"/>
        <v>5.0725133333333347E-3</v>
      </c>
      <c r="H163" s="14" t="str">
        <f t="shared" si="48"/>
        <v>OK</v>
      </c>
    </row>
    <row r="164" spans="2:8" x14ac:dyDescent="0.25">
      <c r="B164" s="30"/>
      <c r="C164" s="13" t="s">
        <v>107</v>
      </c>
      <c r="D164" s="19">
        <v>7.1571910000000001</v>
      </c>
      <c r="E164" s="19">
        <f t="shared" si="46"/>
        <v>1.4642780000000002</v>
      </c>
      <c r="F164" s="13">
        <v>300</v>
      </c>
      <c r="G164" s="18">
        <f>E164/F164</f>
        <v>4.880926666666667E-3</v>
      </c>
      <c r="H164" s="14" t="str">
        <f>IF(G164&lt;0.007,"OK","ERROR")</f>
        <v>OK</v>
      </c>
    </row>
    <row r="165" spans="2:8" x14ac:dyDescent="0.25">
      <c r="B165" s="30"/>
      <c r="C165" s="13" t="s">
        <v>108</v>
      </c>
      <c r="D165" s="19">
        <v>5.6929129999999999</v>
      </c>
      <c r="E165" s="19">
        <f t="shared" si="46"/>
        <v>1.4296340000000001</v>
      </c>
      <c r="F165" s="13">
        <v>300</v>
      </c>
      <c r="G165" s="18">
        <f t="shared" ref="G165:G171" si="49">E165/F165</f>
        <v>4.7654466666666668E-3</v>
      </c>
      <c r="H165" s="14" t="str">
        <f t="shared" ref="H165:H171" si="50">IF(G165&lt;0.007,"OK","ERROR")</f>
        <v>OK</v>
      </c>
    </row>
    <row r="166" spans="2:8" x14ac:dyDescent="0.25">
      <c r="B166" s="30"/>
      <c r="C166" s="13" t="s">
        <v>109</v>
      </c>
      <c r="D166" s="19">
        <v>4.2632789999999998</v>
      </c>
      <c r="E166" s="19">
        <f t="shared" si="46"/>
        <v>1.3491459999999997</v>
      </c>
      <c r="F166" s="13">
        <v>300</v>
      </c>
      <c r="G166" s="18">
        <f t="shared" si="49"/>
        <v>4.4971533333333326E-3</v>
      </c>
      <c r="H166" s="14" t="str">
        <f t="shared" si="50"/>
        <v>OK</v>
      </c>
    </row>
    <row r="167" spans="2:8" x14ac:dyDescent="0.25">
      <c r="B167" s="30"/>
      <c r="C167" s="13" t="s">
        <v>110</v>
      </c>
      <c r="D167" s="19">
        <v>2.9141330000000001</v>
      </c>
      <c r="E167" s="19">
        <f t="shared" si="46"/>
        <v>1.2100500000000001</v>
      </c>
      <c r="F167" s="13">
        <v>300</v>
      </c>
      <c r="G167" s="18">
        <f t="shared" si="49"/>
        <v>4.0335000000000006E-3</v>
      </c>
      <c r="H167" s="14" t="str">
        <f t="shared" si="50"/>
        <v>OK</v>
      </c>
    </row>
    <row r="168" spans="2:8" x14ac:dyDescent="0.25">
      <c r="B168" s="30"/>
      <c r="C168" s="13" t="s">
        <v>111</v>
      </c>
      <c r="D168" s="19">
        <v>1.704083</v>
      </c>
      <c r="E168" s="19">
        <f t="shared" si="46"/>
        <v>0.99348700000000001</v>
      </c>
      <c r="F168" s="13">
        <v>300</v>
      </c>
      <c r="G168" s="18">
        <f t="shared" si="49"/>
        <v>3.3116233333333332E-3</v>
      </c>
      <c r="H168" s="14" t="str">
        <f t="shared" si="50"/>
        <v>OK</v>
      </c>
    </row>
    <row r="169" spans="2:8" x14ac:dyDescent="0.25">
      <c r="B169" s="30"/>
      <c r="C169" s="13" t="s">
        <v>112</v>
      </c>
      <c r="D169" s="19">
        <v>0.71059600000000001</v>
      </c>
      <c r="E169" s="19">
        <f t="shared" si="46"/>
        <v>0.65899300000000005</v>
      </c>
      <c r="F169" s="13">
        <v>300</v>
      </c>
      <c r="G169" s="18">
        <f t="shared" si="49"/>
        <v>2.1966433333333335E-3</v>
      </c>
      <c r="H169" s="14" t="str">
        <f t="shared" si="50"/>
        <v>OK</v>
      </c>
    </row>
    <row r="170" spans="2:8" x14ac:dyDescent="0.25">
      <c r="B170" s="30"/>
      <c r="C170" s="13" t="s">
        <v>113</v>
      </c>
      <c r="D170" s="19">
        <v>5.1603000000000003E-2</v>
      </c>
      <c r="E170" s="19">
        <f t="shared" si="46"/>
        <v>5.1603000000000003E-2</v>
      </c>
      <c r="F170" s="13">
        <v>280</v>
      </c>
      <c r="G170" s="18">
        <f t="shared" si="49"/>
        <v>1.8429642857142859E-4</v>
      </c>
      <c r="H170" s="14" t="str">
        <f t="shared" si="50"/>
        <v>OK</v>
      </c>
    </row>
    <row r="171" spans="2:8" x14ac:dyDescent="0.25">
      <c r="B171" s="30"/>
      <c r="C171" s="13" t="s">
        <v>114</v>
      </c>
      <c r="D171" s="19">
        <v>0</v>
      </c>
      <c r="E171" s="19">
        <f>D171-D172</f>
        <v>0</v>
      </c>
      <c r="F171" s="13">
        <v>280</v>
      </c>
      <c r="G171" s="18">
        <f t="shared" si="49"/>
        <v>0</v>
      </c>
      <c r="H171" s="14" t="str">
        <f t="shared" si="50"/>
        <v>OK</v>
      </c>
    </row>
    <row r="172" spans="2:8" x14ac:dyDescent="0.25">
      <c r="B172" s="30"/>
      <c r="C172" s="13" t="s">
        <v>118</v>
      </c>
      <c r="D172" s="19">
        <v>0</v>
      </c>
      <c r="E172" s="11"/>
      <c r="F172" s="11"/>
      <c r="G172" s="11"/>
    </row>
    <row r="173" spans="2:8" x14ac:dyDescent="0.25">
      <c r="B173" s="30" t="s">
        <v>128</v>
      </c>
      <c r="C173" s="13" t="s">
        <v>113</v>
      </c>
      <c r="D173" s="19">
        <v>5.1603000000000003E-2</v>
      </c>
      <c r="E173" s="19">
        <f t="shared" ref="E173" si="51">D173-D174</f>
        <v>5.1603000000000003E-2</v>
      </c>
      <c r="F173" s="13">
        <v>280</v>
      </c>
      <c r="G173" s="18">
        <f t="shared" ref="G173:G174" si="52">E173/F173</f>
        <v>1.8429642857142859E-4</v>
      </c>
      <c r="H173" s="14" t="str">
        <f t="shared" ref="H173:H174" si="53">IF(G173&lt;0.007,"OK","ERROR")</f>
        <v>OK</v>
      </c>
    </row>
    <row r="174" spans="2:8" x14ac:dyDescent="0.25">
      <c r="B174" s="30"/>
      <c r="C174" s="13" t="s">
        <v>114</v>
      </c>
      <c r="D174" s="19">
        <v>0</v>
      </c>
      <c r="E174" s="19">
        <f>D174-D175</f>
        <v>0</v>
      </c>
      <c r="F174" s="13">
        <v>280</v>
      </c>
      <c r="G174" s="18">
        <f t="shared" si="52"/>
        <v>0</v>
      </c>
      <c r="H174" s="14" t="str">
        <f t="shared" si="53"/>
        <v>OK</v>
      </c>
    </row>
    <row r="175" spans="2:8" x14ac:dyDescent="0.25">
      <c r="B175" s="30"/>
      <c r="C175" s="13" t="s">
        <v>118</v>
      </c>
      <c r="D175" s="19">
        <v>0</v>
      </c>
      <c r="E175" s="11"/>
      <c r="F175" s="11"/>
      <c r="G175" s="11"/>
    </row>
    <row r="176" spans="2:8" x14ac:dyDescent="0.25">
      <c r="B176" s="30" t="s">
        <v>130</v>
      </c>
      <c r="C176" s="13" t="s">
        <v>123</v>
      </c>
      <c r="D176" s="19">
        <v>13.144589</v>
      </c>
      <c r="E176" s="19">
        <f t="shared" ref="E176:E186" si="54">D176-D177</f>
        <v>1.4460870000000003</v>
      </c>
      <c r="F176" s="13">
        <v>300</v>
      </c>
      <c r="G176" s="18">
        <f t="shared" ref="G176:G179" si="55">E176/F176</f>
        <v>4.8202900000000014E-3</v>
      </c>
      <c r="H176" s="14" t="str">
        <f t="shared" ref="H176:H179" si="56">IF(G176&lt;0.007,"OK","ERROR")</f>
        <v>OK</v>
      </c>
    </row>
    <row r="177" spans="2:8" x14ac:dyDescent="0.25">
      <c r="B177" s="30"/>
      <c r="C177" s="13" t="s">
        <v>124</v>
      </c>
      <c r="D177" s="19">
        <v>11.698502</v>
      </c>
      <c r="E177" s="19">
        <f t="shared" si="54"/>
        <v>1.4943179999999998</v>
      </c>
      <c r="F177" s="13">
        <v>300</v>
      </c>
      <c r="G177" s="18">
        <f t="shared" si="55"/>
        <v>4.981059999999999E-3</v>
      </c>
      <c r="H177" s="14" t="str">
        <f t="shared" si="56"/>
        <v>OK</v>
      </c>
    </row>
    <row r="178" spans="2:8" x14ac:dyDescent="0.25">
      <c r="B178" s="30"/>
      <c r="C178" s="13" t="s">
        <v>125</v>
      </c>
      <c r="D178" s="19">
        <v>10.204184</v>
      </c>
      <c r="E178" s="19">
        <f t="shared" si="54"/>
        <v>1.5235419999999991</v>
      </c>
      <c r="F178" s="13">
        <v>300</v>
      </c>
      <c r="G178" s="18">
        <f t="shared" si="55"/>
        <v>5.0784733333333306E-3</v>
      </c>
      <c r="H178" s="14" t="str">
        <f t="shared" si="56"/>
        <v>OK</v>
      </c>
    </row>
    <row r="179" spans="2:8" x14ac:dyDescent="0.25">
      <c r="B179" s="30"/>
      <c r="C179" s="13" t="s">
        <v>126</v>
      </c>
      <c r="D179" s="19">
        <v>8.6806420000000006</v>
      </c>
      <c r="E179" s="19">
        <f t="shared" si="54"/>
        <v>1.5221400000000003</v>
      </c>
      <c r="F179" s="13">
        <v>300</v>
      </c>
      <c r="G179" s="18">
        <f t="shared" si="55"/>
        <v>5.0738000000000007E-3</v>
      </c>
      <c r="H179" s="14" t="str">
        <f t="shared" si="56"/>
        <v>OK</v>
      </c>
    </row>
    <row r="180" spans="2:8" x14ac:dyDescent="0.25">
      <c r="B180" s="30"/>
      <c r="C180" s="13" t="s">
        <v>107</v>
      </c>
      <c r="D180" s="19">
        <v>7.1585020000000004</v>
      </c>
      <c r="E180" s="19">
        <f t="shared" si="54"/>
        <v>1.4646150000000002</v>
      </c>
      <c r="F180" s="13">
        <v>300</v>
      </c>
      <c r="G180" s="18">
        <f>E180/F180</f>
        <v>4.8820500000000006E-3</v>
      </c>
      <c r="H180" s="14" t="str">
        <f>IF(G180&lt;0.007,"OK","ERROR")</f>
        <v>OK</v>
      </c>
    </row>
    <row r="181" spans="2:8" x14ac:dyDescent="0.25">
      <c r="B181" s="30"/>
      <c r="C181" s="13" t="s">
        <v>108</v>
      </c>
      <c r="D181" s="19">
        <v>5.6938870000000001</v>
      </c>
      <c r="E181" s="19">
        <f t="shared" si="54"/>
        <v>1.4299270000000002</v>
      </c>
      <c r="F181" s="13">
        <v>300</v>
      </c>
      <c r="G181" s="18">
        <f t="shared" ref="G181:G187" si="57">E181/F181</f>
        <v>4.7664233333333337E-3</v>
      </c>
      <c r="H181" s="14" t="str">
        <f t="shared" ref="H181:H187" si="58">IF(G181&lt;0.007,"OK","ERROR")</f>
        <v>OK</v>
      </c>
    </row>
    <row r="182" spans="2:8" x14ac:dyDescent="0.25">
      <c r="B182" s="30"/>
      <c r="C182" s="13" t="s">
        <v>109</v>
      </c>
      <c r="D182" s="19">
        <v>4.26396</v>
      </c>
      <c r="E182" s="19">
        <f t="shared" si="54"/>
        <v>1.3493900000000001</v>
      </c>
      <c r="F182" s="13">
        <v>300</v>
      </c>
      <c r="G182" s="18">
        <f t="shared" si="57"/>
        <v>4.4979666666666671E-3</v>
      </c>
      <c r="H182" s="14" t="str">
        <f t="shared" si="58"/>
        <v>OK</v>
      </c>
    </row>
    <row r="183" spans="2:8" x14ac:dyDescent="0.25">
      <c r="B183" s="30"/>
      <c r="C183" s="13" t="s">
        <v>110</v>
      </c>
      <c r="D183" s="19">
        <v>2.9145699999999999</v>
      </c>
      <c r="E183" s="19">
        <f t="shared" si="54"/>
        <v>1.2102449999999998</v>
      </c>
      <c r="F183" s="13">
        <v>300</v>
      </c>
      <c r="G183" s="18">
        <f t="shared" si="57"/>
        <v>4.0341499999999994E-3</v>
      </c>
      <c r="H183" s="14" t="str">
        <f t="shared" si="58"/>
        <v>OK</v>
      </c>
    </row>
    <row r="184" spans="2:8" x14ac:dyDescent="0.25">
      <c r="B184" s="30"/>
      <c r="C184" s="13" t="s">
        <v>111</v>
      </c>
      <c r="D184" s="19">
        <v>1.7043250000000001</v>
      </c>
      <c r="E184" s="19">
        <f t="shared" si="54"/>
        <v>0.9936370000000001</v>
      </c>
      <c r="F184" s="13">
        <v>300</v>
      </c>
      <c r="G184" s="18">
        <f t="shared" si="57"/>
        <v>3.3121233333333337E-3</v>
      </c>
      <c r="H184" s="14" t="str">
        <f t="shared" si="58"/>
        <v>OK</v>
      </c>
    </row>
    <row r="185" spans="2:8" x14ac:dyDescent="0.25">
      <c r="B185" s="30"/>
      <c r="C185" s="13" t="s">
        <v>112</v>
      </c>
      <c r="D185" s="19">
        <v>0.71068799999999999</v>
      </c>
      <c r="E185" s="19">
        <f t="shared" si="54"/>
        <v>0.65908500000000003</v>
      </c>
      <c r="F185" s="13">
        <v>300</v>
      </c>
      <c r="G185" s="18">
        <f t="shared" si="57"/>
        <v>2.19695E-3</v>
      </c>
      <c r="H185" s="14" t="str">
        <f t="shared" si="58"/>
        <v>OK</v>
      </c>
    </row>
    <row r="186" spans="2:8" x14ac:dyDescent="0.25">
      <c r="B186" s="30"/>
      <c r="C186" s="13" t="s">
        <v>113</v>
      </c>
      <c r="D186" s="19">
        <v>5.1603000000000003E-2</v>
      </c>
      <c r="E186" s="19">
        <f t="shared" si="54"/>
        <v>5.1603000000000003E-2</v>
      </c>
      <c r="F186" s="13">
        <v>280</v>
      </c>
      <c r="G186" s="18">
        <f t="shared" si="57"/>
        <v>1.8429642857142859E-4</v>
      </c>
      <c r="H186" s="14" t="str">
        <f t="shared" si="58"/>
        <v>OK</v>
      </c>
    </row>
    <row r="187" spans="2:8" x14ac:dyDescent="0.25">
      <c r="B187" s="30"/>
      <c r="C187" s="13" t="s">
        <v>114</v>
      </c>
      <c r="D187" s="19">
        <v>0</v>
      </c>
      <c r="E187" s="19">
        <f>D187-D188</f>
        <v>0</v>
      </c>
      <c r="F187" s="13">
        <v>280</v>
      </c>
      <c r="G187" s="18">
        <f t="shared" si="57"/>
        <v>0</v>
      </c>
      <c r="H187" s="14" t="str">
        <f t="shared" si="58"/>
        <v>OK</v>
      </c>
    </row>
    <row r="188" spans="2:8" x14ac:dyDescent="0.25">
      <c r="B188" s="30"/>
      <c r="C188" s="13" t="s">
        <v>118</v>
      </c>
      <c r="D188" s="19">
        <v>0</v>
      </c>
      <c r="E188" s="11"/>
      <c r="F188" s="11"/>
      <c r="G188" s="11"/>
    </row>
    <row r="189" spans="2:8" x14ac:dyDescent="0.25">
      <c r="B189" s="30" t="s">
        <v>131</v>
      </c>
      <c r="C189" s="13" t="s">
        <v>123</v>
      </c>
      <c r="D189" s="19">
        <v>13.144589</v>
      </c>
      <c r="E189" s="19">
        <f t="shared" ref="E189:E199" si="59">D189-D190</f>
        <v>1.4460870000000003</v>
      </c>
      <c r="F189" s="13">
        <v>300</v>
      </c>
      <c r="G189" s="18">
        <f t="shared" ref="G189:G192" si="60">E189/F189</f>
        <v>4.8202900000000014E-3</v>
      </c>
      <c r="H189" s="14" t="str">
        <f t="shared" ref="H189:H192" si="61">IF(G189&lt;0.007,"OK","ERROR")</f>
        <v>OK</v>
      </c>
    </row>
    <row r="190" spans="2:8" x14ac:dyDescent="0.25">
      <c r="B190" s="30"/>
      <c r="C190" s="13" t="s">
        <v>124</v>
      </c>
      <c r="D190" s="19">
        <v>11.698502</v>
      </c>
      <c r="E190" s="19">
        <f t="shared" si="59"/>
        <v>1.4943179999999998</v>
      </c>
      <c r="F190" s="13">
        <v>300</v>
      </c>
      <c r="G190" s="18">
        <f t="shared" si="60"/>
        <v>4.981059999999999E-3</v>
      </c>
      <c r="H190" s="14" t="str">
        <f t="shared" si="61"/>
        <v>OK</v>
      </c>
    </row>
    <row r="191" spans="2:8" x14ac:dyDescent="0.25">
      <c r="B191" s="30"/>
      <c r="C191" s="13" t="s">
        <v>125</v>
      </c>
      <c r="D191" s="19">
        <v>10.204184</v>
      </c>
      <c r="E191" s="19">
        <f t="shared" si="59"/>
        <v>1.5235419999999991</v>
      </c>
      <c r="F191" s="13">
        <v>300</v>
      </c>
      <c r="G191" s="18">
        <f t="shared" si="60"/>
        <v>5.0784733333333306E-3</v>
      </c>
      <c r="H191" s="14" t="str">
        <f t="shared" si="61"/>
        <v>OK</v>
      </c>
    </row>
    <row r="192" spans="2:8" x14ac:dyDescent="0.25">
      <c r="B192" s="30"/>
      <c r="C192" s="13" t="s">
        <v>126</v>
      </c>
      <c r="D192" s="19">
        <v>8.6806420000000006</v>
      </c>
      <c r="E192" s="19">
        <f t="shared" si="59"/>
        <v>1.5221400000000003</v>
      </c>
      <c r="F192" s="13">
        <v>300</v>
      </c>
      <c r="G192" s="18">
        <f t="shared" si="60"/>
        <v>5.0738000000000007E-3</v>
      </c>
      <c r="H192" s="14" t="str">
        <f t="shared" si="61"/>
        <v>OK</v>
      </c>
    </row>
    <row r="193" spans="2:8" x14ac:dyDescent="0.25">
      <c r="B193" s="30"/>
      <c r="C193" s="13" t="s">
        <v>107</v>
      </c>
      <c r="D193" s="19">
        <v>7.1585020000000004</v>
      </c>
      <c r="E193" s="19">
        <f t="shared" si="59"/>
        <v>1.4646150000000002</v>
      </c>
      <c r="F193" s="13">
        <v>300</v>
      </c>
      <c r="G193" s="18">
        <f>E193/F193</f>
        <v>4.8820500000000006E-3</v>
      </c>
      <c r="H193" s="14" t="str">
        <f>IF(G193&lt;0.007,"OK","ERROR")</f>
        <v>OK</v>
      </c>
    </row>
    <row r="194" spans="2:8" x14ac:dyDescent="0.25">
      <c r="B194" s="30"/>
      <c r="C194" s="13" t="s">
        <v>108</v>
      </c>
      <c r="D194" s="19">
        <v>5.6938870000000001</v>
      </c>
      <c r="E194" s="19">
        <f t="shared" si="59"/>
        <v>1.4299270000000002</v>
      </c>
      <c r="F194" s="13">
        <v>300</v>
      </c>
      <c r="G194" s="18">
        <f t="shared" ref="G194:G200" si="62">E194/F194</f>
        <v>4.7664233333333337E-3</v>
      </c>
      <c r="H194" s="14" t="str">
        <f t="shared" ref="H194:H200" si="63">IF(G194&lt;0.007,"OK","ERROR")</f>
        <v>OK</v>
      </c>
    </row>
    <row r="195" spans="2:8" x14ac:dyDescent="0.25">
      <c r="B195" s="30"/>
      <c r="C195" s="13" t="s">
        <v>109</v>
      </c>
      <c r="D195" s="19">
        <v>4.26396</v>
      </c>
      <c r="E195" s="19">
        <f t="shared" si="59"/>
        <v>1.3493900000000001</v>
      </c>
      <c r="F195" s="13">
        <v>300</v>
      </c>
      <c r="G195" s="18">
        <f t="shared" si="62"/>
        <v>4.4979666666666671E-3</v>
      </c>
      <c r="H195" s="14" t="str">
        <f t="shared" si="63"/>
        <v>OK</v>
      </c>
    </row>
    <row r="196" spans="2:8" x14ac:dyDescent="0.25">
      <c r="B196" s="30"/>
      <c r="C196" s="13" t="s">
        <v>110</v>
      </c>
      <c r="D196" s="19">
        <v>2.9145699999999999</v>
      </c>
      <c r="E196" s="19">
        <f t="shared" si="59"/>
        <v>1.2102449999999998</v>
      </c>
      <c r="F196" s="13">
        <v>300</v>
      </c>
      <c r="G196" s="18">
        <f t="shared" si="62"/>
        <v>4.0341499999999994E-3</v>
      </c>
      <c r="H196" s="14" t="str">
        <f t="shared" si="63"/>
        <v>OK</v>
      </c>
    </row>
    <row r="197" spans="2:8" x14ac:dyDescent="0.25">
      <c r="B197" s="30"/>
      <c r="C197" s="13" t="s">
        <v>111</v>
      </c>
      <c r="D197" s="19">
        <v>1.7043250000000001</v>
      </c>
      <c r="E197" s="19">
        <f t="shared" si="59"/>
        <v>0.9936370000000001</v>
      </c>
      <c r="F197" s="13">
        <v>300</v>
      </c>
      <c r="G197" s="18">
        <f t="shared" si="62"/>
        <v>3.3121233333333337E-3</v>
      </c>
      <c r="H197" s="14" t="str">
        <f t="shared" si="63"/>
        <v>OK</v>
      </c>
    </row>
    <row r="198" spans="2:8" x14ac:dyDescent="0.25">
      <c r="B198" s="30"/>
      <c r="C198" s="13" t="s">
        <v>112</v>
      </c>
      <c r="D198" s="19">
        <v>0.71068799999999999</v>
      </c>
      <c r="E198" s="19">
        <f t="shared" si="59"/>
        <v>0.65908500000000003</v>
      </c>
      <c r="F198" s="13">
        <v>300</v>
      </c>
      <c r="G198" s="18">
        <f t="shared" si="62"/>
        <v>2.19695E-3</v>
      </c>
      <c r="H198" s="14" t="str">
        <f t="shared" si="63"/>
        <v>OK</v>
      </c>
    </row>
    <row r="199" spans="2:8" x14ac:dyDescent="0.25">
      <c r="B199" s="30"/>
      <c r="C199" s="13" t="s">
        <v>113</v>
      </c>
      <c r="D199" s="19">
        <v>5.1603000000000003E-2</v>
      </c>
      <c r="E199" s="19">
        <f t="shared" si="59"/>
        <v>5.1603000000000003E-2</v>
      </c>
      <c r="F199" s="13">
        <v>280</v>
      </c>
      <c r="G199" s="18">
        <f t="shared" si="62"/>
        <v>1.8429642857142859E-4</v>
      </c>
      <c r="H199" s="14" t="str">
        <f t="shared" si="63"/>
        <v>OK</v>
      </c>
    </row>
    <row r="200" spans="2:8" x14ac:dyDescent="0.25">
      <c r="B200" s="30"/>
      <c r="C200" s="13" t="s">
        <v>114</v>
      </c>
      <c r="D200" s="19">
        <v>0</v>
      </c>
      <c r="E200" s="19">
        <f>D200-D201</f>
        <v>0</v>
      </c>
      <c r="F200" s="13">
        <v>280</v>
      </c>
      <c r="G200" s="18">
        <f t="shared" si="62"/>
        <v>0</v>
      </c>
      <c r="H200" s="14" t="str">
        <f t="shared" si="63"/>
        <v>OK</v>
      </c>
    </row>
    <row r="201" spans="2:8" x14ac:dyDescent="0.25">
      <c r="B201" s="30"/>
      <c r="C201" s="13" t="s">
        <v>118</v>
      </c>
      <c r="D201" s="19">
        <v>0</v>
      </c>
      <c r="E201" s="11"/>
      <c r="F201" s="11"/>
      <c r="G201" s="11"/>
    </row>
    <row r="202" spans="2:8" x14ac:dyDescent="0.25">
      <c r="B202" s="30" t="s">
        <v>132</v>
      </c>
      <c r="C202" s="13" t="s">
        <v>107</v>
      </c>
      <c r="D202" s="19">
        <v>7.1585020000000004</v>
      </c>
      <c r="E202" s="19">
        <f t="shared" ref="E202:E208" si="64">D202-D203</f>
        <v>1.4646150000000002</v>
      </c>
      <c r="F202" s="13">
        <v>300</v>
      </c>
      <c r="G202" s="18">
        <f>E202/F202</f>
        <v>4.8820500000000006E-3</v>
      </c>
      <c r="H202" s="14" t="str">
        <f>IF(G202&lt;0.007,"OK","ERROR")</f>
        <v>OK</v>
      </c>
    </row>
    <row r="203" spans="2:8" x14ac:dyDescent="0.25">
      <c r="B203" s="30"/>
      <c r="C203" s="13" t="s">
        <v>108</v>
      </c>
      <c r="D203" s="19">
        <v>5.6938870000000001</v>
      </c>
      <c r="E203" s="19">
        <f t="shared" si="64"/>
        <v>1.4299270000000002</v>
      </c>
      <c r="F203" s="13">
        <v>300</v>
      </c>
      <c r="G203" s="18">
        <f t="shared" ref="G203:G209" si="65">E203/F203</f>
        <v>4.7664233333333337E-3</v>
      </c>
      <c r="H203" s="14" t="str">
        <f t="shared" ref="H203:H209" si="66">IF(G203&lt;0.007,"OK","ERROR")</f>
        <v>OK</v>
      </c>
    </row>
    <row r="204" spans="2:8" x14ac:dyDescent="0.25">
      <c r="B204" s="30"/>
      <c r="C204" s="13" t="s">
        <v>109</v>
      </c>
      <c r="D204" s="19">
        <v>4.26396</v>
      </c>
      <c r="E204" s="19">
        <f t="shared" si="64"/>
        <v>1.3493900000000001</v>
      </c>
      <c r="F204" s="13">
        <v>300</v>
      </c>
      <c r="G204" s="18">
        <f t="shared" si="65"/>
        <v>4.4979666666666671E-3</v>
      </c>
      <c r="H204" s="14" t="str">
        <f t="shared" si="66"/>
        <v>OK</v>
      </c>
    </row>
    <row r="205" spans="2:8" x14ac:dyDescent="0.25">
      <c r="B205" s="30"/>
      <c r="C205" s="13" t="s">
        <v>110</v>
      </c>
      <c r="D205" s="19">
        <v>2.9145699999999999</v>
      </c>
      <c r="E205" s="19">
        <f t="shared" si="64"/>
        <v>1.2102449999999998</v>
      </c>
      <c r="F205" s="13">
        <v>300</v>
      </c>
      <c r="G205" s="18">
        <f t="shared" si="65"/>
        <v>4.0341499999999994E-3</v>
      </c>
      <c r="H205" s="14" t="str">
        <f t="shared" si="66"/>
        <v>OK</v>
      </c>
    </row>
    <row r="206" spans="2:8" x14ac:dyDescent="0.25">
      <c r="B206" s="30"/>
      <c r="C206" s="13" t="s">
        <v>111</v>
      </c>
      <c r="D206" s="19">
        <v>1.7043250000000001</v>
      </c>
      <c r="E206" s="19">
        <f t="shared" si="64"/>
        <v>0.9936370000000001</v>
      </c>
      <c r="F206" s="13">
        <v>300</v>
      </c>
      <c r="G206" s="18">
        <f t="shared" si="65"/>
        <v>3.3121233333333337E-3</v>
      </c>
      <c r="H206" s="14" t="str">
        <f t="shared" si="66"/>
        <v>OK</v>
      </c>
    </row>
    <row r="207" spans="2:8" x14ac:dyDescent="0.25">
      <c r="B207" s="30"/>
      <c r="C207" s="13" t="s">
        <v>112</v>
      </c>
      <c r="D207" s="19">
        <v>0.71068799999999999</v>
      </c>
      <c r="E207" s="19">
        <f t="shared" si="64"/>
        <v>0.65908500000000003</v>
      </c>
      <c r="F207" s="13">
        <v>300</v>
      </c>
      <c r="G207" s="18">
        <f t="shared" si="65"/>
        <v>2.19695E-3</v>
      </c>
      <c r="H207" s="14" t="str">
        <f t="shared" si="66"/>
        <v>OK</v>
      </c>
    </row>
    <row r="208" spans="2:8" x14ac:dyDescent="0.25">
      <c r="B208" s="30"/>
      <c r="C208" s="13" t="s">
        <v>113</v>
      </c>
      <c r="D208" s="19">
        <v>5.1603000000000003E-2</v>
      </c>
      <c r="E208" s="19">
        <f t="shared" si="64"/>
        <v>5.1603000000000003E-2</v>
      </c>
      <c r="F208" s="13">
        <v>280</v>
      </c>
      <c r="G208" s="18">
        <f t="shared" si="65"/>
        <v>1.8429642857142859E-4</v>
      </c>
      <c r="H208" s="14" t="str">
        <f t="shared" si="66"/>
        <v>OK</v>
      </c>
    </row>
    <row r="209" spans="2:8" x14ac:dyDescent="0.25">
      <c r="B209" s="30"/>
      <c r="C209" s="13" t="s">
        <v>114</v>
      </c>
      <c r="D209" s="19">
        <v>0</v>
      </c>
      <c r="E209" s="19">
        <f>D209-D210</f>
        <v>0</v>
      </c>
      <c r="F209" s="13">
        <v>280</v>
      </c>
      <c r="G209" s="18">
        <f t="shared" si="65"/>
        <v>0</v>
      </c>
      <c r="H209" s="14" t="str">
        <f t="shared" si="66"/>
        <v>OK</v>
      </c>
    </row>
    <row r="210" spans="2:8" x14ac:dyDescent="0.25">
      <c r="B210" s="30"/>
      <c r="C210" s="13" t="s">
        <v>118</v>
      </c>
      <c r="D210" s="19">
        <v>0</v>
      </c>
      <c r="E210" s="11"/>
      <c r="F210" s="11"/>
      <c r="G210" s="11"/>
    </row>
    <row r="211" spans="2:8" x14ac:dyDescent="0.25">
      <c r="B211" s="30" t="s">
        <v>133</v>
      </c>
      <c r="C211" s="13" t="s">
        <v>107</v>
      </c>
      <c r="D211" s="19">
        <v>6.7837370000000004</v>
      </c>
      <c r="E211" s="19">
        <f t="shared" ref="E211:E217" si="67">D211-D212</f>
        <v>1.3909790000000006</v>
      </c>
      <c r="F211" s="13">
        <v>300</v>
      </c>
      <c r="G211" s="18">
        <f>E211/F211</f>
        <v>4.6365966666666687E-3</v>
      </c>
      <c r="H211" s="14" t="str">
        <f>IF(G211&lt;0.007,"OK","ERROR")</f>
        <v>OK</v>
      </c>
    </row>
    <row r="212" spans="2:8" x14ac:dyDescent="0.25">
      <c r="B212" s="30"/>
      <c r="C212" s="13" t="s">
        <v>108</v>
      </c>
      <c r="D212" s="19">
        <v>5.3927579999999997</v>
      </c>
      <c r="E212" s="19">
        <f t="shared" si="67"/>
        <v>1.3566529999999997</v>
      </c>
      <c r="F212" s="13">
        <v>300</v>
      </c>
      <c r="G212" s="18">
        <f t="shared" ref="G212:G218" si="68">E212/F212</f>
        <v>4.5221766666666656E-3</v>
      </c>
      <c r="H212" s="14" t="str">
        <f t="shared" ref="H212:H218" si="69">IF(G212&lt;0.007,"OK","ERROR")</f>
        <v>OK</v>
      </c>
    </row>
    <row r="213" spans="2:8" x14ac:dyDescent="0.25">
      <c r="B213" s="30"/>
      <c r="C213" s="13" t="s">
        <v>109</v>
      </c>
      <c r="D213" s="19">
        <v>4.0361050000000001</v>
      </c>
      <c r="E213" s="19">
        <f t="shared" si="67"/>
        <v>1.278769</v>
      </c>
      <c r="F213" s="13">
        <v>300</v>
      </c>
      <c r="G213" s="18">
        <f t="shared" si="68"/>
        <v>4.2625633333333336E-3</v>
      </c>
      <c r="H213" s="14" t="str">
        <f t="shared" si="69"/>
        <v>OK</v>
      </c>
    </row>
    <row r="214" spans="2:8" x14ac:dyDescent="0.25">
      <c r="B214" s="30"/>
      <c r="C214" s="13" t="s">
        <v>110</v>
      </c>
      <c r="D214" s="19">
        <v>2.757336</v>
      </c>
      <c r="E214" s="19">
        <f t="shared" si="67"/>
        <v>1.145384</v>
      </c>
      <c r="F214" s="13">
        <v>300</v>
      </c>
      <c r="G214" s="18">
        <f t="shared" si="68"/>
        <v>3.8179466666666663E-3</v>
      </c>
      <c r="H214" s="14" t="str">
        <f t="shared" si="69"/>
        <v>OK</v>
      </c>
    </row>
    <row r="215" spans="2:8" x14ac:dyDescent="0.25">
      <c r="B215" s="30"/>
      <c r="C215" s="13" t="s">
        <v>111</v>
      </c>
      <c r="D215" s="19">
        <v>1.6119520000000001</v>
      </c>
      <c r="E215" s="19">
        <f t="shared" si="67"/>
        <v>0.93905800000000006</v>
      </c>
      <c r="F215" s="13">
        <v>300</v>
      </c>
      <c r="G215" s="18">
        <f t="shared" si="68"/>
        <v>3.1301933333333335E-3</v>
      </c>
      <c r="H215" s="14" t="str">
        <f t="shared" si="69"/>
        <v>OK</v>
      </c>
    </row>
    <row r="216" spans="2:8" x14ac:dyDescent="0.25">
      <c r="B216" s="30"/>
      <c r="C216" s="13" t="s">
        <v>112</v>
      </c>
      <c r="D216" s="19">
        <v>0.67289399999999999</v>
      </c>
      <c r="E216" s="19">
        <f t="shared" si="67"/>
        <v>0.62248899999999996</v>
      </c>
      <c r="F216" s="13">
        <v>300</v>
      </c>
      <c r="G216" s="18">
        <f t="shared" si="68"/>
        <v>2.0749633333333331E-3</v>
      </c>
      <c r="H216" s="14" t="str">
        <f t="shared" si="69"/>
        <v>OK</v>
      </c>
    </row>
    <row r="217" spans="2:8" x14ac:dyDescent="0.25">
      <c r="B217" s="30"/>
      <c r="C217" s="13" t="s">
        <v>113</v>
      </c>
      <c r="D217" s="19">
        <v>5.0404999999999998E-2</v>
      </c>
      <c r="E217" s="19">
        <f t="shared" si="67"/>
        <v>5.0404999999999998E-2</v>
      </c>
      <c r="F217" s="13">
        <v>280</v>
      </c>
      <c r="G217" s="18">
        <f t="shared" si="68"/>
        <v>1.8001785714285713E-4</v>
      </c>
      <c r="H217" s="14" t="str">
        <f t="shared" si="69"/>
        <v>OK</v>
      </c>
    </row>
    <row r="218" spans="2:8" x14ac:dyDescent="0.25">
      <c r="B218" s="30"/>
      <c r="C218" s="13" t="s">
        <v>114</v>
      </c>
      <c r="D218" s="19">
        <v>0</v>
      </c>
      <c r="E218" s="19">
        <f>D218-D219</f>
        <v>0</v>
      </c>
      <c r="F218" s="13">
        <v>280</v>
      </c>
      <c r="G218" s="18">
        <f t="shared" si="68"/>
        <v>0</v>
      </c>
      <c r="H218" s="14" t="str">
        <f t="shared" si="69"/>
        <v>OK</v>
      </c>
    </row>
    <row r="219" spans="2:8" x14ac:dyDescent="0.25">
      <c r="B219" s="30"/>
      <c r="C219" s="13" t="s">
        <v>118</v>
      </c>
      <c r="D219" s="19">
        <v>0</v>
      </c>
      <c r="E219" s="11"/>
      <c r="F219" s="11"/>
      <c r="G219" s="11"/>
    </row>
    <row r="220" spans="2:8" x14ac:dyDescent="0.25">
      <c r="B220" s="30" t="s">
        <v>134</v>
      </c>
      <c r="C220" s="13" t="s">
        <v>107</v>
      </c>
      <c r="D220" s="19">
        <v>6.7830009999999996</v>
      </c>
      <c r="E220" s="19">
        <f t="shared" ref="E220:E226" si="70">D220-D221</f>
        <v>1.3908049999999994</v>
      </c>
      <c r="F220" s="13">
        <v>300</v>
      </c>
      <c r="G220" s="18">
        <f>E220/F220</f>
        <v>4.6360166666666643E-3</v>
      </c>
      <c r="H220" s="14" t="str">
        <f>IF(G220&lt;0.007,"OK","ERROR")</f>
        <v>OK</v>
      </c>
    </row>
    <row r="221" spans="2:8" x14ac:dyDescent="0.25">
      <c r="B221" s="30"/>
      <c r="C221" s="13" t="s">
        <v>108</v>
      </c>
      <c r="D221" s="19">
        <v>5.3921960000000002</v>
      </c>
      <c r="E221" s="19">
        <f t="shared" si="70"/>
        <v>1.3564959999999999</v>
      </c>
      <c r="F221" s="13">
        <v>300</v>
      </c>
      <c r="G221" s="18">
        <f t="shared" ref="G221:G227" si="71">E221/F221</f>
        <v>4.5216533333333328E-3</v>
      </c>
      <c r="H221" s="14" t="str">
        <f t="shared" ref="H221:H227" si="72">IF(G221&lt;0.007,"OK","ERROR")</f>
        <v>OK</v>
      </c>
    </row>
    <row r="222" spans="2:8" x14ac:dyDescent="0.25">
      <c r="B222" s="30"/>
      <c r="C222" s="13" t="s">
        <v>109</v>
      </c>
      <c r="D222" s="19">
        <v>4.0357000000000003</v>
      </c>
      <c r="E222" s="19">
        <f t="shared" si="70"/>
        <v>1.2786340000000003</v>
      </c>
      <c r="F222" s="13">
        <v>300</v>
      </c>
      <c r="G222" s="18">
        <f t="shared" si="71"/>
        <v>4.2621133333333346E-3</v>
      </c>
      <c r="H222" s="14" t="str">
        <f t="shared" si="72"/>
        <v>OK</v>
      </c>
    </row>
    <row r="223" spans="2:8" x14ac:dyDescent="0.25">
      <c r="B223" s="30"/>
      <c r="C223" s="13" t="s">
        <v>110</v>
      </c>
      <c r="D223" s="19">
        <v>2.757066</v>
      </c>
      <c r="E223" s="19">
        <f t="shared" si="70"/>
        <v>1.14527</v>
      </c>
      <c r="F223" s="13">
        <v>300</v>
      </c>
      <c r="G223" s="18">
        <f t="shared" si="71"/>
        <v>3.8175666666666669E-3</v>
      </c>
      <c r="H223" s="14" t="str">
        <f t="shared" si="72"/>
        <v>OK</v>
      </c>
    </row>
    <row r="224" spans="2:8" x14ac:dyDescent="0.25">
      <c r="B224" s="30"/>
      <c r="C224" s="13" t="s">
        <v>111</v>
      </c>
      <c r="D224" s="19">
        <v>1.611796</v>
      </c>
      <c r="E224" s="19">
        <f t="shared" si="70"/>
        <v>0.93896500000000005</v>
      </c>
      <c r="F224" s="13">
        <v>300</v>
      </c>
      <c r="G224" s="18">
        <f t="shared" si="71"/>
        <v>3.1298833333333336E-3</v>
      </c>
      <c r="H224" s="14" t="str">
        <f t="shared" si="72"/>
        <v>OK</v>
      </c>
    </row>
    <row r="225" spans="1:8" x14ac:dyDescent="0.25">
      <c r="B225" s="30"/>
      <c r="C225" s="13" t="s">
        <v>112</v>
      </c>
      <c r="D225" s="19">
        <v>0.67283099999999996</v>
      </c>
      <c r="E225" s="19">
        <f t="shared" si="70"/>
        <v>0.62242799999999998</v>
      </c>
      <c r="F225" s="13">
        <v>300</v>
      </c>
      <c r="G225" s="18">
        <f t="shared" si="71"/>
        <v>2.0747600000000001E-3</v>
      </c>
      <c r="H225" s="14" t="str">
        <f t="shared" si="72"/>
        <v>OK</v>
      </c>
    </row>
    <row r="226" spans="1:8" x14ac:dyDescent="0.25">
      <c r="B226" s="30"/>
      <c r="C226" s="13" t="s">
        <v>113</v>
      </c>
      <c r="D226" s="19">
        <v>5.0403000000000003E-2</v>
      </c>
      <c r="E226" s="19">
        <f t="shared" si="70"/>
        <v>5.0403000000000003E-2</v>
      </c>
      <c r="F226" s="13">
        <v>280</v>
      </c>
      <c r="G226" s="18">
        <f t="shared" si="71"/>
        <v>1.800107142857143E-4</v>
      </c>
      <c r="H226" s="14" t="str">
        <f t="shared" si="72"/>
        <v>OK</v>
      </c>
    </row>
    <row r="227" spans="1:8" x14ac:dyDescent="0.25">
      <c r="B227" s="30"/>
      <c r="C227" s="13" t="s">
        <v>114</v>
      </c>
      <c r="D227" s="19">
        <v>0</v>
      </c>
      <c r="E227" s="19">
        <f>D227-D228</f>
        <v>0</v>
      </c>
      <c r="F227" s="13">
        <v>280</v>
      </c>
      <c r="G227" s="18">
        <f t="shared" si="71"/>
        <v>0</v>
      </c>
      <c r="H227" s="14" t="str">
        <f t="shared" si="72"/>
        <v>OK</v>
      </c>
    </row>
    <row r="228" spans="1:8" x14ac:dyDescent="0.25">
      <c r="B228" s="30"/>
      <c r="C228" s="13" t="s">
        <v>118</v>
      </c>
      <c r="D228" s="19">
        <v>0</v>
      </c>
      <c r="E228" s="11"/>
      <c r="F228" s="11"/>
      <c r="G228" s="11"/>
    </row>
    <row r="231" spans="1:8" x14ac:dyDescent="0.25">
      <c r="A231" s="6">
        <v>3</v>
      </c>
      <c r="B231" s="15" t="s">
        <v>135</v>
      </c>
    </row>
    <row r="233" spans="1:8" x14ac:dyDescent="0.25">
      <c r="A233" s="6">
        <v>3.1</v>
      </c>
      <c r="B233" s="6" t="s">
        <v>136</v>
      </c>
      <c r="F233" s="34" t="s">
        <v>10</v>
      </c>
      <c r="G233" s="29">
        <v>0.9</v>
      </c>
    </row>
    <row r="245" spans="2:13" x14ac:dyDescent="0.25">
      <c r="B245" s="24" t="s">
        <v>137</v>
      </c>
      <c r="C245" s="25"/>
      <c r="D245" s="23"/>
      <c r="E245" s="25"/>
      <c r="F245" s="25"/>
      <c r="G245" s="23"/>
      <c r="H245" s="23"/>
      <c r="I245" s="23"/>
      <c r="J245" s="23"/>
    </row>
    <row r="246" spans="2:13" x14ac:dyDescent="0.25">
      <c r="B246" s="22" t="s">
        <v>138</v>
      </c>
      <c r="C246" s="22" t="s">
        <v>139</v>
      </c>
      <c r="D246" s="26" t="s">
        <v>140</v>
      </c>
      <c r="E246" s="7" t="s">
        <v>141</v>
      </c>
      <c r="F246" s="22" t="s">
        <v>142</v>
      </c>
      <c r="G246" s="26" t="s">
        <v>4</v>
      </c>
      <c r="H246" s="26" t="s">
        <v>143</v>
      </c>
      <c r="I246" s="8" t="s">
        <v>144</v>
      </c>
      <c r="J246" s="8" t="s">
        <v>145</v>
      </c>
    </row>
    <row r="247" spans="2:13" x14ac:dyDescent="0.25">
      <c r="B247" s="27" t="s">
        <v>101</v>
      </c>
      <c r="C247" s="27" t="s">
        <v>101</v>
      </c>
      <c r="D247" s="28" t="s">
        <v>146</v>
      </c>
      <c r="E247" s="9" t="s">
        <v>147</v>
      </c>
      <c r="F247" s="27" t="s">
        <v>147</v>
      </c>
      <c r="G247" s="28" t="s">
        <v>146</v>
      </c>
      <c r="H247" s="28" t="s">
        <v>146</v>
      </c>
      <c r="I247" s="10" t="s">
        <v>148</v>
      </c>
      <c r="J247" s="10" t="s">
        <v>148</v>
      </c>
    </row>
    <row r="248" spans="2:13" x14ac:dyDescent="0.25">
      <c r="B248" s="12" t="s">
        <v>149</v>
      </c>
      <c r="C248" s="12" t="s">
        <v>150</v>
      </c>
      <c r="D248" s="13">
        <v>0.05</v>
      </c>
      <c r="E248" s="12" t="s">
        <v>151</v>
      </c>
      <c r="F248" s="12" t="s">
        <v>151</v>
      </c>
      <c r="G248" s="13">
        <v>0.13089999999999999</v>
      </c>
      <c r="H248" s="13">
        <v>1.0683</v>
      </c>
      <c r="I248" s="13">
        <v>8617.4367000000002</v>
      </c>
      <c r="J248" s="13">
        <v>1128.0225</v>
      </c>
    </row>
    <row r="249" spans="2:13" x14ac:dyDescent="0.25">
      <c r="B249" s="12" t="s">
        <v>152</v>
      </c>
      <c r="C249" s="12" t="s">
        <v>153</v>
      </c>
      <c r="D249" s="13">
        <v>0.05</v>
      </c>
      <c r="E249" s="12" t="s">
        <v>151</v>
      </c>
      <c r="F249" s="12" t="s">
        <v>151</v>
      </c>
      <c r="G249" s="13">
        <v>0.13089999999999999</v>
      </c>
      <c r="H249" s="13">
        <v>1.0683</v>
      </c>
      <c r="I249" s="13">
        <v>8617.4367000000002</v>
      </c>
      <c r="J249" s="13">
        <v>1128.0225</v>
      </c>
    </row>
    <row r="250" spans="2:13" x14ac:dyDescent="0.25">
      <c r="L250" s="16" t="s">
        <v>12</v>
      </c>
      <c r="M250" s="35">
        <f>'Espectro Diseño'!C17</f>
        <v>1.0683333333333334</v>
      </c>
    </row>
    <row r="251" spans="2:13" ht="18" x14ac:dyDescent="0.3">
      <c r="B251" s="16" t="s">
        <v>168</v>
      </c>
      <c r="C251" s="16" t="s">
        <v>171</v>
      </c>
      <c r="D251" s="16" t="s">
        <v>172</v>
      </c>
      <c r="E251" s="16" t="s">
        <v>169</v>
      </c>
      <c r="F251" s="21" t="s">
        <v>170</v>
      </c>
      <c r="G251" s="16" t="s">
        <v>173</v>
      </c>
      <c r="H251" s="37" t="s">
        <v>174</v>
      </c>
    </row>
    <row r="252" spans="2:13" x14ac:dyDescent="0.25">
      <c r="B252" s="13" t="s">
        <v>123</v>
      </c>
      <c r="C252" s="13">
        <v>35.6</v>
      </c>
      <c r="D252" s="19">
        <f>PESO!C77</f>
        <v>427.14758016600007</v>
      </c>
      <c r="E252" s="19">
        <f>D252*(C252^$M$250)</f>
        <v>19410.811771545483</v>
      </c>
      <c r="F252" s="36">
        <f>E252/$E$264</f>
        <v>0.10647820323783101</v>
      </c>
      <c r="G252" s="19">
        <f>F252*$J$248</f>
        <v>120.10980901184624</v>
      </c>
      <c r="H252" s="19">
        <f>G252</f>
        <v>120.10980901184624</v>
      </c>
    </row>
    <row r="253" spans="2:13" x14ac:dyDescent="0.25">
      <c r="B253" s="13" t="s">
        <v>124</v>
      </c>
      <c r="C253" s="13">
        <v>32.6</v>
      </c>
      <c r="D253" s="19">
        <f>PESO!C54</f>
        <v>522.80755216600005</v>
      </c>
      <c r="E253" s="19">
        <f t="shared" ref="E253:E263" si="73">D253*(C253^$M$250)</f>
        <v>21625.325607247745</v>
      </c>
      <c r="F253" s="36">
        <f t="shared" ref="F253:F263" si="74">E253/$E$264</f>
        <v>0.11862594116070099</v>
      </c>
      <c r="G253" s="19">
        <f t="shared" ref="G253:G263" si="75">F253*$J$248</f>
        <v>133.81273071294683</v>
      </c>
      <c r="H253" s="19">
        <f>H252+G253</f>
        <v>253.92253972479307</v>
      </c>
    </row>
    <row r="254" spans="2:13" x14ac:dyDescent="0.25">
      <c r="B254" s="13" t="s">
        <v>125</v>
      </c>
      <c r="C254" s="13">
        <v>29.6</v>
      </c>
      <c r="D254" s="19">
        <f>PESO!C54</f>
        <v>522.80755216600005</v>
      </c>
      <c r="E254" s="19">
        <f t="shared" si="73"/>
        <v>19506.162168618368</v>
      </c>
      <c r="F254" s="36">
        <f t="shared" si="74"/>
        <v>0.10700124880016125</v>
      </c>
      <c r="G254" s="19">
        <f t="shared" si="75"/>
        <v>120.6998161746799</v>
      </c>
      <c r="H254" s="19">
        <f t="shared" ref="H254:H263" si="76">H253+G254</f>
        <v>374.62235589947295</v>
      </c>
    </row>
    <row r="255" spans="2:13" x14ac:dyDescent="0.25">
      <c r="B255" s="13" t="s">
        <v>126</v>
      </c>
      <c r="C255" s="13">
        <v>26.6</v>
      </c>
      <c r="D255" s="19">
        <f>PESO!C54</f>
        <v>522.80755216600005</v>
      </c>
      <c r="E255" s="19">
        <f t="shared" si="73"/>
        <v>17401.648860156922</v>
      </c>
      <c r="F255" s="36">
        <f t="shared" si="74"/>
        <v>9.5456919876032151E-2</v>
      </c>
      <c r="G255" s="19">
        <f t="shared" si="75"/>
        <v>107.67755340086148</v>
      </c>
      <c r="H255" s="19">
        <f t="shared" si="76"/>
        <v>482.29990930033443</v>
      </c>
    </row>
    <row r="256" spans="2:13" x14ac:dyDescent="0.25">
      <c r="B256" s="13" t="s">
        <v>107</v>
      </c>
      <c r="C256" s="13">
        <v>23.6</v>
      </c>
      <c r="D256" s="19">
        <f>PESO!C28</f>
        <v>817.22403416600002</v>
      </c>
      <c r="E256" s="19">
        <f t="shared" si="73"/>
        <v>23936.948589903473</v>
      </c>
      <c r="F256" s="36">
        <f t="shared" si="74"/>
        <v>0.13130637228606348</v>
      </c>
      <c r="G256" s="19">
        <f t="shared" si="75"/>
        <v>148.11654233205604</v>
      </c>
      <c r="H256" s="19">
        <f t="shared" si="76"/>
        <v>630.41645163239048</v>
      </c>
    </row>
    <row r="257" spans="2:10" x14ac:dyDescent="0.25">
      <c r="B257" s="13" t="s">
        <v>108</v>
      </c>
      <c r="C257" s="13">
        <v>20.6</v>
      </c>
      <c r="D257" s="19">
        <f>PESO!C28</f>
        <v>817.22403416600002</v>
      </c>
      <c r="E257" s="19">
        <f t="shared" si="73"/>
        <v>20700.902393733835</v>
      </c>
      <c r="F257" s="36">
        <f t="shared" si="74"/>
        <v>0.1135550083236419</v>
      </c>
      <c r="G257" s="19">
        <f t="shared" si="75"/>
        <v>128.09260437675536</v>
      </c>
      <c r="H257" s="19">
        <f t="shared" si="76"/>
        <v>758.50905600914587</v>
      </c>
    </row>
    <row r="258" spans="2:10" x14ac:dyDescent="0.25">
      <c r="B258" s="13" t="s">
        <v>109</v>
      </c>
      <c r="C258" s="13">
        <v>17.600000000000001</v>
      </c>
      <c r="D258" s="19">
        <f>PESO!C28</f>
        <v>817.22403416600002</v>
      </c>
      <c r="E258" s="19">
        <f t="shared" si="73"/>
        <v>17497.009622204776</v>
      </c>
      <c r="F258" s="36">
        <f t="shared" si="74"/>
        <v>9.5980022295536857E-2</v>
      </c>
      <c r="G258" s="19">
        <f t="shared" si="75"/>
        <v>108.26762469986723</v>
      </c>
      <c r="H258" s="19">
        <f t="shared" si="76"/>
        <v>866.77668070901314</v>
      </c>
    </row>
    <row r="259" spans="2:10" x14ac:dyDescent="0.25">
      <c r="B259" s="13" t="s">
        <v>110</v>
      </c>
      <c r="C259" s="13">
        <v>14.6</v>
      </c>
      <c r="D259" s="19">
        <f>PESO!C28</f>
        <v>817.22403416600002</v>
      </c>
      <c r="E259" s="19">
        <f t="shared" si="73"/>
        <v>14330.392913677768</v>
      </c>
      <c r="F259" s="36">
        <f t="shared" si="74"/>
        <v>7.8609514486011889E-2</v>
      </c>
      <c r="G259" s="19">
        <f t="shared" si="75"/>
        <v>88.673301054297355</v>
      </c>
      <c r="H259" s="19">
        <f t="shared" si="76"/>
        <v>955.44998176331046</v>
      </c>
    </row>
    <row r="260" spans="2:10" x14ac:dyDescent="0.25">
      <c r="B260" s="13" t="s">
        <v>111</v>
      </c>
      <c r="C260" s="13">
        <v>11.6</v>
      </c>
      <c r="D260" s="19">
        <f>PESO!C2</f>
        <v>850.999034166</v>
      </c>
      <c r="E260" s="19">
        <f t="shared" si="73"/>
        <v>11671.455512889088</v>
      </c>
      <c r="F260" s="36">
        <f t="shared" si="74"/>
        <v>6.4023886626136686E-2</v>
      </c>
      <c r="G260" s="19">
        <f t="shared" si="75"/>
        <v>72.220384651731266</v>
      </c>
      <c r="H260" s="19">
        <f t="shared" si="76"/>
        <v>1027.6703664150418</v>
      </c>
    </row>
    <row r="261" spans="2:10" x14ac:dyDescent="0.25">
      <c r="B261" s="13" t="s">
        <v>112</v>
      </c>
      <c r="C261" s="13">
        <v>8.6</v>
      </c>
      <c r="D261" s="19">
        <f>PESO!C2</f>
        <v>850.999034166</v>
      </c>
      <c r="E261" s="19">
        <f t="shared" si="73"/>
        <v>8477.8340775744855</v>
      </c>
      <c r="F261" s="36">
        <f t="shared" si="74"/>
        <v>4.6505244116161588E-2</v>
      </c>
      <c r="G261" s="19">
        <f t="shared" si="75"/>
        <v>52.458961731022889</v>
      </c>
      <c r="H261" s="19">
        <f t="shared" si="76"/>
        <v>1080.1293281460646</v>
      </c>
    </row>
    <row r="262" spans="2:10" x14ac:dyDescent="0.25">
      <c r="B262" s="13" t="s">
        <v>113</v>
      </c>
      <c r="C262" s="13">
        <v>5.6</v>
      </c>
      <c r="D262" s="19">
        <f>PESO!C110</f>
        <v>843.65471650599989</v>
      </c>
      <c r="E262" s="19">
        <f t="shared" si="73"/>
        <v>5314.7023596621675</v>
      </c>
      <c r="F262" s="36">
        <f t="shared" si="74"/>
        <v>2.9153853257711103E-2</v>
      </c>
      <c r="G262" s="19">
        <f t="shared" si="75"/>
        <v>32.886202436396424</v>
      </c>
      <c r="H262" s="19">
        <f t="shared" si="76"/>
        <v>1113.015530582461</v>
      </c>
    </row>
    <row r="263" spans="2:10" x14ac:dyDescent="0.25">
      <c r="B263" s="13" t="s">
        <v>114</v>
      </c>
      <c r="C263" s="13">
        <v>2.8</v>
      </c>
      <c r="D263" s="19">
        <f>PESO!C139</f>
        <v>807.31754183399971</v>
      </c>
      <c r="E263" s="19">
        <f t="shared" si="73"/>
        <v>2425.2595272752865</v>
      </c>
      <c r="F263" s="36">
        <f t="shared" si="74"/>
        <v>1.3303785534011344E-2</v>
      </c>
      <c r="G263" s="19">
        <f t="shared" si="75"/>
        <v>15.006969417539311</v>
      </c>
      <c r="H263" s="19">
        <f t="shared" si="76"/>
        <v>1128.0225000000003</v>
      </c>
    </row>
    <row r="264" spans="2:10" x14ac:dyDescent="0.25">
      <c r="B264" s="13" t="s">
        <v>118</v>
      </c>
      <c r="C264" s="13"/>
      <c r="D264" s="13"/>
      <c r="E264" s="19">
        <f>SUM(E252:E263)</f>
        <v>182298.45340448935</v>
      </c>
      <c r="F264" s="13"/>
      <c r="G264" s="13"/>
      <c r="H264" s="13"/>
    </row>
    <row r="266" spans="2:10" x14ac:dyDescent="0.25">
      <c r="B266" s="6" t="s">
        <v>104</v>
      </c>
    </row>
    <row r="268" spans="2:10" ht="30" x14ac:dyDescent="0.25">
      <c r="B268" s="39" t="s">
        <v>168</v>
      </c>
      <c r="C268" s="39" t="s">
        <v>117</v>
      </c>
      <c r="D268" s="40" t="s">
        <v>176</v>
      </c>
      <c r="E268" s="41" t="s">
        <v>174</v>
      </c>
      <c r="F268" s="45" t="s">
        <v>175</v>
      </c>
      <c r="G268" s="46" t="s">
        <v>177</v>
      </c>
      <c r="H268" s="46"/>
      <c r="I268" s="46" t="s">
        <v>178</v>
      </c>
      <c r="J268" s="46"/>
    </row>
    <row r="269" spans="2:10" x14ac:dyDescent="0.25">
      <c r="B269" s="42" t="s">
        <v>123</v>
      </c>
      <c r="C269" s="43">
        <v>7.0800000000000002E-2</v>
      </c>
      <c r="D269" s="43">
        <f t="shared" ref="D269:D278" si="77">C269-C270</f>
        <v>7.2890000000000038E-3</v>
      </c>
      <c r="E269" s="44">
        <f>H252</f>
        <v>120.10980901184624</v>
      </c>
      <c r="F269" s="19">
        <f>E269/D269</f>
        <v>16478.228702407214</v>
      </c>
      <c r="G269" s="19">
        <f t="shared" ref="G269:G278" si="78">0.7*F269</f>
        <v>11534.76009168505</v>
      </c>
      <c r="H269" s="47" t="str">
        <f t="shared" ref="H269:H277" si="79">IF(F270&lt;G269,"IRREGULAR","REGULAR")</f>
        <v>REGULAR</v>
      </c>
      <c r="I269" s="11"/>
      <c r="J269" s="11"/>
    </row>
    <row r="270" spans="2:10" x14ac:dyDescent="0.25">
      <c r="B270" s="13" t="s">
        <v>124</v>
      </c>
      <c r="C270" s="18">
        <v>6.3510999999999998E-2</v>
      </c>
      <c r="D270" s="18">
        <f t="shared" si="77"/>
        <v>7.5589999999999963E-3</v>
      </c>
      <c r="E270" s="19">
        <f t="shared" ref="E270:E280" si="80">H253</f>
        <v>253.92253972479307</v>
      </c>
      <c r="F270" s="19">
        <f t="shared" ref="F270:F279" si="81">E270/D270</f>
        <v>33592.080926682524</v>
      </c>
      <c r="G270" s="19">
        <f t="shared" si="78"/>
        <v>23514.456648677766</v>
      </c>
      <c r="H270" s="47" t="str">
        <f t="shared" si="79"/>
        <v>REGULAR</v>
      </c>
      <c r="I270" s="11"/>
      <c r="J270" s="11"/>
    </row>
    <row r="271" spans="2:10" x14ac:dyDescent="0.25">
      <c r="B271" s="13" t="s">
        <v>125</v>
      </c>
      <c r="C271" s="18">
        <v>5.5952000000000002E-2</v>
      </c>
      <c r="D271" s="18">
        <f t="shared" si="77"/>
        <v>7.8220000000000026E-3</v>
      </c>
      <c r="E271" s="19">
        <f t="shared" si="80"/>
        <v>374.62235589947295</v>
      </c>
      <c r="F271" s="19">
        <f t="shared" si="81"/>
        <v>47893.423152578987</v>
      </c>
      <c r="G271" s="19">
        <f t="shared" si="78"/>
        <v>33525.396206805286</v>
      </c>
      <c r="H271" s="47" t="str">
        <f t="shared" si="79"/>
        <v>REGULAR</v>
      </c>
      <c r="I271" s="13">
        <f t="shared" ref="I271:I277" si="82">0.8*AVERAGE(F269:F271)</f>
        <v>26123.662075111657</v>
      </c>
      <c r="J271" s="47" t="str">
        <f t="shared" ref="J271:J277" si="83">IF(F272&lt;I271,"IRREGULAR","REGULAR")</f>
        <v>REGULAR</v>
      </c>
    </row>
    <row r="272" spans="2:10" x14ac:dyDescent="0.25">
      <c r="B272" s="13" t="s">
        <v>126</v>
      </c>
      <c r="C272" s="18">
        <v>4.8129999999999999E-2</v>
      </c>
      <c r="D272" s="18">
        <f t="shared" si="77"/>
        <v>7.9919999999999991E-3</v>
      </c>
      <c r="E272" s="19">
        <f t="shared" si="80"/>
        <v>482.29990930033443</v>
      </c>
      <c r="F272" s="19">
        <f t="shared" si="81"/>
        <v>60347.836499040852</v>
      </c>
      <c r="G272" s="19">
        <f t="shared" si="78"/>
        <v>42243.485549328594</v>
      </c>
      <c r="H272" s="47" t="str">
        <f t="shared" si="79"/>
        <v>REGULAR</v>
      </c>
      <c r="I272" s="13">
        <f t="shared" si="82"/>
        <v>37822.22415421396</v>
      </c>
      <c r="J272" s="47" t="str">
        <f t="shared" si="83"/>
        <v>REGULAR</v>
      </c>
    </row>
    <row r="273" spans="2:10" x14ac:dyDescent="0.25">
      <c r="B273" s="13" t="s">
        <v>107</v>
      </c>
      <c r="C273" s="18">
        <v>4.0138E-2</v>
      </c>
      <c r="D273" s="18">
        <f t="shared" si="77"/>
        <v>7.9699999999999979E-3</v>
      </c>
      <c r="E273" s="19">
        <f t="shared" si="80"/>
        <v>630.41645163239048</v>
      </c>
      <c r="F273" s="19">
        <f t="shared" si="81"/>
        <v>79098.676490889673</v>
      </c>
      <c r="G273" s="19">
        <f t="shared" si="78"/>
        <v>55369.07354362277</v>
      </c>
      <c r="H273" s="47" t="str">
        <f t="shared" si="79"/>
        <v>REGULAR</v>
      </c>
      <c r="I273" s="13">
        <f t="shared" si="82"/>
        <v>49957.316304669206</v>
      </c>
      <c r="J273" s="47" t="str">
        <f t="shared" si="83"/>
        <v>REGULAR</v>
      </c>
    </row>
    <row r="274" spans="2:10" x14ac:dyDescent="0.25">
      <c r="B274" s="13" t="s">
        <v>108</v>
      </c>
      <c r="C274" s="18">
        <v>3.2168000000000002E-2</v>
      </c>
      <c r="D274" s="18">
        <f t="shared" si="77"/>
        <v>7.9080000000000018E-3</v>
      </c>
      <c r="E274" s="19">
        <f t="shared" si="80"/>
        <v>758.50905600914587</v>
      </c>
      <c r="F274" s="19">
        <f t="shared" si="81"/>
        <v>95916.673749259702</v>
      </c>
      <c r="G274" s="19">
        <f t="shared" si="78"/>
        <v>67141.671624481794</v>
      </c>
      <c r="H274" s="47" t="str">
        <f t="shared" si="79"/>
        <v>REGULAR</v>
      </c>
      <c r="I274" s="13">
        <f t="shared" si="82"/>
        <v>62763.516463784064</v>
      </c>
      <c r="J274" s="47" t="str">
        <f t="shared" si="83"/>
        <v>REGULAR</v>
      </c>
    </row>
    <row r="275" spans="2:10" x14ac:dyDescent="0.25">
      <c r="B275" s="13" t="s">
        <v>109</v>
      </c>
      <c r="C275" s="18">
        <v>2.426E-2</v>
      </c>
      <c r="D275" s="18">
        <f t="shared" si="77"/>
        <v>7.5649999999999988E-3</v>
      </c>
      <c r="E275" s="19">
        <f t="shared" si="80"/>
        <v>866.77668070901314</v>
      </c>
      <c r="F275" s="19">
        <f t="shared" si="81"/>
        <v>114577.2215081313</v>
      </c>
      <c r="G275" s="19">
        <f t="shared" si="78"/>
        <v>80204.055055691904</v>
      </c>
      <c r="H275" s="47" t="str">
        <f t="shared" si="79"/>
        <v>REGULAR</v>
      </c>
      <c r="I275" s="13">
        <f t="shared" si="82"/>
        <v>77224.685799541519</v>
      </c>
      <c r="J275" s="47" t="str">
        <f t="shared" si="83"/>
        <v>REGULAR</v>
      </c>
    </row>
    <row r="276" spans="2:10" x14ac:dyDescent="0.25">
      <c r="B276" s="13" t="s">
        <v>110</v>
      </c>
      <c r="C276" s="18">
        <v>1.6695000000000002E-2</v>
      </c>
      <c r="D276" s="18">
        <f t="shared" si="77"/>
        <v>6.856000000000001E-3</v>
      </c>
      <c r="E276" s="19">
        <f t="shared" si="80"/>
        <v>955.44998176331046</v>
      </c>
      <c r="F276" s="19">
        <f t="shared" si="81"/>
        <v>139359.68228753068</v>
      </c>
      <c r="G276" s="19">
        <f t="shared" si="78"/>
        <v>97551.777601271475</v>
      </c>
      <c r="H276" s="47" t="str">
        <f t="shared" si="79"/>
        <v>REGULAR</v>
      </c>
      <c r="I276" s="13">
        <f t="shared" si="82"/>
        <v>93294.287345312448</v>
      </c>
      <c r="J276" s="47" t="str">
        <f t="shared" si="83"/>
        <v>REGULAR</v>
      </c>
    </row>
    <row r="277" spans="2:10" x14ac:dyDescent="0.25">
      <c r="B277" s="13" t="s">
        <v>111</v>
      </c>
      <c r="C277" s="18">
        <v>9.8390000000000005E-3</v>
      </c>
      <c r="D277" s="18">
        <f t="shared" si="77"/>
        <v>5.6650000000000008E-3</v>
      </c>
      <c r="E277" s="19">
        <f t="shared" si="80"/>
        <v>1027.6703664150418</v>
      </c>
      <c r="F277" s="19">
        <f t="shared" si="81"/>
        <v>181406.94905825978</v>
      </c>
      <c r="G277" s="19">
        <f t="shared" si="78"/>
        <v>126984.86434078183</v>
      </c>
      <c r="H277" s="47" t="str">
        <f t="shared" si="79"/>
        <v>REGULAR</v>
      </c>
      <c r="I277" s="13">
        <f t="shared" si="82"/>
        <v>116091.69409437914</v>
      </c>
      <c r="J277" s="47" t="str">
        <f t="shared" si="83"/>
        <v>REGULAR</v>
      </c>
    </row>
    <row r="278" spans="2:10" x14ac:dyDescent="0.25">
      <c r="B278" s="13" t="s">
        <v>112</v>
      </c>
      <c r="C278" s="18">
        <v>4.1739999999999998E-3</v>
      </c>
      <c r="D278" s="18">
        <f t="shared" si="77"/>
        <v>3.751E-3</v>
      </c>
      <c r="E278" s="19">
        <f t="shared" si="80"/>
        <v>1080.1293281460646</v>
      </c>
      <c r="F278" s="19">
        <f t="shared" si="81"/>
        <v>287957.698785941</v>
      </c>
      <c r="G278" s="19">
        <f t="shared" si="78"/>
        <v>201570.38915015868</v>
      </c>
      <c r="H278" s="47" t="str">
        <f>IF(F279&lt;G278,"IRREGULAR","REGULAR")</f>
        <v>REGULAR</v>
      </c>
      <c r="I278" s="13">
        <f>0.8*AVERAGE(F276:F278)</f>
        <v>162326.48803512839</v>
      </c>
      <c r="J278" s="47" t="str">
        <f>IF(F279&lt;I278,"IRREGULAR","REGULAR")</f>
        <v>REGULAR</v>
      </c>
    </row>
    <row r="279" spans="2:10" x14ac:dyDescent="0.25">
      <c r="B279" s="13" t="s">
        <v>113</v>
      </c>
      <c r="C279" s="18">
        <v>4.2299999999999998E-4</v>
      </c>
      <c r="D279" s="18">
        <f>C279-C280</f>
        <v>4.2299999999999998E-4</v>
      </c>
      <c r="E279" s="19">
        <f t="shared" si="80"/>
        <v>1113.015530582461</v>
      </c>
      <c r="F279" s="19">
        <f t="shared" si="81"/>
        <v>2631242.389083832</v>
      </c>
      <c r="G279" s="19"/>
      <c r="H279" s="11"/>
      <c r="I279" s="11"/>
      <c r="J279" s="11"/>
    </row>
    <row r="280" spans="2:10" x14ac:dyDescent="0.25">
      <c r="B280" s="13" t="s">
        <v>114</v>
      </c>
      <c r="C280" s="18">
        <v>0</v>
      </c>
      <c r="D280" s="18">
        <v>0</v>
      </c>
      <c r="E280" s="19">
        <f t="shared" si="80"/>
        <v>1128.0225000000003</v>
      </c>
      <c r="F280" s="19"/>
      <c r="G280" s="11"/>
      <c r="H280" s="11"/>
      <c r="I280" s="11"/>
      <c r="J280" s="11"/>
    </row>
    <row r="282" spans="2:10" x14ac:dyDescent="0.25">
      <c r="B282" s="6" t="s">
        <v>105</v>
      </c>
      <c r="C282" s="38"/>
      <c r="D282" s="38"/>
      <c r="E282" s="38"/>
      <c r="F282" s="38"/>
      <c r="G282" s="38"/>
      <c r="H282" s="38"/>
      <c r="I282" s="38"/>
      <c r="J282" s="38"/>
    </row>
    <row r="283" spans="2:10" x14ac:dyDescent="0.25">
      <c r="B283" s="38"/>
      <c r="C283" s="38"/>
      <c r="D283" s="38"/>
      <c r="E283" s="38"/>
      <c r="F283" s="38"/>
      <c r="G283" s="38"/>
      <c r="H283" s="38"/>
      <c r="I283" s="38"/>
      <c r="J283" s="38"/>
    </row>
    <row r="284" spans="2:10" x14ac:dyDescent="0.25">
      <c r="B284" t="s">
        <v>179</v>
      </c>
    </row>
    <row r="292" spans="2:5" x14ac:dyDescent="0.25">
      <c r="B292" s="16" t="s">
        <v>168</v>
      </c>
      <c r="C292" s="37" t="s">
        <v>174</v>
      </c>
      <c r="D292" s="46" t="s">
        <v>180</v>
      </c>
      <c r="E292" s="46"/>
    </row>
    <row r="293" spans="2:5" x14ac:dyDescent="0.25">
      <c r="B293" s="13" t="s">
        <v>123</v>
      </c>
      <c r="C293" s="19">
        <f>H252</f>
        <v>120.10980901184624</v>
      </c>
      <c r="D293" s="19">
        <f t="shared" ref="D293:D303" si="84">0.8*C293</f>
        <v>96.08784720947699</v>
      </c>
      <c r="E293" s="47" t="str">
        <f t="shared" ref="E293:E302" si="85">IF(C294&lt;D293,"IRREGULAR","REGULAR")</f>
        <v>REGULAR</v>
      </c>
    </row>
    <row r="294" spans="2:5" x14ac:dyDescent="0.25">
      <c r="B294" s="13" t="s">
        <v>124</v>
      </c>
      <c r="C294" s="19">
        <f t="shared" ref="C294:C304" si="86">H253</f>
        <v>253.92253972479307</v>
      </c>
      <c r="D294" s="19">
        <f t="shared" si="84"/>
        <v>203.13803177983448</v>
      </c>
      <c r="E294" s="47" t="str">
        <f t="shared" si="85"/>
        <v>REGULAR</v>
      </c>
    </row>
    <row r="295" spans="2:5" x14ac:dyDescent="0.25">
      <c r="B295" s="13" t="s">
        <v>125</v>
      </c>
      <c r="C295" s="19">
        <f t="shared" si="86"/>
        <v>374.62235589947295</v>
      </c>
      <c r="D295" s="19">
        <f t="shared" si="84"/>
        <v>299.69788471957838</v>
      </c>
      <c r="E295" s="47" t="str">
        <f t="shared" si="85"/>
        <v>REGULAR</v>
      </c>
    </row>
    <row r="296" spans="2:5" x14ac:dyDescent="0.25">
      <c r="B296" s="13" t="s">
        <v>126</v>
      </c>
      <c r="C296" s="19">
        <f t="shared" si="86"/>
        <v>482.29990930033443</v>
      </c>
      <c r="D296" s="19">
        <f t="shared" si="84"/>
        <v>385.83992744026756</v>
      </c>
      <c r="E296" s="47" t="str">
        <f t="shared" si="85"/>
        <v>REGULAR</v>
      </c>
    </row>
    <row r="297" spans="2:5" x14ac:dyDescent="0.25">
      <c r="B297" s="13" t="s">
        <v>107</v>
      </c>
      <c r="C297" s="19">
        <f t="shared" si="86"/>
        <v>630.41645163239048</v>
      </c>
      <c r="D297" s="19">
        <f t="shared" si="84"/>
        <v>504.33316130591243</v>
      </c>
      <c r="E297" s="47" t="str">
        <f t="shared" si="85"/>
        <v>REGULAR</v>
      </c>
    </row>
    <row r="298" spans="2:5" x14ac:dyDescent="0.25">
      <c r="B298" s="13" t="s">
        <v>108</v>
      </c>
      <c r="C298" s="19">
        <f t="shared" si="86"/>
        <v>758.50905600914587</v>
      </c>
      <c r="D298" s="19">
        <f t="shared" si="84"/>
        <v>606.80724480731669</v>
      </c>
      <c r="E298" s="47" t="str">
        <f t="shared" si="85"/>
        <v>REGULAR</v>
      </c>
    </row>
    <row r="299" spans="2:5" x14ac:dyDescent="0.25">
      <c r="B299" s="13" t="s">
        <v>109</v>
      </c>
      <c r="C299" s="19">
        <f t="shared" si="86"/>
        <v>866.77668070901314</v>
      </c>
      <c r="D299" s="19">
        <f t="shared" si="84"/>
        <v>693.42134456721055</v>
      </c>
      <c r="E299" s="47" t="str">
        <f t="shared" si="85"/>
        <v>REGULAR</v>
      </c>
    </row>
    <row r="300" spans="2:5" x14ac:dyDescent="0.25">
      <c r="B300" s="13" t="s">
        <v>110</v>
      </c>
      <c r="C300" s="19">
        <f t="shared" si="86"/>
        <v>955.44998176331046</v>
      </c>
      <c r="D300" s="19">
        <f t="shared" si="84"/>
        <v>764.35998541064839</v>
      </c>
      <c r="E300" s="47" t="str">
        <f t="shared" si="85"/>
        <v>REGULAR</v>
      </c>
    </row>
    <row r="301" spans="2:5" x14ac:dyDescent="0.25">
      <c r="B301" s="13" t="s">
        <v>111</v>
      </c>
      <c r="C301" s="19">
        <f t="shared" si="86"/>
        <v>1027.6703664150418</v>
      </c>
      <c r="D301" s="19">
        <f t="shared" si="84"/>
        <v>822.13629313203353</v>
      </c>
      <c r="E301" s="47" t="str">
        <f t="shared" si="85"/>
        <v>REGULAR</v>
      </c>
    </row>
    <row r="302" spans="2:5" x14ac:dyDescent="0.25">
      <c r="B302" s="13" t="s">
        <v>112</v>
      </c>
      <c r="C302" s="19">
        <f t="shared" si="86"/>
        <v>1080.1293281460646</v>
      </c>
      <c r="D302" s="19">
        <f t="shared" si="84"/>
        <v>864.10346251685178</v>
      </c>
      <c r="E302" s="47" t="str">
        <f t="shared" si="85"/>
        <v>REGULAR</v>
      </c>
    </row>
    <row r="303" spans="2:5" x14ac:dyDescent="0.25">
      <c r="B303" s="13" t="s">
        <v>113</v>
      </c>
      <c r="C303" s="19">
        <f t="shared" si="86"/>
        <v>1113.015530582461</v>
      </c>
      <c r="D303" s="19">
        <f t="shared" si="84"/>
        <v>890.4124244659688</v>
      </c>
      <c r="E303" s="47" t="str">
        <f>IF(C304&lt;D303,"IRREGULAR","REGULAR")</f>
        <v>REGULAR</v>
      </c>
    </row>
    <row r="304" spans="2:5" x14ac:dyDescent="0.25">
      <c r="B304" s="13" t="s">
        <v>114</v>
      </c>
      <c r="C304" s="19">
        <f t="shared" si="86"/>
        <v>1128.0225000000003</v>
      </c>
      <c r="D304" s="19"/>
      <c r="E304" s="11"/>
    </row>
    <row r="311" spans="2:7" x14ac:dyDescent="0.25">
      <c r="B311" s="16" t="s">
        <v>168</v>
      </c>
      <c r="C311" s="16" t="s">
        <v>172</v>
      </c>
      <c r="D311" s="46" t="s">
        <v>177</v>
      </c>
      <c r="E311" s="46"/>
      <c r="F311" s="46" t="s">
        <v>178</v>
      </c>
      <c r="G311" s="46"/>
    </row>
    <row r="312" spans="2:7" x14ac:dyDescent="0.25">
      <c r="B312" s="13" t="s">
        <v>123</v>
      </c>
      <c r="C312" s="19">
        <f>D252</f>
        <v>427.14758016600007</v>
      </c>
      <c r="D312" s="19"/>
      <c r="E312" s="13"/>
      <c r="F312" s="19">
        <f>C312/C313</f>
        <v>0.81702641516236862</v>
      </c>
      <c r="G312" s="47" t="str">
        <f>IF(F312&gt;1.5,"IRREGULAR","REGULAR")</f>
        <v>REGULAR</v>
      </c>
    </row>
    <row r="313" spans="2:7" x14ac:dyDescent="0.25">
      <c r="B313" s="13" t="s">
        <v>124</v>
      </c>
      <c r="C313" s="19">
        <f t="shared" ref="C313:C323" si="87">D253</f>
        <v>522.80755216600005</v>
      </c>
      <c r="D313" s="19">
        <f t="shared" ref="D313:D320" si="88">C313/C312</f>
        <v>1.2239506354286829</v>
      </c>
      <c r="E313" s="47" t="str">
        <f>IF(D313&gt;1.5,"IRREGULAR","REGULAR")</f>
        <v>REGULAR</v>
      </c>
      <c r="F313" s="19">
        <f t="shared" ref="F313:F320" si="89">C313/C314</f>
        <v>1</v>
      </c>
      <c r="G313" s="47" t="str">
        <f t="shared" ref="G313:G320" si="90">IF(F313&gt;1.5,"IRREGULAR","REGULAR")</f>
        <v>REGULAR</v>
      </c>
    </row>
    <row r="314" spans="2:7" x14ac:dyDescent="0.25">
      <c r="B314" s="13" t="s">
        <v>125</v>
      </c>
      <c r="C314" s="19">
        <f t="shared" si="87"/>
        <v>522.80755216600005</v>
      </c>
      <c r="D314" s="19">
        <f t="shared" si="88"/>
        <v>1</v>
      </c>
      <c r="E314" s="47" t="str">
        <f t="shared" ref="E314:E321" si="91">IF(D314&gt;1.5,"IRREGULAR","REGULAR")</f>
        <v>REGULAR</v>
      </c>
      <c r="F314" s="19">
        <f t="shared" si="89"/>
        <v>1</v>
      </c>
      <c r="G314" s="47" t="str">
        <f t="shared" si="90"/>
        <v>REGULAR</v>
      </c>
    </row>
    <row r="315" spans="2:7" x14ac:dyDescent="0.25">
      <c r="B315" s="13" t="s">
        <v>126</v>
      </c>
      <c r="C315" s="19">
        <f t="shared" si="87"/>
        <v>522.80755216600005</v>
      </c>
      <c r="D315" s="19">
        <f t="shared" si="88"/>
        <v>1</v>
      </c>
      <c r="E315" s="47" t="str">
        <f t="shared" si="91"/>
        <v>REGULAR</v>
      </c>
      <c r="F315" s="19">
        <f t="shared" si="89"/>
        <v>0.63973589898091998</v>
      </c>
      <c r="G315" s="47" t="str">
        <f t="shared" si="90"/>
        <v>REGULAR</v>
      </c>
    </row>
    <row r="316" spans="2:7" x14ac:dyDescent="0.25">
      <c r="B316" s="13" t="s">
        <v>107</v>
      </c>
      <c r="C316" s="19">
        <f t="shared" si="87"/>
        <v>817.22403416600002</v>
      </c>
      <c r="D316" s="19">
        <f t="shared" si="88"/>
        <v>1.5631450440611039</v>
      </c>
      <c r="E316" s="47" t="str">
        <f t="shared" si="91"/>
        <v>IRREGULAR</v>
      </c>
      <c r="F316" s="19">
        <f t="shared" si="89"/>
        <v>1</v>
      </c>
      <c r="G316" s="47" t="str">
        <f t="shared" si="90"/>
        <v>REGULAR</v>
      </c>
    </row>
    <row r="317" spans="2:7" x14ac:dyDescent="0.25">
      <c r="B317" s="13" t="s">
        <v>108</v>
      </c>
      <c r="C317" s="19">
        <f t="shared" si="87"/>
        <v>817.22403416600002</v>
      </c>
      <c r="D317" s="19">
        <f t="shared" si="88"/>
        <v>1</v>
      </c>
      <c r="E317" s="47" t="str">
        <f t="shared" si="91"/>
        <v>REGULAR</v>
      </c>
      <c r="F317" s="19">
        <f t="shared" si="89"/>
        <v>1</v>
      </c>
      <c r="G317" s="47" t="str">
        <f t="shared" si="90"/>
        <v>REGULAR</v>
      </c>
    </row>
    <row r="318" spans="2:7" x14ac:dyDescent="0.25">
      <c r="B318" s="13" t="s">
        <v>109</v>
      </c>
      <c r="C318" s="19">
        <f t="shared" si="87"/>
        <v>817.22403416600002</v>
      </c>
      <c r="D318" s="19">
        <f t="shared" si="88"/>
        <v>1</v>
      </c>
      <c r="E318" s="47" t="str">
        <f t="shared" si="91"/>
        <v>REGULAR</v>
      </c>
      <c r="F318" s="19">
        <f t="shared" si="89"/>
        <v>1</v>
      </c>
      <c r="G318" s="47" t="str">
        <f t="shared" si="90"/>
        <v>REGULAR</v>
      </c>
    </row>
    <row r="319" spans="2:7" x14ac:dyDescent="0.25">
      <c r="B319" s="13" t="s">
        <v>110</v>
      </c>
      <c r="C319" s="19">
        <f t="shared" si="87"/>
        <v>817.22403416600002</v>
      </c>
      <c r="D319" s="19">
        <f t="shared" si="88"/>
        <v>1</v>
      </c>
      <c r="E319" s="47" t="str">
        <f t="shared" si="91"/>
        <v>REGULAR</v>
      </c>
      <c r="F319" s="19">
        <f t="shared" si="89"/>
        <v>0.96031135331064121</v>
      </c>
      <c r="G319" s="47" t="str">
        <f t="shared" si="90"/>
        <v>REGULAR</v>
      </c>
    </row>
    <row r="320" spans="2:7" x14ac:dyDescent="0.25">
      <c r="B320" s="13" t="s">
        <v>111</v>
      </c>
      <c r="C320" s="19">
        <f t="shared" si="87"/>
        <v>850.999034166</v>
      </c>
      <c r="D320" s="19">
        <f t="shared" si="88"/>
        <v>1.0413289362377458</v>
      </c>
      <c r="E320" s="47" t="str">
        <f t="shared" si="91"/>
        <v>REGULAR</v>
      </c>
      <c r="F320" s="19">
        <f t="shared" si="89"/>
        <v>1</v>
      </c>
      <c r="G320" s="47" t="str">
        <f t="shared" si="90"/>
        <v>REGULAR</v>
      </c>
    </row>
    <row r="321" spans="2:7" x14ac:dyDescent="0.25">
      <c r="B321" s="13" t="s">
        <v>112</v>
      </c>
      <c r="C321" s="19">
        <f t="shared" si="87"/>
        <v>850.999034166</v>
      </c>
      <c r="D321" s="19">
        <f>C321/C320</f>
        <v>1</v>
      </c>
      <c r="E321" s="47" t="str">
        <f t="shared" si="91"/>
        <v>REGULAR</v>
      </c>
      <c r="F321" s="19"/>
      <c r="G321" s="47"/>
    </row>
    <row r="322" spans="2:7" x14ac:dyDescent="0.25">
      <c r="B322" s="13" t="s">
        <v>113</v>
      </c>
      <c r="C322" s="19">
        <f t="shared" si="87"/>
        <v>843.65471650599989</v>
      </c>
      <c r="D322" s="13"/>
      <c r="E322" s="13"/>
      <c r="F322" s="13"/>
      <c r="G322" s="13"/>
    </row>
    <row r="323" spans="2:7" x14ac:dyDescent="0.25">
      <c r="B323" s="13" t="s">
        <v>114</v>
      </c>
      <c r="C323" s="19">
        <f t="shared" si="87"/>
        <v>807.31754183399971</v>
      </c>
      <c r="D323" s="13"/>
      <c r="E323" s="13"/>
      <c r="F323" s="13"/>
      <c r="G323" s="13"/>
    </row>
    <row r="331" spans="2:7" s="48" customFormat="1" x14ac:dyDescent="0.25">
      <c r="B331" s="6" t="s">
        <v>104</v>
      </c>
    </row>
    <row r="332" spans="2:7" s="48" customFormat="1" x14ac:dyDescent="0.25"/>
    <row r="333" spans="2:7" x14ac:dyDescent="0.25">
      <c r="B333" s="16" t="s">
        <v>168</v>
      </c>
      <c r="C333" s="16" t="s">
        <v>181</v>
      </c>
      <c r="D333" s="46" t="s">
        <v>177</v>
      </c>
      <c r="E333" s="46"/>
      <c r="F333" s="46" t="s">
        <v>178</v>
      </c>
      <c r="G333" s="46"/>
    </row>
    <row r="334" spans="2:7" x14ac:dyDescent="0.25">
      <c r="B334" s="13" t="s">
        <v>123</v>
      </c>
      <c r="C334" s="19">
        <v>20.5</v>
      </c>
      <c r="D334" s="19"/>
      <c r="E334" s="13"/>
      <c r="F334" s="19">
        <f>C334/C335</f>
        <v>1</v>
      </c>
      <c r="G334" s="47" t="str">
        <f>IF(F334&gt;1.3,"IRREGULAR","REGULAR")</f>
        <v>REGULAR</v>
      </c>
    </row>
    <row r="335" spans="2:7" x14ac:dyDescent="0.25">
      <c r="B335" s="13" t="s">
        <v>124</v>
      </c>
      <c r="C335" s="19">
        <v>20.5</v>
      </c>
      <c r="D335" s="19">
        <f t="shared" ref="D335:D342" si="92">C335/C334</f>
        <v>1</v>
      </c>
      <c r="E335" s="47" t="str">
        <f>IF(D335&gt;1.3,"IRREGULAR","REGULAR")</f>
        <v>REGULAR</v>
      </c>
      <c r="F335" s="19">
        <f t="shared" ref="F335:F342" si="93">C335/C336</f>
        <v>1</v>
      </c>
      <c r="G335" s="47" t="str">
        <f t="shared" ref="G335:G342" si="94">IF(F335&gt;1.3,"IRREGULAR","REGULAR")</f>
        <v>REGULAR</v>
      </c>
    </row>
    <row r="336" spans="2:7" x14ac:dyDescent="0.25">
      <c r="B336" s="13" t="s">
        <v>125</v>
      </c>
      <c r="C336" s="19">
        <v>20.5</v>
      </c>
      <c r="D336" s="19">
        <f t="shared" si="92"/>
        <v>1</v>
      </c>
      <c r="E336" s="47" t="str">
        <f t="shared" ref="E336:E343" si="95">IF(D336&gt;1.3,"IRREGULAR","REGULAR")</f>
        <v>REGULAR</v>
      </c>
      <c r="F336" s="19">
        <f t="shared" si="93"/>
        <v>1</v>
      </c>
      <c r="G336" s="47" t="str">
        <f t="shared" si="94"/>
        <v>REGULAR</v>
      </c>
    </row>
    <row r="337" spans="2:7" x14ac:dyDescent="0.25">
      <c r="B337" s="13" t="s">
        <v>126</v>
      </c>
      <c r="C337" s="19">
        <v>20.5</v>
      </c>
      <c r="D337" s="19">
        <f t="shared" si="92"/>
        <v>1</v>
      </c>
      <c r="E337" s="47" t="str">
        <f t="shared" si="95"/>
        <v>REGULAR</v>
      </c>
      <c r="F337" s="19">
        <f t="shared" si="93"/>
        <v>1</v>
      </c>
      <c r="G337" s="47" t="str">
        <f t="shared" si="94"/>
        <v>REGULAR</v>
      </c>
    </row>
    <row r="338" spans="2:7" x14ac:dyDescent="0.25">
      <c r="B338" s="13" t="s">
        <v>107</v>
      </c>
      <c r="C338" s="19">
        <v>20.5</v>
      </c>
      <c r="D338" s="19">
        <f t="shared" si="92"/>
        <v>1</v>
      </c>
      <c r="E338" s="47" t="str">
        <f t="shared" si="95"/>
        <v>REGULAR</v>
      </c>
      <c r="F338" s="19">
        <f t="shared" si="93"/>
        <v>1</v>
      </c>
      <c r="G338" s="47" t="str">
        <f t="shared" si="94"/>
        <v>REGULAR</v>
      </c>
    </row>
    <row r="339" spans="2:7" x14ac:dyDescent="0.25">
      <c r="B339" s="13" t="s">
        <v>108</v>
      </c>
      <c r="C339" s="19">
        <v>20.5</v>
      </c>
      <c r="D339" s="19">
        <f t="shared" si="92"/>
        <v>1</v>
      </c>
      <c r="E339" s="47" t="str">
        <f t="shared" si="95"/>
        <v>REGULAR</v>
      </c>
      <c r="F339" s="19">
        <f t="shared" si="93"/>
        <v>1</v>
      </c>
      <c r="G339" s="47" t="str">
        <f t="shared" si="94"/>
        <v>REGULAR</v>
      </c>
    </row>
    <row r="340" spans="2:7" x14ac:dyDescent="0.25">
      <c r="B340" s="13" t="s">
        <v>109</v>
      </c>
      <c r="C340" s="19">
        <v>20.5</v>
      </c>
      <c r="D340" s="19">
        <f t="shared" si="92"/>
        <v>1</v>
      </c>
      <c r="E340" s="47" t="str">
        <f t="shared" si="95"/>
        <v>REGULAR</v>
      </c>
      <c r="F340" s="19">
        <f t="shared" si="93"/>
        <v>1</v>
      </c>
      <c r="G340" s="47" t="str">
        <f t="shared" si="94"/>
        <v>REGULAR</v>
      </c>
    </row>
    <row r="341" spans="2:7" x14ac:dyDescent="0.25">
      <c r="B341" s="13" t="s">
        <v>110</v>
      </c>
      <c r="C341" s="19">
        <v>20.5</v>
      </c>
      <c r="D341" s="19">
        <f t="shared" si="92"/>
        <v>1</v>
      </c>
      <c r="E341" s="47" t="str">
        <f t="shared" si="95"/>
        <v>REGULAR</v>
      </c>
      <c r="F341" s="19">
        <f t="shared" si="93"/>
        <v>1</v>
      </c>
      <c r="G341" s="47" t="str">
        <f t="shared" si="94"/>
        <v>REGULAR</v>
      </c>
    </row>
    <row r="342" spans="2:7" x14ac:dyDescent="0.25">
      <c r="B342" s="13" t="s">
        <v>111</v>
      </c>
      <c r="C342" s="19">
        <v>20.5</v>
      </c>
      <c r="D342" s="19">
        <f t="shared" si="92"/>
        <v>1</v>
      </c>
      <c r="E342" s="47" t="str">
        <f t="shared" si="95"/>
        <v>REGULAR</v>
      </c>
      <c r="F342" s="19">
        <f t="shared" si="93"/>
        <v>1</v>
      </c>
      <c r="G342" s="47" t="str">
        <f t="shared" si="94"/>
        <v>REGULAR</v>
      </c>
    </row>
    <row r="343" spans="2:7" x14ac:dyDescent="0.25">
      <c r="B343" s="13" t="s">
        <v>112</v>
      </c>
      <c r="C343" s="19">
        <v>20.5</v>
      </c>
      <c r="D343" s="19">
        <f>C343/C342</f>
        <v>1</v>
      </c>
      <c r="E343" s="47" t="str">
        <f t="shared" si="95"/>
        <v>REGULAR</v>
      </c>
      <c r="F343" s="19"/>
      <c r="G343" s="47"/>
    </row>
    <row r="344" spans="2:7" x14ac:dyDescent="0.25">
      <c r="B344" s="13" t="s">
        <v>113</v>
      </c>
      <c r="C344" s="19">
        <v>20.5</v>
      </c>
      <c r="D344" s="13"/>
      <c r="E344" s="13"/>
      <c r="F344" s="13"/>
      <c r="G344" s="13"/>
    </row>
    <row r="345" spans="2:7" x14ac:dyDescent="0.25">
      <c r="B345" s="13" t="s">
        <v>114</v>
      </c>
      <c r="C345" s="19">
        <v>20.5</v>
      </c>
      <c r="D345" s="13"/>
      <c r="E345" s="13"/>
      <c r="F345" s="13"/>
      <c r="G345" s="13"/>
    </row>
    <row r="347" spans="2:7" x14ac:dyDescent="0.25">
      <c r="B347" s="6" t="s">
        <v>105</v>
      </c>
      <c r="C347" s="48"/>
      <c r="D347" s="48"/>
      <c r="E347" s="48"/>
      <c r="F347" s="48"/>
      <c r="G347" s="48"/>
    </row>
    <row r="348" spans="2:7" x14ac:dyDescent="0.25">
      <c r="B348" s="48"/>
      <c r="C348" s="48"/>
      <c r="D348" s="48"/>
      <c r="E348" s="48"/>
      <c r="F348" s="48"/>
      <c r="G348" s="48"/>
    </row>
    <row r="349" spans="2:7" x14ac:dyDescent="0.25">
      <c r="B349" s="16" t="s">
        <v>168</v>
      </c>
      <c r="C349" s="16" t="s">
        <v>181</v>
      </c>
      <c r="D349" s="46" t="s">
        <v>177</v>
      </c>
      <c r="E349" s="46"/>
      <c r="F349" s="46" t="s">
        <v>178</v>
      </c>
      <c r="G349" s="46"/>
    </row>
    <row r="350" spans="2:7" x14ac:dyDescent="0.25">
      <c r="B350" s="13" t="s">
        <v>123</v>
      </c>
      <c r="C350" s="19">
        <v>25</v>
      </c>
      <c r="D350" s="19"/>
      <c r="E350" s="13"/>
      <c r="F350" s="19">
        <f>C350/C351</f>
        <v>1</v>
      </c>
      <c r="G350" s="47" t="str">
        <f>IF(F350&gt;1.3,"IRREGULAR","REGULAR")</f>
        <v>REGULAR</v>
      </c>
    </row>
    <row r="351" spans="2:7" x14ac:dyDescent="0.25">
      <c r="B351" s="13" t="s">
        <v>124</v>
      </c>
      <c r="C351" s="19">
        <v>25</v>
      </c>
      <c r="D351" s="19">
        <f t="shared" ref="D351:D358" si="96">C351/C350</f>
        <v>1</v>
      </c>
      <c r="E351" s="47" t="str">
        <f>IF(D351&gt;1.3,"IRREGULAR","REGULAR")</f>
        <v>REGULAR</v>
      </c>
      <c r="F351" s="19">
        <f t="shared" ref="F351:F358" si="97">C351/C352</f>
        <v>1</v>
      </c>
      <c r="G351" s="47" t="str">
        <f t="shared" ref="G351:G358" si="98">IF(F351&gt;1.3,"IRREGULAR","REGULAR")</f>
        <v>REGULAR</v>
      </c>
    </row>
    <row r="352" spans="2:7" x14ac:dyDescent="0.25">
      <c r="B352" s="13" t="s">
        <v>125</v>
      </c>
      <c r="C352" s="19">
        <v>25</v>
      </c>
      <c r="D352" s="19">
        <f t="shared" si="96"/>
        <v>1</v>
      </c>
      <c r="E352" s="47" t="str">
        <f t="shared" ref="E352:E359" si="99">IF(D352&gt;1.3,"IRREGULAR","REGULAR")</f>
        <v>REGULAR</v>
      </c>
      <c r="F352" s="19">
        <f t="shared" si="97"/>
        <v>1</v>
      </c>
      <c r="G352" s="47" t="str">
        <f t="shared" si="98"/>
        <v>REGULAR</v>
      </c>
    </row>
    <row r="353" spans="2:7" x14ac:dyDescent="0.25">
      <c r="B353" s="13" t="s">
        <v>126</v>
      </c>
      <c r="C353" s="19">
        <v>25</v>
      </c>
      <c r="D353" s="19">
        <f t="shared" si="96"/>
        <v>1</v>
      </c>
      <c r="E353" s="47" t="str">
        <f t="shared" si="99"/>
        <v>REGULAR</v>
      </c>
      <c r="F353" s="19">
        <f t="shared" si="97"/>
        <v>0.6097560975609756</v>
      </c>
      <c r="G353" s="47" t="str">
        <f t="shared" si="98"/>
        <v>REGULAR</v>
      </c>
    </row>
    <row r="354" spans="2:7" x14ac:dyDescent="0.25">
      <c r="B354" s="13" t="s">
        <v>107</v>
      </c>
      <c r="C354" s="19">
        <v>41</v>
      </c>
      <c r="D354" s="19">
        <f t="shared" si="96"/>
        <v>1.64</v>
      </c>
      <c r="E354" s="47" t="str">
        <f t="shared" si="99"/>
        <v>IRREGULAR</v>
      </c>
      <c r="F354" s="19">
        <f t="shared" si="97"/>
        <v>1</v>
      </c>
      <c r="G354" s="47" t="str">
        <f t="shared" si="98"/>
        <v>REGULAR</v>
      </c>
    </row>
    <row r="355" spans="2:7" x14ac:dyDescent="0.25">
      <c r="B355" s="13" t="s">
        <v>108</v>
      </c>
      <c r="C355" s="19">
        <v>41</v>
      </c>
      <c r="D355" s="19">
        <f t="shared" si="96"/>
        <v>1</v>
      </c>
      <c r="E355" s="47" t="str">
        <f t="shared" si="99"/>
        <v>REGULAR</v>
      </c>
      <c r="F355" s="19">
        <f t="shared" si="97"/>
        <v>1</v>
      </c>
      <c r="G355" s="47" t="str">
        <f t="shared" si="98"/>
        <v>REGULAR</v>
      </c>
    </row>
    <row r="356" spans="2:7" x14ac:dyDescent="0.25">
      <c r="B356" s="13" t="s">
        <v>109</v>
      </c>
      <c r="C356" s="19">
        <v>41</v>
      </c>
      <c r="D356" s="19">
        <f t="shared" si="96"/>
        <v>1</v>
      </c>
      <c r="E356" s="47" t="str">
        <f t="shared" si="99"/>
        <v>REGULAR</v>
      </c>
      <c r="F356" s="19">
        <f t="shared" si="97"/>
        <v>1</v>
      </c>
      <c r="G356" s="47" t="str">
        <f t="shared" si="98"/>
        <v>REGULAR</v>
      </c>
    </row>
    <row r="357" spans="2:7" x14ac:dyDescent="0.25">
      <c r="B357" s="13" t="s">
        <v>110</v>
      </c>
      <c r="C357" s="19">
        <v>41</v>
      </c>
      <c r="D357" s="19">
        <f t="shared" si="96"/>
        <v>1</v>
      </c>
      <c r="E357" s="47" t="str">
        <f t="shared" si="99"/>
        <v>REGULAR</v>
      </c>
      <c r="F357" s="19">
        <f t="shared" si="97"/>
        <v>1</v>
      </c>
      <c r="G357" s="47" t="str">
        <f t="shared" si="98"/>
        <v>REGULAR</v>
      </c>
    </row>
    <row r="358" spans="2:7" x14ac:dyDescent="0.25">
      <c r="B358" s="13" t="s">
        <v>111</v>
      </c>
      <c r="C358" s="19">
        <v>41</v>
      </c>
      <c r="D358" s="19">
        <f t="shared" si="96"/>
        <v>1</v>
      </c>
      <c r="E358" s="47" t="str">
        <f t="shared" si="99"/>
        <v>REGULAR</v>
      </c>
      <c r="F358" s="19">
        <f t="shared" si="97"/>
        <v>1</v>
      </c>
      <c r="G358" s="47" t="str">
        <f t="shared" si="98"/>
        <v>REGULAR</v>
      </c>
    </row>
    <row r="359" spans="2:7" x14ac:dyDescent="0.25">
      <c r="B359" s="13" t="s">
        <v>112</v>
      </c>
      <c r="C359" s="19">
        <v>41</v>
      </c>
      <c r="D359" s="19">
        <f>C359/C358</f>
        <v>1</v>
      </c>
      <c r="E359" s="47" t="str">
        <f t="shared" si="99"/>
        <v>REGULAR</v>
      </c>
      <c r="F359" s="19"/>
      <c r="G359" s="47"/>
    </row>
    <row r="360" spans="2:7" x14ac:dyDescent="0.25">
      <c r="B360" s="13" t="s">
        <v>113</v>
      </c>
      <c r="C360" s="19">
        <v>41</v>
      </c>
      <c r="D360" s="13"/>
      <c r="E360" s="13"/>
      <c r="F360" s="13"/>
      <c r="G360" s="13"/>
    </row>
    <row r="361" spans="2:7" x14ac:dyDescent="0.25">
      <c r="B361" s="13" t="s">
        <v>114</v>
      </c>
      <c r="C361" s="19">
        <v>41</v>
      </c>
      <c r="D361" s="13"/>
      <c r="E361" s="13"/>
      <c r="F361" s="13"/>
      <c r="G361" s="13"/>
    </row>
    <row r="370" spans="1:7" x14ac:dyDescent="0.25">
      <c r="B370" t="s">
        <v>182</v>
      </c>
    </row>
    <row r="372" spans="1:7" x14ac:dyDescent="0.25">
      <c r="A372" s="6">
        <v>3.1</v>
      </c>
      <c r="B372" s="6" t="s">
        <v>183</v>
      </c>
      <c r="C372" s="48"/>
      <c r="D372" s="48"/>
      <c r="E372" s="48"/>
      <c r="F372" s="34" t="s">
        <v>11</v>
      </c>
      <c r="G372" s="29">
        <v>1</v>
      </c>
    </row>
    <row r="385" spans="2:7" x14ac:dyDescent="0.25">
      <c r="B385" s="6" t="s">
        <v>104</v>
      </c>
    </row>
    <row r="387" spans="2:7" ht="18" x14ac:dyDescent="0.3">
      <c r="B387" s="16" t="s">
        <v>168</v>
      </c>
      <c r="C387" s="21" t="s">
        <v>120</v>
      </c>
      <c r="D387" s="21" t="s">
        <v>184</v>
      </c>
      <c r="E387" s="21" t="s">
        <v>185</v>
      </c>
      <c r="F387" s="53" t="s">
        <v>180</v>
      </c>
    </row>
    <row r="388" spans="2:7" x14ac:dyDescent="0.25">
      <c r="B388" s="49" t="s">
        <v>123</v>
      </c>
      <c r="C388" s="19">
        <f>E47</f>
        <v>1.7662889999999987</v>
      </c>
      <c r="D388" s="52">
        <f>MAX(C388:C391)</f>
        <v>1.7735819999999975</v>
      </c>
      <c r="E388" s="52">
        <f>AVERAGE(C388:C391)</f>
        <v>1.7699354999999981</v>
      </c>
      <c r="F388" s="55">
        <f>D388/E388</f>
        <v>1.0020602445682341</v>
      </c>
      <c r="G388" s="54" t="str">
        <f>IF(F388&gt;1.3,"IRREGULAR","REGULAR")</f>
        <v>REGULAR</v>
      </c>
    </row>
    <row r="389" spans="2:7" x14ac:dyDescent="0.25">
      <c r="B389" s="50"/>
      <c r="C389" s="19">
        <f>E60</f>
        <v>1.7735819999999975</v>
      </c>
      <c r="D389" s="30"/>
      <c r="E389" s="30"/>
      <c r="F389" s="55"/>
    </row>
    <row r="390" spans="2:7" x14ac:dyDescent="0.25">
      <c r="B390" s="50"/>
      <c r="C390" s="19">
        <f>E79</f>
        <v>1.7662889999999987</v>
      </c>
      <c r="D390" s="30"/>
      <c r="E390" s="30"/>
      <c r="F390" s="55"/>
    </row>
    <row r="391" spans="2:7" x14ac:dyDescent="0.25">
      <c r="B391" s="51"/>
      <c r="C391" s="19">
        <f>E92</f>
        <v>1.7735819999999975</v>
      </c>
      <c r="D391" s="30"/>
      <c r="E391" s="30"/>
      <c r="F391" s="55"/>
    </row>
    <row r="392" spans="2:7" x14ac:dyDescent="0.25">
      <c r="B392" s="49" t="s">
        <v>124</v>
      </c>
      <c r="C392" s="19">
        <f>E48</f>
        <v>1.8126260000000016</v>
      </c>
      <c r="D392" s="52">
        <f>MAX(C392:C395)</f>
        <v>1.8190249999999999</v>
      </c>
      <c r="E392" s="52">
        <f>AVERAGE(C392:C395)</f>
        <v>1.8158255000000008</v>
      </c>
      <c r="F392" s="55">
        <f>D392/E392</f>
        <v>1.00176200851899</v>
      </c>
      <c r="G392" s="54" t="str">
        <f>IF(F392&gt;1.3,"IRREGULAR","REGULAR")</f>
        <v>REGULAR</v>
      </c>
    </row>
    <row r="393" spans="2:7" x14ac:dyDescent="0.25">
      <c r="B393" s="50"/>
      <c r="C393" s="19">
        <f>E61</f>
        <v>1.8190249999999999</v>
      </c>
      <c r="D393" s="30"/>
      <c r="E393" s="30"/>
      <c r="F393" s="55"/>
      <c r="G393" s="48"/>
    </row>
    <row r="394" spans="2:7" x14ac:dyDescent="0.25">
      <c r="B394" s="50"/>
      <c r="C394" s="19">
        <f>E80</f>
        <v>1.8126260000000016</v>
      </c>
      <c r="D394" s="30"/>
      <c r="E394" s="30"/>
      <c r="F394" s="55"/>
      <c r="G394" s="48"/>
    </row>
    <row r="395" spans="2:7" x14ac:dyDescent="0.25">
      <c r="B395" s="51"/>
      <c r="C395" s="19">
        <f>E93</f>
        <v>1.8190249999999999</v>
      </c>
      <c r="D395" s="30"/>
      <c r="E395" s="30"/>
      <c r="F395" s="55"/>
      <c r="G395" s="48"/>
    </row>
    <row r="396" spans="2:7" x14ac:dyDescent="0.25">
      <c r="B396" s="49" t="s">
        <v>125</v>
      </c>
      <c r="C396" s="19">
        <f>E49</f>
        <v>1.8468579999999992</v>
      </c>
      <c r="D396" s="52">
        <f>MAX(C396:C399)</f>
        <v>1.8522220000000011</v>
      </c>
      <c r="E396" s="52">
        <f>AVERAGE(C396:C399)</f>
        <v>1.8495400000000002</v>
      </c>
      <c r="F396" s="55">
        <f>D396/E396</f>
        <v>1.0014500902927219</v>
      </c>
      <c r="G396" s="54" t="str">
        <f>IF(F396&gt;1.3,"IRREGULAR","REGULAR")</f>
        <v>REGULAR</v>
      </c>
    </row>
    <row r="397" spans="2:7" x14ac:dyDescent="0.25">
      <c r="B397" s="50"/>
      <c r="C397" s="19">
        <f>E62</f>
        <v>1.8522220000000011</v>
      </c>
      <c r="D397" s="30"/>
      <c r="E397" s="30"/>
      <c r="F397" s="55"/>
      <c r="G397" s="48"/>
    </row>
    <row r="398" spans="2:7" x14ac:dyDescent="0.25">
      <c r="B398" s="50"/>
      <c r="C398" s="19">
        <f>E81</f>
        <v>1.8468579999999992</v>
      </c>
      <c r="D398" s="30"/>
      <c r="E398" s="30"/>
      <c r="F398" s="55"/>
      <c r="G398" s="48"/>
    </row>
    <row r="399" spans="2:7" x14ac:dyDescent="0.25">
      <c r="B399" s="51"/>
      <c r="C399" s="19">
        <f>E94</f>
        <v>1.8522220000000011</v>
      </c>
      <c r="D399" s="30"/>
      <c r="E399" s="30"/>
      <c r="F399" s="55"/>
      <c r="G399" s="48"/>
    </row>
    <row r="400" spans="2:7" x14ac:dyDescent="0.25">
      <c r="B400" s="49" t="s">
        <v>126</v>
      </c>
      <c r="C400" s="19">
        <f>E50</f>
        <v>1.8554539999999999</v>
      </c>
      <c r="D400" s="52">
        <f>MAX(C400:C403)</f>
        <v>1.8597479999999997</v>
      </c>
      <c r="E400" s="52">
        <f>AVERAGE(C400:C403)</f>
        <v>1.8576009999999998</v>
      </c>
      <c r="F400" s="55">
        <f>D400/E400</f>
        <v>1.0011557917981311</v>
      </c>
      <c r="G400" s="54" t="str">
        <f>IF(F400&gt;1.3,"IRREGULAR","REGULAR")</f>
        <v>REGULAR</v>
      </c>
    </row>
    <row r="401" spans="2:7" x14ac:dyDescent="0.25">
      <c r="B401" s="50"/>
      <c r="C401" s="19">
        <f>E63</f>
        <v>1.8597479999999997</v>
      </c>
      <c r="D401" s="30"/>
      <c r="E401" s="30"/>
      <c r="F401" s="55"/>
      <c r="G401" s="48"/>
    </row>
    <row r="402" spans="2:7" x14ac:dyDescent="0.25">
      <c r="B402" s="50"/>
      <c r="C402" s="19">
        <f>E82</f>
        <v>1.8554539999999999</v>
      </c>
      <c r="D402" s="30"/>
      <c r="E402" s="30"/>
      <c r="F402" s="55"/>
      <c r="G402" s="48"/>
    </row>
    <row r="403" spans="2:7" x14ac:dyDescent="0.25">
      <c r="B403" s="51"/>
      <c r="C403" s="19">
        <f>E95</f>
        <v>1.8597479999999997</v>
      </c>
      <c r="D403" s="30"/>
      <c r="E403" s="30"/>
      <c r="F403" s="55"/>
      <c r="G403" s="48"/>
    </row>
    <row r="404" spans="2:7" x14ac:dyDescent="0.25">
      <c r="B404" s="49" t="s">
        <v>107</v>
      </c>
      <c r="C404" s="19">
        <f>E38</f>
        <v>1.9687899999999985</v>
      </c>
      <c r="D404" s="52">
        <f>MAX(C404:C411)</f>
        <v>1.9738609999999994</v>
      </c>
      <c r="E404" s="52">
        <f>AVERAGE(C404:C411)</f>
        <v>1.8973764999999994</v>
      </c>
      <c r="F404" s="55">
        <f>D404/E404</f>
        <v>1.0403106605357451</v>
      </c>
      <c r="G404" s="54" t="str">
        <f>IF(F404&gt;1.3,"IRREGULAR","REGULAR")</f>
        <v>REGULAR</v>
      </c>
    </row>
    <row r="405" spans="2:7" x14ac:dyDescent="0.25">
      <c r="B405" s="50"/>
      <c r="C405" s="19">
        <f>E51</f>
        <v>1.8218949999999996</v>
      </c>
      <c r="D405" s="52"/>
      <c r="E405" s="52"/>
      <c r="F405" s="55"/>
    </row>
    <row r="406" spans="2:7" x14ac:dyDescent="0.25">
      <c r="B406" s="50"/>
      <c r="C406" s="19">
        <f>E64</f>
        <v>1.8249599999999999</v>
      </c>
      <c r="D406" s="52"/>
      <c r="E406" s="52"/>
      <c r="F406" s="55"/>
    </row>
    <row r="407" spans="2:7" x14ac:dyDescent="0.25">
      <c r="B407" s="50"/>
      <c r="C407" s="19">
        <f>E83</f>
        <v>1.8218949999999996</v>
      </c>
      <c r="D407" s="52"/>
      <c r="E407" s="52"/>
      <c r="F407" s="55"/>
    </row>
    <row r="408" spans="2:7" x14ac:dyDescent="0.25">
      <c r="B408" s="50"/>
      <c r="C408" s="19">
        <f>E96</f>
        <v>1.8249599999999999</v>
      </c>
      <c r="D408" s="52"/>
      <c r="E408" s="52"/>
      <c r="F408" s="55"/>
    </row>
    <row r="409" spans="2:7" x14ac:dyDescent="0.25">
      <c r="B409" s="50"/>
      <c r="C409" s="19">
        <f>E105</f>
        <v>1.9738609999999994</v>
      </c>
      <c r="D409" s="52"/>
      <c r="E409" s="52"/>
      <c r="F409" s="55"/>
    </row>
    <row r="410" spans="2:7" x14ac:dyDescent="0.25">
      <c r="B410" s="50"/>
      <c r="C410" s="19">
        <f>E114</f>
        <v>1.9687899999999985</v>
      </c>
      <c r="D410" s="52"/>
      <c r="E410" s="52"/>
      <c r="F410" s="55"/>
    </row>
    <row r="411" spans="2:7" x14ac:dyDescent="0.25">
      <c r="B411" s="51"/>
      <c r="C411" s="19">
        <f>E123</f>
        <v>1.9738609999999994</v>
      </c>
      <c r="D411" s="52"/>
      <c r="E411" s="52"/>
      <c r="F411" s="55"/>
    </row>
    <row r="412" spans="2:7" x14ac:dyDescent="0.25">
      <c r="B412" s="49" t="s">
        <v>108</v>
      </c>
      <c r="C412" s="19">
        <f>E39</f>
        <v>1.9466740000000007</v>
      </c>
      <c r="D412" s="52">
        <f>MAX(C412:C419)</f>
        <v>1.9502160000000011</v>
      </c>
      <c r="E412" s="52">
        <f>AVERAGE(C412:C419)</f>
        <v>1.8738220000000005</v>
      </c>
      <c r="F412" s="55">
        <f>D412/E412</f>
        <v>1.0407690805209888</v>
      </c>
      <c r="G412" s="54" t="str">
        <f>IF(F412&gt;1.3,"IRREGULAR","REGULAR")</f>
        <v>REGULAR</v>
      </c>
    </row>
    <row r="413" spans="2:7" x14ac:dyDescent="0.25">
      <c r="B413" s="50"/>
      <c r="C413" s="19">
        <f>E52</f>
        <v>1.7981220000000002</v>
      </c>
      <c r="D413" s="52"/>
      <c r="E413" s="52"/>
      <c r="F413" s="55"/>
      <c r="G413" s="48"/>
    </row>
    <row r="414" spans="2:7" x14ac:dyDescent="0.25">
      <c r="B414" s="50"/>
      <c r="C414" s="19">
        <f>E65</f>
        <v>1.8002760000000002</v>
      </c>
      <c r="D414" s="52"/>
      <c r="E414" s="52"/>
      <c r="F414" s="55"/>
      <c r="G414" s="48"/>
    </row>
    <row r="415" spans="2:7" x14ac:dyDescent="0.25">
      <c r="B415" s="50"/>
      <c r="C415" s="19">
        <f>E84</f>
        <v>1.7981220000000002</v>
      </c>
      <c r="D415" s="52"/>
      <c r="E415" s="52"/>
      <c r="F415" s="55"/>
      <c r="G415" s="48"/>
    </row>
    <row r="416" spans="2:7" x14ac:dyDescent="0.25">
      <c r="B416" s="50"/>
      <c r="C416" s="19">
        <f>E97</f>
        <v>1.8002760000000002</v>
      </c>
      <c r="D416" s="52"/>
      <c r="E416" s="52"/>
      <c r="F416" s="55"/>
      <c r="G416" s="48"/>
    </row>
    <row r="417" spans="2:7" x14ac:dyDescent="0.25">
      <c r="B417" s="50"/>
      <c r="C417" s="19">
        <f>E106</f>
        <v>1.9502160000000011</v>
      </c>
      <c r="D417" s="52"/>
      <c r="E417" s="52"/>
      <c r="F417" s="55"/>
      <c r="G417" s="48"/>
    </row>
    <row r="418" spans="2:7" x14ac:dyDescent="0.25">
      <c r="B418" s="50"/>
      <c r="C418" s="19">
        <f>E115</f>
        <v>1.9466740000000007</v>
      </c>
      <c r="D418" s="52"/>
      <c r="E418" s="52"/>
      <c r="F418" s="55"/>
      <c r="G418" s="48"/>
    </row>
    <row r="419" spans="2:7" x14ac:dyDescent="0.25">
      <c r="B419" s="51"/>
      <c r="C419" s="19">
        <f>E124</f>
        <v>1.9502160000000011</v>
      </c>
      <c r="D419" s="52"/>
      <c r="E419" s="52"/>
      <c r="F419" s="55"/>
      <c r="G419" s="48"/>
    </row>
    <row r="420" spans="2:7" x14ac:dyDescent="0.25">
      <c r="B420" s="49" t="s">
        <v>109</v>
      </c>
      <c r="C420" s="19">
        <f>E40</f>
        <v>1.8679930000000002</v>
      </c>
      <c r="D420" s="52">
        <f>MAX(C420:C427)</f>
        <v>1.8697529999999993</v>
      </c>
      <c r="E420" s="52">
        <f>AVERAGE(C420:C427)</f>
        <v>1.7959224999999999</v>
      </c>
      <c r="F420" s="55">
        <f>D420/E420</f>
        <v>1.0411100701728495</v>
      </c>
      <c r="G420" s="54" t="str">
        <f>IF(F420&gt;1.3,"IRREGULAR","REGULAR")</f>
        <v>REGULAR</v>
      </c>
    </row>
    <row r="421" spans="2:7" x14ac:dyDescent="0.25">
      <c r="B421" s="50"/>
      <c r="C421" s="19">
        <f>E53</f>
        <v>1.7224150000000003</v>
      </c>
      <c r="D421" s="52"/>
      <c r="E421" s="52"/>
      <c r="F421" s="55"/>
      <c r="G421" s="48"/>
    </row>
    <row r="422" spans="2:7" x14ac:dyDescent="0.25">
      <c r="B422" s="50"/>
      <c r="C422" s="19">
        <f>E66</f>
        <v>1.7235289999999996</v>
      </c>
      <c r="D422" s="52"/>
      <c r="E422" s="52"/>
      <c r="F422" s="55"/>
      <c r="G422" s="48"/>
    </row>
    <row r="423" spans="2:7" x14ac:dyDescent="0.25">
      <c r="B423" s="50"/>
      <c r="C423" s="19">
        <f>E85</f>
        <v>1.7224150000000003</v>
      </c>
      <c r="D423" s="52"/>
      <c r="E423" s="52"/>
      <c r="F423" s="55"/>
      <c r="G423" s="48"/>
    </row>
    <row r="424" spans="2:7" x14ac:dyDescent="0.25">
      <c r="B424" s="50"/>
      <c r="C424" s="19">
        <f>E98</f>
        <v>1.7235289999999996</v>
      </c>
      <c r="D424" s="52"/>
      <c r="E424" s="52"/>
      <c r="F424" s="55"/>
      <c r="G424" s="48"/>
    </row>
    <row r="425" spans="2:7" x14ac:dyDescent="0.25">
      <c r="B425" s="50"/>
      <c r="C425" s="19">
        <f>E107</f>
        <v>1.8697529999999993</v>
      </c>
      <c r="D425" s="52"/>
      <c r="E425" s="52"/>
      <c r="F425" s="55"/>
      <c r="G425" s="48"/>
    </row>
    <row r="426" spans="2:7" x14ac:dyDescent="0.25">
      <c r="B426" s="50"/>
      <c r="C426" s="19">
        <f>E116</f>
        <v>1.8679930000000002</v>
      </c>
      <c r="D426" s="52"/>
      <c r="E426" s="52"/>
      <c r="F426" s="55"/>
      <c r="G426" s="48"/>
    </row>
    <row r="427" spans="2:7" x14ac:dyDescent="0.25">
      <c r="B427" s="51"/>
      <c r="C427" s="19">
        <f>E125</f>
        <v>1.8697529999999993</v>
      </c>
      <c r="D427" s="52"/>
      <c r="E427" s="52"/>
      <c r="F427" s="55"/>
      <c r="G427" s="48"/>
    </row>
    <row r="428" spans="2:7" x14ac:dyDescent="0.25">
      <c r="B428" s="49" t="s">
        <v>110</v>
      </c>
      <c r="C428" s="19">
        <f>E41</f>
        <v>1.7077589999999998</v>
      </c>
      <c r="D428" s="52">
        <f>MAX(C428:C435)</f>
        <v>1.7077589999999998</v>
      </c>
      <c r="E428" s="52">
        <f>AVERAGE(C428:C435)</f>
        <v>1.639839</v>
      </c>
      <c r="F428" s="55">
        <f>D428/E428</f>
        <v>1.0414187002504514</v>
      </c>
      <c r="G428" s="54" t="str">
        <f>IF(F428&gt;1.3,"IRREGULAR","REGULAR")</f>
        <v>REGULAR</v>
      </c>
    </row>
    <row r="429" spans="2:7" x14ac:dyDescent="0.25">
      <c r="B429" s="50"/>
      <c r="C429" s="19">
        <f>E54</f>
        <v>1.571917</v>
      </c>
      <c r="D429" s="52"/>
      <c r="E429" s="52"/>
      <c r="F429" s="55"/>
      <c r="G429" s="48"/>
    </row>
    <row r="430" spans="2:7" x14ac:dyDescent="0.25">
      <c r="B430" s="50"/>
      <c r="C430" s="19">
        <f>E67</f>
        <v>1.5719820000000002</v>
      </c>
      <c r="D430" s="52"/>
      <c r="E430" s="52"/>
      <c r="F430" s="55"/>
      <c r="G430" s="48"/>
    </row>
    <row r="431" spans="2:7" x14ac:dyDescent="0.25">
      <c r="B431" s="50"/>
      <c r="C431" s="19">
        <f>E86</f>
        <v>1.571917</v>
      </c>
      <c r="D431" s="52"/>
      <c r="E431" s="52"/>
      <c r="F431" s="55"/>
      <c r="G431" s="48"/>
    </row>
    <row r="432" spans="2:7" x14ac:dyDescent="0.25">
      <c r="B432" s="50"/>
      <c r="C432" s="19">
        <f>E99</f>
        <v>1.5719820000000002</v>
      </c>
      <c r="D432" s="52"/>
      <c r="E432" s="52"/>
      <c r="F432" s="55"/>
      <c r="G432" s="48"/>
    </row>
    <row r="433" spans="2:7" x14ac:dyDescent="0.25">
      <c r="B433" s="50"/>
      <c r="C433" s="19">
        <f>E108</f>
        <v>1.7076980000000002</v>
      </c>
      <c r="D433" s="52"/>
      <c r="E433" s="52"/>
      <c r="F433" s="55"/>
      <c r="G433" s="48"/>
    </row>
    <row r="434" spans="2:7" x14ac:dyDescent="0.25">
      <c r="B434" s="50"/>
      <c r="C434" s="19">
        <f>E117</f>
        <v>1.7077589999999998</v>
      </c>
      <c r="D434" s="52"/>
      <c r="E434" s="52"/>
      <c r="F434" s="55"/>
      <c r="G434" s="48"/>
    </row>
    <row r="435" spans="2:7" x14ac:dyDescent="0.25">
      <c r="B435" s="51"/>
      <c r="C435" s="19">
        <f>E126</f>
        <v>1.7076980000000002</v>
      </c>
      <c r="D435" s="52"/>
      <c r="E435" s="52"/>
      <c r="F435" s="55"/>
      <c r="G435" s="48"/>
    </row>
    <row r="436" spans="2:7" x14ac:dyDescent="0.25">
      <c r="B436" s="49" t="s">
        <v>111</v>
      </c>
      <c r="C436" s="19">
        <f>E42</f>
        <v>1.4291070000000001</v>
      </c>
      <c r="D436" s="52">
        <f>MAX(C436:C443)</f>
        <v>1.4291070000000001</v>
      </c>
      <c r="E436" s="52">
        <f>AVERAGE(C436:C443)</f>
        <v>1.3703540000000003</v>
      </c>
      <c r="F436" s="55">
        <f>D436/E436</f>
        <v>1.0428743229851556</v>
      </c>
      <c r="G436" s="54" t="str">
        <f>IF(F436&gt;1.3,"IRREGULAR","REGULAR")</f>
        <v>REGULAR</v>
      </c>
    </row>
    <row r="437" spans="2:7" x14ac:dyDescent="0.25">
      <c r="B437" s="50"/>
      <c r="C437" s="19">
        <f>E55</f>
        <v>1.313002</v>
      </c>
      <c r="D437" s="52"/>
      <c r="E437" s="52"/>
      <c r="F437" s="55"/>
      <c r="G437" s="48"/>
    </row>
    <row r="438" spans="2:7" x14ac:dyDescent="0.25">
      <c r="B438" s="50"/>
      <c r="C438" s="19">
        <f>E68</f>
        <v>1.3120449999999999</v>
      </c>
      <c r="D438" s="52"/>
      <c r="E438" s="52"/>
      <c r="F438" s="55"/>
      <c r="G438" s="48"/>
    </row>
    <row r="439" spans="2:7" x14ac:dyDescent="0.25">
      <c r="B439" s="50"/>
      <c r="C439" s="19">
        <f>E87</f>
        <v>1.313002</v>
      </c>
      <c r="D439" s="52"/>
      <c r="E439" s="52"/>
      <c r="F439" s="55"/>
      <c r="G439" s="48"/>
    </row>
    <row r="440" spans="2:7" x14ac:dyDescent="0.25">
      <c r="B440" s="50"/>
      <c r="C440" s="19">
        <f>E100</f>
        <v>1.3120449999999999</v>
      </c>
      <c r="D440" s="52"/>
      <c r="E440" s="52"/>
      <c r="F440" s="55"/>
      <c r="G440" s="48"/>
    </row>
    <row r="441" spans="2:7" x14ac:dyDescent="0.25">
      <c r="B441" s="50"/>
      <c r="C441" s="19">
        <f>E109</f>
        <v>1.4272620000000003</v>
      </c>
      <c r="D441" s="52"/>
      <c r="E441" s="52"/>
      <c r="F441" s="55"/>
      <c r="G441" s="48"/>
    </row>
    <row r="442" spans="2:7" x14ac:dyDescent="0.25">
      <c r="B442" s="50"/>
      <c r="C442" s="19">
        <f>E118</f>
        <v>1.4291070000000001</v>
      </c>
      <c r="D442" s="52"/>
      <c r="E442" s="52"/>
      <c r="F442" s="55"/>
      <c r="G442" s="48"/>
    </row>
    <row r="443" spans="2:7" x14ac:dyDescent="0.25">
      <c r="B443" s="51"/>
      <c r="C443" s="19">
        <f>E127</f>
        <v>1.4272620000000003</v>
      </c>
      <c r="D443" s="52"/>
      <c r="E443" s="52"/>
      <c r="F443" s="55"/>
      <c r="G443" s="48"/>
    </row>
    <row r="444" spans="2:7" x14ac:dyDescent="0.25">
      <c r="B444" s="49" t="s">
        <v>112</v>
      </c>
      <c r="C444" s="19">
        <f>E43</f>
        <v>0.95858299999999996</v>
      </c>
      <c r="D444" s="52">
        <f>MAX(C444:C451)</f>
        <v>0.95858299999999996</v>
      </c>
      <c r="E444" s="52">
        <f>AVERAGE(C444:C451)</f>
        <v>0.91764575000000015</v>
      </c>
      <c r="F444" s="55">
        <f>D444/E444</f>
        <v>1.0446111693973408</v>
      </c>
      <c r="G444" s="54" t="str">
        <f>IF(F444&gt;1.3,"IRREGULAR","REGULAR")</f>
        <v>REGULAR</v>
      </c>
    </row>
    <row r="445" spans="2:7" x14ac:dyDescent="0.25">
      <c r="B445" s="50"/>
      <c r="C445" s="19">
        <f>E56</f>
        <v>0.87936000000000003</v>
      </c>
      <c r="D445" s="52"/>
      <c r="E445" s="52"/>
      <c r="F445" s="55"/>
      <c r="G445" s="48"/>
    </row>
    <row r="446" spans="2:7" x14ac:dyDescent="0.25">
      <c r="B446" s="50"/>
      <c r="C446" s="19">
        <f>E69</f>
        <v>0.87747300000000006</v>
      </c>
      <c r="D446" s="52"/>
      <c r="E446" s="52"/>
      <c r="F446" s="55"/>
      <c r="G446" s="48"/>
    </row>
    <row r="447" spans="2:7" x14ac:dyDescent="0.25">
      <c r="B447" s="50"/>
      <c r="C447" s="19">
        <f>E88</f>
        <v>0.87936000000000003</v>
      </c>
      <c r="D447" s="52"/>
      <c r="E447" s="52"/>
      <c r="F447" s="55"/>
      <c r="G447" s="48"/>
    </row>
    <row r="448" spans="2:7" x14ac:dyDescent="0.25">
      <c r="B448" s="50"/>
      <c r="C448" s="19">
        <f>E101</f>
        <v>0.87747300000000006</v>
      </c>
      <c r="D448" s="52"/>
      <c r="E448" s="52"/>
      <c r="F448" s="55"/>
      <c r="G448" s="48"/>
    </row>
    <row r="449" spans="2:7" x14ac:dyDescent="0.25">
      <c r="B449" s="50"/>
      <c r="C449" s="19">
        <f>E110</f>
        <v>0.95516699999999988</v>
      </c>
      <c r="D449" s="52"/>
      <c r="E449" s="52"/>
      <c r="F449" s="55"/>
      <c r="G449" s="48"/>
    </row>
    <row r="450" spans="2:7" x14ac:dyDescent="0.25">
      <c r="B450" s="50"/>
      <c r="C450" s="19">
        <f>E119</f>
        <v>0.95858299999999996</v>
      </c>
      <c r="D450" s="52"/>
      <c r="E450" s="52"/>
      <c r="F450" s="55"/>
      <c r="G450" s="48"/>
    </row>
    <row r="451" spans="2:7" x14ac:dyDescent="0.25">
      <c r="B451" s="51"/>
      <c r="C451" s="19">
        <f>E128</f>
        <v>0.95516699999999988</v>
      </c>
      <c r="D451" s="52"/>
      <c r="E451" s="52"/>
      <c r="F451" s="55"/>
      <c r="G451" s="48"/>
    </row>
    <row r="452" spans="2:7" x14ac:dyDescent="0.25">
      <c r="B452" s="30" t="s">
        <v>113</v>
      </c>
      <c r="C452" s="56">
        <f>E44</f>
        <v>9.3213000000000004E-2</v>
      </c>
      <c r="D452" s="52">
        <f>MAX(C452:C461)</f>
        <v>9.3213000000000004E-2</v>
      </c>
      <c r="E452" s="52">
        <f>AVERAGE(C452:C461)</f>
        <v>9.2148300000000002E-2</v>
      </c>
      <c r="F452" s="55">
        <f>D452/E452</f>
        <v>1.0115542012169514</v>
      </c>
      <c r="G452" s="54" t="str">
        <f>IF(F452&gt;1.3,"IRREGULAR","REGULAR")</f>
        <v>REGULAR</v>
      </c>
    </row>
    <row r="453" spans="2:7" x14ac:dyDescent="0.25">
      <c r="B453" s="30"/>
      <c r="C453" s="56">
        <f>E57</f>
        <v>9.0567999999999996E-2</v>
      </c>
      <c r="D453" s="52"/>
      <c r="E453" s="52"/>
      <c r="F453" s="55"/>
      <c r="G453" s="48"/>
    </row>
    <row r="454" spans="2:7" x14ac:dyDescent="0.25">
      <c r="B454" s="30"/>
      <c r="C454" s="56">
        <f>E70</f>
        <v>9.0572E-2</v>
      </c>
      <c r="D454" s="52"/>
      <c r="E454" s="52"/>
      <c r="F454" s="55"/>
      <c r="G454" s="48"/>
    </row>
    <row r="455" spans="2:7" x14ac:dyDescent="0.25">
      <c r="B455" s="30"/>
      <c r="C455" s="56">
        <f>E73</f>
        <v>9.3187999999999993E-2</v>
      </c>
      <c r="D455" s="52"/>
      <c r="E455" s="52"/>
      <c r="F455" s="55"/>
      <c r="G455" s="48"/>
    </row>
    <row r="456" spans="2:7" x14ac:dyDescent="0.25">
      <c r="B456" s="30"/>
      <c r="C456" s="56">
        <f>E76</f>
        <v>9.3213000000000004E-2</v>
      </c>
      <c r="D456" s="52"/>
      <c r="E456" s="52"/>
      <c r="F456" s="55"/>
      <c r="G456" s="48"/>
    </row>
    <row r="457" spans="2:7" x14ac:dyDescent="0.25">
      <c r="B457" s="30"/>
      <c r="C457" s="56">
        <f>E89</f>
        <v>9.0567999999999996E-2</v>
      </c>
      <c r="D457" s="52"/>
      <c r="E457" s="52"/>
      <c r="F457" s="55"/>
      <c r="G457" s="48"/>
    </row>
    <row r="458" spans="2:7" x14ac:dyDescent="0.25">
      <c r="B458" s="30"/>
      <c r="C458" s="56">
        <f>E102</f>
        <v>9.0572E-2</v>
      </c>
      <c r="D458" s="52"/>
      <c r="E458" s="52"/>
      <c r="F458" s="55"/>
      <c r="G458" s="48"/>
    </row>
    <row r="459" spans="2:7" x14ac:dyDescent="0.25">
      <c r="B459" s="30"/>
      <c r="C459" s="56">
        <f>E111</f>
        <v>9.3187999999999993E-2</v>
      </c>
      <c r="D459" s="52"/>
      <c r="E459" s="52"/>
      <c r="F459" s="55"/>
      <c r="G459" s="48"/>
    </row>
    <row r="460" spans="2:7" s="48" customFormat="1" x14ac:dyDescent="0.25">
      <c r="B460" s="30"/>
      <c r="C460" s="56">
        <f>E120</f>
        <v>9.3213000000000004E-2</v>
      </c>
      <c r="D460" s="52"/>
      <c r="E460" s="52"/>
      <c r="F460" s="55"/>
    </row>
    <row r="461" spans="2:7" x14ac:dyDescent="0.25">
      <c r="B461" s="30"/>
      <c r="C461" s="56">
        <f>E129</f>
        <v>9.3187999999999993E-2</v>
      </c>
      <c r="D461" s="52"/>
      <c r="E461" s="52"/>
      <c r="F461" s="55"/>
    </row>
    <row r="462" spans="2:7" x14ac:dyDescent="0.25">
      <c r="B462" s="30" t="s">
        <v>114</v>
      </c>
      <c r="C462" s="56">
        <f>E45</f>
        <v>0</v>
      </c>
      <c r="D462" s="52">
        <f>MAX(C462:C471)</f>
        <v>0</v>
      </c>
      <c r="E462" s="52">
        <f>AVERAGE(C462:C471)</f>
        <v>0</v>
      </c>
      <c r="F462" s="55">
        <v>0</v>
      </c>
      <c r="G462" s="54" t="str">
        <f>IF(F462&gt;1.3,"IRREGULAR","REGULAR")</f>
        <v>REGULAR</v>
      </c>
    </row>
    <row r="463" spans="2:7" x14ac:dyDescent="0.25">
      <c r="B463" s="30"/>
      <c r="C463" s="56">
        <f>E58</f>
        <v>0</v>
      </c>
      <c r="D463" s="52"/>
      <c r="E463" s="52"/>
      <c r="F463" s="55"/>
      <c r="G463" s="48"/>
    </row>
    <row r="464" spans="2:7" x14ac:dyDescent="0.25">
      <c r="B464" s="30"/>
      <c r="C464" s="56">
        <f>E71</f>
        <v>0</v>
      </c>
      <c r="D464" s="52"/>
      <c r="E464" s="52"/>
      <c r="F464" s="55"/>
      <c r="G464" s="48"/>
    </row>
    <row r="465" spans="2:7" x14ac:dyDescent="0.25">
      <c r="B465" s="30"/>
      <c r="C465" s="56">
        <f>E74</f>
        <v>0</v>
      </c>
      <c r="D465" s="52"/>
      <c r="E465" s="52"/>
      <c r="F465" s="55"/>
      <c r="G465" s="48"/>
    </row>
    <row r="466" spans="2:7" x14ac:dyDescent="0.25">
      <c r="B466" s="30"/>
      <c r="C466" s="56">
        <f>E77</f>
        <v>0</v>
      </c>
      <c r="D466" s="52"/>
      <c r="E466" s="52"/>
      <c r="F466" s="55"/>
      <c r="G466" s="48"/>
    </row>
    <row r="467" spans="2:7" x14ac:dyDescent="0.25">
      <c r="B467" s="30"/>
      <c r="C467" s="56">
        <f>E90</f>
        <v>0</v>
      </c>
      <c r="D467" s="52"/>
      <c r="E467" s="52"/>
      <c r="F467" s="55"/>
      <c r="G467" s="48"/>
    </row>
    <row r="468" spans="2:7" x14ac:dyDescent="0.25">
      <c r="B468" s="30"/>
      <c r="C468" s="56">
        <f>E103</f>
        <v>0</v>
      </c>
      <c r="D468" s="52"/>
      <c r="E468" s="52"/>
      <c r="F468" s="55"/>
      <c r="G468" s="48"/>
    </row>
    <row r="469" spans="2:7" s="48" customFormat="1" x14ac:dyDescent="0.25">
      <c r="B469" s="30"/>
      <c r="C469" s="56">
        <f>E112</f>
        <v>0</v>
      </c>
      <c r="D469" s="52"/>
      <c r="E469" s="52"/>
      <c r="F469" s="55"/>
    </row>
    <row r="470" spans="2:7" x14ac:dyDescent="0.25">
      <c r="B470" s="30"/>
      <c r="C470" s="56">
        <f>E121</f>
        <v>0</v>
      </c>
      <c r="D470" s="52"/>
      <c r="E470" s="52"/>
      <c r="F470" s="55"/>
      <c r="G470" s="48"/>
    </row>
    <row r="471" spans="2:7" x14ac:dyDescent="0.25">
      <c r="B471" s="30"/>
      <c r="C471" s="56">
        <f>E130</f>
        <v>0</v>
      </c>
      <c r="D471" s="52"/>
      <c r="E471" s="52"/>
      <c r="F471" s="55"/>
      <c r="G471" s="48"/>
    </row>
    <row r="473" spans="2:7" x14ac:dyDescent="0.25">
      <c r="B473" s="6" t="s">
        <v>105</v>
      </c>
      <c r="C473" s="48"/>
      <c r="D473" s="48"/>
      <c r="E473" s="48"/>
      <c r="F473" s="48"/>
      <c r="G473" s="48"/>
    </row>
    <row r="474" spans="2:7" x14ac:dyDescent="0.25">
      <c r="B474" s="48"/>
      <c r="C474" s="48"/>
      <c r="D474" s="48"/>
      <c r="E474" s="48"/>
      <c r="F474" s="48"/>
      <c r="G474" s="48"/>
    </row>
    <row r="475" spans="2:7" ht="18" x14ac:dyDescent="0.3">
      <c r="B475" s="16" t="s">
        <v>168</v>
      </c>
      <c r="C475" s="21" t="s">
        <v>120</v>
      </c>
      <c r="D475" s="21" t="s">
        <v>184</v>
      </c>
      <c r="E475" s="21" t="s">
        <v>185</v>
      </c>
      <c r="F475" s="53" t="s">
        <v>180</v>
      </c>
      <c r="G475" s="48"/>
    </row>
    <row r="476" spans="2:7" x14ac:dyDescent="0.25">
      <c r="B476" s="49" t="s">
        <v>123</v>
      </c>
      <c r="C476" s="19">
        <f>E147</f>
        <v>1.4456809999999987</v>
      </c>
      <c r="D476" s="52">
        <f>MAX(C476:C479)</f>
        <v>1.4460870000000003</v>
      </c>
      <c r="E476" s="52">
        <f>AVERAGE(C476:C479)</f>
        <v>1.4458839999999995</v>
      </c>
      <c r="F476" s="55">
        <f>D476/E476</f>
        <v>1.0001403985381958</v>
      </c>
      <c r="G476" s="54" t="str">
        <f>IF(F476&gt;1.3,"IRREGULAR","REGULAR")</f>
        <v>REGULAR</v>
      </c>
    </row>
    <row r="477" spans="2:7" x14ac:dyDescent="0.25">
      <c r="B477" s="50"/>
      <c r="C477" s="19">
        <f>E160</f>
        <v>1.4456809999999987</v>
      </c>
      <c r="D477" s="30"/>
      <c r="E477" s="30"/>
      <c r="F477" s="55"/>
      <c r="G477" s="48"/>
    </row>
    <row r="478" spans="2:7" x14ac:dyDescent="0.25">
      <c r="B478" s="50"/>
      <c r="C478" s="19">
        <f>E176</f>
        <v>1.4460870000000003</v>
      </c>
      <c r="D478" s="30"/>
      <c r="E478" s="30"/>
      <c r="F478" s="55"/>
      <c r="G478" s="48"/>
    </row>
    <row r="479" spans="2:7" x14ac:dyDescent="0.25">
      <c r="B479" s="51"/>
      <c r="C479" s="19">
        <f>E189</f>
        <v>1.4460870000000003</v>
      </c>
      <c r="D479" s="30"/>
      <c r="E479" s="30"/>
      <c r="F479" s="55"/>
      <c r="G479" s="48"/>
    </row>
    <row r="480" spans="2:7" x14ac:dyDescent="0.25">
      <c r="B480" s="49" t="s">
        <v>124</v>
      </c>
      <c r="C480" s="19">
        <f>E148</f>
        <v>1.4938700000000011</v>
      </c>
      <c r="D480" s="52">
        <f>MAX(C480:C483)</f>
        <v>1.4943179999999998</v>
      </c>
      <c r="E480" s="52">
        <f>AVERAGE(C480:C483)</f>
        <v>1.4940940000000005</v>
      </c>
      <c r="F480" s="55">
        <f>D480/E480</f>
        <v>1.0001499236326492</v>
      </c>
      <c r="G480" s="54" t="str">
        <f>IF(F480&gt;1.3,"IRREGULAR","REGULAR")</f>
        <v>REGULAR</v>
      </c>
    </row>
    <row r="481" spans="2:7" x14ac:dyDescent="0.25">
      <c r="B481" s="50"/>
      <c r="C481" s="19">
        <f>E161</f>
        <v>1.4938700000000011</v>
      </c>
      <c r="D481" s="30"/>
      <c r="E481" s="30"/>
      <c r="F481" s="55"/>
      <c r="G481" s="48"/>
    </row>
    <row r="482" spans="2:7" x14ac:dyDescent="0.25">
      <c r="B482" s="50"/>
      <c r="C482" s="19">
        <f>E177</f>
        <v>1.4943179999999998</v>
      </c>
      <c r="D482" s="30"/>
      <c r="E482" s="30"/>
      <c r="F482" s="55"/>
      <c r="G482" s="48"/>
    </row>
    <row r="483" spans="2:7" x14ac:dyDescent="0.25">
      <c r="B483" s="51"/>
      <c r="C483" s="19">
        <f>E190</f>
        <v>1.4943179999999998</v>
      </c>
      <c r="D483" s="30"/>
      <c r="E483" s="30"/>
      <c r="F483" s="55"/>
      <c r="G483" s="48"/>
    </row>
    <row r="484" spans="2:7" x14ac:dyDescent="0.25">
      <c r="B484" s="49" t="s">
        <v>125</v>
      </c>
      <c r="C484" s="19">
        <f>E149</f>
        <v>1.5231149999999989</v>
      </c>
      <c r="D484" s="52">
        <f>MAX(C484:C487)</f>
        <v>1.5235419999999991</v>
      </c>
      <c r="E484" s="52">
        <f>AVERAGE(C484:C487)</f>
        <v>1.523328499999999</v>
      </c>
      <c r="F484" s="55">
        <f>D484/E484</f>
        <v>1.0001401536175554</v>
      </c>
      <c r="G484" s="54" t="str">
        <f>IF(F484&gt;1.3,"IRREGULAR","REGULAR")</f>
        <v>REGULAR</v>
      </c>
    </row>
    <row r="485" spans="2:7" x14ac:dyDescent="0.25">
      <c r="B485" s="50"/>
      <c r="C485" s="19">
        <f>E162</f>
        <v>1.5231149999999989</v>
      </c>
      <c r="D485" s="30"/>
      <c r="E485" s="30"/>
      <c r="F485" s="55"/>
      <c r="G485" s="48"/>
    </row>
    <row r="486" spans="2:7" x14ac:dyDescent="0.25">
      <c r="B486" s="50"/>
      <c r="C486" s="19">
        <f>E178</f>
        <v>1.5235419999999991</v>
      </c>
      <c r="D486" s="30"/>
      <c r="E486" s="30"/>
      <c r="F486" s="55"/>
      <c r="G486" s="48"/>
    </row>
    <row r="487" spans="2:7" x14ac:dyDescent="0.25">
      <c r="B487" s="51"/>
      <c r="C487" s="19">
        <f>E191</f>
        <v>1.5235419999999991</v>
      </c>
      <c r="D487" s="30"/>
      <c r="E487" s="30"/>
      <c r="F487" s="55"/>
      <c r="G487" s="48"/>
    </row>
    <row r="488" spans="2:7" x14ac:dyDescent="0.25">
      <c r="B488" s="49" t="s">
        <v>126</v>
      </c>
      <c r="C488" s="19">
        <f>E150</f>
        <v>1.5217540000000005</v>
      </c>
      <c r="D488" s="52">
        <f>MAX(C488:C491)</f>
        <v>1.5221400000000003</v>
      </c>
      <c r="E488" s="52">
        <f>AVERAGE(C488:C491)</f>
        <v>1.5219470000000004</v>
      </c>
      <c r="F488" s="55">
        <f>D488/E488</f>
        <v>1.0001268112490118</v>
      </c>
      <c r="G488" s="54" t="str">
        <f>IF(F488&gt;1.3,"IRREGULAR","REGULAR")</f>
        <v>REGULAR</v>
      </c>
    </row>
    <row r="489" spans="2:7" x14ac:dyDescent="0.25">
      <c r="B489" s="50"/>
      <c r="C489" s="19">
        <f>E163</f>
        <v>1.5217540000000005</v>
      </c>
      <c r="D489" s="30"/>
      <c r="E489" s="30"/>
      <c r="F489" s="55"/>
      <c r="G489" s="48"/>
    </row>
    <row r="490" spans="2:7" x14ac:dyDescent="0.25">
      <c r="B490" s="50"/>
      <c r="C490" s="19">
        <f>E179</f>
        <v>1.5221400000000003</v>
      </c>
      <c r="D490" s="30"/>
      <c r="E490" s="30"/>
      <c r="F490" s="55"/>
      <c r="G490" s="48"/>
    </row>
    <row r="491" spans="2:7" x14ac:dyDescent="0.25">
      <c r="B491" s="51"/>
      <c r="C491" s="19">
        <f>E192</f>
        <v>1.5221400000000003</v>
      </c>
      <c r="D491" s="30"/>
      <c r="E491" s="30"/>
      <c r="F491" s="55"/>
      <c r="G491" s="48"/>
    </row>
    <row r="492" spans="2:7" x14ac:dyDescent="0.25">
      <c r="B492" s="49" t="s">
        <v>107</v>
      </c>
      <c r="C492" s="19">
        <f>E138</f>
        <v>1.4642780000000002</v>
      </c>
      <c r="D492" s="52">
        <f>MAX(C492:C499)</f>
        <v>1.4646150000000002</v>
      </c>
      <c r="E492" s="52">
        <f>AVERAGE(C492:C499)</f>
        <v>1.4460578750000002</v>
      </c>
      <c r="F492" s="55">
        <f>D492/E492</f>
        <v>1.0128329061518371</v>
      </c>
      <c r="G492" s="54" t="str">
        <f>IF(F492&gt;1.3,"IRREGULAR","REGULAR")</f>
        <v>REGULAR</v>
      </c>
    </row>
    <row r="493" spans="2:7" x14ac:dyDescent="0.25">
      <c r="B493" s="50"/>
      <c r="C493" s="19">
        <f>E151</f>
        <v>1.4642780000000002</v>
      </c>
      <c r="D493" s="52"/>
      <c r="E493" s="52"/>
      <c r="F493" s="55"/>
      <c r="G493" s="48"/>
    </row>
    <row r="494" spans="2:7" x14ac:dyDescent="0.25">
      <c r="B494" s="50"/>
      <c r="C494" s="19">
        <f>E164</f>
        <v>1.4642780000000002</v>
      </c>
      <c r="D494" s="52"/>
      <c r="E494" s="52"/>
      <c r="F494" s="55"/>
      <c r="G494" s="48"/>
    </row>
    <row r="495" spans="2:7" x14ac:dyDescent="0.25">
      <c r="B495" s="50"/>
      <c r="C495" s="19">
        <f>E180</f>
        <v>1.4646150000000002</v>
      </c>
      <c r="D495" s="52"/>
      <c r="E495" s="52"/>
      <c r="F495" s="55"/>
      <c r="G495" s="48"/>
    </row>
    <row r="496" spans="2:7" x14ac:dyDescent="0.25">
      <c r="B496" s="50"/>
      <c r="C496" s="19">
        <f>E193</f>
        <v>1.4646150000000002</v>
      </c>
      <c r="D496" s="52"/>
      <c r="E496" s="52"/>
      <c r="F496" s="55"/>
      <c r="G496" s="48"/>
    </row>
    <row r="497" spans="2:7" x14ac:dyDescent="0.25">
      <c r="B497" s="50"/>
      <c r="C497" s="19">
        <f>E202</f>
        <v>1.4646150000000002</v>
      </c>
      <c r="D497" s="52"/>
      <c r="E497" s="52"/>
      <c r="F497" s="55"/>
      <c r="G497" s="48"/>
    </row>
    <row r="498" spans="2:7" x14ac:dyDescent="0.25">
      <c r="B498" s="50"/>
      <c r="C498" s="19">
        <f>E211</f>
        <v>1.3909790000000006</v>
      </c>
      <c r="D498" s="52"/>
      <c r="E498" s="52"/>
      <c r="F498" s="55"/>
      <c r="G498" s="48"/>
    </row>
    <row r="499" spans="2:7" x14ac:dyDescent="0.25">
      <c r="B499" s="51"/>
      <c r="C499" s="19">
        <f>E220</f>
        <v>1.3908049999999994</v>
      </c>
      <c r="D499" s="52"/>
      <c r="E499" s="52"/>
      <c r="F499" s="55"/>
      <c r="G499" s="48"/>
    </row>
    <row r="500" spans="2:7" x14ac:dyDescent="0.25">
      <c r="B500" s="49" t="s">
        <v>108</v>
      </c>
      <c r="C500" s="19">
        <f>E139</f>
        <v>1.4296340000000001</v>
      </c>
      <c r="D500" s="52">
        <f>MAX(C500:C507)</f>
        <v>1.4299270000000002</v>
      </c>
      <c r="E500" s="52">
        <f>AVERAGE(C500:C507)</f>
        <v>1.4114790000000002</v>
      </c>
      <c r="F500" s="55">
        <f>D500/E500</f>
        <v>1.013069978370206</v>
      </c>
      <c r="G500" s="54" t="str">
        <f>IF(F500&gt;1.3,"IRREGULAR","REGULAR")</f>
        <v>REGULAR</v>
      </c>
    </row>
    <row r="501" spans="2:7" x14ac:dyDescent="0.25">
      <c r="B501" s="50"/>
      <c r="C501" s="19">
        <f>E152</f>
        <v>1.4296340000000001</v>
      </c>
      <c r="D501" s="52"/>
      <c r="E501" s="52"/>
      <c r="F501" s="55"/>
      <c r="G501" s="48"/>
    </row>
    <row r="502" spans="2:7" x14ac:dyDescent="0.25">
      <c r="B502" s="50"/>
      <c r="C502" s="19">
        <f>E165</f>
        <v>1.4296340000000001</v>
      </c>
      <c r="D502" s="52"/>
      <c r="E502" s="52"/>
      <c r="F502" s="55"/>
      <c r="G502" s="48"/>
    </row>
    <row r="503" spans="2:7" x14ac:dyDescent="0.25">
      <c r="B503" s="50"/>
      <c r="C503" s="19">
        <f>E181</f>
        <v>1.4299270000000002</v>
      </c>
      <c r="D503" s="52"/>
      <c r="E503" s="52"/>
      <c r="F503" s="55"/>
      <c r="G503" s="48"/>
    </row>
    <row r="504" spans="2:7" x14ac:dyDescent="0.25">
      <c r="B504" s="50"/>
      <c r="C504" s="19">
        <f>E194</f>
        <v>1.4299270000000002</v>
      </c>
      <c r="D504" s="52"/>
      <c r="E504" s="52"/>
      <c r="F504" s="55"/>
      <c r="G504" s="48"/>
    </row>
    <row r="505" spans="2:7" x14ac:dyDescent="0.25">
      <c r="B505" s="50"/>
      <c r="C505" s="19">
        <f>E203</f>
        <v>1.4299270000000002</v>
      </c>
      <c r="D505" s="52"/>
      <c r="E505" s="52"/>
      <c r="F505" s="55"/>
      <c r="G505" s="48"/>
    </row>
    <row r="506" spans="2:7" x14ac:dyDescent="0.25">
      <c r="B506" s="50"/>
      <c r="C506" s="19">
        <f>E212</f>
        <v>1.3566529999999997</v>
      </c>
      <c r="D506" s="52"/>
      <c r="E506" s="52"/>
      <c r="F506" s="55"/>
      <c r="G506" s="48"/>
    </row>
    <row r="507" spans="2:7" x14ac:dyDescent="0.25">
      <c r="B507" s="51"/>
      <c r="C507" s="19">
        <f>E221</f>
        <v>1.3564959999999999</v>
      </c>
      <c r="D507" s="52"/>
      <c r="E507" s="52"/>
      <c r="F507" s="55"/>
      <c r="G507" s="48"/>
    </row>
    <row r="508" spans="2:7" x14ac:dyDescent="0.25">
      <c r="B508" s="49" t="s">
        <v>109</v>
      </c>
      <c r="C508" s="19">
        <f>E140</f>
        <v>1.3491459999999997</v>
      </c>
      <c r="D508" s="52">
        <f>MAX(C508:C515)</f>
        <v>1.3493900000000001</v>
      </c>
      <c r="E508" s="52">
        <f>AVERAGE(C508:C515)</f>
        <v>1.3316263749999999</v>
      </c>
      <c r="F508" s="55">
        <f>D508/E508</f>
        <v>1.0133397966077387</v>
      </c>
      <c r="G508" s="54" t="str">
        <f>IF(F508&gt;1.3,"IRREGULAR","REGULAR")</f>
        <v>REGULAR</v>
      </c>
    </row>
    <row r="509" spans="2:7" x14ac:dyDescent="0.25">
      <c r="B509" s="50"/>
      <c r="C509" s="19">
        <f>E153</f>
        <v>1.3491459999999997</v>
      </c>
      <c r="D509" s="52"/>
      <c r="E509" s="52"/>
      <c r="F509" s="55"/>
      <c r="G509" s="48"/>
    </row>
    <row r="510" spans="2:7" x14ac:dyDescent="0.25">
      <c r="B510" s="50"/>
      <c r="C510" s="19">
        <f>E166</f>
        <v>1.3491459999999997</v>
      </c>
      <c r="D510" s="52"/>
      <c r="E510" s="52"/>
      <c r="F510" s="55"/>
      <c r="G510" s="48"/>
    </row>
    <row r="511" spans="2:7" x14ac:dyDescent="0.25">
      <c r="B511" s="50"/>
      <c r="C511" s="19">
        <f>E182</f>
        <v>1.3493900000000001</v>
      </c>
      <c r="D511" s="52"/>
      <c r="E511" s="52"/>
      <c r="F511" s="55"/>
      <c r="G511" s="48"/>
    </row>
    <row r="512" spans="2:7" x14ac:dyDescent="0.25">
      <c r="B512" s="50"/>
      <c r="C512" s="19">
        <f>E195</f>
        <v>1.3493900000000001</v>
      </c>
      <c r="D512" s="52"/>
      <c r="E512" s="52"/>
      <c r="F512" s="55"/>
      <c r="G512" s="48"/>
    </row>
    <row r="513" spans="2:7" x14ac:dyDescent="0.25">
      <c r="B513" s="50"/>
      <c r="C513" s="19">
        <f>E204</f>
        <v>1.3493900000000001</v>
      </c>
      <c r="D513" s="52"/>
      <c r="E513" s="52"/>
      <c r="F513" s="55"/>
      <c r="G513" s="48"/>
    </row>
    <row r="514" spans="2:7" x14ac:dyDescent="0.25">
      <c r="B514" s="50"/>
      <c r="C514" s="19">
        <f>E213</f>
        <v>1.278769</v>
      </c>
      <c r="D514" s="52"/>
      <c r="E514" s="52"/>
      <c r="F514" s="55"/>
      <c r="G514" s="48"/>
    </row>
    <row r="515" spans="2:7" x14ac:dyDescent="0.25">
      <c r="B515" s="51"/>
      <c r="C515" s="19">
        <f>E222</f>
        <v>1.2786340000000003</v>
      </c>
      <c r="D515" s="52"/>
      <c r="E515" s="52"/>
      <c r="F515" s="55"/>
      <c r="G515" s="48"/>
    </row>
    <row r="516" spans="2:7" x14ac:dyDescent="0.25">
      <c r="B516" s="49" t="s">
        <v>110</v>
      </c>
      <c r="C516" s="19">
        <f>E141</f>
        <v>1.2100500000000001</v>
      </c>
      <c r="D516" s="52">
        <f>MAX(C516:C523)</f>
        <v>1.2102449999999998</v>
      </c>
      <c r="E516" s="52">
        <f>AVERAGE(C516:C523)</f>
        <v>1.1939423749999998</v>
      </c>
      <c r="F516" s="55">
        <f>D516/E516</f>
        <v>1.0136544487752184</v>
      </c>
      <c r="G516" s="54" t="str">
        <f>IF(F516&gt;1.3,"IRREGULAR","REGULAR")</f>
        <v>REGULAR</v>
      </c>
    </row>
    <row r="517" spans="2:7" x14ac:dyDescent="0.25">
      <c r="B517" s="50"/>
      <c r="C517" s="19">
        <f>E154</f>
        <v>1.2100500000000001</v>
      </c>
      <c r="D517" s="52"/>
      <c r="E517" s="52"/>
      <c r="F517" s="55"/>
      <c r="G517" s="48"/>
    </row>
    <row r="518" spans="2:7" x14ac:dyDescent="0.25">
      <c r="B518" s="50"/>
      <c r="C518" s="19">
        <f>E167</f>
        <v>1.2100500000000001</v>
      </c>
      <c r="D518" s="52"/>
      <c r="E518" s="52"/>
      <c r="F518" s="55"/>
      <c r="G518" s="48"/>
    </row>
    <row r="519" spans="2:7" x14ac:dyDescent="0.25">
      <c r="B519" s="50"/>
      <c r="C519" s="19">
        <f>E183</f>
        <v>1.2102449999999998</v>
      </c>
      <c r="D519" s="52"/>
      <c r="E519" s="52"/>
      <c r="F519" s="55"/>
      <c r="G519" s="48"/>
    </row>
    <row r="520" spans="2:7" x14ac:dyDescent="0.25">
      <c r="B520" s="50"/>
      <c r="C520" s="19">
        <f>E196</f>
        <v>1.2102449999999998</v>
      </c>
      <c r="D520" s="52"/>
      <c r="E520" s="52"/>
      <c r="F520" s="55"/>
      <c r="G520" s="48"/>
    </row>
    <row r="521" spans="2:7" x14ac:dyDescent="0.25">
      <c r="B521" s="50"/>
      <c r="C521" s="19">
        <f>E205</f>
        <v>1.2102449999999998</v>
      </c>
      <c r="D521" s="52"/>
      <c r="E521" s="52"/>
      <c r="F521" s="55"/>
      <c r="G521" s="48"/>
    </row>
    <row r="522" spans="2:7" x14ac:dyDescent="0.25">
      <c r="B522" s="50"/>
      <c r="C522" s="19">
        <f>E214</f>
        <v>1.145384</v>
      </c>
      <c r="D522" s="52"/>
      <c r="E522" s="52"/>
      <c r="F522" s="55"/>
      <c r="G522" s="48"/>
    </row>
    <row r="523" spans="2:7" x14ac:dyDescent="0.25">
      <c r="B523" s="51"/>
      <c r="C523" s="19">
        <f>E223</f>
        <v>1.14527</v>
      </c>
      <c r="D523" s="52"/>
      <c r="E523" s="52"/>
      <c r="F523" s="55"/>
      <c r="G523" s="48"/>
    </row>
    <row r="524" spans="2:7" x14ac:dyDescent="0.25">
      <c r="B524" s="49" t="s">
        <v>111</v>
      </c>
      <c r="C524" s="19">
        <f>E142</f>
        <v>0.99348700000000001</v>
      </c>
      <c r="D524" s="52">
        <f>MAX(C524:C531)</f>
        <v>0.9936370000000001</v>
      </c>
      <c r="E524" s="52">
        <f>AVERAGE(C524:C531)</f>
        <v>0.97992437500000018</v>
      </c>
      <c r="F524" s="55">
        <f>D524/E524</f>
        <v>1.0139935543495384</v>
      </c>
      <c r="G524" s="54" t="str">
        <f>IF(F524&gt;1.3,"IRREGULAR","REGULAR")</f>
        <v>REGULAR</v>
      </c>
    </row>
    <row r="525" spans="2:7" x14ac:dyDescent="0.25">
      <c r="B525" s="50"/>
      <c r="C525" s="19">
        <f>E155</f>
        <v>0.99348700000000001</v>
      </c>
      <c r="D525" s="52"/>
      <c r="E525" s="52"/>
      <c r="F525" s="55"/>
      <c r="G525" s="48"/>
    </row>
    <row r="526" spans="2:7" x14ac:dyDescent="0.25">
      <c r="B526" s="50"/>
      <c r="C526" s="19">
        <f>E168</f>
        <v>0.99348700000000001</v>
      </c>
      <c r="D526" s="52"/>
      <c r="E526" s="52"/>
      <c r="F526" s="55"/>
      <c r="G526" s="48"/>
    </row>
    <row r="527" spans="2:7" x14ac:dyDescent="0.25">
      <c r="B527" s="50"/>
      <c r="C527" s="19">
        <f>E184</f>
        <v>0.9936370000000001</v>
      </c>
      <c r="D527" s="52"/>
      <c r="E527" s="52"/>
      <c r="F527" s="55"/>
      <c r="G527" s="48"/>
    </row>
    <row r="528" spans="2:7" x14ac:dyDescent="0.25">
      <c r="B528" s="50"/>
      <c r="C528" s="19">
        <f>E197</f>
        <v>0.9936370000000001</v>
      </c>
      <c r="D528" s="52"/>
      <c r="E528" s="52"/>
      <c r="F528" s="55"/>
      <c r="G528" s="48"/>
    </row>
    <row r="529" spans="2:7" x14ac:dyDescent="0.25">
      <c r="B529" s="50"/>
      <c r="C529" s="19">
        <f>E206</f>
        <v>0.9936370000000001</v>
      </c>
      <c r="D529" s="52"/>
      <c r="E529" s="52"/>
      <c r="F529" s="55"/>
      <c r="G529" s="48"/>
    </row>
    <row r="530" spans="2:7" x14ac:dyDescent="0.25">
      <c r="B530" s="50"/>
      <c r="C530" s="19">
        <f>E215</f>
        <v>0.93905800000000006</v>
      </c>
      <c r="D530" s="52"/>
      <c r="E530" s="52"/>
      <c r="F530" s="55"/>
      <c r="G530" s="48"/>
    </row>
    <row r="531" spans="2:7" x14ac:dyDescent="0.25">
      <c r="B531" s="51"/>
      <c r="C531" s="19">
        <f>E224</f>
        <v>0.93896500000000005</v>
      </c>
      <c r="D531" s="52"/>
      <c r="E531" s="52"/>
      <c r="F531" s="55"/>
      <c r="G531" s="48"/>
    </row>
    <row r="532" spans="2:7" x14ac:dyDescent="0.25">
      <c r="B532" s="49" t="s">
        <v>112</v>
      </c>
      <c r="C532" s="19">
        <f>E143</f>
        <v>0.65899300000000005</v>
      </c>
      <c r="D532" s="52">
        <f>MAX(C532:C539)</f>
        <v>0.65908500000000003</v>
      </c>
      <c r="E532" s="52">
        <f>AVERAGE(C532:C539)</f>
        <v>0.64989387500000007</v>
      </c>
      <c r="F532" s="55">
        <f>D532/E532</f>
        <v>1.0141425013430077</v>
      </c>
      <c r="G532" s="54" t="str">
        <f>IF(F532&gt;1.3,"IRREGULAR","REGULAR")</f>
        <v>REGULAR</v>
      </c>
    </row>
    <row r="533" spans="2:7" x14ac:dyDescent="0.25">
      <c r="B533" s="50"/>
      <c r="C533" s="19">
        <f>E156</f>
        <v>0.65899300000000005</v>
      </c>
      <c r="D533" s="52"/>
      <c r="E533" s="52"/>
      <c r="F533" s="55"/>
      <c r="G533" s="48"/>
    </row>
    <row r="534" spans="2:7" x14ac:dyDescent="0.25">
      <c r="B534" s="50"/>
      <c r="C534" s="19">
        <f>E169</f>
        <v>0.65899300000000005</v>
      </c>
      <c r="D534" s="52"/>
      <c r="E534" s="52"/>
      <c r="F534" s="55"/>
      <c r="G534" s="48"/>
    </row>
    <row r="535" spans="2:7" x14ac:dyDescent="0.25">
      <c r="B535" s="50"/>
      <c r="C535" s="19">
        <f>E185</f>
        <v>0.65908500000000003</v>
      </c>
      <c r="D535" s="52"/>
      <c r="E535" s="52"/>
      <c r="F535" s="55"/>
      <c r="G535" s="48"/>
    </row>
    <row r="536" spans="2:7" x14ac:dyDescent="0.25">
      <c r="B536" s="50"/>
      <c r="C536" s="19">
        <f>E198</f>
        <v>0.65908500000000003</v>
      </c>
      <c r="D536" s="52"/>
      <c r="E536" s="52"/>
      <c r="F536" s="55"/>
      <c r="G536" s="48"/>
    </row>
    <row r="537" spans="2:7" x14ac:dyDescent="0.25">
      <c r="B537" s="50"/>
      <c r="C537" s="19">
        <f>E207</f>
        <v>0.65908500000000003</v>
      </c>
      <c r="D537" s="52"/>
      <c r="E537" s="52"/>
      <c r="F537" s="55"/>
      <c r="G537" s="48"/>
    </row>
    <row r="538" spans="2:7" x14ac:dyDescent="0.25">
      <c r="B538" s="50"/>
      <c r="C538" s="19">
        <f>E216</f>
        <v>0.62248899999999996</v>
      </c>
      <c r="D538" s="52"/>
      <c r="E538" s="52"/>
      <c r="F538" s="55"/>
      <c r="G538" s="48"/>
    </row>
    <row r="539" spans="2:7" x14ac:dyDescent="0.25">
      <c r="B539" s="51"/>
      <c r="C539" s="19">
        <f>E225</f>
        <v>0.62242799999999998</v>
      </c>
      <c r="D539" s="52"/>
      <c r="E539" s="52"/>
      <c r="F539" s="55"/>
      <c r="G539" s="48"/>
    </row>
    <row r="540" spans="2:7" x14ac:dyDescent="0.25">
      <c r="B540" s="30" t="s">
        <v>113</v>
      </c>
      <c r="C540" s="56">
        <f>E144</f>
        <v>5.1603000000000003E-2</v>
      </c>
      <c r="D540" s="52">
        <f>MAX(C540:C548)</f>
        <v>5.1603000000000003E-2</v>
      </c>
      <c r="E540" s="52">
        <f>AVERAGE(C540:C548)</f>
        <v>5.1336555555555559E-2</v>
      </c>
      <c r="F540" s="55">
        <f>D540/E540</f>
        <v>1.0051901504018146</v>
      </c>
      <c r="G540" s="54" t="str">
        <f>IF(F540&gt;1.3,"IRREGULAR","REGULAR")</f>
        <v>REGULAR</v>
      </c>
    </row>
    <row r="541" spans="2:7" x14ac:dyDescent="0.25">
      <c r="B541" s="30"/>
      <c r="C541" s="56">
        <f>E157</f>
        <v>5.1603000000000003E-2</v>
      </c>
      <c r="D541" s="52"/>
      <c r="E541" s="52"/>
      <c r="F541" s="55"/>
      <c r="G541" s="48"/>
    </row>
    <row r="542" spans="2:7" x14ac:dyDescent="0.25">
      <c r="B542" s="30"/>
      <c r="C542" s="56">
        <f>E170</f>
        <v>5.1603000000000003E-2</v>
      </c>
      <c r="D542" s="52"/>
      <c r="E542" s="52"/>
      <c r="F542" s="55"/>
      <c r="G542" s="48"/>
    </row>
    <row r="543" spans="2:7" x14ac:dyDescent="0.25">
      <c r="B543" s="30"/>
      <c r="C543" s="56">
        <f>E173</f>
        <v>5.1603000000000003E-2</v>
      </c>
      <c r="D543" s="52"/>
      <c r="E543" s="52"/>
      <c r="F543" s="55"/>
      <c r="G543" s="48"/>
    </row>
    <row r="544" spans="2:7" x14ac:dyDescent="0.25">
      <c r="B544" s="30"/>
      <c r="C544" s="56">
        <f>E186</f>
        <v>5.1603000000000003E-2</v>
      </c>
      <c r="D544" s="52"/>
      <c r="E544" s="52"/>
      <c r="F544" s="55"/>
      <c r="G544" s="48"/>
    </row>
    <row r="545" spans="2:7" x14ac:dyDescent="0.25">
      <c r="B545" s="30"/>
      <c r="C545" s="56">
        <f>E199</f>
        <v>5.1603000000000003E-2</v>
      </c>
      <c r="D545" s="52"/>
      <c r="E545" s="52"/>
      <c r="F545" s="55"/>
      <c r="G545" s="48"/>
    </row>
    <row r="546" spans="2:7" x14ac:dyDescent="0.25">
      <c r="B546" s="30"/>
      <c r="C546" s="56">
        <f>E208</f>
        <v>5.1603000000000003E-2</v>
      </c>
      <c r="D546" s="52"/>
      <c r="E546" s="52"/>
      <c r="F546" s="55"/>
      <c r="G546" s="48"/>
    </row>
    <row r="547" spans="2:7" x14ac:dyDescent="0.25">
      <c r="B547" s="30"/>
      <c r="C547" s="56">
        <f>E217</f>
        <v>5.0404999999999998E-2</v>
      </c>
      <c r="D547" s="52"/>
      <c r="E547" s="52"/>
      <c r="F547" s="55"/>
      <c r="G547" s="48"/>
    </row>
    <row r="548" spans="2:7" x14ac:dyDescent="0.25">
      <c r="B548" s="30"/>
      <c r="C548" s="56">
        <f>E226</f>
        <v>5.0403000000000003E-2</v>
      </c>
      <c r="D548" s="52"/>
      <c r="E548" s="52"/>
      <c r="F548" s="55"/>
      <c r="G548" s="48"/>
    </row>
    <row r="549" spans="2:7" x14ac:dyDescent="0.25">
      <c r="B549" s="30" t="s">
        <v>114</v>
      </c>
      <c r="C549" s="56">
        <f>E145</f>
        <v>0</v>
      </c>
      <c r="D549" s="52">
        <f>MAX(C549:C557)</f>
        <v>0</v>
      </c>
      <c r="E549" s="52">
        <f>AVERAGE(C549:C557)</f>
        <v>0</v>
      </c>
      <c r="F549" s="55">
        <v>0</v>
      </c>
      <c r="G549" s="54" t="str">
        <f>IF(F549&gt;1.3,"IRREGULAR","REGULAR")</f>
        <v>REGULAR</v>
      </c>
    </row>
    <row r="550" spans="2:7" x14ac:dyDescent="0.25">
      <c r="B550" s="30"/>
      <c r="C550" s="56">
        <f>E158</f>
        <v>0</v>
      </c>
      <c r="D550" s="52"/>
      <c r="E550" s="52"/>
      <c r="F550" s="55"/>
      <c r="G550" s="48"/>
    </row>
    <row r="551" spans="2:7" x14ac:dyDescent="0.25">
      <c r="B551" s="30"/>
      <c r="C551" s="56">
        <f>E171</f>
        <v>0</v>
      </c>
      <c r="D551" s="52"/>
      <c r="E551" s="52"/>
      <c r="F551" s="55"/>
      <c r="G551" s="48"/>
    </row>
    <row r="552" spans="2:7" x14ac:dyDescent="0.25">
      <c r="B552" s="30"/>
      <c r="C552" s="56">
        <f>E174</f>
        <v>0</v>
      </c>
      <c r="D552" s="52"/>
      <c r="E552" s="52"/>
      <c r="F552" s="55"/>
      <c r="G552" s="48"/>
    </row>
    <row r="553" spans="2:7" x14ac:dyDescent="0.25">
      <c r="B553" s="30"/>
      <c r="C553" s="56">
        <f>E187</f>
        <v>0</v>
      </c>
      <c r="D553" s="52"/>
      <c r="E553" s="52"/>
      <c r="F553" s="55"/>
      <c r="G553" s="48"/>
    </row>
    <row r="554" spans="2:7" x14ac:dyDescent="0.25">
      <c r="B554" s="30"/>
      <c r="C554" s="56">
        <f>E200</f>
        <v>0</v>
      </c>
      <c r="D554" s="52"/>
      <c r="E554" s="52"/>
      <c r="F554" s="55"/>
      <c r="G554" s="48"/>
    </row>
    <row r="555" spans="2:7" x14ac:dyDescent="0.25">
      <c r="B555" s="30"/>
      <c r="C555" s="56">
        <f>E209</f>
        <v>0</v>
      </c>
      <c r="D555" s="52"/>
      <c r="E555" s="52"/>
      <c r="F555" s="55"/>
      <c r="G555" s="48"/>
    </row>
    <row r="556" spans="2:7" x14ac:dyDescent="0.25">
      <c r="B556" s="30"/>
      <c r="C556" s="56">
        <f>E218</f>
        <v>0</v>
      </c>
      <c r="D556" s="52"/>
      <c r="E556" s="52"/>
      <c r="F556" s="55"/>
      <c r="G556" s="48"/>
    </row>
    <row r="557" spans="2:7" x14ac:dyDescent="0.25">
      <c r="B557" s="30"/>
      <c r="C557" s="56">
        <f>E227</f>
        <v>0</v>
      </c>
      <c r="D557" s="52"/>
      <c r="E557" s="52"/>
      <c r="F557" s="55"/>
      <c r="G557" s="48"/>
    </row>
    <row r="564" spans="2:6" x14ac:dyDescent="0.25">
      <c r="B564" s="6" t="s">
        <v>104</v>
      </c>
    </row>
    <row r="566" spans="2:6" x14ac:dyDescent="0.25">
      <c r="B566" s="16" t="s">
        <v>168</v>
      </c>
      <c r="C566" s="16" t="s">
        <v>181</v>
      </c>
      <c r="D566" s="57" t="s">
        <v>186</v>
      </c>
      <c r="E566" s="58" t="s">
        <v>180</v>
      </c>
      <c r="F566" s="58"/>
    </row>
    <row r="567" spans="2:6" x14ac:dyDescent="0.25">
      <c r="B567" s="13" t="s">
        <v>123</v>
      </c>
      <c r="C567" s="19">
        <v>20.5</v>
      </c>
      <c r="D567" s="19">
        <v>1.5</v>
      </c>
      <c r="E567" s="19">
        <f t="shared" ref="E567:E576" si="100">0.2*C567</f>
        <v>4.1000000000000005</v>
      </c>
      <c r="F567" s="47" t="str">
        <f t="shared" ref="F567:F576" si="101">IF(D567&gt;E567,"IRREGULAR","REGULAR")</f>
        <v>REGULAR</v>
      </c>
    </row>
    <row r="568" spans="2:6" x14ac:dyDescent="0.25">
      <c r="B568" s="13" t="s">
        <v>124</v>
      </c>
      <c r="C568" s="19">
        <v>20.5</v>
      </c>
      <c r="D568" s="19">
        <v>1.5</v>
      </c>
      <c r="E568" s="19">
        <f t="shared" si="100"/>
        <v>4.1000000000000005</v>
      </c>
      <c r="F568" s="47" t="str">
        <f t="shared" si="101"/>
        <v>REGULAR</v>
      </c>
    </row>
    <row r="569" spans="2:6" x14ac:dyDescent="0.25">
      <c r="B569" s="13" t="s">
        <v>125</v>
      </c>
      <c r="C569" s="19">
        <v>20.5</v>
      </c>
      <c r="D569" s="19">
        <v>1.5</v>
      </c>
      <c r="E569" s="19">
        <f t="shared" si="100"/>
        <v>4.1000000000000005</v>
      </c>
      <c r="F569" s="47" t="str">
        <f t="shared" si="101"/>
        <v>REGULAR</v>
      </c>
    </row>
    <row r="570" spans="2:6" x14ac:dyDescent="0.25">
      <c r="B570" s="13" t="s">
        <v>126</v>
      </c>
      <c r="C570" s="19">
        <v>20.5</v>
      </c>
      <c r="D570" s="19">
        <v>1.5</v>
      </c>
      <c r="E570" s="19">
        <f t="shared" si="100"/>
        <v>4.1000000000000005</v>
      </c>
      <c r="F570" s="47" t="str">
        <f t="shared" si="101"/>
        <v>REGULAR</v>
      </c>
    </row>
    <row r="571" spans="2:6" x14ac:dyDescent="0.25">
      <c r="B571" s="13" t="s">
        <v>107</v>
      </c>
      <c r="C571" s="19">
        <v>20.5</v>
      </c>
      <c r="D571" s="19">
        <v>5</v>
      </c>
      <c r="E571" s="19">
        <f t="shared" si="100"/>
        <v>4.1000000000000005</v>
      </c>
      <c r="F571" s="47" t="str">
        <f t="shared" si="101"/>
        <v>IRREGULAR</v>
      </c>
    </row>
    <row r="572" spans="2:6" x14ac:dyDescent="0.25">
      <c r="B572" s="13" t="s">
        <v>108</v>
      </c>
      <c r="C572" s="19">
        <v>20.5</v>
      </c>
      <c r="D572" s="19">
        <v>5</v>
      </c>
      <c r="E572" s="19">
        <f t="shared" si="100"/>
        <v>4.1000000000000005</v>
      </c>
      <c r="F572" s="47" t="str">
        <f t="shared" si="101"/>
        <v>IRREGULAR</v>
      </c>
    </row>
    <row r="573" spans="2:6" x14ac:dyDescent="0.25">
      <c r="B573" s="13" t="s">
        <v>109</v>
      </c>
      <c r="C573" s="19">
        <v>20.5</v>
      </c>
      <c r="D573" s="19">
        <v>5</v>
      </c>
      <c r="E573" s="19">
        <f t="shared" si="100"/>
        <v>4.1000000000000005</v>
      </c>
      <c r="F573" s="47" t="str">
        <f t="shared" si="101"/>
        <v>IRREGULAR</v>
      </c>
    </row>
    <row r="574" spans="2:6" x14ac:dyDescent="0.25">
      <c r="B574" s="13" t="s">
        <v>110</v>
      </c>
      <c r="C574" s="19">
        <v>20.5</v>
      </c>
      <c r="D574" s="19">
        <v>5</v>
      </c>
      <c r="E574" s="19">
        <f t="shared" si="100"/>
        <v>4.1000000000000005</v>
      </c>
      <c r="F574" s="47" t="str">
        <f t="shared" si="101"/>
        <v>IRREGULAR</v>
      </c>
    </row>
    <row r="575" spans="2:6" x14ac:dyDescent="0.25">
      <c r="B575" s="13" t="s">
        <v>111</v>
      </c>
      <c r="C575" s="19">
        <v>20.5</v>
      </c>
      <c r="D575" s="19">
        <v>5</v>
      </c>
      <c r="E575" s="19">
        <f t="shared" si="100"/>
        <v>4.1000000000000005</v>
      </c>
      <c r="F575" s="47" t="str">
        <f t="shared" si="101"/>
        <v>IRREGULAR</v>
      </c>
    </row>
    <row r="576" spans="2:6" x14ac:dyDescent="0.25">
      <c r="B576" s="13" t="s">
        <v>112</v>
      </c>
      <c r="C576" s="19">
        <v>20.5</v>
      </c>
      <c r="D576" s="19">
        <v>5</v>
      </c>
      <c r="E576" s="19">
        <f t="shared" si="100"/>
        <v>4.1000000000000005</v>
      </c>
      <c r="F576" s="47" t="str">
        <f t="shared" si="101"/>
        <v>IRREGULAR</v>
      </c>
    </row>
    <row r="577" spans="2:6" x14ac:dyDescent="0.25">
      <c r="B577" s="13" t="s">
        <v>113</v>
      </c>
      <c r="C577" s="19">
        <v>20.5</v>
      </c>
      <c r="D577" s="19">
        <v>1.5</v>
      </c>
      <c r="E577" s="19">
        <f>0.2*C577</f>
        <v>4.1000000000000005</v>
      </c>
      <c r="F577" s="47" t="str">
        <f>IF(D577&gt;E577,"IRREGULAR","REGULAR")</f>
        <v>REGULAR</v>
      </c>
    </row>
    <row r="578" spans="2:6" x14ac:dyDescent="0.25">
      <c r="B578" s="13" t="s">
        <v>114</v>
      </c>
      <c r="C578" s="19">
        <v>20.5</v>
      </c>
      <c r="D578" s="19">
        <v>0</v>
      </c>
      <c r="E578" s="19">
        <f>0.2*C578</f>
        <v>4.1000000000000005</v>
      </c>
      <c r="F578" s="47" t="str">
        <f>IF(D578&gt;E578,"IRREGULAR","REGULAR")</f>
        <v>REGULAR</v>
      </c>
    </row>
    <row r="579" spans="2:6" x14ac:dyDescent="0.25">
      <c r="B579" s="48"/>
      <c r="C579" s="48"/>
    </row>
    <row r="580" spans="2:6" x14ac:dyDescent="0.25">
      <c r="B580" s="6" t="s">
        <v>105</v>
      </c>
      <c r="C580" s="48"/>
    </row>
    <row r="581" spans="2:6" x14ac:dyDescent="0.25">
      <c r="B581" s="48"/>
      <c r="C581" s="48"/>
    </row>
    <row r="582" spans="2:6" x14ac:dyDescent="0.25">
      <c r="B582" s="16" t="s">
        <v>168</v>
      </c>
      <c r="C582" s="16" t="s">
        <v>181</v>
      </c>
      <c r="D582" s="57" t="s">
        <v>186</v>
      </c>
      <c r="E582" s="58" t="s">
        <v>180</v>
      </c>
      <c r="F582" s="58"/>
    </row>
    <row r="583" spans="2:6" x14ac:dyDescent="0.25">
      <c r="B583" s="13" t="s">
        <v>123</v>
      </c>
      <c r="C583" s="19">
        <v>25</v>
      </c>
      <c r="D583" s="19">
        <v>1.5</v>
      </c>
      <c r="E583" s="19">
        <f t="shared" ref="E583:E592" si="102">0.2*C583</f>
        <v>5</v>
      </c>
      <c r="F583" s="47" t="str">
        <f t="shared" ref="F583:F592" si="103">IF(D583&gt;E583,"IRREGULAR","REGULAR")</f>
        <v>REGULAR</v>
      </c>
    </row>
    <row r="584" spans="2:6" x14ac:dyDescent="0.25">
      <c r="B584" s="13" t="s">
        <v>124</v>
      </c>
      <c r="C584" s="19">
        <v>25</v>
      </c>
      <c r="D584" s="19">
        <v>1.5</v>
      </c>
      <c r="E584" s="19">
        <f t="shared" si="102"/>
        <v>5</v>
      </c>
      <c r="F584" s="47" t="str">
        <f t="shared" si="103"/>
        <v>REGULAR</v>
      </c>
    </row>
    <row r="585" spans="2:6" x14ac:dyDescent="0.25">
      <c r="B585" s="13" t="s">
        <v>125</v>
      </c>
      <c r="C585" s="19">
        <v>25</v>
      </c>
      <c r="D585" s="19">
        <v>1.5</v>
      </c>
      <c r="E585" s="19">
        <f t="shared" si="102"/>
        <v>5</v>
      </c>
      <c r="F585" s="47" t="str">
        <f t="shared" si="103"/>
        <v>REGULAR</v>
      </c>
    </row>
    <row r="586" spans="2:6" x14ac:dyDescent="0.25">
      <c r="B586" s="13" t="s">
        <v>126</v>
      </c>
      <c r="C586" s="19">
        <v>25</v>
      </c>
      <c r="D586" s="19">
        <v>1.5</v>
      </c>
      <c r="E586" s="19">
        <f t="shared" si="102"/>
        <v>5</v>
      </c>
      <c r="F586" s="47" t="str">
        <f t="shared" si="103"/>
        <v>REGULAR</v>
      </c>
    </row>
    <row r="587" spans="2:6" x14ac:dyDescent="0.25">
      <c r="B587" s="13" t="s">
        <v>107</v>
      </c>
      <c r="C587" s="19">
        <v>41</v>
      </c>
      <c r="D587" s="19">
        <v>8</v>
      </c>
      <c r="E587" s="19">
        <f t="shared" si="102"/>
        <v>8.2000000000000011</v>
      </c>
      <c r="F587" s="47" t="str">
        <f t="shared" si="103"/>
        <v>REGULAR</v>
      </c>
    </row>
    <row r="588" spans="2:6" x14ac:dyDescent="0.25">
      <c r="B588" s="13" t="s">
        <v>108</v>
      </c>
      <c r="C588" s="19">
        <v>41</v>
      </c>
      <c r="D588" s="19">
        <v>8</v>
      </c>
      <c r="E588" s="19">
        <f t="shared" si="102"/>
        <v>8.2000000000000011</v>
      </c>
      <c r="F588" s="47" t="str">
        <f t="shared" si="103"/>
        <v>REGULAR</v>
      </c>
    </row>
    <row r="589" spans="2:6" x14ac:dyDescent="0.25">
      <c r="B589" s="13" t="s">
        <v>109</v>
      </c>
      <c r="C589" s="19">
        <v>41</v>
      </c>
      <c r="D589" s="19">
        <v>8</v>
      </c>
      <c r="E589" s="19">
        <f t="shared" si="102"/>
        <v>8.2000000000000011</v>
      </c>
      <c r="F589" s="47" t="str">
        <f t="shared" si="103"/>
        <v>REGULAR</v>
      </c>
    </row>
    <row r="590" spans="2:6" x14ac:dyDescent="0.25">
      <c r="B590" s="13" t="s">
        <v>110</v>
      </c>
      <c r="C590" s="19">
        <v>41</v>
      </c>
      <c r="D590" s="19">
        <v>8</v>
      </c>
      <c r="E590" s="19">
        <f t="shared" si="102"/>
        <v>8.2000000000000011</v>
      </c>
      <c r="F590" s="47" t="str">
        <f t="shared" si="103"/>
        <v>REGULAR</v>
      </c>
    </row>
    <row r="591" spans="2:6" x14ac:dyDescent="0.25">
      <c r="B591" s="13" t="s">
        <v>111</v>
      </c>
      <c r="C591" s="19">
        <v>41</v>
      </c>
      <c r="D591" s="19">
        <v>8</v>
      </c>
      <c r="E591" s="19">
        <f t="shared" si="102"/>
        <v>8.2000000000000011</v>
      </c>
      <c r="F591" s="47" t="str">
        <f t="shared" si="103"/>
        <v>REGULAR</v>
      </c>
    </row>
    <row r="592" spans="2:6" x14ac:dyDescent="0.25">
      <c r="B592" s="13" t="s">
        <v>112</v>
      </c>
      <c r="C592" s="19">
        <v>41</v>
      </c>
      <c r="D592" s="19">
        <v>8</v>
      </c>
      <c r="E592" s="19">
        <f t="shared" si="102"/>
        <v>8.2000000000000011</v>
      </c>
      <c r="F592" s="47" t="str">
        <f t="shared" si="103"/>
        <v>REGULAR</v>
      </c>
    </row>
    <row r="593" spans="2:6" x14ac:dyDescent="0.25">
      <c r="B593" s="13" t="s">
        <v>113</v>
      </c>
      <c r="C593" s="19">
        <v>41</v>
      </c>
      <c r="D593" s="19">
        <v>0</v>
      </c>
      <c r="E593" s="19">
        <f>0.2*C593</f>
        <v>8.2000000000000011</v>
      </c>
      <c r="F593" s="47" t="str">
        <f>IF(D593&gt;E593,"IRREGULAR","REGULAR")</f>
        <v>REGULAR</v>
      </c>
    </row>
    <row r="594" spans="2:6" x14ac:dyDescent="0.25">
      <c r="B594" s="13" t="s">
        <v>114</v>
      </c>
      <c r="C594" s="19">
        <v>41</v>
      </c>
      <c r="D594" s="19">
        <v>0</v>
      </c>
      <c r="E594" s="19">
        <f>0.2*C594</f>
        <v>8.2000000000000011</v>
      </c>
      <c r="F594" s="47" t="str">
        <f>IF(D594&gt;E594,"IRREGULAR","REGULAR")</f>
        <v>REGULAR</v>
      </c>
    </row>
    <row r="606" spans="2:6" x14ac:dyDescent="0.25">
      <c r="B606" t="s">
        <v>187</v>
      </c>
    </row>
    <row r="607" spans="2:6" x14ac:dyDescent="0.25">
      <c r="B607" t="s">
        <v>188</v>
      </c>
    </row>
    <row r="616" spans="2:2" x14ac:dyDescent="0.25">
      <c r="B616" t="s">
        <v>189</v>
      </c>
    </row>
  </sheetData>
  <mergeCells count="127">
    <mergeCell ref="E566:F566"/>
    <mergeCell ref="E582:F582"/>
    <mergeCell ref="B540:B548"/>
    <mergeCell ref="D540:D548"/>
    <mergeCell ref="E540:E548"/>
    <mergeCell ref="F540:F548"/>
    <mergeCell ref="B549:B557"/>
    <mergeCell ref="D549:D557"/>
    <mergeCell ref="E549:E557"/>
    <mergeCell ref="F549:F557"/>
    <mergeCell ref="B524:B531"/>
    <mergeCell ref="D524:D531"/>
    <mergeCell ref="E524:E531"/>
    <mergeCell ref="F524:F531"/>
    <mergeCell ref="B532:B539"/>
    <mergeCell ref="D532:D539"/>
    <mergeCell ref="E532:E539"/>
    <mergeCell ref="F532:F539"/>
    <mergeCell ref="B508:B515"/>
    <mergeCell ref="D508:D515"/>
    <mergeCell ref="E508:E515"/>
    <mergeCell ref="F508:F515"/>
    <mergeCell ref="B516:B523"/>
    <mergeCell ref="D516:D523"/>
    <mergeCell ref="E516:E523"/>
    <mergeCell ref="F516:F523"/>
    <mergeCell ref="B492:B499"/>
    <mergeCell ref="D492:D499"/>
    <mergeCell ref="E492:E499"/>
    <mergeCell ref="F492:F499"/>
    <mergeCell ref="B500:B507"/>
    <mergeCell ref="D500:D507"/>
    <mergeCell ref="E500:E507"/>
    <mergeCell ref="F500:F507"/>
    <mergeCell ref="B484:B487"/>
    <mergeCell ref="D484:D487"/>
    <mergeCell ref="E484:E487"/>
    <mergeCell ref="F484:F487"/>
    <mergeCell ref="B488:B491"/>
    <mergeCell ref="D488:D491"/>
    <mergeCell ref="E488:E491"/>
    <mergeCell ref="F488:F491"/>
    <mergeCell ref="B476:B479"/>
    <mergeCell ref="D476:D479"/>
    <mergeCell ref="E476:E479"/>
    <mergeCell ref="F476:F479"/>
    <mergeCell ref="B480:B483"/>
    <mergeCell ref="D480:D483"/>
    <mergeCell ref="E480:E483"/>
    <mergeCell ref="F480:F483"/>
    <mergeCell ref="D452:D461"/>
    <mergeCell ref="E452:E461"/>
    <mergeCell ref="F452:F461"/>
    <mergeCell ref="D462:D471"/>
    <mergeCell ref="E462:E471"/>
    <mergeCell ref="F462:F471"/>
    <mergeCell ref="F428:F435"/>
    <mergeCell ref="D436:D443"/>
    <mergeCell ref="E436:E443"/>
    <mergeCell ref="F436:F443"/>
    <mergeCell ref="D444:D451"/>
    <mergeCell ref="E444:E451"/>
    <mergeCell ref="F444:F451"/>
    <mergeCell ref="F404:F411"/>
    <mergeCell ref="D412:D419"/>
    <mergeCell ref="E412:E419"/>
    <mergeCell ref="F412:F419"/>
    <mergeCell ref="D420:D427"/>
    <mergeCell ref="E420:E427"/>
    <mergeCell ref="F420:F427"/>
    <mergeCell ref="F392:F395"/>
    <mergeCell ref="D396:D399"/>
    <mergeCell ref="E396:E399"/>
    <mergeCell ref="F396:F399"/>
    <mergeCell ref="D400:D403"/>
    <mergeCell ref="E400:E403"/>
    <mergeCell ref="F400:F403"/>
    <mergeCell ref="B452:B461"/>
    <mergeCell ref="B462:B471"/>
    <mergeCell ref="D388:D391"/>
    <mergeCell ref="E388:E391"/>
    <mergeCell ref="D392:D395"/>
    <mergeCell ref="E392:E395"/>
    <mergeCell ref="D404:D411"/>
    <mergeCell ref="E404:E411"/>
    <mergeCell ref="D428:D435"/>
    <mergeCell ref="E428:E435"/>
    <mergeCell ref="B412:B419"/>
    <mergeCell ref="B420:B427"/>
    <mergeCell ref="B428:B435"/>
    <mergeCell ref="B436:B443"/>
    <mergeCell ref="B444:B451"/>
    <mergeCell ref="B392:B395"/>
    <mergeCell ref="B396:B399"/>
    <mergeCell ref="B400:B403"/>
    <mergeCell ref="B404:B411"/>
    <mergeCell ref="D333:E333"/>
    <mergeCell ref="F333:G333"/>
    <mergeCell ref="D349:E349"/>
    <mergeCell ref="F349:G349"/>
    <mergeCell ref="B388:B391"/>
    <mergeCell ref="F388:F391"/>
    <mergeCell ref="I268:J268"/>
    <mergeCell ref="D292:E292"/>
    <mergeCell ref="D311:E311"/>
    <mergeCell ref="F311:G311"/>
    <mergeCell ref="B8:F8"/>
    <mergeCell ref="B38:B46"/>
    <mergeCell ref="B138:B146"/>
    <mergeCell ref="B47:B59"/>
    <mergeCell ref="G268:H268"/>
    <mergeCell ref="B60:B72"/>
    <mergeCell ref="B160:B172"/>
    <mergeCell ref="B73:B75"/>
    <mergeCell ref="B173:B175"/>
    <mergeCell ref="B76:B78"/>
    <mergeCell ref="B79:B91"/>
    <mergeCell ref="B211:B219"/>
    <mergeCell ref="B123:B131"/>
    <mergeCell ref="B220:B228"/>
    <mergeCell ref="B176:B188"/>
    <mergeCell ref="B92:B104"/>
    <mergeCell ref="B189:B201"/>
    <mergeCell ref="B105:B113"/>
    <mergeCell ref="B202:B210"/>
    <mergeCell ref="B114:B122"/>
    <mergeCell ref="B147:B159"/>
  </mergeCells>
  <phoneticPr fontId="1" type="noConversion"/>
  <pageMargins left="0.7" right="0.7" top="0.75" bottom="0.75" header="0.3" footer="0.3"/>
  <ignoredErrors>
    <ignoredError sqref="F313:F320 F335:F342 F351:F358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1E31-003C-4E1B-A546-99C0B3B8097F}">
  <dimension ref="B2:J139"/>
  <sheetViews>
    <sheetView workbookViewId="0">
      <selection activeCell="J143" sqref="J143"/>
    </sheetView>
  </sheetViews>
  <sheetFormatPr baseColWidth="10" defaultRowHeight="15" x14ac:dyDescent="0.25"/>
  <cols>
    <col min="2" max="2" width="13.140625" customWidth="1"/>
  </cols>
  <sheetData>
    <row r="2" spans="2:10" x14ac:dyDescent="0.25">
      <c r="B2" s="6" t="s">
        <v>157</v>
      </c>
      <c r="C2" s="29">
        <f>I21+I23+0.25*I25</f>
        <v>850.999034166</v>
      </c>
      <c r="D2" s="6" t="s">
        <v>155</v>
      </c>
    </row>
    <row r="4" spans="2:10" x14ac:dyDescent="0.25">
      <c r="B4" t="s">
        <v>13</v>
      </c>
      <c r="C4" t="s">
        <v>154</v>
      </c>
      <c r="D4">
        <v>58</v>
      </c>
      <c r="E4">
        <v>3</v>
      </c>
      <c r="F4">
        <v>0.4</v>
      </c>
      <c r="G4">
        <v>0.5</v>
      </c>
      <c r="H4" s="3">
        <v>2.4028</v>
      </c>
      <c r="I4" s="3">
        <f t="shared" ref="I4:I13" si="0">D4*E4*F4*G4*H4</f>
        <v>83.617440000000016</v>
      </c>
      <c r="J4" t="s">
        <v>155</v>
      </c>
    </row>
    <row r="5" spans="2:10" x14ac:dyDescent="0.25">
      <c r="C5" t="s">
        <v>156</v>
      </c>
      <c r="D5">
        <v>2</v>
      </c>
      <c r="E5">
        <f>3.5*3</f>
        <v>10.5</v>
      </c>
      <c r="F5">
        <v>0.25</v>
      </c>
      <c r="G5">
        <v>0.4</v>
      </c>
      <c r="H5" s="3">
        <v>2.4028</v>
      </c>
      <c r="I5" s="3">
        <f t="shared" si="0"/>
        <v>5.0458800000000004</v>
      </c>
      <c r="J5" t="s">
        <v>155</v>
      </c>
    </row>
    <row r="6" spans="2:10" x14ac:dyDescent="0.25">
      <c r="D6">
        <v>4</v>
      </c>
      <c r="E6">
        <f>3.5*3+5</f>
        <v>15.5</v>
      </c>
      <c r="F6">
        <v>0.25</v>
      </c>
      <c r="G6">
        <v>0.4</v>
      </c>
      <c r="H6" s="3">
        <v>2.4028</v>
      </c>
      <c r="I6" s="3">
        <f t="shared" si="0"/>
        <v>14.897360000000001</v>
      </c>
      <c r="J6" t="s">
        <v>155</v>
      </c>
    </row>
    <row r="7" spans="2:10" x14ac:dyDescent="0.25">
      <c r="D7">
        <v>4</v>
      </c>
      <c r="E7">
        <f>3.5*3+5*2</f>
        <v>20.5</v>
      </c>
      <c r="F7">
        <v>0.25</v>
      </c>
      <c r="G7">
        <v>0.4</v>
      </c>
      <c r="H7" s="3">
        <v>2.4028</v>
      </c>
      <c r="I7" s="3">
        <f t="shared" si="0"/>
        <v>19.702960000000004</v>
      </c>
      <c r="J7" t="s">
        <v>155</v>
      </c>
    </row>
    <row r="8" spans="2:10" x14ac:dyDescent="0.25">
      <c r="D8">
        <v>2</v>
      </c>
      <c r="E8">
        <f>4*5+2*4</f>
        <v>28</v>
      </c>
      <c r="F8">
        <v>0.25</v>
      </c>
      <c r="G8">
        <v>0.4</v>
      </c>
      <c r="H8" s="3">
        <v>2.4028</v>
      </c>
      <c r="I8" s="3">
        <f t="shared" si="0"/>
        <v>13.455680000000001</v>
      </c>
      <c r="J8" t="s">
        <v>155</v>
      </c>
    </row>
    <row r="9" spans="2:10" x14ac:dyDescent="0.25">
      <c r="D9">
        <v>2</v>
      </c>
      <c r="E9">
        <f>41-4</f>
        <v>37</v>
      </c>
      <c r="F9">
        <v>0.25</v>
      </c>
      <c r="G9">
        <v>0.4</v>
      </c>
      <c r="H9" s="3">
        <v>2.4028</v>
      </c>
      <c r="I9" s="3">
        <f t="shared" si="0"/>
        <v>17.780720000000002</v>
      </c>
      <c r="J9" t="s">
        <v>155</v>
      </c>
    </row>
    <row r="10" spans="2:10" x14ac:dyDescent="0.25">
      <c r="D10">
        <v>2</v>
      </c>
      <c r="E10">
        <v>41</v>
      </c>
      <c r="F10">
        <v>0.25</v>
      </c>
      <c r="G10">
        <v>0.4</v>
      </c>
      <c r="H10" s="3">
        <v>2.4028</v>
      </c>
      <c r="I10" s="3">
        <f t="shared" si="0"/>
        <v>19.702960000000004</v>
      </c>
      <c r="J10" t="s">
        <v>155</v>
      </c>
    </row>
    <row r="11" spans="2:10" x14ac:dyDescent="0.25">
      <c r="C11" t="s">
        <v>158</v>
      </c>
      <c r="D11">
        <v>6</v>
      </c>
      <c r="E11">
        <v>5</v>
      </c>
      <c r="F11">
        <v>0.25</v>
      </c>
      <c r="G11">
        <v>3</v>
      </c>
      <c r="H11" s="3">
        <v>2.4028</v>
      </c>
      <c r="I11" s="3">
        <f t="shared" si="0"/>
        <v>54.063000000000002</v>
      </c>
      <c r="J11" t="s">
        <v>155</v>
      </c>
    </row>
    <row r="12" spans="2:10" x14ac:dyDescent="0.25">
      <c r="D12">
        <v>2</v>
      </c>
      <c r="E12">
        <v>4</v>
      </c>
      <c r="F12">
        <v>0.25</v>
      </c>
      <c r="G12">
        <v>3</v>
      </c>
      <c r="H12" s="3">
        <v>2.4028</v>
      </c>
      <c r="I12" s="3">
        <f t="shared" si="0"/>
        <v>14.4168</v>
      </c>
      <c r="J12" t="s">
        <v>155</v>
      </c>
    </row>
    <row r="13" spans="2:10" x14ac:dyDescent="0.25">
      <c r="D13">
        <v>4</v>
      </c>
      <c r="E13">
        <v>6</v>
      </c>
      <c r="F13">
        <v>0.25</v>
      </c>
      <c r="G13">
        <v>3</v>
      </c>
      <c r="H13" s="3">
        <v>2.4028</v>
      </c>
      <c r="I13" s="3">
        <f t="shared" si="0"/>
        <v>43.250399999999999</v>
      </c>
      <c r="J13" t="s">
        <v>155</v>
      </c>
    </row>
    <row r="14" spans="2:10" x14ac:dyDescent="0.25">
      <c r="C14" t="s">
        <v>159</v>
      </c>
      <c r="D14">
        <v>3</v>
      </c>
      <c r="E14">
        <v>3.3540999999999999</v>
      </c>
      <c r="F14">
        <v>0.15</v>
      </c>
      <c r="G14">
        <v>1</v>
      </c>
      <c r="H14" s="3">
        <v>2.4028</v>
      </c>
      <c r="I14" s="3">
        <f t="shared" ref="I14:I15" si="1">D14*E14*F14*G14*H14</f>
        <v>3.6266541659999998</v>
      </c>
      <c r="J14" t="s">
        <v>155</v>
      </c>
    </row>
    <row r="15" spans="2:10" x14ac:dyDescent="0.25">
      <c r="D15">
        <v>2</v>
      </c>
      <c r="E15">
        <v>2.25</v>
      </c>
      <c r="F15">
        <v>0.15</v>
      </c>
      <c r="G15">
        <v>1</v>
      </c>
      <c r="H15" s="3">
        <v>2.4028</v>
      </c>
      <c r="I15" s="3">
        <f t="shared" si="1"/>
        <v>1.6218899999999998</v>
      </c>
      <c r="J15" t="s">
        <v>155</v>
      </c>
    </row>
    <row r="16" spans="2:10" x14ac:dyDescent="0.25">
      <c r="C16" t="s">
        <v>161</v>
      </c>
      <c r="D16">
        <v>1</v>
      </c>
      <c r="E16">
        <f>(41*20.5)-(80+(3.5*5*4)+(1.5*5*2))</f>
        <v>675.5</v>
      </c>
      <c r="F16">
        <v>0.05</v>
      </c>
      <c r="G16">
        <v>1</v>
      </c>
      <c r="H16" s="3">
        <v>2.4028</v>
      </c>
      <c r="I16" s="3">
        <f t="shared" ref="I16" si="2">D16*E16*F16*G16*H16</f>
        <v>81.154569999999993</v>
      </c>
      <c r="J16" t="s">
        <v>155</v>
      </c>
    </row>
    <row r="17" spans="2:10" x14ac:dyDescent="0.25">
      <c r="C17" t="s">
        <v>162</v>
      </c>
      <c r="D17">
        <v>132</v>
      </c>
      <c r="E17">
        <v>5</v>
      </c>
      <c r="F17">
        <v>0.1</v>
      </c>
      <c r="G17">
        <v>0.15</v>
      </c>
      <c r="H17" s="3">
        <v>2.4028</v>
      </c>
      <c r="I17" s="3">
        <f t="shared" ref="I17" si="3">D17*E17*F17*G17*H17</f>
        <v>23.78772</v>
      </c>
      <c r="J17" t="s">
        <v>155</v>
      </c>
    </row>
    <row r="18" spans="2:10" x14ac:dyDescent="0.25">
      <c r="D18">
        <v>264</v>
      </c>
      <c r="E18">
        <v>3.5</v>
      </c>
      <c r="F18">
        <v>0.1</v>
      </c>
      <c r="G18">
        <v>0.15</v>
      </c>
      <c r="H18" s="3">
        <v>2.4028</v>
      </c>
      <c r="I18" s="3">
        <f t="shared" ref="I18" si="4">D18*E18*F18*G18*H18</f>
        <v>33.302808000000006</v>
      </c>
      <c r="J18" t="s">
        <v>155</v>
      </c>
    </row>
    <row r="19" spans="2:10" x14ac:dyDescent="0.25">
      <c r="D19">
        <v>144</v>
      </c>
      <c r="E19">
        <v>4</v>
      </c>
      <c r="F19">
        <v>0.1</v>
      </c>
      <c r="G19">
        <v>0.15</v>
      </c>
      <c r="H19" s="3">
        <v>2.4028</v>
      </c>
      <c r="I19" s="3">
        <f t="shared" ref="I19" si="5">D19*E19*F19*G19*H19</f>
        <v>20.760192000000004</v>
      </c>
      <c r="J19" t="s">
        <v>155</v>
      </c>
    </row>
    <row r="20" spans="2:10" x14ac:dyDescent="0.25">
      <c r="D20">
        <v>200</v>
      </c>
      <c r="E20">
        <v>5</v>
      </c>
      <c r="F20">
        <v>0.1</v>
      </c>
      <c r="G20">
        <v>0.15</v>
      </c>
      <c r="H20" s="3">
        <v>2.4028</v>
      </c>
      <c r="I20" s="3">
        <f t="shared" ref="I20" si="6">D20*E20*F20*G20*H20</f>
        <v>36.042000000000002</v>
      </c>
      <c r="J20" t="s">
        <v>155</v>
      </c>
    </row>
    <row r="21" spans="2:10" x14ac:dyDescent="0.25">
      <c r="I21" s="29">
        <f>SUM(I4:I20)</f>
        <v>486.22903416600002</v>
      </c>
      <c r="J21" s="6" t="s">
        <v>155</v>
      </c>
    </row>
    <row r="23" spans="2:10" x14ac:dyDescent="0.25">
      <c r="B23" t="s">
        <v>15</v>
      </c>
      <c r="C23" t="s">
        <v>160</v>
      </c>
      <c r="D23">
        <v>1</v>
      </c>
      <c r="E23">
        <f>E16</f>
        <v>675.5</v>
      </c>
      <c r="F23">
        <v>1</v>
      </c>
      <c r="G23">
        <v>1</v>
      </c>
      <c r="H23" s="3">
        <f>0.1+0.09+0.25</f>
        <v>0.44</v>
      </c>
      <c r="I23" s="29">
        <f t="shared" ref="I23" si="7">D23*E23*F23*G23*H23</f>
        <v>297.22000000000003</v>
      </c>
      <c r="J23" s="6" t="s">
        <v>155</v>
      </c>
    </row>
    <row r="25" spans="2:10" x14ac:dyDescent="0.25">
      <c r="B25" t="s">
        <v>36</v>
      </c>
      <c r="C25" t="s">
        <v>160</v>
      </c>
      <c r="D25">
        <v>1</v>
      </c>
      <c r="E25">
        <f>E16</f>
        <v>675.5</v>
      </c>
      <c r="F25">
        <v>1</v>
      </c>
      <c r="G25">
        <v>1</v>
      </c>
      <c r="H25" s="3">
        <v>0.4</v>
      </c>
      <c r="I25" s="29">
        <f t="shared" ref="I25" si="8">D25*E25*F25*G25*H25</f>
        <v>270.2</v>
      </c>
      <c r="J25" s="6" t="s">
        <v>155</v>
      </c>
    </row>
    <row r="28" spans="2:10" x14ac:dyDescent="0.25">
      <c r="B28" s="6" t="s">
        <v>163</v>
      </c>
      <c r="C28" s="29">
        <f>I47+I49+0.25*I51</f>
        <v>817.22403416600002</v>
      </c>
      <c r="D28" s="6" t="s">
        <v>155</v>
      </c>
    </row>
    <row r="30" spans="2:10" x14ac:dyDescent="0.25">
      <c r="B30" t="s">
        <v>13</v>
      </c>
      <c r="C30" t="s">
        <v>154</v>
      </c>
      <c r="D30">
        <v>58</v>
      </c>
      <c r="E30">
        <v>3</v>
      </c>
      <c r="F30">
        <v>0.4</v>
      </c>
      <c r="G30">
        <v>0.5</v>
      </c>
      <c r="H30" s="3">
        <v>2.4028</v>
      </c>
      <c r="I30" s="3">
        <f t="shared" ref="I30:I39" si="9">D30*E30*F30*G30*H30</f>
        <v>83.617440000000016</v>
      </c>
      <c r="J30" t="s">
        <v>155</v>
      </c>
    </row>
    <row r="31" spans="2:10" x14ac:dyDescent="0.25">
      <c r="C31" t="s">
        <v>156</v>
      </c>
      <c r="D31">
        <v>2</v>
      </c>
      <c r="E31">
        <f>3.5*3</f>
        <v>10.5</v>
      </c>
      <c r="F31">
        <v>0.25</v>
      </c>
      <c r="G31">
        <v>0.4</v>
      </c>
      <c r="H31" s="3">
        <v>2.4028</v>
      </c>
      <c r="I31" s="3">
        <f t="shared" si="9"/>
        <v>5.0458800000000004</v>
      </c>
      <c r="J31" t="s">
        <v>155</v>
      </c>
    </row>
    <row r="32" spans="2:10" x14ac:dyDescent="0.25">
      <c r="D32">
        <v>4</v>
      </c>
      <c r="E32">
        <f>3.5*3+5</f>
        <v>15.5</v>
      </c>
      <c r="F32">
        <v>0.25</v>
      </c>
      <c r="G32">
        <v>0.4</v>
      </c>
      <c r="H32" s="3">
        <v>2.4028</v>
      </c>
      <c r="I32" s="3">
        <f t="shared" si="9"/>
        <v>14.897360000000001</v>
      </c>
      <c r="J32" t="s">
        <v>155</v>
      </c>
    </row>
    <row r="33" spans="3:10" x14ac:dyDescent="0.25">
      <c r="D33">
        <v>4</v>
      </c>
      <c r="E33">
        <f>3.5*3+5*2</f>
        <v>20.5</v>
      </c>
      <c r="F33">
        <v>0.25</v>
      </c>
      <c r="G33">
        <v>0.4</v>
      </c>
      <c r="H33" s="3">
        <v>2.4028</v>
      </c>
      <c r="I33" s="3">
        <f t="shared" si="9"/>
        <v>19.702960000000004</v>
      </c>
      <c r="J33" t="s">
        <v>155</v>
      </c>
    </row>
    <row r="34" spans="3:10" x14ac:dyDescent="0.25">
      <c r="D34">
        <v>2</v>
      </c>
      <c r="E34">
        <f>4*5+2*4</f>
        <v>28</v>
      </c>
      <c r="F34">
        <v>0.25</v>
      </c>
      <c r="G34">
        <v>0.4</v>
      </c>
      <c r="H34" s="3">
        <v>2.4028</v>
      </c>
      <c r="I34" s="3">
        <f t="shared" si="9"/>
        <v>13.455680000000001</v>
      </c>
      <c r="J34" t="s">
        <v>155</v>
      </c>
    </row>
    <row r="35" spans="3:10" x14ac:dyDescent="0.25">
      <c r="D35">
        <v>2</v>
      </c>
      <c r="E35">
        <f>41-4</f>
        <v>37</v>
      </c>
      <c r="F35">
        <v>0.25</v>
      </c>
      <c r="G35">
        <v>0.4</v>
      </c>
      <c r="H35" s="3">
        <v>2.4028</v>
      </c>
      <c r="I35" s="3">
        <f t="shared" si="9"/>
        <v>17.780720000000002</v>
      </c>
      <c r="J35" t="s">
        <v>155</v>
      </c>
    </row>
    <row r="36" spans="3:10" x14ac:dyDescent="0.25">
      <c r="D36">
        <v>2</v>
      </c>
      <c r="E36">
        <v>41</v>
      </c>
      <c r="F36">
        <v>0.25</v>
      </c>
      <c r="G36">
        <v>0.4</v>
      </c>
      <c r="H36" s="3">
        <v>2.4028</v>
      </c>
      <c r="I36" s="3">
        <f t="shared" si="9"/>
        <v>19.702960000000004</v>
      </c>
      <c r="J36" t="s">
        <v>155</v>
      </c>
    </row>
    <row r="37" spans="3:10" x14ac:dyDescent="0.25">
      <c r="C37" t="s">
        <v>158</v>
      </c>
      <c r="D37">
        <v>6</v>
      </c>
      <c r="E37">
        <v>5</v>
      </c>
      <c r="F37">
        <v>0.25</v>
      </c>
      <c r="G37">
        <v>3</v>
      </c>
      <c r="H37" s="3">
        <v>2.4028</v>
      </c>
      <c r="I37" s="3">
        <f t="shared" si="9"/>
        <v>54.063000000000002</v>
      </c>
      <c r="J37" t="s">
        <v>155</v>
      </c>
    </row>
    <row r="38" spans="3:10" x14ac:dyDescent="0.25">
      <c r="D38">
        <v>2</v>
      </c>
      <c r="E38">
        <v>4</v>
      </c>
      <c r="F38">
        <v>0.25</v>
      </c>
      <c r="G38">
        <v>3</v>
      </c>
      <c r="H38" s="3">
        <v>2.4028</v>
      </c>
      <c r="I38" s="3">
        <f t="shared" si="9"/>
        <v>14.4168</v>
      </c>
      <c r="J38" t="s">
        <v>155</v>
      </c>
    </row>
    <row r="39" spans="3:10" x14ac:dyDescent="0.25">
      <c r="D39">
        <v>4</v>
      </c>
      <c r="E39">
        <v>6</v>
      </c>
      <c r="F39">
        <v>0.25</v>
      </c>
      <c r="G39">
        <v>3</v>
      </c>
      <c r="H39" s="3">
        <v>2.4028</v>
      </c>
      <c r="I39" s="3">
        <f t="shared" si="9"/>
        <v>43.250399999999999</v>
      </c>
      <c r="J39" t="s">
        <v>155</v>
      </c>
    </row>
    <row r="40" spans="3:10" x14ac:dyDescent="0.25">
      <c r="C40" t="s">
        <v>159</v>
      </c>
      <c r="D40">
        <v>3</v>
      </c>
      <c r="E40">
        <v>3.3540999999999999</v>
      </c>
      <c r="F40">
        <v>0.15</v>
      </c>
      <c r="G40">
        <v>1</v>
      </c>
      <c r="H40" s="3">
        <v>2.4028</v>
      </c>
      <c r="I40" s="3">
        <f t="shared" ref="I40:I46" si="10">D40*E40*F40*G40*H40</f>
        <v>3.6266541659999998</v>
      </c>
      <c r="J40" t="s">
        <v>155</v>
      </c>
    </row>
    <row r="41" spans="3:10" x14ac:dyDescent="0.25">
      <c r="D41">
        <v>2</v>
      </c>
      <c r="E41">
        <v>2.25</v>
      </c>
      <c r="F41">
        <v>0.15</v>
      </c>
      <c r="G41">
        <v>1</v>
      </c>
      <c r="H41" s="3">
        <v>2.4028</v>
      </c>
      <c r="I41" s="3">
        <f t="shared" si="10"/>
        <v>1.6218899999999998</v>
      </c>
      <c r="J41" t="s">
        <v>155</v>
      </c>
    </row>
    <row r="42" spans="3:10" x14ac:dyDescent="0.25">
      <c r="C42" t="s">
        <v>161</v>
      </c>
      <c r="D42">
        <v>1</v>
      </c>
      <c r="E42">
        <f>(41*20.5)-(80+(3.5*5*4)+(1.5*5*2))</f>
        <v>675.5</v>
      </c>
      <c r="F42">
        <v>0.05</v>
      </c>
      <c r="G42">
        <v>1</v>
      </c>
      <c r="H42" s="3">
        <v>2.4028</v>
      </c>
      <c r="I42" s="3">
        <f t="shared" si="10"/>
        <v>81.154569999999993</v>
      </c>
      <c r="J42" t="s">
        <v>155</v>
      </c>
    </row>
    <row r="43" spans="3:10" x14ac:dyDescent="0.25">
      <c r="C43" t="s">
        <v>162</v>
      </c>
      <c r="D43">
        <v>132</v>
      </c>
      <c r="E43">
        <v>5</v>
      </c>
      <c r="F43">
        <v>0.1</v>
      </c>
      <c r="G43">
        <v>0.15</v>
      </c>
      <c r="H43" s="3">
        <v>2.4028</v>
      </c>
      <c r="I43" s="3">
        <f t="shared" si="10"/>
        <v>23.78772</v>
      </c>
      <c r="J43" t="s">
        <v>155</v>
      </c>
    </row>
    <row r="44" spans="3:10" x14ac:dyDescent="0.25">
      <c r="D44">
        <v>264</v>
      </c>
      <c r="E44">
        <v>3.5</v>
      </c>
      <c r="F44">
        <v>0.1</v>
      </c>
      <c r="G44">
        <v>0.15</v>
      </c>
      <c r="H44" s="3">
        <v>2.4028</v>
      </c>
      <c r="I44" s="3">
        <f t="shared" si="10"/>
        <v>33.302808000000006</v>
      </c>
      <c r="J44" t="s">
        <v>155</v>
      </c>
    </row>
    <row r="45" spans="3:10" x14ac:dyDescent="0.25">
      <c r="D45">
        <v>144</v>
      </c>
      <c r="E45">
        <v>4</v>
      </c>
      <c r="F45">
        <v>0.1</v>
      </c>
      <c r="G45">
        <v>0.15</v>
      </c>
      <c r="H45" s="3">
        <v>2.4028</v>
      </c>
      <c r="I45" s="3">
        <f t="shared" si="10"/>
        <v>20.760192000000004</v>
      </c>
      <c r="J45" t="s">
        <v>155</v>
      </c>
    </row>
    <row r="46" spans="3:10" x14ac:dyDescent="0.25">
      <c r="D46">
        <v>200</v>
      </c>
      <c r="E46">
        <v>5</v>
      </c>
      <c r="F46">
        <v>0.1</v>
      </c>
      <c r="G46">
        <v>0.15</v>
      </c>
      <c r="H46" s="3">
        <v>2.4028</v>
      </c>
      <c r="I46" s="3">
        <f t="shared" si="10"/>
        <v>36.042000000000002</v>
      </c>
      <c r="J46" t="s">
        <v>155</v>
      </c>
    </row>
    <row r="47" spans="3:10" x14ac:dyDescent="0.25">
      <c r="I47" s="29">
        <f>SUM(I30:I46)</f>
        <v>486.22903416600002</v>
      </c>
      <c r="J47" s="6" t="s">
        <v>155</v>
      </c>
    </row>
    <row r="49" spans="2:10" x14ac:dyDescent="0.25">
      <c r="B49" t="s">
        <v>15</v>
      </c>
      <c r="C49" t="s">
        <v>160</v>
      </c>
      <c r="D49">
        <v>1</v>
      </c>
      <c r="E49">
        <f>E42</f>
        <v>675.5</v>
      </c>
      <c r="F49">
        <v>1</v>
      </c>
      <c r="G49">
        <v>1</v>
      </c>
      <c r="H49" s="3">
        <f>0.1+0.09+0.25</f>
        <v>0.44</v>
      </c>
      <c r="I49" s="29">
        <f t="shared" ref="I49" si="11">D49*E49*F49*G49*H49</f>
        <v>297.22000000000003</v>
      </c>
      <c r="J49" s="6" t="s">
        <v>155</v>
      </c>
    </row>
    <row r="51" spans="2:10" x14ac:dyDescent="0.25">
      <c r="B51" t="s">
        <v>36</v>
      </c>
      <c r="C51" t="s">
        <v>160</v>
      </c>
      <c r="D51">
        <v>1</v>
      </c>
      <c r="E51">
        <f>E42</f>
        <v>675.5</v>
      </c>
      <c r="F51">
        <v>1</v>
      </c>
      <c r="G51">
        <v>1</v>
      </c>
      <c r="H51" s="3">
        <v>0.2</v>
      </c>
      <c r="I51" s="29">
        <f t="shared" ref="I51" si="12">D51*E51*F51*G51*H51</f>
        <v>135.1</v>
      </c>
      <c r="J51" s="6" t="s">
        <v>155</v>
      </c>
    </row>
    <row r="54" spans="2:10" x14ac:dyDescent="0.25">
      <c r="B54" s="6" t="s">
        <v>164</v>
      </c>
      <c r="C54" s="29">
        <f>I70+I72+0.25*I74</f>
        <v>522.80755216600005</v>
      </c>
      <c r="D54" s="6" t="s">
        <v>155</v>
      </c>
    </row>
    <row r="56" spans="2:10" x14ac:dyDescent="0.25">
      <c r="B56" t="s">
        <v>13</v>
      </c>
      <c r="C56" t="s">
        <v>154</v>
      </c>
      <c r="D56">
        <v>36</v>
      </c>
      <c r="E56">
        <v>3</v>
      </c>
      <c r="F56">
        <v>0.4</v>
      </c>
      <c r="G56">
        <v>0.5</v>
      </c>
      <c r="H56" s="3">
        <v>2.4028</v>
      </c>
      <c r="I56" s="3">
        <f t="shared" ref="I56:I62" si="13">D56*E56*F56*G56*H56</f>
        <v>51.900480000000002</v>
      </c>
      <c r="J56" t="s">
        <v>155</v>
      </c>
    </row>
    <row r="57" spans="2:10" x14ac:dyDescent="0.25">
      <c r="C57" t="s">
        <v>156</v>
      </c>
      <c r="D57">
        <v>2</v>
      </c>
      <c r="E57">
        <f>3.5*3+5</f>
        <v>15.5</v>
      </c>
      <c r="F57">
        <v>0.25</v>
      </c>
      <c r="G57">
        <v>0.4</v>
      </c>
      <c r="H57" s="3">
        <v>2.4028</v>
      </c>
      <c r="I57" s="3">
        <f t="shared" si="13"/>
        <v>7.4486800000000004</v>
      </c>
      <c r="J57" t="s">
        <v>155</v>
      </c>
    </row>
    <row r="58" spans="2:10" x14ac:dyDescent="0.25">
      <c r="D58">
        <v>4</v>
      </c>
      <c r="E58">
        <f>3.5*3+5*2</f>
        <v>20.5</v>
      </c>
      <c r="F58">
        <v>0.25</v>
      </c>
      <c r="G58">
        <v>0.4</v>
      </c>
      <c r="H58" s="3">
        <v>2.4028</v>
      </c>
      <c r="I58" s="3">
        <f t="shared" si="13"/>
        <v>19.702960000000004</v>
      </c>
      <c r="J58" t="s">
        <v>155</v>
      </c>
    </row>
    <row r="59" spans="2:10" x14ac:dyDescent="0.25">
      <c r="D59">
        <v>2</v>
      </c>
      <c r="E59">
        <v>20</v>
      </c>
      <c r="F59">
        <v>0.25</v>
      </c>
      <c r="G59">
        <v>0.4</v>
      </c>
      <c r="H59" s="3">
        <v>2.4028</v>
      </c>
      <c r="I59" s="3">
        <f t="shared" si="13"/>
        <v>9.6112000000000002</v>
      </c>
      <c r="J59" t="s">
        <v>155</v>
      </c>
    </row>
    <row r="60" spans="2:10" x14ac:dyDescent="0.25">
      <c r="D60">
        <v>4</v>
      </c>
      <c r="E60">
        <v>25</v>
      </c>
      <c r="F60">
        <v>0.25</v>
      </c>
      <c r="G60">
        <v>0.4</v>
      </c>
      <c r="H60" s="3">
        <v>2.4028</v>
      </c>
      <c r="I60" s="3">
        <f t="shared" si="13"/>
        <v>24.027999999999999</v>
      </c>
      <c r="J60" t="s">
        <v>155</v>
      </c>
    </row>
    <row r="61" spans="2:10" x14ac:dyDescent="0.25">
      <c r="C61" t="s">
        <v>158</v>
      </c>
      <c r="D61">
        <v>4</v>
      </c>
      <c r="E61">
        <v>5</v>
      </c>
      <c r="F61">
        <v>0.25</v>
      </c>
      <c r="G61">
        <v>3</v>
      </c>
      <c r="H61" s="3">
        <v>2.4028</v>
      </c>
      <c r="I61" s="3">
        <f t="shared" si="13"/>
        <v>36.042000000000002</v>
      </c>
      <c r="J61" t="s">
        <v>155</v>
      </c>
    </row>
    <row r="62" spans="2:10" x14ac:dyDescent="0.25">
      <c r="D62">
        <v>4</v>
      </c>
      <c r="E62">
        <v>6</v>
      </c>
      <c r="F62">
        <v>0.25</v>
      </c>
      <c r="G62">
        <v>3</v>
      </c>
      <c r="H62" s="3">
        <v>2.4028</v>
      </c>
      <c r="I62" s="3">
        <f t="shared" si="13"/>
        <v>43.250399999999999</v>
      </c>
      <c r="J62" t="s">
        <v>155</v>
      </c>
    </row>
    <row r="63" spans="2:10" x14ac:dyDescent="0.25">
      <c r="C63" t="s">
        <v>159</v>
      </c>
      <c r="D63">
        <v>3</v>
      </c>
      <c r="E63">
        <v>3.3540999999999999</v>
      </c>
      <c r="F63">
        <v>0.15</v>
      </c>
      <c r="G63">
        <v>1</v>
      </c>
      <c r="H63" s="3">
        <v>2.4028</v>
      </c>
      <c r="I63" s="3">
        <f t="shared" ref="I63:I69" si="14">D63*E63*F63*G63*H63</f>
        <v>3.6266541659999998</v>
      </c>
      <c r="J63" t="s">
        <v>155</v>
      </c>
    </row>
    <row r="64" spans="2:10" x14ac:dyDescent="0.25">
      <c r="D64">
        <v>2</v>
      </c>
      <c r="E64">
        <v>2.25</v>
      </c>
      <c r="F64">
        <v>0.15</v>
      </c>
      <c r="G64">
        <v>1</v>
      </c>
      <c r="H64" s="3">
        <v>2.4028</v>
      </c>
      <c r="I64" s="3">
        <f t="shared" si="14"/>
        <v>1.6218899999999998</v>
      </c>
      <c r="J64" t="s">
        <v>155</v>
      </c>
    </row>
    <row r="65" spans="2:10" x14ac:dyDescent="0.25">
      <c r="C65" t="s">
        <v>161</v>
      </c>
      <c r="D65">
        <v>1</v>
      </c>
      <c r="E65">
        <f>(25*20.5)-((1.5*3.5*2)+(3.5*5*4)+(1.5*5*2))</f>
        <v>417</v>
      </c>
      <c r="F65">
        <v>0.05</v>
      </c>
      <c r="G65">
        <v>1</v>
      </c>
      <c r="H65" s="3">
        <v>2.4028</v>
      </c>
      <c r="I65" s="3">
        <f t="shared" si="14"/>
        <v>50.098380000000006</v>
      </c>
      <c r="J65" t="s">
        <v>155</v>
      </c>
    </row>
    <row r="66" spans="2:10" x14ac:dyDescent="0.25">
      <c r="C66" t="s">
        <v>162</v>
      </c>
      <c r="D66">
        <v>96</v>
      </c>
      <c r="E66">
        <v>5</v>
      </c>
      <c r="F66">
        <v>0.1</v>
      </c>
      <c r="G66">
        <v>0.15</v>
      </c>
      <c r="H66" s="3">
        <v>2.4028</v>
      </c>
      <c r="I66" s="3">
        <f t="shared" si="14"/>
        <v>17.300159999999998</v>
      </c>
      <c r="J66" t="s">
        <v>155</v>
      </c>
    </row>
    <row r="67" spans="2:10" x14ac:dyDescent="0.25">
      <c r="D67">
        <f>244-96</f>
        <v>148</v>
      </c>
      <c r="E67">
        <v>3.5</v>
      </c>
      <c r="F67">
        <v>0.1</v>
      </c>
      <c r="G67">
        <v>0.15</v>
      </c>
      <c r="H67" s="3">
        <v>2.4028</v>
      </c>
      <c r="I67" s="3">
        <f t="shared" si="14"/>
        <v>18.669756000000003</v>
      </c>
      <c r="J67" t="s">
        <v>155</v>
      </c>
    </row>
    <row r="68" spans="2:10" x14ac:dyDescent="0.25">
      <c r="D68">
        <v>16</v>
      </c>
      <c r="E68">
        <v>3.5</v>
      </c>
      <c r="F68">
        <v>0.1</v>
      </c>
      <c r="G68">
        <v>0.15</v>
      </c>
      <c r="H68" s="3">
        <v>2.4028</v>
      </c>
      <c r="I68" s="3">
        <f t="shared" si="14"/>
        <v>2.0183520000000001</v>
      </c>
      <c r="J68" t="s">
        <v>155</v>
      </c>
    </row>
    <row r="69" spans="2:10" x14ac:dyDescent="0.25">
      <c r="D69">
        <f>200-16</f>
        <v>184</v>
      </c>
      <c r="E69">
        <v>5</v>
      </c>
      <c r="F69">
        <v>0.1</v>
      </c>
      <c r="G69">
        <v>0.15</v>
      </c>
      <c r="H69" s="3">
        <v>2.4028</v>
      </c>
      <c r="I69" s="3">
        <f t="shared" si="14"/>
        <v>33.158639999999998</v>
      </c>
      <c r="J69" t="s">
        <v>155</v>
      </c>
    </row>
    <row r="70" spans="2:10" x14ac:dyDescent="0.25">
      <c r="I70" s="29">
        <f>SUM(I56:I69)</f>
        <v>318.47755216600001</v>
      </c>
      <c r="J70" s="6" t="s">
        <v>155</v>
      </c>
    </row>
    <row r="72" spans="2:10" x14ac:dyDescent="0.25">
      <c r="B72" t="s">
        <v>15</v>
      </c>
      <c r="C72" t="s">
        <v>160</v>
      </c>
      <c r="D72">
        <v>1</v>
      </c>
      <c r="E72">
        <f>E65</f>
        <v>417</v>
      </c>
      <c r="F72">
        <v>1</v>
      </c>
      <c r="G72">
        <v>1</v>
      </c>
      <c r="H72" s="3">
        <f>0.1+0.09+0.25</f>
        <v>0.44</v>
      </c>
      <c r="I72" s="29">
        <f t="shared" ref="I72" si="15">D72*E72*F72*G72*H72</f>
        <v>183.48</v>
      </c>
      <c r="J72" s="6" t="s">
        <v>155</v>
      </c>
    </row>
    <row r="74" spans="2:10" x14ac:dyDescent="0.25">
      <c r="B74" t="s">
        <v>36</v>
      </c>
      <c r="C74" t="s">
        <v>160</v>
      </c>
      <c r="D74">
        <v>1</v>
      </c>
      <c r="E74">
        <f>E65</f>
        <v>417</v>
      </c>
      <c r="F74">
        <v>1</v>
      </c>
      <c r="G74">
        <v>1</v>
      </c>
      <c r="H74" s="3">
        <v>0.2</v>
      </c>
      <c r="I74" s="29">
        <f t="shared" ref="I74" si="16">D74*E74*F74*G74*H74</f>
        <v>83.4</v>
      </c>
      <c r="J74" s="6" t="s">
        <v>155</v>
      </c>
    </row>
    <row r="77" spans="2:10" x14ac:dyDescent="0.25">
      <c r="B77" s="6" t="s">
        <v>123</v>
      </c>
      <c r="C77" s="29">
        <f>I97+I105+0.25*I107</f>
        <v>427.14758016600007</v>
      </c>
      <c r="D77" s="6" t="s">
        <v>155</v>
      </c>
    </row>
    <row r="79" spans="2:10" x14ac:dyDescent="0.25">
      <c r="B79" t="s">
        <v>13</v>
      </c>
      <c r="C79" t="s">
        <v>154</v>
      </c>
      <c r="D79">
        <v>36</v>
      </c>
      <c r="E79">
        <v>3</v>
      </c>
      <c r="F79">
        <v>0.4</v>
      </c>
      <c r="G79">
        <v>0.5</v>
      </c>
      <c r="H79" s="3">
        <v>2.4028</v>
      </c>
      <c r="I79" s="3">
        <f t="shared" ref="I79:I86" si="17">D79*E79*F79*G79*H79</f>
        <v>51.900480000000002</v>
      </c>
      <c r="J79" t="s">
        <v>155</v>
      </c>
    </row>
    <row r="80" spans="2:10" x14ac:dyDescent="0.25">
      <c r="C80" t="s">
        <v>165</v>
      </c>
      <c r="D80">
        <v>4</v>
      </c>
      <c r="E80">
        <v>2.6</v>
      </c>
      <c r="F80">
        <v>0.4</v>
      </c>
      <c r="G80">
        <v>0.5</v>
      </c>
      <c r="H80" s="3">
        <v>2.4028</v>
      </c>
      <c r="I80" s="3">
        <f t="shared" si="17"/>
        <v>4.9978240000000005</v>
      </c>
      <c r="J80" t="s">
        <v>155</v>
      </c>
    </row>
    <row r="81" spans="3:10" x14ac:dyDescent="0.25">
      <c r="C81" t="s">
        <v>156</v>
      </c>
      <c r="D81">
        <v>6</v>
      </c>
      <c r="E81">
        <f>3.5*3+5*2</f>
        <v>20.5</v>
      </c>
      <c r="F81">
        <v>0.25</v>
      </c>
      <c r="G81">
        <v>0.4</v>
      </c>
      <c r="H81" s="3">
        <v>2.4028</v>
      </c>
      <c r="I81" s="3">
        <f t="shared" si="17"/>
        <v>29.554440000000003</v>
      </c>
      <c r="J81" t="s">
        <v>155</v>
      </c>
    </row>
    <row r="82" spans="3:10" x14ac:dyDescent="0.25">
      <c r="D82">
        <v>6</v>
      </c>
      <c r="E82">
        <v>25</v>
      </c>
      <c r="F82">
        <v>0.25</v>
      </c>
      <c r="G82">
        <v>0.4</v>
      </c>
      <c r="H82" s="3">
        <v>2.4028</v>
      </c>
      <c r="I82" s="3">
        <f t="shared" si="17"/>
        <v>36.042000000000002</v>
      </c>
      <c r="J82" t="s">
        <v>155</v>
      </c>
    </row>
    <row r="83" spans="3:10" x14ac:dyDescent="0.25">
      <c r="C83" t="s">
        <v>165</v>
      </c>
      <c r="D83">
        <v>1</v>
      </c>
      <c r="E83">
        <v>17</v>
      </c>
      <c r="F83">
        <v>0.25</v>
      </c>
      <c r="G83">
        <v>0.4</v>
      </c>
      <c r="H83" s="3">
        <v>2.4028</v>
      </c>
      <c r="I83" s="3">
        <f t="shared" si="17"/>
        <v>4.0847600000000002</v>
      </c>
      <c r="J83" t="s">
        <v>155</v>
      </c>
    </row>
    <row r="84" spans="3:10" x14ac:dyDescent="0.25">
      <c r="C84" t="s">
        <v>158</v>
      </c>
      <c r="D84">
        <v>4</v>
      </c>
      <c r="E84">
        <v>5</v>
      </c>
      <c r="F84">
        <v>0.25</v>
      </c>
      <c r="G84">
        <v>3</v>
      </c>
      <c r="H84" s="3">
        <v>2.4028</v>
      </c>
      <c r="I84" s="3">
        <f t="shared" si="17"/>
        <v>36.042000000000002</v>
      </c>
      <c r="J84" t="s">
        <v>155</v>
      </c>
    </row>
    <row r="85" spans="3:10" x14ac:dyDescent="0.25">
      <c r="D85">
        <v>4</v>
      </c>
      <c r="E85">
        <v>6</v>
      </c>
      <c r="F85">
        <v>0.25</v>
      </c>
      <c r="G85">
        <v>3</v>
      </c>
      <c r="H85" s="3">
        <v>2.4028</v>
      </c>
      <c r="I85" s="3">
        <f t="shared" si="17"/>
        <v>43.250399999999999</v>
      </c>
      <c r="J85" t="s">
        <v>155</v>
      </c>
    </row>
    <row r="86" spans="3:10" x14ac:dyDescent="0.25">
      <c r="C86" t="s">
        <v>165</v>
      </c>
      <c r="D86">
        <v>4</v>
      </c>
      <c r="E86">
        <v>6</v>
      </c>
      <c r="F86">
        <v>0.25</v>
      </c>
      <c r="G86">
        <v>2.6</v>
      </c>
      <c r="H86" s="3">
        <v>2.4028</v>
      </c>
      <c r="I86" s="3">
        <f t="shared" si="17"/>
        <v>37.483680000000007</v>
      </c>
      <c r="J86" t="s">
        <v>155</v>
      </c>
    </row>
    <row r="87" spans="3:10" x14ac:dyDescent="0.25">
      <c r="C87" t="s">
        <v>159</v>
      </c>
      <c r="D87">
        <v>3</v>
      </c>
      <c r="E87">
        <v>3.3540999999999999</v>
      </c>
      <c r="F87">
        <v>0.15</v>
      </c>
      <c r="G87">
        <v>1</v>
      </c>
      <c r="H87" s="3">
        <v>2.4028</v>
      </c>
      <c r="I87" s="3">
        <f t="shared" ref="I87:I94" si="18">D87*E87*F87*G87*H87</f>
        <v>3.6266541659999998</v>
      </c>
      <c r="J87" t="s">
        <v>155</v>
      </c>
    </row>
    <row r="88" spans="3:10" x14ac:dyDescent="0.25">
      <c r="D88">
        <v>2</v>
      </c>
      <c r="E88">
        <v>2.25</v>
      </c>
      <c r="F88">
        <v>0.15</v>
      </c>
      <c r="G88">
        <v>1</v>
      </c>
      <c r="H88" s="3">
        <v>2.4028</v>
      </c>
      <c r="I88" s="3">
        <f t="shared" si="18"/>
        <v>1.6218899999999998</v>
      </c>
      <c r="J88" t="s">
        <v>155</v>
      </c>
    </row>
    <row r="89" spans="3:10" x14ac:dyDescent="0.25">
      <c r="C89" t="s">
        <v>161</v>
      </c>
      <c r="D89">
        <v>1</v>
      </c>
      <c r="E89">
        <f>(25*20.5)-((1.5*3.5*2)+(3.5*5*4)+(1.5*5*2))</f>
        <v>417</v>
      </c>
      <c r="F89">
        <v>0.05</v>
      </c>
      <c r="G89">
        <v>1</v>
      </c>
      <c r="H89" s="3">
        <v>2.4028</v>
      </c>
      <c r="I89" s="3">
        <f t="shared" si="18"/>
        <v>50.098380000000006</v>
      </c>
      <c r="J89" t="s">
        <v>155</v>
      </c>
    </row>
    <row r="90" spans="3:10" x14ac:dyDescent="0.25">
      <c r="C90" t="s">
        <v>166</v>
      </c>
      <c r="D90">
        <v>4</v>
      </c>
      <c r="E90">
        <v>4</v>
      </c>
      <c r="F90">
        <v>0.15</v>
      </c>
      <c r="G90">
        <v>1</v>
      </c>
      <c r="H90" s="3">
        <v>2.4028</v>
      </c>
      <c r="I90" s="3">
        <f t="shared" ref="I90" si="19">D90*E90*F90*G90*H90</f>
        <v>5.7667200000000003</v>
      </c>
      <c r="J90" t="s">
        <v>155</v>
      </c>
    </row>
    <row r="91" spans="3:10" x14ac:dyDescent="0.25">
      <c r="C91" t="s">
        <v>162</v>
      </c>
      <c r="D91">
        <v>96</v>
      </c>
      <c r="E91">
        <v>5</v>
      </c>
      <c r="F91">
        <v>0.1</v>
      </c>
      <c r="G91">
        <v>0.15</v>
      </c>
      <c r="H91" s="3">
        <v>2.4028</v>
      </c>
      <c r="I91" s="3">
        <f t="shared" si="18"/>
        <v>17.300159999999998</v>
      </c>
      <c r="J91" t="s">
        <v>155</v>
      </c>
    </row>
    <row r="92" spans="3:10" x14ac:dyDescent="0.25">
      <c r="D92">
        <f>244-96</f>
        <v>148</v>
      </c>
      <c r="E92">
        <v>3.5</v>
      </c>
      <c r="F92">
        <v>0.1</v>
      </c>
      <c r="G92">
        <v>0.15</v>
      </c>
      <c r="H92" s="3">
        <v>2.4028</v>
      </c>
      <c r="I92" s="3">
        <f t="shared" si="18"/>
        <v>18.669756000000003</v>
      </c>
      <c r="J92" t="s">
        <v>155</v>
      </c>
    </row>
    <row r="93" spans="3:10" x14ac:dyDescent="0.25">
      <c r="D93">
        <v>16</v>
      </c>
      <c r="E93">
        <v>3.5</v>
      </c>
      <c r="F93">
        <v>0.1</v>
      </c>
      <c r="G93">
        <v>0.15</v>
      </c>
      <c r="H93" s="3">
        <v>2.4028</v>
      </c>
      <c r="I93" s="3">
        <f t="shared" si="18"/>
        <v>2.0183520000000001</v>
      </c>
      <c r="J93" t="s">
        <v>155</v>
      </c>
    </row>
    <row r="94" spans="3:10" x14ac:dyDescent="0.25">
      <c r="D94">
        <f>200-16</f>
        <v>184</v>
      </c>
      <c r="E94">
        <v>5</v>
      </c>
      <c r="F94">
        <v>0.1</v>
      </c>
      <c r="G94">
        <v>0.15</v>
      </c>
      <c r="H94" s="3">
        <v>2.4028</v>
      </c>
      <c r="I94" s="3">
        <f t="shared" si="18"/>
        <v>33.158639999999998</v>
      </c>
      <c r="J94" t="s">
        <v>155</v>
      </c>
    </row>
    <row r="95" spans="3:10" x14ac:dyDescent="0.25">
      <c r="C95" t="s">
        <v>165</v>
      </c>
      <c r="D95">
        <v>12</v>
      </c>
      <c r="E95">
        <v>3.5</v>
      </c>
      <c r="F95">
        <v>0.1</v>
      </c>
      <c r="G95">
        <v>0.15</v>
      </c>
      <c r="H95" s="3">
        <v>2.4028</v>
      </c>
      <c r="I95" s="3">
        <f t="shared" ref="I95:I96" si="20">D95*E95*F95*G95*H95</f>
        <v>1.5137640000000001</v>
      </c>
      <c r="J95" t="s">
        <v>155</v>
      </c>
    </row>
    <row r="96" spans="3:10" x14ac:dyDescent="0.25">
      <c r="C96" t="s">
        <v>165</v>
      </c>
      <c r="D96">
        <v>8</v>
      </c>
      <c r="E96">
        <v>5</v>
      </c>
      <c r="F96">
        <v>0.1</v>
      </c>
      <c r="G96">
        <v>0.15</v>
      </c>
      <c r="H96" s="3">
        <v>2.4028</v>
      </c>
      <c r="I96" s="3">
        <f t="shared" si="20"/>
        <v>1.4416800000000001</v>
      </c>
      <c r="J96" t="s">
        <v>155</v>
      </c>
    </row>
    <row r="97" spans="2:10" x14ac:dyDescent="0.25">
      <c r="I97" s="29">
        <f>SUM(I79:I96)</f>
        <v>378.57158016600005</v>
      </c>
      <c r="J97" s="6" t="s">
        <v>155</v>
      </c>
    </row>
    <row r="99" spans="2:10" x14ac:dyDescent="0.25">
      <c r="B99" t="s">
        <v>15</v>
      </c>
      <c r="C99" t="s">
        <v>156</v>
      </c>
      <c r="D99">
        <v>2</v>
      </c>
      <c r="E99">
        <v>20.5</v>
      </c>
      <c r="F99">
        <v>1</v>
      </c>
      <c r="G99">
        <v>1</v>
      </c>
      <c r="H99" s="3">
        <v>0.24299999999999999</v>
      </c>
      <c r="I99" s="3">
        <f t="shared" ref="I99" si="21">D99*E99*F99*G99*H99</f>
        <v>9.9629999999999992</v>
      </c>
      <c r="J99" t="s">
        <v>155</v>
      </c>
    </row>
    <row r="100" spans="2:10" x14ac:dyDescent="0.25">
      <c r="D100">
        <v>2</v>
      </c>
      <c r="E100">
        <v>25</v>
      </c>
      <c r="F100">
        <v>1</v>
      </c>
      <c r="G100">
        <v>1</v>
      </c>
      <c r="H100" s="3">
        <v>0.24299999999999999</v>
      </c>
      <c r="I100" s="3">
        <f t="shared" ref="I100" si="22">D100*E100*F100*G100*H100</f>
        <v>12.15</v>
      </c>
      <c r="J100" t="s">
        <v>155</v>
      </c>
    </row>
    <row r="101" spans="2:10" x14ac:dyDescent="0.25">
      <c r="D101">
        <v>8</v>
      </c>
      <c r="E101">
        <v>1.5</v>
      </c>
      <c r="F101">
        <v>1</v>
      </c>
      <c r="G101">
        <v>1</v>
      </c>
      <c r="H101" s="3">
        <v>0.24299999999999999</v>
      </c>
      <c r="I101" s="3">
        <f t="shared" ref="I101" si="23">D101*E101*F101*G101*H101</f>
        <v>2.9159999999999999</v>
      </c>
      <c r="J101" t="s">
        <v>155</v>
      </c>
    </row>
    <row r="102" spans="2:10" x14ac:dyDescent="0.25">
      <c r="D102">
        <v>4</v>
      </c>
      <c r="E102">
        <v>13.5</v>
      </c>
      <c r="F102">
        <v>1</v>
      </c>
      <c r="G102">
        <v>1</v>
      </c>
      <c r="H102" s="3">
        <v>0.24299999999999999</v>
      </c>
      <c r="I102" s="3">
        <f t="shared" ref="I102:I103" si="24">D102*E102*F102*G102*H102</f>
        <v>13.122</v>
      </c>
      <c r="J102" t="s">
        <v>155</v>
      </c>
    </row>
    <row r="103" spans="2:10" x14ac:dyDescent="0.25">
      <c r="C103" t="s">
        <v>165</v>
      </c>
      <c r="D103">
        <v>1</v>
      </c>
      <c r="E103">
        <f>3.5*5</f>
        <v>17.5</v>
      </c>
      <c r="F103">
        <v>1</v>
      </c>
      <c r="G103">
        <v>1</v>
      </c>
      <c r="H103" s="3">
        <f>0.1+0.09+0.5714</f>
        <v>0.76140000000000008</v>
      </c>
      <c r="I103" s="3">
        <f t="shared" si="24"/>
        <v>13.3245</v>
      </c>
      <c r="J103" t="s">
        <v>155</v>
      </c>
    </row>
    <row r="104" spans="2:10" x14ac:dyDescent="0.25">
      <c r="D104">
        <v>4</v>
      </c>
      <c r="E104">
        <v>4</v>
      </c>
      <c r="F104">
        <v>1</v>
      </c>
      <c r="G104">
        <v>1</v>
      </c>
      <c r="H104" s="3">
        <f>0.1+0.625</f>
        <v>0.72499999999999998</v>
      </c>
      <c r="I104" s="3">
        <f t="shared" ref="I104" si="25">D104*E104*F104*G104*H104</f>
        <v>11.6</v>
      </c>
      <c r="J104" t="s">
        <v>155</v>
      </c>
    </row>
    <row r="105" spans="2:10" x14ac:dyDescent="0.25">
      <c r="H105" s="3"/>
      <c r="I105" s="29">
        <f>SUM(I99:I102)</f>
        <v>38.150999999999996</v>
      </c>
      <c r="J105" s="6" t="s">
        <v>155</v>
      </c>
    </row>
    <row r="107" spans="2:10" x14ac:dyDescent="0.25">
      <c r="B107" t="s">
        <v>46</v>
      </c>
      <c r="C107" t="s">
        <v>160</v>
      </c>
      <c r="D107">
        <v>1</v>
      </c>
      <c r="E107">
        <f>E89</f>
        <v>417</v>
      </c>
      <c r="F107">
        <v>1</v>
      </c>
      <c r="G107">
        <v>1</v>
      </c>
      <c r="H107" s="3">
        <v>0.1</v>
      </c>
      <c r="I107" s="29">
        <f t="shared" ref="I107" si="26">D107*E107*F107*G107*H107</f>
        <v>41.7</v>
      </c>
      <c r="J107" s="6" t="s">
        <v>155</v>
      </c>
    </row>
    <row r="110" spans="2:10" x14ac:dyDescent="0.25">
      <c r="B110" s="6" t="s">
        <v>167</v>
      </c>
      <c r="C110" s="29">
        <f>I132+I134+0.25*I136</f>
        <v>843.65471650599989</v>
      </c>
      <c r="D110" s="6" t="s">
        <v>155</v>
      </c>
    </row>
    <row r="112" spans="2:10" x14ac:dyDescent="0.25">
      <c r="B112" t="s">
        <v>13</v>
      </c>
      <c r="C112" t="s">
        <v>154</v>
      </c>
      <c r="D112">
        <v>60</v>
      </c>
      <c r="E112">
        <v>2.8</v>
      </c>
      <c r="F112">
        <v>0.4</v>
      </c>
      <c r="G112">
        <v>0.5</v>
      </c>
      <c r="H112" s="3">
        <v>2.4028</v>
      </c>
      <c r="I112" s="3">
        <f t="shared" ref="I112:I131" si="27">D112*E112*F112*G112*H112</f>
        <v>80.734080000000006</v>
      </c>
      <c r="J112" t="s">
        <v>155</v>
      </c>
    </row>
    <row r="113" spans="3:10" x14ac:dyDescent="0.25">
      <c r="C113" t="s">
        <v>156</v>
      </c>
      <c r="D113">
        <v>2</v>
      </c>
      <c r="E113">
        <f>3.5*3+5</f>
        <v>15.5</v>
      </c>
      <c r="F113">
        <v>0.25</v>
      </c>
      <c r="G113">
        <v>0.4</v>
      </c>
      <c r="H113" s="3">
        <v>2.4028</v>
      </c>
      <c r="I113" s="3">
        <f t="shared" si="27"/>
        <v>7.4486800000000004</v>
      </c>
      <c r="J113" t="s">
        <v>155</v>
      </c>
    </row>
    <row r="114" spans="3:10" x14ac:dyDescent="0.25">
      <c r="D114">
        <v>8</v>
      </c>
      <c r="E114">
        <f>3.5*3+5*2</f>
        <v>20.5</v>
      </c>
      <c r="F114">
        <v>0.25</v>
      </c>
      <c r="G114">
        <v>0.4</v>
      </c>
      <c r="H114" s="3">
        <v>2.4028</v>
      </c>
      <c r="I114" s="3">
        <f t="shared" si="27"/>
        <v>39.405920000000009</v>
      </c>
      <c r="J114" t="s">
        <v>155</v>
      </c>
    </row>
    <row r="115" spans="3:10" x14ac:dyDescent="0.25">
      <c r="D115">
        <v>2</v>
      </c>
      <c r="E115">
        <v>37</v>
      </c>
      <c r="F115">
        <v>0.25</v>
      </c>
      <c r="G115">
        <v>0.4</v>
      </c>
      <c r="H115" s="3">
        <v>2.4028</v>
      </c>
      <c r="I115" s="3">
        <f t="shared" si="27"/>
        <v>17.780720000000002</v>
      </c>
      <c r="J115" t="s">
        <v>155</v>
      </c>
    </row>
    <row r="116" spans="3:10" x14ac:dyDescent="0.25">
      <c r="D116">
        <v>2</v>
      </c>
      <c r="E116">
        <v>36</v>
      </c>
      <c r="F116">
        <v>0.25</v>
      </c>
      <c r="G116">
        <v>0.4</v>
      </c>
      <c r="H116" s="3">
        <v>2.4028</v>
      </c>
      <c r="I116" s="3">
        <f t="shared" si="27"/>
        <v>17.300160000000002</v>
      </c>
      <c r="J116" t="s">
        <v>155</v>
      </c>
    </row>
    <row r="117" spans="3:10" x14ac:dyDescent="0.25">
      <c r="D117">
        <v>2</v>
      </c>
      <c r="E117">
        <v>41</v>
      </c>
      <c r="F117">
        <v>0.25</v>
      </c>
      <c r="G117">
        <v>0.4</v>
      </c>
      <c r="H117" s="3">
        <v>2.4028</v>
      </c>
      <c r="I117" s="3">
        <f t="shared" si="27"/>
        <v>19.702960000000004</v>
      </c>
      <c r="J117" t="s">
        <v>155</v>
      </c>
    </row>
    <row r="118" spans="3:10" x14ac:dyDescent="0.25">
      <c r="C118" t="s">
        <v>158</v>
      </c>
      <c r="D118">
        <v>12</v>
      </c>
      <c r="E118">
        <v>5</v>
      </c>
      <c r="F118">
        <v>0.25</v>
      </c>
      <c r="G118">
        <v>2.8</v>
      </c>
      <c r="H118" s="3">
        <v>2.4028</v>
      </c>
      <c r="I118" s="3">
        <f t="shared" si="27"/>
        <v>100.91760000000001</v>
      </c>
      <c r="J118" t="s">
        <v>155</v>
      </c>
    </row>
    <row r="119" spans="3:10" x14ac:dyDescent="0.25">
      <c r="D119">
        <v>4</v>
      </c>
      <c r="E119">
        <v>5</v>
      </c>
      <c r="F119">
        <v>0.25</v>
      </c>
      <c r="G119">
        <v>1.4</v>
      </c>
      <c r="H119" s="3">
        <v>2.4028</v>
      </c>
      <c r="I119" s="3">
        <f t="shared" ref="I119" si="28">D119*E119*F119*G119*H119</f>
        <v>16.819600000000001</v>
      </c>
      <c r="J119" t="s">
        <v>155</v>
      </c>
    </row>
    <row r="120" spans="3:10" x14ac:dyDescent="0.25">
      <c r="D120">
        <v>6</v>
      </c>
      <c r="E120">
        <v>4</v>
      </c>
      <c r="F120">
        <v>0.25</v>
      </c>
      <c r="G120">
        <v>2.8</v>
      </c>
      <c r="H120" s="3">
        <v>2.4028</v>
      </c>
      <c r="I120" s="3">
        <f t="shared" si="27"/>
        <v>40.367039999999996</v>
      </c>
      <c r="J120" t="s">
        <v>155</v>
      </c>
    </row>
    <row r="121" spans="3:10" x14ac:dyDescent="0.25">
      <c r="D121">
        <v>4</v>
      </c>
      <c r="E121">
        <v>4</v>
      </c>
      <c r="F121">
        <v>0.25</v>
      </c>
      <c r="G121">
        <v>1.4</v>
      </c>
      <c r="H121" s="3">
        <v>2.4028</v>
      </c>
      <c r="I121" s="3">
        <f t="shared" ref="I121" si="29">D121*E121*F121*G121*H121</f>
        <v>13.455679999999999</v>
      </c>
      <c r="J121" t="s">
        <v>155</v>
      </c>
    </row>
    <row r="122" spans="3:10" x14ac:dyDescent="0.25">
      <c r="D122">
        <v>6</v>
      </c>
      <c r="E122">
        <v>3.5</v>
      </c>
      <c r="F122">
        <v>0.25</v>
      </c>
      <c r="G122">
        <v>2.8</v>
      </c>
      <c r="H122" s="3">
        <v>2.4028</v>
      </c>
      <c r="I122" s="3">
        <f t="shared" ref="I122" si="30">D122*E122*F122*G122*H122</f>
        <v>35.321159999999999</v>
      </c>
      <c r="J122" t="s">
        <v>155</v>
      </c>
    </row>
    <row r="123" spans="3:10" x14ac:dyDescent="0.25">
      <c r="D123">
        <v>4</v>
      </c>
      <c r="E123">
        <v>6</v>
      </c>
      <c r="F123">
        <v>0.25</v>
      </c>
      <c r="G123">
        <v>2.8</v>
      </c>
      <c r="H123" s="3">
        <v>2.4028</v>
      </c>
      <c r="I123" s="3">
        <f t="shared" si="27"/>
        <v>40.367039999999996</v>
      </c>
      <c r="J123" t="s">
        <v>155</v>
      </c>
    </row>
    <row r="124" spans="3:10" x14ac:dyDescent="0.25">
      <c r="C124" t="s">
        <v>159</v>
      </c>
      <c r="D124">
        <v>2</v>
      </c>
      <c r="E124">
        <v>3.3540999999999999</v>
      </c>
      <c r="F124">
        <v>0.15</v>
      </c>
      <c r="G124">
        <v>1</v>
      </c>
      <c r="H124" s="3">
        <v>2.4028</v>
      </c>
      <c r="I124" s="3">
        <f t="shared" si="27"/>
        <v>2.4177694440000002</v>
      </c>
      <c r="J124" t="s">
        <v>155</v>
      </c>
    </row>
    <row r="125" spans="3:10" x14ac:dyDescent="0.25">
      <c r="D125">
        <v>1</v>
      </c>
      <c r="E125">
        <v>3.2311000000000001</v>
      </c>
      <c r="F125">
        <v>0.15</v>
      </c>
      <c r="G125">
        <v>1</v>
      </c>
      <c r="H125" s="3">
        <v>2.4028</v>
      </c>
      <c r="I125" s="3">
        <f t="shared" ref="I125" si="31">D125*E125*F125*G125*H125</f>
        <v>1.164553062</v>
      </c>
      <c r="J125" t="s">
        <v>155</v>
      </c>
    </row>
    <row r="126" spans="3:10" x14ac:dyDescent="0.25">
      <c r="D126">
        <v>2</v>
      </c>
      <c r="E126">
        <v>2.25</v>
      </c>
      <c r="F126">
        <v>0.15</v>
      </c>
      <c r="G126">
        <v>1</v>
      </c>
      <c r="H126" s="3">
        <v>2.4028</v>
      </c>
      <c r="I126" s="3">
        <f t="shared" si="27"/>
        <v>1.6218899999999998</v>
      </c>
      <c r="J126" t="s">
        <v>155</v>
      </c>
    </row>
    <row r="127" spans="3:10" x14ac:dyDescent="0.25">
      <c r="C127" t="s">
        <v>161</v>
      </c>
      <c r="D127">
        <v>1</v>
      </c>
      <c r="E127">
        <f>(41*20.5)-((3.5*5*4)+(1.5*5*2))</f>
        <v>755.5</v>
      </c>
      <c r="F127">
        <v>0.05</v>
      </c>
      <c r="G127">
        <v>1</v>
      </c>
      <c r="H127" s="3">
        <v>2.4028</v>
      </c>
      <c r="I127" s="3">
        <f t="shared" si="27"/>
        <v>90.765770000000003</v>
      </c>
      <c r="J127" t="s">
        <v>155</v>
      </c>
    </row>
    <row r="128" spans="3:10" x14ac:dyDescent="0.25">
      <c r="C128" t="s">
        <v>162</v>
      </c>
      <c r="D128">
        <v>168</v>
      </c>
      <c r="E128">
        <v>5</v>
      </c>
      <c r="F128">
        <v>0.1</v>
      </c>
      <c r="G128">
        <v>0.15</v>
      </c>
      <c r="H128" s="3">
        <v>2.4028</v>
      </c>
      <c r="I128" s="3">
        <f t="shared" si="27"/>
        <v>30.275279999999999</v>
      </c>
      <c r="J128" t="s">
        <v>155</v>
      </c>
    </row>
    <row r="129" spans="2:10" x14ac:dyDescent="0.25">
      <c r="D129">
        <f>432-168</f>
        <v>264</v>
      </c>
      <c r="E129">
        <v>3.5</v>
      </c>
      <c r="F129">
        <v>0.1</v>
      </c>
      <c r="G129">
        <v>0.15</v>
      </c>
      <c r="H129" s="3">
        <v>2.4028</v>
      </c>
      <c r="I129" s="3">
        <f t="shared" si="27"/>
        <v>33.302808000000006</v>
      </c>
      <c r="J129" t="s">
        <v>155</v>
      </c>
    </row>
    <row r="130" spans="2:10" x14ac:dyDescent="0.25">
      <c r="D130">
        <v>192</v>
      </c>
      <c r="E130">
        <v>4</v>
      </c>
      <c r="F130">
        <v>0.1</v>
      </c>
      <c r="G130">
        <v>0.15</v>
      </c>
      <c r="H130" s="3">
        <v>2.4028</v>
      </c>
      <c r="I130" s="3">
        <f t="shared" si="27"/>
        <v>27.680256000000004</v>
      </c>
      <c r="J130" t="s">
        <v>155</v>
      </c>
    </row>
    <row r="131" spans="2:10" x14ac:dyDescent="0.25">
      <c r="D131">
        <f>392-192</f>
        <v>200</v>
      </c>
      <c r="E131">
        <v>5</v>
      </c>
      <c r="F131">
        <v>0.1</v>
      </c>
      <c r="G131">
        <v>0.15</v>
      </c>
      <c r="H131" s="3">
        <v>2.4028</v>
      </c>
      <c r="I131" s="3">
        <f t="shared" si="27"/>
        <v>36.042000000000002</v>
      </c>
      <c r="J131" t="s">
        <v>155</v>
      </c>
    </row>
    <row r="132" spans="2:10" x14ac:dyDescent="0.25">
      <c r="I132" s="29">
        <f>SUM(I112:I131)</f>
        <v>652.89096650599993</v>
      </c>
      <c r="J132" s="6" t="s">
        <v>155</v>
      </c>
    </row>
    <row r="134" spans="2:10" x14ac:dyDescent="0.25">
      <c r="B134" t="s">
        <v>15</v>
      </c>
      <c r="C134" t="s">
        <v>160</v>
      </c>
      <c r="D134">
        <v>1</v>
      </c>
      <c r="E134">
        <f>E127</f>
        <v>755.5</v>
      </c>
      <c r="F134">
        <v>1</v>
      </c>
      <c r="G134">
        <v>1</v>
      </c>
      <c r="H134" s="3">
        <f>0.1+0.09</f>
        <v>0.19</v>
      </c>
      <c r="I134" s="29">
        <f t="shared" ref="I134" si="32">D134*E134*F134*G134*H134</f>
        <v>143.54499999999999</v>
      </c>
      <c r="J134" s="6" t="s">
        <v>155</v>
      </c>
    </row>
    <row r="136" spans="2:10" x14ac:dyDescent="0.25">
      <c r="B136" t="s">
        <v>36</v>
      </c>
      <c r="C136" t="s">
        <v>160</v>
      </c>
      <c r="D136">
        <v>1</v>
      </c>
      <c r="E136">
        <f>E127</f>
        <v>755.5</v>
      </c>
      <c r="F136">
        <v>1</v>
      </c>
      <c r="G136">
        <v>1</v>
      </c>
      <c r="H136" s="3">
        <v>0.25</v>
      </c>
      <c r="I136" s="29">
        <f t="shared" ref="I136" si="33">D136*E136*F136*G136*H136</f>
        <v>188.875</v>
      </c>
      <c r="J136" s="6" t="s">
        <v>155</v>
      </c>
    </row>
    <row r="139" spans="2:10" x14ac:dyDescent="0.25">
      <c r="B139" s="6" t="s">
        <v>114</v>
      </c>
      <c r="C139" s="29">
        <f>VERIFICACIONES!I248-(C2*2)-(C28*4)-(C54*3)-C77-C110</f>
        <v>807.31754183399971</v>
      </c>
      <c r="D139" s="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Espectro Diseño</vt:lpstr>
      <vt:lpstr>CARGAS</vt:lpstr>
      <vt:lpstr>COMBINACIONES</vt:lpstr>
      <vt:lpstr>VERIFICACIONES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2025-04-06T16:04:06Z</dcterms:created>
  <dcterms:modified xsi:type="dcterms:W3CDTF">2025-05-17T17:20:39Z</dcterms:modified>
</cp:coreProperties>
</file>