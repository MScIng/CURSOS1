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SAP2000 2025\"/>
    </mc:Choice>
  </mc:AlternateContent>
  <xr:revisionPtr revIDLastSave="0" documentId="13_ncr:1_{520C5FAD-8D1C-4685-97D3-9B95F6887997}" xr6:coauthVersionLast="47" xr6:coauthVersionMax="47" xr10:uidLastSave="{00000000-0000-0000-0000-000000000000}"/>
  <bookViews>
    <workbookView xWindow="-120" yWindow="-120" windowWidth="29040" windowHeight="15720" xr2:uid="{1C354E47-704F-42B3-AA11-98B0FB5BEB34}"/>
  </bookViews>
  <sheets>
    <sheet name="Espectro Diseño" sheetId="1" r:id="rId1"/>
    <sheet name="Pe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" i="1"/>
  <c r="C12" i="1"/>
  <c r="C7" i="1"/>
  <c r="C8" i="1"/>
</calcChain>
</file>

<file path=xl/sharedStrings.xml><?xml version="1.0" encoding="utf-8"?>
<sst xmlns="http://schemas.openxmlformats.org/spreadsheetml/2006/main" count="15" uniqueCount="14">
  <si>
    <t>ZUCS</t>
  </si>
  <si>
    <t>R</t>
  </si>
  <si>
    <t>Z4</t>
  </si>
  <si>
    <t>Uc</t>
  </si>
  <si>
    <t>C</t>
  </si>
  <si>
    <t>Tp</t>
  </si>
  <si>
    <t>TL</t>
  </si>
  <si>
    <t>T (hn/CT)</t>
  </si>
  <si>
    <t>S1</t>
  </si>
  <si>
    <t>Ro</t>
  </si>
  <si>
    <t>Ia</t>
  </si>
  <si>
    <t>Ip</t>
  </si>
  <si>
    <t>Peso Piso 6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</si>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</sst>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271097</xdr:colOff>
      <xdr:row>5</xdr:row>
      <xdr:rowOff>139211</xdr:rowOff>
    </xdr:from>
    <xdr:to>
      <xdr:col>6</xdr:col>
      <xdr:colOff>92709</xdr:colOff>
      <xdr:row>7</xdr:row>
      <xdr:rowOff>90232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6835E2-16C8-44FE-3707-5DAE40AB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097" y="1091711"/>
          <a:ext cx="2107612" cy="332021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212482</xdr:colOff>
      <xdr:row>16</xdr:row>
      <xdr:rowOff>21981</xdr:rowOff>
    </xdr:from>
    <xdr:to>
      <xdr:col>6</xdr:col>
      <xdr:colOff>674078</xdr:colOff>
      <xdr:row>17</xdr:row>
      <xdr:rowOff>69462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50C88-33A1-F049-F787-402E333F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482" y="3069981"/>
          <a:ext cx="2747596" cy="237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1A2-4E49-4F9A-9395-4B85B83F3D41}">
  <dimension ref="B2:C17"/>
  <sheetViews>
    <sheetView tabSelected="1" zoomScale="130" zoomScaleNormal="130" workbookViewId="0">
      <selection activeCell="C17" sqref="C17"/>
    </sheetView>
  </sheetViews>
  <sheetFormatPr baseColWidth="10" defaultRowHeight="15" x14ac:dyDescent="0.25"/>
  <sheetData>
    <row r="2" spans="2:3" x14ac:dyDescent="0.25">
      <c r="B2" s="2" t="s">
        <v>0</v>
      </c>
      <c r="C2" s="4">
        <f>(C5*C6*C7*C11)/C12</f>
        <v>0.13089005235602094</v>
      </c>
    </row>
    <row r="3" spans="2:3" x14ac:dyDescent="0.25">
      <c r="B3" s="1" t="s">
        <v>1</v>
      </c>
    </row>
    <row r="5" spans="2:3" x14ac:dyDescent="0.25">
      <c r="B5" s="1" t="s">
        <v>2</v>
      </c>
      <c r="C5">
        <v>0.45</v>
      </c>
    </row>
    <row r="6" spans="2:3" x14ac:dyDescent="0.25">
      <c r="B6" s="1" t="s">
        <v>3</v>
      </c>
      <c r="C6" s="3">
        <v>1</v>
      </c>
    </row>
    <row r="7" spans="2:3" x14ac:dyDescent="0.25">
      <c r="B7" s="1" t="s">
        <v>4</v>
      </c>
      <c r="C7" s="3">
        <f>2.5*(C9/C8)</f>
        <v>1.5706806282722514</v>
      </c>
    </row>
    <row r="8" spans="2:3" x14ac:dyDescent="0.25">
      <c r="B8" s="1" t="s">
        <v>7</v>
      </c>
      <c r="C8" s="3">
        <f>38.2/60</f>
        <v>0.63666666666666671</v>
      </c>
    </row>
    <row r="9" spans="2:3" x14ac:dyDescent="0.25">
      <c r="B9" s="1" t="s">
        <v>5</v>
      </c>
      <c r="C9" s="3">
        <v>0.4</v>
      </c>
    </row>
    <row r="10" spans="2:3" x14ac:dyDescent="0.25">
      <c r="B10" s="1" t="s">
        <v>6</v>
      </c>
      <c r="C10" s="3">
        <v>2.5</v>
      </c>
    </row>
    <row r="11" spans="2:3" x14ac:dyDescent="0.25">
      <c r="B11" s="1" t="s">
        <v>8</v>
      </c>
      <c r="C11" s="3">
        <v>1</v>
      </c>
    </row>
    <row r="12" spans="2:3" x14ac:dyDescent="0.25">
      <c r="B12" s="1" t="s">
        <v>1</v>
      </c>
      <c r="C12" s="3">
        <f>C13*C14*C15</f>
        <v>5.4</v>
      </c>
    </row>
    <row r="13" spans="2:3" x14ac:dyDescent="0.25">
      <c r="B13" s="1" t="s">
        <v>9</v>
      </c>
      <c r="C13" s="3">
        <v>6</v>
      </c>
    </row>
    <row r="14" spans="2:3" x14ac:dyDescent="0.25">
      <c r="B14" s="1" t="s">
        <v>10</v>
      </c>
      <c r="C14" s="3">
        <v>0.9</v>
      </c>
    </row>
    <row r="15" spans="2:3" x14ac:dyDescent="0.25">
      <c r="B15" s="1" t="s">
        <v>11</v>
      </c>
      <c r="C15" s="3">
        <v>1</v>
      </c>
    </row>
    <row r="17" spans="2:3" x14ac:dyDescent="0.25">
      <c r="B17" s="1" t="s">
        <v>13</v>
      </c>
      <c r="C17" s="4">
        <f>0.75+(0.5*C8)</f>
        <v>1.0683333333333334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BED-1646-4DDC-8792-27FA3C33FFAD}">
  <dimension ref="B2"/>
  <sheetViews>
    <sheetView workbookViewId="0">
      <selection activeCell="B6" sqref="B6"/>
    </sheetView>
  </sheetViews>
  <sheetFormatPr baseColWidth="10" defaultRowHeight="15" x14ac:dyDescent="0.25"/>
  <sheetData>
    <row r="2" spans="2:2" x14ac:dyDescent="0.25"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Espectro Diseño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2025-04-06T16:04:06Z</dcterms:created>
  <dcterms:modified xsi:type="dcterms:W3CDTF">2025-04-06T17:24:41Z</dcterms:modified>
</cp:coreProperties>
</file>