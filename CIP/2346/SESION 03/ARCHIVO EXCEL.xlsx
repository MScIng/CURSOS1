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P\SAP2000 2025\"/>
    </mc:Choice>
  </mc:AlternateContent>
  <xr:revisionPtr revIDLastSave="0" documentId="13_ncr:1_{D66DF68B-5FF6-4531-A24D-EBCC48CE165C}" xr6:coauthVersionLast="47" xr6:coauthVersionMax="47" xr10:uidLastSave="{00000000-0000-0000-0000-000000000000}"/>
  <bookViews>
    <workbookView xWindow="-120" yWindow="-120" windowWidth="29040" windowHeight="15720" activeTab="2" xr2:uid="{1C354E47-704F-42B3-AA11-98B0FB5BEB34}"/>
  </bookViews>
  <sheets>
    <sheet name="Espectro Diseño" sheetId="1" r:id="rId1"/>
    <sheet name="CARGAS" sheetId="2" r:id="rId2"/>
    <sheet name="COMBINACI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F33" i="2"/>
  <c r="F35" i="2" s="1"/>
  <c r="F27" i="2"/>
  <c r="F29" i="2" s="1"/>
  <c r="F23" i="2"/>
  <c r="F10" i="2"/>
  <c r="F14" i="2" s="1"/>
  <c r="F16" i="2" s="1"/>
  <c r="E7" i="2" s="1"/>
  <c r="C17" i="1"/>
  <c r="C2" i="1"/>
  <c r="C12" i="1"/>
  <c r="C7" i="1"/>
  <c r="C8" i="1"/>
</calcChain>
</file>

<file path=xl/sharedStrings.xml><?xml version="1.0" encoding="utf-8"?>
<sst xmlns="http://schemas.openxmlformats.org/spreadsheetml/2006/main" count="199" uniqueCount="89">
  <si>
    <t>ZUCS</t>
  </si>
  <si>
    <t>R</t>
  </si>
  <si>
    <t>Z4</t>
  </si>
  <si>
    <t>Uc</t>
  </si>
  <si>
    <t>C</t>
  </si>
  <si>
    <t>Tp</t>
  </si>
  <si>
    <t>TL</t>
  </si>
  <si>
    <t>T (hn/CT)</t>
  </si>
  <si>
    <t>S1</t>
  </si>
  <si>
    <t>Ro</t>
  </si>
  <si>
    <t>Ia</t>
  </si>
  <si>
    <t>Ip</t>
  </si>
  <si>
    <t>k</t>
  </si>
  <si>
    <t>DEAD</t>
  </si>
  <si>
    <t>Peso Propio de los Elementos Estructurales</t>
  </si>
  <si>
    <t>CM</t>
  </si>
  <si>
    <t>Peso Acabados</t>
  </si>
  <si>
    <t>kg/m2</t>
  </si>
  <si>
    <t>Peso Ladrillo de Techo</t>
  </si>
  <si>
    <t>Vc</t>
  </si>
  <si>
    <t>Vc=0.05+0.25H</t>
  </si>
  <si>
    <t>m3/m2</t>
  </si>
  <si>
    <t>Vc=0.05+0.25(0.15)</t>
  </si>
  <si>
    <t>Peso Esp. Concreto</t>
  </si>
  <si>
    <t>kg/m3</t>
  </si>
  <si>
    <t>Wc</t>
  </si>
  <si>
    <t>Wladrillo</t>
  </si>
  <si>
    <t>Wladrillo = Wlosa-Wc</t>
  </si>
  <si>
    <t>Peso Muros sobre Área</t>
  </si>
  <si>
    <t>Peso Muros sobre Viga</t>
  </si>
  <si>
    <t>e</t>
  </si>
  <si>
    <t>m</t>
  </si>
  <si>
    <t>h</t>
  </si>
  <si>
    <t>Peso Esp.</t>
  </si>
  <si>
    <t>Wmuro</t>
  </si>
  <si>
    <t>kg/m</t>
  </si>
  <si>
    <t>LIVE</t>
  </si>
  <si>
    <t>Sótano</t>
  </si>
  <si>
    <t>Semisótano</t>
  </si>
  <si>
    <t>Garaje</t>
  </si>
  <si>
    <t>Restaurante</t>
  </si>
  <si>
    <t>1°-2°nivel</t>
  </si>
  <si>
    <t>Escalera</t>
  </si>
  <si>
    <t>3°-10°nivel</t>
  </si>
  <si>
    <t>Departamentos</t>
  </si>
  <si>
    <t>Carga Viva de Entrepiso</t>
  </si>
  <si>
    <t>LIVE UP</t>
  </si>
  <si>
    <t>Carga Viva de Techo</t>
  </si>
  <si>
    <t>Azotea</t>
  </si>
  <si>
    <t>Peso Acabados + Peso ladrillo Techo + Peso muros albañilería + Tanque Elevado</t>
  </si>
  <si>
    <t>Vol</t>
  </si>
  <si>
    <t>m3</t>
  </si>
  <si>
    <t>Peso Esp. H2O</t>
  </si>
  <si>
    <t>Wtanque</t>
  </si>
  <si>
    <t>kg</t>
  </si>
  <si>
    <t>Área</t>
  </si>
  <si>
    <t>m2</t>
  </si>
  <si>
    <t>Wtanque/m2</t>
  </si>
  <si>
    <t>Tanque Losa Ascensor (1)</t>
  </si>
  <si>
    <t>Tanque Losa Central (4)</t>
  </si>
  <si>
    <t>COMB1</t>
  </si>
  <si>
    <t>COMB2</t>
  </si>
  <si>
    <t>COMBINACIÓN N°01: 1.4CM+1.7CV</t>
  </si>
  <si>
    <t>LIVE 1</t>
  </si>
  <si>
    <t>COMB3</t>
  </si>
  <si>
    <t>LIVE 2</t>
  </si>
  <si>
    <t>COMB4</t>
  </si>
  <si>
    <t>SxD</t>
  </si>
  <si>
    <t>COMB5</t>
  </si>
  <si>
    <t>COMB6</t>
  </si>
  <si>
    <t>COMB7</t>
  </si>
  <si>
    <t>COMB8</t>
  </si>
  <si>
    <t>COMB9</t>
  </si>
  <si>
    <t>COMB10</t>
  </si>
  <si>
    <t>COMB11</t>
  </si>
  <si>
    <t>COMB12</t>
  </si>
  <si>
    <t>COMB13</t>
  </si>
  <si>
    <t>COMB14</t>
  </si>
  <si>
    <t>COMB15</t>
  </si>
  <si>
    <t>SyD</t>
  </si>
  <si>
    <t>COMBINACIÓN N°02: 1.25CM+1.25CV+-CS</t>
  </si>
  <si>
    <t>COMBINACIÓN N°03: 0.90CM+-CS</t>
  </si>
  <si>
    <t>COMB16</t>
  </si>
  <si>
    <t>COMB17</t>
  </si>
  <si>
    <t>COMB18</t>
  </si>
  <si>
    <t>COMB19</t>
  </si>
  <si>
    <t>COMBINACIÓN N°04: ENVOLVENTE</t>
  </si>
  <si>
    <t>COMB20</t>
  </si>
  <si>
    <t>COMB1 + COMB2 + … + COMB19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</si>
</sst>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271097</xdr:colOff>
      <xdr:row>5</xdr:row>
      <xdr:rowOff>139211</xdr:rowOff>
    </xdr:from>
    <xdr:to>
      <xdr:col>6</xdr:col>
      <xdr:colOff>92709</xdr:colOff>
      <xdr:row>7</xdr:row>
      <xdr:rowOff>90232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6835E2-16C8-44FE-3707-5DAE40AB1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7097" y="1091711"/>
          <a:ext cx="2107612" cy="332021"/>
        </a:xfrm>
        <a:prstGeom prst="rect">
          <a:avLst/>
        </a:prstGeom>
      </xdr:spPr>
    </xdr:pic>
    <xdr:clientData/>
  </xdr:twoCellAnchor>
  <xdr:twoCellAnchor editAs="oneCell">
    <xdr:from>
      <xdr:col>3</xdr:col>
      <xdr:colOff>212482</xdr:colOff>
      <xdr:row>16</xdr:row>
      <xdr:rowOff>21981</xdr:rowOff>
    </xdr:from>
    <xdr:to>
      <xdr:col>6</xdr:col>
      <xdr:colOff>674078</xdr:colOff>
      <xdr:row>17</xdr:row>
      <xdr:rowOff>69462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850C88-33A1-F049-F787-402E333FD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8482" y="3069981"/>
          <a:ext cx="2747596" cy="237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A1A2-4E49-4F9A-9395-4B85B83F3D41}">
  <dimension ref="B2:C17"/>
  <sheetViews>
    <sheetView zoomScale="130" zoomScaleNormal="130" workbookViewId="0">
      <selection activeCell="I14" sqref="I14"/>
    </sheetView>
  </sheetViews>
  <sheetFormatPr baseColWidth="10" defaultRowHeight="15" x14ac:dyDescent="0.25"/>
  <sheetData>
    <row r="2" spans="2:3" x14ac:dyDescent="0.25">
      <c r="B2" s="2" t="s">
        <v>0</v>
      </c>
      <c r="C2" s="4">
        <f>(C5*C6*C7*C11)/C12</f>
        <v>0.13089005235602094</v>
      </c>
    </row>
    <row r="3" spans="2:3" x14ac:dyDescent="0.25">
      <c r="B3" s="1" t="s">
        <v>1</v>
      </c>
    </row>
    <row r="5" spans="2:3" x14ac:dyDescent="0.25">
      <c r="B5" s="1" t="s">
        <v>2</v>
      </c>
      <c r="C5">
        <v>0.45</v>
      </c>
    </row>
    <row r="6" spans="2:3" x14ac:dyDescent="0.25">
      <c r="B6" s="1" t="s">
        <v>3</v>
      </c>
      <c r="C6" s="3">
        <v>1</v>
      </c>
    </row>
    <row r="7" spans="2:3" x14ac:dyDescent="0.25">
      <c r="B7" s="1" t="s">
        <v>4</v>
      </c>
      <c r="C7" s="3">
        <f>2.5*(C9/C8)</f>
        <v>1.5706806282722514</v>
      </c>
    </row>
    <row r="8" spans="2:3" x14ac:dyDescent="0.25">
      <c r="B8" s="1" t="s">
        <v>7</v>
      </c>
      <c r="C8" s="3">
        <f>38.2/60</f>
        <v>0.63666666666666671</v>
      </c>
    </row>
    <row r="9" spans="2:3" x14ac:dyDescent="0.25">
      <c r="B9" s="1" t="s">
        <v>5</v>
      </c>
      <c r="C9" s="3">
        <v>0.4</v>
      </c>
    </row>
    <row r="10" spans="2:3" x14ac:dyDescent="0.25">
      <c r="B10" s="1" t="s">
        <v>6</v>
      </c>
      <c r="C10" s="3">
        <v>2.5</v>
      </c>
    </row>
    <row r="11" spans="2:3" x14ac:dyDescent="0.25">
      <c r="B11" s="1" t="s">
        <v>8</v>
      </c>
      <c r="C11" s="3">
        <v>1</v>
      </c>
    </row>
    <row r="12" spans="2:3" x14ac:dyDescent="0.25">
      <c r="B12" s="1" t="s">
        <v>1</v>
      </c>
      <c r="C12" s="3">
        <f>C13*C14*C15</f>
        <v>5.4</v>
      </c>
    </row>
    <row r="13" spans="2:3" x14ac:dyDescent="0.25">
      <c r="B13" s="1" t="s">
        <v>9</v>
      </c>
      <c r="C13" s="3">
        <v>6</v>
      </c>
    </row>
    <row r="14" spans="2:3" x14ac:dyDescent="0.25">
      <c r="B14" s="1" t="s">
        <v>10</v>
      </c>
      <c r="C14" s="3">
        <v>0.9</v>
      </c>
    </row>
    <row r="15" spans="2:3" x14ac:dyDescent="0.25">
      <c r="B15" s="1" t="s">
        <v>11</v>
      </c>
      <c r="C15" s="3">
        <v>1</v>
      </c>
    </row>
    <row r="17" spans="2:3" x14ac:dyDescent="0.25">
      <c r="B17" s="1" t="s">
        <v>12</v>
      </c>
      <c r="C17" s="4">
        <f>0.75+(0.5*C8)</f>
        <v>1.0683333333333334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7BED-1646-4DDC-8792-27FA3C33FFAD}">
  <dimension ref="B2:H47"/>
  <sheetViews>
    <sheetView workbookViewId="0">
      <selection activeCell="E21" sqref="E21"/>
    </sheetView>
  </sheetViews>
  <sheetFormatPr baseColWidth="10" defaultRowHeight="15" x14ac:dyDescent="0.25"/>
  <cols>
    <col min="5" max="5" width="13.7109375" customWidth="1"/>
  </cols>
  <sheetData>
    <row r="2" spans="2:8" x14ac:dyDescent="0.25">
      <c r="B2" t="s">
        <v>13</v>
      </c>
      <c r="C2" t="s">
        <v>14</v>
      </c>
    </row>
    <row r="4" spans="2:8" x14ac:dyDescent="0.25">
      <c r="B4" t="s">
        <v>15</v>
      </c>
      <c r="C4" t="s">
        <v>49</v>
      </c>
    </row>
    <row r="6" spans="2:8" x14ac:dyDescent="0.25">
      <c r="C6" t="s">
        <v>16</v>
      </c>
      <c r="E6">
        <v>100</v>
      </c>
      <c r="F6" t="s">
        <v>17</v>
      </c>
    </row>
    <row r="7" spans="2:8" x14ac:dyDescent="0.25">
      <c r="C7" t="s">
        <v>18</v>
      </c>
      <c r="E7">
        <f>F16</f>
        <v>90</v>
      </c>
      <c r="F7" t="s">
        <v>17</v>
      </c>
    </row>
    <row r="8" spans="2:8" x14ac:dyDescent="0.25">
      <c r="E8" t="s">
        <v>20</v>
      </c>
    </row>
    <row r="9" spans="2:8" x14ac:dyDescent="0.25">
      <c r="E9" t="s">
        <v>22</v>
      </c>
    </row>
    <row r="10" spans="2:8" x14ac:dyDescent="0.25">
      <c r="E10" s="1" t="s">
        <v>19</v>
      </c>
      <c r="F10">
        <f>0.05+0.25*(0.15)</f>
        <v>8.7499999999999994E-2</v>
      </c>
      <c r="G10" t="s">
        <v>21</v>
      </c>
    </row>
    <row r="12" spans="2:8" x14ac:dyDescent="0.25">
      <c r="E12" t="s">
        <v>23</v>
      </c>
      <c r="G12">
        <v>2400</v>
      </c>
      <c r="H12" t="s">
        <v>24</v>
      </c>
    </row>
    <row r="14" spans="2:8" x14ac:dyDescent="0.25">
      <c r="E14" s="1" t="s">
        <v>25</v>
      </c>
      <c r="F14">
        <f>G12*F10</f>
        <v>210</v>
      </c>
      <c r="G14" t="s">
        <v>17</v>
      </c>
    </row>
    <row r="15" spans="2:8" x14ac:dyDescent="0.25">
      <c r="E15" s="5" t="s">
        <v>27</v>
      </c>
    </row>
    <row r="16" spans="2:8" x14ac:dyDescent="0.25">
      <c r="E16" t="s">
        <v>26</v>
      </c>
      <c r="F16">
        <f>300-F14</f>
        <v>90</v>
      </c>
      <c r="G16" t="s">
        <v>17</v>
      </c>
    </row>
    <row r="18" spans="3:7" x14ac:dyDescent="0.25">
      <c r="C18" t="s">
        <v>28</v>
      </c>
      <c r="E18">
        <v>250</v>
      </c>
      <c r="F18" t="s">
        <v>17</v>
      </c>
    </row>
    <row r="20" spans="3:7" x14ac:dyDescent="0.25">
      <c r="C20" t="s">
        <v>29</v>
      </c>
      <c r="E20" s="1" t="s">
        <v>30</v>
      </c>
      <c r="F20">
        <v>0.15</v>
      </c>
      <c r="G20" t="s">
        <v>31</v>
      </c>
    </row>
    <row r="21" spans="3:7" x14ac:dyDescent="0.25">
      <c r="E21" s="1" t="s">
        <v>32</v>
      </c>
      <c r="F21" s="3">
        <v>1.2</v>
      </c>
      <c r="G21" t="s">
        <v>31</v>
      </c>
    </row>
    <row r="22" spans="3:7" x14ac:dyDescent="0.25">
      <c r="E22" s="1" t="s">
        <v>33</v>
      </c>
      <c r="F22">
        <v>1350</v>
      </c>
      <c r="G22" t="s">
        <v>24</v>
      </c>
    </row>
    <row r="23" spans="3:7" x14ac:dyDescent="0.25">
      <c r="E23" s="1" t="s">
        <v>34</v>
      </c>
      <c r="F23">
        <f>F22*F21*F20</f>
        <v>243</v>
      </c>
      <c r="G23" t="s">
        <v>35</v>
      </c>
    </row>
    <row r="25" spans="3:7" x14ac:dyDescent="0.25">
      <c r="C25" t="s">
        <v>58</v>
      </c>
      <c r="E25" s="1" t="s">
        <v>50</v>
      </c>
      <c r="F25">
        <v>2.5</v>
      </c>
      <c r="G25" t="s">
        <v>51</v>
      </c>
    </row>
    <row r="26" spans="3:7" x14ac:dyDescent="0.25">
      <c r="E26" s="1" t="s">
        <v>52</v>
      </c>
      <c r="F26">
        <v>1000</v>
      </c>
      <c r="G26" t="s">
        <v>24</v>
      </c>
    </row>
    <row r="27" spans="3:7" x14ac:dyDescent="0.25">
      <c r="E27" s="1" t="s">
        <v>53</v>
      </c>
      <c r="F27">
        <f>F26*F25</f>
        <v>2500</v>
      </c>
      <c r="G27" t="s">
        <v>54</v>
      </c>
    </row>
    <row r="28" spans="3:7" x14ac:dyDescent="0.25">
      <c r="E28" s="1" t="s">
        <v>55</v>
      </c>
      <c r="F28" s="3">
        <v>4</v>
      </c>
      <c r="G28" t="s">
        <v>56</v>
      </c>
    </row>
    <row r="29" spans="3:7" x14ac:dyDescent="0.25">
      <c r="E29" s="1" t="s">
        <v>57</v>
      </c>
      <c r="F29">
        <f>F27/F28</f>
        <v>625</v>
      </c>
      <c r="G29" t="s">
        <v>17</v>
      </c>
    </row>
    <row r="31" spans="3:7" x14ac:dyDescent="0.25">
      <c r="C31" t="s">
        <v>59</v>
      </c>
      <c r="E31" s="1" t="s">
        <v>50</v>
      </c>
      <c r="F31">
        <f>2.5*4</f>
        <v>10</v>
      </c>
      <c r="G31" t="s">
        <v>51</v>
      </c>
    </row>
    <row r="32" spans="3:7" x14ac:dyDescent="0.25">
      <c r="E32" s="1" t="s">
        <v>52</v>
      </c>
      <c r="F32">
        <v>1000</v>
      </c>
      <c r="G32" t="s">
        <v>24</v>
      </c>
    </row>
    <row r="33" spans="2:7" x14ac:dyDescent="0.25">
      <c r="E33" s="1" t="s">
        <v>53</v>
      </c>
      <c r="F33">
        <f>F32*F31</f>
        <v>10000</v>
      </c>
      <c r="G33" t="s">
        <v>54</v>
      </c>
    </row>
    <row r="34" spans="2:7" x14ac:dyDescent="0.25">
      <c r="E34" s="1" t="s">
        <v>55</v>
      </c>
      <c r="F34" s="3">
        <v>17.5</v>
      </c>
      <c r="G34" t="s">
        <v>56</v>
      </c>
    </row>
    <row r="35" spans="2:7" x14ac:dyDescent="0.25">
      <c r="E35" s="1" t="s">
        <v>57</v>
      </c>
      <c r="F35" s="3">
        <f>F33/F34</f>
        <v>571.42857142857144</v>
      </c>
      <c r="G35" t="s">
        <v>17</v>
      </c>
    </row>
    <row r="37" spans="2:7" x14ac:dyDescent="0.25">
      <c r="B37" t="s">
        <v>36</v>
      </c>
      <c r="C37" t="s">
        <v>45</v>
      </c>
    </row>
    <row r="38" spans="2:7" x14ac:dyDescent="0.25">
      <c r="C38" t="s">
        <v>37</v>
      </c>
      <c r="D38" t="s">
        <v>39</v>
      </c>
      <c r="E38">
        <v>250</v>
      </c>
      <c r="F38" t="s">
        <v>17</v>
      </c>
    </row>
    <row r="39" spans="2:7" x14ac:dyDescent="0.25">
      <c r="C39" t="s">
        <v>38</v>
      </c>
      <c r="D39" t="s">
        <v>39</v>
      </c>
      <c r="E39">
        <v>250</v>
      </c>
      <c r="F39" t="s">
        <v>17</v>
      </c>
    </row>
    <row r="40" spans="2:7" x14ac:dyDescent="0.25">
      <c r="D40" t="s">
        <v>42</v>
      </c>
      <c r="E40">
        <v>250</v>
      </c>
      <c r="F40" t="s">
        <v>17</v>
      </c>
    </row>
    <row r="41" spans="2:7" x14ac:dyDescent="0.25">
      <c r="C41" t="s">
        <v>41</v>
      </c>
      <c r="D41" t="s">
        <v>40</v>
      </c>
      <c r="E41">
        <v>400</v>
      </c>
      <c r="F41" t="s">
        <v>17</v>
      </c>
    </row>
    <row r="42" spans="2:7" x14ac:dyDescent="0.25">
      <c r="D42" t="s">
        <v>42</v>
      </c>
      <c r="E42">
        <v>500</v>
      </c>
      <c r="F42" t="s">
        <v>17</v>
      </c>
    </row>
    <row r="43" spans="2:7" x14ac:dyDescent="0.25">
      <c r="C43" t="s">
        <v>43</v>
      </c>
      <c r="D43" t="s">
        <v>44</v>
      </c>
      <c r="E43">
        <v>200</v>
      </c>
      <c r="F43" t="s">
        <v>17</v>
      </c>
    </row>
    <row r="44" spans="2:7" x14ac:dyDescent="0.25">
      <c r="D44" t="s">
        <v>42</v>
      </c>
      <c r="E44">
        <v>200</v>
      </c>
      <c r="F44" t="s">
        <v>17</v>
      </c>
    </row>
    <row r="46" spans="2:7" x14ac:dyDescent="0.25">
      <c r="B46" t="s">
        <v>46</v>
      </c>
      <c r="C46" t="s">
        <v>47</v>
      </c>
    </row>
    <row r="47" spans="2:7" x14ac:dyDescent="0.25">
      <c r="D47" t="s">
        <v>48</v>
      </c>
      <c r="E47">
        <v>100</v>
      </c>
      <c r="F47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8BB5-FC77-4536-A322-F4303C8BB6BF}">
  <dimension ref="B1:L31"/>
  <sheetViews>
    <sheetView tabSelected="1" workbookViewId="0">
      <selection activeCell="G33" sqref="G33"/>
    </sheetView>
  </sheetViews>
  <sheetFormatPr baseColWidth="10" defaultRowHeight="15" x14ac:dyDescent="0.25"/>
  <sheetData>
    <row r="1" spans="2:12" x14ac:dyDescent="0.25">
      <c r="B1" t="s">
        <v>62</v>
      </c>
    </row>
    <row r="3" spans="2:12" x14ac:dyDescent="0.25">
      <c r="B3" t="s">
        <v>60</v>
      </c>
      <c r="C3">
        <v>1.4</v>
      </c>
      <c r="D3" t="s">
        <v>13</v>
      </c>
      <c r="E3">
        <v>1.4</v>
      </c>
      <c r="F3" t="s">
        <v>15</v>
      </c>
      <c r="G3">
        <v>1.7</v>
      </c>
      <c r="H3" t="s">
        <v>36</v>
      </c>
      <c r="I3">
        <v>1.7</v>
      </c>
      <c r="J3" t="s">
        <v>46</v>
      </c>
    </row>
    <row r="4" spans="2:12" x14ac:dyDescent="0.25">
      <c r="B4" t="s">
        <v>61</v>
      </c>
      <c r="C4">
        <v>1.4</v>
      </c>
      <c r="D4" t="s">
        <v>13</v>
      </c>
      <c r="E4">
        <v>1.4</v>
      </c>
      <c r="F4" t="s">
        <v>15</v>
      </c>
      <c r="G4">
        <v>1.7</v>
      </c>
      <c r="H4" t="s">
        <v>63</v>
      </c>
      <c r="I4">
        <v>1.7</v>
      </c>
      <c r="J4" t="s">
        <v>46</v>
      </c>
    </row>
    <row r="5" spans="2:12" x14ac:dyDescent="0.25">
      <c r="B5" t="s">
        <v>64</v>
      </c>
      <c r="C5">
        <v>1.4</v>
      </c>
      <c r="D5" t="s">
        <v>13</v>
      </c>
      <c r="E5">
        <v>1.4</v>
      </c>
      <c r="F5" t="s">
        <v>15</v>
      </c>
      <c r="G5">
        <v>1.7</v>
      </c>
      <c r="H5" t="s">
        <v>65</v>
      </c>
      <c r="I5">
        <v>1.7</v>
      </c>
      <c r="J5" t="s">
        <v>46</v>
      </c>
    </row>
    <row r="7" spans="2:12" x14ac:dyDescent="0.25">
      <c r="B7" t="s">
        <v>80</v>
      </c>
    </row>
    <row r="9" spans="2:12" x14ac:dyDescent="0.25">
      <c r="B9" t="s">
        <v>66</v>
      </c>
      <c r="C9">
        <v>1.25</v>
      </c>
      <c r="D9" t="s">
        <v>13</v>
      </c>
      <c r="E9">
        <v>1.25</v>
      </c>
      <c r="F9" t="s">
        <v>15</v>
      </c>
      <c r="G9">
        <v>1.25</v>
      </c>
      <c r="H9" t="s">
        <v>36</v>
      </c>
      <c r="I9">
        <v>1.25</v>
      </c>
      <c r="J9" t="s">
        <v>46</v>
      </c>
      <c r="K9" s="3">
        <v>1</v>
      </c>
      <c r="L9" t="s">
        <v>67</v>
      </c>
    </row>
    <row r="10" spans="2:12" x14ac:dyDescent="0.25">
      <c r="B10" t="s">
        <v>68</v>
      </c>
      <c r="C10">
        <v>1.25</v>
      </c>
      <c r="D10" t="s">
        <v>13</v>
      </c>
      <c r="E10">
        <v>1.25</v>
      </c>
      <c r="F10" t="s">
        <v>15</v>
      </c>
      <c r="G10">
        <v>1.25</v>
      </c>
      <c r="H10" t="s">
        <v>36</v>
      </c>
      <c r="I10">
        <v>1.25</v>
      </c>
      <c r="J10" t="s">
        <v>46</v>
      </c>
      <c r="K10" s="3">
        <v>-1</v>
      </c>
      <c r="L10" t="s">
        <v>67</v>
      </c>
    </row>
    <row r="11" spans="2:12" x14ac:dyDescent="0.25">
      <c r="B11" t="s">
        <v>69</v>
      </c>
      <c r="C11">
        <v>1.25</v>
      </c>
      <c r="D11" t="s">
        <v>13</v>
      </c>
      <c r="E11">
        <v>1.25</v>
      </c>
      <c r="F11" t="s">
        <v>15</v>
      </c>
      <c r="G11">
        <v>1.25</v>
      </c>
      <c r="H11" t="s">
        <v>36</v>
      </c>
      <c r="I11">
        <v>1.25</v>
      </c>
      <c r="J11" t="s">
        <v>46</v>
      </c>
      <c r="K11" s="3">
        <v>1</v>
      </c>
      <c r="L11" t="s">
        <v>79</v>
      </c>
    </row>
    <row r="12" spans="2:12" x14ac:dyDescent="0.25">
      <c r="B12" t="s">
        <v>70</v>
      </c>
      <c r="C12">
        <v>1.25</v>
      </c>
      <c r="D12" t="s">
        <v>13</v>
      </c>
      <c r="E12">
        <v>1.25</v>
      </c>
      <c r="F12" t="s">
        <v>15</v>
      </c>
      <c r="G12">
        <v>1.25</v>
      </c>
      <c r="H12" t="s">
        <v>36</v>
      </c>
      <c r="I12">
        <v>1.25</v>
      </c>
      <c r="J12" t="s">
        <v>46</v>
      </c>
      <c r="K12" s="3">
        <v>-1</v>
      </c>
      <c r="L12" t="s">
        <v>79</v>
      </c>
    </row>
    <row r="13" spans="2:12" x14ac:dyDescent="0.25">
      <c r="B13" t="s">
        <v>71</v>
      </c>
      <c r="C13">
        <v>1.25</v>
      </c>
      <c r="D13" t="s">
        <v>13</v>
      </c>
      <c r="E13">
        <v>1.25</v>
      </c>
      <c r="F13" t="s">
        <v>15</v>
      </c>
      <c r="G13">
        <v>1.25</v>
      </c>
      <c r="H13" t="s">
        <v>63</v>
      </c>
      <c r="I13">
        <v>1.25</v>
      </c>
      <c r="J13" t="s">
        <v>46</v>
      </c>
      <c r="K13" s="3">
        <v>1</v>
      </c>
      <c r="L13" t="s">
        <v>67</v>
      </c>
    </row>
    <row r="14" spans="2:12" x14ac:dyDescent="0.25">
      <c r="B14" t="s">
        <v>72</v>
      </c>
      <c r="C14">
        <v>1.25</v>
      </c>
      <c r="D14" t="s">
        <v>13</v>
      </c>
      <c r="E14">
        <v>1.25</v>
      </c>
      <c r="F14" t="s">
        <v>15</v>
      </c>
      <c r="G14">
        <v>1.25</v>
      </c>
      <c r="H14" t="s">
        <v>63</v>
      </c>
      <c r="I14">
        <v>1.25</v>
      </c>
      <c r="J14" t="s">
        <v>46</v>
      </c>
      <c r="K14" s="3">
        <v>-1</v>
      </c>
      <c r="L14" t="s">
        <v>67</v>
      </c>
    </row>
    <row r="15" spans="2:12" x14ac:dyDescent="0.25">
      <c r="B15" t="s">
        <v>73</v>
      </c>
      <c r="C15">
        <v>1.25</v>
      </c>
      <c r="D15" t="s">
        <v>13</v>
      </c>
      <c r="E15">
        <v>1.25</v>
      </c>
      <c r="F15" t="s">
        <v>15</v>
      </c>
      <c r="G15">
        <v>1.25</v>
      </c>
      <c r="H15" t="s">
        <v>63</v>
      </c>
      <c r="I15">
        <v>1.25</v>
      </c>
      <c r="J15" t="s">
        <v>46</v>
      </c>
      <c r="K15" s="3">
        <v>1</v>
      </c>
      <c r="L15" t="s">
        <v>79</v>
      </c>
    </row>
    <row r="16" spans="2:12" x14ac:dyDescent="0.25">
      <c r="B16" t="s">
        <v>74</v>
      </c>
      <c r="C16">
        <v>1.25</v>
      </c>
      <c r="D16" t="s">
        <v>13</v>
      </c>
      <c r="E16">
        <v>1.25</v>
      </c>
      <c r="F16" t="s">
        <v>15</v>
      </c>
      <c r="G16">
        <v>1.25</v>
      </c>
      <c r="H16" t="s">
        <v>63</v>
      </c>
      <c r="I16">
        <v>1.25</v>
      </c>
      <c r="J16" t="s">
        <v>46</v>
      </c>
      <c r="K16" s="3">
        <v>-1</v>
      </c>
      <c r="L16" t="s">
        <v>79</v>
      </c>
    </row>
    <row r="17" spans="2:12" x14ac:dyDescent="0.25">
      <c r="B17" t="s">
        <v>75</v>
      </c>
      <c r="C17">
        <v>1.25</v>
      </c>
      <c r="D17" t="s">
        <v>13</v>
      </c>
      <c r="E17">
        <v>1.25</v>
      </c>
      <c r="F17" t="s">
        <v>15</v>
      </c>
      <c r="G17">
        <v>1.25</v>
      </c>
      <c r="H17" t="s">
        <v>65</v>
      </c>
      <c r="I17">
        <v>1.25</v>
      </c>
      <c r="J17" t="s">
        <v>46</v>
      </c>
      <c r="K17" s="3">
        <v>1</v>
      </c>
      <c r="L17" t="s">
        <v>67</v>
      </c>
    </row>
    <row r="18" spans="2:12" x14ac:dyDescent="0.25">
      <c r="B18" t="s">
        <v>76</v>
      </c>
      <c r="C18">
        <v>1.25</v>
      </c>
      <c r="D18" t="s">
        <v>13</v>
      </c>
      <c r="E18">
        <v>1.25</v>
      </c>
      <c r="F18" t="s">
        <v>15</v>
      </c>
      <c r="G18">
        <v>1.25</v>
      </c>
      <c r="H18" t="s">
        <v>65</v>
      </c>
      <c r="I18">
        <v>1.25</v>
      </c>
      <c r="J18" t="s">
        <v>46</v>
      </c>
      <c r="K18" s="3">
        <v>-1</v>
      </c>
      <c r="L18" t="s">
        <v>67</v>
      </c>
    </row>
    <row r="19" spans="2:12" x14ac:dyDescent="0.25">
      <c r="B19" t="s">
        <v>77</v>
      </c>
      <c r="C19">
        <v>1.25</v>
      </c>
      <c r="D19" t="s">
        <v>13</v>
      </c>
      <c r="E19">
        <v>1.25</v>
      </c>
      <c r="F19" t="s">
        <v>15</v>
      </c>
      <c r="G19">
        <v>1.25</v>
      </c>
      <c r="H19" t="s">
        <v>65</v>
      </c>
      <c r="I19">
        <v>1.25</v>
      </c>
      <c r="J19" t="s">
        <v>46</v>
      </c>
      <c r="K19" s="3">
        <v>1</v>
      </c>
      <c r="L19" t="s">
        <v>79</v>
      </c>
    </row>
    <row r="20" spans="2:12" x14ac:dyDescent="0.25">
      <c r="B20" t="s">
        <v>78</v>
      </c>
      <c r="C20">
        <v>1.25</v>
      </c>
      <c r="D20" t="s">
        <v>13</v>
      </c>
      <c r="E20">
        <v>1.25</v>
      </c>
      <c r="F20" t="s">
        <v>15</v>
      </c>
      <c r="G20">
        <v>1.25</v>
      </c>
      <c r="H20" t="s">
        <v>65</v>
      </c>
      <c r="I20">
        <v>1.25</v>
      </c>
      <c r="J20" t="s">
        <v>46</v>
      </c>
      <c r="K20" s="3">
        <v>-1</v>
      </c>
      <c r="L20" t="s">
        <v>79</v>
      </c>
    </row>
    <row r="22" spans="2:12" x14ac:dyDescent="0.25">
      <c r="B22" t="s">
        <v>81</v>
      </c>
    </row>
    <row r="24" spans="2:12" x14ac:dyDescent="0.25">
      <c r="B24" t="s">
        <v>82</v>
      </c>
      <c r="C24">
        <v>0.9</v>
      </c>
      <c r="D24" t="s">
        <v>13</v>
      </c>
      <c r="E24">
        <v>0.9</v>
      </c>
      <c r="F24" t="s">
        <v>15</v>
      </c>
      <c r="G24" s="3">
        <v>1</v>
      </c>
      <c r="H24" t="s">
        <v>67</v>
      </c>
    </row>
    <row r="25" spans="2:12" x14ac:dyDescent="0.25">
      <c r="B25" t="s">
        <v>83</v>
      </c>
      <c r="C25">
        <v>0.9</v>
      </c>
      <c r="D25" t="s">
        <v>13</v>
      </c>
      <c r="E25">
        <v>0.9</v>
      </c>
      <c r="F25" t="s">
        <v>15</v>
      </c>
      <c r="G25" s="3">
        <v>-1</v>
      </c>
      <c r="H25" t="s">
        <v>67</v>
      </c>
    </row>
    <row r="26" spans="2:12" x14ac:dyDescent="0.25">
      <c r="B26" t="s">
        <v>84</v>
      </c>
      <c r="C26">
        <v>0.9</v>
      </c>
      <c r="D26" t="s">
        <v>13</v>
      </c>
      <c r="E26">
        <v>0.9</v>
      </c>
      <c r="F26" t="s">
        <v>15</v>
      </c>
      <c r="G26" s="3">
        <v>1</v>
      </c>
      <c r="H26" t="s">
        <v>79</v>
      </c>
    </row>
    <row r="27" spans="2:12" x14ac:dyDescent="0.25">
      <c r="B27" t="s">
        <v>85</v>
      </c>
      <c r="C27">
        <v>0.9</v>
      </c>
      <c r="D27" t="s">
        <v>13</v>
      </c>
      <c r="E27">
        <v>0.9</v>
      </c>
      <c r="F27" t="s">
        <v>15</v>
      </c>
      <c r="G27" s="3">
        <v>-1</v>
      </c>
      <c r="H27" t="s">
        <v>79</v>
      </c>
    </row>
    <row r="29" spans="2:12" x14ac:dyDescent="0.25">
      <c r="B29" t="s">
        <v>86</v>
      </c>
    </row>
    <row r="31" spans="2:12" x14ac:dyDescent="0.25">
      <c r="B31" t="s">
        <v>87</v>
      </c>
      <c r="C31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Espectro Diseño</vt:lpstr>
      <vt:lpstr>CARGAS</vt:lpstr>
      <vt:lpstr>COMBINACIONES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Sheylla Barrantes</dc:creator>
  <cp:lastModifiedBy>Sheylla Barrantes</cp:lastModifiedBy>
  <dcterms:created xsi:type="dcterms:W3CDTF">2025-04-06T16:04:06Z</dcterms:created>
  <dcterms:modified xsi:type="dcterms:W3CDTF">2025-04-26T16:51:30Z</dcterms:modified>
</cp:coreProperties>
</file>