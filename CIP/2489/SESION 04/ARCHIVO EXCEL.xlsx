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P\SAFE 2025\"/>
    </mc:Choice>
  </mc:AlternateContent>
  <xr:revisionPtr revIDLastSave="0" documentId="13_ncr:1_{649EF599-2E5E-4A1E-AD15-2D0BD5662EC5}" xr6:coauthVersionLast="47" xr6:coauthVersionMax="47" xr10:uidLastSave="{00000000-0000-0000-0000-000000000000}"/>
  <bookViews>
    <workbookView xWindow="-120" yWindow="-120" windowWidth="29040" windowHeight="15720" firstSheet="2" activeTab="6" xr2:uid="{49D253E6-5771-4E01-86F4-87E246B24F6B}"/>
  </bookViews>
  <sheets>
    <sheet name="ZAPATA AISLADA" sheetId="2" r:id="rId1"/>
    <sheet name="COMBINACIONES" sheetId="11" r:id="rId2"/>
    <sheet name="DIMENSIONAMIENTO" sheetId="8" r:id="rId3"/>
    <sheet name="ZAPATA COMBINADA" sheetId="1" r:id="rId4"/>
    <sheet name="ZAPATA CONECTADA" sheetId="6" r:id="rId5"/>
    <sheet name="RIGIDEZ" sheetId="4" r:id="rId6"/>
    <sheet name="DISEÑO DE LOSA" sheetId="7" r:id="rId7"/>
    <sheet name="ASENTAMIENTO" sheetId="10" r:id="rId8"/>
    <sheet name="METRADO" sheetId="12" r:id="rId9"/>
    <sheet name="LOSA ALIGERADA" sheetId="13" r:id="rId10"/>
  </sheets>
  <definedNames>
    <definedName name="_xlnm.Print_Area" localSheetId="0">'ZAPATA AISLADA'!$A$1:$U$57</definedName>
    <definedName name="_xlnm.Print_Area" localSheetId="4">'ZAPATA CONECTADA'!$A$1:$U$57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0" i="7" l="1"/>
  <c r="X127" i="6"/>
  <c r="X126" i="6"/>
  <c r="S122" i="6"/>
  <c r="I83" i="6"/>
  <c r="I82" i="6"/>
  <c r="I80" i="6"/>
  <c r="I76" i="6"/>
  <c r="M73" i="6"/>
  <c r="M113" i="6"/>
  <c r="H94" i="6"/>
  <c r="M93" i="6"/>
  <c r="O93" i="6"/>
  <c r="O113" i="6"/>
  <c r="O73" i="6"/>
  <c r="M31" i="6"/>
  <c r="M28" i="1"/>
  <c r="M7" i="1"/>
  <c r="H8" i="8"/>
  <c r="H11" i="8" s="1"/>
  <c r="M30" i="2"/>
  <c r="H10" i="8"/>
  <c r="H6" i="8"/>
  <c r="B51" i="13"/>
  <c r="B9" i="13"/>
  <c r="B7" i="13"/>
  <c r="B58" i="13"/>
  <c r="B60" i="13" s="1"/>
  <c r="B46" i="13"/>
  <c r="B34" i="13"/>
  <c r="B29" i="13"/>
  <c r="B18" i="13"/>
  <c r="B19" i="13" s="1"/>
  <c r="B17" i="13"/>
  <c r="B10" i="13"/>
  <c r="B11" i="13" s="1"/>
  <c r="B8" i="13"/>
  <c r="B31" i="13" l="1"/>
  <c r="B35" i="13" s="1"/>
  <c r="B48" i="13"/>
  <c r="B49" i="13" s="1"/>
  <c r="B32" i="13" l="1"/>
  <c r="B52" i="13"/>
  <c r="S117" i="6" l="1"/>
  <c r="M120" i="6"/>
  <c r="I74" i="6"/>
  <c r="Q28" i="1"/>
  <c r="D12" i="12"/>
  <c r="D10" i="12"/>
  <c r="D5" i="12"/>
  <c r="S119" i="6"/>
  <c r="O106" i="6"/>
  <c r="M106" i="6"/>
  <c r="O86" i="6"/>
  <c r="M86" i="6"/>
  <c r="R131" i="6" s="1"/>
  <c r="O66" i="6"/>
  <c r="M66" i="6"/>
  <c r="M24" i="6"/>
  <c r="O56" i="1"/>
  <c r="Q56" i="1"/>
  <c r="Q49" i="1"/>
  <c r="O49" i="1"/>
  <c r="M49" i="1"/>
  <c r="M56" i="1"/>
  <c r="Q35" i="1"/>
  <c r="O35" i="1"/>
  <c r="O28" i="1"/>
  <c r="M35" i="1"/>
  <c r="M33" i="1"/>
  <c r="M10" i="2"/>
  <c r="M28" i="2"/>
  <c r="M25" i="2"/>
  <c r="M26" i="2" s="1"/>
  <c r="M23" i="2"/>
  <c r="L20" i="8"/>
  <c r="I25" i="8"/>
  <c r="L19" i="8" s="1"/>
  <c r="J20" i="8"/>
  <c r="R10" i="4"/>
  <c r="S121" i="6"/>
  <c r="Q33" i="1"/>
  <c r="L8" i="10" l="1"/>
  <c r="L10" i="10" s="1"/>
  <c r="T4" i="1"/>
  <c r="T5" i="1" l="1"/>
  <c r="C33" i="7" l="1"/>
  <c r="C32" i="7"/>
  <c r="C31" i="7"/>
  <c r="C24" i="7"/>
  <c r="M32" i="4" l="1"/>
  <c r="M13" i="4"/>
  <c r="O110" i="6"/>
  <c r="M110" i="6"/>
  <c r="O90" i="6"/>
  <c r="M90" i="6"/>
  <c r="O70" i="6"/>
  <c r="I81" i="6"/>
  <c r="J6" i="8"/>
  <c r="J8" i="8" s="1"/>
  <c r="M29" i="2" l="1"/>
  <c r="M31" i="2" s="1"/>
  <c r="H14" i="8" l="1"/>
  <c r="C26" i="7"/>
  <c r="C18" i="7"/>
  <c r="R11" i="4"/>
  <c r="R6" i="4"/>
  <c r="T10" i="6" l="1"/>
  <c r="T4" i="6"/>
  <c r="Q10" i="6"/>
  <c r="Q5" i="6"/>
  <c r="Q4" i="6"/>
  <c r="H86" i="6"/>
  <c r="M70" i="6"/>
  <c r="O45" i="6"/>
  <c r="T11" i="6" s="1"/>
  <c r="M45" i="6"/>
  <c r="T5" i="6" s="1"/>
  <c r="O24" i="6"/>
  <c r="Q11" i="6" s="1"/>
  <c r="M10" i="10"/>
  <c r="T12" i="6" l="1"/>
  <c r="T6" i="6"/>
  <c r="Q12" i="6"/>
  <c r="Q6" i="6"/>
  <c r="Y4" i="1" l="1"/>
  <c r="Y10" i="1"/>
  <c r="Y16" i="1"/>
  <c r="T6" i="1"/>
  <c r="Y11" i="1"/>
  <c r="Y5" i="1"/>
  <c r="Y17" i="1"/>
  <c r="M6" i="1"/>
  <c r="Y18" i="1" l="1"/>
  <c r="Y12" i="1"/>
  <c r="Y6" i="1"/>
  <c r="O23" i="2"/>
  <c r="O25" i="2" s="1"/>
  <c r="O26" i="2" s="1"/>
  <c r="M35" i="4" l="1"/>
  <c r="J29" i="4"/>
  <c r="J28" i="4"/>
  <c r="E27" i="4"/>
  <c r="C27" i="4"/>
  <c r="L25" i="4"/>
  <c r="J25" i="4"/>
  <c r="L24" i="4"/>
  <c r="J24" i="4"/>
  <c r="N25" i="4" l="1"/>
  <c r="N24" i="4"/>
  <c r="M11" i="2"/>
  <c r="H29" i="4" l="1"/>
  <c r="L29" i="4" s="1"/>
  <c r="N29" i="4" s="1"/>
  <c r="H28" i="4"/>
  <c r="L28" i="4" s="1"/>
  <c r="N28" i="4" s="1"/>
  <c r="N30" i="4" l="1"/>
  <c r="M33" i="4" s="1"/>
  <c r="M36" i="4" l="1"/>
  <c r="M38" i="4" s="1"/>
  <c r="H15" i="8"/>
  <c r="C19" i="7"/>
  <c r="C7" i="7"/>
  <c r="C8" i="7" s="1"/>
  <c r="C11" i="7" s="1"/>
  <c r="M119" i="6" l="1"/>
  <c r="M122" i="6" s="1"/>
  <c r="O91" i="6"/>
  <c r="M111" i="6" l="1"/>
  <c r="Q88" i="6"/>
  <c r="P89" i="6" s="1"/>
  <c r="P90" i="6" s="1"/>
  <c r="Q89" i="6" s="1"/>
  <c r="Q90" i="6" s="1"/>
  <c r="R89" i="6" s="1"/>
  <c r="R90" i="6" s="1"/>
  <c r="S89" i="6" s="1"/>
  <c r="M91" i="6"/>
  <c r="I73" i="6" s="1"/>
  <c r="O111" i="6"/>
  <c r="Q111" i="6"/>
  <c r="P112" i="6" s="1"/>
  <c r="P113" i="6" s="1"/>
  <c r="Q112" i="6" s="1"/>
  <c r="Q113" i="6" s="1"/>
  <c r="R112" i="6" s="1"/>
  <c r="R113" i="6" s="1"/>
  <c r="S112" i="6" s="1"/>
  <c r="M121" i="6"/>
  <c r="Q108" i="6"/>
  <c r="P109" i="6" s="1"/>
  <c r="P110" i="6" s="1"/>
  <c r="Q109" i="6" s="1"/>
  <c r="Q110" i="6" s="1"/>
  <c r="R109" i="6" s="1"/>
  <c r="R110" i="6" s="1"/>
  <c r="S109" i="6" s="1"/>
  <c r="Q91" i="6"/>
  <c r="P92" i="6" s="1"/>
  <c r="P93" i="6" s="1"/>
  <c r="Q92" i="6" s="1"/>
  <c r="Q93" i="6" s="1"/>
  <c r="R92" i="6" s="1"/>
  <c r="R93" i="6" s="1"/>
  <c r="S92" i="6" s="1"/>
  <c r="M71" i="6"/>
  <c r="J18" i="6"/>
  <c r="J17" i="6"/>
  <c r="O52" i="6"/>
  <c r="M52" i="6"/>
  <c r="M50" i="6"/>
  <c r="Q50" i="6"/>
  <c r="P51" i="6" s="1"/>
  <c r="P52" i="6" s="1"/>
  <c r="Q51" i="6" s="1"/>
  <c r="Q52" i="6" s="1"/>
  <c r="R51" i="6" s="1"/>
  <c r="R52" i="6" s="1"/>
  <c r="S51" i="6" s="1"/>
  <c r="O50" i="6"/>
  <c r="O31" i="6"/>
  <c r="O29" i="6"/>
  <c r="M29" i="6"/>
  <c r="Q29" i="6"/>
  <c r="Q26" i="6"/>
  <c r="P27" i="6" s="1"/>
  <c r="P28" i="6" s="1"/>
  <c r="Q27" i="6" s="1"/>
  <c r="Q28" i="6" s="1"/>
  <c r="R27" i="6" s="1"/>
  <c r="R28" i="6" s="1"/>
  <c r="S27" i="6" s="1"/>
  <c r="E10" i="6"/>
  <c r="O108" i="6" l="1"/>
  <c r="O112" i="6" s="1"/>
  <c r="S113" i="6"/>
  <c r="O109" i="6" s="1"/>
  <c r="Q71" i="6"/>
  <c r="P72" i="6" s="1"/>
  <c r="O71" i="6"/>
  <c r="M123" i="6"/>
  <c r="R132" i="6" s="1"/>
  <c r="O120" i="6"/>
  <c r="O118" i="6"/>
  <c r="M108" i="6"/>
  <c r="M112" i="6" s="1"/>
  <c r="S110" i="6"/>
  <c r="M109" i="6" s="1"/>
  <c r="O88" i="6"/>
  <c r="O92" i="6" s="1"/>
  <c r="S93" i="6"/>
  <c r="O89" i="6" s="1"/>
  <c r="S90" i="6"/>
  <c r="M89" i="6" s="1"/>
  <c r="M88" i="6"/>
  <c r="M92" i="6" s="1"/>
  <c r="Q68" i="6"/>
  <c r="P69" i="6" s="1"/>
  <c r="P70" i="6" s="1"/>
  <c r="Q69" i="6" s="1"/>
  <c r="Q70" i="6" s="1"/>
  <c r="R69" i="6" s="1"/>
  <c r="R70" i="6" s="1"/>
  <c r="S69" i="6" s="1"/>
  <c r="O47" i="6"/>
  <c r="O51" i="6" s="1"/>
  <c r="S52" i="6"/>
  <c r="O48" i="6" s="1"/>
  <c r="Q47" i="6"/>
  <c r="P48" i="6" s="1"/>
  <c r="P49" i="6" s="1"/>
  <c r="Q48" i="6" s="1"/>
  <c r="Q49" i="6" s="1"/>
  <c r="R48" i="6" s="1"/>
  <c r="R49" i="6" s="1"/>
  <c r="S48" i="6" s="1"/>
  <c r="P30" i="6"/>
  <c r="P31" i="6" s="1"/>
  <c r="Q30" i="6" s="1"/>
  <c r="Q31" i="6" s="1"/>
  <c r="R30" i="6" s="1"/>
  <c r="R31" i="6" s="1"/>
  <c r="S30" i="6" s="1"/>
  <c r="O26" i="6" s="1"/>
  <c r="O30" i="6" s="1"/>
  <c r="O32" i="6" s="1"/>
  <c r="S28" i="6"/>
  <c r="M27" i="6" s="1"/>
  <c r="M26" i="6"/>
  <c r="M30" i="6" s="1"/>
  <c r="M32" i="6" s="1"/>
  <c r="M16" i="4"/>
  <c r="J10" i="4"/>
  <c r="J9" i="4"/>
  <c r="E8" i="4"/>
  <c r="R5" i="4" s="1"/>
  <c r="R7" i="4" s="1"/>
  <c r="C8" i="4"/>
  <c r="L6" i="4"/>
  <c r="J6" i="4"/>
  <c r="L5" i="4"/>
  <c r="J5" i="4"/>
  <c r="N5" i="4" l="1"/>
  <c r="N6" i="4"/>
  <c r="P73" i="6"/>
  <c r="Q72" i="6" s="1"/>
  <c r="S70" i="6"/>
  <c r="M69" i="6" s="1"/>
  <c r="M68" i="6"/>
  <c r="M72" i="6" s="1"/>
  <c r="O53" i="6"/>
  <c r="S49" i="6"/>
  <c r="M48" i="6" s="1"/>
  <c r="M47" i="6"/>
  <c r="M51" i="6" s="1"/>
  <c r="M53" i="6" s="1"/>
  <c r="S31" i="6"/>
  <c r="O27" i="6" s="1"/>
  <c r="Q54" i="1"/>
  <c r="O54" i="1"/>
  <c r="M54" i="1"/>
  <c r="H10" i="4" l="1"/>
  <c r="L10" i="4" s="1"/>
  <c r="N10" i="4" s="1"/>
  <c r="H9" i="4"/>
  <c r="L9" i="4" s="1"/>
  <c r="N9" i="4" s="1"/>
  <c r="Q73" i="6"/>
  <c r="R72" i="6" s="1"/>
  <c r="S54" i="1"/>
  <c r="R55" i="1" s="1"/>
  <c r="R56" i="1" s="1"/>
  <c r="S55" i="1" s="1"/>
  <c r="S56" i="1" s="1"/>
  <c r="T55" i="1" s="1"/>
  <c r="T56" i="1" s="1"/>
  <c r="U55" i="1" s="1"/>
  <c r="O51" i="1" s="1"/>
  <c r="S51" i="1"/>
  <c r="R52" i="1" s="1"/>
  <c r="R53" i="1" s="1"/>
  <c r="S52" i="1" s="1"/>
  <c r="S53" i="1" s="1"/>
  <c r="T52" i="1" s="1"/>
  <c r="T53" i="1" s="1"/>
  <c r="U52" i="1" s="1"/>
  <c r="M51" i="1" s="1"/>
  <c r="S57" i="1"/>
  <c r="R58" i="1" s="1"/>
  <c r="R59" i="1" s="1"/>
  <c r="S58" i="1" s="1"/>
  <c r="S59" i="1" s="1"/>
  <c r="T58" i="1" s="1"/>
  <c r="T59" i="1" s="1"/>
  <c r="U58" i="1" s="1"/>
  <c r="S36" i="1"/>
  <c r="O33" i="1"/>
  <c r="O16" i="1"/>
  <c r="M16" i="1"/>
  <c r="O30" i="2"/>
  <c r="O28" i="2"/>
  <c r="N11" i="4" l="1"/>
  <c r="M14" i="4" s="1"/>
  <c r="M17" i="4" s="1"/>
  <c r="M19" i="4" s="1"/>
  <c r="R73" i="6"/>
  <c r="S72" i="6" s="1"/>
  <c r="Q51" i="1"/>
  <c r="Q55" i="1" s="1"/>
  <c r="Q57" i="1" s="1"/>
  <c r="U59" i="1"/>
  <c r="Q52" i="1" s="1"/>
  <c r="U56" i="1"/>
  <c r="O52" i="1" s="1"/>
  <c r="O55" i="1"/>
  <c r="O57" i="1" s="1"/>
  <c r="M55" i="1"/>
  <c r="M57" i="1" s="1"/>
  <c r="U53" i="1"/>
  <c r="M52" i="1" s="1"/>
  <c r="R37" i="1"/>
  <c r="S33" i="1"/>
  <c r="R34" i="1" s="1"/>
  <c r="R35" i="1" s="1"/>
  <c r="S34" i="1" s="1"/>
  <c r="S35" i="1" s="1"/>
  <c r="T34" i="1" s="1"/>
  <c r="T35" i="1" s="1"/>
  <c r="U34" i="1" s="1"/>
  <c r="S30" i="1"/>
  <c r="R31" i="1" s="1"/>
  <c r="R32" i="1" s="1"/>
  <c r="S31" i="1" s="1"/>
  <c r="S32" i="1" s="1"/>
  <c r="T31" i="1" s="1"/>
  <c r="T32" i="1" s="1"/>
  <c r="U31" i="1" s="1"/>
  <c r="M30" i="1" s="1"/>
  <c r="R38" i="1" l="1"/>
  <c r="S37" i="1" s="1"/>
  <c r="S73" i="6"/>
  <c r="O69" i="6" s="1"/>
  <c r="O68" i="6"/>
  <c r="O72" i="6" s="1"/>
  <c r="U32" i="1"/>
  <c r="M31" i="1" s="1"/>
  <c r="M34" i="1"/>
  <c r="M36" i="1" s="1"/>
  <c r="O30" i="1"/>
  <c r="O34" i="1" s="1"/>
  <c r="O36" i="1" s="1"/>
  <c r="U35" i="1"/>
  <c r="O31" i="1" s="1"/>
  <c r="S38" i="1" l="1"/>
  <c r="T37" i="1" s="1"/>
  <c r="E10" i="2"/>
  <c r="E10" i="1"/>
  <c r="M3" i="2"/>
  <c r="T38" i="1" l="1"/>
  <c r="U37" i="1" s="1"/>
  <c r="U38" i="1" l="1"/>
  <c r="Q31" i="1" s="1"/>
  <c r="Q30" i="1"/>
  <c r="Q34" i="1" s="1"/>
  <c r="Q36" i="1" s="1"/>
  <c r="P11" i="2" l="1"/>
  <c r="M5" i="2"/>
  <c r="O29" i="2" l="1"/>
  <c r="O31" i="2" s="1"/>
</calcChain>
</file>

<file path=xl/sharedStrings.xml><?xml version="1.0" encoding="utf-8"?>
<sst xmlns="http://schemas.openxmlformats.org/spreadsheetml/2006/main" count="907" uniqueCount="266">
  <si>
    <t>TIPO DE CARGA</t>
  </si>
  <si>
    <t>P (ton)</t>
  </si>
  <si>
    <t>Mx (ton-m)</t>
  </si>
  <si>
    <t>My (ton-m)</t>
  </si>
  <si>
    <t>MUERTA</t>
  </si>
  <si>
    <t>VIVA</t>
  </si>
  <si>
    <t>Sx</t>
  </si>
  <si>
    <t>Sy</t>
  </si>
  <si>
    <t>ESFUERZO ADMISIBLE DEL SUELO</t>
  </si>
  <si>
    <r>
      <rPr>
        <sz val="14"/>
        <color theme="1"/>
        <rFont val="Calibri"/>
        <family val="2"/>
        <scheme val="minor"/>
      </rPr>
      <t>Ƴ</t>
    </r>
    <r>
      <rPr>
        <sz val="10"/>
        <color theme="1"/>
        <rFont val="Calibri"/>
        <family val="2"/>
        <scheme val="minor"/>
      </rPr>
      <t>C°A°</t>
    </r>
  </si>
  <si>
    <t>2.40 ton/m3</t>
  </si>
  <si>
    <t>2.40 kg/cm2</t>
  </si>
  <si>
    <r>
      <rPr>
        <sz val="14"/>
        <color theme="1"/>
        <rFont val="Calibri"/>
        <family val="2"/>
        <scheme val="minor"/>
      </rPr>
      <t>Ƴ</t>
    </r>
    <r>
      <rPr>
        <sz val="10"/>
        <color theme="1"/>
        <rFont val="Calibri"/>
        <family val="2"/>
        <scheme val="minor"/>
      </rPr>
      <t>C°S°</t>
    </r>
  </si>
  <si>
    <t>2.20 ton/m3</t>
  </si>
  <si>
    <r>
      <t>Ƴ</t>
    </r>
    <r>
      <rPr>
        <sz val="10"/>
        <color theme="1"/>
        <rFont val="Calibri"/>
        <family val="2"/>
        <scheme val="minor"/>
      </rPr>
      <t>relleno</t>
    </r>
  </si>
  <si>
    <t>1.80 ton/m3</t>
  </si>
  <si>
    <t>PESO ESPECÍFICO DEL CONCRETO ARMADO</t>
  </si>
  <si>
    <t>PESO ESPECÍFICO DEL CONCRETO SIMPLE</t>
  </si>
  <si>
    <t>PESO ESPECÍFICO DEL RELLENO</t>
  </si>
  <si>
    <t>RESISTENCIA A LA COMPRESIÓN DEL CONCRETO</t>
  </si>
  <si>
    <t>f'c</t>
  </si>
  <si>
    <t>210 kg/cm2</t>
  </si>
  <si>
    <t>4200 kg/cm2</t>
  </si>
  <si>
    <t>f'y</t>
  </si>
  <si>
    <t>RESISTENCIA A LA FLUENCIA DEL ACERO DE REFUERZO</t>
  </si>
  <si>
    <t>Kb</t>
  </si>
  <si>
    <t>MÓDULO DE BALASTO</t>
  </si>
  <si>
    <t>SOBRECARGA</t>
  </si>
  <si>
    <t>S/C</t>
  </si>
  <si>
    <t>300 kg/m2</t>
  </si>
  <si>
    <r>
      <rPr>
        <sz val="14"/>
        <color theme="1"/>
        <rFont val="Calibri"/>
        <family val="2"/>
      </rPr>
      <t>σ</t>
    </r>
    <r>
      <rPr>
        <sz val="10"/>
        <color theme="1"/>
        <rFont val="Calibri"/>
        <family val="2"/>
      </rPr>
      <t>adm</t>
    </r>
  </si>
  <si>
    <t>COLUMNA C-1 (40x40m)</t>
  </si>
  <si>
    <t>COLUMNA C-2 (40x40m)</t>
  </si>
  <si>
    <t>ρmín</t>
  </si>
  <si>
    <t>b</t>
  </si>
  <si>
    <t>hz</t>
  </si>
  <si>
    <t>As, mín</t>
  </si>
  <si>
    <r>
      <t xml:space="preserve">As </t>
    </r>
    <r>
      <rPr>
        <b/>
        <i/>
        <sz val="11"/>
        <color theme="1"/>
        <rFont val="Calibri"/>
        <family val="2"/>
      </rPr>
      <t xml:space="preserve">ɸ </t>
    </r>
    <r>
      <rPr>
        <b/>
        <sz val="11"/>
        <color theme="1"/>
        <rFont val="Calibri"/>
        <family val="2"/>
      </rPr>
      <t>1/2"</t>
    </r>
  </si>
  <si>
    <t>S</t>
  </si>
  <si>
    <r>
      <t>USAR 1</t>
    </r>
    <r>
      <rPr>
        <b/>
        <i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FF0000"/>
        <rFont val="Calibri"/>
        <family val="2"/>
      </rPr>
      <t xml:space="preserve">ɸ </t>
    </r>
    <r>
      <rPr>
        <b/>
        <sz val="11"/>
        <color rgb="FFFF0000"/>
        <rFont val="Calibri"/>
        <family val="2"/>
      </rPr>
      <t>1/2" @ 0.14m</t>
    </r>
  </si>
  <si>
    <t>VERIFICACIÓN POR RIGIDEZ</t>
  </si>
  <si>
    <t>Lv</t>
  </si>
  <si>
    <t>DISEÑO DEL REFUERZO POR FLEXIÓN</t>
  </si>
  <si>
    <t>FUERZA CORTANTE POR PUNZONAMIENTO</t>
  </si>
  <si>
    <t>Combinación</t>
  </si>
  <si>
    <r>
      <t xml:space="preserve">hz </t>
    </r>
    <r>
      <rPr>
        <b/>
        <sz val="11"/>
        <color theme="1"/>
        <rFont val="Calibri"/>
        <family val="2"/>
      </rPr>
      <t>≥ Lv/2</t>
    </r>
  </si>
  <si>
    <t>Envolvente</t>
  </si>
  <si>
    <t>Mu</t>
  </si>
  <si>
    <t>f`c</t>
  </si>
  <si>
    <t>f`y</t>
  </si>
  <si>
    <t>r</t>
  </si>
  <si>
    <t>d</t>
  </si>
  <si>
    <t>ɸ</t>
  </si>
  <si>
    <t>a</t>
  </si>
  <si>
    <t>As</t>
  </si>
  <si>
    <t>N°</t>
  </si>
  <si>
    <t>ÁREA</t>
  </si>
  <si>
    <t>3 (3/8")</t>
  </si>
  <si>
    <t>4 (1/2")</t>
  </si>
  <si>
    <t>5 (5/8")</t>
  </si>
  <si>
    <t>6 (3/4")</t>
  </si>
  <si>
    <t>8 (1")</t>
  </si>
  <si>
    <t>As, diseño</t>
  </si>
  <si>
    <t>Lm</t>
  </si>
  <si>
    <t>MÓDULO DE ELASTICIDAD</t>
  </si>
  <si>
    <t>E</t>
  </si>
  <si>
    <t>I</t>
  </si>
  <si>
    <t>C-1</t>
  </si>
  <si>
    <t>C-2</t>
  </si>
  <si>
    <r>
      <rPr>
        <b/>
        <sz val="11"/>
        <color theme="1"/>
        <rFont val="Calibri"/>
        <family val="2"/>
      </rPr>
      <t>σ</t>
    </r>
    <r>
      <rPr>
        <b/>
        <sz val="11"/>
        <color theme="1"/>
        <rFont val="Calibri"/>
        <family val="2"/>
        <scheme val="minor"/>
      </rPr>
      <t>up</t>
    </r>
  </si>
  <si>
    <t>ɸσcp</t>
  </si>
  <si>
    <t>Esfuerzo Cortante Actuante</t>
  </si>
  <si>
    <t>Esfuerzo Cortante Resistente</t>
  </si>
  <si>
    <r>
      <rPr>
        <b/>
        <sz val="11"/>
        <color theme="1"/>
        <rFont val="Calibri"/>
        <family val="2"/>
      </rPr>
      <t>σ</t>
    </r>
    <r>
      <rPr>
        <b/>
        <sz val="11"/>
        <color theme="1"/>
        <rFont val="Calibri"/>
        <family val="2"/>
        <scheme val="minor"/>
      </rPr>
      <t xml:space="preserve">up </t>
    </r>
    <r>
      <rPr>
        <b/>
        <sz val="11"/>
        <color theme="1"/>
        <rFont val="Calibri"/>
        <family val="2"/>
      </rPr>
      <t>≤</t>
    </r>
    <r>
      <rPr>
        <b/>
        <sz val="11"/>
        <color theme="1"/>
        <rFont val="Calibri"/>
        <family val="2"/>
        <scheme val="minor"/>
      </rPr>
      <t xml:space="preserve"> ɸ</t>
    </r>
    <r>
      <rPr>
        <b/>
        <sz val="11"/>
        <color theme="1"/>
        <rFont val="Calibri"/>
        <family val="2"/>
      </rPr>
      <t>σ</t>
    </r>
    <r>
      <rPr>
        <b/>
        <sz val="11"/>
        <color theme="1"/>
        <rFont val="Calibri"/>
        <family val="2"/>
        <scheme val="minor"/>
      </rPr>
      <t>cp</t>
    </r>
  </si>
  <si>
    <t>As (+) ZONA DE COLUMNA C-1</t>
  </si>
  <si>
    <t>As (+) ZONA DE COLUMNA C-2</t>
  </si>
  <si>
    <t>As (-) ZONA CENTRAL</t>
  </si>
  <si>
    <t>DISEÑO DEL REFUERZO LONGITUDINAL POR FLEXIÓN</t>
  </si>
  <si>
    <t>DISEÑO DEL REFUERZO TRANSVERSAL POR FLEXIÓN</t>
  </si>
  <si>
    <t>As (+) ZONA CENTRAL</t>
  </si>
  <si>
    <t>BLOQUE</t>
  </si>
  <si>
    <t>Y</t>
  </si>
  <si>
    <t>ÁREA*Y</t>
  </si>
  <si>
    <t>II</t>
  </si>
  <si>
    <t>INERCIA</t>
  </si>
  <si>
    <t>ÁREA(Y-   )^2</t>
  </si>
  <si>
    <t>I + A(Y-   )^2</t>
  </si>
  <si>
    <t>K</t>
  </si>
  <si>
    <t>B</t>
  </si>
  <si>
    <t>No se verifica por punzonamiento.</t>
  </si>
  <si>
    <t>DISEÑO DEL REFUERZO POR FLEXIÓN Z-1</t>
  </si>
  <si>
    <t>DISEÑO DEL REFUERZO POR FLEXIÓN Z-2</t>
  </si>
  <si>
    <t>DIMENSIONAMIENTO VIGA</t>
  </si>
  <si>
    <t>h</t>
  </si>
  <si>
    <r>
      <t xml:space="preserve">h </t>
    </r>
    <r>
      <rPr>
        <b/>
        <sz val="11"/>
        <color theme="1"/>
        <rFont val="Calibri"/>
        <family val="2"/>
      </rPr>
      <t>≥</t>
    </r>
    <r>
      <rPr>
        <b/>
        <sz val="11"/>
        <color theme="1"/>
        <rFont val="Calibri"/>
        <family val="2"/>
        <scheme val="minor"/>
      </rPr>
      <t xml:space="preserve"> L/7</t>
    </r>
  </si>
  <si>
    <r>
      <t xml:space="preserve">b </t>
    </r>
    <r>
      <rPr>
        <b/>
        <sz val="11"/>
        <color theme="1"/>
        <rFont val="Calibri"/>
        <family val="2"/>
      </rPr>
      <t>≥ h/2</t>
    </r>
  </si>
  <si>
    <t>DISEÑO DE VIGA POR FLEXIÓN</t>
  </si>
  <si>
    <t>NUDO A (As SUPERIOR)</t>
  </si>
  <si>
    <t>NUDO A (As INFERIOR)</t>
  </si>
  <si>
    <t>CLARO AB (As SUPERIOR)</t>
  </si>
  <si>
    <t>CLARO AB (As INFERIOR)</t>
  </si>
  <si>
    <t>NUDO B (As SUPERIOR)</t>
  </si>
  <si>
    <t>NUDO B (As INFERIOR)</t>
  </si>
  <si>
    <t>DISEÑO DE VIGA POR CORTANTE</t>
  </si>
  <si>
    <t>Vu</t>
  </si>
  <si>
    <t>Vn</t>
  </si>
  <si>
    <t>Vc</t>
  </si>
  <si>
    <r>
      <t xml:space="preserve">Vn </t>
    </r>
    <r>
      <rPr>
        <sz val="11"/>
        <color theme="1"/>
        <rFont val="Calibri"/>
        <family val="2"/>
      </rPr>
      <t>≤ Vc/2</t>
    </r>
  </si>
  <si>
    <t xml:space="preserve"> Vc/2 &lt; Vn ≤  Vc </t>
  </si>
  <si>
    <t>Vn &gt; Vc</t>
  </si>
  <si>
    <t>Vc/2</t>
  </si>
  <si>
    <t>Vs</t>
  </si>
  <si>
    <t>DISEÑO DE LOSA</t>
  </si>
  <si>
    <t xml:space="preserve">ɸ </t>
  </si>
  <si>
    <t>APOYOS</t>
  </si>
  <si>
    <t>h=</t>
  </si>
  <si>
    <t>cm</t>
  </si>
  <si>
    <t>b=</t>
  </si>
  <si>
    <t>2bw=</t>
  </si>
  <si>
    <t>ANCHO=</t>
  </si>
  <si>
    <t>d=</t>
  </si>
  <si>
    <t>ρmín =</t>
  </si>
  <si>
    <t>CENTRO DEL CLARO</t>
  </si>
  <si>
    <t>ANCHO(bw)</t>
  </si>
  <si>
    <t>DIRECCIÓN X</t>
  </si>
  <si>
    <t>DIRECCIÓN Y</t>
  </si>
  <si>
    <t>hf</t>
  </si>
  <si>
    <t>Ps</t>
  </si>
  <si>
    <t>Az</t>
  </si>
  <si>
    <r>
      <rPr>
        <b/>
        <sz val="14"/>
        <color theme="1"/>
        <rFont val="Calibri"/>
        <family val="2"/>
      </rPr>
      <t>σ</t>
    </r>
    <r>
      <rPr>
        <b/>
        <sz val="10"/>
        <color theme="1"/>
        <rFont val="Calibri"/>
        <family val="2"/>
      </rPr>
      <t>adm</t>
    </r>
  </si>
  <si>
    <r>
      <rPr>
        <b/>
        <sz val="14"/>
        <color theme="1"/>
        <rFont val="Calibri"/>
        <family val="2"/>
        <scheme val="minor"/>
      </rPr>
      <t>Ƴ</t>
    </r>
    <r>
      <rPr>
        <b/>
        <sz val="11"/>
        <color theme="1"/>
        <rFont val="Calibri"/>
        <family val="2"/>
        <scheme val="minor"/>
      </rPr>
      <t>prom</t>
    </r>
  </si>
  <si>
    <r>
      <t>σ</t>
    </r>
    <r>
      <rPr>
        <b/>
        <sz val="11"/>
        <color theme="1"/>
        <rFont val="Calibri"/>
        <family val="2"/>
      </rPr>
      <t>neto</t>
    </r>
  </si>
  <si>
    <t>L</t>
  </si>
  <si>
    <t>s</t>
  </si>
  <si>
    <t>t</t>
  </si>
  <si>
    <t>δ</t>
  </si>
  <si>
    <t>δ TA</t>
  </si>
  <si>
    <t>δ TB</t>
  </si>
  <si>
    <t>α</t>
  </si>
  <si>
    <t>1/4"</t>
  </si>
  <si>
    <r>
      <t xml:space="preserve">1 </t>
    </r>
    <r>
      <rPr>
        <sz val="11"/>
        <color theme="1"/>
        <rFont val="Calibri"/>
        <family val="2"/>
      </rPr>
      <t>ɸ</t>
    </r>
    <r>
      <rPr>
        <sz val="11"/>
        <color theme="1"/>
        <rFont val="Calibri"/>
        <family val="2"/>
        <scheme val="minor"/>
      </rPr>
      <t xml:space="preserve"> 1/2"</t>
    </r>
  </si>
  <si>
    <t>1 ɸ 3/8"</t>
  </si>
  <si>
    <t>DIMENSIONAMIENTO ZAPATA</t>
  </si>
  <si>
    <t>VERIFICACIÓN DISTORSIÓN ANGULAR</t>
  </si>
  <si>
    <t>REFUERZO POR TEMPERATURA</t>
  </si>
  <si>
    <t>As,mÍn =</t>
  </si>
  <si>
    <t>b =</t>
  </si>
  <si>
    <t>h =</t>
  </si>
  <si>
    <t>cm2</t>
  </si>
  <si>
    <t>VERIFICACIÓN POR RIGIDEZ - VOLADO</t>
  </si>
  <si>
    <t>FUERZA CORTANTE POR FLEXIÓN</t>
  </si>
  <si>
    <t>ɸVc</t>
  </si>
  <si>
    <r>
      <t xml:space="preserve">Vu </t>
    </r>
    <r>
      <rPr>
        <b/>
        <sz val="11"/>
        <color theme="1"/>
        <rFont val="Calibri"/>
        <family val="2"/>
      </rPr>
      <t>≤ ɸVc</t>
    </r>
  </si>
  <si>
    <t>COMBINACIONES DE DISEÑO</t>
  </si>
  <si>
    <t>COMB1</t>
  </si>
  <si>
    <t>1.4 DEAD</t>
  </si>
  <si>
    <t>1.4CM</t>
  </si>
  <si>
    <t>1.7LIVE</t>
  </si>
  <si>
    <t>1.25DEAD</t>
  </si>
  <si>
    <t>1.25CM</t>
  </si>
  <si>
    <t>1.25LIVE</t>
  </si>
  <si>
    <t>1.00Sx</t>
  </si>
  <si>
    <t>COMB2</t>
  </si>
  <si>
    <t>COMB3</t>
  </si>
  <si>
    <t>COMB4</t>
  </si>
  <si>
    <t>COMB5</t>
  </si>
  <si>
    <t>COMB6</t>
  </si>
  <si>
    <t>COMB7</t>
  </si>
  <si>
    <t>COMB8</t>
  </si>
  <si>
    <t>COMB9</t>
  </si>
  <si>
    <t xml:space="preserve"> -1.00Sx</t>
  </si>
  <si>
    <t>1.00Sy</t>
  </si>
  <si>
    <t xml:space="preserve"> -1.00Sy</t>
  </si>
  <si>
    <t>0.9DEAD</t>
  </si>
  <si>
    <t>0.9CM</t>
  </si>
  <si>
    <t>ENVOLVENTE</t>
  </si>
  <si>
    <t>COMB1+COMB2+…+COMB9</t>
  </si>
  <si>
    <t>S1</t>
  </si>
  <si>
    <t>S2</t>
  </si>
  <si>
    <t>S3</t>
  </si>
  <si>
    <t>S4</t>
  </si>
  <si>
    <t>S5</t>
  </si>
  <si>
    <t>1.00DEAD</t>
  </si>
  <si>
    <t>1.00CM</t>
  </si>
  <si>
    <t>1.00LIVE</t>
  </si>
  <si>
    <t>0.8Sx</t>
  </si>
  <si>
    <t xml:space="preserve"> -0.8Sx</t>
  </si>
  <si>
    <t>0.8Sy</t>
  </si>
  <si>
    <t xml:space="preserve"> -0.8Sy</t>
  </si>
  <si>
    <t>COMBINACIONES DE VERIFICACIÓN</t>
  </si>
  <si>
    <t>As, min</t>
  </si>
  <si>
    <t>tn-m</t>
  </si>
  <si>
    <t>X</t>
  </si>
  <si>
    <t>12db</t>
  </si>
  <si>
    <t>Lb</t>
  </si>
  <si>
    <t>ANCHO MÍNIMO</t>
  </si>
  <si>
    <t>CUMPLE</t>
  </si>
  <si>
    <t>MÁXIMO ESPACIAMIENTO</t>
  </si>
  <si>
    <t>Menor sección transversal</t>
  </si>
  <si>
    <t>16db</t>
  </si>
  <si>
    <t>30cm</t>
  </si>
  <si>
    <t>ZONA DE CONFINAMIENTO</t>
  </si>
  <si>
    <t>ZONA CENTRAL</t>
  </si>
  <si>
    <t>ESPACIAMIENTO ZONA DE CONFINAMIENTO</t>
  </si>
  <si>
    <t>ESPACIAMIENTO ZONA CENTRAL</t>
  </si>
  <si>
    <t>d/2</t>
  </si>
  <si>
    <t>BARRAS</t>
  </si>
  <si>
    <t>ESTRIBO</t>
  </si>
  <si>
    <t>&lt;5/8"</t>
  </si>
  <si>
    <t>8mm</t>
  </si>
  <si>
    <t>5/8"-1"</t>
  </si>
  <si>
    <t>3/8"</t>
  </si>
  <si>
    <t>&gt;1"</t>
  </si>
  <si>
    <t>1/2"</t>
  </si>
  <si>
    <t>LONGITUD DEL BASTÓN</t>
  </si>
  <si>
    <t>1 ɸ 1/4"@0.25m</t>
  </si>
  <si>
    <t>X =</t>
  </si>
  <si>
    <t>d =</t>
  </si>
  <si>
    <t>12db =</t>
  </si>
  <si>
    <t>Lb =</t>
  </si>
  <si>
    <t>ÁREA COLUMNA T</t>
  </si>
  <si>
    <t>m2</t>
  </si>
  <si>
    <t>A</t>
  </si>
  <si>
    <t>m</t>
  </si>
  <si>
    <t>0.917647059X*X=0.3738</t>
  </si>
  <si>
    <t>0.917647059X^2=0.3738</t>
  </si>
  <si>
    <t>X^2=0.3738/0.917647059</t>
  </si>
  <si>
    <r>
      <t>USAR 1</t>
    </r>
    <r>
      <rPr>
        <b/>
        <i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FF0000"/>
        <rFont val="Calibri"/>
        <family val="2"/>
      </rPr>
      <t>ɸ 1/2</t>
    </r>
    <r>
      <rPr>
        <b/>
        <sz val="11"/>
        <color rgb="FFFF0000"/>
        <rFont val="Calibri"/>
        <family val="2"/>
      </rPr>
      <t>" @ 0.14m</t>
    </r>
  </si>
  <si>
    <t>USAR 1 ɸ 5/8" @ 0.15m</t>
  </si>
  <si>
    <r>
      <t xml:space="preserve">As </t>
    </r>
    <r>
      <rPr>
        <b/>
        <i/>
        <sz val="11"/>
        <color theme="1"/>
        <rFont val="Calibri"/>
        <family val="2"/>
      </rPr>
      <t>ɸ 5/8</t>
    </r>
    <r>
      <rPr>
        <b/>
        <sz val="11"/>
        <color theme="1"/>
        <rFont val="Calibri"/>
        <family val="2"/>
      </rPr>
      <t>"</t>
    </r>
  </si>
  <si>
    <t>SOBRECIMIENTO</t>
  </si>
  <si>
    <t>ƳC°A°</t>
  </si>
  <si>
    <t>ton/m3</t>
  </si>
  <si>
    <t>e</t>
  </si>
  <si>
    <t>PESO/m</t>
  </si>
  <si>
    <t>ton/m</t>
  </si>
  <si>
    <t>MURO</t>
  </si>
  <si>
    <t>Ƴmuro</t>
  </si>
  <si>
    <t>TOTAL</t>
  </si>
  <si>
    <t>Φ</t>
  </si>
  <si>
    <t>2 (1/4")</t>
  </si>
  <si>
    <t>*APOYOS</t>
  </si>
  <si>
    <t>2bw</t>
  </si>
  <si>
    <t>ANCHO</t>
  </si>
  <si>
    <t>pmin</t>
  </si>
  <si>
    <t>As,min</t>
  </si>
  <si>
    <r>
      <rPr>
        <b/>
        <sz val="11"/>
        <color rgb="FFFF0000"/>
        <rFont val="Univers Light"/>
        <family val="2"/>
        <charset val="1"/>
      </rPr>
      <t>1φ</t>
    </r>
    <r>
      <rPr>
        <b/>
        <sz val="11"/>
        <color rgb="FFFF0000"/>
        <rFont val="Calibri"/>
        <family val="2"/>
      </rPr>
      <t>1/2"</t>
    </r>
  </si>
  <si>
    <t>*CENTRO DEL CLARO</t>
  </si>
  <si>
    <t>ANCHO (bw)</t>
  </si>
  <si>
    <r>
      <rPr>
        <b/>
        <sz val="11"/>
        <color rgb="FFFF0000"/>
        <rFont val="Univers Light"/>
        <family val="2"/>
        <charset val="1"/>
      </rPr>
      <t>1φ3/8</t>
    </r>
    <r>
      <rPr>
        <b/>
        <sz val="11"/>
        <color rgb="FFFF0000"/>
        <rFont val="Calibri"/>
        <family val="2"/>
      </rPr>
      <t>"</t>
    </r>
  </si>
  <si>
    <t>Ton-m</t>
  </si>
  <si>
    <t>f´c</t>
  </si>
  <si>
    <t>kg/cm2</t>
  </si>
  <si>
    <t>fy</t>
  </si>
  <si>
    <t>φ</t>
  </si>
  <si>
    <t>ACERO POR TEMPERATURA</t>
  </si>
  <si>
    <r>
      <rPr>
        <b/>
        <sz val="11"/>
        <color rgb="FFFF0000"/>
        <rFont val="Univers Light"/>
        <family val="2"/>
        <charset val="1"/>
      </rPr>
      <t>1φ</t>
    </r>
    <r>
      <rPr>
        <b/>
        <sz val="11"/>
        <color rgb="FFFF0000"/>
        <rFont val="Calibri"/>
        <family val="2"/>
      </rPr>
      <t>1/4"</t>
    </r>
  </si>
  <si>
    <r>
      <rPr>
        <b/>
        <sz val="11"/>
        <color rgb="FFFF0000"/>
        <rFont val="Univers Light"/>
        <family val="2"/>
        <charset val="1"/>
      </rPr>
      <t>1φ5/8</t>
    </r>
    <r>
      <rPr>
        <b/>
        <sz val="11"/>
        <color rgb="FFFF0000"/>
        <rFont val="Calibri"/>
        <family val="2"/>
      </rPr>
      <t>"</t>
    </r>
  </si>
  <si>
    <r>
      <t xml:space="preserve">2 </t>
    </r>
    <r>
      <rPr>
        <b/>
        <i/>
        <sz val="11"/>
        <color theme="1"/>
        <rFont val="Calibri"/>
        <family val="2"/>
      </rPr>
      <t>ɸ 5/8"</t>
    </r>
    <r>
      <rPr>
        <b/>
        <i/>
        <sz val="11"/>
        <color theme="1"/>
        <rFont val="Calibri"/>
        <family val="2"/>
        <scheme val="minor"/>
      </rPr>
      <t xml:space="preserve"> + 1 ɸ 1/2"</t>
    </r>
  </si>
  <si>
    <r>
      <t xml:space="preserve">5 </t>
    </r>
    <r>
      <rPr>
        <b/>
        <i/>
        <sz val="11"/>
        <color theme="1"/>
        <rFont val="Calibri"/>
        <family val="2"/>
      </rPr>
      <t>ɸ 5/8"</t>
    </r>
  </si>
  <si>
    <r>
      <t xml:space="preserve">3 </t>
    </r>
    <r>
      <rPr>
        <b/>
        <i/>
        <sz val="11"/>
        <color theme="1"/>
        <rFont val="Calibri"/>
        <family val="2"/>
      </rPr>
      <t>ɸ 5/8"</t>
    </r>
  </si>
  <si>
    <r>
      <t xml:space="preserve">USAR 3 </t>
    </r>
    <r>
      <rPr>
        <b/>
        <sz val="11"/>
        <color rgb="FFFF0000"/>
        <rFont val="Calibri"/>
        <family val="2"/>
      </rPr>
      <t>ɸ 5/8"</t>
    </r>
  </si>
  <si>
    <r>
      <t xml:space="preserve">USAR 2 </t>
    </r>
    <r>
      <rPr>
        <b/>
        <sz val="11"/>
        <color rgb="FFFF0000"/>
        <rFont val="Calibri"/>
        <family val="2"/>
      </rPr>
      <t>ɸ 5/8"</t>
    </r>
    <r>
      <rPr>
        <b/>
        <sz val="11"/>
        <color rgb="FFFF0000"/>
        <rFont val="Calibri"/>
        <family val="2"/>
        <scheme val="minor"/>
      </rPr>
      <t xml:space="preserve"> + 1 ɸ 1/2" </t>
    </r>
  </si>
  <si>
    <r>
      <t xml:space="preserve">USAR 5 </t>
    </r>
    <r>
      <rPr>
        <b/>
        <sz val="11"/>
        <color rgb="FFFF0000"/>
        <rFont val="Calibri"/>
        <family val="2"/>
      </rPr>
      <t>ɸ 5/8"</t>
    </r>
  </si>
  <si>
    <t>SI</t>
  </si>
  <si>
    <t>USAR ɸ 3/8", 1@0.05, 15@0.10, 5@0.15 y rto@0.20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</si>
</sst>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164" formatCode="0.00\ &quot;cm2&quot;"/>
    <numFmt numFmtId="165" formatCode="0.00\ &quot;cm&quot;"/>
    <numFmt numFmtId="166" formatCode="0\ &quot;cm&quot;"/>
    <numFmt numFmtId="167" formatCode="0.00\ &quot;tn-m&quot;"/>
    <numFmt numFmtId="168" formatCode="0\ &quot;kg/cm2&quot;"/>
    <numFmt numFmtId="169" formatCode="0\ &quot;ton/m2&quot;"/>
    <numFmt numFmtId="170" formatCode="0.00\ &quot;m&quot;"/>
    <numFmt numFmtId="171" formatCode="0.0000\ &quot;m4&quot;"/>
    <numFmt numFmtId="172" formatCode="0\ &quot;ton/m3&quot;"/>
    <numFmt numFmtId="173" formatCode="0.00\ &quot;kg/cm2&quot;"/>
    <numFmt numFmtId="174" formatCode="&quot;t = &quot;0.00\ &quot;m&quot;"/>
    <numFmt numFmtId="175" formatCode="0.00&quot;m2&quot;"/>
    <numFmt numFmtId="176" formatCode="0.00&quot;m&quot;"/>
    <numFmt numFmtId="177" formatCode="0.00&quot;m3&quot;"/>
    <numFmt numFmtId="178" formatCode="&quot;h = &quot;0.00\ &quot;m&quot;"/>
    <numFmt numFmtId="179" formatCode="&quot;hz = &quot;0.00\ &quot;m&quot;"/>
    <numFmt numFmtId="180" formatCode="0.000&quot;m4&quot;"/>
    <numFmt numFmtId="181" formatCode="&quot;bw = &quot;0.00\ &quot;m&quot;"/>
    <numFmt numFmtId="182" formatCode="&quot;∑ = &quot;0.000\ &quot;m4&quot;"/>
    <numFmt numFmtId="183" formatCode="&quot;B = &quot;0.00\ &quot;m&quot;"/>
    <numFmt numFmtId="184" formatCode="0.00\ &quot;Tn/m2&quot;"/>
    <numFmt numFmtId="185" formatCode="0.000\ &quot;m4&quot;"/>
    <numFmt numFmtId="186" formatCode="0\ &quot;Tn/m3&quot;"/>
    <numFmt numFmtId="187" formatCode="0.00\ &quot;tn&quot;"/>
    <numFmt numFmtId="188" formatCode="0.00\ &quot;ton/m3&quot;"/>
    <numFmt numFmtId="189" formatCode="0.00\ &quot;ton/m2&quot;"/>
    <numFmt numFmtId="190" formatCode="0.00\ &quot;ton&quot;"/>
    <numFmt numFmtId="191" formatCode="0.00\ &quot;m2&quot;"/>
    <numFmt numFmtId="192" formatCode="0.000\ &quot;cm&quot;"/>
    <numFmt numFmtId="193" formatCode="0.00&quot; &quot;&quot;cm&quot;"/>
    <numFmt numFmtId="194" formatCode="0.0\ &quot;cm&quot;"/>
    <numFmt numFmtId="195" formatCode="0.00\ &quot;kg&quot;"/>
    <numFmt numFmtId="196" formatCode="0.0000"/>
    <numFmt numFmtId="197" formatCode="0.0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Univers Light"/>
      <family val="2"/>
    </font>
    <font>
      <b/>
      <sz val="11"/>
      <color rgb="FFFF0000"/>
      <name val="Calibri"/>
      <family val="2"/>
      <charset val="1"/>
    </font>
    <font>
      <b/>
      <sz val="11"/>
      <color rgb="FFFF0000"/>
      <name val="Univers Light"/>
      <family val="2"/>
      <charset val="1"/>
    </font>
    <font>
      <sz val="11"/>
      <color theme="1"/>
      <name val="Univers Light"/>
      <family val="2"/>
      <charset val="1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/>
      <top style="medium">
        <color rgb="FFC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/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right"/>
    </xf>
    <xf numFmtId="2" fontId="16" fillId="0" borderId="0" xfId="0" applyNumberFormat="1" applyFont="1" applyAlignment="1">
      <alignment horizontal="center"/>
    </xf>
    <xf numFmtId="2" fontId="16" fillId="0" borderId="0" xfId="0" applyNumberFormat="1" applyFon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0" fontId="15" fillId="0" borderId="0" xfId="0" applyFont="1"/>
    <xf numFmtId="173" fontId="0" fillId="0" borderId="1" xfId="0" applyNumberFormat="1" applyBorder="1" applyAlignment="1">
      <alignment horizontal="center" vertical="center"/>
    </xf>
    <xf numFmtId="0" fontId="17" fillId="0" borderId="0" xfId="0" applyFont="1"/>
    <xf numFmtId="0" fontId="14" fillId="0" borderId="0" xfId="0" applyFont="1" applyAlignment="1">
      <alignment horizontal="center"/>
    </xf>
    <xf numFmtId="0" fontId="18" fillId="0" borderId="0" xfId="0" applyFont="1"/>
    <xf numFmtId="170" fontId="0" fillId="0" borderId="0" xfId="0" applyNumberFormat="1" applyAlignment="1">
      <alignment horizontal="left"/>
    </xf>
    <xf numFmtId="170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187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/>
    </xf>
    <xf numFmtId="188" fontId="0" fillId="0" borderId="1" xfId="0" applyNumberFormat="1" applyBorder="1" applyAlignment="1">
      <alignment horizontal="center" vertical="center"/>
    </xf>
    <xf numFmtId="189" fontId="0" fillId="0" borderId="1" xfId="0" applyNumberFormat="1" applyBorder="1" applyAlignment="1">
      <alignment horizontal="center"/>
    </xf>
    <xf numFmtId="184" fontId="0" fillId="0" borderId="1" xfId="0" applyNumberFormat="1" applyBorder="1" applyAlignment="1">
      <alignment horizontal="center" vertical="center"/>
    </xf>
    <xf numFmtId="190" fontId="0" fillId="0" borderId="1" xfId="0" applyNumberForma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191" fontId="0" fillId="0" borderId="1" xfId="0" applyNumberFormat="1" applyBorder="1" applyAlignment="1">
      <alignment horizontal="center"/>
    </xf>
    <xf numFmtId="192" fontId="0" fillId="0" borderId="1" xfId="0" applyNumberFormat="1" applyBorder="1" applyAlignment="1">
      <alignment horizontal="center" vertical="center"/>
    </xf>
    <xf numFmtId="193" fontId="0" fillId="0" borderId="1" xfId="0" applyNumberFormat="1" applyBorder="1" applyAlignment="1">
      <alignment horizontal="center" vertical="center"/>
    </xf>
    <xf numFmtId="194" fontId="0" fillId="0" borderId="1" xfId="0" applyNumberFormat="1" applyBorder="1" applyAlignment="1">
      <alignment horizontal="center" vertical="center"/>
    </xf>
    <xf numFmtId="195" fontId="0" fillId="0" borderId="1" xfId="0" applyNumberFormat="1" applyBorder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196" fontId="0" fillId="0" borderId="1" xfId="0" applyNumberFormat="1" applyBorder="1" applyAlignment="1">
      <alignment horizontal="center"/>
    </xf>
    <xf numFmtId="164" fontId="0" fillId="0" borderId="0" xfId="0" applyNumberFormat="1"/>
    <xf numFmtId="166" fontId="0" fillId="0" borderId="0" xfId="0" applyNumberFormat="1"/>
    <xf numFmtId="166" fontId="0" fillId="2" borderId="0" xfId="0" applyNumberFormat="1" applyFill="1"/>
    <xf numFmtId="196" fontId="0" fillId="0" borderId="0" xfId="0" applyNumberFormat="1"/>
    <xf numFmtId="0" fontId="15" fillId="0" borderId="0" xfId="0" applyFont="1" applyAlignment="1">
      <alignment horizontal="right"/>
    </xf>
    <xf numFmtId="2" fontId="15" fillId="0" borderId="0" xfId="0" applyNumberFormat="1" applyFont="1" applyAlignment="1">
      <alignment horizontal="center"/>
    </xf>
    <xf numFmtId="2" fontId="15" fillId="0" borderId="0" xfId="0" applyNumberFormat="1" applyFont="1"/>
    <xf numFmtId="0" fontId="0" fillId="2" borderId="1" xfId="0" applyFill="1" applyBorder="1" applyAlignment="1">
      <alignment horizontal="center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97" fontId="0" fillId="0" borderId="0" xfId="0" applyNumberFormat="1"/>
    <xf numFmtId="0" fontId="1" fillId="2" borderId="0" xfId="0" applyFont="1" applyFill="1"/>
    <xf numFmtId="197" fontId="1" fillId="2" borderId="0" xfId="0" applyNumberFormat="1" applyFont="1" applyFill="1"/>
    <xf numFmtId="0" fontId="0" fillId="2" borderId="0" xfId="0" applyFill="1"/>
    <xf numFmtId="0" fontId="24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5" fillId="0" borderId="0" xfId="0" applyFont="1" applyAlignment="1">
      <alignment horizontal="center"/>
    </xf>
    <xf numFmtId="0" fontId="1" fillId="3" borderId="0" xfId="0" applyFont="1" applyFill="1"/>
    <xf numFmtId="0" fontId="27" fillId="0" borderId="0" xfId="0" applyFont="1"/>
    <xf numFmtId="2" fontId="0" fillId="2" borderId="0" xfId="0" applyNumberFormat="1" applyFill="1"/>
    <xf numFmtId="0" fontId="0" fillId="3" borderId="0" xfId="0" applyFill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2" fontId="28" fillId="0" borderId="1" xfId="0" applyNumberFormat="1" applyFont="1" applyBorder="1" applyAlignment="1">
      <alignment horizontal="center" vertical="center"/>
    </xf>
    <xf numFmtId="166" fontId="0" fillId="4" borderId="0" xfId="0" applyNumberFormat="1" applyFill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 vertical="center"/>
    </xf>
    <xf numFmtId="186" fontId="0" fillId="0" borderId="1" xfId="0" applyNumberFormat="1" applyBorder="1" applyAlignment="1">
      <alignment horizontal="center"/>
    </xf>
    <xf numFmtId="180" fontId="0" fillId="0" borderId="1" xfId="0" applyNumberFormat="1" applyBorder="1" applyAlignment="1">
      <alignment horizontal="center"/>
    </xf>
    <xf numFmtId="181" fontId="0" fillId="0" borderId="13" xfId="0" applyNumberFormat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1" fontId="0" fillId="0" borderId="14" xfId="0" applyNumberFormat="1" applyBorder="1" applyAlignment="1">
      <alignment horizontal="center" vertical="center"/>
    </xf>
    <xf numFmtId="181" fontId="0" fillId="0" borderId="15" xfId="0" applyNumberFormat="1" applyBorder="1" applyAlignment="1">
      <alignment horizontal="center" vertical="center"/>
    </xf>
    <xf numFmtId="181" fontId="0" fillId="0" borderId="16" xfId="0" applyNumberForma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/>
    </xf>
    <xf numFmtId="182" fontId="0" fillId="0" borderId="6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83" fontId="0" fillId="0" borderId="20" xfId="0" applyNumberFormat="1" applyBorder="1" applyAlignment="1">
      <alignment horizontal="center"/>
    </xf>
    <xf numFmtId="184" fontId="0" fillId="0" borderId="1" xfId="0" applyNumberFormat="1" applyBorder="1" applyAlignment="1">
      <alignment horizontal="center"/>
    </xf>
    <xf numFmtId="185" fontId="0" fillId="0" borderId="1" xfId="0" applyNumberFormat="1" applyBorder="1" applyAlignment="1">
      <alignment horizontal="center"/>
    </xf>
    <xf numFmtId="178" fontId="0" fillId="0" borderId="0" xfId="0" applyNumberFormat="1" applyAlignment="1">
      <alignment horizontal="left" vertical="center" textRotation="90"/>
    </xf>
    <xf numFmtId="179" fontId="0" fillId="0" borderId="0" xfId="0" applyNumberFormat="1" applyAlignment="1">
      <alignment horizontal="right" textRotation="90"/>
    </xf>
    <xf numFmtId="0" fontId="1" fillId="0" borderId="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5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microsoft.com/office/2007/relationships/hdphoto" Target="../media/hdphoto1.wdp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13</xdr:row>
      <xdr:rowOff>38100</xdr:rowOff>
    </xdr:from>
    <xdr:to>
      <xdr:col>3</xdr:col>
      <xdr:colOff>838200</xdr:colOff>
      <xdr:row>34</xdr:row>
      <xdr:rowOff>86360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9EE041-710A-413D-BBB9-24FDBFBBF93E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5"/>
        <a:stretch/>
      </xdr:blipFill>
      <xdr:spPr bwMode="auto">
        <a:xfrm>
          <a:off x="238125" y="2733675"/>
          <a:ext cx="4162425" cy="414401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304800</xdr:colOff>
      <xdr:row>14</xdr:row>
      <xdr:rowOff>28575</xdr:rowOff>
    </xdr:from>
    <xdr:to>
      <xdr:col>9</xdr:col>
      <xdr:colOff>17145</xdr:colOff>
      <xdr:row>32</xdr:row>
      <xdr:rowOff>123190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2C84251-D167-46CB-BAA4-74DCDF3A872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2933700"/>
          <a:ext cx="4084320" cy="3599815"/>
        </a:xfrm>
        <a:prstGeom prst="rect">
          <a:avLst/>
        </a:prstGeom>
      </xdr:spPr>
    </xdr:pic>
    <xdr:clientData/>
  </xdr:twoCellAnchor>
  <xdr:oneCellAnchor>
    <xdr:from>
      <xdr:col>15</xdr:col>
      <xdr:colOff>609600</xdr:colOff>
      <xdr:row>15</xdr:row>
      <xdr:rowOff>190500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8F87796-CC59-4955-A662-486BC9A3945B}"/>
                </a:ext>
              </a:extLst>
            </xdr:cNvPr>
            <xdr:cNvSpPr txBox="1"/>
          </xdr:nvSpPr>
          <xdr:spPr>
            <a:xfrm>
              <a:off x="14620875" y="3305175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8F87796-CC59-4955-A662-486BC9A3945B}"/>
                </a:ext>
              </a:extLst>
            </xdr:cNvPr>
            <xdr:cNvSpPr txBox="1"/>
          </xdr:nvSpPr>
          <xdr:spPr>
            <a:xfrm>
              <a:off x="14620875" y="3305175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13</xdr:col>
      <xdr:colOff>922020</xdr:colOff>
      <xdr:row>2</xdr:row>
      <xdr:rowOff>0</xdr:rowOff>
    </xdr:from>
    <xdr:ext cx="1486112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0BBBD9A-D742-498F-97EA-D95FBB214BE5}"/>
                </a:ext>
              </a:extLst>
            </xdr:cNvPr>
            <xdr:cNvSpPr txBox="1"/>
          </xdr:nvSpPr>
          <xdr:spPr>
            <a:xfrm>
              <a:off x="13342620" y="39624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𝑉𝑐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=0.53∗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´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rad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0BBBD9A-D742-498F-97EA-D95FBB214BE5}"/>
                </a:ext>
              </a:extLst>
            </xdr:cNvPr>
            <xdr:cNvSpPr txBox="1"/>
          </xdr:nvSpPr>
          <xdr:spPr>
            <a:xfrm>
              <a:off x="13342620" y="39624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PE" sz="1100" b="0" i="0">
                  <a:latin typeface="Cambria Math" panose="02040503050406030204" pitchFamily="18" charset="0"/>
                </a:rPr>
                <a:t>𝑉𝑐=0.53∗√(𝑓´𝑐)∗𝑏∗𝑑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333375</xdr:colOff>
      <xdr:row>18</xdr:row>
      <xdr:rowOff>161925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C065B90D-A2F4-465C-AF1A-E08E937C1B35}"/>
                </a:ext>
              </a:extLst>
            </xdr:cNvPr>
            <xdr:cNvSpPr txBox="1"/>
          </xdr:nvSpPr>
          <xdr:spPr>
            <a:xfrm>
              <a:off x="14344650" y="39052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C065B90D-A2F4-465C-AF1A-E08E937C1B35}"/>
                </a:ext>
              </a:extLst>
            </xdr:cNvPr>
            <xdr:cNvSpPr txBox="1"/>
          </xdr:nvSpPr>
          <xdr:spPr>
            <a:xfrm>
              <a:off x="14344650" y="39052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∅∗𝑏))</a:t>
              </a:r>
              <a:endParaRPr lang="es-PE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289560</xdr:colOff>
      <xdr:row>2</xdr:row>
      <xdr:rowOff>104776</xdr:rowOff>
    </xdr:from>
    <xdr:to>
      <xdr:col>5</xdr:col>
      <xdr:colOff>441960</xdr:colOff>
      <xdr:row>15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B24B40-3FB5-42B1-A5FD-99BF610E7423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709"/>
        <a:stretch/>
      </xdr:blipFill>
      <xdr:spPr>
        <a:xfrm>
          <a:off x="571500" y="470536"/>
          <a:ext cx="3322320" cy="2552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16</xdr:row>
      <xdr:rowOff>0</xdr:rowOff>
    </xdr:from>
    <xdr:to>
      <xdr:col>5</xdr:col>
      <xdr:colOff>123859</xdr:colOff>
      <xdr:row>34</xdr:row>
      <xdr:rowOff>40296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4C63AE-300F-4F46-B3E0-9C0945E67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3314700"/>
          <a:ext cx="5629309" cy="3507396"/>
        </a:xfrm>
        <a:prstGeom prst="rect">
          <a:avLst/>
        </a:prstGeom>
      </xdr:spPr>
    </xdr:pic>
    <xdr:clientData/>
  </xdr:twoCellAnchor>
  <xdr:oneCellAnchor>
    <xdr:from>
      <xdr:col>11</xdr:col>
      <xdr:colOff>85725</xdr:colOff>
      <xdr:row>6</xdr:row>
      <xdr:rowOff>61912</xdr:rowOff>
    </xdr:from>
    <xdr:ext cx="1094082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23EB4DA-4B49-4812-B094-C152BCB4B319}"/>
                </a:ext>
              </a:extLst>
            </xdr:cNvPr>
            <xdr:cNvSpPr txBox="1"/>
          </xdr:nvSpPr>
          <xdr:spPr>
            <a:xfrm>
              <a:off x="11182350" y="1300162"/>
              <a:ext cx="1094082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1" i="1">
                        <a:latin typeface="Cambria Math" panose="02040503050406030204" pitchFamily="18" charset="0"/>
                      </a:rPr>
                      <m:t>𝑳𝒎</m:t>
                    </m:r>
                    <m:r>
                      <a:rPr lang="es-PE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r>
                      <a:rPr lang="es-PE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s-PE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s-PE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𝟕𝟓</m:t>
                    </m:r>
                    <m:rad>
                      <m:radPr>
                        <m:ctrlPr>
                          <a:rPr lang="es-PE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>
                        <m:r>
                          <m:rPr>
                            <m:brk m:alnAt="7"/>
                          </m:rPr>
                          <a:rPr lang="es-PE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deg>
                      <m:e>
                        <m:f>
                          <m:fPr>
                            <m:ctrlPr>
                              <a:rPr lang="es-PE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𝟒</m:t>
                            </m:r>
                            <m:r>
                              <a:rPr lang="es-PE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𝑬𝑰</m:t>
                            </m:r>
                          </m:num>
                          <m:den>
                            <m:r>
                              <a:rPr lang="es-PE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𝑲𝒃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 b="1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23EB4DA-4B49-4812-B094-C152BCB4B319}"/>
                </a:ext>
              </a:extLst>
            </xdr:cNvPr>
            <xdr:cNvSpPr txBox="1"/>
          </xdr:nvSpPr>
          <xdr:spPr>
            <a:xfrm>
              <a:off x="11182350" y="1300162"/>
              <a:ext cx="1094082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PE" sz="1100" b="1" i="0">
                  <a:latin typeface="Cambria Math" panose="02040503050406030204" pitchFamily="18" charset="0"/>
                </a:rPr>
                <a:t>𝑳𝒎</a:t>
              </a:r>
              <a:r>
                <a:rPr lang="es-PE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≤𝟏.𝟕𝟓√(𝟒&amp;𝟒𝑬𝑰/𝑲𝒃)</a:t>
              </a:r>
              <a:endParaRPr lang="es-PE" sz="1100" b="1"/>
            </a:p>
          </xdr:txBody>
        </xdr:sp>
      </mc:Fallback>
    </mc:AlternateContent>
    <xdr:clientData/>
  </xdr:oneCellAnchor>
  <xdr:twoCellAnchor editAs="oneCell">
    <xdr:from>
      <xdr:col>6</xdr:col>
      <xdr:colOff>171450</xdr:colOff>
      <xdr:row>15</xdr:row>
      <xdr:rowOff>66675</xdr:rowOff>
    </xdr:from>
    <xdr:to>
      <xdr:col>10</xdr:col>
      <xdr:colOff>132831</xdr:colOff>
      <xdr:row>35</xdr:row>
      <xdr:rowOff>182381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8DF9B5E-E809-4755-991B-3081B723F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3181350"/>
          <a:ext cx="4152381" cy="3990476"/>
        </a:xfrm>
        <a:prstGeom prst="rect">
          <a:avLst/>
        </a:prstGeom>
      </xdr:spPr>
    </xdr:pic>
    <xdr:clientData/>
  </xdr:twoCellAnchor>
  <xdr:oneCellAnchor>
    <xdr:from>
      <xdr:col>17</xdr:col>
      <xdr:colOff>276225</xdr:colOff>
      <xdr:row>21</xdr:row>
      <xdr:rowOff>47625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E11C1FB0-72FC-4A87-B321-A568C452768B}"/>
                </a:ext>
              </a:extLst>
            </xdr:cNvPr>
            <xdr:cNvSpPr txBox="1"/>
          </xdr:nvSpPr>
          <xdr:spPr>
            <a:xfrm>
              <a:off x="16440150" y="43243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E11C1FB0-72FC-4A87-B321-A568C452768B}"/>
                </a:ext>
              </a:extLst>
            </xdr:cNvPr>
            <xdr:cNvSpPr txBox="1"/>
          </xdr:nvSpPr>
          <xdr:spPr>
            <a:xfrm>
              <a:off x="16440150" y="43243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17</xdr:col>
      <xdr:colOff>276225</xdr:colOff>
      <xdr:row>42</xdr:row>
      <xdr:rowOff>47625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D55A184-3FAA-4AD3-8EF9-53F1A9DD056B}"/>
                </a:ext>
              </a:extLst>
            </xdr:cNvPr>
            <xdr:cNvSpPr txBox="1"/>
          </xdr:nvSpPr>
          <xdr:spPr>
            <a:xfrm>
              <a:off x="16964025" y="43624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D55A184-3FAA-4AD3-8EF9-53F1A9DD056B}"/>
                </a:ext>
              </a:extLst>
            </xdr:cNvPr>
            <xdr:cNvSpPr txBox="1"/>
          </xdr:nvSpPr>
          <xdr:spPr>
            <a:xfrm>
              <a:off x="16964025" y="43624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20</xdr:col>
      <xdr:colOff>281940</xdr:colOff>
      <xdr:row>1</xdr:row>
      <xdr:rowOff>129540</xdr:rowOff>
    </xdr:from>
    <xdr:ext cx="1486112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5B60314-FF19-472B-A1E4-732C029C1E4B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𝑉𝑐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=0.53∗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´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rad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5B60314-FF19-472B-A1E4-732C029C1E4B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𝑉𝑐=0.53∗√(𝑓´𝑐)∗𝑏∗𝑑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25</xdr:col>
      <xdr:colOff>281940</xdr:colOff>
      <xdr:row>1</xdr:row>
      <xdr:rowOff>129540</xdr:rowOff>
    </xdr:from>
    <xdr:ext cx="1486112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69C6EC88-24C1-40DC-A9AB-1B61B9112979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𝑉𝑐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=0.53∗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´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rad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69C6EC88-24C1-40DC-A9AB-1B61B9112979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𝑉𝑐=0.53∗√(𝑓´𝑐)∗𝑏∗𝑑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25</xdr:col>
      <xdr:colOff>281940</xdr:colOff>
      <xdr:row>7</xdr:row>
      <xdr:rowOff>129540</xdr:rowOff>
    </xdr:from>
    <xdr:ext cx="1486112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66654026-A178-4139-B08A-87DBF36E07D7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𝑉𝑐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=0.53∗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´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rad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66654026-A178-4139-B08A-87DBF36E07D7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𝑉𝑐=0.53∗√(𝑓´𝑐)∗𝑏∗𝑑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25</xdr:col>
      <xdr:colOff>281940</xdr:colOff>
      <xdr:row>13</xdr:row>
      <xdr:rowOff>129540</xdr:rowOff>
    </xdr:from>
    <xdr:ext cx="1486112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24559ABD-1F8E-4DFE-8315-91AEA711E515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𝑉𝑐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=0.53∗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´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rad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24559ABD-1F8E-4DFE-8315-91AEA711E515}"/>
                </a:ext>
              </a:extLst>
            </xdr:cNvPr>
            <xdr:cNvSpPr txBox="1"/>
          </xdr:nvSpPr>
          <xdr:spPr>
            <a:xfrm>
              <a:off x="19796760" y="312420"/>
              <a:ext cx="1486112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𝑉𝑐=0.53∗√(𝑓´𝑐)∗𝑏∗𝑑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17</xdr:col>
      <xdr:colOff>200025</xdr:colOff>
      <xdr:row>24</xdr:row>
      <xdr:rowOff>57150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53562E5C-CCB3-4AEB-874F-937E1E0C0E5F}"/>
                </a:ext>
              </a:extLst>
            </xdr:cNvPr>
            <xdr:cNvSpPr txBox="1"/>
          </xdr:nvSpPr>
          <xdr:spPr>
            <a:xfrm>
              <a:off x="16887825" y="49339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53562E5C-CCB3-4AEB-874F-937E1E0C0E5F}"/>
                </a:ext>
              </a:extLst>
            </xdr:cNvPr>
            <xdr:cNvSpPr txBox="1"/>
          </xdr:nvSpPr>
          <xdr:spPr>
            <a:xfrm>
              <a:off x="16887825" y="49339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∅∗𝑏))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17</xdr:col>
      <xdr:colOff>123825</xdr:colOff>
      <xdr:row>45</xdr:row>
      <xdr:rowOff>38100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804EDA6E-22F2-4928-B4CE-76408152CE52}"/>
                </a:ext>
              </a:extLst>
            </xdr:cNvPr>
            <xdr:cNvSpPr txBox="1"/>
          </xdr:nvSpPr>
          <xdr:spPr>
            <a:xfrm>
              <a:off x="16811625" y="89725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804EDA6E-22F2-4928-B4CE-76408152CE52}"/>
                </a:ext>
              </a:extLst>
            </xdr:cNvPr>
            <xdr:cNvSpPr txBox="1"/>
          </xdr:nvSpPr>
          <xdr:spPr>
            <a:xfrm>
              <a:off x="16811625" y="89725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∅∗𝑏))</a:t>
              </a:r>
              <a:endParaRPr lang="es-PE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419100</xdr:colOff>
      <xdr:row>17</xdr:row>
      <xdr:rowOff>47625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BDB1C22D-12EE-43D1-A096-39C0B9A9B4A7}"/>
                </a:ext>
              </a:extLst>
            </xdr:cNvPr>
            <xdr:cNvSpPr txBox="1"/>
          </xdr:nvSpPr>
          <xdr:spPr>
            <a:xfrm>
              <a:off x="14887575" y="35814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BDB1C22D-12EE-43D1-A096-39C0B9A9B4A7}"/>
                </a:ext>
              </a:extLst>
            </xdr:cNvPr>
            <xdr:cNvSpPr txBox="1"/>
          </xdr:nvSpPr>
          <xdr:spPr>
            <a:xfrm>
              <a:off x="14887575" y="35814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twoCellAnchor editAs="oneCell">
    <xdr:from>
      <xdr:col>0</xdr:col>
      <xdr:colOff>0</xdr:colOff>
      <xdr:row>15</xdr:row>
      <xdr:rowOff>85725</xdr:rowOff>
    </xdr:from>
    <xdr:to>
      <xdr:col>7</xdr:col>
      <xdr:colOff>733425</xdr:colOff>
      <xdr:row>33</xdr:row>
      <xdr:rowOff>1629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C9E8202-BB33-4D34-8E79-AE8CBC280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00400"/>
          <a:ext cx="7620000" cy="3413484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466724</xdr:colOff>
      <xdr:row>34</xdr:row>
      <xdr:rowOff>28575</xdr:rowOff>
    </xdr:from>
    <xdr:to>
      <xdr:col>7</xdr:col>
      <xdr:colOff>171449</xdr:colOff>
      <xdr:row>55</xdr:row>
      <xdr:rowOff>85725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94DDC34-4F13-47A6-A79E-9ACB1665A2A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599" y="6838950"/>
          <a:ext cx="4543425" cy="4057650"/>
        </a:xfrm>
        <a:prstGeom prst="rect">
          <a:avLst/>
        </a:prstGeom>
      </xdr:spPr>
    </xdr:pic>
    <xdr:clientData/>
  </xdr:twoCellAnchor>
  <xdr:oneCellAnchor>
    <xdr:from>
      <xdr:col>15</xdr:col>
      <xdr:colOff>419100</xdr:colOff>
      <xdr:row>38</xdr:row>
      <xdr:rowOff>66675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138A4B8C-3216-41F1-8508-E21F00A9F23A}"/>
                </a:ext>
              </a:extLst>
            </xdr:cNvPr>
            <xdr:cNvSpPr txBox="1"/>
          </xdr:nvSpPr>
          <xdr:spPr>
            <a:xfrm>
              <a:off x="14887575" y="76390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138A4B8C-3216-41F1-8508-E21F00A9F23A}"/>
                </a:ext>
              </a:extLst>
            </xdr:cNvPr>
            <xdr:cNvSpPr txBox="1"/>
          </xdr:nvSpPr>
          <xdr:spPr>
            <a:xfrm>
              <a:off x="14887575" y="76390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428625</xdr:colOff>
      <xdr:row>59</xdr:row>
      <xdr:rowOff>47625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BA21488-3754-4302-9590-1544C7306D9E}"/>
                </a:ext>
              </a:extLst>
            </xdr:cNvPr>
            <xdr:cNvSpPr txBox="1"/>
          </xdr:nvSpPr>
          <xdr:spPr>
            <a:xfrm>
              <a:off x="14897100" y="116205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BA21488-3754-4302-9590-1544C7306D9E}"/>
                </a:ext>
              </a:extLst>
            </xdr:cNvPr>
            <xdr:cNvSpPr txBox="1"/>
          </xdr:nvSpPr>
          <xdr:spPr>
            <a:xfrm>
              <a:off x="14897100" y="116205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523875</xdr:colOff>
      <xdr:row>79</xdr:row>
      <xdr:rowOff>47625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E3E682F8-988E-43D8-A072-9BAE91ADEF1D}"/>
                </a:ext>
              </a:extLst>
            </xdr:cNvPr>
            <xdr:cNvSpPr txBox="1"/>
          </xdr:nvSpPr>
          <xdr:spPr>
            <a:xfrm>
              <a:off x="14992350" y="154305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E3E682F8-988E-43D8-A072-9BAE91ADEF1D}"/>
                </a:ext>
              </a:extLst>
            </xdr:cNvPr>
            <xdr:cNvSpPr txBox="1"/>
          </xdr:nvSpPr>
          <xdr:spPr>
            <a:xfrm>
              <a:off x="14992350" y="1543050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533400</xdr:colOff>
      <xdr:row>99</xdr:row>
      <xdr:rowOff>66675</xdr:rowOff>
    </xdr:from>
    <xdr:ext cx="1074012" cy="424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DD675ECE-CB7C-4B3A-8A5F-8B31CDDFAFB9}"/>
                </a:ext>
              </a:extLst>
            </xdr:cNvPr>
            <xdr:cNvSpPr txBox="1"/>
          </xdr:nvSpPr>
          <xdr:spPr>
            <a:xfrm>
              <a:off x="15001875" y="192595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DD675ECE-CB7C-4B3A-8A5F-8B31CDDFAFB9}"/>
                </a:ext>
              </a:extLst>
            </xdr:cNvPr>
            <xdr:cNvSpPr txBox="1"/>
          </xdr:nvSpPr>
          <xdr:spPr>
            <a:xfrm>
              <a:off x="15001875" y="19259550"/>
              <a:ext cx="1074012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twoCellAnchor editAs="oneCell">
    <xdr:from>
      <xdr:col>16</xdr:col>
      <xdr:colOff>0</xdr:colOff>
      <xdr:row>124</xdr:row>
      <xdr:rowOff>0</xdr:rowOff>
    </xdr:from>
    <xdr:to>
      <xdr:col>22</xdr:col>
      <xdr:colOff>445095</xdr:colOff>
      <xdr:row>128</xdr:row>
      <xdr:rowOff>91615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6C0AD0-BF09-414B-AC1D-76E97C7DF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43860" y="23218140"/>
          <a:ext cx="5400000" cy="823135"/>
        </a:xfrm>
        <a:prstGeom prst="rect">
          <a:avLst/>
        </a:prstGeom>
      </xdr:spPr>
    </xdr:pic>
    <xdr:clientData/>
  </xdr:twoCellAnchor>
  <xdr:oneCellAnchor>
    <xdr:from>
      <xdr:col>15</xdr:col>
      <xdr:colOff>142875</xdr:colOff>
      <xdr:row>20</xdr:row>
      <xdr:rowOff>47625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8E4BCE7D-8967-462F-9F22-CFCC1F74DFC9}"/>
                </a:ext>
              </a:extLst>
            </xdr:cNvPr>
            <xdr:cNvSpPr txBox="1"/>
          </xdr:nvSpPr>
          <xdr:spPr>
            <a:xfrm>
              <a:off x="14611350" y="419100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8E4BCE7D-8967-462F-9F22-CFCC1F74DFC9}"/>
                </a:ext>
              </a:extLst>
            </xdr:cNvPr>
            <xdr:cNvSpPr txBox="1"/>
          </xdr:nvSpPr>
          <xdr:spPr>
            <a:xfrm>
              <a:off x="14611350" y="419100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𝑎=𝑑−√(𝑑^2−(2∗𝑀𝑢)/(0.85∗𝑓𝑐∗∅∗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𝑏))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114300</xdr:colOff>
      <xdr:row>41</xdr:row>
      <xdr:rowOff>0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B7C617F5-47BE-4811-89C8-4A0DF9B27A20}"/>
                </a:ext>
              </a:extLst>
            </xdr:cNvPr>
            <xdr:cNvSpPr txBox="1"/>
          </xdr:nvSpPr>
          <xdr:spPr>
            <a:xfrm>
              <a:off x="14582775" y="814387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B7C617F5-47BE-4811-89C8-4A0DF9B27A20}"/>
                </a:ext>
              </a:extLst>
            </xdr:cNvPr>
            <xdr:cNvSpPr txBox="1"/>
          </xdr:nvSpPr>
          <xdr:spPr>
            <a:xfrm>
              <a:off x="14582775" y="814387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𝑎=𝑑−√(𝑑^2−(2∗𝑀𝑢)/(0.85∗𝑓𝑐∗∅∗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𝑏))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209550</xdr:colOff>
      <xdr:row>62</xdr:row>
      <xdr:rowOff>66675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64A924AC-54A4-4A0F-B350-5DC43C7BE08B}"/>
                </a:ext>
              </a:extLst>
            </xdr:cNvPr>
            <xdr:cNvSpPr txBox="1"/>
          </xdr:nvSpPr>
          <xdr:spPr>
            <a:xfrm>
              <a:off x="14678025" y="122110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64A924AC-54A4-4A0F-B350-5DC43C7BE08B}"/>
                </a:ext>
              </a:extLst>
            </xdr:cNvPr>
            <xdr:cNvSpPr txBox="1"/>
          </xdr:nvSpPr>
          <xdr:spPr>
            <a:xfrm>
              <a:off x="14678025" y="12211050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𝑎=𝑑−√(𝑑^2−(2∗𝑀𝑢)/(0.85∗𝑓𝑐∗∅∗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𝑏))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104775</xdr:colOff>
      <xdr:row>82</xdr:row>
      <xdr:rowOff>95250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0CDF03BF-732E-4642-A584-1E69BB520BC7}"/>
                </a:ext>
              </a:extLst>
            </xdr:cNvPr>
            <xdr:cNvSpPr txBox="1"/>
          </xdr:nvSpPr>
          <xdr:spPr>
            <a:xfrm>
              <a:off x="14573250" y="1604962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0CDF03BF-732E-4642-A584-1E69BB520BC7}"/>
                </a:ext>
              </a:extLst>
            </xdr:cNvPr>
            <xdr:cNvSpPr txBox="1"/>
          </xdr:nvSpPr>
          <xdr:spPr>
            <a:xfrm>
              <a:off x="14573250" y="1604962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𝑎=𝑑−√(𝑑^2−(2∗𝑀𝑢)/(0.85∗𝑓𝑐∗∅∗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𝑏))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15</xdr:col>
      <xdr:colOff>161925</xdr:colOff>
      <xdr:row>102</xdr:row>
      <xdr:rowOff>38100</xdr:rowOff>
    </xdr:from>
    <xdr:ext cx="19499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20A1736C-4AE6-484E-A1E7-4B174CF1D541}"/>
                </a:ext>
              </a:extLst>
            </xdr:cNvPr>
            <xdr:cNvSpPr txBox="1"/>
          </xdr:nvSpPr>
          <xdr:spPr>
            <a:xfrm>
              <a:off x="14630400" y="1980247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PE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2∗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0.85∗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𝑓𝑐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∗∅∗</m:t>
                            </m:r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20A1736C-4AE6-484E-A1E7-4B174CF1D541}"/>
                </a:ext>
              </a:extLst>
            </xdr:cNvPr>
            <xdr:cNvSpPr txBox="1"/>
          </xdr:nvSpPr>
          <xdr:spPr>
            <a:xfrm>
              <a:off x="14630400" y="19802475"/>
              <a:ext cx="19499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𝑎=𝑑−√(𝑑^2−(2∗𝑀𝑢)/(0.85∗𝑓𝑐∗∅∗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𝑏))</a:t>
              </a:r>
              <a:endParaRPr lang="es-PE" sz="1100"/>
            </a:p>
          </xdr:txBody>
        </xdr:sp>
      </mc:Fallback>
    </mc:AlternateContent>
    <xdr:clientData/>
  </xdr:oneCellAnchor>
  <xdr:twoCellAnchor editAs="oneCell">
    <xdr:from>
      <xdr:col>1</xdr:col>
      <xdr:colOff>47625</xdr:colOff>
      <xdr:row>95</xdr:row>
      <xdr:rowOff>38101</xdr:rowOff>
    </xdr:from>
    <xdr:to>
      <xdr:col>9</xdr:col>
      <xdr:colOff>811218</xdr:colOff>
      <xdr:row>117</xdr:row>
      <xdr:rowOff>152401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5632DD-1F61-4894-8F5A-0C8DF2F36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275" y="18468976"/>
          <a:ext cx="9498018" cy="4305300"/>
        </a:xfrm>
        <a:prstGeom prst="rect">
          <a:avLst/>
        </a:prstGeom>
      </xdr:spPr>
    </xdr:pic>
    <xdr:clientData/>
  </xdr:twoCellAnchor>
  <xdr:twoCellAnchor>
    <xdr:from>
      <xdr:col>1</xdr:col>
      <xdr:colOff>514350</xdr:colOff>
      <xdr:row>112</xdr:row>
      <xdr:rowOff>47625</xdr:rowOff>
    </xdr:from>
    <xdr:to>
      <xdr:col>7</xdr:col>
      <xdr:colOff>333375</xdr:colOff>
      <xdr:row>112</xdr:row>
      <xdr:rowOff>66675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C9561707-39FB-4DCD-BD2A-AB3CD6C2A630}"/>
            </a:ext>
          </a:extLst>
        </xdr:cNvPr>
        <xdr:cNvCxnSpPr/>
      </xdr:nvCxnSpPr>
      <xdr:spPr>
        <a:xfrm>
          <a:off x="762000" y="21717000"/>
          <a:ext cx="6457950" cy="1905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495300</xdr:colOff>
      <xdr:row>110</xdr:row>
      <xdr:rowOff>85725</xdr:rowOff>
    </xdr:from>
    <xdr:to>
      <xdr:col>1</xdr:col>
      <xdr:colOff>495300</xdr:colOff>
      <xdr:row>112</xdr:row>
      <xdr:rowOff>57150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77186758-5D37-4D42-AFC8-A7DC70A92821}"/>
            </a:ext>
          </a:extLst>
        </xdr:cNvPr>
        <xdr:cNvCxnSpPr/>
      </xdr:nvCxnSpPr>
      <xdr:spPr>
        <a:xfrm flipV="1">
          <a:off x="742950" y="21374100"/>
          <a:ext cx="0" cy="352425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110</xdr:row>
      <xdr:rowOff>114300</xdr:rowOff>
    </xdr:from>
    <xdr:to>
      <xdr:col>7</xdr:col>
      <xdr:colOff>323850</xdr:colOff>
      <xdr:row>112</xdr:row>
      <xdr:rowOff>85725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E5C9AA13-9597-4999-A8E2-6AA3E64E0813}"/>
            </a:ext>
          </a:extLst>
        </xdr:cNvPr>
        <xdr:cNvCxnSpPr/>
      </xdr:nvCxnSpPr>
      <xdr:spPr>
        <a:xfrm flipV="1">
          <a:off x="7210425" y="21402675"/>
          <a:ext cx="0" cy="352425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108</xdr:row>
      <xdr:rowOff>180975</xdr:rowOff>
    </xdr:from>
    <xdr:to>
      <xdr:col>7</xdr:col>
      <xdr:colOff>200025</xdr:colOff>
      <xdr:row>109</xdr:row>
      <xdr:rowOff>9525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0FD44E2C-E8B0-4437-AA65-F3095A2C7D82}"/>
            </a:ext>
          </a:extLst>
        </xdr:cNvPr>
        <xdr:cNvCxnSpPr/>
      </xdr:nvCxnSpPr>
      <xdr:spPr>
        <a:xfrm>
          <a:off x="857250" y="21088350"/>
          <a:ext cx="6229350" cy="1905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619125</xdr:colOff>
      <xdr:row>109</xdr:row>
      <xdr:rowOff>0</xdr:rowOff>
    </xdr:from>
    <xdr:to>
      <xdr:col>1</xdr:col>
      <xdr:colOff>619125</xdr:colOff>
      <xdr:row>110</xdr:row>
      <xdr:rowOff>161925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59B5BA15-B734-481A-BF3D-1EA5FF1AE27F}"/>
            </a:ext>
          </a:extLst>
        </xdr:cNvPr>
        <xdr:cNvCxnSpPr/>
      </xdr:nvCxnSpPr>
      <xdr:spPr>
        <a:xfrm flipV="1">
          <a:off x="866775" y="21097875"/>
          <a:ext cx="0" cy="352425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109</xdr:row>
      <xdr:rowOff>19050</xdr:rowOff>
    </xdr:from>
    <xdr:to>
      <xdr:col>7</xdr:col>
      <xdr:colOff>219075</xdr:colOff>
      <xdr:row>110</xdr:row>
      <xdr:rowOff>180975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82A0C99F-CE6D-4ECA-9BF7-144E51FE00BE}"/>
            </a:ext>
          </a:extLst>
        </xdr:cNvPr>
        <xdr:cNvCxnSpPr/>
      </xdr:nvCxnSpPr>
      <xdr:spPr>
        <a:xfrm flipV="1">
          <a:off x="7105650" y="21116925"/>
          <a:ext cx="0" cy="352425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704850</xdr:colOff>
      <xdr:row>104</xdr:row>
      <xdr:rowOff>28575</xdr:rowOff>
    </xdr:from>
    <xdr:to>
      <xdr:col>3</xdr:col>
      <xdr:colOff>723900</xdr:colOff>
      <xdr:row>119</xdr:row>
      <xdr:rowOff>123825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8399FF42-A3F1-4776-B860-503B1388CF2B}"/>
            </a:ext>
          </a:extLst>
        </xdr:cNvPr>
        <xdr:cNvCxnSpPr/>
      </xdr:nvCxnSpPr>
      <xdr:spPr>
        <a:xfrm flipH="1">
          <a:off x="4267200" y="20173950"/>
          <a:ext cx="19050" cy="29527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1085850</xdr:colOff>
      <xdr:row>120</xdr:row>
      <xdr:rowOff>142875</xdr:rowOff>
    </xdr:from>
    <xdr:to>
      <xdr:col>2</xdr:col>
      <xdr:colOff>1114425</xdr:colOff>
      <xdr:row>132</xdr:row>
      <xdr:rowOff>123825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D2583429-F470-4135-82A4-D698BA38A4A9}"/>
            </a:ext>
          </a:extLst>
        </xdr:cNvPr>
        <xdr:cNvSpPr/>
      </xdr:nvSpPr>
      <xdr:spPr>
        <a:xfrm>
          <a:off x="1333500" y="23336250"/>
          <a:ext cx="1828800" cy="226695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1362075</xdr:colOff>
      <xdr:row>121</xdr:row>
      <xdr:rowOff>180975</xdr:rowOff>
    </xdr:from>
    <xdr:to>
      <xdr:col>2</xdr:col>
      <xdr:colOff>819150</xdr:colOff>
      <xdr:row>131</xdr:row>
      <xdr:rowOff>66675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25CB7414-C94C-4161-9D34-DFCD6640C116}"/>
            </a:ext>
          </a:extLst>
        </xdr:cNvPr>
        <xdr:cNvSpPr/>
      </xdr:nvSpPr>
      <xdr:spPr>
        <a:xfrm>
          <a:off x="1609725" y="23564850"/>
          <a:ext cx="1257300" cy="179070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1381125</xdr:colOff>
      <xdr:row>130</xdr:row>
      <xdr:rowOff>85725</xdr:rowOff>
    </xdr:from>
    <xdr:to>
      <xdr:col>1</xdr:col>
      <xdr:colOff>1571625</xdr:colOff>
      <xdr:row>131</xdr:row>
      <xdr:rowOff>85725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4439697A-3A92-4E53-B6C5-4F135806A268}"/>
            </a:ext>
          </a:extLst>
        </xdr:cNvPr>
        <xdr:cNvSpPr/>
      </xdr:nvSpPr>
      <xdr:spPr>
        <a:xfrm>
          <a:off x="1628775" y="2518410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609600</xdr:colOff>
      <xdr:row>130</xdr:row>
      <xdr:rowOff>66675</xdr:rowOff>
    </xdr:from>
    <xdr:to>
      <xdr:col>2</xdr:col>
      <xdr:colOff>800100</xdr:colOff>
      <xdr:row>131</xdr:row>
      <xdr:rowOff>66675</xdr:rowOff>
    </xdr:to>
    <xdr:sp macro="" textlink="">
      <xdr:nvSpPr>
        <xdr:cNvPr id="37" name="Elipse 36">
          <a:extLst>
            <a:ext uri="{FF2B5EF4-FFF2-40B4-BE49-F238E27FC236}">
              <a16:creationId xmlns:a16="http://schemas.microsoft.com/office/drawing/2014/main" id="{3EC190C0-6973-4380-9EDF-8A8617D098EF}"/>
            </a:ext>
          </a:extLst>
        </xdr:cNvPr>
        <xdr:cNvSpPr/>
      </xdr:nvSpPr>
      <xdr:spPr>
        <a:xfrm>
          <a:off x="2657475" y="2516505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1362075</xdr:colOff>
      <xdr:row>121</xdr:row>
      <xdr:rowOff>171450</xdr:rowOff>
    </xdr:from>
    <xdr:to>
      <xdr:col>1</xdr:col>
      <xdr:colOff>1552575</xdr:colOff>
      <xdr:row>122</xdr:row>
      <xdr:rowOff>171450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AA655886-C4F3-4390-BF6B-C36AD43005A7}"/>
            </a:ext>
          </a:extLst>
        </xdr:cNvPr>
        <xdr:cNvSpPr/>
      </xdr:nvSpPr>
      <xdr:spPr>
        <a:xfrm>
          <a:off x="1609725" y="23555325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619125</xdr:colOff>
      <xdr:row>122</xdr:row>
      <xdr:rowOff>0</xdr:rowOff>
    </xdr:from>
    <xdr:to>
      <xdr:col>2</xdr:col>
      <xdr:colOff>809625</xdr:colOff>
      <xdr:row>123</xdr:row>
      <xdr:rowOff>0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8B3B7218-6F1D-44A4-9D02-2F26DFDE1590}"/>
            </a:ext>
          </a:extLst>
        </xdr:cNvPr>
        <xdr:cNvSpPr/>
      </xdr:nvSpPr>
      <xdr:spPr>
        <a:xfrm>
          <a:off x="2667000" y="23574375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161925</xdr:colOff>
      <xdr:row>106</xdr:row>
      <xdr:rowOff>28575</xdr:rowOff>
    </xdr:from>
    <xdr:to>
      <xdr:col>6</xdr:col>
      <xdr:colOff>171450</xdr:colOff>
      <xdr:row>118</xdr:row>
      <xdr:rowOff>85725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4BA1D1A4-80C9-4139-B8F8-F29BEC660DC7}"/>
            </a:ext>
          </a:extLst>
        </xdr:cNvPr>
        <xdr:cNvCxnSpPr/>
      </xdr:nvCxnSpPr>
      <xdr:spPr>
        <a:xfrm>
          <a:off x="6000750" y="20554950"/>
          <a:ext cx="9525" cy="23431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120</xdr:row>
      <xdr:rowOff>85725</xdr:rowOff>
    </xdr:from>
    <xdr:to>
      <xdr:col>7</xdr:col>
      <xdr:colOff>152400</xdr:colOff>
      <xdr:row>132</xdr:row>
      <xdr:rowOff>66675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C85D0FE5-BE62-4447-B084-ADA547888AE2}"/>
            </a:ext>
          </a:extLst>
        </xdr:cNvPr>
        <xdr:cNvSpPr/>
      </xdr:nvSpPr>
      <xdr:spPr>
        <a:xfrm>
          <a:off x="5210175" y="23279100"/>
          <a:ext cx="1828800" cy="22669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885825</xdr:colOff>
      <xdr:row>121</xdr:row>
      <xdr:rowOff>142875</xdr:rowOff>
    </xdr:from>
    <xdr:to>
      <xdr:col>6</xdr:col>
      <xdr:colOff>914400</xdr:colOff>
      <xdr:row>131</xdr:row>
      <xdr:rowOff>28575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1C8090F-15F7-4BA2-8D53-61143B5D962F}"/>
            </a:ext>
          </a:extLst>
        </xdr:cNvPr>
        <xdr:cNvSpPr/>
      </xdr:nvSpPr>
      <xdr:spPr>
        <a:xfrm>
          <a:off x="5495925" y="23526750"/>
          <a:ext cx="1257300" cy="179070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914400</xdr:colOff>
      <xdr:row>130</xdr:row>
      <xdr:rowOff>28575</xdr:rowOff>
    </xdr:from>
    <xdr:to>
      <xdr:col>5</xdr:col>
      <xdr:colOff>57150</xdr:colOff>
      <xdr:row>131</xdr:row>
      <xdr:rowOff>28575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8C722277-F11F-452F-B9E4-9CDC48E297D7}"/>
            </a:ext>
          </a:extLst>
        </xdr:cNvPr>
        <xdr:cNvSpPr/>
      </xdr:nvSpPr>
      <xdr:spPr>
        <a:xfrm>
          <a:off x="5524500" y="2512695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714375</xdr:colOff>
      <xdr:row>130</xdr:row>
      <xdr:rowOff>9525</xdr:rowOff>
    </xdr:from>
    <xdr:to>
      <xdr:col>6</xdr:col>
      <xdr:colOff>904875</xdr:colOff>
      <xdr:row>131</xdr:row>
      <xdr:rowOff>9525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FE9473E4-74B9-4F30-8AC1-4DFEDA31448C}"/>
            </a:ext>
          </a:extLst>
        </xdr:cNvPr>
        <xdr:cNvSpPr/>
      </xdr:nvSpPr>
      <xdr:spPr>
        <a:xfrm>
          <a:off x="6553200" y="2510790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914400</xdr:colOff>
      <xdr:row>121</xdr:row>
      <xdr:rowOff>171450</xdr:rowOff>
    </xdr:from>
    <xdr:to>
      <xdr:col>5</xdr:col>
      <xdr:colOff>57150</xdr:colOff>
      <xdr:row>122</xdr:row>
      <xdr:rowOff>171450</xdr:rowOff>
    </xdr:to>
    <xdr:sp macro="" textlink="">
      <xdr:nvSpPr>
        <xdr:cNvPr id="52" name="Elipse 51">
          <a:extLst>
            <a:ext uri="{FF2B5EF4-FFF2-40B4-BE49-F238E27FC236}">
              <a16:creationId xmlns:a16="http://schemas.microsoft.com/office/drawing/2014/main" id="{2E9887F9-17CA-4250-B9B4-079475791E39}"/>
            </a:ext>
          </a:extLst>
        </xdr:cNvPr>
        <xdr:cNvSpPr/>
      </xdr:nvSpPr>
      <xdr:spPr>
        <a:xfrm>
          <a:off x="5524500" y="23555325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714375</xdr:colOff>
      <xdr:row>121</xdr:row>
      <xdr:rowOff>152400</xdr:rowOff>
    </xdr:from>
    <xdr:to>
      <xdr:col>6</xdr:col>
      <xdr:colOff>904875</xdr:colOff>
      <xdr:row>122</xdr:row>
      <xdr:rowOff>152400</xdr:rowOff>
    </xdr:to>
    <xdr:sp macro="" textlink="">
      <xdr:nvSpPr>
        <xdr:cNvPr id="54" name="Elipse 53">
          <a:extLst>
            <a:ext uri="{FF2B5EF4-FFF2-40B4-BE49-F238E27FC236}">
              <a16:creationId xmlns:a16="http://schemas.microsoft.com/office/drawing/2014/main" id="{B1580BFF-D133-4475-B6E1-15A65838E3B0}"/>
            </a:ext>
          </a:extLst>
        </xdr:cNvPr>
        <xdr:cNvSpPr/>
      </xdr:nvSpPr>
      <xdr:spPr>
        <a:xfrm>
          <a:off x="6553200" y="23536275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895351</xdr:colOff>
      <xdr:row>109</xdr:row>
      <xdr:rowOff>19050</xdr:rowOff>
    </xdr:from>
    <xdr:to>
      <xdr:col>2</xdr:col>
      <xdr:colOff>904875</xdr:colOff>
      <xdr:row>112</xdr:row>
      <xdr:rowOff>66675</xdr:rowOff>
    </xdr:to>
    <xdr:cxnSp macro="">
      <xdr:nvCxnSpPr>
        <xdr:cNvPr id="56" name="Conector recto 55">
          <a:extLst>
            <a:ext uri="{FF2B5EF4-FFF2-40B4-BE49-F238E27FC236}">
              <a16:creationId xmlns:a16="http://schemas.microsoft.com/office/drawing/2014/main" id="{CDC8A5A2-DA3A-42E5-A150-D9C63E8FE6B5}"/>
            </a:ext>
          </a:extLst>
        </xdr:cNvPr>
        <xdr:cNvCxnSpPr/>
      </xdr:nvCxnSpPr>
      <xdr:spPr>
        <a:xfrm flipH="1">
          <a:off x="2943226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1114426</xdr:colOff>
      <xdr:row>109</xdr:row>
      <xdr:rowOff>19050</xdr:rowOff>
    </xdr:from>
    <xdr:to>
      <xdr:col>2</xdr:col>
      <xdr:colOff>1123950</xdr:colOff>
      <xdr:row>112</xdr:row>
      <xdr:rowOff>66675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4CD3F718-EC5D-48EE-86FC-1113C28AD4C1}"/>
            </a:ext>
          </a:extLst>
        </xdr:cNvPr>
        <xdr:cNvCxnSpPr/>
      </xdr:nvCxnSpPr>
      <xdr:spPr>
        <a:xfrm flipH="1">
          <a:off x="3162301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638176</xdr:colOff>
      <xdr:row>109</xdr:row>
      <xdr:rowOff>0</xdr:rowOff>
    </xdr:from>
    <xdr:to>
      <xdr:col>4</xdr:col>
      <xdr:colOff>647700</xdr:colOff>
      <xdr:row>112</xdr:row>
      <xdr:rowOff>47625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AA207DA5-8A18-4F2F-AA58-5CB9CDC7772C}"/>
            </a:ext>
          </a:extLst>
        </xdr:cNvPr>
        <xdr:cNvCxnSpPr/>
      </xdr:nvCxnSpPr>
      <xdr:spPr>
        <a:xfrm flipH="1">
          <a:off x="5248276" y="2109787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1371601</xdr:colOff>
      <xdr:row>109</xdr:row>
      <xdr:rowOff>28575</xdr:rowOff>
    </xdr:from>
    <xdr:to>
      <xdr:col>2</xdr:col>
      <xdr:colOff>1381125</xdr:colOff>
      <xdr:row>112</xdr:row>
      <xdr:rowOff>76200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F390E923-7AB8-49DF-AB27-870F367730C8}"/>
            </a:ext>
          </a:extLst>
        </xdr:cNvPr>
        <xdr:cNvCxnSpPr/>
      </xdr:nvCxnSpPr>
      <xdr:spPr>
        <a:xfrm flipH="1">
          <a:off x="3419476" y="2112645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152401</xdr:colOff>
      <xdr:row>108</xdr:row>
      <xdr:rowOff>180975</xdr:rowOff>
    </xdr:from>
    <xdr:to>
      <xdr:col>3</xdr:col>
      <xdr:colOff>161925</xdr:colOff>
      <xdr:row>112</xdr:row>
      <xdr:rowOff>38100</xdr:rowOff>
    </xdr:to>
    <xdr:cxnSp macro="">
      <xdr:nvCxnSpPr>
        <xdr:cNvPr id="61" name="Conector recto 60">
          <a:extLst>
            <a:ext uri="{FF2B5EF4-FFF2-40B4-BE49-F238E27FC236}">
              <a16:creationId xmlns:a16="http://schemas.microsoft.com/office/drawing/2014/main" id="{9FB2F04A-AFF5-4364-82F3-EE58C5D86944}"/>
            </a:ext>
          </a:extLst>
        </xdr:cNvPr>
        <xdr:cNvCxnSpPr/>
      </xdr:nvCxnSpPr>
      <xdr:spPr>
        <a:xfrm flipH="1">
          <a:off x="3714751" y="2108835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895351</xdr:colOff>
      <xdr:row>109</xdr:row>
      <xdr:rowOff>19050</xdr:rowOff>
    </xdr:from>
    <xdr:to>
      <xdr:col>3</xdr:col>
      <xdr:colOff>904875</xdr:colOff>
      <xdr:row>112</xdr:row>
      <xdr:rowOff>66675</xdr:rowOff>
    </xdr:to>
    <xdr:cxnSp macro="">
      <xdr:nvCxnSpPr>
        <xdr:cNvPr id="62" name="Conector recto 61">
          <a:extLst>
            <a:ext uri="{FF2B5EF4-FFF2-40B4-BE49-F238E27FC236}">
              <a16:creationId xmlns:a16="http://schemas.microsoft.com/office/drawing/2014/main" id="{9ED01841-0777-46EE-B0E7-379074F93A4A}"/>
            </a:ext>
          </a:extLst>
        </xdr:cNvPr>
        <xdr:cNvCxnSpPr/>
      </xdr:nvCxnSpPr>
      <xdr:spPr>
        <a:xfrm flipH="1">
          <a:off x="4457701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104776</xdr:colOff>
      <xdr:row>109</xdr:row>
      <xdr:rowOff>28575</xdr:rowOff>
    </xdr:from>
    <xdr:to>
      <xdr:col>4</xdr:col>
      <xdr:colOff>114300</xdr:colOff>
      <xdr:row>112</xdr:row>
      <xdr:rowOff>76200</xdr:rowOff>
    </xdr:to>
    <xdr:cxnSp macro="">
      <xdr:nvCxnSpPr>
        <xdr:cNvPr id="63" name="Conector recto 62">
          <a:extLst>
            <a:ext uri="{FF2B5EF4-FFF2-40B4-BE49-F238E27FC236}">
              <a16:creationId xmlns:a16="http://schemas.microsoft.com/office/drawing/2014/main" id="{867F73AC-B97A-4D65-92EF-7B8B9EB08A8A}"/>
            </a:ext>
          </a:extLst>
        </xdr:cNvPr>
        <xdr:cNvCxnSpPr/>
      </xdr:nvCxnSpPr>
      <xdr:spPr>
        <a:xfrm flipH="1">
          <a:off x="4714876" y="2112645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400051</xdr:colOff>
      <xdr:row>108</xdr:row>
      <xdr:rowOff>180975</xdr:rowOff>
    </xdr:from>
    <xdr:to>
      <xdr:col>4</xdr:col>
      <xdr:colOff>409575</xdr:colOff>
      <xdr:row>112</xdr:row>
      <xdr:rowOff>38100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B654F8D1-6D4D-47E5-896F-EADDACC58C2E}"/>
            </a:ext>
          </a:extLst>
        </xdr:cNvPr>
        <xdr:cNvCxnSpPr/>
      </xdr:nvCxnSpPr>
      <xdr:spPr>
        <a:xfrm flipH="1">
          <a:off x="5010151" y="2108835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352426</xdr:colOff>
      <xdr:row>109</xdr:row>
      <xdr:rowOff>9525</xdr:rowOff>
    </xdr:from>
    <xdr:to>
      <xdr:col>3</xdr:col>
      <xdr:colOff>361950</xdr:colOff>
      <xdr:row>112</xdr:row>
      <xdr:rowOff>57150</xdr:rowOff>
    </xdr:to>
    <xdr:cxnSp macro="">
      <xdr:nvCxnSpPr>
        <xdr:cNvPr id="65" name="Conector recto 64">
          <a:extLst>
            <a:ext uri="{FF2B5EF4-FFF2-40B4-BE49-F238E27FC236}">
              <a16:creationId xmlns:a16="http://schemas.microsoft.com/office/drawing/2014/main" id="{3839C223-27D4-489F-B3FD-ED361458E834}"/>
            </a:ext>
          </a:extLst>
        </xdr:cNvPr>
        <xdr:cNvCxnSpPr/>
      </xdr:nvCxnSpPr>
      <xdr:spPr>
        <a:xfrm flipH="1">
          <a:off x="3914776" y="211074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609601</xdr:colOff>
      <xdr:row>109</xdr:row>
      <xdr:rowOff>19050</xdr:rowOff>
    </xdr:from>
    <xdr:to>
      <xdr:col>3</xdr:col>
      <xdr:colOff>619125</xdr:colOff>
      <xdr:row>112</xdr:row>
      <xdr:rowOff>66675</xdr:rowOff>
    </xdr:to>
    <xdr:cxnSp macro="">
      <xdr:nvCxnSpPr>
        <xdr:cNvPr id="66" name="Conector recto 65">
          <a:extLst>
            <a:ext uri="{FF2B5EF4-FFF2-40B4-BE49-F238E27FC236}">
              <a16:creationId xmlns:a16="http://schemas.microsoft.com/office/drawing/2014/main" id="{DE85EC78-3641-4695-8D0C-EA44021B5770}"/>
            </a:ext>
          </a:extLst>
        </xdr:cNvPr>
        <xdr:cNvCxnSpPr/>
      </xdr:nvCxnSpPr>
      <xdr:spPr>
        <a:xfrm flipH="1">
          <a:off x="4171951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695326</xdr:colOff>
      <xdr:row>109</xdr:row>
      <xdr:rowOff>19050</xdr:rowOff>
    </xdr:from>
    <xdr:to>
      <xdr:col>2</xdr:col>
      <xdr:colOff>704850</xdr:colOff>
      <xdr:row>112</xdr:row>
      <xdr:rowOff>66675</xdr:rowOff>
    </xdr:to>
    <xdr:cxnSp macro="">
      <xdr:nvCxnSpPr>
        <xdr:cNvPr id="68" name="Conector recto 67">
          <a:extLst>
            <a:ext uri="{FF2B5EF4-FFF2-40B4-BE49-F238E27FC236}">
              <a16:creationId xmlns:a16="http://schemas.microsoft.com/office/drawing/2014/main" id="{C932C23B-69E1-4A8E-8CCF-BE5098BBA8FB}"/>
            </a:ext>
          </a:extLst>
        </xdr:cNvPr>
        <xdr:cNvCxnSpPr/>
      </xdr:nvCxnSpPr>
      <xdr:spPr>
        <a:xfrm flipH="1">
          <a:off x="2743201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1038226</xdr:colOff>
      <xdr:row>109</xdr:row>
      <xdr:rowOff>9525</xdr:rowOff>
    </xdr:from>
    <xdr:to>
      <xdr:col>1</xdr:col>
      <xdr:colOff>1047750</xdr:colOff>
      <xdr:row>112</xdr:row>
      <xdr:rowOff>57150</xdr:rowOff>
    </xdr:to>
    <xdr:cxnSp macro="">
      <xdr:nvCxnSpPr>
        <xdr:cNvPr id="69" name="Conector recto 68">
          <a:extLst>
            <a:ext uri="{FF2B5EF4-FFF2-40B4-BE49-F238E27FC236}">
              <a16:creationId xmlns:a16="http://schemas.microsoft.com/office/drawing/2014/main" id="{0B4312E3-A639-4F5F-84B4-805AC89B436F}"/>
            </a:ext>
          </a:extLst>
        </xdr:cNvPr>
        <xdr:cNvCxnSpPr/>
      </xdr:nvCxnSpPr>
      <xdr:spPr>
        <a:xfrm flipH="1">
          <a:off x="1285876" y="211074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1333501</xdr:colOff>
      <xdr:row>109</xdr:row>
      <xdr:rowOff>38100</xdr:rowOff>
    </xdr:from>
    <xdr:to>
      <xdr:col>1</xdr:col>
      <xdr:colOff>1343025</xdr:colOff>
      <xdr:row>112</xdr:row>
      <xdr:rowOff>85725</xdr:rowOff>
    </xdr:to>
    <xdr:cxnSp macro="">
      <xdr:nvCxnSpPr>
        <xdr:cNvPr id="70" name="Conector recto 69">
          <a:extLst>
            <a:ext uri="{FF2B5EF4-FFF2-40B4-BE49-F238E27FC236}">
              <a16:creationId xmlns:a16="http://schemas.microsoft.com/office/drawing/2014/main" id="{4F99F957-CF32-476F-9781-C7EF38A91B25}"/>
            </a:ext>
          </a:extLst>
        </xdr:cNvPr>
        <xdr:cNvCxnSpPr/>
      </xdr:nvCxnSpPr>
      <xdr:spPr>
        <a:xfrm flipH="1">
          <a:off x="1581151" y="2113597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1676401</xdr:colOff>
      <xdr:row>109</xdr:row>
      <xdr:rowOff>47625</xdr:rowOff>
    </xdr:from>
    <xdr:to>
      <xdr:col>1</xdr:col>
      <xdr:colOff>1685925</xdr:colOff>
      <xdr:row>112</xdr:row>
      <xdr:rowOff>95250</xdr:rowOff>
    </xdr:to>
    <xdr:cxnSp macro="">
      <xdr:nvCxnSpPr>
        <xdr:cNvPr id="71" name="Conector recto 70">
          <a:extLst>
            <a:ext uri="{FF2B5EF4-FFF2-40B4-BE49-F238E27FC236}">
              <a16:creationId xmlns:a16="http://schemas.microsoft.com/office/drawing/2014/main" id="{40702DE2-F49C-41A6-919F-F1A6DB0C5EC8}"/>
            </a:ext>
          </a:extLst>
        </xdr:cNvPr>
        <xdr:cNvCxnSpPr/>
      </xdr:nvCxnSpPr>
      <xdr:spPr>
        <a:xfrm flipH="1">
          <a:off x="1924051" y="211455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114301</xdr:colOff>
      <xdr:row>109</xdr:row>
      <xdr:rowOff>38100</xdr:rowOff>
    </xdr:from>
    <xdr:to>
      <xdr:col>2</xdr:col>
      <xdr:colOff>123825</xdr:colOff>
      <xdr:row>112</xdr:row>
      <xdr:rowOff>85725</xdr:rowOff>
    </xdr:to>
    <xdr:cxnSp macro="">
      <xdr:nvCxnSpPr>
        <xdr:cNvPr id="72" name="Conector recto 71">
          <a:extLst>
            <a:ext uri="{FF2B5EF4-FFF2-40B4-BE49-F238E27FC236}">
              <a16:creationId xmlns:a16="http://schemas.microsoft.com/office/drawing/2014/main" id="{9950C447-E7DB-4BFB-B849-04B245560010}"/>
            </a:ext>
          </a:extLst>
        </xdr:cNvPr>
        <xdr:cNvCxnSpPr/>
      </xdr:nvCxnSpPr>
      <xdr:spPr>
        <a:xfrm flipH="1">
          <a:off x="2162176" y="2113597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457201</xdr:colOff>
      <xdr:row>109</xdr:row>
      <xdr:rowOff>47625</xdr:rowOff>
    </xdr:from>
    <xdr:to>
      <xdr:col>2</xdr:col>
      <xdr:colOff>466725</xdr:colOff>
      <xdr:row>112</xdr:row>
      <xdr:rowOff>95250</xdr:rowOff>
    </xdr:to>
    <xdr:cxnSp macro="">
      <xdr:nvCxnSpPr>
        <xdr:cNvPr id="73" name="Conector recto 72">
          <a:extLst>
            <a:ext uri="{FF2B5EF4-FFF2-40B4-BE49-F238E27FC236}">
              <a16:creationId xmlns:a16="http://schemas.microsoft.com/office/drawing/2014/main" id="{CD164950-F280-4871-AAE5-BDDA805836D7}"/>
            </a:ext>
          </a:extLst>
        </xdr:cNvPr>
        <xdr:cNvCxnSpPr/>
      </xdr:nvCxnSpPr>
      <xdr:spPr>
        <a:xfrm flipH="1">
          <a:off x="2505076" y="211455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866776</xdr:colOff>
      <xdr:row>109</xdr:row>
      <xdr:rowOff>0</xdr:rowOff>
    </xdr:from>
    <xdr:to>
      <xdr:col>4</xdr:col>
      <xdr:colOff>876300</xdr:colOff>
      <xdr:row>112</xdr:row>
      <xdr:rowOff>47625</xdr:rowOff>
    </xdr:to>
    <xdr:cxnSp macro="">
      <xdr:nvCxnSpPr>
        <xdr:cNvPr id="74" name="Conector recto 73">
          <a:extLst>
            <a:ext uri="{FF2B5EF4-FFF2-40B4-BE49-F238E27FC236}">
              <a16:creationId xmlns:a16="http://schemas.microsoft.com/office/drawing/2014/main" id="{08EBF1D2-D8C5-4D22-84BD-ACFEAEC9C620}"/>
            </a:ext>
          </a:extLst>
        </xdr:cNvPr>
        <xdr:cNvCxnSpPr/>
      </xdr:nvCxnSpPr>
      <xdr:spPr>
        <a:xfrm flipH="1">
          <a:off x="5476876" y="2109787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133351</xdr:colOff>
      <xdr:row>109</xdr:row>
      <xdr:rowOff>9525</xdr:rowOff>
    </xdr:from>
    <xdr:to>
      <xdr:col>5</xdr:col>
      <xdr:colOff>142875</xdr:colOff>
      <xdr:row>112</xdr:row>
      <xdr:rowOff>57150</xdr:rowOff>
    </xdr:to>
    <xdr:cxnSp macro="">
      <xdr:nvCxnSpPr>
        <xdr:cNvPr id="75" name="Conector recto 74">
          <a:extLst>
            <a:ext uri="{FF2B5EF4-FFF2-40B4-BE49-F238E27FC236}">
              <a16:creationId xmlns:a16="http://schemas.microsoft.com/office/drawing/2014/main" id="{99A34E79-6497-4F7F-BC6A-ACDEA384414A}"/>
            </a:ext>
          </a:extLst>
        </xdr:cNvPr>
        <xdr:cNvCxnSpPr/>
      </xdr:nvCxnSpPr>
      <xdr:spPr>
        <a:xfrm flipH="1">
          <a:off x="5791201" y="211074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228601</xdr:colOff>
      <xdr:row>108</xdr:row>
      <xdr:rowOff>180975</xdr:rowOff>
    </xdr:from>
    <xdr:to>
      <xdr:col>6</xdr:col>
      <xdr:colOff>238125</xdr:colOff>
      <xdr:row>112</xdr:row>
      <xdr:rowOff>38100</xdr:rowOff>
    </xdr:to>
    <xdr:cxnSp macro="">
      <xdr:nvCxnSpPr>
        <xdr:cNvPr id="76" name="Conector recto 75">
          <a:extLst>
            <a:ext uri="{FF2B5EF4-FFF2-40B4-BE49-F238E27FC236}">
              <a16:creationId xmlns:a16="http://schemas.microsoft.com/office/drawing/2014/main" id="{E4F0ADDF-6489-4429-BA6F-A287EF36D540}"/>
            </a:ext>
          </a:extLst>
        </xdr:cNvPr>
        <xdr:cNvCxnSpPr/>
      </xdr:nvCxnSpPr>
      <xdr:spPr>
        <a:xfrm flipH="1">
          <a:off x="6067426" y="2108835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514351</xdr:colOff>
      <xdr:row>109</xdr:row>
      <xdr:rowOff>19050</xdr:rowOff>
    </xdr:from>
    <xdr:to>
      <xdr:col>6</xdr:col>
      <xdr:colOff>523875</xdr:colOff>
      <xdr:row>112</xdr:row>
      <xdr:rowOff>66675</xdr:rowOff>
    </xdr:to>
    <xdr:cxnSp macro="">
      <xdr:nvCxnSpPr>
        <xdr:cNvPr id="77" name="Conector recto 76">
          <a:extLst>
            <a:ext uri="{FF2B5EF4-FFF2-40B4-BE49-F238E27FC236}">
              <a16:creationId xmlns:a16="http://schemas.microsoft.com/office/drawing/2014/main" id="{E7F4CDEE-5FF4-47B4-8D32-D069ED6BC8D3}"/>
            </a:ext>
          </a:extLst>
        </xdr:cNvPr>
        <xdr:cNvCxnSpPr/>
      </xdr:nvCxnSpPr>
      <xdr:spPr>
        <a:xfrm flipH="1">
          <a:off x="6353176" y="21116925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790576</xdr:colOff>
      <xdr:row>109</xdr:row>
      <xdr:rowOff>9525</xdr:rowOff>
    </xdr:from>
    <xdr:to>
      <xdr:col>6</xdr:col>
      <xdr:colOff>800100</xdr:colOff>
      <xdr:row>112</xdr:row>
      <xdr:rowOff>57150</xdr:rowOff>
    </xdr:to>
    <xdr:cxnSp macro="">
      <xdr:nvCxnSpPr>
        <xdr:cNvPr id="78" name="Conector recto 77">
          <a:extLst>
            <a:ext uri="{FF2B5EF4-FFF2-40B4-BE49-F238E27FC236}">
              <a16:creationId xmlns:a16="http://schemas.microsoft.com/office/drawing/2014/main" id="{4A2DE442-26F2-4D24-897A-7C0F0469CF4F}"/>
            </a:ext>
          </a:extLst>
        </xdr:cNvPr>
        <xdr:cNvCxnSpPr/>
      </xdr:nvCxnSpPr>
      <xdr:spPr>
        <a:xfrm flipH="1">
          <a:off x="6629401" y="21107400"/>
          <a:ext cx="9524" cy="61912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209550</xdr:colOff>
      <xdr:row>130</xdr:row>
      <xdr:rowOff>47625</xdr:rowOff>
    </xdr:from>
    <xdr:to>
      <xdr:col>6</xdr:col>
      <xdr:colOff>333375</xdr:colOff>
      <xdr:row>131</xdr:row>
      <xdr:rowOff>9525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432F3F8C-EF98-4CEF-B55D-FF811A7C7735}"/>
            </a:ext>
          </a:extLst>
        </xdr:cNvPr>
        <xdr:cNvSpPr/>
      </xdr:nvSpPr>
      <xdr:spPr>
        <a:xfrm>
          <a:off x="6048375" y="25146000"/>
          <a:ext cx="123825" cy="1524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1428750</xdr:colOff>
      <xdr:row>105</xdr:row>
      <xdr:rowOff>171450</xdr:rowOff>
    </xdr:from>
    <xdr:to>
      <xdr:col>1</xdr:col>
      <xdr:colOff>1438275</xdr:colOff>
      <xdr:row>118</xdr:row>
      <xdr:rowOff>38100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22F3056F-335C-430B-84F7-84BF2D689382}"/>
            </a:ext>
          </a:extLst>
        </xdr:cNvPr>
        <xdr:cNvCxnSpPr/>
      </xdr:nvCxnSpPr>
      <xdr:spPr>
        <a:xfrm>
          <a:off x="1676400" y="20507325"/>
          <a:ext cx="9525" cy="23431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1609725</xdr:colOff>
      <xdr:row>121</xdr:row>
      <xdr:rowOff>171450</xdr:rowOff>
    </xdr:from>
    <xdr:to>
      <xdr:col>2</xdr:col>
      <xdr:colOff>0</xdr:colOff>
      <xdr:row>122</xdr:row>
      <xdr:rowOff>171450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2D3E5274-0121-4DFE-8A16-6F87D33D1EF9}"/>
            </a:ext>
          </a:extLst>
        </xdr:cNvPr>
        <xdr:cNvSpPr/>
      </xdr:nvSpPr>
      <xdr:spPr>
        <a:xfrm>
          <a:off x="1857375" y="23555325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76200</xdr:colOff>
      <xdr:row>121</xdr:row>
      <xdr:rowOff>180975</xdr:rowOff>
    </xdr:from>
    <xdr:to>
      <xdr:col>2</xdr:col>
      <xdr:colOff>266700</xdr:colOff>
      <xdr:row>122</xdr:row>
      <xdr:rowOff>180975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2F3825AB-750F-45D9-BE3C-7F763378C50E}"/>
            </a:ext>
          </a:extLst>
        </xdr:cNvPr>
        <xdr:cNvSpPr/>
      </xdr:nvSpPr>
      <xdr:spPr>
        <a:xfrm>
          <a:off x="2124075" y="2356485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342900</xdr:colOff>
      <xdr:row>121</xdr:row>
      <xdr:rowOff>180975</xdr:rowOff>
    </xdr:from>
    <xdr:to>
      <xdr:col>2</xdr:col>
      <xdr:colOff>533400</xdr:colOff>
      <xdr:row>122</xdr:row>
      <xdr:rowOff>180975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CBB48855-5330-4D21-B29E-14EFBE7B8140}"/>
            </a:ext>
          </a:extLst>
        </xdr:cNvPr>
        <xdr:cNvSpPr/>
      </xdr:nvSpPr>
      <xdr:spPr>
        <a:xfrm>
          <a:off x="2390775" y="2356485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114300</xdr:colOff>
      <xdr:row>130</xdr:row>
      <xdr:rowOff>85725</xdr:rowOff>
    </xdr:from>
    <xdr:to>
      <xdr:col>2</xdr:col>
      <xdr:colOff>238125</xdr:colOff>
      <xdr:row>131</xdr:row>
      <xdr:rowOff>47625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D5408063-ED7A-4C6D-BC84-E3E83E961548}"/>
            </a:ext>
          </a:extLst>
        </xdr:cNvPr>
        <xdr:cNvSpPr/>
      </xdr:nvSpPr>
      <xdr:spPr>
        <a:xfrm>
          <a:off x="2162175" y="25184100"/>
          <a:ext cx="123825" cy="1524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190500</xdr:colOff>
      <xdr:row>121</xdr:row>
      <xdr:rowOff>171450</xdr:rowOff>
    </xdr:from>
    <xdr:to>
      <xdr:col>6</xdr:col>
      <xdr:colOff>381000</xdr:colOff>
      <xdr:row>122</xdr:row>
      <xdr:rowOff>171450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55D2F8C6-0E79-4CB2-992B-7E74B276710F}"/>
            </a:ext>
          </a:extLst>
        </xdr:cNvPr>
        <xdr:cNvSpPr/>
      </xdr:nvSpPr>
      <xdr:spPr>
        <a:xfrm>
          <a:off x="6029325" y="23555325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971550</xdr:colOff>
      <xdr:row>106</xdr:row>
      <xdr:rowOff>76200</xdr:rowOff>
    </xdr:from>
    <xdr:to>
      <xdr:col>2</xdr:col>
      <xdr:colOff>438150</xdr:colOff>
      <xdr:row>106</xdr:row>
      <xdr:rowOff>85725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537DF942-81E5-B2BB-BCD6-770F36BB87E5}"/>
            </a:ext>
          </a:extLst>
        </xdr:cNvPr>
        <xdr:cNvCxnSpPr/>
      </xdr:nvCxnSpPr>
      <xdr:spPr>
        <a:xfrm flipV="1">
          <a:off x="1219200" y="20602575"/>
          <a:ext cx="12668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1524000</xdr:colOff>
      <xdr:row>105</xdr:row>
      <xdr:rowOff>38100</xdr:rowOff>
    </xdr:from>
    <xdr:to>
      <xdr:col>2</xdr:col>
      <xdr:colOff>523875</xdr:colOff>
      <xdr:row>108</xdr:row>
      <xdr:rowOff>47625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90DAC20A-DFFE-66E8-5F58-D935B28171E0}"/>
            </a:ext>
          </a:extLst>
        </xdr:cNvPr>
        <xdr:cNvSpPr txBox="1"/>
      </xdr:nvSpPr>
      <xdr:spPr>
        <a:xfrm>
          <a:off x="1771650" y="20373975"/>
          <a:ext cx="800100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1.37</a:t>
          </a:r>
        </a:p>
      </xdr:txBody>
    </xdr:sp>
    <xdr:clientData/>
  </xdr:twoCellAnchor>
  <xdr:twoCellAnchor>
    <xdr:from>
      <xdr:col>1</xdr:col>
      <xdr:colOff>981075</xdr:colOff>
      <xdr:row>107</xdr:row>
      <xdr:rowOff>95250</xdr:rowOff>
    </xdr:from>
    <xdr:to>
      <xdr:col>4</xdr:col>
      <xdr:colOff>428625</xdr:colOff>
      <xdr:row>107</xdr:row>
      <xdr:rowOff>95250</xdr:rowOff>
    </xdr:to>
    <xdr:cxnSp macro="">
      <xdr:nvCxnSpPr>
        <xdr:cNvPr id="39" name="Conector recto de flecha 38">
          <a:extLst>
            <a:ext uri="{FF2B5EF4-FFF2-40B4-BE49-F238E27FC236}">
              <a16:creationId xmlns:a16="http://schemas.microsoft.com/office/drawing/2014/main" id="{D185D0A2-3666-45AA-905B-FDEC6B693B0B}"/>
            </a:ext>
          </a:extLst>
        </xdr:cNvPr>
        <xdr:cNvCxnSpPr/>
      </xdr:nvCxnSpPr>
      <xdr:spPr>
        <a:xfrm>
          <a:off x="1228725" y="20812125"/>
          <a:ext cx="3810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1028700</xdr:colOff>
      <xdr:row>106</xdr:row>
      <xdr:rowOff>19050</xdr:rowOff>
    </xdr:from>
    <xdr:to>
      <xdr:col>3</xdr:col>
      <xdr:colOff>314325</xdr:colOff>
      <xdr:row>109</xdr:row>
      <xdr:rowOff>28575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AB888DB5-58EC-4C19-98BE-9395F3807BC1}"/>
            </a:ext>
          </a:extLst>
        </xdr:cNvPr>
        <xdr:cNvSpPr txBox="1"/>
      </xdr:nvSpPr>
      <xdr:spPr>
        <a:xfrm>
          <a:off x="3076575" y="20545425"/>
          <a:ext cx="800100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2.14</a:t>
          </a:r>
        </a:p>
      </xdr:txBody>
    </xdr:sp>
    <xdr:clientData/>
  </xdr:twoCellAnchor>
  <xdr:twoCellAnchor>
    <xdr:from>
      <xdr:col>1</xdr:col>
      <xdr:colOff>1600200</xdr:colOff>
      <xdr:row>109</xdr:row>
      <xdr:rowOff>104775</xdr:rowOff>
    </xdr:from>
    <xdr:to>
      <xdr:col>4</xdr:col>
      <xdr:colOff>847725</xdr:colOff>
      <xdr:row>109</xdr:row>
      <xdr:rowOff>114300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CD0397FB-BE49-98CA-4F63-B64FC1A4F9E5}"/>
            </a:ext>
          </a:extLst>
        </xdr:cNvPr>
        <xdr:cNvCxnSpPr/>
      </xdr:nvCxnSpPr>
      <xdr:spPr>
        <a:xfrm flipV="1">
          <a:off x="1847850" y="21202650"/>
          <a:ext cx="3609975" cy="952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923925</xdr:colOff>
      <xdr:row>109</xdr:row>
      <xdr:rowOff>104775</xdr:rowOff>
    </xdr:from>
    <xdr:to>
      <xdr:col>1</xdr:col>
      <xdr:colOff>1590675</xdr:colOff>
      <xdr:row>109</xdr:row>
      <xdr:rowOff>104775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B20B62AC-F0BB-3C79-66BD-EE1159DE1C05}"/>
            </a:ext>
          </a:extLst>
        </xdr:cNvPr>
        <xdr:cNvCxnSpPr/>
      </xdr:nvCxnSpPr>
      <xdr:spPr>
        <a:xfrm>
          <a:off x="1171575" y="21202650"/>
          <a:ext cx="6667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895350</xdr:colOff>
      <xdr:row>109</xdr:row>
      <xdr:rowOff>85725</xdr:rowOff>
    </xdr:from>
    <xdr:to>
      <xdr:col>6</xdr:col>
      <xdr:colOff>914400</xdr:colOff>
      <xdr:row>109</xdr:row>
      <xdr:rowOff>95250</xdr:rowOff>
    </xdr:to>
    <xdr:cxnSp macro="">
      <xdr:nvCxnSpPr>
        <xdr:cNvPr id="79" name="Conector recto de flecha 78">
          <a:extLst>
            <a:ext uri="{FF2B5EF4-FFF2-40B4-BE49-F238E27FC236}">
              <a16:creationId xmlns:a16="http://schemas.microsoft.com/office/drawing/2014/main" id="{4B431C3F-B6AA-447F-9A12-A4C1D3A5C155}"/>
            </a:ext>
          </a:extLst>
        </xdr:cNvPr>
        <xdr:cNvCxnSpPr/>
      </xdr:nvCxnSpPr>
      <xdr:spPr>
        <a:xfrm flipV="1">
          <a:off x="5505450" y="21183600"/>
          <a:ext cx="1247775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109</xdr:row>
      <xdr:rowOff>47625</xdr:rowOff>
    </xdr:from>
    <xdr:to>
      <xdr:col>6</xdr:col>
      <xdr:colOff>962025</xdr:colOff>
      <xdr:row>112</xdr:row>
      <xdr:rowOff>57150</xdr:rowOff>
    </xdr:to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7A16C602-CC5D-424E-A903-058DF8BD777B}"/>
            </a:ext>
          </a:extLst>
        </xdr:cNvPr>
        <xdr:cNvSpPr txBox="1"/>
      </xdr:nvSpPr>
      <xdr:spPr>
        <a:xfrm>
          <a:off x="6000750" y="21145500"/>
          <a:ext cx="800100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1.35</a:t>
          </a:r>
        </a:p>
      </xdr:txBody>
    </xdr:sp>
    <xdr:clientData/>
  </xdr:twoCellAnchor>
  <xdr:twoCellAnchor>
    <xdr:from>
      <xdr:col>1</xdr:col>
      <xdr:colOff>1000125</xdr:colOff>
      <xdr:row>109</xdr:row>
      <xdr:rowOff>95250</xdr:rowOff>
    </xdr:from>
    <xdr:to>
      <xdr:col>2</xdr:col>
      <xdr:colOff>0</xdr:colOff>
      <xdr:row>112</xdr:row>
      <xdr:rowOff>104775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DFB5C630-494E-49F2-85E2-600E0B4EABAD}"/>
            </a:ext>
          </a:extLst>
        </xdr:cNvPr>
        <xdr:cNvSpPr txBox="1"/>
      </xdr:nvSpPr>
      <xdr:spPr>
        <a:xfrm>
          <a:off x="1247775" y="21193125"/>
          <a:ext cx="800100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0.85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333375</xdr:colOff>
      <xdr:row>7</xdr:row>
      <xdr:rowOff>28575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666BB21-080C-402C-9806-9D32DD8058F3}"/>
                </a:ext>
              </a:extLst>
            </xdr:cNvPr>
            <xdr:cNvSpPr txBox="1"/>
          </xdr:nvSpPr>
          <xdr:spPr>
            <a:xfrm>
              <a:off x="3790950" y="118110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666BB21-080C-402C-9806-9D32DD8058F3}"/>
                </a:ext>
              </a:extLst>
            </xdr:cNvPr>
            <xdr:cNvSpPr txBox="1"/>
          </xdr:nvSpPr>
          <xdr:spPr>
            <a:xfrm>
              <a:off x="3790950" y="118110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12</xdr:col>
      <xdr:colOff>85725</xdr:colOff>
      <xdr:row>7</xdr:row>
      <xdr:rowOff>38100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79052CE-732A-4548-BE31-2E060EDB2BF6}"/>
                </a:ext>
              </a:extLst>
            </xdr:cNvPr>
            <xdr:cNvSpPr txBox="1"/>
          </xdr:nvSpPr>
          <xdr:spPr>
            <a:xfrm>
              <a:off x="6019800" y="119062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79052CE-732A-4548-BE31-2E060EDB2BF6}"/>
                </a:ext>
              </a:extLst>
            </xdr:cNvPr>
            <xdr:cNvSpPr txBox="1"/>
          </xdr:nvSpPr>
          <xdr:spPr>
            <a:xfrm>
              <a:off x="6019800" y="119062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twoCellAnchor>
    <xdr:from>
      <xdr:col>2</xdr:col>
      <xdr:colOff>586739</xdr:colOff>
      <xdr:row>3</xdr:row>
      <xdr:rowOff>175259</xdr:rowOff>
    </xdr:from>
    <xdr:to>
      <xdr:col>3</xdr:col>
      <xdr:colOff>415290</xdr:colOff>
      <xdr:row>5</xdr:row>
      <xdr:rowOff>173354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637FAAA-1562-4535-9872-FA828DBC59C9}"/>
            </a:ext>
          </a:extLst>
        </xdr:cNvPr>
        <xdr:cNvSpPr/>
      </xdr:nvSpPr>
      <xdr:spPr>
        <a:xfrm>
          <a:off x="1859279" y="723899"/>
          <a:ext cx="415291" cy="36385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323850</xdr:colOff>
      <xdr:row>6</xdr:row>
      <xdr:rowOff>0</xdr:rowOff>
    </xdr:from>
    <xdr:to>
      <xdr:col>1</xdr:col>
      <xdr:colOff>323850</xdr:colOff>
      <xdr:row>12</xdr:row>
      <xdr:rowOff>9525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654033DF-FB6D-49AC-B06A-740FF88B9FCB}"/>
            </a:ext>
          </a:extLst>
        </xdr:cNvPr>
        <xdr:cNvCxnSpPr/>
      </xdr:nvCxnSpPr>
      <xdr:spPr>
        <a:xfrm>
          <a:off x="1085850" y="962025"/>
          <a:ext cx="0" cy="1171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8</xdr:row>
      <xdr:rowOff>190500</xdr:rowOff>
    </xdr:from>
    <xdr:to>
      <xdr:col>5</xdr:col>
      <xdr:colOff>114300</xdr:colOff>
      <xdr:row>12</xdr:row>
      <xdr:rowOff>9525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4CBEB9B2-F21D-4459-847B-B5B83DCE2BC3}"/>
            </a:ext>
          </a:extLst>
        </xdr:cNvPr>
        <xdr:cNvCxnSpPr/>
      </xdr:nvCxnSpPr>
      <xdr:spPr>
        <a:xfrm>
          <a:off x="2819400" y="1533525"/>
          <a:ext cx="0" cy="6000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</xdr:row>
      <xdr:rowOff>57150</xdr:rowOff>
    </xdr:from>
    <xdr:to>
      <xdr:col>4</xdr:col>
      <xdr:colOff>0</xdr:colOff>
      <xdr:row>9</xdr:row>
      <xdr:rowOff>57150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5F65D86B-636E-44C8-9C98-A9D5F6882604}"/>
            </a:ext>
          </a:extLst>
        </xdr:cNvPr>
        <xdr:cNvCxnSpPr/>
      </xdr:nvCxnSpPr>
      <xdr:spPr>
        <a:xfrm>
          <a:off x="1809750" y="16002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38100</xdr:colOff>
      <xdr:row>7</xdr:row>
      <xdr:rowOff>38100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9B04F61C-CB90-4A68-B36E-C2177ACF0274}"/>
                </a:ext>
              </a:extLst>
            </xdr:cNvPr>
            <xdr:cNvSpPr txBox="1"/>
          </xdr:nvSpPr>
          <xdr:spPr>
            <a:xfrm>
              <a:off x="7019925" y="119062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9B04F61C-CB90-4A68-B36E-C2177ACF0274}"/>
                </a:ext>
              </a:extLst>
            </xdr:cNvPr>
            <xdr:cNvSpPr txBox="1"/>
          </xdr:nvSpPr>
          <xdr:spPr>
            <a:xfrm>
              <a:off x="7019925" y="119062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5</xdr:col>
      <xdr:colOff>133350</xdr:colOff>
      <xdr:row>383</xdr:row>
      <xdr:rowOff>38100</xdr:rowOff>
    </xdr:from>
    <xdr:ext cx="1371600" cy="5742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AE4E9A6A-97F5-44E0-AB05-45C64AFCD3A3}"/>
                </a:ext>
              </a:extLst>
            </xdr:cNvPr>
            <xdr:cNvSpPr txBox="1"/>
          </xdr:nvSpPr>
          <xdr:spPr>
            <a:xfrm>
              <a:off x="2838450" y="69684900"/>
              <a:ext cx="1371600" cy="574237"/>
            </a:xfrm>
            <a:prstGeom prst="rect">
              <a:avLst/>
            </a:prstGeom>
            <a:noFill/>
            <a:ln w="38100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PE" sz="12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𝐿𝑚</m:t>
                    </m:r>
                    <m:r>
                      <a:rPr lang="es-PE" sz="12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≤1.75</m:t>
                    </m:r>
                    <m:rad>
                      <m:radPr>
                        <m:ctrlPr>
                          <a:rPr lang="es-PE" sz="12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>
                        <m:r>
                          <m:rPr>
                            <m:brk m:alnAt="7"/>
                          </m:rPr>
                          <a:rPr lang="es-PE" sz="12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g>
                      <m:e>
                        <m:f>
                          <m:fPr>
                            <m:ctrlPr>
                              <a:rPr lang="es-PE" sz="12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PE" sz="12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4∗</m:t>
                            </m:r>
                            <m:r>
                              <a:rPr lang="es-PE" sz="12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𝐸𝐼</m:t>
                            </m:r>
                          </m:num>
                          <m:den>
                            <m:r>
                              <a:rPr lang="es-PE" sz="12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𝐾𝐵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2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AE4E9A6A-97F5-44E0-AB05-45C64AFCD3A3}"/>
                </a:ext>
              </a:extLst>
            </xdr:cNvPr>
            <xdr:cNvSpPr txBox="1"/>
          </xdr:nvSpPr>
          <xdr:spPr>
            <a:xfrm>
              <a:off x="2838450" y="69684900"/>
              <a:ext cx="1371600" cy="574237"/>
            </a:xfrm>
            <a:prstGeom prst="rect">
              <a:avLst/>
            </a:prstGeom>
            <a:noFill/>
            <a:ln w="38100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:r>
                <a:rPr lang="es-PE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𝐿𝑚≤1.75∜((4∗𝐸𝐼)/𝐾𝐵)</a:t>
              </a:r>
              <a:endParaRPr lang="es-PE" sz="12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66675</xdr:colOff>
      <xdr:row>15</xdr:row>
      <xdr:rowOff>171451</xdr:rowOff>
    </xdr:from>
    <xdr:ext cx="695325" cy="5143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B278B5BA-9665-4E35-990C-DE89FE80F6CA}"/>
                </a:ext>
              </a:extLst>
            </xdr:cNvPr>
            <xdr:cNvSpPr txBox="1"/>
          </xdr:nvSpPr>
          <xdr:spPr>
            <a:xfrm>
              <a:off x="5200650" y="2867026"/>
              <a:ext cx="695325" cy="514350"/>
            </a:xfrm>
            <a:prstGeom prst="rect">
              <a:avLst/>
            </a:prstGeom>
            <a:noFill/>
            <a:ln w="381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PE" sz="9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1.75</m:t>
                    </m:r>
                    <m:rad>
                      <m:radPr>
                        <m:ctrlPr>
                          <a:rPr lang="es-PE" sz="9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>
                        <m:r>
                          <m:rPr>
                            <m:brk m:alnAt="7"/>
                          </m:rPr>
                          <a:rPr lang="es-PE" sz="9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g>
                      <m:e>
                        <m:f>
                          <m:fPr>
                            <m:ctrlP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4∗</m:t>
                            </m:r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𝐸𝐼</m:t>
                            </m:r>
                          </m:num>
                          <m:den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𝐾𝐵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9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B278B5BA-9665-4E35-990C-DE89FE80F6CA}"/>
                </a:ext>
              </a:extLst>
            </xdr:cNvPr>
            <xdr:cNvSpPr txBox="1"/>
          </xdr:nvSpPr>
          <xdr:spPr>
            <a:xfrm>
              <a:off x="5200650" y="2867026"/>
              <a:ext cx="695325" cy="514350"/>
            </a:xfrm>
            <a:prstGeom prst="rect">
              <a:avLst/>
            </a:prstGeom>
            <a:noFill/>
            <a:ln w="381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:r>
                <a:rPr lang="es-PE" sz="9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1.75∜((4∗𝐸𝐼)/𝐾𝐵)</a:t>
              </a:r>
              <a:endParaRPr lang="es-PE" sz="9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7</xdr:col>
      <xdr:colOff>333375</xdr:colOff>
      <xdr:row>26</xdr:row>
      <xdr:rowOff>28575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17019D5E-D88E-4C0C-AF43-B2438641F09B}"/>
                </a:ext>
              </a:extLst>
            </xdr:cNvPr>
            <xdr:cNvSpPr txBox="1"/>
          </xdr:nvSpPr>
          <xdr:spPr>
            <a:xfrm>
              <a:off x="3419475" y="131635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17019D5E-D88E-4C0C-AF43-B2438641F09B}"/>
                </a:ext>
              </a:extLst>
            </xdr:cNvPr>
            <xdr:cNvSpPr txBox="1"/>
          </xdr:nvSpPr>
          <xdr:spPr>
            <a:xfrm>
              <a:off x="3419475" y="1316355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12</xdr:col>
      <xdr:colOff>85725</xdr:colOff>
      <xdr:row>26</xdr:row>
      <xdr:rowOff>38100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9204EC3E-24C5-407B-87FC-6AAEC3204414}"/>
                </a:ext>
              </a:extLst>
            </xdr:cNvPr>
            <xdr:cNvSpPr txBox="1"/>
          </xdr:nvSpPr>
          <xdr:spPr>
            <a:xfrm>
              <a:off x="5739765" y="132588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9204EC3E-24C5-407B-87FC-6AAEC3204414}"/>
                </a:ext>
              </a:extLst>
            </xdr:cNvPr>
            <xdr:cNvSpPr txBox="1"/>
          </xdr:nvSpPr>
          <xdr:spPr>
            <a:xfrm>
              <a:off x="5739765" y="132588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twoCellAnchor>
    <xdr:from>
      <xdr:col>2</xdr:col>
      <xdr:colOff>586739</xdr:colOff>
      <xdr:row>22</xdr:row>
      <xdr:rowOff>175259</xdr:rowOff>
    </xdr:from>
    <xdr:to>
      <xdr:col>3</xdr:col>
      <xdr:colOff>415290</xdr:colOff>
      <xdr:row>24</xdr:row>
      <xdr:rowOff>173354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6B6C9C51-9BDE-45DF-A60E-8F8D868C9F4F}"/>
            </a:ext>
          </a:extLst>
        </xdr:cNvPr>
        <xdr:cNvSpPr/>
      </xdr:nvSpPr>
      <xdr:spPr>
        <a:xfrm>
          <a:off x="1379219" y="723899"/>
          <a:ext cx="415291" cy="36385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323850</xdr:colOff>
      <xdr:row>25</xdr:row>
      <xdr:rowOff>0</xdr:rowOff>
    </xdr:from>
    <xdr:to>
      <xdr:col>1</xdr:col>
      <xdr:colOff>323850</xdr:colOff>
      <xdr:row>31</xdr:row>
      <xdr:rowOff>9525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51C25FA2-6A1E-4F58-8018-8366EE2EA892}"/>
            </a:ext>
          </a:extLst>
        </xdr:cNvPr>
        <xdr:cNvCxnSpPr/>
      </xdr:nvCxnSpPr>
      <xdr:spPr>
        <a:xfrm>
          <a:off x="636270" y="1104900"/>
          <a:ext cx="0" cy="112204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27</xdr:row>
      <xdr:rowOff>190500</xdr:rowOff>
    </xdr:from>
    <xdr:to>
      <xdr:col>5</xdr:col>
      <xdr:colOff>114300</xdr:colOff>
      <xdr:row>31</xdr:row>
      <xdr:rowOff>9525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6BD9AB3E-0AE9-44AA-989B-066E659DEA9F}"/>
            </a:ext>
          </a:extLst>
        </xdr:cNvPr>
        <xdr:cNvCxnSpPr/>
      </xdr:nvCxnSpPr>
      <xdr:spPr>
        <a:xfrm>
          <a:off x="2423160" y="1661160"/>
          <a:ext cx="0" cy="5657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28</xdr:row>
      <xdr:rowOff>57150</xdr:rowOff>
    </xdr:from>
    <xdr:to>
      <xdr:col>4</xdr:col>
      <xdr:colOff>0</xdr:colOff>
      <xdr:row>28</xdr:row>
      <xdr:rowOff>57150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4839CBC2-EE49-401A-BC33-4A50F845E460}"/>
            </a:ext>
          </a:extLst>
        </xdr:cNvPr>
        <xdr:cNvCxnSpPr/>
      </xdr:nvCxnSpPr>
      <xdr:spPr>
        <a:xfrm>
          <a:off x="1388745" y="1718310"/>
          <a:ext cx="4095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38100</xdr:colOff>
      <xdr:row>26</xdr:row>
      <xdr:rowOff>38100</xdr:rowOff>
    </xdr:from>
    <xdr:ext cx="97270" cy="1432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882845B5-7BBB-4FC5-A5FC-7E4AF7C53ED6}"/>
                </a:ext>
              </a:extLst>
            </xdr:cNvPr>
            <xdr:cNvSpPr txBox="1"/>
          </xdr:nvSpPr>
          <xdr:spPr>
            <a:xfrm>
              <a:off x="6766560" y="132588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PE" sz="9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PE" sz="900" b="1" i="0">
                            <a:latin typeface="Cambria Math" panose="02040503050406030204" pitchFamily="18" charset="0"/>
                          </a:rPr>
                          <m:t>𝐘</m:t>
                        </m:r>
                      </m:e>
                    </m:acc>
                  </m:oMath>
                </m:oMathPara>
              </a14:m>
              <a:endParaRPr lang="es-PE" sz="1050" b="1" i="0">
                <a:latin typeface="+mn-lt"/>
              </a:endParaRPr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882845B5-7BBB-4FC5-A5FC-7E4AF7C53ED6}"/>
                </a:ext>
              </a:extLst>
            </xdr:cNvPr>
            <xdr:cNvSpPr txBox="1"/>
          </xdr:nvSpPr>
          <xdr:spPr>
            <a:xfrm>
              <a:off x="6766560" y="1325880"/>
              <a:ext cx="97270" cy="1432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900" b="1" i="0">
                  <a:latin typeface="Cambria Math" panose="02040503050406030204" pitchFamily="18" charset="0"/>
                </a:rPr>
                <a:t>𝐘 ̅</a:t>
              </a:r>
              <a:endParaRPr lang="es-PE" sz="1050" b="1" i="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10</xdr:col>
      <xdr:colOff>66675</xdr:colOff>
      <xdr:row>34</xdr:row>
      <xdr:rowOff>171451</xdr:rowOff>
    </xdr:from>
    <xdr:ext cx="695325" cy="5143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DB5A0B75-CDD8-4E4C-B46B-21C9285D1215}"/>
                </a:ext>
              </a:extLst>
            </xdr:cNvPr>
            <xdr:cNvSpPr txBox="1"/>
          </xdr:nvSpPr>
          <xdr:spPr>
            <a:xfrm>
              <a:off x="4897755" y="2937511"/>
              <a:ext cx="695325" cy="514350"/>
            </a:xfrm>
            <a:prstGeom prst="rect">
              <a:avLst/>
            </a:prstGeom>
            <a:noFill/>
            <a:ln w="381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PE" sz="9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0.88</m:t>
                    </m:r>
                    <m:rad>
                      <m:radPr>
                        <m:ctrlPr>
                          <a:rPr lang="es-PE" sz="9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>
                        <m:r>
                          <m:rPr>
                            <m:brk m:alnAt="7"/>
                          </m:rPr>
                          <a:rPr lang="es-PE" sz="9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g>
                      <m:e>
                        <m:f>
                          <m:fPr>
                            <m:ctrlP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4∗</m:t>
                            </m:r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𝐸𝐼</m:t>
                            </m:r>
                          </m:num>
                          <m:den>
                            <m:r>
                              <a:rPr lang="es-PE" sz="9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𝐾𝐵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9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DB5A0B75-CDD8-4E4C-B46B-21C9285D1215}"/>
                </a:ext>
              </a:extLst>
            </xdr:cNvPr>
            <xdr:cNvSpPr txBox="1"/>
          </xdr:nvSpPr>
          <xdr:spPr>
            <a:xfrm>
              <a:off x="4897755" y="2937511"/>
              <a:ext cx="695325" cy="514350"/>
            </a:xfrm>
            <a:prstGeom prst="rect">
              <a:avLst/>
            </a:prstGeom>
            <a:noFill/>
            <a:ln w="381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marL="0" indent="0"/>
              <a:r>
                <a:rPr lang="es-PE" sz="9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0.88∜((4∗𝐸𝐼)/𝐾𝐵)</a:t>
              </a:r>
              <a:endParaRPr lang="es-PE" sz="900" b="0" i="1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762000</xdr:colOff>
      <xdr:row>11</xdr:row>
      <xdr:rowOff>30480</xdr:rowOff>
    </xdr:from>
    <xdr:to>
      <xdr:col>10</xdr:col>
      <xdr:colOff>91440</xdr:colOff>
      <xdr:row>20</xdr:row>
      <xdr:rowOff>114300</xdr:rowOff>
    </xdr:to>
    <xdr:pic>
      <xdr:nvPicPr>
        <xdr:cNvPr id="2" name="Imagen 1" descr="Aceros Arequipa: 2.4.1 TUBERÍAS QUE PASAN A TRAVÉS DE LA LOSA ...">
          <a:extLst>
            <a:ext uri="{FF2B5EF4-FFF2-40B4-BE49-F238E27FC236}">
              <a16:creationId xmlns:a16="http://schemas.microsoft.com/office/drawing/2014/main" id="{D672F295-EC88-4125-989D-04FAE4318B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4" t="2511" r="5334" b="2511"/>
        <a:stretch/>
      </xdr:blipFill>
      <xdr:spPr bwMode="auto">
        <a:xfrm>
          <a:off x="3931920" y="2042160"/>
          <a:ext cx="4084320" cy="1729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</xdr:colOff>
      <xdr:row>3</xdr:row>
      <xdr:rowOff>0</xdr:rowOff>
    </xdr:from>
    <xdr:to>
      <xdr:col>5</xdr:col>
      <xdr:colOff>150100</xdr:colOff>
      <xdr:row>18</xdr:row>
      <xdr:rowOff>164991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6177B1-7295-4B04-8EC4-E3D96C7193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28675" y="548640"/>
          <a:ext cx="3283825" cy="2908191"/>
        </a:xfrm>
        <a:prstGeom prst="rect">
          <a:avLst/>
        </a:prstGeom>
      </xdr:spPr>
    </xdr:pic>
    <xdr:clientData/>
  </xdr:twoCellAnchor>
  <xdr:twoCellAnchor editAs="oneCell">
    <xdr:from>
      <xdr:col>5</xdr:col>
      <xdr:colOff>459105</xdr:colOff>
      <xdr:row>3</xdr:row>
      <xdr:rowOff>110490</xdr:rowOff>
    </xdr:from>
    <xdr:to>
      <xdr:col>9</xdr:col>
      <xdr:colOff>411075</xdr:colOff>
      <xdr:row>18</xdr:row>
      <xdr:rowOff>3467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278258-3F8D-4EE1-8251-51C5656D8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21505" y="659130"/>
          <a:ext cx="3358110" cy="263617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571501</xdr:colOff>
      <xdr:row>2</xdr:row>
      <xdr:rowOff>111126</xdr:rowOff>
    </xdr:from>
    <xdr:to>
      <xdr:col>17</xdr:col>
      <xdr:colOff>365126</xdr:colOff>
      <xdr:row>5</xdr:row>
      <xdr:rowOff>55563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83E2D24-2F7A-40B9-A9C5-EC269425460D}"/>
            </a:ext>
          </a:extLst>
        </xdr:cNvPr>
        <xdr:cNvSpPr/>
      </xdr:nvSpPr>
      <xdr:spPr>
        <a:xfrm>
          <a:off x="5905501" y="492126"/>
          <a:ext cx="7413625" cy="5159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611189</xdr:colOff>
      <xdr:row>4</xdr:row>
      <xdr:rowOff>134938</xdr:rowOff>
    </xdr:from>
    <xdr:to>
      <xdr:col>17</xdr:col>
      <xdr:colOff>317502</xdr:colOff>
      <xdr:row>4</xdr:row>
      <xdr:rowOff>166688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9DD84583-9860-47AD-A55D-0852712EE40F}"/>
            </a:ext>
          </a:extLst>
        </xdr:cNvPr>
        <xdr:cNvCxnSpPr/>
      </xdr:nvCxnSpPr>
      <xdr:spPr>
        <a:xfrm flipV="1">
          <a:off x="5945189" y="896938"/>
          <a:ext cx="7326313" cy="317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644526</xdr:colOff>
      <xdr:row>3</xdr:row>
      <xdr:rowOff>17463</xdr:rowOff>
    </xdr:from>
    <xdr:to>
      <xdr:col>10</xdr:col>
      <xdr:colOff>158526</xdr:colOff>
      <xdr:row>3</xdr:row>
      <xdr:rowOff>49213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213428DC-37C3-48BD-BA23-DE2E9D674C12}"/>
            </a:ext>
          </a:extLst>
        </xdr:cNvPr>
        <xdr:cNvCxnSpPr/>
      </xdr:nvCxnSpPr>
      <xdr:spPr>
        <a:xfrm flipV="1">
          <a:off x="5978526" y="588963"/>
          <a:ext cx="1800000" cy="317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757238</xdr:colOff>
      <xdr:row>3</xdr:row>
      <xdr:rowOff>11113</xdr:rowOff>
    </xdr:from>
    <xdr:to>
      <xdr:col>17</xdr:col>
      <xdr:colOff>271238</xdr:colOff>
      <xdr:row>3</xdr:row>
      <xdr:rowOff>42863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2A3B80A-910B-45F6-8C16-4033EE489546}"/>
            </a:ext>
          </a:extLst>
        </xdr:cNvPr>
        <xdr:cNvCxnSpPr/>
      </xdr:nvCxnSpPr>
      <xdr:spPr>
        <a:xfrm flipV="1">
          <a:off x="11425238" y="582613"/>
          <a:ext cx="1800000" cy="317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261938</xdr:colOff>
      <xdr:row>2</xdr:row>
      <xdr:rowOff>187326</xdr:rowOff>
    </xdr:from>
    <xdr:to>
      <xdr:col>17</xdr:col>
      <xdr:colOff>266701</xdr:colOff>
      <xdr:row>3</xdr:row>
      <xdr:rowOff>176826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CB6C40EC-D418-48A3-A73D-6E0B6B5A83DB}"/>
            </a:ext>
          </a:extLst>
        </xdr:cNvPr>
        <xdr:cNvCxnSpPr/>
      </xdr:nvCxnSpPr>
      <xdr:spPr>
        <a:xfrm flipH="1">
          <a:off x="13215938" y="568326"/>
          <a:ext cx="4763" cy="1800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636588</xdr:colOff>
      <xdr:row>3</xdr:row>
      <xdr:rowOff>22226</xdr:rowOff>
    </xdr:from>
    <xdr:to>
      <xdr:col>7</xdr:col>
      <xdr:colOff>641351</xdr:colOff>
      <xdr:row>4</xdr:row>
      <xdr:rowOff>11726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1CB6495-61DE-4ABD-93D9-9C59B7603688}"/>
            </a:ext>
          </a:extLst>
        </xdr:cNvPr>
        <xdr:cNvCxnSpPr/>
      </xdr:nvCxnSpPr>
      <xdr:spPr>
        <a:xfrm flipH="1">
          <a:off x="5970588" y="593726"/>
          <a:ext cx="4763" cy="1800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563561</xdr:colOff>
      <xdr:row>5</xdr:row>
      <xdr:rowOff>177706</xdr:rowOff>
    </xdr:from>
    <xdr:to>
      <xdr:col>14</xdr:col>
      <xdr:colOff>681824</xdr:colOff>
      <xdr:row>20</xdr:row>
      <xdr:rowOff>174626</xdr:rowOff>
    </xdr:to>
    <xdr:pic>
      <xdr:nvPicPr>
        <xdr:cNvPr id="8" name="Imagen 7" descr="Qué son las losas aligeradas? - Construyendo Seguro">
          <a:extLst>
            <a:ext uri="{FF2B5EF4-FFF2-40B4-BE49-F238E27FC236}">
              <a16:creationId xmlns:a16="http://schemas.microsoft.com/office/drawing/2014/main" id="{94328D38-C69D-4ACD-9A27-0DE33DD92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561" y="1130206"/>
          <a:ext cx="5452263" cy="285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392113</xdr:colOff>
      <xdr:row>3</xdr:row>
      <xdr:rowOff>3176</xdr:rowOff>
    </xdr:from>
    <xdr:to>
      <xdr:col>13</xdr:col>
      <xdr:colOff>668113</xdr:colOff>
      <xdr:row>3</xdr:row>
      <xdr:rowOff>34926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AC28CBE5-AFD1-481B-98CB-DA59C36B471B}"/>
            </a:ext>
          </a:extLst>
        </xdr:cNvPr>
        <xdr:cNvCxnSpPr/>
      </xdr:nvCxnSpPr>
      <xdr:spPr>
        <a:xfrm flipV="1">
          <a:off x="8774113" y="574676"/>
          <a:ext cx="1800000" cy="317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39688</xdr:colOff>
      <xdr:row>12</xdr:row>
      <xdr:rowOff>158750</xdr:rowOff>
    </xdr:from>
    <xdr:to>
      <xdr:col>11</xdr:col>
      <xdr:colOff>23813</xdr:colOff>
      <xdr:row>12</xdr:row>
      <xdr:rowOff>166688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F6D1993A-2A97-4F75-8882-CA3F0D0FA05A}"/>
            </a:ext>
          </a:extLst>
        </xdr:cNvPr>
        <xdr:cNvCxnSpPr/>
      </xdr:nvCxnSpPr>
      <xdr:spPr>
        <a:xfrm flipV="1">
          <a:off x="7659688" y="2444750"/>
          <a:ext cx="746125" cy="793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357187</xdr:colOff>
      <xdr:row>33</xdr:row>
      <xdr:rowOff>7938</xdr:rowOff>
    </xdr:from>
    <xdr:ext cx="1204817" cy="4345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F581760F-6253-4036-AA24-230447C18E24}"/>
                </a:ext>
              </a:extLst>
            </xdr:cNvPr>
            <xdr:cNvSpPr txBox="1"/>
          </xdr:nvSpPr>
          <xdr:spPr>
            <a:xfrm>
              <a:off x="2643187" y="6294438"/>
              <a:ext cx="1204817" cy="43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e>
                        </m:d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∅∗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F581760F-6253-4036-AA24-230447C18E24}"/>
                </a:ext>
              </a:extLst>
            </xdr:cNvPr>
            <xdr:cNvSpPr txBox="1"/>
          </xdr:nvSpPr>
          <xdr:spPr>
            <a:xfrm>
              <a:off x="2643187" y="6294438"/>
              <a:ext cx="1204817" cy="43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𝐴𝑠=|𝑀𝑢|/(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∅∗𝑓𝑦(𝑑−𝑎/2))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3</xdr:col>
      <xdr:colOff>357187</xdr:colOff>
      <xdr:row>50</xdr:row>
      <xdr:rowOff>7938</xdr:rowOff>
    </xdr:from>
    <xdr:ext cx="1204817" cy="4345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AEB4298C-B3CD-449C-9CD8-D36709E595FA}"/>
                </a:ext>
              </a:extLst>
            </xdr:cNvPr>
            <xdr:cNvSpPr txBox="1"/>
          </xdr:nvSpPr>
          <xdr:spPr>
            <a:xfrm>
              <a:off x="2643187" y="9532938"/>
              <a:ext cx="1204817" cy="43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e>
                        </m:d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∅∗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AEB4298C-B3CD-449C-9CD8-D36709E595FA}"/>
                </a:ext>
              </a:extLst>
            </xdr:cNvPr>
            <xdr:cNvSpPr txBox="1"/>
          </xdr:nvSpPr>
          <xdr:spPr>
            <a:xfrm>
              <a:off x="2643187" y="9532938"/>
              <a:ext cx="1204817" cy="43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𝐴𝑠=|𝑀𝑢|/(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∅∗𝑓𝑦(𝑑−𝑎/2))</a:t>
              </a:r>
              <a:endParaRPr lang="es-PE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1115-9475-4883-978D-74A81773AA58}">
  <dimension ref="B2:U42"/>
  <sheetViews>
    <sheetView showGridLines="0" topLeftCell="C12" zoomScale="120" zoomScaleNormal="120" workbookViewId="0">
      <selection activeCell="M26" sqref="M26"/>
    </sheetView>
  </sheetViews>
  <sheetFormatPr baseColWidth="10" defaultRowHeight="15" x14ac:dyDescent="0.25"/>
  <cols>
    <col min="1" max="1" width="3.7109375" customWidth="1"/>
    <col min="2" max="2" width="27" customWidth="1"/>
    <col min="3" max="3" width="22.7109375" customWidth="1"/>
    <col min="4" max="5" width="15.7109375" customWidth="1"/>
    <col min="6" max="6" width="2.7109375" customWidth="1"/>
    <col min="7" max="10" width="15.7109375" customWidth="1"/>
    <col min="11" max="11" width="2.42578125" customWidth="1"/>
    <col min="12" max="12" width="14" customWidth="1"/>
    <col min="13" max="13" width="14.7109375" customWidth="1"/>
    <col min="14" max="15" width="14.28515625" customWidth="1"/>
    <col min="16" max="16" width="14.5703125" customWidth="1"/>
  </cols>
  <sheetData>
    <row r="2" spans="2:17" ht="17.100000000000001" customHeight="1" x14ac:dyDescent="0.25">
      <c r="B2" s="98" t="s">
        <v>8</v>
      </c>
      <c r="C2" s="98"/>
      <c r="D2" s="3" t="s">
        <v>30</v>
      </c>
      <c r="E2" s="4" t="s">
        <v>11</v>
      </c>
      <c r="G2" s="99" t="s">
        <v>31</v>
      </c>
      <c r="H2" s="99"/>
      <c r="I2" s="99"/>
      <c r="J2" s="99"/>
      <c r="L2" s="99" t="s">
        <v>40</v>
      </c>
      <c r="M2" s="99"/>
    </row>
    <row r="3" spans="2:17" ht="17.100000000000001" customHeight="1" x14ac:dyDescent="0.25">
      <c r="B3" s="98" t="s">
        <v>27</v>
      </c>
      <c r="C3" s="98"/>
      <c r="D3" s="3" t="s">
        <v>28</v>
      </c>
      <c r="E3" s="4" t="s">
        <v>29</v>
      </c>
      <c r="G3" s="7" t="s">
        <v>0</v>
      </c>
      <c r="H3" s="7" t="s">
        <v>1</v>
      </c>
      <c r="I3" s="7" t="s">
        <v>2</v>
      </c>
      <c r="J3" s="7" t="s">
        <v>3</v>
      </c>
      <c r="L3" s="8" t="s">
        <v>41</v>
      </c>
      <c r="M3" s="16">
        <f>(240-40)/2</f>
        <v>100</v>
      </c>
    </row>
    <row r="4" spans="2:17" ht="17.100000000000001" customHeight="1" x14ac:dyDescent="0.25">
      <c r="B4" s="98" t="s">
        <v>16</v>
      </c>
      <c r="C4" s="98"/>
      <c r="D4" s="4" t="s">
        <v>9</v>
      </c>
      <c r="E4" s="4" t="s">
        <v>10</v>
      </c>
      <c r="G4" s="7" t="s">
        <v>4</v>
      </c>
      <c r="H4" s="1">
        <v>24.5</v>
      </c>
      <c r="I4" s="1">
        <v>-1.1000000000000001</v>
      </c>
      <c r="J4" s="1">
        <v>-0.98</v>
      </c>
      <c r="L4" s="8" t="s">
        <v>35</v>
      </c>
      <c r="M4" s="16">
        <v>50</v>
      </c>
    </row>
    <row r="5" spans="2:17" ht="17.100000000000001" customHeight="1" x14ac:dyDescent="0.25">
      <c r="B5" s="98" t="s">
        <v>17</v>
      </c>
      <c r="C5" s="98"/>
      <c r="D5" s="4" t="s">
        <v>12</v>
      </c>
      <c r="E5" s="4" t="s">
        <v>13</v>
      </c>
      <c r="G5" s="7" t="s">
        <v>5</v>
      </c>
      <c r="H5" s="1">
        <v>10.5</v>
      </c>
      <c r="I5" s="1">
        <v>-0.48</v>
      </c>
      <c r="J5" s="1">
        <v>-0.41</v>
      </c>
      <c r="L5" s="8" t="s">
        <v>45</v>
      </c>
      <c r="M5" s="17" t="str">
        <f>IF(OR(M4&gt;M3/2,M4=M3/2),"CUMPLE","NO CUMPLE")</f>
        <v>CUMPLE</v>
      </c>
    </row>
    <row r="6" spans="2:17" ht="17.100000000000001" customHeight="1" x14ac:dyDescent="0.25">
      <c r="B6" s="98" t="s">
        <v>18</v>
      </c>
      <c r="C6" s="98"/>
      <c r="D6" s="5" t="s">
        <v>14</v>
      </c>
      <c r="E6" s="4" t="s">
        <v>15</v>
      </c>
      <c r="G6" s="7" t="s">
        <v>6</v>
      </c>
      <c r="H6" s="1">
        <v>-3.58</v>
      </c>
      <c r="I6" s="1">
        <v>0.62</v>
      </c>
      <c r="J6" s="1">
        <v>7.3</v>
      </c>
    </row>
    <row r="7" spans="2:17" ht="17.100000000000001" customHeight="1" x14ac:dyDescent="0.25">
      <c r="B7" s="98" t="s">
        <v>19</v>
      </c>
      <c r="C7" s="98"/>
      <c r="D7" s="6" t="s">
        <v>20</v>
      </c>
      <c r="E7" s="4" t="s">
        <v>21</v>
      </c>
      <c r="G7" s="7" t="s">
        <v>7</v>
      </c>
      <c r="H7" s="1">
        <v>-1.0900000000000001</v>
      </c>
      <c r="I7" s="1">
        <v>7.85</v>
      </c>
      <c r="J7" s="1">
        <v>0.44</v>
      </c>
      <c r="L7" s="106" t="s">
        <v>150</v>
      </c>
      <c r="M7" s="106"/>
      <c r="O7" s="106" t="s">
        <v>43</v>
      </c>
      <c r="P7" s="106"/>
    </row>
    <row r="8" spans="2:17" ht="15.75" x14ac:dyDescent="0.25">
      <c r="B8" s="98" t="s">
        <v>24</v>
      </c>
      <c r="C8" s="98"/>
      <c r="D8" s="6" t="s">
        <v>23</v>
      </c>
      <c r="E8" s="4" t="s">
        <v>22</v>
      </c>
      <c r="L8" s="106"/>
      <c r="M8" s="106"/>
      <c r="O8" s="106"/>
      <c r="P8" s="106"/>
    </row>
    <row r="9" spans="2:17" s="2" customFormat="1" ht="17.100000000000001" customHeight="1" x14ac:dyDescent="0.25">
      <c r="B9" s="98" t="s">
        <v>26</v>
      </c>
      <c r="C9" s="98"/>
      <c r="D9" s="6" t="s">
        <v>25</v>
      </c>
      <c r="E9" s="39">
        <v>4800</v>
      </c>
      <c r="G9" s="10"/>
      <c r="H9" s="8" t="s">
        <v>55</v>
      </c>
      <c r="I9" s="8" t="s">
        <v>56</v>
      </c>
      <c r="J9" s="18" t="s">
        <v>52</v>
      </c>
      <c r="L9" s="8" t="s">
        <v>104</v>
      </c>
      <c r="M9" s="68">
        <v>13250</v>
      </c>
      <c r="O9" s="8" t="s">
        <v>69</v>
      </c>
      <c r="P9" s="41">
        <v>3.7919999999999998</v>
      </c>
      <c r="Q9" s="2" t="s">
        <v>71</v>
      </c>
    </row>
    <row r="10" spans="2:17" s="2" customFormat="1" ht="17.100000000000001" customHeight="1" x14ac:dyDescent="0.25">
      <c r="B10" s="100" t="s">
        <v>64</v>
      </c>
      <c r="C10" s="101"/>
      <c r="D10" s="4" t="s">
        <v>65</v>
      </c>
      <c r="E10" s="36">
        <f>15000*SQRT(210)*10</f>
        <v>2173706.5119284154</v>
      </c>
      <c r="G10" s="9"/>
      <c r="H10" s="8" t="s">
        <v>57</v>
      </c>
      <c r="I10" s="14">
        <v>0.71</v>
      </c>
      <c r="J10" s="15">
        <v>0.95</v>
      </c>
      <c r="L10" s="18" t="s">
        <v>151</v>
      </c>
      <c r="M10" s="68">
        <f>0.85*0.53*SQRT(210)*M21*M23</f>
        <v>65594.402426253364</v>
      </c>
      <c r="O10" s="18" t="s">
        <v>70</v>
      </c>
      <c r="P10" s="41">
        <v>10.065</v>
      </c>
      <c r="Q10" s="2" t="s">
        <v>72</v>
      </c>
    </row>
    <row r="11" spans="2:17" s="2" customFormat="1" ht="17.100000000000001" customHeight="1" x14ac:dyDescent="0.25">
      <c r="G11" s="9"/>
      <c r="H11" s="8" t="s">
        <v>58</v>
      </c>
      <c r="I11" s="14">
        <v>1.29</v>
      </c>
      <c r="J11" s="15">
        <v>1.27</v>
      </c>
      <c r="L11" s="8" t="s">
        <v>152</v>
      </c>
      <c r="M11" s="17" t="str">
        <f>IF(M9&lt;M10,"CUMPLE","NO CUMPLE")</f>
        <v>CUMPLE</v>
      </c>
      <c r="O11" s="8" t="s">
        <v>73</v>
      </c>
      <c r="P11" s="17" t="str">
        <f>IF(OR(P9&lt;P10,P9=P10),"CUMPLE","NO CUMPLE")</f>
        <v>CUMPLE</v>
      </c>
    </row>
    <row r="12" spans="2:17" s="2" customFormat="1" ht="17.100000000000001" customHeight="1" x14ac:dyDescent="0.25">
      <c r="G12" s="9"/>
      <c r="H12" s="8" t="s">
        <v>59</v>
      </c>
      <c r="I12" s="14">
        <v>1.98</v>
      </c>
      <c r="J12" s="15">
        <v>1.59</v>
      </c>
    </row>
    <row r="13" spans="2:17" s="2" customFormat="1" ht="17.100000000000001" customHeight="1" x14ac:dyDescent="0.25">
      <c r="G13" s="9"/>
      <c r="H13" s="8" t="s">
        <v>60</v>
      </c>
      <c r="I13" s="14">
        <v>2.85</v>
      </c>
      <c r="J13" s="15">
        <v>1.91</v>
      </c>
      <c r="L13" s="106" t="s">
        <v>42</v>
      </c>
      <c r="M13" s="106"/>
      <c r="N13" s="106"/>
      <c r="O13" s="106"/>
    </row>
    <row r="14" spans="2:17" s="2" customFormat="1" ht="17.100000000000001" customHeight="1" x14ac:dyDescent="0.25">
      <c r="G14" s="9"/>
      <c r="H14" s="8" t="s">
        <v>61</v>
      </c>
      <c r="I14" s="14">
        <v>5.07</v>
      </c>
      <c r="J14" s="15">
        <v>2.54</v>
      </c>
      <c r="L14" s="106"/>
      <c r="M14" s="106"/>
      <c r="N14" s="106"/>
      <c r="O14" s="106"/>
    </row>
    <row r="15" spans="2:17" s="2" customFormat="1" ht="17.100000000000001" customHeight="1" x14ac:dyDescent="0.25">
      <c r="G15" s="9"/>
      <c r="H15" s="30"/>
      <c r="I15" s="31"/>
      <c r="J15" s="32"/>
      <c r="L15" s="102" t="s">
        <v>124</v>
      </c>
      <c r="M15" s="103"/>
      <c r="N15" s="102" t="s">
        <v>125</v>
      </c>
      <c r="O15" s="103"/>
    </row>
    <row r="16" spans="2:17" s="2" customFormat="1" ht="17.100000000000001" customHeight="1" x14ac:dyDescent="0.25">
      <c r="G16" s="9"/>
      <c r="H16" s="30"/>
      <c r="I16" s="31"/>
      <c r="J16" s="32"/>
      <c r="L16" s="8" t="s">
        <v>44</v>
      </c>
      <c r="M16" s="4" t="s">
        <v>46</v>
      </c>
      <c r="N16" s="8" t="s">
        <v>44</v>
      </c>
      <c r="O16" s="4" t="s">
        <v>46</v>
      </c>
    </row>
    <row r="17" spans="12:21" s="2" customFormat="1" ht="17.100000000000001" customHeight="1" x14ac:dyDescent="0.25">
      <c r="L17" s="7" t="s">
        <v>47</v>
      </c>
      <c r="M17" s="20">
        <v>25.07</v>
      </c>
      <c r="N17" s="7" t="s">
        <v>47</v>
      </c>
      <c r="O17" s="20">
        <v>25.14</v>
      </c>
      <c r="P17"/>
    </row>
    <row r="18" spans="12:21" s="2" customFormat="1" ht="17.100000000000001" customHeight="1" x14ac:dyDescent="0.25">
      <c r="L18" s="7" t="s">
        <v>48</v>
      </c>
      <c r="M18" s="21">
        <v>210</v>
      </c>
      <c r="N18" s="7" t="s">
        <v>48</v>
      </c>
      <c r="O18" s="21">
        <v>210</v>
      </c>
      <c r="P18"/>
    </row>
    <row r="19" spans="12:21" x14ac:dyDescent="0.25">
      <c r="L19" s="7" t="s">
        <v>49</v>
      </c>
      <c r="M19" s="21">
        <v>4200</v>
      </c>
      <c r="N19" s="7" t="s">
        <v>49</v>
      </c>
      <c r="O19" s="21">
        <v>4200</v>
      </c>
    </row>
    <row r="20" spans="12:21" x14ac:dyDescent="0.25">
      <c r="L20" s="7" t="s">
        <v>35</v>
      </c>
      <c r="M20" s="16">
        <v>50</v>
      </c>
      <c r="N20" s="7" t="s">
        <v>35</v>
      </c>
      <c r="O20" s="16">
        <v>50</v>
      </c>
      <c r="P20" s="40"/>
      <c r="Q20" s="40"/>
      <c r="R20" s="40"/>
      <c r="S20" s="40"/>
      <c r="T20" s="40"/>
      <c r="U20" s="40"/>
    </row>
    <row r="21" spans="12:21" x14ac:dyDescent="0.25">
      <c r="L21" s="7" t="s">
        <v>34</v>
      </c>
      <c r="M21" s="16">
        <v>240</v>
      </c>
      <c r="N21" s="7" t="s">
        <v>34</v>
      </c>
      <c r="O21" s="16">
        <v>240</v>
      </c>
      <c r="P21" s="40"/>
      <c r="Q21" s="40"/>
      <c r="R21" s="40"/>
      <c r="S21" s="40"/>
      <c r="T21" s="40"/>
      <c r="U21" s="40"/>
    </row>
    <row r="22" spans="12:21" x14ac:dyDescent="0.25">
      <c r="L22" s="7" t="s">
        <v>50</v>
      </c>
      <c r="M22" s="66">
        <v>7.5</v>
      </c>
      <c r="N22" s="7" t="s">
        <v>50</v>
      </c>
      <c r="O22" s="67">
        <v>7.5</v>
      </c>
      <c r="P22" s="40"/>
      <c r="Q22" s="40"/>
      <c r="R22" s="40"/>
      <c r="S22" s="40"/>
      <c r="T22" s="40"/>
      <c r="U22" s="40"/>
    </row>
    <row r="23" spans="12:21" x14ac:dyDescent="0.25">
      <c r="L23" s="7" t="s">
        <v>51</v>
      </c>
      <c r="M23" s="16">
        <f>M20-M22-J11/2</f>
        <v>41.865000000000002</v>
      </c>
      <c r="N23" s="7" t="s">
        <v>51</v>
      </c>
      <c r="O23" s="16">
        <f>O20-O22-J11/2</f>
        <v>41.865000000000002</v>
      </c>
      <c r="P23" s="40"/>
      <c r="Q23" s="40"/>
      <c r="R23" s="40"/>
      <c r="S23" s="40"/>
      <c r="T23" s="40"/>
      <c r="U23" s="40"/>
    </row>
    <row r="24" spans="12:21" x14ac:dyDescent="0.25">
      <c r="L24" s="11" t="s">
        <v>52</v>
      </c>
      <c r="M24" s="23">
        <v>0.9</v>
      </c>
      <c r="N24" s="11" t="s">
        <v>52</v>
      </c>
      <c r="O24" s="23">
        <v>0.9</v>
      </c>
      <c r="P24" s="40"/>
      <c r="Q24" s="40"/>
      <c r="R24" s="40"/>
      <c r="S24" s="40"/>
      <c r="T24" s="40"/>
      <c r="U24" s="40"/>
    </row>
    <row r="25" spans="12:21" x14ac:dyDescent="0.25">
      <c r="L25" s="24" t="s">
        <v>53</v>
      </c>
      <c r="M25" s="15">
        <f>M23-SQRT((M23^2)-((2*M17*10^5)/(0.85*M18*M24*M21)))</f>
        <v>1.5830733509029784</v>
      </c>
      <c r="N25" s="24" t="s">
        <v>53</v>
      </c>
      <c r="O25" s="15">
        <f>O23-SQRT((O23^2)-((2*O17*10^5)/(0.85*O18*O24*O21)))</f>
        <v>1.5875806889643513</v>
      </c>
      <c r="P25" s="40"/>
      <c r="Q25" s="76"/>
      <c r="R25" s="40"/>
      <c r="S25" s="40"/>
      <c r="T25" s="40"/>
      <c r="U25" s="40"/>
    </row>
    <row r="26" spans="12:21" x14ac:dyDescent="0.25">
      <c r="L26" s="24" t="s">
        <v>54</v>
      </c>
      <c r="M26" s="25">
        <f>M17*10^5/(M24*M19*(M23-M25/2))</f>
        <v>16.14734817921039</v>
      </c>
      <c r="N26" s="24" t="s">
        <v>54</v>
      </c>
      <c r="O26" s="25">
        <f>O17*10^5/(O24*O19*(O23-O25/2))</f>
        <v>16.193323027436399</v>
      </c>
      <c r="P26" s="77"/>
      <c r="Q26" s="78"/>
      <c r="R26" s="78"/>
      <c r="S26" s="78"/>
      <c r="T26" s="40"/>
      <c r="U26" s="40"/>
    </row>
    <row r="27" spans="12:21" x14ac:dyDescent="0.25">
      <c r="L27" s="11" t="s">
        <v>33</v>
      </c>
      <c r="M27" s="12">
        <v>1.8E-3</v>
      </c>
      <c r="N27" s="11" t="s">
        <v>33</v>
      </c>
      <c r="O27" s="12">
        <v>1.8E-3</v>
      </c>
      <c r="P27" s="77"/>
      <c r="Q27" s="78"/>
      <c r="R27" s="78"/>
      <c r="S27" s="78"/>
      <c r="T27" s="40"/>
      <c r="U27" s="40"/>
    </row>
    <row r="28" spans="12:21" x14ac:dyDescent="0.25">
      <c r="L28" s="13" t="s">
        <v>36</v>
      </c>
      <c r="M28" s="14">
        <f>M27*M21*M20</f>
        <v>21.6</v>
      </c>
      <c r="N28" s="13" t="s">
        <v>36</v>
      </c>
      <c r="O28" s="14">
        <f>O27*O21*O20</f>
        <v>21.6</v>
      </c>
      <c r="P28" s="40"/>
      <c r="Q28" s="76"/>
      <c r="R28" s="40"/>
      <c r="S28" s="40"/>
      <c r="T28" s="40"/>
      <c r="U28" s="40"/>
    </row>
    <row r="29" spans="12:21" x14ac:dyDescent="0.25">
      <c r="L29" s="11" t="s">
        <v>62</v>
      </c>
      <c r="M29" s="25">
        <f>MAX(M26,M28)</f>
        <v>21.6</v>
      </c>
      <c r="N29" s="11" t="s">
        <v>62</v>
      </c>
      <c r="O29" s="25">
        <f>MAX(O26,O28)</f>
        <v>21.6</v>
      </c>
      <c r="P29" s="77"/>
      <c r="Q29" s="78"/>
      <c r="R29" s="78"/>
      <c r="S29" s="78"/>
      <c r="T29" s="40"/>
      <c r="U29" s="40"/>
    </row>
    <row r="30" spans="12:21" x14ac:dyDescent="0.25">
      <c r="L30" s="13" t="s">
        <v>37</v>
      </c>
      <c r="M30" s="14">
        <f>I11</f>
        <v>1.29</v>
      </c>
      <c r="N30" s="13" t="s">
        <v>37</v>
      </c>
      <c r="O30" s="14">
        <f>I11</f>
        <v>1.29</v>
      </c>
      <c r="P30" s="77"/>
      <c r="Q30" s="78"/>
      <c r="R30" s="78"/>
      <c r="S30" s="78"/>
      <c r="T30" s="40"/>
      <c r="U30" s="40"/>
    </row>
    <row r="31" spans="12:21" x14ac:dyDescent="0.25">
      <c r="L31" s="8" t="s">
        <v>38</v>
      </c>
      <c r="M31" s="15">
        <f>M30*M21/M29</f>
        <v>14.333333333333334</v>
      </c>
      <c r="N31" s="8" t="s">
        <v>38</v>
      </c>
      <c r="O31" s="15">
        <f>O30*O21/O29</f>
        <v>14.333333333333334</v>
      </c>
      <c r="P31" s="40"/>
      <c r="Q31" s="40"/>
      <c r="R31" s="40"/>
      <c r="S31" s="40"/>
      <c r="T31" s="40"/>
      <c r="U31" s="40"/>
    </row>
    <row r="32" spans="12:21" x14ac:dyDescent="0.25">
      <c r="L32" s="104" t="s">
        <v>227</v>
      </c>
      <c r="M32" s="105"/>
      <c r="N32" s="104" t="s">
        <v>39</v>
      </c>
      <c r="O32" s="105"/>
      <c r="P32" s="40"/>
      <c r="Q32" s="40"/>
      <c r="R32" s="40"/>
      <c r="S32" s="40"/>
      <c r="T32" s="40"/>
      <c r="U32" s="40"/>
    </row>
    <row r="33" spans="8:21" x14ac:dyDescent="0.25">
      <c r="P33" s="40"/>
      <c r="Q33" s="40"/>
      <c r="R33" s="40"/>
      <c r="S33" s="40"/>
      <c r="T33" s="40"/>
      <c r="U33" s="40"/>
    </row>
    <row r="34" spans="8:21" x14ac:dyDescent="0.25">
      <c r="P34" s="40"/>
      <c r="Q34" s="40"/>
      <c r="R34" s="40"/>
      <c r="S34" s="40"/>
      <c r="T34" s="40"/>
      <c r="U34" s="40"/>
    </row>
    <row r="35" spans="8:21" x14ac:dyDescent="0.25">
      <c r="L35" s="69"/>
      <c r="M35" s="70"/>
      <c r="P35" s="40"/>
      <c r="Q35" s="40"/>
      <c r="R35" s="40"/>
      <c r="S35" s="40"/>
      <c r="T35" s="40"/>
      <c r="U35" s="40"/>
    </row>
    <row r="36" spans="8:21" x14ac:dyDescent="0.25">
      <c r="P36" s="40"/>
      <c r="Q36" s="40"/>
      <c r="R36" s="40"/>
      <c r="S36" s="40"/>
      <c r="T36" s="40"/>
      <c r="U36" s="40"/>
    </row>
    <row r="37" spans="8:21" x14ac:dyDescent="0.25">
      <c r="P37" s="40"/>
      <c r="Q37" s="40"/>
      <c r="R37" s="40"/>
      <c r="S37" s="40"/>
      <c r="T37" s="40"/>
      <c r="U37" s="40"/>
    </row>
    <row r="38" spans="8:21" x14ac:dyDescent="0.25">
      <c r="H38" s="33"/>
      <c r="I38" s="2"/>
      <c r="P38" s="40"/>
      <c r="Q38" s="40"/>
      <c r="R38" s="40"/>
      <c r="S38" s="40"/>
      <c r="T38" s="40"/>
      <c r="U38" s="40"/>
    </row>
    <row r="39" spans="8:21" x14ac:dyDescent="0.25">
      <c r="H39" s="19"/>
      <c r="P39" s="40"/>
      <c r="Q39" s="40"/>
      <c r="R39" s="40"/>
      <c r="S39" s="40"/>
      <c r="T39" s="40"/>
      <c r="U39" s="40"/>
    </row>
    <row r="40" spans="8:21" x14ac:dyDescent="0.25">
      <c r="P40" s="40"/>
      <c r="Q40" s="40"/>
      <c r="R40" s="40"/>
      <c r="S40" s="40"/>
      <c r="T40" s="40"/>
      <c r="U40" s="40"/>
    </row>
    <row r="41" spans="8:21" x14ac:dyDescent="0.25">
      <c r="H41" s="34"/>
      <c r="I41" s="35"/>
    </row>
    <row r="42" spans="8:21" x14ac:dyDescent="0.25">
      <c r="H42" s="34"/>
      <c r="I42" s="35"/>
    </row>
  </sheetData>
  <mergeCells count="18">
    <mergeCell ref="N15:O15"/>
    <mergeCell ref="N32:O32"/>
    <mergeCell ref="L13:O14"/>
    <mergeCell ref="L2:M2"/>
    <mergeCell ref="O7:P8"/>
    <mergeCell ref="L32:M32"/>
    <mergeCell ref="L7:M8"/>
    <mergeCell ref="B10:C10"/>
    <mergeCell ref="L15:M15"/>
    <mergeCell ref="B7:C7"/>
    <mergeCell ref="B8:C8"/>
    <mergeCell ref="B9:C9"/>
    <mergeCell ref="B6:C6"/>
    <mergeCell ref="B2:C2"/>
    <mergeCell ref="G2:J2"/>
    <mergeCell ref="B3:C3"/>
    <mergeCell ref="B4:C4"/>
    <mergeCell ref="B5:C5"/>
  </mergeCells>
  <pageMargins left="0.7" right="0.7" top="0.75" bottom="0.75" header="0.3" footer="0.3"/>
  <pageSetup paperSize="9" scale="31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8DF3-AC7E-468B-8EF3-8F42021975A3}">
  <dimension ref="B2:F22"/>
  <sheetViews>
    <sheetView zoomScale="140" zoomScaleNormal="140" workbookViewId="0">
      <selection activeCell="I18" sqref="I18"/>
    </sheetView>
  </sheetViews>
  <sheetFormatPr baseColWidth="10" defaultRowHeight="15" x14ac:dyDescent="0.25"/>
  <cols>
    <col min="1" max="1" width="2.85546875" customWidth="1"/>
    <col min="2" max="2" width="13.5703125" customWidth="1"/>
  </cols>
  <sheetData>
    <row r="2" spans="2:6" x14ac:dyDescent="0.25">
      <c r="B2" s="19" t="s">
        <v>153</v>
      </c>
    </row>
    <row r="4" spans="2:6" x14ac:dyDescent="0.25">
      <c r="B4" t="s">
        <v>154</v>
      </c>
      <c r="C4" t="s">
        <v>155</v>
      </c>
      <c r="D4" t="s">
        <v>156</v>
      </c>
      <c r="E4" t="s">
        <v>157</v>
      </c>
    </row>
    <row r="5" spans="2:6" x14ac:dyDescent="0.25">
      <c r="B5" t="s">
        <v>162</v>
      </c>
      <c r="C5" t="s">
        <v>158</v>
      </c>
      <c r="D5" t="s">
        <v>159</v>
      </c>
      <c r="E5" t="s">
        <v>160</v>
      </c>
      <c r="F5" t="s">
        <v>161</v>
      </c>
    </row>
    <row r="6" spans="2:6" x14ac:dyDescent="0.25">
      <c r="B6" t="s">
        <v>163</v>
      </c>
      <c r="C6" t="s">
        <v>158</v>
      </c>
      <c r="D6" t="s">
        <v>159</v>
      </c>
      <c r="E6" t="s">
        <v>160</v>
      </c>
      <c r="F6" t="s">
        <v>170</v>
      </c>
    </row>
    <row r="7" spans="2:6" x14ac:dyDescent="0.25">
      <c r="B7" t="s">
        <v>164</v>
      </c>
      <c r="C7" t="s">
        <v>158</v>
      </c>
      <c r="D7" t="s">
        <v>159</v>
      </c>
      <c r="E7" t="s">
        <v>160</v>
      </c>
      <c r="F7" t="s">
        <v>171</v>
      </c>
    </row>
    <row r="8" spans="2:6" x14ac:dyDescent="0.25">
      <c r="B8" t="s">
        <v>165</v>
      </c>
      <c r="C8" t="s">
        <v>158</v>
      </c>
      <c r="D8" t="s">
        <v>159</v>
      </c>
      <c r="E8" t="s">
        <v>160</v>
      </c>
      <c r="F8" t="s">
        <v>172</v>
      </c>
    </row>
    <row r="9" spans="2:6" x14ac:dyDescent="0.25">
      <c r="B9" t="s">
        <v>166</v>
      </c>
      <c r="C9" t="s">
        <v>173</v>
      </c>
      <c r="D9" t="s">
        <v>174</v>
      </c>
      <c r="E9" t="s">
        <v>161</v>
      </c>
    </row>
    <row r="10" spans="2:6" x14ac:dyDescent="0.25">
      <c r="B10" t="s">
        <v>167</v>
      </c>
      <c r="C10" t="s">
        <v>173</v>
      </c>
      <c r="D10" t="s">
        <v>174</v>
      </c>
      <c r="E10" t="s">
        <v>170</v>
      </c>
    </row>
    <row r="11" spans="2:6" x14ac:dyDescent="0.25">
      <c r="B11" t="s">
        <v>168</v>
      </c>
      <c r="C11" t="s">
        <v>173</v>
      </c>
      <c r="D11" t="s">
        <v>174</v>
      </c>
      <c r="E11" t="s">
        <v>171</v>
      </c>
    </row>
    <row r="12" spans="2:6" x14ac:dyDescent="0.25">
      <c r="B12" t="s">
        <v>169</v>
      </c>
      <c r="C12" t="s">
        <v>173</v>
      </c>
      <c r="D12" t="s">
        <v>174</v>
      </c>
      <c r="E12" t="s">
        <v>172</v>
      </c>
    </row>
    <row r="14" spans="2:6" x14ac:dyDescent="0.25">
      <c r="B14" s="19" t="s">
        <v>175</v>
      </c>
      <c r="C14" t="s">
        <v>176</v>
      </c>
    </row>
    <row r="16" spans="2:6" x14ac:dyDescent="0.25">
      <c r="B16" s="19" t="s">
        <v>189</v>
      </c>
    </row>
    <row r="18" spans="2:6" x14ac:dyDescent="0.25">
      <c r="B18" t="s">
        <v>177</v>
      </c>
      <c r="C18" t="s">
        <v>182</v>
      </c>
      <c r="D18" t="s">
        <v>183</v>
      </c>
      <c r="E18" t="s">
        <v>184</v>
      </c>
    </row>
    <row r="19" spans="2:6" x14ac:dyDescent="0.25">
      <c r="B19" t="s">
        <v>178</v>
      </c>
      <c r="C19" t="s">
        <v>182</v>
      </c>
      <c r="D19" t="s">
        <v>183</v>
      </c>
      <c r="E19" t="s">
        <v>184</v>
      </c>
      <c r="F19" t="s">
        <v>185</v>
      </c>
    </row>
    <row r="20" spans="2:6" x14ac:dyDescent="0.25">
      <c r="B20" t="s">
        <v>179</v>
      </c>
      <c r="C20" t="s">
        <v>182</v>
      </c>
      <c r="D20" t="s">
        <v>183</v>
      </c>
      <c r="E20" t="s">
        <v>184</v>
      </c>
      <c r="F20" t="s">
        <v>186</v>
      </c>
    </row>
    <row r="21" spans="2:6" x14ac:dyDescent="0.25">
      <c r="B21" t="s">
        <v>180</v>
      </c>
      <c r="C21" t="s">
        <v>182</v>
      </c>
      <c r="D21" t="s">
        <v>183</v>
      </c>
      <c r="E21" t="s">
        <v>184</v>
      </c>
      <c r="F21" t="s">
        <v>187</v>
      </c>
    </row>
    <row r="22" spans="2:6" x14ac:dyDescent="0.25">
      <c r="B22" t="s">
        <v>181</v>
      </c>
      <c r="C22" t="s">
        <v>182</v>
      </c>
      <c r="D22" t="s">
        <v>183</v>
      </c>
      <c r="E22" t="s">
        <v>184</v>
      </c>
      <c r="F22" t="s">
        <v>188</v>
      </c>
    </row>
  </sheetData>
  <phoneticPr fontId="2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E2CC-BD1B-4CDE-B91B-1F2593E8F6A6}">
  <dimension ref="B2:M25"/>
  <sheetViews>
    <sheetView showGridLines="0" workbookViewId="0">
      <selection activeCell="N25" sqref="N25"/>
    </sheetView>
  </sheetViews>
  <sheetFormatPr baseColWidth="10" defaultRowHeight="15" x14ac:dyDescent="0.25"/>
  <cols>
    <col min="1" max="1" width="4.140625" customWidth="1"/>
    <col min="7" max="7" width="11.42578125" style="19"/>
    <col min="8" max="8" width="15" customWidth="1"/>
    <col min="10" max="10" width="13.28515625" customWidth="1"/>
    <col min="12" max="12" width="11.42578125" style="30"/>
    <col min="13" max="13" width="11.42578125" style="54"/>
  </cols>
  <sheetData>
    <row r="2" spans="2:10" x14ac:dyDescent="0.25">
      <c r="B2" s="107" t="s">
        <v>142</v>
      </c>
      <c r="C2" s="107"/>
      <c r="D2" s="107"/>
      <c r="E2" s="107"/>
      <c r="F2" s="107"/>
      <c r="G2" s="107"/>
      <c r="H2" s="107"/>
    </row>
    <row r="4" spans="2:10" ht="18.75" x14ac:dyDescent="0.25">
      <c r="G4" s="18" t="s">
        <v>129</v>
      </c>
      <c r="H4" s="36">
        <v>15</v>
      </c>
      <c r="I4" s="18" t="s">
        <v>129</v>
      </c>
      <c r="J4" s="36">
        <v>15</v>
      </c>
    </row>
    <row r="5" spans="2:10" x14ac:dyDescent="0.25">
      <c r="G5" s="7" t="s">
        <v>126</v>
      </c>
      <c r="H5" s="58">
        <v>2</v>
      </c>
      <c r="I5" s="7" t="s">
        <v>126</v>
      </c>
      <c r="J5" s="58">
        <v>2</v>
      </c>
    </row>
    <row r="6" spans="2:10" ht="18.75" x14ac:dyDescent="0.25">
      <c r="G6" s="8" t="s">
        <v>130</v>
      </c>
      <c r="H6" s="59">
        <f>AVERAGE(2.2,1.8,2.4)</f>
        <v>2.1333333333333333</v>
      </c>
      <c r="I6" s="8" t="s">
        <v>130</v>
      </c>
      <c r="J6" s="59">
        <f>AVERAGE(2.2,1.8,2.4)</f>
        <v>2.1333333333333333</v>
      </c>
    </row>
    <row r="7" spans="2:10" x14ac:dyDescent="0.25">
      <c r="G7" s="18" t="s">
        <v>28</v>
      </c>
      <c r="H7" s="60">
        <v>0.25</v>
      </c>
      <c r="I7" s="18" t="s">
        <v>28</v>
      </c>
      <c r="J7" s="60">
        <v>0.25</v>
      </c>
    </row>
    <row r="8" spans="2:10" ht="18.75" x14ac:dyDescent="0.25">
      <c r="G8" s="63" t="s">
        <v>131</v>
      </c>
      <c r="H8" s="61">
        <f>H4-H7-H5*H6</f>
        <v>10.483333333333334</v>
      </c>
      <c r="I8" s="63" t="s">
        <v>131</v>
      </c>
      <c r="J8" s="61">
        <f>1.3*J4-J7-J5*J6</f>
        <v>14.983333333333334</v>
      </c>
    </row>
    <row r="10" spans="2:10" x14ac:dyDescent="0.25">
      <c r="G10" s="7" t="s">
        <v>127</v>
      </c>
      <c r="H10" s="62">
        <f>27.2947+13.6641+23.5609+1.1237</f>
        <v>65.6434</v>
      </c>
    </row>
    <row r="11" spans="2:10" x14ac:dyDescent="0.25">
      <c r="G11" s="7" t="s">
        <v>128</v>
      </c>
      <c r="H11" s="64">
        <f>H10/H8</f>
        <v>6.2616915739268677</v>
      </c>
    </row>
    <row r="12" spans="2:10" x14ac:dyDescent="0.25">
      <c r="G12" s="7" t="s">
        <v>133</v>
      </c>
      <c r="H12" s="58">
        <v>0.4</v>
      </c>
    </row>
    <row r="13" spans="2:10" x14ac:dyDescent="0.25">
      <c r="G13" s="7" t="s">
        <v>134</v>
      </c>
      <c r="H13" s="58">
        <v>0.35</v>
      </c>
    </row>
    <row r="14" spans="2:10" x14ac:dyDescent="0.25">
      <c r="G14" s="7" t="s">
        <v>132</v>
      </c>
      <c r="H14" s="58">
        <f>SQRT(H11)+(H12-H13)/2</f>
        <v>2.5273372222637915</v>
      </c>
    </row>
    <row r="15" spans="2:10" x14ac:dyDescent="0.25">
      <c r="G15" s="7" t="s">
        <v>88</v>
      </c>
      <c r="H15" s="58">
        <f>SQRT(H11)-(H12-H13)/2</f>
        <v>2.4773372222637917</v>
      </c>
    </row>
    <row r="19" spans="3:13" x14ac:dyDescent="0.25">
      <c r="C19" t="s">
        <v>220</v>
      </c>
      <c r="E19">
        <v>0.37380000000000002</v>
      </c>
      <c r="F19" t="s">
        <v>221</v>
      </c>
      <c r="G19" s="19" t="s">
        <v>132</v>
      </c>
      <c r="H19">
        <v>0.85</v>
      </c>
      <c r="I19" t="s">
        <v>223</v>
      </c>
      <c r="J19" t="s">
        <v>192</v>
      </c>
      <c r="L19" s="81">
        <f>I25</f>
        <v>0.63823675369553745</v>
      </c>
      <c r="M19" s="82" t="s">
        <v>223</v>
      </c>
    </row>
    <row r="20" spans="3:13" x14ac:dyDescent="0.25">
      <c r="G20" s="19" t="s">
        <v>222</v>
      </c>
      <c r="H20">
        <v>0.78</v>
      </c>
      <c r="I20" t="s">
        <v>223</v>
      </c>
      <c r="J20">
        <f>H20/H19</f>
        <v>0.91764705882352948</v>
      </c>
      <c r="K20" t="s">
        <v>192</v>
      </c>
      <c r="L20" s="81">
        <f>E19/L19</f>
        <v>0.58567607997441717</v>
      </c>
      <c r="M20" s="82" t="s">
        <v>223</v>
      </c>
    </row>
    <row r="22" spans="3:13" x14ac:dyDescent="0.25">
      <c r="H22" t="s">
        <v>224</v>
      </c>
    </row>
    <row r="23" spans="3:13" x14ac:dyDescent="0.25">
      <c r="H23" t="s">
        <v>225</v>
      </c>
    </row>
    <row r="24" spans="3:13" x14ac:dyDescent="0.25">
      <c r="H24" t="s">
        <v>226</v>
      </c>
      <c r="K24" s="51"/>
    </row>
    <row r="25" spans="3:13" x14ac:dyDescent="0.25">
      <c r="H25" t="s">
        <v>216</v>
      </c>
      <c r="I25">
        <f>SQRT(0.3738/0.917647059)</f>
        <v>0.63823675369553745</v>
      </c>
    </row>
  </sheetData>
  <mergeCells count="1">
    <mergeCell ref="B2:H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4543-8060-49F3-B9E2-154B88551DB0}">
  <dimension ref="B2:AB62"/>
  <sheetViews>
    <sheetView showGridLines="0" zoomScale="120" zoomScaleNormal="120" workbookViewId="0">
      <selection activeCell="E2" sqref="E2"/>
    </sheetView>
  </sheetViews>
  <sheetFormatPr baseColWidth="10" defaultRowHeight="15" x14ac:dyDescent="0.25"/>
  <cols>
    <col min="1" max="1" width="3.42578125" customWidth="1"/>
    <col min="2" max="2" width="27" customWidth="1"/>
    <col min="3" max="3" width="22.7109375" customWidth="1"/>
    <col min="4" max="5" width="15.7109375" customWidth="1"/>
    <col min="6" max="6" width="3.85546875" customWidth="1"/>
    <col min="7" max="10" width="15.7109375" customWidth="1"/>
    <col min="11" max="11" width="3.7109375" customWidth="1"/>
    <col min="12" max="12" width="18.5703125" customWidth="1"/>
    <col min="13" max="13" width="15.42578125" customWidth="1"/>
    <col min="14" max="14" width="15.140625" customWidth="1"/>
    <col min="15" max="15" width="15.42578125" customWidth="1"/>
    <col min="16" max="16" width="15.140625" customWidth="1"/>
    <col min="17" max="17" width="15.5703125" customWidth="1"/>
  </cols>
  <sheetData>
    <row r="2" spans="2:28" ht="17.100000000000001" customHeight="1" x14ac:dyDescent="0.25">
      <c r="B2" s="98" t="s">
        <v>8</v>
      </c>
      <c r="C2" s="98"/>
      <c r="D2" s="3" t="s">
        <v>30</v>
      </c>
      <c r="E2" s="4" t="s">
        <v>11</v>
      </c>
      <c r="G2" s="99" t="s">
        <v>31</v>
      </c>
      <c r="H2" s="99"/>
      <c r="I2" s="99"/>
      <c r="J2" s="99"/>
      <c r="L2" s="99" t="s">
        <v>40</v>
      </c>
      <c r="M2" s="99"/>
      <c r="O2" s="8" t="s">
        <v>55</v>
      </c>
      <c r="P2" s="8" t="s">
        <v>56</v>
      </c>
      <c r="Q2" s="18" t="s">
        <v>52</v>
      </c>
      <c r="S2" s="106" t="s">
        <v>150</v>
      </c>
      <c r="T2" s="106"/>
      <c r="X2" s="106" t="s">
        <v>150</v>
      </c>
      <c r="Y2" s="106"/>
    </row>
    <row r="3" spans="2:28" ht="17.100000000000001" customHeight="1" x14ac:dyDescent="0.25">
      <c r="B3" s="98" t="s">
        <v>27</v>
      </c>
      <c r="C3" s="98"/>
      <c r="D3" s="3" t="s">
        <v>28</v>
      </c>
      <c r="E3" s="4" t="s">
        <v>29</v>
      </c>
      <c r="G3" s="7" t="s">
        <v>0</v>
      </c>
      <c r="H3" s="7" t="s">
        <v>1</v>
      </c>
      <c r="I3" s="7" t="s">
        <v>2</v>
      </c>
      <c r="J3" s="7" t="s">
        <v>3</v>
      </c>
      <c r="L3" s="7" t="s">
        <v>63</v>
      </c>
      <c r="M3" s="37">
        <v>3.4</v>
      </c>
      <c r="O3" s="8" t="s">
        <v>57</v>
      </c>
      <c r="P3" s="14">
        <v>0.71</v>
      </c>
      <c r="Q3" s="15">
        <v>0.95</v>
      </c>
      <c r="S3" s="106"/>
      <c r="T3" s="106"/>
      <c r="X3" s="106"/>
      <c r="Y3" s="106"/>
    </row>
    <row r="4" spans="2:28" ht="17.100000000000001" customHeight="1" x14ac:dyDescent="0.25">
      <c r="B4" s="98" t="s">
        <v>16</v>
      </c>
      <c r="C4" s="98"/>
      <c r="D4" s="4" t="s">
        <v>9</v>
      </c>
      <c r="E4" s="4" t="s">
        <v>10</v>
      </c>
      <c r="G4" s="7" t="s">
        <v>4</v>
      </c>
      <c r="H4" s="1">
        <v>24.5</v>
      </c>
      <c r="I4" s="1">
        <v>-1.1000000000000001</v>
      </c>
      <c r="J4" s="1">
        <v>-0.98</v>
      </c>
      <c r="L4" s="7" t="s">
        <v>35</v>
      </c>
      <c r="M4" s="37">
        <v>0.7</v>
      </c>
      <c r="O4" s="8" t="s">
        <v>58</v>
      </c>
      <c r="P4" s="14">
        <v>1.29</v>
      </c>
      <c r="Q4" s="15">
        <v>1.27</v>
      </c>
      <c r="S4" s="8" t="s">
        <v>104</v>
      </c>
      <c r="T4" s="68">
        <f>22.55*1000</f>
        <v>22550</v>
      </c>
      <c r="X4" s="8" t="s">
        <v>104</v>
      </c>
      <c r="Y4" s="68">
        <f>16.5*1000</f>
        <v>16500</v>
      </c>
    </row>
    <row r="5" spans="2:28" ht="17.100000000000001" customHeight="1" x14ac:dyDescent="0.25">
      <c r="B5" s="98" t="s">
        <v>17</v>
      </c>
      <c r="C5" s="98"/>
      <c r="D5" s="4" t="s">
        <v>12</v>
      </c>
      <c r="E5" s="4" t="s">
        <v>13</v>
      </c>
      <c r="G5" s="7" t="s">
        <v>5</v>
      </c>
      <c r="H5" s="1">
        <v>10.5</v>
      </c>
      <c r="I5" s="1">
        <v>-0.48</v>
      </c>
      <c r="J5" s="1">
        <v>-0.41</v>
      </c>
      <c r="L5" s="7" t="s">
        <v>34</v>
      </c>
      <c r="M5" s="37">
        <v>2.4</v>
      </c>
      <c r="O5" s="8" t="s">
        <v>59</v>
      </c>
      <c r="P5" s="14">
        <v>1.98</v>
      </c>
      <c r="Q5" s="15">
        <v>1.59</v>
      </c>
      <c r="S5" s="18" t="s">
        <v>151</v>
      </c>
      <c r="T5" s="68">
        <f>0.85*0.53*SQRT(210)*M26*M28</f>
        <v>96679.866277605717</v>
      </c>
      <c r="X5" s="18" t="s">
        <v>151</v>
      </c>
      <c r="Y5" s="68">
        <f>0.85*0.53*SQRT(210)*M47*M49</f>
        <v>42297.441496452499</v>
      </c>
    </row>
    <row r="6" spans="2:28" ht="17.100000000000001" customHeight="1" x14ac:dyDescent="0.25">
      <c r="B6" s="98" t="s">
        <v>18</v>
      </c>
      <c r="C6" s="98"/>
      <c r="D6" s="5" t="s">
        <v>14</v>
      </c>
      <c r="E6" s="4" t="s">
        <v>15</v>
      </c>
      <c r="G6" s="7" t="s">
        <v>6</v>
      </c>
      <c r="H6" s="1">
        <v>-3.58</v>
      </c>
      <c r="I6" s="1">
        <v>0.62</v>
      </c>
      <c r="J6" s="1">
        <v>7.3</v>
      </c>
      <c r="L6" s="12" t="s">
        <v>66</v>
      </c>
      <c r="M6" s="38">
        <f>(M5*M4^3)/12</f>
        <v>6.859999999999998E-2</v>
      </c>
      <c r="O6" s="8" t="s">
        <v>60</v>
      </c>
      <c r="P6" s="14">
        <v>2.85</v>
      </c>
      <c r="Q6" s="15">
        <v>1.91</v>
      </c>
      <c r="S6" s="8" t="s">
        <v>152</v>
      </c>
      <c r="T6" s="17" t="str">
        <f>IF(T4&lt;T5,"CUMPLE","NO CUMPLE")</f>
        <v>CUMPLE</v>
      </c>
      <c r="X6" s="8" t="s">
        <v>152</v>
      </c>
      <c r="Y6" s="17" t="str">
        <f>IF(Y4&lt;Y5,"CUMPLE","NO CUMPLE")</f>
        <v>CUMPLE</v>
      </c>
    </row>
    <row r="7" spans="2:28" ht="17.100000000000001" customHeight="1" x14ac:dyDescent="0.25">
      <c r="B7" s="98" t="s">
        <v>19</v>
      </c>
      <c r="C7" s="98"/>
      <c r="D7" s="6" t="s">
        <v>20</v>
      </c>
      <c r="E7" s="4" t="s">
        <v>21</v>
      </c>
      <c r="G7" s="7" t="s">
        <v>7</v>
      </c>
      <c r="H7" s="1">
        <v>-1.0900000000000001</v>
      </c>
      <c r="I7" s="1">
        <v>7.85</v>
      </c>
      <c r="J7" s="1">
        <v>0.44</v>
      </c>
      <c r="L7" s="108"/>
      <c r="M7" s="109" t="str">
        <f>IF(OR(M3&lt;1.75*((4*E10*M6)/(E9*M5))^(1/4),M3=1.75*((4*E10*M6)/(E9*M5))^(1/4)),"CUMPLE","NO CUMPLE")</f>
        <v>CUMPLE</v>
      </c>
      <c r="O7" s="8" t="s">
        <v>61</v>
      </c>
      <c r="P7" s="14">
        <v>5.07</v>
      </c>
      <c r="Q7" s="15">
        <v>2.54</v>
      </c>
    </row>
    <row r="8" spans="2:28" ht="15.6" customHeight="1" x14ac:dyDescent="0.25">
      <c r="B8" s="98" t="s">
        <v>24</v>
      </c>
      <c r="C8" s="98"/>
      <c r="D8" s="6" t="s">
        <v>253</v>
      </c>
      <c r="E8" s="4" t="s">
        <v>22</v>
      </c>
      <c r="L8" s="108"/>
      <c r="M8" s="109"/>
      <c r="X8" s="106" t="s">
        <v>150</v>
      </c>
      <c r="Y8" s="106"/>
    </row>
    <row r="9" spans="2:28" s="2" customFormat="1" ht="17.100000000000001" customHeight="1" x14ac:dyDescent="0.25">
      <c r="B9" s="98" t="s">
        <v>26</v>
      </c>
      <c r="C9" s="98"/>
      <c r="D9" s="6" t="s">
        <v>25</v>
      </c>
      <c r="E9" s="39">
        <v>4800</v>
      </c>
      <c r="G9" s="99" t="s">
        <v>32</v>
      </c>
      <c r="H9" s="99"/>
      <c r="I9" s="99"/>
      <c r="J9" s="99"/>
      <c r="L9" s="108"/>
      <c r="M9" s="109"/>
      <c r="X9" s="106"/>
      <c r="Y9" s="106"/>
      <c r="Z9"/>
      <c r="AA9"/>
      <c r="AB9"/>
    </row>
    <row r="10" spans="2:28" s="2" customFormat="1" ht="17.100000000000001" customHeight="1" x14ac:dyDescent="0.25">
      <c r="B10" s="100" t="s">
        <v>64</v>
      </c>
      <c r="C10" s="101"/>
      <c r="D10" s="4" t="s">
        <v>65</v>
      </c>
      <c r="E10" s="36">
        <f>15000*SQRT(210)*10</f>
        <v>2173706.5119284154</v>
      </c>
      <c r="G10" s="7" t="s">
        <v>0</v>
      </c>
      <c r="H10" s="7" t="s">
        <v>1</v>
      </c>
      <c r="I10" s="7" t="s">
        <v>2</v>
      </c>
      <c r="J10" s="7" t="s">
        <v>3</v>
      </c>
      <c r="X10" s="8" t="s">
        <v>104</v>
      </c>
      <c r="Y10" s="68">
        <f>6.7*1000</f>
        <v>6700</v>
      </c>
      <c r="Z10"/>
      <c r="AA10"/>
      <c r="AB10"/>
    </row>
    <row r="11" spans="2:28" s="2" customFormat="1" ht="17.100000000000001" customHeight="1" x14ac:dyDescent="0.25">
      <c r="G11" s="7" t="s">
        <v>4</v>
      </c>
      <c r="H11" s="1">
        <v>28.6</v>
      </c>
      <c r="I11" s="1">
        <v>-1.86</v>
      </c>
      <c r="J11" s="1">
        <v>-1.59</v>
      </c>
      <c r="L11" s="106" t="s">
        <v>43</v>
      </c>
      <c r="M11" s="106"/>
      <c r="N11" s="106"/>
      <c r="O11" s="106"/>
      <c r="X11" s="18" t="s">
        <v>151</v>
      </c>
      <c r="Y11" s="68">
        <f>0.85*0.53*SQRT(210)*Q47*Q49</f>
        <v>68481.57194663737</v>
      </c>
      <c r="Z11"/>
      <c r="AA11"/>
      <c r="AB11"/>
    </row>
    <row r="12" spans="2:28" s="2" customFormat="1" ht="17.100000000000001" customHeight="1" x14ac:dyDescent="0.25">
      <c r="G12" s="7" t="s">
        <v>5</v>
      </c>
      <c r="H12" s="1">
        <v>12.4</v>
      </c>
      <c r="I12" s="1">
        <v>-0.99</v>
      </c>
      <c r="J12" s="1">
        <v>-0.9</v>
      </c>
      <c r="L12" s="106"/>
      <c r="M12" s="106"/>
      <c r="N12" s="106"/>
      <c r="O12" s="106"/>
      <c r="X12" s="8" t="s">
        <v>152</v>
      </c>
      <c r="Y12" s="17" t="str">
        <f>IF(Y10&lt;Y11,"CUMPLE","NO CUMPLE")</f>
        <v>CUMPLE</v>
      </c>
      <c r="Z12"/>
      <c r="AA12"/>
      <c r="AB12"/>
    </row>
    <row r="13" spans="2:28" s="2" customFormat="1" ht="17.100000000000001" customHeight="1" x14ac:dyDescent="0.25">
      <c r="G13" s="7" t="s">
        <v>6</v>
      </c>
      <c r="H13" s="1">
        <v>-4.72</v>
      </c>
      <c r="I13" s="1">
        <v>1.08</v>
      </c>
      <c r="J13" s="1">
        <v>9.8699999999999992</v>
      </c>
      <c r="L13" s="99" t="s">
        <v>67</v>
      </c>
      <c r="M13" s="99"/>
      <c r="N13" s="99" t="s">
        <v>68</v>
      </c>
      <c r="O13" s="99"/>
    </row>
    <row r="14" spans="2:28" s="2" customFormat="1" ht="17.100000000000001" customHeight="1" x14ac:dyDescent="0.25">
      <c r="G14" s="7" t="s">
        <v>7</v>
      </c>
      <c r="H14" s="1">
        <v>-1.95</v>
      </c>
      <c r="I14" s="1">
        <v>10.32</v>
      </c>
      <c r="J14" s="1">
        <v>0.98</v>
      </c>
      <c r="L14" s="8" t="s">
        <v>69</v>
      </c>
      <c r="M14" s="41">
        <v>11.17</v>
      </c>
      <c r="N14" s="8" t="s">
        <v>69</v>
      </c>
      <c r="O14" s="41">
        <v>3.5</v>
      </c>
      <c r="P14" s="2" t="s">
        <v>71</v>
      </c>
      <c r="X14" s="106" t="s">
        <v>150</v>
      </c>
      <c r="Y14" s="106"/>
      <c r="Z14"/>
      <c r="AA14"/>
      <c r="AB14"/>
    </row>
    <row r="15" spans="2:28" s="2" customFormat="1" ht="17.100000000000001" customHeight="1" x14ac:dyDescent="0.25">
      <c r="L15" s="18" t="s">
        <v>70</v>
      </c>
      <c r="M15" s="41">
        <v>11.53</v>
      </c>
      <c r="N15" s="18" t="s">
        <v>70</v>
      </c>
      <c r="O15" s="41">
        <v>11.53</v>
      </c>
      <c r="P15" s="2" t="s">
        <v>72</v>
      </c>
      <c r="X15" s="106"/>
      <c r="Y15" s="106"/>
      <c r="Z15"/>
      <c r="AA15"/>
      <c r="AB15"/>
    </row>
    <row r="16" spans="2:28" s="2" customFormat="1" ht="17.100000000000001" customHeight="1" x14ac:dyDescent="0.25">
      <c r="L16" s="8" t="s">
        <v>73</v>
      </c>
      <c r="M16" s="17" t="str">
        <f>IF(OR(M14&lt;M15,M14=M15),"CUMPLE","NO CUMPLE")</f>
        <v>CUMPLE</v>
      </c>
      <c r="N16" s="8" t="s">
        <v>73</v>
      </c>
      <c r="O16" s="17" t="str">
        <f>IF(OR(O14&lt;O15,O14=O15),"CUMPLE","NO CUMPLE")</f>
        <v>CUMPLE</v>
      </c>
      <c r="X16" s="8" t="s">
        <v>104</v>
      </c>
      <c r="Y16" s="68">
        <f>20.26*1000</f>
        <v>20260</v>
      </c>
      <c r="Z16"/>
      <c r="AA16"/>
      <c r="AB16"/>
    </row>
    <row r="17" spans="12:25" ht="18" customHeight="1" x14ac:dyDescent="0.25">
      <c r="X17" s="18" t="s">
        <v>151</v>
      </c>
      <c r="Y17" s="68">
        <f>0.85*0.53*SQRT(210)*O47*O49</f>
        <v>62439.080304287025</v>
      </c>
    </row>
    <row r="18" spans="12:25" ht="15" customHeight="1" x14ac:dyDescent="0.25">
      <c r="L18" s="110" t="s">
        <v>77</v>
      </c>
      <c r="M18" s="111"/>
      <c r="N18" s="111"/>
      <c r="O18" s="111"/>
      <c r="P18" s="111"/>
      <c r="Q18" s="112"/>
      <c r="R18" s="2"/>
      <c r="S18" s="2"/>
      <c r="T18" s="2"/>
      <c r="U18" s="2"/>
      <c r="X18" s="8" t="s">
        <v>152</v>
      </c>
      <c r="Y18" s="17" t="str">
        <f>IF(Y16&lt;Y17,"CUMPLE","NO CUMPLE")</f>
        <v>CUMPLE</v>
      </c>
    </row>
    <row r="19" spans="12:25" x14ac:dyDescent="0.25">
      <c r="L19" s="113"/>
      <c r="M19" s="114"/>
      <c r="N19" s="114"/>
      <c r="O19" s="114"/>
      <c r="P19" s="114"/>
      <c r="Q19" s="115"/>
      <c r="R19" s="2"/>
      <c r="S19" s="2"/>
      <c r="T19" s="2"/>
      <c r="U19" s="2"/>
    </row>
    <row r="20" spans="12:25" x14ac:dyDescent="0.25">
      <c r="L20" s="102" t="s">
        <v>74</v>
      </c>
      <c r="M20" s="103"/>
      <c r="N20" s="102" t="s">
        <v>75</v>
      </c>
      <c r="O20" s="103"/>
      <c r="P20" s="106" t="s">
        <v>76</v>
      </c>
      <c r="Q20" s="106"/>
      <c r="R20" s="94"/>
      <c r="S20" s="94"/>
      <c r="T20" s="94"/>
      <c r="U20" s="94"/>
      <c r="V20" s="40"/>
      <c r="W20" s="40"/>
      <c r="X20" s="40"/>
    </row>
    <row r="21" spans="12:25" x14ac:dyDescent="0.25">
      <c r="L21" s="8" t="s">
        <v>44</v>
      </c>
      <c r="M21" s="4" t="s">
        <v>46</v>
      </c>
      <c r="N21" s="8" t="s">
        <v>44</v>
      </c>
      <c r="O21" s="4" t="s">
        <v>46</v>
      </c>
      <c r="P21" s="8" t="s">
        <v>44</v>
      </c>
      <c r="Q21" s="4" t="s">
        <v>46</v>
      </c>
      <c r="R21" s="94"/>
      <c r="S21" s="94"/>
      <c r="T21" s="94"/>
      <c r="U21" s="94"/>
      <c r="V21" s="40"/>
      <c r="W21" s="40"/>
      <c r="X21" s="40"/>
    </row>
    <row r="22" spans="12:25" x14ac:dyDescent="0.25">
      <c r="L22" s="7" t="s">
        <v>47</v>
      </c>
      <c r="M22" s="20">
        <v>26.2</v>
      </c>
      <c r="N22" s="7" t="s">
        <v>47</v>
      </c>
      <c r="O22" s="20">
        <v>20.16</v>
      </c>
      <c r="P22" s="7" t="s">
        <v>47</v>
      </c>
      <c r="Q22" s="20">
        <v>31.7</v>
      </c>
      <c r="R22" s="94"/>
      <c r="S22" s="94"/>
      <c r="T22" s="94"/>
      <c r="U22" s="94"/>
      <c r="V22" s="40"/>
      <c r="W22" s="40"/>
      <c r="X22" s="40"/>
    </row>
    <row r="23" spans="12:25" x14ac:dyDescent="0.25">
      <c r="L23" s="7" t="s">
        <v>48</v>
      </c>
      <c r="M23" s="21">
        <v>210</v>
      </c>
      <c r="N23" s="7" t="s">
        <v>48</v>
      </c>
      <c r="O23" s="21">
        <v>210</v>
      </c>
      <c r="P23" s="7" t="s">
        <v>48</v>
      </c>
      <c r="Q23" s="21">
        <v>210</v>
      </c>
      <c r="R23" s="94"/>
      <c r="S23" s="94"/>
      <c r="T23" s="94"/>
      <c r="U23" s="94"/>
      <c r="V23" s="40"/>
      <c r="W23" s="40"/>
      <c r="X23" s="40"/>
    </row>
    <row r="24" spans="12:25" x14ac:dyDescent="0.25">
      <c r="L24" s="7" t="s">
        <v>253</v>
      </c>
      <c r="M24" s="21">
        <v>4200</v>
      </c>
      <c r="N24" s="7" t="s">
        <v>253</v>
      </c>
      <c r="O24" s="21">
        <v>4200</v>
      </c>
      <c r="P24" s="7" t="s">
        <v>253</v>
      </c>
      <c r="Q24" s="21">
        <v>4200</v>
      </c>
      <c r="R24" s="40"/>
      <c r="S24" s="40"/>
      <c r="T24" s="40"/>
      <c r="U24" s="40"/>
      <c r="V24" s="40"/>
      <c r="W24" s="40"/>
      <c r="X24" s="40"/>
    </row>
    <row r="25" spans="12:25" x14ac:dyDescent="0.25">
      <c r="L25" s="7" t="s">
        <v>35</v>
      </c>
      <c r="M25" s="16">
        <v>70</v>
      </c>
      <c r="N25" s="7" t="s">
        <v>35</v>
      </c>
      <c r="O25" s="16">
        <v>70</v>
      </c>
      <c r="P25" s="7" t="s">
        <v>35</v>
      </c>
      <c r="Q25" s="16">
        <v>70</v>
      </c>
      <c r="R25" s="40"/>
      <c r="S25" s="40"/>
      <c r="T25" s="40"/>
      <c r="U25" s="40"/>
      <c r="V25" s="40"/>
      <c r="W25" s="40"/>
      <c r="X25" s="40"/>
    </row>
    <row r="26" spans="12:25" x14ac:dyDescent="0.25">
      <c r="L26" s="7" t="s">
        <v>34</v>
      </c>
      <c r="M26" s="16">
        <v>240</v>
      </c>
      <c r="N26" s="7" t="s">
        <v>34</v>
      </c>
      <c r="O26" s="16">
        <v>240</v>
      </c>
      <c r="P26" s="7" t="s">
        <v>34</v>
      </c>
      <c r="Q26" s="16">
        <v>240</v>
      </c>
      <c r="R26" s="40"/>
      <c r="S26" s="40"/>
      <c r="T26" s="40"/>
      <c r="U26" s="40"/>
      <c r="V26" s="40"/>
      <c r="W26" s="40"/>
      <c r="X26" s="40"/>
    </row>
    <row r="27" spans="12:25" x14ac:dyDescent="0.25">
      <c r="L27" s="7" t="s">
        <v>50</v>
      </c>
      <c r="M27" s="67">
        <v>7.5</v>
      </c>
      <c r="N27" s="7" t="s">
        <v>50</v>
      </c>
      <c r="O27" s="67">
        <v>7.5</v>
      </c>
      <c r="P27" s="7" t="s">
        <v>50</v>
      </c>
      <c r="Q27" s="67">
        <v>7.5</v>
      </c>
      <c r="R27" s="40"/>
      <c r="S27" s="40"/>
      <c r="T27" s="40"/>
      <c r="U27" s="40"/>
      <c r="V27" s="40"/>
      <c r="W27" s="40"/>
      <c r="X27" s="40"/>
    </row>
    <row r="28" spans="12:25" x14ac:dyDescent="0.25">
      <c r="L28" s="7" t="s">
        <v>51</v>
      </c>
      <c r="M28" s="16">
        <f>M25-M27-Q5/2</f>
        <v>61.704999999999998</v>
      </c>
      <c r="N28" s="7" t="s">
        <v>51</v>
      </c>
      <c r="O28" s="16">
        <f>O25-O27-Q5/2</f>
        <v>61.704999999999998</v>
      </c>
      <c r="P28" s="7" t="s">
        <v>51</v>
      </c>
      <c r="Q28" s="16">
        <f>Q25-Q27-Q5/2</f>
        <v>61.704999999999998</v>
      </c>
      <c r="R28" s="26"/>
      <c r="S28" s="26"/>
      <c r="T28" s="26"/>
      <c r="U28" s="26"/>
      <c r="V28" s="26"/>
      <c r="W28" s="40"/>
      <c r="X28" s="40"/>
      <c r="Y28" s="42"/>
    </row>
    <row r="29" spans="12:25" x14ac:dyDescent="0.25">
      <c r="L29" s="11" t="s">
        <v>52</v>
      </c>
      <c r="M29" s="23">
        <v>0.9</v>
      </c>
      <c r="N29" s="11" t="s">
        <v>52</v>
      </c>
      <c r="O29" s="23">
        <v>0.9</v>
      </c>
      <c r="P29" s="11" t="s">
        <v>52</v>
      </c>
      <c r="Q29" s="22">
        <v>0.9</v>
      </c>
      <c r="R29" s="26"/>
      <c r="S29" s="26"/>
      <c r="T29" s="26"/>
      <c r="U29" s="26"/>
      <c r="V29" s="26"/>
      <c r="W29" s="40"/>
      <c r="X29" s="40"/>
      <c r="Y29" s="42"/>
    </row>
    <row r="30" spans="12:25" x14ac:dyDescent="0.25">
      <c r="L30" s="24" t="s">
        <v>54</v>
      </c>
      <c r="M30" s="25">
        <f>U31</f>
        <v>11.334896334997905</v>
      </c>
      <c r="N30" s="24" t="s">
        <v>54</v>
      </c>
      <c r="O30" s="25">
        <f>U34</f>
        <v>8.7034534005939239</v>
      </c>
      <c r="P30" s="7" t="s">
        <v>54</v>
      </c>
      <c r="Q30" s="25">
        <f>U37</f>
        <v>13.740862243730794</v>
      </c>
      <c r="R30" s="26"/>
      <c r="S30" s="27">
        <f>M28/5</f>
        <v>12.340999999999999</v>
      </c>
      <c r="T30" s="26"/>
      <c r="U30" s="26"/>
      <c r="V30" s="26"/>
      <c r="W30" s="40"/>
      <c r="X30" s="40"/>
      <c r="Y30" s="42"/>
    </row>
    <row r="31" spans="12:25" x14ac:dyDescent="0.25">
      <c r="L31" s="24" t="s">
        <v>53</v>
      </c>
      <c r="M31" s="15">
        <f>U32</f>
        <v>1.1112643465684222</v>
      </c>
      <c r="N31" s="24" t="s">
        <v>53</v>
      </c>
      <c r="O31" s="15">
        <f>U35</f>
        <v>0.85327974515626714</v>
      </c>
      <c r="P31" s="7" t="s">
        <v>53</v>
      </c>
      <c r="Q31" s="15">
        <f>U38</f>
        <v>1.3471433572285092</v>
      </c>
      <c r="R31" s="28">
        <f>(M22*100000)/(M29*M24*(M28-S30/2))</f>
        <v>12.480920745152888</v>
      </c>
      <c r="S31" s="29">
        <f>(M22*100000)/(M29*M24*(M28-R32/2))</f>
        <v>11.345318378554673</v>
      </c>
      <c r="T31" s="29">
        <f>(M22*100000)/(M29*M24*(M28-S32/2))</f>
        <v>11.334990182670815</v>
      </c>
      <c r="U31" s="29">
        <f>(M22*100000)/(M29*M24*(M28-T32/2))</f>
        <v>11.334896334997905</v>
      </c>
      <c r="V31" s="26"/>
      <c r="W31" s="40"/>
      <c r="X31" s="40"/>
      <c r="Y31" s="42"/>
    </row>
    <row r="32" spans="12:25" x14ac:dyDescent="0.25">
      <c r="L32" s="11" t="s">
        <v>33</v>
      </c>
      <c r="M32" s="12">
        <v>1.8E-3</v>
      </c>
      <c r="N32" s="11" t="s">
        <v>33</v>
      </c>
      <c r="O32" s="12">
        <v>1.8E-3</v>
      </c>
      <c r="P32" s="11" t="s">
        <v>33</v>
      </c>
      <c r="Q32" s="12">
        <v>1.8E-3</v>
      </c>
      <c r="R32" s="28">
        <f>(R31*M24)/(0.85*M23*M26)</f>
        <v>1.2236196808973421</v>
      </c>
      <c r="S32" s="29">
        <f>(S31*M24)/(0.85*M23*M26)</f>
        <v>1.1122861155445758</v>
      </c>
      <c r="T32" s="29">
        <f>(T31*M24)/(0.85*M23*M26)</f>
        <v>1.1112735473206681</v>
      </c>
      <c r="U32" s="29">
        <f>(U31*M24)/(0.85*M23*M26)</f>
        <v>1.1112643465684222</v>
      </c>
      <c r="V32" s="26"/>
      <c r="W32" s="40"/>
      <c r="X32" s="40"/>
      <c r="Y32" s="42"/>
    </row>
    <row r="33" spans="12:25" x14ac:dyDescent="0.25">
      <c r="L33" s="13" t="s">
        <v>36</v>
      </c>
      <c r="M33" s="14">
        <f>M32*M26*M25</f>
        <v>30.24</v>
      </c>
      <c r="N33" s="13" t="s">
        <v>36</v>
      </c>
      <c r="O33" s="14">
        <f>O32*O26*O25</f>
        <v>30.24</v>
      </c>
      <c r="P33" s="13" t="s">
        <v>36</v>
      </c>
      <c r="Q33" s="14">
        <f>Q32*Q26*Q25</f>
        <v>30.24</v>
      </c>
      <c r="R33" s="26"/>
      <c r="S33" s="27">
        <f>O28/5</f>
        <v>12.340999999999999</v>
      </c>
      <c r="T33" s="26"/>
      <c r="U33" s="26"/>
      <c r="V33" s="26"/>
      <c r="W33" s="40"/>
      <c r="X33" s="40"/>
      <c r="Y33" s="42"/>
    </row>
    <row r="34" spans="12:25" x14ac:dyDescent="0.25">
      <c r="L34" s="11" t="s">
        <v>62</v>
      </c>
      <c r="M34" s="25">
        <f>MAX(M30,M33)</f>
        <v>30.24</v>
      </c>
      <c r="N34" s="11" t="s">
        <v>62</v>
      </c>
      <c r="O34" s="25">
        <f>MAX(O30,O33)</f>
        <v>30.24</v>
      </c>
      <c r="P34" s="11" t="s">
        <v>62</v>
      </c>
      <c r="Q34" s="25">
        <f>MAX(Q30,Q33)</f>
        <v>30.24</v>
      </c>
      <c r="R34" s="28">
        <f>(O22*100000)/(O29*O24*(O28-S33/2))</f>
        <v>9.6036397794764206</v>
      </c>
      <c r="S34" s="29">
        <f>(O22*100000)/(O29*O24*(O28-R35/2))</f>
        <v>8.7097250052260762</v>
      </c>
      <c r="T34" s="29">
        <f>(O22*100000)/(O29*O24*(O28-S35/2))</f>
        <v>8.7034967638535026</v>
      </c>
      <c r="U34" s="29">
        <f>(O22*100000)/(O29*O24*(O28-T35/2))</f>
        <v>8.7034534005939239</v>
      </c>
      <c r="V34" s="26"/>
      <c r="W34" s="40"/>
      <c r="X34" s="40"/>
      <c r="Y34" s="42"/>
    </row>
    <row r="35" spans="12:25" x14ac:dyDescent="0.25">
      <c r="L35" s="13" t="s">
        <v>229</v>
      </c>
      <c r="M35" s="14">
        <f>P5</f>
        <v>1.98</v>
      </c>
      <c r="N35" s="13" t="s">
        <v>229</v>
      </c>
      <c r="O35" s="14">
        <f>P5</f>
        <v>1.98</v>
      </c>
      <c r="P35" s="13" t="s">
        <v>229</v>
      </c>
      <c r="Q35" s="14">
        <f>P5</f>
        <v>1.98</v>
      </c>
      <c r="R35" s="28">
        <f>(R34*O24)/(0.85*O23*O26)</f>
        <v>0.94153331171337451</v>
      </c>
      <c r="S35" s="29">
        <f>(S34*O24)/(0.85*O23*O26)</f>
        <v>0.85389460835549769</v>
      </c>
      <c r="T35" s="29">
        <f>(T34*O24)/(0.85*O23*O26)</f>
        <v>0.85328399645622566</v>
      </c>
      <c r="U35" s="29">
        <f>(U34*O24)/(0.85*O23*O26)</f>
        <v>0.85327974515626714</v>
      </c>
      <c r="V35" s="26"/>
      <c r="W35" s="40"/>
      <c r="X35" s="40"/>
      <c r="Y35" s="42"/>
    </row>
    <row r="36" spans="12:25" x14ac:dyDescent="0.25">
      <c r="L36" s="8" t="s">
        <v>38</v>
      </c>
      <c r="M36" s="15">
        <f>M35*M26/M34</f>
        <v>15.714285714285715</v>
      </c>
      <c r="N36" s="8" t="s">
        <v>38</v>
      </c>
      <c r="O36" s="15">
        <f>O35*O26/O34</f>
        <v>15.714285714285715</v>
      </c>
      <c r="P36" s="8" t="s">
        <v>38</v>
      </c>
      <c r="Q36" s="15">
        <f>Q35*Q26/Q34</f>
        <v>15.714285714285715</v>
      </c>
      <c r="R36" s="43"/>
      <c r="S36" s="27">
        <f>Q28/5</f>
        <v>12.340999999999999</v>
      </c>
      <c r="T36" s="26"/>
      <c r="U36" s="26"/>
      <c r="V36" s="26"/>
      <c r="W36" s="40"/>
      <c r="X36" s="40"/>
      <c r="Y36" s="42"/>
    </row>
    <row r="37" spans="12:25" x14ac:dyDescent="0.25">
      <c r="L37" s="109" t="s">
        <v>228</v>
      </c>
      <c r="M37" s="109"/>
      <c r="N37" s="109" t="s">
        <v>228</v>
      </c>
      <c r="O37" s="109"/>
      <c r="P37" s="109" t="s">
        <v>228</v>
      </c>
      <c r="Q37" s="109"/>
      <c r="R37" s="28">
        <f>(Q22*100000)/(Q29*Q24*(Q28-S36/2))</f>
        <v>15.100961359593381</v>
      </c>
      <c r="S37" s="29">
        <f>(Q22*100000)/(Q29*Q24*(Q28-R38/2))</f>
        <v>13.755887543834326</v>
      </c>
      <c r="T37" s="29">
        <f>(Q22*100000)/(Q29*Q24*(Q28-S38/2))</f>
        <v>13.741026261839821</v>
      </c>
      <c r="U37" s="29">
        <f>(Q22*100000)/(Q29*Q24*(Q28-T38/2))</f>
        <v>13.740862243730794</v>
      </c>
      <c r="V37" s="26"/>
      <c r="W37" s="40"/>
      <c r="X37" s="40"/>
      <c r="Y37" s="42"/>
    </row>
    <row r="38" spans="12:25" ht="19.5" customHeight="1" x14ac:dyDescent="0.25">
      <c r="P38" s="42"/>
      <c r="Q38" s="42"/>
      <c r="R38" s="28">
        <f>(R37*Q24)/(0.85*Q23*Q26)</f>
        <v>1.4804864078032727</v>
      </c>
      <c r="S38" s="29">
        <f>(S37*Q24)/(0.85*Q23*Q26)</f>
        <v>1.3486164258661104</v>
      </c>
      <c r="T38" s="29">
        <f>(T37*Q24)/(0.85*Q23*Q26)</f>
        <v>1.3471594374352764</v>
      </c>
      <c r="U38" s="29">
        <f>(U37*Q24)/(0.85*Q23*Q26)</f>
        <v>1.3471433572285092</v>
      </c>
      <c r="V38" s="26"/>
      <c r="W38" s="40"/>
      <c r="X38" s="40"/>
      <c r="Y38" s="42"/>
    </row>
    <row r="39" spans="12:25" ht="15" customHeight="1" x14ac:dyDescent="0.25">
      <c r="L39" s="110" t="s">
        <v>78</v>
      </c>
      <c r="M39" s="111"/>
      <c r="N39" s="111"/>
      <c r="O39" s="111"/>
      <c r="P39" s="111"/>
      <c r="Q39" s="112"/>
      <c r="R39" s="95"/>
      <c r="S39" s="95"/>
      <c r="T39" s="95"/>
      <c r="U39" s="95"/>
      <c r="V39" s="26"/>
      <c r="W39" s="40"/>
      <c r="X39" s="40"/>
    </row>
    <row r="40" spans="12:25" x14ac:dyDescent="0.25">
      <c r="L40" s="113"/>
      <c r="M40" s="114"/>
      <c r="N40" s="114"/>
      <c r="O40" s="114"/>
      <c r="P40" s="114"/>
      <c r="Q40" s="115"/>
      <c r="R40" s="95"/>
      <c r="S40" s="95"/>
      <c r="T40" s="95"/>
      <c r="U40" s="95"/>
      <c r="V40" s="26"/>
      <c r="W40" s="40"/>
      <c r="X40" s="40"/>
    </row>
    <row r="41" spans="12:25" ht="15" customHeight="1" x14ac:dyDescent="0.25">
      <c r="L41" s="102" t="s">
        <v>74</v>
      </c>
      <c r="M41" s="103"/>
      <c r="N41" s="102" t="s">
        <v>75</v>
      </c>
      <c r="O41" s="103"/>
      <c r="P41" s="106" t="s">
        <v>79</v>
      </c>
      <c r="Q41" s="106"/>
      <c r="R41" s="94"/>
      <c r="S41" s="94"/>
      <c r="T41" s="94"/>
      <c r="U41" s="94"/>
      <c r="V41" s="40"/>
      <c r="W41" s="40"/>
      <c r="X41" s="40"/>
    </row>
    <row r="42" spans="12:25" x14ac:dyDescent="0.25">
      <c r="L42" s="8" t="s">
        <v>44</v>
      </c>
      <c r="M42" s="4" t="s">
        <v>46</v>
      </c>
      <c r="N42" s="8" t="s">
        <v>44</v>
      </c>
      <c r="O42" s="4" t="s">
        <v>46</v>
      </c>
      <c r="P42" s="8" t="s">
        <v>44</v>
      </c>
      <c r="Q42" s="4" t="s">
        <v>46</v>
      </c>
      <c r="R42" s="2"/>
      <c r="S42" s="2"/>
      <c r="T42" s="2"/>
      <c r="U42" s="2"/>
    </row>
    <row r="43" spans="12:25" x14ac:dyDescent="0.25">
      <c r="L43" s="7" t="s">
        <v>47</v>
      </c>
      <c r="M43" s="20">
        <v>11.44</v>
      </c>
      <c r="N43" s="7" t="s">
        <v>47</v>
      </c>
      <c r="O43" s="20">
        <v>15.18</v>
      </c>
      <c r="P43" s="7" t="s">
        <v>47</v>
      </c>
      <c r="Q43" s="20">
        <v>4.05</v>
      </c>
      <c r="R43" s="2"/>
      <c r="S43" s="2"/>
      <c r="T43" s="2"/>
      <c r="U43" s="2"/>
    </row>
    <row r="44" spans="12:25" x14ac:dyDescent="0.25">
      <c r="L44" s="7" t="s">
        <v>48</v>
      </c>
      <c r="M44" s="21">
        <v>210</v>
      </c>
      <c r="N44" s="7" t="s">
        <v>48</v>
      </c>
      <c r="O44" s="21">
        <v>210</v>
      </c>
      <c r="P44" s="7" t="s">
        <v>48</v>
      </c>
      <c r="Q44" s="21">
        <v>210</v>
      </c>
      <c r="R44" s="2"/>
      <c r="S44" s="2"/>
      <c r="T44" s="2"/>
      <c r="U44" s="2"/>
    </row>
    <row r="45" spans="12:25" x14ac:dyDescent="0.25">
      <c r="L45" s="7" t="s">
        <v>253</v>
      </c>
      <c r="M45" s="21">
        <v>4200</v>
      </c>
      <c r="N45" s="7" t="s">
        <v>253</v>
      </c>
      <c r="O45" s="21">
        <v>4200</v>
      </c>
      <c r="P45" s="7" t="s">
        <v>253</v>
      </c>
      <c r="Q45" s="21">
        <v>4200</v>
      </c>
    </row>
    <row r="46" spans="12:25" x14ac:dyDescent="0.25">
      <c r="L46" s="7" t="s">
        <v>35</v>
      </c>
      <c r="M46" s="16">
        <v>70</v>
      </c>
      <c r="N46" s="7" t="s">
        <v>35</v>
      </c>
      <c r="O46" s="16">
        <v>70</v>
      </c>
      <c r="P46" s="7" t="s">
        <v>35</v>
      </c>
      <c r="Q46" s="16">
        <v>70</v>
      </c>
    </row>
    <row r="47" spans="12:25" x14ac:dyDescent="0.25">
      <c r="L47" s="7" t="s">
        <v>34</v>
      </c>
      <c r="M47" s="16">
        <v>105</v>
      </c>
      <c r="N47" s="7" t="s">
        <v>34</v>
      </c>
      <c r="O47" s="16">
        <v>155</v>
      </c>
      <c r="P47" s="7" t="s">
        <v>34</v>
      </c>
      <c r="Q47" s="16">
        <v>170</v>
      </c>
    </row>
    <row r="48" spans="12:25" x14ac:dyDescent="0.25">
      <c r="L48" s="7" t="s">
        <v>50</v>
      </c>
      <c r="M48" s="67">
        <v>7.5</v>
      </c>
      <c r="N48" s="7" t="s">
        <v>50</v>
      </c>
      <c r="O48" s="67">
        <v>7.5</v>
      </c>
      <c r="P48" s="7" t="s">
        <v>50</v>
      </c>
      <c r="Q48" s="67">
        <v>7.5</v>
      </c>
    </row>
    <row r="49" spans="12:25" x14ac:dyDescent="0.25">
      <c r="L49" s="7" t="s">
        <v>51</v>
      </c>
      <c r="M49" s="16">
        <f>M46-M48-Q5/2</f>
        <v>61.704999999999998</v>
      </c>
      <c r="N49" s="7" t="s">
        <v>51</v>
      </c>
      <c r="O49" s="16">
        <f>O46-O48-Q5/2</f>
        <v>61.704999999999998</v>
      </c>
      <c r="P49" s="7" t="s">
        <v>51</v>
      </c>
      <c r="Q49" s="16">
        <f>Q46-Q48-Q5/2</f>
        <v>61.704999999999998</v>
      </c>
      <c r="R49" s="44"/>
      <c r="S49" s="44"/>
      <c r="T49" s="44"/>
      <c r="U49" s="44"/>
      <c r="V49" s="44"/>
      <c r="W49" s="44"/>
      <c r="X49" s="44"/>
      <c r="Y49" s="44"/>
    </row>
    <row r="50" spans="12:25" x14ac:dyDescent="0.25">
      <c r="L50" s="11" t="s">
        <v>52</v>
      </c>
      <c r="M50" s="23">
        <v>0.9</v>
      </c>
      <c r="N50" s="11" t="s">
        <v>52</v>
      </c>
      <c r="O50" s="23">
        <v>0.9</v>
      </c>
      <c r="P50" s="11" t="s">
        <v>52</v>
      </c>
      <c r="Q50" s="22">
        <v>0.9</v>
      </c>
      <c r="R50" s="26"/>
      <c r="S50" s="26"/>
      <c r="T50" s="26"/>
      <c r="U50" s="26"/>
      <c r="V50" s="44"/>
      <c r="W50" s="44"/>
      <c r="X50" s="44"/>
      <c r="Y50" s="44"/>
    </row>
    <row r="51" spans="12:25" x14ac:dyDescent="0.25">
      <c r="L51" s="24" t="s">
        <v>54</v>
      </c>
      <c r="M51" s="25">
        <f>U52</f>
        <v>4.9491938958056814</v>
      </c>
      <c r="N51" s="24" t="s">
        <v>54</v>
      </c>
      <c r="O51" s="25">
        <f>U55</f>
        <v>6.5611337827978362</v>
      </c>
      <c r="P51" s="7" t="s">
        <v>54</v>
      </c>
      <c r="Q51" s="25">
        <f>U58</f>
        <v>1.7397670142609345</v>
      </c>
      <c r="R51" s="26"/>
      <c r="S51" s="27">
        <f>M49/5</f>
        <v>12.340999999999999</v>
      </c>
      <c r="T51" s="26"/>
      <c r="U51" s="26"/>
      <c r="V51" s="44"/>
      <c r="W51" s="44"/>
      <c r="X51" s="44"/>
      <c r="Y51" s="44"/>
    </row>
    <row r="52" spans="12:25" x14ac:dyDescent="0.25">
      <c r="L52" s="24" t="s">
        <v>53</v>
      </c>
      <c r="M52" s="15">
        <f>U53</f>
        <v>1.109063057883626</v>
      </c>
      <c r="N52" s="24" t="s">
        <v>53</v>
      </c>
      <c r="O52" s="15">
        <f>U56</f>
        <v>0.99599753818562975</v>
      </c>
      <c r="P52" s="7" t="s">
        <v>53</v>
      </c>
      <c r="Q52" s="15">
        <f>U59</f>
        <v>0.24079820266587329</v>
      </c>
      <c r="R52" s="28">
        <f>(M43*100000)/(M50*M45*(M49-S51/2))</f>
        <v>5.4496844780362235</v>
      </c>
      <c r="S52" s="29">
        <f>(M43*100000)/(M50*M45*(M49-R53/2))</f>
        <v>4.9537362959457845</v>
      </c>
      <c r="T52" s="29">
        <f>(M43*100000)/(M50*M45*(M49-S53/2))</f>
        <v>4.9492347178601541</v>
      </c>
      <c r="U52" s="29">
        <f>(M43*100000)/(M50*M45*(M49-T53/2))</f>
        <v>4.9491938958056814</v>
      </c>
      <c r="V52" s="44"/>
      <c r="W52" s="44"/>
      <c r="X52" s="44"/>
      <c r="Y52" s="44"/>
    </row>
    <row r="53" spans="12:25" x14ac:dyDescent="0.25">
      <c r="L53" s="11" t="s">
        <v>33</v>
      </c>
      <c r="M53" s="12">
        <v>1.8E-3</v>
      </c>
      <c r="N53" s="11" t="s">
        <v>33</v>
      </c>
      <c r="O53" s="12">
        <v>1.8E-3</v>
      </c>
      <c r="P53" s="11" t="s">
        <v>33</v>
      </c>
      <c r="Q53" s="12">
        <v>1.8E-3</v>
      </c>
      <c r="R53" s="28">
        <f>(R52*M45)/(0.85*M44*M47)</f>
        <v>1.2212178102041957</v>
      </c>
      <c r="S53" s="29">
        <f>(S52*M45)/(0.85*M44*M47)</f>
        <v>1.1100809626769264</v>
      </c>
      <c r="T53" s="29">
        <f>(T52*M45)/(0.85*M44*M47)</f>
        <v>1.1090722056829478</v>
      </c>
      <c r="U53" s="29">
        <f>(U52*M45)/(0.85*M44*M47)</f>
        <v>1.109063057883626</v>
      </c>
      <c r="V53" s="44"/>
      <c r="W53" s="44"/>
      <c r="X53" s="44"/>
      <c r="Y53" s="44"/>
    </row>
    <row r="54" spans="12:25" x14ac:dyDescent="0.25">
      <c r="L54" s="13" t="s">
        <v>36</v>
      </c>
      <c r="M54" s="14">
        <f>M53*M47*M46</f>
        <v>13.23</v>
      </c>
      <c r="N54" s="13" t="s">
        <v>36</v>
      </c>
      <c r="O54" s="14">
        <f>O53*O47*O46</f>
        <v>19.529999999999998</v>
      </c>
      <c r="P54" s="13" t="s">
        <v>36</v>
      </c>
      <c r="Q54" s="14">
        <f>Q53*Q47*Q46</f>
        <v>21.419999999999998</v>
      </c>
      <c r="R54" s="26"/>
      <c r="S54" s="27">
        <f>O49/5</f>
        <v>12.340999999999999</v>
      </c>
      <c r="T54" s="26"/>
      <c r="U54" s="26"/>
      <c r="V54" s="44"/>
      <c r="W54" s="44"/>
      <c r="X54" s="44"/>
      <c r="Y54" s="44"/>
    </row>
    <row r="55" spans="12:25" x14ac:dyDescent="0.25">
      <c r="L55" s="11" t="s">
        <v>62</v>
      </c>
      <c r="M55" s="25">
        <f>MAX(M51,M54)</f>
        <v>13.23</v>
      </c>
      <c r="N55" s="11" t="s">
        <v>62</v>
      </c>
      <c r="O55" s="25">
        <f>MAX(O51,O54)</f>
        <v>19.529999999999998</v>
      </c>
      <c r="P55" s="11" t="s">
        <v>62</v>
      </c>
      <c r="Q55" s="25">
        <f>MAX(Q51,Q54)</f>
        <v>21.419999999999998</v>
      </c>
      <c r="R55" s="28">
        <f>(O43*100000)/(O50*O45*(O49-S54/2))</f>
        <v>7.231312095855758</v>
      </c>
      <c r="S55" s="29">
        <f>(O43*100000)/(O50*O45*(O49-R56/2))</f>
        <v>6.5665907340740199</v>
      </c>
      <c r="T55" s="29">
        <f>(O43*100000)/(O50*O45*(O49-S56/2))</f>
        <v>6.5611778241763306</v>
      </c>
      <c r="U55" s="29">
        <f>(O43*100000)/(O50*O45*(O49-T56/2))</f>
        <v>6.5611337827978362</v>
      </c>
      <c r="V55" s="44"/>
      <c r="W55" s="44"/>
      <c r="X55" s="44"/>
      <c r="Y55" s="44"/>
    </row>
    <row r="56" spans="12:25" x14ac:dyDescent="0.25">
      <c r="L56" s="13" t="s">
        <v>229</v>
      </c>
      <c r="M56" s="14">
        <f>P5</f>
        <v>1.98</v>
      </c>
      <c r="N56" s="13" t="s">
        <v>229</v>
      </c>
      <c r="O56" s="14">
        <f>P5</f>
        <v>1.98</v>
      </c>
      <c r="P56" s="13" t="s">
        <v>229</v>
      </c>
      <c r="Q56" s="14">
        <f>P5</f>
        <v>1.98</v>
      </c>
      <c r="R56" s="28">
        <f>(R55*O45)/(0.85*O44*O47)</f>
        <v>1.0977323864676674</v>
      </c>
      <c r="S56" s="29">
        <f>(S55*O45)/(0.85*O44*O47)</f>
        <v>0.99682591788599928</v>
      </c>
      <c r="T56" s="29">
        <f>(T55*O45)/(0.85*O44*O47)</f>
        <v>0.9960042237838832</v>
      </c>
      <c r="U56" s="29">
        <f>(U55*O45)/(0.85*O44*O47)</f>
        <v>0.99599753818562975</v>
      </c>
      <c r="V56" s="44"/>
      <c r="W56" s="44"/>
      <c r="X56" s="44"/>
      <c r="Y56" s="44"/>
    </row>
    <row r="57" spans="12:25" x14ac:dyDescent="0.25">
      <c r="L57" s="8" t="s">
        <v>38</v>
      </c>
      <c r="M57" s="15">
        <f>M56*M47/M55</f>
        <v>15.714285714285714</v>
      </c>
      <c r="N57" s="8" t="s">
        <v>38</v>
      </c>
      <c r="O57" s="15">
        <f>O56*O47/O55</f>
        <v>15.714285714285715</v>
      </c>
      <c r="P57" s="8" t="s">
        <v>38</v>
      </c>
      <c r="Q57" s="15">
        <f>Q56*Q47/Q55</f>
        <v>15.714285714285717</v>
      </c>
      <c r="R57" s="43"/>
      <c r="S57" s="27">
        <f>Q49/5</f>
        <v>12.340999999999999</v>
      </c>
      <c r="T57" s="26"/>
      <c r="U57" s="26"/>
      <c r="V57" s="44"/>
      <c r="W57" s="44"/>
      <c r="X57" s="44"/>
      <c r="Y57" s="44"/>
    </row>
    <row r="58" spans="12:25" x14ac:dyDescent="0.25">
      <c r="L58" s="109" t="s">
        <v>228</v>
      </c>
      <c r="M58" s="109"/>
      <c r="N58" s="109" t="s">
        <v>228</v>
      </c>
      <c r="O58" s="109"/>
      <c r="P58" s="109" t="s">
        <v>228</v>
      </c>
      <c r="Q58" s="109"/>
      <c r="R58" s="28">
        <f>(Q43*100000)/(Q50*Q45*(Q49-S57/2))</f>
        <v>1.9293026342698167</v>
      </c>
      <c r="S58" s="29">
        <f>(Q43*100000)/(Q50*Q45*(Q49-R59/2))</f>
        <v>1.7401376376352238</v>
      </c>
      <c r="T58" s="29">
        <f>(Q43*100000)/(Q50*Q45*(Q49-S59/2))</f>
        <v>1.7397677374233966</v>
      </c>
      <c r="U58" s="29">
        <f>(Q43*100000)/(Q50*Q45*(Q49-T59/2))</f>
        <v>1.7397670142609345</v>
      </c>
      <c r="V58" s="44"/>
      <c r="W58" s="44"/>
      <c r="X58" s="44"/>
      <c r="Y58" s="44"/>
    </row>
    <row r="59" spans="12:25" x14ac:dyDescent="0.25">
      <c r="N59" s="42"/>
      <c r="O59" s="42"/>
      <c r="P59" s="42"/>
      <c r="Q59" s="42"/>
      <c r="R59" s="28">
        <f>(R58*Q45)/(0.85*Q44*Q47)</f>
        <v>0.26703150647333102</v>
      </c>
      <c r="S59" s="29">
        <f>(S58*Q45)/(0.85*Q44*Q47)</f>
        <v>0.24084950001871608</v>
      </c>
      <c r="T59" s="29">
        <f>(T58*Q45)/(0.85*Q44*Q47)</f>
        <v>0.24079830275756356</v>
      </c>
      <c r="U59" s="29">
        <f>(U58*Q45)/(0.85*Q44*Q47)</f>
        <v>0.24079820266587329</v>
      </c>
      <c r="V59" s="44"/>
      <c r="W59" s="44"/>
      <c r="X59" s="44"/>
      <c r="Y59" s="44"/>
    </row>
    <row r="60" spans="12:25" x14ac:dyDescent="0.25">
      <c r="P60" s="42"/>
      <c r="Q60" s="42"/>
      <c r="R60" s="26"/>
      <c r="S60" s="26"/>
      <c r="T60" s="26"/>
      <c r="U60" s="26"/>
      <c r="V60" s="44"/>
      <c r="W60" s="44"/>
      <c r="X60" s="44"/>
      <c r="Y60" s="44"/>
    </row>
    <row r="61" spans="12:25" x14ac:dyDescent="0.25">
      <c r="P61" s="42"/>
      <c r="Q61" s="42"/>
      <c r="R61" s="44"/>
      <c r="S61" s="44"/>
      <c r="T61" s="44"/>
      <c r="U61" s="44"/>
      <c r="V61" s="44"/>
      <c r="W61" s="44"/>
      <c r="X61" s="44"/>
      <c r="Y61" s="44"/>
    </row>
    <row r="62" spans="12:25" x14ac:dyDescent="0.25">
      <c r="R62" s="44"/>
      <c r="S62" s="44"/>
      <c r="T62" s="44"/>
      <c r="U62" s="44"/>
      <c r="V62" s="44"/>
      <c r="W62" s="44"/>
      <c r="X62" s="44"/>
      <c r="Y62" s="44"/>
    </row>
  </sheetData>
  <mergeCells count="35">
    <mergeCell ref="S2:T3"/>
    <mergeCell ref="X2:Y3"/>
    <mergeCell ref="X8:Y9"/>
    <mergeCell ref="X14:Y15"/>
    <mergeCell ref="L13:M13"/>
    <mergeCell ref="N13:O13"/>
    <mergeCell ref="L11:O12"/>
    <mergeCell ref="L2:M2"/>
    <mergeCell ref="P20:Q20"/>
    <mergeCell ref="N41:O41"/>
    <mergeCell ref="P37:Q37"/>
    <mergeCell ref="N58:O58"/>
    <mergeCell ref="L18:Q19"/>
    <mergeCell ref="L39:Q40"/>
    <mergeCell ref="L41:M41"/>
    <mergeCell ref="P41:Q41"/>
    <mergeCell ref="L58:M58"/>
    <mergeCell ref="P58:Q58"/>
    <mergeCell ref="L20:M20"/>
    <mergeCell ref="N20:O20"/>
    <mergeCell ref="L37:M37"/>
    <mergeCell ref="N37:O37"/>
    <mergeCell ref="B10:C10"/>
    <mergeCell ref="L7:L9"/>
    <mergeCell ref="M7:M9"/>
    <mergeCell ref="G9:J9"/>
    <mergeCell ref="G2:J2"/>
    <mergeCell ref="B2:C2"/>
    <mergeCell ref="B3:C3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A0D-F2AA-434A-B5DB-DEDBA65098F3}">
  <dimension ref="B2:Z132"/>
  <sheetViews>
    <sheetView showGridLines="0" topLeftCell="A12" zoomScaleNormal="100" workbookViewId="0">
      <selection activeCell="J17" sqref="J17"/>
    </sheetView>
  </sheetViews>
  <sheetFormatPr baseColWidth="10" defaultRowHeight="15" x14ac:dyDescent="0.25"/>
  <cols>
    <col min="1" max="1" width="3.7109375" customWidth="1"/>
    <col min="2" max="2" width="27" customWidth="1"/>
    <col min="3" max="3" width="22.7109375" customWidth="1"/>
    <col min="4" max="5" width="15.7109375" customWidth="1"/>
    <col min="6" max="6" width="2.7109375" customWidth="1"/>
    <col min="7" max="10" width="15.7109375" customWidth="1"/>
    <col min="11" max="11" width="2.42578125" customWidth="1"/>
    <col min="12" max="12" width="17.5703125" bestFit="1" customWidth="1"/>
    <col min="13" max="13" width="14.7109375" customWidth="1"/>
    <col min="14" max="14" width="17.5703125" bestFit="1" customWidth="1"/>
    <col min="15" max="15" width="14.28515625" customWidth="1"/>
    <col min="18" max="18" width="14.42578125" customWidth="1"/>
  </cols>
  <sheetData>
    <row r="2" spans="2:20" ht="17.100000000000001" customHeight="1" x14ac:dyDescent="0.25">
      <c r="B2" s="98" t="s">
        <v>8</v>
      </c>
      <c r="C2" s="98"/>
      <c r="D2" s="3" t="s">
        <v>30</v>
      </c>
      <c r="E2" s="4" t="s">
        <v>11</v>
      </c>
      <c r="G2" s="99" t="s">
        <v>31</v>
      </c>
      <c r="H2" s="99"/>
      <c r="I2" s="99"/>
      <c r="J2" s="99"/>
      <c r="L2" s="8" t="s">
        <v>55</v>
      </c>
      <c r="M2" s="8" t="s">
        <v>56</v>
      </c>
      <c r="N2" s="18" t="s">
        <v>52</v>
      </c>
      <c r="O2" s="52"/>
      <c r="P2" s="106" t="s">
        <v>150</v>
      </c>
      <c r="Q2" s="106"/>
      <c r="S2" s="106" t="s">
        <v>150</v>
      </c>
      <c r="T2" s="106"/>
    </row>
    <row r="3" spans="2:20" ht="17.100000000000001" customHeight="1" x14ac:dyDescent="0.25">
      <c r="B3" s="98" t="s">
        <v>27</v>
      </c>
      <c r="C3" s="98"/>
      <c r="D3" s="3" t="s">
        <v>28</v>
      </c>
      <c r="E3" s="4" t="s">
        <v>29</v>
      </c>
      <c r="G3" s="7" t="s">
        <v>0</v>
      </c>
      <c r="H3" s="7" t="s">
        <v>1</v>
      </c>
      <c r="I3" s="7" t="s">
        <v>2</v>
      </c>
      <c r="J3" s="7" t="s">
        <v>3</v>
      </c>
      <c r="L3" s="8" t="s">
        <v>57</v>
      </c>
      <c r="M3" s="14">
        <v>0.71</v>
      </c>
      <c r="N3" s="15">
        <v>0.95</v>
      </c>
      <c r="O3" s="52"/>
      <c r="P3" s="106"/>
      <c r="Q3" s="106"/>
      <c r="S3" s="106"/>
      <c r="T3" s="106"/>
    </row>
    <row r="4" spans="2:20" ht="17.100000000000001" customHeight="1" x14ac:dyDescent="0.25">
      <c r="B4" s="98" t="s">
        <v>16</v>
      </c>
      <c r="C4" s="98"/>
      <c r="D4" s="4" t="s">
        <v>9</v>
      </c>
      <c r="E4" s="4" t="s">
        <v>10</v>
      </c>
      <c r="G4" s="7" t="s">
        <v>4</v>
      </c>
      <c r="H4" s="1">
        <v>24.5</v>
      </c>
      <c r="I4" s="1">
        <v>-1.1000000000000001</v>
      </c>
      <c r="J4" s="1">
        <v>-0.98</v>
      </c>
      <c r="L4" s="8" t="s">
        <v>58</v>
      </c>
      <c r="M4" s="14">
        <v>1.29</v>
      </c>
      <c r="N4" s="15">
        <v>1.27</v>
      </c>
      <c r="O4" s="52"/>
      <c r="P4" s="8" t="s">
        <v>104</v>
      </c>
      <c r="Q4" s="68">
        <f>6*1000</f>
        <v>6000</v>
      </c>
      <c r="S4" s="8" t="s">
        <v>104</v>
      </c>
      <c r="T4" s="68">
        <f>13.56*1000</f>
        <v>13560</v>
      </c>
    </row>
    <row r="5" spans="2:20" ht="17.100000000000001" customHeight="1" x14ac:dyDescent="0.25">
      <c r="B5" s="98" t="s">
        <v>17</v>
      </c>
      <c r="C5" s="98"/>
      <c r="D5" s="4" t="s">
        <v>12</v>
      </c>
      <c r="E5" s="4" t="s">
        <v>13</v>
      </c>
      <c r="G5" s="7" t="s">
        <v>5</v>
      </c>
      <c r="H5" s="1">
        <v>10.5</v>
      </c>
      <c r="I5" s="1">
        <v>-0.48</v>
      </c>
      <c r="J5" s="1">
        <v>-0.41</v>
      </c>
      <c r="L5" s="8" t="s">
        <v>59</v>
      </c>
      <c r="M5" s="14">
        <v>1.98</v>
      </c>
      <c r="N5" s="15">
        <v>1.59</v>
      </c>
      <c r="O5" s="52"/>
      <c r="P5" s="18" t="s">
        <v>151</v>
      </c>
      <c r="Q5" s="68">
        <f>0.85*0.53*SQRT(210)*M22*M24</f>
        <v>65594.402426253364</v>
      </c>
      <c r="S5" s="18" t="s">
        <v>151</v>
      </c>
      <c r="T5" s="68">
        <f>0.85*0.53*SQRT(210)*M43*M45</f>
        <v>65594.402426253364</v>
      </c>
    </row>
    <row r="6" spans="2:20" ht="17.100000000000001" customHeight="1" x14ac:dyDescent="0.25">
      <c r="B6" s="98" t="s">
        <v>18</v>
      </c>
      <c r="C6" s="98"/>
      <c r="D6" s="5" t="s">
        <v>14</v>
      </c>
      <c r="E6" s="4" t="s">
        <v>15</v>
      </c>
      <c r="G6" s="7" t="s">
        <v>6</v>
      </c>
      <c r="H6" s="1">
        <v>-3.58</v>
      </c>
      <c r="I6" s="1">
        <v>0.62</v>
      </c>
      <c r="J6" s="1">
        <v>7.3</v>
      </c>
      <c r="L6" s="8" t="s">
        <v>60</v>
      </c>
      <c r="M6" s="14">
        <v>2.85</v>
      </c>
      <c r="N6" s="15">
        <v>1.91</v>
      </c>
      <c r="O6" s="52"/>
      <c r="P6" s="8" t="s">
        <v>152</v>
      </c>
      <c r="Q6" s="17" t="str">
        <f>IF(Q4&lt;Q5,"CUMPLE","NO CUMPLE")</f>
        <v>CUMPLE</v>
      </c>
      <c r="S6" s="8" t="s">
        <v>152</v>
      </c>
      <c r="T6" s="17" t="str">
        <f>IF(T4&lt;T5,"CUMPLE","NO CUMPLE")</f>
        <v>CUMPLE</v>
      </c>
    </row>
    <row r="7" spans="2:20" ht="17.100000000000001" customHeight="1" x14ac:dyDescent="0.25">
      <c r="B7" s="98" t="s">
        <v>19</v>
      </c>
      <c r="C7" s="98"/>
      <c r="D7" s="6" t="s">
        <v>20</v>
      </c>
      <c r="E7" s="4" t="s">
        <v>21</v>
      </c>
      <c r="G7" s="7" t="s">
        <v>7</v>
      </c>
      <c r="H7" s="1">
        <v>-1.0900000000000001</v>
      </c>
      <c r="I7" s="1">
        <v>7.85</v>
      </c>
      <c r="J7" s="1">
        <v>0.44</v>
      </c>
      <c r="L7" s="8" t="s">
        <v>61</v>
      </c>
      <c r="M7" s="14">
        <v>5.07</v>
      </c>
      <c r="N7" s="15">
        <v>2.54</v>
      </c>
      <c r="O7" s="52"/>
    </row>
    <row r="8" spans="2:20" ht="15.75" x14ac:dyDescent="0.25">
      <c r="B8" s="98" t="s">
        <v>24</v>
      </c>
      <c r="C8" s="98"/>
      <c r="D8" s="6" t="s">
        <v>253</v>
      </c>
      <c r="E8" s="4" t="s">
        <v>22</v>
      </c>
      <c r="L8" s="52"/>
      <c r="M8" s="52"/>
      <c r="N8" s="52"/>
      <c r="O8" s="52"/>
      <c r="P8" s="106" t="s">
        <v>150</v>
      </c>
      <c r="Q8" s="106"/>
      <c r="S8" s="106" t="s">
        <v>150</v>
      </c>
      <c r="T8" s="106"/>
    </row>
    <row r="9" spans="2:20" s="2" customFormat="1" ht="17.100000000000001" customHeight="1" x14ac:dyDescent="0.25">
      <c r="B9" s="98" t="s">
        <v>26</v>
      </c>
      <c r="C9" s="98"/>
      <c r="D9" s="6" t="s">
        <v>25</v>
      </c>
      <c r="E9" s="39">
        <v>4800</v>
      </c>
      <c r="G9" s="99" t="s">
        <v>32</v>
      </c>
      <c r="H9" s="99"/>
      <c r="I9" s="99"/>
      <c r="J9" s="99"/>
      <c r="L9" s="106" t="s">
        <v>43</v>
      </c>
      <c r="M9" s="106"/>
      <c r="N9" s="52"/>
      <c r="O9" s="52"/>
      <c r="P9" s="106"/>
      <c r="Q9" s="106"/>
      <c r="S9" s="106"/>
      <c r="T9" s="106"/>
    </row>
    <row r="10" spans="2:20" s="2" customFormat="1" ht="17.100000000000001" customHeight="1" x14ac:dyDescent="0.25">
      <c r="B10" s="100" t="s">
        <v>64</v>
      </c>
      <c r="C10" s="101"/>
      <c r="D10" s="4" t="s">
        <v>65</v>
      </c>
      <c r="E10" s="36">
        <f>15000*SQRT(210)*10</f>
        <v>2173706.5119284154</v>
      </c>
      <c r="G10" s="7" t="s">
        <v>0</v>
      </c>
      <c r="H10" s="7" t="s">
        <v>1</v>
      </c>
      <c r="I10" s="7" t="s">
        <v>2</v>
      </c>
      <c r="J10" s="7" t="s">
        <v>3</v>
      </c>
      <c r="L10" s="106"/>
      <c r="M10" s="106"/>
      <c r="N10" s="52"/>
      <c r="O10" s="52"/>
      <c r="P10" s="8" t="s">
        <v>104</v>
      </c>
      <c r="Q10" s="68">
        <f>14.72*1000</f>
        <v>14720</v>
      </c>
      <c r="S10" s="8" t="s">
        <v>104</v>
      </c>
      <c r="T10" s="68">
        <f>15.29*1000</f>
        <v>15290</v>
      </c>
    </row>
    <row r="11" spans="2:20" s="2" customFormat="1" ht="17.100000000000001" customHeight="1" x14ac:dyDescent="0.25">
      <c r="G11" s="7" t="s">
        <v>4</v>
      </c>
      <c r="H11" s="1">
        <v>28.6</v>
      </c>
      <c r="I11" s="1">
        <v>-1.86</v>
      </c>
      <c r="J11" s="1">
        <v>-1.59</v>
      </c>
      <c r="L11" s="117" t="s">
        <v>89</v>
      </c>
      <c r="M11" s="106"/>
      <c r="N11" s="52"/>
      <c r="O11" s="52"/>
      <c r="P11" s="18" t="s">
        <v>151</v>
      </c>
      <c r="Q11" s="68">
        <f>0.85*0.53*SQRT(210)*O22*O24</f>
        <v>51928.901920783908</v>
      </c>
      <c r="S11" s="18" t="s">
        <v>151</v>
      </c>
      <c r="T11" s="68">
        <f>0.85*0.53*SQRT(210)*O43*O45</f>
        <v>65594.402426253364</v>
      </c>
    </row>
    <row r="12" spans="2:20" s="2" customFormat="1" ht="17.100000000000001" customHeight="1" x14ac:dyDescent="0.25">
      <c r="G12" s="7" t="s">
        <v>5</v>
      </c>
      <c r="H12" s="1">
        <v>12.4</v>
      </c>
      <c r="I12" s="1">
        <v>-0.99</v>
      </c>
      <c r="J12" s="1">
        <v>-0.9</v>
      </c>
      <c r="L12" s="106"/>
      <c r="M12" s="106"/>
      <c r="N12" s="52"/>
      <c r="O12" s="52"/>
      <c r="P12" s="8" t="s">
        <v>152</v>
      </c>
      <c r="Q12" s="17" t="str">
        <f>IF(Q10&lt;Q11,"CUMPLE","NO CUMPLE")</f>
        <v>CUMPLE</v>
      </c>
      <c r="S12" s="8" t="s">
        <v>152</v>
      </c>
      <c r="T12" s="17" t="str">
        <f>IF(T10&lt;T11,"CUMPLE","NO CUMPLE")</f>
        <v>CUMPLE</v>
      </c>
    </row>
    <row r="13" spans="2:20" s="2" customFormat="1" ht="17.100000000000001" customHeight="1" x14ac:dyDescent="0.25">
      <c r="G13" s="7" t="s">
        <v>6</v>
      </c>
      <c r="H13" s="1">
        <v>-4.72</v>
      </c>
      <c r="I13" s="1">
        <v>1.08</v>
      </c>
      <c r="J13" s="1">
        <v>9.8699999999999992</v>
      </c>
    </row>
    <row r="14" spans="2:20" s="2" customFormat="1" ht="17.100000000000001" customHeight="1" x14ac:dyDescent="0.25">
      <c r="G14" s="7" t="s">
        <v>7</v>
      </c>
      <c r="H14" s="1">
        <v>-1.95</v>
      </c>
      <c r="I14" s="1">
        <v>10.32</v>
      </c>
      <c r="J14" s="1">
        <v>0.98</v>
      </c>
      <c r="L14" s="106" t="s">
        <v>90</v>
      </c>
      <c r="M14" s="106"/>
      <c r="N14" s="106"/>
      <c r="O14" s="106"/>
    </row>
    <row r="15" spans="2:20" s="2" customFormat="1" ht="17.100000000000001" customHeight="1" x14ac:dyDescent="0.25">
      <c r="L15" s="106"/>
      <c r="M15" s="106"/>
      <c r="N15" s="106"/>
      <c r="O15" s="106"/>
    </row>
    <row r="16" spans="2:20" s="2" customFormat="1" ht="17.100000000000001" customHeight="1" x14ac:dyDescent="0.25">
      <c r="G16" s="9"/>
      <c r="H16" s="10"/>
      <c r="I16" s="99" t="s">
        <v>92</v>
      </c>
      <c r="J16" s="99"/>
      <c r="L16" s="102" t="s">
        <v>124</v>
      </c>
      <c r="M16" s="103"/>
      <c r="N16" s="102" t="s">
        <v>125</v>
      </c>
      <c r="O16" s="103"/>
    </row>
    <row r="17" spans="7:19" s="2" customFormat="1" ht="17.100000000000001" customHeight="1" x14ac:dyDescent="0.25">
      <c r="G17" s="9"/>
      <c r="H17" s="10"/>
      <c r="I17" s="7" t="s">
        <v>94</v>
      </c>
      <c r="J17" s="37">
        <f>4/7</f>
        <v>0.5714285714285714</v>
      </c>
      <c r="L17" s="8" t="s">
        <v>44</v>
      </c>
      <c r="M17" s="4" t="s">
        <v>46</v>
      </c>
      <c r="N17" s="8" t="s">
        <v>44</v>
      </c>
      <c r="O17" s="4" t="s">
        <v>46</v>
      </c>
    </row>
    <row r="18" spans="7:19" s="2" customFormat="1" ht="17.100000000000001" customHeight="1" x14ac:dyDescent="0.25">
      <c r="H18" s="10"/>
      <c r="I18" s="7" t="s">
        <v>95</v>
      </c>
      <c r="J18" s="37">
        <f>0.6/2</f>
        <v>0.3</v>
      </c>
      <c r="L18" s="7" t="s">
        <v>47</v>
      </c>
      <c r="M18" s="20">
        <v>12.62</v>
      </c>
      <c r="N18" s="7" t="s">
        <v>47</v>
      </c>
      <c r="O18" s="20">
        <v>16.399999999999999</v>
      </c>
      <c r="P18"/>
    </row>
    <row r="19" spans="7:19" s="2" customFormat="1" ht="17.100000000000001" customHeight="1" x14ac:dyDescent="0.25">
      <c r="H19" s="10"/>
      <c r="L19" s="7" t="s">
        <v>48</v>
      </c>
      <c r="M19" s="21">
        <v>210</v>
      </c>
      <c r="N19" s="7" t="s">
        <v>48</v>
      </c>
      <c r="O19" s="21">
        <v>210</v>
      </c>
      <c r="P19"/>
    </row>
    <row r="20" spans="7:19" x14ac:dyDescent="0.25">
      <c r="H20" s="10"/>
      <c r="I20" s="10"/>
      <c r="J20" s="10"/>
      <c r="L20" s="7" t="s">
        <v>253</v>
      </c>
      <c r="M20" s="21">
        <v>4200</v>
      </c>
      <c r="N20" s="7" t="s">
        <v>253</v>
      </c>
      <c r="O20" s="21">
        <v>4200</v>
      </c>
    </row>
    <row r="21" spans="7:19" x14ac:dyDescent="0.25">
      <c r="H21" s="10"/>
      <c r="I21" s="10"/>
      <c r="J21" s="10"/>
      <c r="L21" s="7" t="s">
        <v>35</v>
      </c>
      <c r="M21" s="16">
        <v>50</v>
      </c>
      <c r="N21" s="7" t="s">
        <v>35</v>
      </c>
      <c r="O21" s="16">
        <v>50</v>
      </c>
    </row>
    <row r="22" spans="7:19" x14ac:dyDescent="0.25">
      <c r="H22" s="10"/>
      <c r="L22" s="7" t="s">
        <v>34</v>
      </c>
      <c r="M22" s="16">
        <v>240</v>
      </c>
      <c r="N22" s="7" t="s">
        <v>34</v>
      </c>
      <c r="O22" s="16">
        <v>190</v>
      </c>
    </row>
    <row r="23" spans="7:19" x14ac:dyDescent="0.25">
      <c r="H23" s="10"/>
      <c r="L23" s="7" t="s">
        <v>50</v>
      </c>
      <c r="M23" s="67">
        <v>7.5</v>
      </c>
      <c r="N23" s="7" t="s">
        <v>50</v>
      </c>
      <c r="O23" s="67">
        <v>7.5</v>
      </c>
    </row>
    <row r="24" spans="7:19" x14ac:dyDescent="0.25">
      <c r="H24" s="10"/>
      <c r="L24" s="7" t="s">
        <v>51</v>
      </c>
      <c r="M24" s="16">
        <f>M21-M23-N4/2</f>
        <v>41.865000000000002</v>
      </c>
      <c r="N24" s="7" t="s">
        <v>51</v>
      </c>
      <c r="O24" s="16">
        <f>O21-O23-N4/2</f>
        <v>41.865000000000002</v>
      </c>
      <c r="P24" s="40"/>
      <c r="Q24" s="40"/>
    </row>
    <row r="25" spans="7:19" x14ac:dyDescent="0.25">
      <c r="H25" s="10"/>
      <c r="I25" s="10"/>
      <c r="J25" s="10"/>
      <c r="L25" s="11" t="s">
        <v>52</v>
      </c>
      <c r="M25" s="23">
        <v>0.9</v>
      </c>
      <c r="N25" s="11" t="s">
        <v>52</v>
      </c>
      <c r="O25" s="23">
        <v>0.9</v>
      </c>
      <c r="P25" s="26"/>
      <c r="Q25" s="26"/>
      <c r="R25" s="26"/>
      <c r="S25" s="26"/>
    </row>
    <row r="26" spans="7:19" x14ac:dyDescent="0.25">
      <c r="H26" s="10"/>
      <c r="I26" s="10"/>
      <c r="J26" s="10"/>
      <c r="L26" s="24" t="s">
        <v>54</v>
      </c>
      <c r="M26" s="25">
        <f>S27</f>
        <v>8.0506282466882997</v>
      </c>
      <c r="N26" s="24" t="s">
        <v>54</v>
      </c>
      <c r="O26" s="25">
        <f>S30</f>
        <v>10.527283927538363</v>
      </c>
      <c r="P26" s="26"/>
      <c r="Q26" s="27">
        <f>M24/5</f>
        <v>8.3730000000000011</v>
      </c>
      <c r="R26" s="26"/>
      <c r="S26" s="26"/>
    </row>
    <row r="27" spans="7:19" x14ac:dyDescent="0.25">
      <c r="H27" s="10"/>
      <c r="I27" s="10"/>
      <c r="J27" s="10"/>
      <c r="L27" s="24" t="s">
        <v>53</v>
      </c>
      <c r="M27" s="15">
        <f>S28</f>
        <v>0.78927727908708822</v>
      </c>
      <c r="N27" s="24" t="s">
        <v>53</v>
      </c>
      <c r="O27" s="15">
        <f>S31</f>
        <v>1.3036884120790544</v>
      </c>
      <c r="P27" s="28">
        <f>(M18*100000)/(M25*M20*(M24-Q26/2))</f>
        <v>8.8608207296583945</v>
      </c>
      <c r="Q27" s="29">
        <f>(M18*100000)/(M25*M20*(M24-P28/2))</f>
        <v>8.0583448667113267</v>
      </c>
      <c r="R27" s="29">
        <f>(M18*100000)/(M25*M20*(M24-Q28/2))</f>
        <v>8.0507009877355529</v>
      </c>
      <c r="S27" s="29">
        <f>(M18*100000)/(M25*M20*(M24-R28/2))</f>
        <v>8.0506282466882997</v>
      </c>
    </row>
    <row r="28" spans="7:19" x14ac:dyDescent="0.25">
      <c r="H28" s="10"/>
      <c r="I28" s="10"/>
      <c r="J28" s="10"/>
      <c r="L28" s="11" t="s">
        <v>33</v>
      </c>
      <c r="M28" s="12">
        <v>1.8E-3</v>
      </c>
      <c r="N28" s="11" t="s">
        <v>33</v>
      </c>
      <c r="O28" s="12">
        <v>1.8E-3</v>
      </c>
      <c r="P28" s="28">
        <f>(P27*M20)/(0.85*M19*M22)</f>
        <v>0.86870791467239161</v>
      </c>
      <c r="Q28" s="29">
        <f>(Q27*M20)/(0.85*M19*M22)</f>
        <v>0.7900338104618948</v>
      </c>
      <c r="R28" s="29">
        <f>(R27*M20)/(0.85*M19*M22)</f>
        <v>0.78928441056230914</v>
      </c>
      <c r="S28" s="29">
        <f>(S27*M20)/(0.85*M19*M22)</f>
        <v>0.78927727908708822</v>
      </c>
    </row>
    <row r="29" spans="7:19" x14ac:dyDescent="0.25">
      <c r="H29" s="10"/>
      <c r="I29" s="10"/>
      <c r="J29" s="10"/>
      <c r="L29" s="13" t="s">
        <v>36</v>
      </c>
      <c r="M29" s="14">
        <f>M28*M22*M21</f>
        <v>21.6</v>
      </c>
      <c r="N29" s="13" t="s">
        <v>36</v>
      </c>
      <c r="O29" s="14">
        <f>O28*O22*O21</f>
        <v>17.099999999999998</v>
      </c>
      <c r="P29" s="26"/>
      <c r="Q29" s="27">
        <f>O24/5</f>
        <v>8.3730000000000011</v>
      </c>
      <c r="R29" s="26"/>
      <c r="S29" s="26"/>
    </row>
    <row r="30" spans="7:19" x14ac:dyDescent="0.25">
      <c r="H30" s="10"/>
      <c r="I30" s="10"/>
      <c r="J30" s="10"/>
      <c r="L30" s="11" t="s">
        <v>62</v>
      </c>
      <c r="M30" s="25">
        <f>MAX(M26,M29)</f>
        <v>21.6</v>
      </c>
      <c r="N30" s="11" t="s">
        <v>62</v>
      </c>
      <c r="O30" s="25">
        <f>MAX(O26,O29)</f>
        <v>17.099999999999998</v>
      </c>
      <c r="P30" s="28">
        <f>(O18*100000)/(O25*O20*(O24-Q29/2))</f>
        <v>11.514854197020417</v>
      </c>
      <c r="Q30" s="29">
        <f>(O18*100000)/(O25*O20*(O24-P31/2))</f>
        <v>10.542923097809194</v>
      </c>
      <c r="R30" s="29">
        <f>(O18*100000)/(O25*O20*(O24-Q31/2))</f>
        <v>10.527527437351713</v>
      </c>
      <c r="S30" s="29">
        <f>(O18*100000)/(O25*O20*(O24-R31/2))</f>
        <v>10.527283927538363</v>
      </c>
    </row>
    <row r="31" spans="7:19" x14ac:dyDescent="0.25">
      <c r="H31" s="10"/>
      <c r="I31" s="10"/>
      <c r="J31" s="10"/>
      <c r="L31" s="13" t="s">
        <v>37</v>
      </c>
      <c r="M31" s="14">
        <f>M4</f>
        <v>1.29</v>
      </c>
      <c r="N31" s="13" t="s">
        <v>37</v>
      </c>
      <c r="O31" s="14">
        <f>M4</f>
        <v>1.29</v>
      </c>
      <c r="P31" s="28">
        <f>(P30*O20)/(0.85*O19*O22)</f>
        <v>1.4259881358539217</v>
      </c>
      <c r="Q31" s="29">
        <f>(Q30*O20)/(0.85*O19*O22)</f>
        <v>1.3056251514314792</v>
      </c>
      <c r="R31" s="29">
        <f>(R30*O20)/(0.85*O19*O22)</f>
        <v>1.3037185680930914</v>
      </c>
      <c r="S31" s="29">
        <f>(S30*O20)/(0.85*O19*O22)</f>
        <v>1.3036884120790544</v>
      </c>
    </row>
    <row r="32" spans="7:19" x14ac:dyDescent="0.25">
      <c r="H32" s="10"/>
      <c r="I32" s="10"/>
      <c r="J32" s="10"/>
      <c r="L32" s="8" t="s">
        <v>38</v>
      </c>
      <c r="M32" s="15">
        <f>M31*M22/M30</f>
        <v>14.333333333333334</v>
      </c>
      <c r="N32" s="8" t="s">
        <v>38</v>
      </c>
      <c r="O32" s="15">
        <f>O31*O22/O30</f>
        <v>14.333333333333334</v>
      </c>
      <c r="P32" s="26"/>
      <c r="Q32" s="26"/>
      <c r="R32" s="26"/>
      <c r="S32" s="26"/>
    </row>
    <row r="33" spans="8:26" x14ac:dyDescent="0.25">
      <c r="H33" s="10"/>
      <c r="I33" s="10"/>
      <c r="J33" s="10"/>
      <c r="L33" s="104" t="s">
        <v>39</v>
      </c>
      <c r="M33" s="105"/>
      <c r="N33" s="104" t="s">
        <v>39</v>
      </c>
      <c r="O33" s="105"/>
      <c r="P33" s="40"/>
      <c r="Q33" s="40"/>
      <c r="R33" s="40"/>
    </row>
    <row r="35" spans="8:26" x14ac:dyDescent="0.25">
      <c r="L35" s="106" t="s">
        <v>91</v>
      </c>
      <c r="M35" s="106"/>
      <c r="N35" s="106"/>
      <c r="O35" s="106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8:26" x14ac:dyDescent="0.25">
      <c r="L36" s="106"/>
      <c r="M36" s="106"/>
      <c r="N36" s="106"/>
      <c r="O36" s="10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8:26" ht="15" customHeight="1" x14ac:dyDescent="0.25">
      <c r="L37" s="102" t="s">
        <v>124</v>
      </c>
      <c r="M37" s="103"/>
      <c r="N37" s="102" t="s">
        <v>125</v>
      </c>
      <c r="O37" s="10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8:26" x14ac:dyDescent="0.25">
      <c r="L38" s="8" t="s">
        <v>44</v>
      </c>
      <c r="M38" s="4" t="s">
        <v>46</v>
      </c>
      <c r="N38" s="8" t="s">
        <v>44</v>
      </c>
      <c r="O38" s="4" t="s">
        <v>46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8:26" x14ac:dyDescent="0.25">
      <c r="H39" s="33"/>
      <c r="I39" s="2"/>
      <c r="L39" s="7" t="s">
        <v>47</v>
      </c>
      <c r="M39" s="20">
        <v>15.73</v>
      </c>
      <c r="N39" s="7" t="s">
        <v>47</v>
      </c>
      <c r="O39" s="20">
        <v>15.5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8:26" x14ac:dyDescent="0.25">
      <c r="H40" s="19"/>
      <c r="L40" s="7" t="s">
        <v>48</v>
      </c>
      <c r="M40" s="21">
        <v>210</v>
      </c>
      <c r="N40" s="7" t="s">
        <v>48</v>
      </c>
      <c r="O40" s="21">
        <v>210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8:26" x14ac:dyDescent="0.25">
      <c r="L41" s="7" t="s">
        <v>253</v>
      </c>
      <c r="M41" s="21">
        <v>4200</v>
      </c>
      <c r="N41" s="7" t="s">
        <v>253</v>
      </c>
      <c r="O41" s="21">
        <v>4200</v>
      </c>
    </row>
    <row r="42" spans="8:26" x14ac:dyDescent="0.25">
      <c r="H42" s="34"/>
      <c r="I42" s="35"/>
      <c r="L42" s="7" t="s">
        <v>35</v>
      </c>
      <c r="M42" s="16">
        <v>50</v>
      </c>
      <c r="N42" s="7" t="s">
        <v>35</v>
      </c>
      <c r="O42" s="16">
        <v>50</v>
      </c>
    </row>
    <row r="43" spans="8:26" x14ac:dyDescent="0.25">
      <c r="H43" s="34"/>
      <c r="I43" s="35"/>
      <c r="L43" s="7" t="s">
        <v>34</v>
      </c>
      <c r="M43" s="16">
        <v>240</v>
      </c>
      <c r="N43" s="7" t="s">
        <v>34</v>
      </c>
      <c r="O43" s="16">
        <v>240</v>
      </c>
    </row>
    <row r="44" spans="8:26" x14ac:dyDescent="0.25">
      <c r="L44" s="7" t="s">
        <v>50</v>
      </c>
      <c r="M44" s="67">
        <v>7.5</v>
      </c>
      <c r="N44" s="7" t="s">
        <v>50</v>
      </c>
      <c r="O44" s="67">
        <v>7.5</v>
      </c>
    </row>
    <row r="45" spans="8:26" x14ac:dyDescent="0.25">
      <c r="L45" s="7" t="s">
        <v>51</v>
      </c>
      <c r="M45" s="16">
        <f>M42-M44-N4/2</f>
        <v>41.865000000000002</v>
      </c>
      <c r="N45" s="7" t="s">
        <v>51</v>
      </c>
      <c r="O45" s="16">
        <f>O42-O44-N4/2</f>
        <v>41.865000000000002</v>
      </c>
      <c r="P45" s="40"/>
      <c r="Q45" s="40"/>
    </row>
    <row r="46" spans="8:26" x14ac:dyDescent="0.25">
      <c r="L46" s="11" t="s">
        <v>52</v>
      </c>
      <c r="M46" s="23">
        <v>0.9</v>
      </c>
      <c r="N46" s="11" t="s">
        <v>52</v>
      </c>
      <c r="O46" s="23">
        <v>0.9</v>
      </c>
      <c r="P46" s="26"/>
      <c r="Q46" s="26"/>
      <c r="R46" s="26"/>
      <c r="S46" s="26"/>
    </row>
    <row r="47" spans="8:26" x14ac:dyDescent="0.25">
      <c r="L47" s="24" t="s">
        <v>54</v>
      </c>
      <c r="M47" s="25">
        <f>S48</f>
        <v>10.058451403446115</v>
      </c>
      <c r="N47" s="24" t="s">
        <v>54</v>
      </c>
      <c r="O47" s="25">
        <f>S51</f>
        <v>9.9096318987552721</v>
      </c>
      <c r="P47" s="26"/>
      <c r="Q47" s="27">
        <f>M45/5</f>
        <v>8.3730000000000011</v>
      </c>
      <c r="R47" s="26"/>
      <c r="S47" s="26"/>
    </row>
    <row r="48" spans="8:26" x14ac:dyDescent="0.25">
      <c r="L48" s="24" t="s">
        <v>53</v>
      </c>
      <c r="M48" s="15">
        <f>S49</f>
        <v>0.98612268661236424</v>
      </c>
      <c r="N48" s="24" t="s">
        <v>53</v>
      </c>
      <c r="O48" s="15">
        <f>S52</f>
        <v>0.97153253909365411</v>
      </c>
      <c r="P48" s="28">
        <f>(M39*100000)/(M46*M41*(M45-Q47/2))</f>
        <v>11.044430275556779</v>
      </c>
      <c r="Q48" s="29">
        <f>(M39*100000)/(M46*M41*(M45-P49/2))</f>
        <v>10.070214165771086</v>
      </c>
      <c r="R48" s="29">
        <f>(M39*100000)/(M46*M41*(M45-Q49/2))</f>
        <v>10.058589940249508</v>
      </c>
      <c r="S48" s="29">
        <f>(M39*100000)/(M46*M41*(M45-R49/2))</f>
        <v>10.058451403446115</v>
      </c>
    </row>
    <row r="49" spans="12:24" x14ac:dyDescent="0.25">
      <c r="L49" s="11" t="s">
        <v>33</v>
      </c>
      <c r="M49" s="12">
        <v>1.8E-3</v>
      </c>
      <c r="N49" s="11" t="s">
        <v>33</v>
      </c>
      <c r="O49" s="12">
        <v>1.8E-3</v>
      </c>
      <c r="P49" s="28">
        <f>(P48*M41)/(0.85*M40*M43)</f>
        <v>1.0827872819173314</v>
      </c>
      <c r="Q49" s="29">
        <f>(Q48*M41)/(0.85*M40*M43)</f>
        <v>0.98727589860500842</v>
      </c>
      <c r="R49" s="29">
        <f>(R48*M41)/(0.85*M40*M43)</f>
        <v>0.98613626865191251</v>
      </c>
      <c r="S49" s="29">
        <f>(S48*M41)/(0.85*M40*M43)</f>
        <v>0.98612268661236424</v>
      </c>
    </row>
    <row r="50" spans="12:24" x14ac:dyDescent="0.25">
      <c r="L50" s="13" t="s">
        <v>36</v>
      </c>
      <c r="M50" s="14">
        <f>M49*M43*M42</f>
        <v>21.6</v>
      </c>
      <c r="N50" s="13" t="s">
        <v>36</v>
      </c>
      <c r="O50" s="14">
        <f>O49*O43*O42</f>
        <v>21.6</v>
      </c>
      <c r="P50" s="26"/>
      <c r="Q50" s="27">
        <f>O45/5</f>
        <v>8.3730000000000011</v>
      </c>
      <c r="R50" s="26"/>
      <c r="S50" s="26"/>
    </row>
    <row r="51" spans="12:24" x14ac:dyDescent="0.25">
      <c r="L51" s="11" t="s">
        <v>62</v>
      </c>
      <c r="M51" s="25">
        <f>MAX(M47,M50)</f>
        <v>21.6</v>
      </c>
      <c r="N51" s="11" t="s">
        <v>62</v>
      </c>
      <c r="O51" s="25">
        <f>MAX(O47,O50)</f>
        <v>21.6</v>
      </c>
      <c r="P51" s="28">
        <f>(O39*100000)/(O46*O41*(O45-Q50/2))</f>
        <v>10.882941466696128</v>
      </c>
      <c r="Q51" s="29">
        <f>(O39*100000)/(O46*O41*(O45-P52/2))</f>
        <v>9.9210695729845639</v>
      </c>
      <c r="R51" s="29">
        <f>(O39*100000)/(O46*O41*(O45-Q52/2))</f>
        <v>9.9097646136902302</v>
      </c>
      <c r="S51" s="29">
        <f>(O39*100000)/(O46*O41*(O45-R52/2))</f>
        <v>9.9096318987552721</v>
      </c>
    </row>
    <row r="52" spans="12:24" x14ac:dyDescent="0.25">
      <c r="L52" s="13" t="s">
        <v>37</v>
      </c>
      <c r="M52" s="14">
        <f>M4</f>
        <v>1.29</v>
      </c>
      <c r="N52" s="13" t="s">
        <v>37</v>
      </c>
      <c r="O52" s="14">
        <f>M4</f>
        <v>1.29</v>
      </c>
      <c r="P52" s="28">
        <f>(P51*O41)/(0.85*O40*O43)</f>
        <v>1.0669550457545223</v>
      </c>
      <c r="Q52" s="29">
        <f>(Q51*O41)/(0.85*O40*O43)</f>
        <v>0.97265387970436912</v>
      </c>
      <c r="R52" s="29">
        <f>(R51*O41)/(0.85*O40*O43)</f>
        <v>0.97154555036178725</v>
      </c>
      <c r="S52" s="29">
        <f>(S51*O41)/(0.85*O40*O43)</f>
        <v>0.97153253909365411</v>
      </c>
    </row>
    <row r="53" spans="12:24" x14ac:dyDescent="0.25">
      <c r="L53" s="8" t="s">
        <v>38</v>
      </c>
      <c r="M53" s="15">
        <f>M52*M43/M51</f>
        <v>14.333333333333334</v>
      </c>
      <c r="N53" s="8" t="s">
        <v>38</v>
      </c>
      <c r="O53" s="15">
        <f>O52*O43/O51</f>
        <v>14.333333333333334</v>
      </c>
      <c r="P53" s="26"/>
      <c r="Q53" s="26"/>
      <c r="R53" s="26"/>
      <c r="S53" s="26"/>
    </row>
    <row r="54" spans="12:24" x14ac:dyDescent="0.25">
      <c r="L54" s="104" t="s">
        <v>39</v>
      </c>
      <c r="M54" s="105"/>
      <c r="N54" s="104" t="s">
        <v>39</v>
      </c>
      <c r="O54" s="105"/>
      <c r="P54" s="40"/>
      <c r="Q54" s="40"/>
      <c r="R54" s="40"/>
    </row>
    <row r="56" spans="12:24" x14ac:dyDescent="0.25">
      <c r="L56" s="106" t="s">
        <v>96</v>
      </c>
      <c r="M56" s="106"/>
      <c r="N56" s="106"/>
      <c r="O56" s="106"/>
      <c r="P56" s="2"/>
      <c r="Q56" s="2"/>
      <c r="R56" s="2"/>
      <c r="S56" s="2"/>
      <c r="T56" s="2"/>
      <c r="U56" s="2"/>
      <c r="V56" s="2"/>
      <c r="W56" s="2"/>
      <c r="X56" s="2"/>
    </row>
    <row r="57" spans="12:24" x14ac:dyDescent="0.25">
      <c r="L57" s="106"/>
      <c r="M57" s="106"/>
      <c r="N57" s="106"/>
      <c r="O57" s="106"/>
      <c r="P57" s="2"/>
      <c r="Q57" s="2"/>
      <c r="R57" s="2"/>
      <c r="S57" s="2"/>
      <c r="T57" s="2"/>
      <c r="U57" s="2"/>
      <c r="V57" s="2"/>
      <c r="W57" s="2"/>
      <c r="X57" s="2"/>
    </row>
    <row r="58" spans="12:24" x14ac:dyDescent="0.25">
      <c r="L58" s="102" t="s">
        <v>97</v>
      </c>
      <c r="M58" s="103"/>
      <c r="N58" s="102" t="s">
        <v>98</v>
      </c>
      <c r="O58" s="103"/>
      <c r="P58" s="2"/>
      <c r="Q58" s="2"/>
      <c r="R58" s="2"/>
      <c r="S58" s="2"/>
      <c r="T58" s="2"/>
      <c r="U58" s="2"/>
      <c r="V58" s="2"/>
      <c r="W58" s="2"/>
      <c r="X58" s="2"/>
    </row>
    <row r="59" spans="12:24" x14ac:dyDescent="0.25">
      <c r="L59" s="8" t="s">
        <v>44</v>
      </c>
      <c r="M59" s="4" t="s">
        <v>46</v>
      </c>
      <c r="N59" s="8" t="s">
        <v>44</v>
      </c>
      <c r="O59" s="4" t="s">
        <v>46</v>
      </c>
      <c r="P59" s="2"/>
      <c r="Q59" s="2"/>
      <c r="R59" s="2"/>
      <c r="S59" s="2"/>
      <c r="T59" s="2"/>
      <c r="U59" s="2"/>
      <c r="V59" s="2"/>
      <c r="W59" s="2"/>
      <c r="X59" s="2"/>
    </row>
    <row r="60" spans="12:24" x14ac:dyDescent="0.25">
      <c r="L60" s="7" t="s">
        <v>47</v>
      </c>
      <c r="M60" s="20">
        <v>2.56</v>
      </c>
      <c r="N60" s="7" t="s">
        <v>47</v>
      </c>
      <c r="O60" s="20">
        <v>1.2</v>
      </c>
      <c r="Q60" s="2"/>
      <c r="R60" s="2"/>
      <c r="S60" s="2"/>
      <c r="T60" s="2"/>
      <c r="U60" s="2"/>
      <c r="V60" s="2"/>
      <c r="W60" s="2"/>
      <c r="X60" s="2"/>
    </row>
    <row r="61" spans="12:24" x14ac:dyDescent="0.25">
      <c r="L61" s="7" t="s">
        <v>48</v>
      </c>
      <c r="M61" s="21">
        <v>210</v>
      </c>
      <c r="N61" s="7" t="s">
        <v>48</v>
      </c>
      <c r="O61" s="21">
        <v>210</v>
      </c>
      <c r="Q61" s="2"/>
      <c r="R61" s="2"/>
      <c r="S61" s="2"/>
      <c r="T61" s="2"/>
      <c r="U61" s="2"/>
      <c r="V61" s="2"/>
      <c r="W61" s="2"/>
      <c r="X61" s="2"/>
    </row>
    <row r="62" spans="12:24" x14ac:dyDescent="0.25">
      <c r="L62" s="7" t="s">
        <v>253</v>
      </c>
      <c r="M62" s="21">
        <v>4200</v>
      </c>
      <c r="N62" s="7" t="s">
        <v>253</v>
      </c>
      <c r="O62" s="21">
        <v>4200</v>
      </c>
    </row>
    <row r="63" spans="12:24" x14ac:dyDescent="0.25">
      <c r="L63" s="7" t="s">
        <v>93</v>
      </c>
      <c r="M63" s="16">
        <v>60</v>
      </c>
      <c r="N63" s="7" t="s">
        <v>93</v>
      </c>
      <c r="O63" s="16">
        <v>60</v>
      </c>
    </row>
    <row r="64" spans="12:24" x14ac:dyDescent="0.25">
      <c r="L64" s="7" t="s">
        <v>34</v>
      </c>
      <c r="M64" s="16">
        <v>40</v>
      </c>
      <c r="N64" s="7" t="s">
        <v>34</v>
      </c>
      <c r="O64" s="16">
        <v>40</v>
      </c>
    </row>
    <row r="65" spans="8:24" x14ac:dyDescent="0.25">
      <c r="L65" s="7" t="s">
        <v>50</v>
      </c>
      <c r="M65" s="67">
        <v>7.5</v>
      </c>
      <c r="N65" s="7" t="s">
        <v>50</v>
      </c>
      <c r="O65" s="67">
        <v>7.5</v>
      </c>
    </row>
    <row r="66" spans="8:24" x14ac:dyDescent="0.25">
      <c r="L66" s="7" t="s">
        <v>51</v>
      </c>
      <c r="M66" s="16">
        <f>M63-M65-N3-N5/2</f>
        <v>50.754999999999995</v>
      </c>
      <c r="N66" s="7" t="s">
        <v>51</v>
      </c>
      <c r="O66" s="16">
        <f>O63-O65-N3-N5/2</f>
        <v>50.754999999999995</v>
      </c>
      <c r="P66" s="40"/>
      <c r="Q66" s="40"/>
    </row>
    <row r="67" spans="8:24" x14ac:dyDescent="0.25">
      <c r="L67" s="11" t="s">
        <v>52</v>
      </c>
      <c r="M67" s="23">
        <v>0.9</v>
      </c>
      <c r="N67" s="11" t="s">
        <v>52</v>
      </c>
      <c r="O67" s="23">
        <v>0.9</v>
      </c>
      <c r="P67" s="26"/>
      <c r="Q67" s="26"/>
      <c r="R67" s="26"/>
      <c r="S67" s="26"/>
    </row>
    <row r="68" spans="8:24" x14ac:dyDescent="0.25">
      <c r="L68" s="24" t="s">
        <v>54</v>
      </c>
      <c r="M68" s="25">
        <f>S69</f>
        <v>1.3448291213276888</v>
      </c>
      <c r="N68" s="24" t="s">
        <v>54</v>
      </c>
      <c r="O68" s="25">
        <f>S72</f>
        <v>0.62775959836158945</v>
      </c>
      <c r="P68" s="26"/>
      <c r="Q68" s="27">
        <f>M66/5</f>
        <v>10.151</v>
      </c>
      <c r="R68" s="26"/>
      <c r="S68" s="26"/>
    </row>
    <row r="69" spans="8:24" x14ac:dyDescent="0.25">
      <c r="L69" s="24" t="s">
        <v>53</v>
      </c>
      <c r="M69" s="15">
        <f>S70</f>
        <v>0.79107595372216988</v>
      </c>
      <c r="N69" s="24" t="s">
        <v>53</v>
      </c>
      <c r="O69" s="15">
        <f>S73</f>
        <v>0.36927035197740554</v>
      </c>
      <c r="P69" s="28">
        <f>(M60*100000)/(M67*M62*(M66-Q68/2))</f>
        <v>1.4826096547656549</v>
      </c>
      <c r="Q69" s="29">
        <f>(M60*100000)/(M67*M62*(M66-P70/2))</f>
        <v>1.3459120951940455</v>
      </c>
      <c r="R69" s="29">
        <f>(M60*100000)/(M67*M62*(M66-Q70/2))</f>
        <v>1.3448375610869312</v>
      </c>
      <c r="S69" s="29">
        <f>(M60*100000)/(M67*M62*(M66-R70/2))</f>
        <v>1.3448291213276888</v>
      </c>
    </row>
    <row r="70" spans="8:24" x14ac:dyDescent="0.25">
      <c r="L70" s="11" t="s">
        <v>33</v>
      </c>
      <c r="M70" s="71">
        <f>0.7*SQRT(210)/4200</f>
        <v>2.4152294576982396E-3</v>
      </c>
      <c r="N70" s="11" t="s">
        <v>33</v>
      </c>
      <c r="O70" s="71">
        <f>0.7*SQRT(210)/4200</f>
        <v>2.4152294576982396E-3</v>
      </c>
      <c r="P70" s="28">
        <f>(P69*M62)/(0.85*M61*M64)</f>
        <v>0.87212332633273815</v>
      </c>
      <c r="Q70" s="29">
        <f>(Q69*M62)/(0.85*M61*M64)</f>
        <v>0.79171299717296795</v>
      </c>
      <c r="R70" s="29">
        <f>(R69*M62)/(0.85*M61*M64)</f>
        <v>0.79108091828643012</v>
      </c>
      <c r="S70" s="29">
        <f>(S69*M62)/(0.85*M61*M64)</f>
        <v>0.79107595372216988</v>
      </c>
    </row>
    <row r="71" spans="8:24" x14ac:dyDescent="0.25">
      <c r="L71" s="13" t="s">
        <v>36</v>
      </c>
      <c r="M71" s="14">
        <f>M70*M64*M66</f>
        <v>4.9033988450189661</v>
      </c>
      <c r="N71" s="13" t="s">
        <v>36</v>
      </c>
      <c r="O71" s="14">
        <f>O70*O64*O66</f>
        <v>4.9033988450189661</v>
      </c>
      <c r="P71" s="26"/>
      <c r="Q71" s="27">
        <f>O66/5</f>
        <v>10.151</v>
      </c>
      <c r="R71" s="26"/>
      <c r="S71" s="26"/>
    </row>
    <row r="72" spans="8:24" x14ac:dyDescent="0.25">
      <c r="L72" s="11" t="s">
        <v>62</v>
      </c>
      <c r="M72" s="25">
        <f>MAX(M68,M71)</f>
        <v>4.9033988450189661</v>
      </c>
      <c r="N72" s="11" t="s">
        <v>62</v>
      </c>
      <c r="O72" s="25">
        <f>MAX(O68,O71)</f>
        <v>4.9033988450189661</v>
      </c>
      <c r="P72" s="28">
        <f>(O60*100000)/(O67*O62*(O66-Q71/2))</f>
        <v>0.69497327567140077</v>
      </c>
      <c r="Q72" s="29">
        <f>(O60*100000)/(O67*O62*(O66-P73/2))</f>
        <v>0.62800509189102072</v>
      </c>
      <c r="R72" s="29">
        <f>(O60*100000)/(O67*O62*(O66-Q73/2))</f>
        <v>0.62776049141262869</v>
      </c>
      <c r="S72" s="29">
        <f>(O60*100000)/(O67*O62*(O66-R73/2))</f>
        <v>0.62775959836158945</v>
      </c>
    </row>
    <row r="73" spans="8:24" x14ac:dyDescent="0.25">
      <c r="H73" t="s">
        <v>190</v>
      </c>
      <c r="I73" s="72">
        <f>M91</f>
        <v>4.9033988450189661</v>
      </c>
      <c r="L73" s="96" t="s">
        <v>260</v>
      </c>
      <c r="M73" s="14">
        <f>3*M5+0*M4</f>
        <v>5.9399999999999995</v>
      </c>
      <c r="N73" s="96" t="s">
        <v>258</v>
      </c>
      <c r="O73" s="14">
        <f>2*M5+1*M4</f>
        <v>5.25</v>
      </c>
      <c r="P73" s="28">
        <f>(P72*O62)/(0.85*O61*O64)</f>
        <v>0.40880780921847104</v>
      </c>
      <c r="Q73" s="29">
        <f>(Q72*O62)/(0.85*O61*O64)</f>
        <v>0.36941475993589451</v>
      </c>
      <c r="R73" s="29">
        <f>(R72*O62)/(0.85*O61*O64)</f>
        <v>0.36927087730154629</v>
      </c>
      <c r="S73" s="29">
        <f>(S72*O62)/(0.85*O61*O64)</f>
        <v>0.36927035197740554</v>
      </c>
    </row>
    <row r="74" spans="8:24" x14ac:dyDescent="0.25">
      <c r="I74" s="72">
        <f>3*M5</f>
        <v>5.9399999999999995</v>
      </c>
      <c r="L74" s="104" t="s">
        <v>261</v>
      </c>
      <c r="M74" s="105"/>
      <c r="N74" s="104" t="s">
        <v>262</v>
      </c>
      <c r="O74" s="105"/>
      <c r="P74" s="40"/>
      <c r="Q74" s="26"/>
      <c r="R74" s="26"/>
      <c r="S74" s="26"/>
    </row>
    <row r="75" spans="8:24" x14ac:dyDescent="0.25">
      <c r="P75" s="40"/>
      <c r="Q75" s="40"/>
      <c r="R75" s="40"/>
    </row>
    <row r="76" spans="8:24" x14ac:dyDescent="0.25">
      <c r="H76" t="s">
        <v>47</v>
      </c>
      <c r="I76" s="69">
        <f>I74*M87*M82*(M86-M89/2)/100000</f>
        <v>10.758010970270748</v>
      </c>
      <c r="J76" t="s">
        <v>191</v>
      </c>
      <c r="L76" s="106" t="s">
        <v>96</v>
      </c>
      <c r="M76" s="106"/>
      <c r="N76" s="106"/>
      <c r="O76" s="106"/>
      <c r="P76" s="2"/>
      <c r="Q76" s="2"/>
      <c r="R76" s="2"/>
      <c r="S76" s="2"/>
      <c r="T76" s="2"/>
      <c r="U76" s="2"/>
      <c r="V76" s="2"/>
      <c r="W76" s="2"/>
      <c r="X76" s="2"/>
    </row>
    <row r="77" spans="8:24" x14ac:dyDescent="0.25">
      <c r="L77" s="106"/>
      <c r="M77" s="106"/>
      <c r="N77" s="106"/>
      <c r="O77" s="106"/>
      <c r="P77" s="2"/>
      <c r="Q77" s="2"/>
      <c r="R77" s="2"/>
      <c r="S77" s="2"/>
      <c r="T77" s="2"/>
      <c r="U77" s="2"/>
      <c r="V77" s="2"/>
      <c r="W77" s="2"/>
      <c r="X77" s="2"/>
    </row>
    <row r="78" spans="8:24" x14ac:dyDescent="0.25">
      <c r="H78" t="s">
        <v>214</v>
      </c>
      <c r="L78" s="102" t="s">
        <v>99</v>
      </c>
      <c r="M78" s="103"/>
      <c r="N78" s="102" t="s">
        <v>100</v>
      </c>
      <c r="O78" s="103"/>
      <c r="P78" s="2"/>
      <c r="Q78" s="2"/>
      <c r="R78" s="2"/>
      <c r="S78" s="2"/>
      <c r="T78" s="2"/>
      <c r="U78" s="2"/>
      <c r="V78" s="2"/>
      <c r="W78" s="2"/>
      <c r="X78" s="2"/>
    </row>
    <row r="79" spans="8:24" x14ac:dyDescent="0.25">
      <c r="L79" s="8" t="s">
        <v>44</v>
      </c>
      <c r="M79" s="4" t="s">
        <v>46</v>
      </c>
      <c r="N79" s="8" t="s">
        <v>44</v>
      </c>
      <c r="O79" s="4" t="s">
        <v>46</v>
      </c>
      <c r="P79" s="2"/>
      <c r="Q79" s="2"/>
      <c r="R79" s="2"/>
      <c r="S79" s="2"/>
      <c r="T79" s="2"/>
      <c r="U79" s="2"/>
      <c r="V79" s="2"/>
      <c r="W79" s="2"/>
      <c r="X79" s="2"/>
    </row>
    <row r="80" spans="8:24" x14ac:dyDescent="0.25">
      <c r="H80" t="s">
        <v>192</v>
      </c>
      <c r="I80" s="73">
        <f>214-137</f>
        <v>77</v>
      </c>
      <c r="L80" s="7" t="s">
        <v>47</v>
      </c>
      <c r="M80" s="20">
        <v>17.5</v>
      </c>
      <c r="N80" s="7" t="s">
        <v>47</v>
      </c>
      <c r="O80" s="20">
        <v>1.2</v>
      </c>
      <c r="Q80" s="2"/>
      <c r="R80" s="2"/>
      <c r="S80" s="2"/>
      <c r="T80" s="2"/>
      <c r="U80" s="2"/>
      <c r="V80" s="2"/>
      <c r="W80" s="2"/>
      <c r="X80" s="2"/>
    </row>
    <row r="81" spans="8:24" x14ac:dyDescent="0.25">
      <c r="H81" t="s">
        <v>51</v>
      </c>
      <c r="I81" s="73">
        <f>M66</f>
        <v>50.754999999999995</v>
      </c>
      <c r="L81" s="7" t="s">
        <v>48</v>
      </c>
      <c r="M81" s="21">
        <v>210</v>
      </c>
      <c r="N81" s="7" t="s">
        <v>48</v>
      </c>
      <c r="O81" s="21">
        <v>210</v>
      </c>
      <c r="Q81" s="2"/>
      <c r="R81" s="2"/>
      <c r="S81" s="2"/>
      <c r="T81" s="2"/>
      <c r="U81" s="2"/>
      <c r="V81" s="2"/>
      <c r="W81" s="2"/>
      <c r="X81" s="2"/>
    </row>
    <row r="82" spans="8:24" x14ac:dyDescent="0.25">
      <c r="H82" t="s">
        <v>193</v>
      </c>
      <c r="I82" s="73">
        <f>12*N5</f>
        <v>19.080000000000002</v>
      </c>
      <c r="L82" s="7" t="s">
        <v>253</v>
      </c>
      <c r="M82" s="21">
        <v>4200</v>
      </c>
      <c r="N82" s="7" t="s">
        <v>253</v>
      </c>
      <c r="O82" s="21">
        <v>4200</v>
      </c>
    </row>
    <row r="83" spans="8:24" x14ac:dyDescent="0.25">
      <c r="H83" t="s">
        <v>194</v>
      </c>
      <c r="I83" s="73">
        <f>I80+(MAX(I81:I82)*2)</f>
        <v>178.51</v>
      </c>
      <c r="L83" s="7" t="s">
        <v>93</v>
      </c>
      <c r="M83" s="16">
        <v>60</v>
      </c>
      <c r="N83" s="7" t="s">
        <v>93</v>
      </c>
      <c r="O83" s="16">
        <v>60</v>
      </c>
    </row>
    <row r="84" spans="8:24" x14ac:dyDescent="0.25">
      <c r="L84" s="7" t="s">
        <v>34</v>
      </c>
      <c r="M84" s="16">
        <v>40</v>
      </c>
      <c r="N84" s="7" t="s">
        <v>34</v>
      </c>
      <c r="O84" s="16">
        <v>40</v>
      </c>
    </row>
    <row r="85" spans="8:24" x14ac:dyDescent="0.25">
      <c r="H85" t="s">
        <v>195</v>
      </c>
      <c r="L85" s="7" t="s">
        <v>50</v>
      </c>
      <c r="M85" s="67">
        <v>7.5</v>
      </c>
      <c r="N85" s="7" t="s">
        <v>50</v>
      </c>
      <c r="O85" s="67">
        <v>7.5</v>
      </c>
    </row>
    <row r="86" spans="8:24" x14ac:dyDescent="0.25">
      <c r="H86">
        <f>(M64-2*M65-2*N3-6*N5)/5</f>
        <v>2.7120000000000002</v>
      </c>
      <c r="I86" s="55" t="s">
        <v>196</v>
      </c>
      <c r="L86" s="7" t="s">
        <v>51</v>
      </c>
      <c r="M86" s="16">
        <f>M83-M85-N3-N5/2</f>
        <v>50.754999999999995</v>
      </c>
      <c r="N86" s="7" t="s">
        <v>51</v>
      </c>
      <c r="O86" s="16">
        <f>O83-O85-N3-N5/2</f>
        <v>50.754999999999995</v>
      </c>
      <c r="P86" s="40"/>
      <c r="Q86" s="40"/>
    </row>
    <row r="87" spans="8:24" x14ac:dyDescent="0.25">
      <c r="L87" s="11" t="s">
        <v>52</v>
      </c>
      <c r="M87" s="23">
        <v>0.9</v>
      </c>
      <c r="N87" s="11" t="s">
        <v>52</v>
      </c>
      <c r="O87" s="23">
        <v>0.9</v>
      </c>
      <c r="P87" s="26"/>
      <c r="Q87" s="26"/>
      <c r="R87" s="26"/>
      <c r="S87" s="26"/>
    </row>
    <row r="88" spans="8:24" x14ac:dyDescent="0.25">
      <c r="L88" s="24" t="s">
        <v>54</v>
      </c>
      <c r="M88" s="25">
        <f>S89</f>
        <v>9.6626598662081911</v>
      </c>
      <c r="N88" s="24" t="s">
        <v>54</v>
      </c>
      <c r="O88" s="25">
        <f>S92</f>
        <v>0.62775959836158945</v>
      </c>
      <c r="P88" s="26"/>
      <c r="Q88" s="27">
        <f>M86/5</f>
        <v>10.151</v>
      </c>
      <c r="R88" s="26"/>
      <c r="S88" s="26"/>
    </row>
    <row r="89" spans="8:24" x14ac:dyDescent="0.25">
      <c r="L89" s="24" t="s">
        <v>53</v>
      </c>
      <c r="M89" s="15">
        <f>S90</f>
        <v>5.6839175683577592</v>
      </c>
      <c r="N89" s="24" t="s">
        <v>53</v>
      </c>
      <c r="O89" s="15">
        <f>S93</f>
        <v>0.36927035197740554</v>
      </c>
      <c r="P89" s="28">
        <f>(M80*100000)/(M87*M82*(M86-Q88/2))</f>
        <v>10.135026936874594</v>
      </c>
      <c r="Q89" s="29">
        <f>(M80*100000)/(M87*M82*(M86-P90/2))</f>
        <v>9.6906664641840372</v>
      </c>
      <c r="R89" s="29">
        <f>(M80*100000)/(M87*M82*(M86-Q90/2))</f>
        <v>9.6642283129976061</v>
      </c>
      <c r="S89" s="29">
        <f>(M80*100000)/(M87*M82*(M86-R90/2))</f>
        <v>9.6626598662081911</v>
      </c>
    </row>
    <row r="90" spans="8:24" x14ac:dyDescent="0.25">
      <c r="L90" s="11" t="s">
        <v>33</v>
      </c>
      <c r="M90" s="71">
        <f>0.7*SQRT(210)/4200</f>
        <v>2.4152294576982396E-3</v>
      </c>
      <c r="N90" s="11" t="s">
        <v>33</v>
      </c>
      <c r="O90" s="71">
        <f>0.7*SQRT(210)/4200</f>
        <v>2.4152294576982396E-3</v>
      </c>
      <c r="P90" s="28">
        <f>(P89*M82)/(0.85*M81*M84)</f>
        <v>5.9617805511027022</v>
      </c>
      <c r="Q90" s="29">
        <f>(Q89*M82)/(0.85*M81*M84)</f>
        <v>5.7003920377553161</v>
      </c>
      <c r="R90" s="29">
        <f>(R89*M82)/(0.85*M81*M84)</f>
        <v>5.684840184116239</v>
      </c>
      <c r="S90" s="29">
        <f>(S89*M82)/(0.85*M81*M84)</f>
        <v>5.6839175683577592</v>
      </c>
    </row>
    <row r="91" spans="8:24" x14ac:dyDescent="0.25">
      <c r="L91" s="13" t="s">
        <v>36</v>
      </c>
      <c r="M91" s="14">
        <f>M90*M84*M86</f>
        <v>4.9033988450189661</v>
      </c>
      <c r="N91" s="13" t="s">
        <v>36</v>
      </c>
      <c r="O91" s="14">
        <f>O90*O84*O86</f>
        <v>4.9033988450189661</v>
      </c>
      <c r="P91" s="26"/>
      <c r="Q91" s="27">
        <f>O86/5</f>
        <v>10.151</v>
      </c>
      <c r="R91" s="26"/>
      <c r="S91" s="26"/>
    </row>
    <row r="92" spans="8:24" x14ac:dyDescent="0.25">
      <c r="L92" s="11" t="s">
        <v>62</v>
      </c>
      <c r="M92" s="25">
        <f>MAX(M88,M91)</f>
        <v>9.6626598662081911</v>
      </c>
      <c r="N92" s="11" t="s">
        <v>62</v>
      </c>
      <c r="O92" s="25">
        <f>MAX(O88,O91)</f>
        <v>4.9033988450189661</v>
      </c>
      <c r="P92" s="28">
        <f>(O80*100000)/(O87*O82*(O86-Q91/2))</f>
        <v>0.69497327567140077</v>
      </c>
      <c r="Q92" s="29">
        <f>(O80*100000)/(O87*O82*(O86-P93/2))</f>
        <v>0.62800509189102072</v>
      </c>
      <c r="R92" s="29">
        <f>(O80*100000)/(O87*O82*(O86-Q93/2))</f>
        <v>0.62776049141262869</v>
      </c>
      <c r="S92" s="29">
        <f>(O80*100000)/(O87*O82*(O86-R93/2))</f>
        <v>0.62775959836158945</v>
      </c>
    </row>
    <row r="93" spans="8:24" x14ac:dyDescent="0.25">
      <c r="H93" t="s">
        <v>195</v>
      </c>
      <c r="L93" s="13" t="s">
        <v>259</v>
      </c>
      <c r="M93" s="14">
        <f>5*M5+0*M4</f>
        <v>9.9</v>
      </c>
      <c r="N93" s="96" t="s">
        <v>258</v>
      </c>
      <c r="O93" s="14">
        <f>2*M5+1*M4</f>
        <v>5.25</v>
      </c>
      <c r="P93" s="28">
        <f>(P92*O82)/(0.85*O81*O84)</f>
        <v>0.40880780921847104</v>
      </c>
      <c r="Q93" s="29">
        <f>(Q92*O82)/(0.85*O81*O84)</f>
        <v>0.36941475993589451</v>
      </c>
      <c r="R93" s="29">
        <f>(R92*O82)/(0.85*O81*O84)</f>
        <v>0.36927087730154629</v>
      </c>
      <c r="S93" s="29">
        <f>(S92*O82)/(0.85*O81*O84)</f>
        <v>0.36927035197740554</v>
      </c>
    </row>
    <row r="94" spans="8:24" x14ac:dyDescent="0.25">
      <c r="H94" s="69">
        <f>(M84-2*M85-5*N5-2*N3)/4</f>
        <v>3.7875000000000001</v>
      </c>
      <c r="I94" t="s">
        <v>116</v>
      </c>
      <c r="L94" s="104" t="s">
        <v>263</v>
      </c>
      <c r="M94" s="105"/>
      <c r="N94" s="104" t="s">
        <v>262</v>
      </c>
      <c r="O94" s="105"/>
      <c r="P94" s="26"/>
      <c r="Q94" s="26"/>
      <c r="R94" s="26"/>
      <c r="S94" s="26"/>
    </row>
    <row r="96" spans="8:24" x14ac:dyDescent="0.25">
      <c r="L96" s="106" t="s">
        <v>96</v>
      </c>
      <c r="M96" s="106"/>
      <c r="N96" s="106"/>
      <c r="O96" s="106"/>
      <c r="P96" s="2"/>
      <c r="Q96" s="2"/>
      <c r="R96" s="2"/>
      <c r="S96" s="2"/>
      <c r="T96" s="2"/>
      <c r="U96" s="2"/>
      <c r="V96" s="2"/>
      <c r="W96" s="2"/>
      <c r="X96" s="2"/>
    </row>
    <row r="97" spans="12:24" x14ac:dyDescent="0.25">
      <c r="L97" s="106"/>
      <c r="M97" s="106"/>
      <c r="N97" s="106"/>
      <c r="O97" s="106"/>
      <c r="P97" s="2"/>
      <c r="Q97" s="2"/>
      <c r="R97" s="2"/>
      <c r="S97" s="2"/>
      <c r="T97" s="2"/>
      <c r="U97" s="2"/>
      <c r="V97" s="2"/>
      <c r="W97" s="2"/>
      <c r="X97" s="2"/>
    </row>
    <row r="98" spans="12:24" x14ac:dyDescent="0.25">
      <c r="L98" s="102" t="s">
        <v>101</v>
      </c>
      <c r="M98" s="103"/>
      <c r="N98" s="102" t="s">
        <v>102</v>
      </c>
      <c r="O98" s="103"/>
      <c r="P98" s="2"/>
      <c r="Q98" s="2"/>
      <c r="R98" s="2"/>
      <c r="S98" s="2"/>
      <c r="T98" s="2"/>
      <c r="U98" s="2"/>
      <c r="V98" s="2"/>
      <c r="W98" s="2"/>
      <c r="X98" s="2"/>
    </row>
    <row r="99" spans="12:24" x14ac:dyDescent="0.25">
      <c r="L99" s="8" t="s">
        <v>44</v>
      </c>
      <c r="M99" s="4" t="s">
        <v>46</v>
      </c>
      <c r="N99" s="8" t="s">
        <v>44</v>
      </c>
      <c r="O99" s="4" t="s">
        <v>46</v>
      </c>
      <c r="P99" s="2"/>
      <c r="Q99" s="2"/>
      <c r="R99" s="2"/>
      <c r="S99" s="2"/>
      <c r="T99" s="2"/>
      <c r="U99" s="2"/>
      <c r="V99" s="2"/>
      <c r="W99" s="2"/>
      <c r="X99" s="2"/>
    </row>
    <row r="100" spans="12:24" x14ac:dyDescent="0.25">
      <c r="L100" s="7" t="s">
        <v>47</v>
      </c>
      <c r="M100" s="20">
        <v>0.56999999999999995</v>
      </c>
      <c r="N100" s="7" t="s">
        <v>47</v>
      </c>
      <c r="O100" s="20">
        <v>4.5999999999999996</v>
      </c>
      <c r="Q100" s="2"/>
      <c r="R100" s="2"/>
      <c r="S100" s="2"/>
      <c r="T100" s="2"/>
      <c r="U100" s="2"/>
      <c r="V100" s="2"/>
      <c r="W100" s="2"/>
      <c r="X100" s="2"/>
    </row>
    <row r="101" spans="12:24" x14ac:dyDescent="0.25">
      <c r="L101" s="7" t="s">
        <v>48</v>
      </c>
      <c r="M101" s="21">
        <v>210</v>
      </c>
      <c r="N101" s="7" t="s">
        <v>48</v>
      </c>
      <c r="O101" s="21">
        <v>210</v>
      </c>
      <c r="Q101" s="2"/>
      <c r="R101" s="2"/>
      <c r="S101" s="2"/>
      <c r="T101" s="2"/>
      <c r="U101" s="2"/>
      <c r="V101" s="2"/>
      <c r="W101" s="2"/>
      <c r="X101" s="2"/>
    </row>
    <row r="102" spans="12:24" x14ac:dyDescent="0.25">
      <c r="L102" s="7" t="s">
        <v>253</v>
      </c>
      <c r="M102" s="21">
        <v>4200</v>
      </c>
      <c r="N102" s="7" t="s">
        <v>253</v>
      </c>
      <c r="O102" s="21">
        <v>4200</v>
      </c>
    </row>
    <row r="103" spans="12:24" x14ac:dyDescent="0.25">
      <c r="L103" s="7" t="s">
        <v>93</v>
      </c>
      <c r="M103" s="16">
        <v>60</v>
      </c>
      <c r="N103" s="7" t="s">
        <v>93</v>
      </c>
      <c r="O103" s="16">
        <v>60</v>
      </c>
    </row>
    <row r="104" spans="12:24" x14ac:dyDescent="0.25">
      <c r="L104" s="7" t="s">
        <v>34</v>
      </c>
      <c r="M104" s="16">
        <v>40</v>
      </c>
      <c r="N104" s="7" t="s">
        <v>34</v>
      </c>
      <c r="O104" s="16">
        <v>40</v>
      </c>
    </row>
    <row r="105" spans="12:24" x14ac:dyDescent="0.25">
      <c r="L105" s="7" t="s">
        <v>50</v>
      </c>
      <c r="M105" s="67">
        <v>7.5</v>
      </c>
      <c r="N105" s="7" t="s">
        <v>50</v>
      </c>
      <c r="O105" s="67">
        <v>7.5</v>
      </c>
    </row>
    <row r="106" spans="12:24" x14ac:dyDescent="0.25">
      <c r="L106" s="7" t="s">
        <v>51</v>
      </c>
      <c r="M106" s="16">
        <f>M103-M105-N3-N5/2</f>
        <v>50.754999999999995</v>
      </c>
      <c r="N106" s="7" t="s">
        <v>51</v>
      </c>
      <c r="O106" s="16">
        <f>O103-O105-N3-N5/2</f>
        <v>50.754999999999995</v>
      </c>
      <c r="P106" s="40"/>
      <c r="Q106" s="40"/>
    </row>
    <row r="107" spans="12:24" x14ac:dyDescent="0.25">
      <c r="L107" s="11" t="s">
        <v>52</v>
      </c>
      <c r="M107" s="23">
        <v>0.9</v>
      </c>
      <c r="N107" s="11" t="s">
        <v>52</v>
      </c>
      <c r="O107" s="23">
        <v>0.9</v>
      </c>
      <c r="P107" s="26"/>
      <c r="Q107" s="26"/>
      <c r="R107" s="26"/>
      <c r="S107" s="26"/>
    </row>
    <row r="108" spans="12:24" x14ac:dyDescent="0.25">
      <c r="L108" s="24" t="s">
        <v>54</v>
      </c>
      <c r="M108" s="25">
        <f>S109</f>
        <v>0.29761435036947781</v>
      </c>
      <c r="N108" s="24" t="s">
        <v>54</v>
      </c>
      <c r="O108" s="25">
        <f>S112</f>
        <v>2.4319308755163371</v>
      </c>
      <c r="P108" s="26"/>
      <c r="Q108" s="27">
        <f>M106/5</f>
        <v>10.151</v>
      </c>
      <c r="R108" s="26"/>
      <c r="S108" s="26"/>
    </row>
    <row r="109" spans="12:24" x14ac:dyDescent="0.25">
      <c r="L109" s="24" t="s">
        <v>53</v>
      </c>
      <c r="M109" s="15">
        <f>S110</f>
        <v>0.17506726492322222</v>
      </c>
      <c r="N109" s="24" t="s">
        <v>53</v>
      </c>
      <c r="O109" s="15">
        <f>S113</f>
        <v>1.4305475738331395</v>
      </c>
      <c r="P109" s="28">
        <f>(M100*100000)/(M107*M102*(M106-Q108/2))</f>
        <v>0.33011230594391533</v>
      </c>
      <c r="Q109" s="29">
        <f>(M100*100000)/(M107*M102*(M106-P110/2))</f>
        <v>0.29767050459546007</v>
      </c>
      <c r="R109" s="29">
        <f>(M100*100000)/(M107*M102*(M106-Q110/2))</f>
        <v>0.29761444721481278</v>
      </c>
      <c r="S109" s="29">
        <f>(M100*100000)/(M107*M102*(M106-R110/2))</f>
        <v>0.29761435036947781</v>
      </c>
    </row>
    <row r="110" spans="12:24" x14ac:dyDescent="0.25">
      <c r="L110" s="11" t="s">
        <v>33</v>
      </c>
      <c r="M110" s="71">
        <f>0.7*SQRT(210)/4200</f>
        <v>2.4152294576982396E-3</v>
      </c>
      <c r="N110" s="11" t="s">
        <v>33</v>
      </c>
      <c r="O110" s="71">
        <f>0.7*SQRT(210)/4200</f>
        <v>2.4152294576982396E-3</v>
      </c>
      <c r="P110" s="28">
        <f>(P109*M102)/(0.85*M101*M104)</f>
        <v>0.19418370937877372</v>
      </c>
      <c r="Q110" s="29">
        <f>(Q109*M102)/(0.85*M101*M104)</f>
        <v>0.17510029682085887</v>
      </c>
      <c r="R110" s="29">
        <f>(R109*M102)/(0.85*M101*M104)</f>
        <v>0.17506732189106633</v>
      </c>
      <c r="S110" s="29">
        <f>(S109*M102)/(0.85*M101*M104)</f>
        <v>0.17506726492322222</v>
      </c>
    </row>
    <row r="111" spans="12:24" x14ac:dyDescent="0.25">
      <c r="L111" s="13" t="s">
        <v>36</v>
      </c>
      <c r="M111" s="14">
        <f>M110*M104*M106</f>
        <v>4.9033988450189661</v>
      </c>
      <c r="N111" s="13" t="s">
        <v>36</v>
      </c>
      <c r="O111" s="14">
        <f>O110*O104*O106</f>
        <v>4.9033988450189661</v>
      </c>
      <c r="P111" s="26"/>
      <c r="Q111" s="27">
        <f>O106/5</f>
        <v>10.151</v>
      </c>
      <c r="R111" s="26"/>
      <c r="S111" s="26"/>
    </row>
    <row r="112" spans="12:24" x14ac:dyDescent="0.25">
      <c r="L112" s="11" t="s">
        <v>62</v>
      </c>
      <c r="M112" s="25">
        <f>MAX(M108,M111)</f>
        <v>4.9033988450189661</v>
      </c>
      <c r="N112" s="11" t="s">
        <v>62</v>
      </c>
      <c r="O112" s="25">
        <f>MAX(O108,O111)</f>
        <v>4.9033988450189661</v>
      </c>
      <c r="P112" s="28">
        <f>(O100*100000)/(O107*O102*(O106-Q111/2))</f>
        <v>2.6640642234070357</v>
      </c>
      <c r="Q112" s="29">
        <f>(O100*100000)/(O107*O102*(O106-P113/2))</f>
        <v>2.4352528805074116</v>
      </c>
      <c r="R112" s="29">
        <f>(O100*100000)/(O107*O102*(O106-Q113/2))</f>
        <v>2.4319776923586778</v>
      </c>
      <c r="S112" s="29">
        <f>(O100*100000)/(O107*O102*(O106-R113/2))</f>
        <v>2.4319308755163371</v>
      </c>
    </row>
    <row r="113" spans="12:24" x14ac:dyDescent="0.25">
      <c r="L113" s="96" t="s">
        <v>260</v>
      </c>
      <c r="M113" s="14">
        <f>3*M5+0*M4</f>
        <v>5.9399999999999995</v>
      </c>
      <c r="N113" s="96" t="s">
        <v>258</v>
      </c>
      <c r="O113" s="14">
        <f>2*M5+1*M4</f>
        <v>5.25</v>
      </c>
      <c r="P113" s="28">
        <f>(P112*O102)/(0.85*O101*O104)</f>
        <v>1.5670966020041388</v>
      </c>
      <c r="Q113" s="29">
        <f>(Q112*O102)/(0.85*O101*O104)</f>
        <v>1.4325016944161246</v>
      </c>
      <c r="R113" s="29">
        <f>(R112*O102)/(0.85*O101*O104)</f>
        <v>1.4305751131521633</v>
      </c>
      <c r="S113" s="29">
        <f>(S112*O102)/(0.85*O101*O104)</f>
        <v>1.4305475738331395</v>
      </c>
    </row>
    <row r="114" spans="12:24" x14ac:dyDescent="0.25">
      <c r="L114" s="104" t="s">
        <v>261</v>
      </c>
      <c r="M114" s="105"/>
      <c r="N114" s="104" t="s">
        <v>262</v>
      </c>
      <c r="O114" s="105"/>
      <c r="P114" s="26"/>
      <c r="Q114" s="26"/>
      <c r="R114" s="26"/>
      <c r="S114" s="26"/>
    </row>
    <row r="116" spans="12:24" x14ac:dyDescent="0.25">
      <c r="L116" s="99" t="s">
        <v>103</v>
      </c>
      <c r="M116" s="99"/>
      <c r="Q116" s="19" t="s">
        <v>197</v>
      </c>
    </row>
    <row r="117" spans="12:24" x14ac:dyDescent="0.25">
      <c r="L117" s="99"/>
      <c r="M117" s="99"/>
      <c r="Q117" t="s">
        <v>198</v>
      </c>
      <c r="S117" s="73">
        <f>MIN(M83:M84)</f>
        <v>40</v>
      </c>
    </row>
    <row r="118" spans="12:24" x14ac:dyDescent="0.25">
      <c r="L118" s="7" t="s">
        <v>104</v>
      </c>
      <c r="M118" s="53">
        <v>12.2</v>
      </c>
      <c r="N118" s="54" t="s">
        <v>107</v>
      </c>
      <c r="O118" s="55" t="str">
        <f>IF(OR(M119&lt;M121,M119=M121),"Ok","NO")</f>
        <v>NO</v>
      </c>
      <c r="Q118" t="s">
        <v>200</v>
      </c>
      <c r="S118" s="73">
        <v>30</v>
      </c>
    </row>
    <row r="119" spans="12:24" x14ac:dyDescent="0.25">
      <c r="L119" s="8" t="s">
        <v>105</v>
      </c>
      <c r="M119" s="53">
        <f>M118/0.85</f>
        <v>14.352941176470587</v>
      </c>
      <c r="N119" s="51" t="s">
        <v>108</v>
      </c>
      <c r="O119" s="55" t="s">
        <v>264</v>
      </c>
      <c r="Q119" t="s">
        <v>199</v>
      </c>
      <c r="S119" s="73">
        <f>16*N5</f>
        <v>25.44</v>
      </c>
    </row>
    <row r="120" spans="12:24" x14ac:dyDescent="0.25">
      <c r="L120" s="7" t="s">
        <v>106</v>
      </c>
      <c r="M120" s="53">
        <f>0.53*SQRT(210)*M84*M86*10^-3</f>
        <v>15.592808327160313</v>
      </c>
      <c r="N120" s="51" t="s">
        <v>109</v>
      </c>
      <c r="O120" s="56" t="str">
        <f>IF(M119&gt;M120,"OK","NO")</f>
        <v>NO</v>
      </c>
    </row>
    <row r="121" spans="12:24" x14ac:dyDescent="0.25">
      <c r="L121" s="7" t="s">
        <v>110</v>
      </c>
      <c r="M121" s="53">
        <f>M120/2</f>
        <v>7.7964041635801564</v>
      </c>
      <c r="Q121" s="19" t="s">
        <v>201</v>
      </c>
      <c r="S121" s="73">
        <f>2*M83</f>
        <v>120</v>
      </c>
    </row>
    <row r="122" spans="12:24" x14ac:dyDescent="0.25">
      <c r="L122" s="7" t="s">
        <v>111</v>
      </c>
      <c r="M122" s="53">
        <f>M119-M120</f>
        <v>-1.2398671506897259</v>
      </c>
      <c r="Q122" s="19" t="s">
        <v>202</v>
      </c>
      <c r="S122" s="80">
        <f>400-120-120</f>
        <v>160</v>
      </c>
    </row>
    <row r="123" spans="12:24" x14ac:dyDescent="0.25">
      <c r="L123" s="7" t="s">
        <v>38</v>
      </c>
      <c r="M123" s="15">
        <f>(2*M3*M102*M106)/(M122*10^3)</f>
        <v>-244.14133387727014</v>
      </c>
    </row>
    <row r="124" spans="12:24" x14ac:dyDescent="0.25">
      <c r="Q124" s="19" t="s">
        <v>203</v>
      </c>
    </row>
    <row r="125" spans="12:24" x14ac:dyDescent="0.25">
      <c r="L125" s="116" t="s">
        <v>265</v>
      </c>
      <c r="M125" s="116"/>
      <c r="N125" s="116"/>
      <c r="O125" s="116"/>
      <c r="X125" s="97">
        <v>15</v>
      </c>
    </row>
    <row r="126" spans="12:24" x14ac:dyDescent="0.25">
      <c r="X126" s="74">
        <f>10*N4</f>
        <v>12.7</v>
      </c>
    </row>
    <row r="127" spans="12:24" x14ac:dyDescent="0.25">
      <c r="X127" s="73">
        <f>24*N3</f>
        <v>22.799999999999997</v>
      </c>
    </row>
    <row r="128" spans="12:24" x14ac:dyDescent="0.25">
      <c r="X128" s="73">
        <v>30</v>
      </c>
    </row>
    <row r="129" spans="12:18" x14ac:dyDescent="0.25">
      <c r="L129" s="7" t="s">
        <v>206</v>
      </c>
      <c r="M129" s="7" t="s">
        <v>207</v>
      </c>
    </row>
    <row r="130" spans="12:18" x14ac:dyDescent="0.25">
      <c r="L130" s="12" t="s">
        <v>208</v>
      </c>
      <c r="M130" s="12" t="s">
        <v>209</v>
      </c>
      <c r="Q130" s="19" t="s">
        <v>204</v>
      </c>
    </row>
    <row r="131" spans="12:18" x14ac:dyDescent="0.25">
      <c r="L131" s="12" t="s">
        <v>210</v>
      </c>
      <c r="M131" s="79" t="s">
        <v>211</v>
      </c>
      <c r="Q131" t="s">
        <v>205</v>
      </c>
      <c r="R131" s="74">
        <f>M86/2</f>
        <v>25.377499999999998</v>
      </c>
    </row>
    <row r="132" spans="12:18" x14ac:dyDescent="0.25">
      <c r="L132" s="12" t="s">
        <v>212</v>
      </c>
      <c r="M132" s="12" t="s">
        <v>213</v>
      </c>
      <c r="R132" s="97">
        <f>M123</f>
        <v>-244.14133387727014</v>
      </c>
    </row>
  </sheetData>
  <mergeCells count="45">
    <mergeCell ref="B10:C10"/>
    <mergeCell ref="B2:C2"/>
    <mergeCell ref="G2:J2"/>
    <mergeCell ref="B3:C3"/>
    <mergeCell ref="B4:C4"/>
    <mergeCell ref="B5:C5"/>
    <mergeCell ref="G9:J9"/>
    <mergeCell ref="B6:C6"/>
    <mergeCell ref="B7:C7"/>
    <mergeCell ref="B8:C8"/>
    <mergeCell ref="B9:C9"/>
    <mergeCell ref="L78:M78"/>
    <mergeCell ref="N78:O78"/>
    <mergeCell ref="L9:M10"/>
    <mergeCell ref="L11:M12"/>
    <mergeCell ref="L35:O36"/>
    <mergeCell ref="L37:M37"/>
    <mergeCell ref="N37:O37"/>
    <mergeCell ref="L14:O15"/>
    <mergeCell ref="L16:M16"/>
    <mergeCell ref="N16:O16"/>
    <mergeCell ref="L33:M33"/>
    <mergeCell ref="N33:O33"/>
    <mergeCell ref="I16:J16"/>
    <mergeCell ref="L56:O57"/>
    <mergeCell ref="L58:M58"/>
    <mergeCell ref="N58:O58"/>
    <mergeCell ref="L74:M74"/>
    <mergeCell ref="N74:O74"/>
    <mergeCell ref="P2:Q3"/>
    <mergeCell ref="P8:Q9"/>
    <mergeCell ref="S2:T3"/>
    <mergeCell ref="S8:T9"/>
    <mergeCell ref="L125:O125"/>
    <mergeCell ref="L96:O97"/>
    <mergeCell ref="L98:M98"/>
    <mergeCell ref="N98:O98"/>
    <mergeCell ref="L114:M114"/>
    <mergeCell ref="N114:O114"/>
    <mergeCell ref="L116:M117"/>
    <mergeCell ref="L94:M94"/>
    <mergeCell ref="N94:O94"/>
    <mergeCell ref="L54:M54"/>
    <mergeCell ref="N54:O54"/>
    <mergeCell ref="L76:O77"/>
  </mergeCells>
  <pageMargins left="0.7" right="0.7" top="0.75" bottom="0.75" header="0.3" footer="0.3"/>
  <pageSetup paperSize="9" scale="31" orientation="portrait" horizontalDpi="30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F05B-4388-4F04-A8BC-ED0DB5DDB980}">
  <dimension ref="B2:R38"/>
  <sheetViews>
    <sheetView showGridLines="0" workbookViewId="0">
      <selection activeCell="T17" sqref="T17"/>
    </sheetView>
  </sheetViews>
  <sheetFormatPr baseColWidth="10" defaultRowHeight="15" x14ac:dyDescent="0.25"/>
  <cols>
    <col min="1" max="1" width="4.5703125" customWidth="1"/>
    <col min="2" max="2" width="7" customWidth="1"/>
    <col min="3" max="3" width="8.5703125" customWidth="1"/>
    <col min="4" max="4" width="6.140625" customWidth="1"/>
    <col min="5" max="5" width="7.42578125" customWidth="1"/>
    <col min="6" max="6" width="6.85546875" customWidth="1"/>
    <col min="7" max="7" width="4.42578125" customWidth="1"/>
    <col min="9" max="9" width="2.28515625" customWidth="1"/>
    <col min="11" max="11" width="3.42578125" customWidth="1"/>
    <col min="12" max="12" width="8.5703125" customWidth="1"/>
    <col min="13" max="13" width="8.140625" customWidth="1"/>
    <col min="14" max="14" width="7.5703125" customWidth="1"/>
    <col min="15" max="15" width="6.5703125" customWidth="1"/>
    <col min="17" max="17" width="13.28515625" customWidth="1"/>
    <col min="18" max="18" width="12.85546875" customWidth="1"/>
  </cols>
  <sheetData>
    <row r="2" spans="2:18" x14ac:dyDescent="0.25">
      <c r="B2" s="137" t="s">
        <v>40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9"/>
    </row>
    <row r="4" spans="2:18" x14ac:dyDescent="0.25">
      <c r="C4" s="143">
        <v>0.4</v>
      </c>
      <c r="D4" s="143"/>
      <c r="E4" s="143"/>
      <c r="H4" s="107" t="s">
        <v>80</v>
      </c>
      <c r="I4" s="107"/>
      <c r="J4" s="107" t="s">
        <v>56</v>
      </c>
      <c r="K4" s="107"/>
      <c r="L4" s="107" t="s">
        <v>81</v>
      </c>
      <c r="M4" s="107"/>
      <c r="N4" s="107" t="s">
        <v>82</v>
      </c>
      <c r="O4" s="107"/>
      <c r="Q4" s="99" t="s">
        <v>40</v>
      </c>
      <c r="R4" s="99"/>
    </row>
    <row r="5" spans="2:18" x14ac:dyDescent="0.25">
      <c r="H5" s="107" t="s">
        <v>66</v>
      </c>
      <c r="I5" s="107"/>
      <c r="J5" s="140">
        <f>C13*F9</f>
        <v>1.1499999999999999</v>
      </c>
      <c r="K5" s="140"/>
      <c r="L5" s="141">
        <f>F9/2</f>
        <v>0.25</v>
      </c>
      <c r="M5" s="141"/>
      <c r="N5" s="142">
        <f>J5*L5</f>
        <v>0.28749999999999998</v>
      </c>
      <c r="O5" s="142"/>
      <c r="Q5" s="8" t="s">
        <v>41</v>
      </c>
      <c r="R5" s="16">
        <f>E8*100</f>
        <v>95</v>
      </c>
    </row>
    <row r="6" spans="2:18" ht="15.75" thickBot="1" x14ac:dyDescent="0.3">
      <c r="H6" s="107" t="s">
        <v>83</v>
      </c>
      <c r="I6" s="107"/>
      <c r="J6" s="140">
        <f>C10*(B8-F9)</f>
        <v>0.2</v>
      </c>
      <c r="K6" s="140"/>
      <c r="L6" s="141">
        <f>(B8-F9)/2+F9</f>
        <v>0.75</v>
      </c>
      <c r="M6" s="141"/>
      <c r="N6" s="142">
        <f>J6*L6</f>
        <v>0.15000000000000002</v>
      </c>
      <c r="O6" s="142"/>
      <c r="Q6" s="8" t="s">
        <v>35</v>
      </c>
      <c r="R6" s="16">
        <f>F9*100</f>
        <v>50</v>
      </c>
    </row>
    <row r="7" spans="2:18" x14ac:dyDescent="0.25">
      <c r="D7" s="130"/>
      <c r="Q7" s="8" t="s">
        <v>45</v>
      </c>
      <c r="R7" s="17" t="str">
        <f>IF(OR(R6&gt;R5/2,R6=R5/2),"CUMPLE","NO CUMPLE")</f>
        <v>CUMPLE</v>
      </c>
    </row>
    <row r="8" spans="2:18" x14ac:dyDescent="0.25">
      <c r="B8" s="135">
        <v>1</v>
      </c>
      <c r="C8" s="45">
        <f>(C13-C10)/2</f>
        <v>0.95</v>
      </c>
      <c r="D8" s="131"/>
      <c r="E8" s="46">
        <f>(C13-C10)/2</f>
        <v>0.95</v>
      </c>
      <c r="H8" s="107"/>
      <c r="I8" s="107"/>
      <c r="J8" s="107" t="s">
        <v>84</v>
      </c>
      <c r="K8" s="107"/>
      <c r="L8" s="107" t="s">
        <v>85</v>
      </c>
      <c r="M8" s="107"/>
      <c r="N8" s="107" t="s">
        <v>86</v>
      </c>
      <c r="O8" s="107"/>
    </row>
    <row r="9" spans="2:18" ht="15.75" thickBot="1" x14ac:dyDescent="0.3">
      <c r="B9" s="135"/>
      <c r="D9" s="131"/>
      <c r="F9" s="136">
        <v>0.5</v>
      </c>
      <c r="H9" s="128">
        <f>(N5+N6)/(J5+J6)</f>
        <v>0.32407407407407413</v>
      </c>
      <c r="I9" s="128"/>
      <c r="J9" s="122">
        <f>(C13*F9^3)/12</f>
        <v>2.3958333333333331E-2</v>
      </c>
      <c r="K9" s="122"/>
      <c r="L9" s="122">
        <f>J5*(L5-H9)^2</f>
        <v>6.3100137174211327E-3</v>
      </c>
      <c r="M9" s="122"/>
      <c r="N9" s="122">
        <f>J9+L9</f>
        <v>3.0268347050754464E-2</v>
      </c>
      <c r="O9" s="122"/>
      <c r="Q9" s="99" t="s">
        <v>92</v>
      </c>
      <c r="R9" s="99"/>
    </row>
    <row r="10" spans="2:18" x14ac:dyDescent="0.25">
      <c r="B10" s="135"/>
      <c r="C10" s="123">
        <v>0.4</v>
      </c>
      <c r="D10" s="124"/>
      <c r="E10" s="125"/>
      <c r="F10" s="136"/>
      <c r="H10" s="128">
        <f>(N5+N6)/(J5+J6)</f>
        <v>0.32407407407407413</v>
      </c>
      <c r="I10" s="128"/>
      <c r="J10" s="122">
        <f>(C10*(B8-F9)^3)/12</f>
        <v>4.1666666666666666E-3</v>
      </c>
      <c r="K10" s="122"/>
      <c r="L10" s="122">
        <f>J6*(L6-H10)^2</f>
        <v>3.6282578875171466E-2</v>
      </c>
      <c r="M10" s="122"/>
      <c r="N10" s="122">
        <f>J10+L10</f>
        <v>4.0449245541838132E-2</v>
      </c>
      <c r="O10" s="122"/>
      <c r="Q10" s="7" t="s">
        <v>94</v>
      </c>
      <c r="R10" s="37">
        <f>3/7</f>
        <v>0.42857142857142855</v>
      </c>
    </row>
    <row r="11" spans="2:18" x14ac:dyDescent="0.25">
      <c r="B11" s="135"/>
      <c r="C11" s="126"/>
      <c r="D11" s="124"/>
      <c r="E11" s="127"/>
      <c r="F11" s="136"/>
      <c r="N11" s="129">
        <f>N9+N10</f>
        <v>7.0717592592592596E-2</v>
      </c>
      <c r="O11" s="129"/>
      <c r="Q11" s="7" t="s">
        <v>95</v>
      </c>
      <c r="R11" s="37">
        <f>0.6/2</f>
        <v>0.3</v>
      </c>
    </row>
    <row r="12" spans="2:18" ht="15.75" thickBot="1" x14ac:dyDescent="0.3">
      <c r="C12" s="48"/>
      <c r="D12" s="49"/>
      <c r="E12" s="50"/>
      <c r="F12" s="136"/>
      <c r="H12" s="47"/>
    </row>
    <row r="13" spans="2:18" x14ac:dyDescent="0.25">
      <c r="C13" s="132">
        <v>2.2999999999999998</v>
      </c>
      <c r="D13" s="132"/>
      <c r="E13" s="132"/>
      <c r="K13" s="107" t="s">
        <v>65</v>
      </c>
      <c r="L13" s="107"/>
      <c r="M13" s="133">
        <f>(15000*SQRT(210))*10</f>
        <v>2173706.5119284154</v>
      </c>
      <c r="N13" s="133"/>
      <c r="O13" s="133"/>
    </row>
    <row r="14" spans="2:18" x14ac:dyDescent="0.25">
      <c r="K14" s="107" t="s">
        <v>66</v>
      </c>
      <c r="L14" s="107"/>
      <c r="M14" s="134">
        <f>N11</f>
        <v>7.0717592592592596E-2</v>
      </c>
      <c r="N14" s="134"/>
      <c r="O14" s="134"/>
    </row>
    <row r="15" spans="2:18" x14ac:dyDescent="0.25">
      <c r="K15" s="107" t="s">
        <v>87</v>
      </c>
      <c r="L15" s="107"/>
      <c r="M15" s="121">
        <v>4000</v>
      </c>
      <c r="N15" s="121"/>
      <c r="O15" s="121"/>
    </row>
    <row r="16" spans="2:18" x14ac:dyDescent="0.25">
      <c r="K16" s="107" t="s">
        <v>88</v>
      </c>
      <c r="L16" s="107"/>
      <c r="M16" s="119">
        <f>C13</f>
        <v>2.2999999999999998</v>
      </c>
      <c r="N16" s="119"/>
      <c r="O16" s="119"/>
    </row>
    <row r="17" spans="2:16" ht="37.5" customHeight="1" x14ac:dyDescent="0.25">
      <c r="K17" s="107"/>
      <c r="L17" s="107"/>
      <c r="M17" s="120">
        <f>1.75*((4*M13*M14)/(M15*M16))^(1/4)</f>
        <v>5.0036645120824508</v>
      </c>
      <c r="N17" s="120"/>
      <c r="O17" s="120"/>
    </row>
    <row r="18" spans="2:16" x14ac:dyDescent="0.25">
      <c r="K18" s="107" t="s">
        <v>63</v>
      </c>
      <c r="L18" s="107"/>
      <c r="M18" s="119">
        <v>5</v>
      </c>
      <c r="N18" s="119"/>
      <c r="O18" s="119"/>
    </row>
    <row r="19" spans="2:16" x14ac:dyDescent="0.25">
      <c r="M19" s="118" t="str">
        <f>IF(OR(M17&gt;M18,M17=M18),"Cumple","No Cumple")</f>
        <v>Cumple</v>
      </c>
      <c r="N19" s="118"/>
      <c r="O19" s="118"/>
    </row>
    <row r="21" spans="2:16" x14ac:dyDescent="0.25">
      <c r="B21" s="137" t="s">
        <v>149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/>
    </row>
    <row r="23" spans="2:16" x14ac:dyDescent="0.25">
      <c r="C23" s="143">
        <v>0.25</v>
      </c>
      <c r="D23" s="143"/>
      <c r="E23" s="143"/>
      <c r="H23" s="107" t="s">
        <v>80</v>
      </c>
      <c r="I23" s="107"/>
      <c r="J23" s="107" t="s">
        <v>56</v>
      </c>
      <c r="K23" s="107"/>
      <c r="L23" s="107" t="s">
        <v>81</v>
      </c>
      <c r="M23" s="107"/>
      <c r="N23" s="107" t="s">
        <v>82</v>
      </c>
      <c r="O23" s="107"/>
    </row>
    <row r="24" spans="2:16" x14ac:dyDescent="0.25">
      <c r="H24" s="107" t="s">
        <v>66</v>
      </c>
      <c r="I24" s="107"/>
      <c r="J24" s="140">
        <f>C32*F28</f>
        <v>0.5</v>
      </c>
      <c r="K24" s="140"/>
      <c r="L24" s="141">
        <f>F28/2</f>
        <v>0.25</v>
      </c>
      <c r="M24" s="141"/>
      <c r="N24" s="142">
        <f>J24*L24</f>
        <v>0.125</v>
      </c>
      <c r="O24" s="142"/>
    </row>
    <row r="25" spans="2:16" ht="15.75" thickBot="1" x14ac:dyDescent="0.3">
      <c r="H25" s="107" t="s">
        <v>83</v>
      </c>
      <c r="I25" s="107"/>
      <c r="J25" s="140">
        <f>C29*(B27-F28)</f>
        <v>0.1</v>
      </c>
      <c r="K25" s="140"/>
      <c r="L25" s="141">
        <f>(B27-F28)/2+F28</f>
        <v>0.625</v>
      </c>
      <c r="M25" s="141"/>
      <c r="N25" s="142">
        <f>J25*L25</f>
        <v>6.25E-2</v>
      </c>
      <c r="O25" s="142"/>
    </row>
    <row r="26" spans="2:16" x14ac:dyDescent="0.25">
      <c r="D26" s="130"/>
    </row>
    <row r="27" spans="2:16" x14ac:dyDescent="0.25">
      <c r="B27" s="135">
        <v>0.75</v>
      </c>
      <c r="C27" s="45">
        <f>(C32-C29)/2</f>
        <v>0.3</v>
      </c>
      <c r="D27" s="131"/>
      <c r="E27" s="46">
        <f>(C32-C29)/2</f>
        <v>0.3</v>
      </c>
      <c r="H27" s="107"/>
      <c r="I27" s="107"/>
      <c r="J27" s="107" t="s">
        <v>84</v>
      </c>
      <c r="K27" s="107"/>
      <c r="L27" s="107" t="s">
        <v>85</v>
      </c>
      <c r="M27" s="107"/>
      <c r="N27" s="107" t="s">
        <v>86</v>
      </c>
      <c r="O27" s="107"/>
    </row>
    <row r="28" spans="2:16" ht="15.75" thickBot="1" x14ac:dyDescent="0.3">
      <c r="B28" s="135"/>
      <c r="D28" s="131"/>
      <c r="F28" s="136">
        <v>0.5</v>
      </c>
      <c r="H28" s="128">
        <f>(N24+N25)/(J24+J25)</f>
        <v>0.3125</v>
      </c>
      <c r="I28" s="128"/>
      <c r="J28" s="122">
        <f>(C32*F28^3)/12</f>
        <v>1.0416666666666666E-2</v>
      </c>
      <c r="K28" s="122"/>
      <c r="L28" s="122">
        <f>J24*(L24-H28)^2</f>
        <v>1.953125E-3</v>
      </c>
      <c r="M28" s="122"/>
      <c r="N28" s="122">
        <f>J28+L28</f>
        <v>1.2369791666666666E-2</v>
      </c>
      <c r="O28" s="122"/>
    </row>
    <row r="29" spans="2:16" x14ac:dyDescent="0.25">
      <c r="B29" s="135"/>
      <c r="C29" s="123">
        <v>0.4</v>
      </c>
      <c r="D29" s="124"/>
      <c r="E29" s="125"/>
      <c r="F29" s="136"/>
      <c r="H29" s="128">
        <f>(N24+N25)/(J24+J25)</f>
        <v>0.3125</v>
      </c>
      <c r="I29" s="128"/>
      <c r="J29" s="122">
        <f>(C29*(B27-F28)^3)/12</f>
        <v>5.2083333333333333E-4</v>
      </c>
      <c r="K29" s="122"/>
      <c r="L29" s="122">
        <f>J25*(L25-H29)^2</f>
        <v>9.765625E-3</v>
      </c>
      <c r="M29" s="122"/>
      <c r="N29" s="122">
        <f>J29+L29</f>
        <v>1.0286458333333333E-2</v>
      </c>
      <c r="O29" s="122"/>
    </row>
    <row r="30" spans="2:16" x14ac:dyDescent="0.25">
      <c r="B30" s="135"/>
      <c r="C30" s="126"/>
      <c r="D30" s="124"/>
      <c r="E30" s="127"/>
      <c r="F30" s="136"/>
      <c r="N30" s="129">
        <f>N28+N29</f>
        <v>2.2656249999999999E-2</v>
      </c>
      <c r="O30" s="129"/>
    </row>
    <row r="31" spans="2:16" ht="15.75" thickBot="1" x14ac:dyDescent="0.3">
      <c r="C31" s="48"/>
      <c r="D31" s="49"/>
      <c r="E31" s="50"/>
      <c r="F31" s="136"/>
      <c r="H31" s="47"/>
    </row>
    <row r="32" spans="2:16" x14ac:dyDescent="0.25">
      <c r="C32" s="132">
        <v>1</v>
      </c>
      <c r="D32" s="132"/>
      <c r="E32" s="132"/>
      <c r="K32" s="107" t="s">
        <v>65</v>
      </c>
      <c r="L32" s="107"/>
      <c r="M32" s="133">
        <f>(15000*SQRT(210))*10</f>
        <v>2173706.5119284154</v>
      </c>
      <c r="N32" s="133"/>
      <c r="O32" s="133"/>
    </row>
    <row r="33" spans="11:15" x14ac:dyDescent="0.25">
      <c r="K33" s="107" t="s">
        <v>66</v>
      </c>
      <c r="L33" s="107"/>
      <c r="M33" s="134">
        <f>N30</f>
        <v>2.2656249999999999E-2</v>
      </c>
      <c r="N33" s="134"/>
      <c r="O33" s="134"/>
    </row>
    <row r="34" spans="11:15" x14ac:dyDescent="0.25">
      <c r="K34" s="107" t="s">
        <v>87</v>
      </c>
      <c r="L34" s="107"/>
      <c r="M34" s="121">
        <v>4800</v>
      </c>
      <c r="N34" s="121"/>
      <c r="O34" s="121"/>
    </row>
    <row r="35" spans="11:15" x14ac:dyDescent="0.25">
      <c r="K35" s="107" t="s">
        <v>88</v>
      </c>
      <c r="L35" s="107"/>
      <c r="M35" s="119">
        <f>C32</f>
        <v>1</v>
      </c>
      <c r="N35" s="119"/>
      <c r="O35" s="119"/>
    </row>
    <row r="36" spans="11:15" ht="37.5" customHeight="1" x14ac:dyDescent="0.25">
      <c r="K36" s="107"/>
      <c r="L36" s="107"/>
      <c r="M36" s="120">
        <f>0.88*((4*M32*M33)/(M34*M35))^(1/4)</f>
        <v>2.2273301419169154</v>
      </c>
      <c r="N36" s="120"/>
      <c r="O36" s="120"/>
    </row>
    <row r="37" spans="11:15" x14ac:dyDescent="0.25">
      <c r="K37" s="107" t="s">
        <v>63</v>
      </c>
      <c r="L37" s="107"/>
      <c r="M37" s="119">
        <v>0.3</v>
      </c>
      <c r="N37" s="119"/>
      <c r="O37" s="119"/>
    </row>
    <row r="38" spans="11:15" x14ac:dyDescent="0.25">
      <c r="M38" s="118" t="str">
        <f>IF(OR(M36&gt;M37,M36=M37),"Cumple","No Cumple")</f>
        <v>Cumple</v>
      </c>
      <c r="N38" s="118"/>
      <c r="O38" s="118"/>
    </row>
  </sheetData>
  <mergeCells count="92">
    <mergeCell ref="Q4:R4"/>
    <mergeCell ref="Q9:R9"/>
    <mergeCell ref="K37:L37"/>
    <mergeCell ref="M37:O37"/>
    <mergeCell ref="M38:O38"/>
    <mergeCell ref="K34:L34"/>
    <mergeCell ref="M34:O34"/>
    <mergeCell ref="K35:L35"/>
    <mergeCell ref="M35:O35"/>
    <mergeCell ref="K36:L36"/>
    <mergeCell ref="M36:O36"/>
    <mergeCell ref="N27:O27"/>
    <mergeCell ref="B21:P21"/>
    <mergeCell ref="C23:E23"/>
    <mergeCell ref="H23:I23"/>
    <mergeCell ref="J23:K23"/>
    <mergeCell ref="N30:O30"/>
    <mergeCell ref="C32:E32"/>
    <mergeCell ref="K32:L32"/>
    <mergeCell ref="M32:O32"/>
    <mergeCell ref="K33:L33"/>
    <mergeCell ref="M33:O33"/>
    <mergeCell ref="N28:O28"/>
    <mergeCell ref="H29:I29"/>
    <mergeCell ref="J29:K29"/>
    <mergeCell ref="L29:M29"/>
    <mergeCell ref="N29:O29"/>
    <mergeCell ref="D26:D28"/>
    <mergeCell ref="B27:B30"/>
    <mergeCell ref="H27:I27"/>
    <mergeCell ref="J27:K27"/>
    <mergeCell ref="L27:M27"/>
    <mergeCell ref="C29:E30"/>
    <mergeCell ref="F28:F31"/>
    <mergeCell ref="H28:I28"/>
    <mergeCell ref="J28:K28"/>
    <mergeCell ref="L28:M28"/>
    <mergeCell ref="H24:I24"/>
    <mergeCell ref="J24:K24"/>
    <mergeCell ref="L24:M24"/>
    <mergeCell ref="N24:O24"/>
    <mergeCell ref="H25:I25"/>
    <mergeCell ref="J25:K25"/>
    <mergeCell ref="L25:M25"/>
    <mergeCell ref="N25:O25"/>
    <mergeCell ref="L23:M23"/>
    <mergeCell ref="N23:O23"/>
    <mergeCell ref="B2:P2"/>
    <mergeCell ref="H5:I5"/>
    <mergeCell ref="J5:K5"/>
    <mergeCell ref="L5:M5"/>
    <mergeCell ref="N5:O5"/>
    <mergeCell ref="C4:E4"/>
    <mergeCell ref="H4:I4"/>
    <mergeCell ref="J4:K4"/>
    <mergeCell ref="L4:M4"/>
    <mergeCell ref="N4:O4"/>
    <mergeCell ref="H6:I6"/>
    <mergeCell ref="J6:K6"/>
    <mergeCell ref="L6:M6"/>
    <mergeCell ref="N6:O6"/>
    <mergeCell ref="B8:B11"/>
    <mergeCell ref="H8:I8"/>
    <mergeCell ref="J8:K8"/>
    <mergeCell ref="L8:M8"/>
    <mergeCell ref="N8:O8"/>
    <mergeCell ref="F9:F12"/>
    <mergeCell ref="H9:I9"/>
    <mergeCell ref="J9:K9"/>
    <mergeCell ref="L9:M9"/>
    <mergeCell ref="K15:L15"/>
    <mergeCell ref="M15:O15"/>
    <mergeCell ref="N9:O9"/>
    <mergeCell ref="C10:E11"/>
    <mergeCell ref="H10:I10"/>
    <mergeCell ref="J10:K10"/>
    <mergeCell ref="L10:M10"/>
    <mergeCell ref="N10:O10"/>
    <mergeCell ref="N11:O11"/>
    <mergeCell ref="D7:D9"/>
    <mergeCell ref="C13:E13"/>
    <mergeCell ref="K13:L13"/>
    <mergeCell ref="M13:O13"/>
    <mergeCell ref="K14:L14"/>
    <mergeCell ref="M14:O14"/>
    <mergeCell ref="M19:O19"/>
    <mergeCell ref="K16:L16"/>
    <mergeCell ref="M16:O16"/>
    <mergeCell ref="K17:L17"/>
    <mergeCell ref="M17:O17"/>
    <mergeCell ref="K18:L18"/>
    <mergeCell ref="M18:O18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5CD3-3214-499D-B3CD-0107CF0BF2F6}">
  <dimension ref="B2:J33"/>
  <sheetViews>
    <sheetView showGridLines="0" tabSelected="1" topLeftCell="A7" zoomScale="130" zoomScaleNormal="130" workbookViewId="0">
      <selection activeCell="E26" sqref="E26"/>
    </sheetView>
  </sheetViews>
  <sheetFormatPr baseColWidth="10" defaultRowHeight="15" x14ac:dyDescent="0.25"/>
  <cols>
    <col min="1" max="1" width="4.140625" customWidth="1"/>
  </cols>
  <sheetData>
    <row r="2" spans="2:10" x14ac:dyDescent="0.25">
      <c r="B2" s="107" t="s">
        <v>112</v>
      </c>
      <c r="C2" s="107"/>
      <c r="D2" s="107"/>
      <c r="E2" s="107"/>
      <c r="F2" s="107"/>
      <c r="G2" s="107"/>
      <c r="H2" s="107"/>
      <c r="I2" s="107"/>
      <c r="J2" s="107"/>
    </row>
    <row r="4" spans="2:10" x14ac:dyDescent="0.25">
      <c r="B4" s="19" t="s">
        <v>114</v>
      </c>
      <c r="H4" s="4" t="s">
        <v>55</v>
      </c>
      <c r="I4" s="4" t="s">
        <v>56</v>
      </c>
      <c r="J4" s="57" t="s">
        <v>113</v>
      </c>
    </row>
    <row r="5" spans="2:10" x14ac:dyDescent="0.25">
      <c r="B5" s="19" t="s">
        <v>115</v>
      </c>
      <c r="C5">
        <v>20</v>
      </c>
      <c r="D5" t="s">
        <v>116</v>
      </c>
      <c r="H5" s="12" t="s">
        <v>139</v>
      </c>
      <c r="I5" s="14">
        <v>0.32</v>
      </c>
      <c r="J5" s="15">
        <v>0.64</v>
      </c>
    </row>
    <row r="6" spans="2:10" x14ac:dyDescent="0.25">
      <c r="B6" t="s">
        <v>117</v>
      </c>
      <c r="C6">
        <v>40</v>
      </c>
      <c r="D6" t="s">
        <v>116</v>
      </c>
      <c r="H6" s="4" t="s">
        <v>57</v>
      </c>
      <c r="I6" s="14">
        <v>0.71</v>
      </c>
      <c r="J6" s="15">
        <v>0.95</v>
      </c>
    </row>
    <row r="7" spans="2:10" x14ac:dyDescent="0.25">
      <c r="B7" s="19" t="s">
        <v>118</v>
      </c>
      <c r="C7">
        <f>2*10</f>
        <v>20</v>
      </c>
      <c r="D7" t="s">
        <v>116</v>
      </c>
      <c r="H7" s="4" t="s">
        <v>58</v>
      </c>
      <c r="I7" s="14">
        <v>1.29</v>
      </c>
      <c r="J7" s="15">
        <v>1.27</v>
      </c>
    </row>
    <row r="8" spans="2:10" x14ac:dyDescent="0.25">
      <c r="B8" t="s">
        <v>119</v>
      </c>
      <c r="C8">
        <f>MIN(C6:C7)</f>
        <v>20</v>
      </c>
      <c r="D8" t="s">
        <v>116</v>
      </c>
      <c r="H8" s="4" t="s">
        <v>59</v>
      </c>
      <c r="I8" s="14">
        <v>1.98</v>
      </c>
      <c r="J8" s="15">
        <v>1.59</v>
      </c>
    </row>
    <row r="9" spans="2:10" x14ac:dyDescent="0.25">
      <c r="B9" s="19" t="s">
        <v>120</v>
      </c>
      <c r="C9">
        <v>17</v>
      </c>
      <c r="D9" t="s">
        <v>116</v>
      </c>
      <c r="H9" s="4" t="s">
        <v>60</v>
      </c>
      <c r="I9" s="14">
        <v>2.85</v>
      </c>
      <c r="J9" s="15">
        <v>1.91</v>
      </c>
    </row>
    <row r="10" spans="2:10" x14ac:dyDescent="0.25">
      <c r="B10" s="47" t="s">
        <v>121</v>
      </c>
      <c r="C10" s="75">
        <f>0.7*SQRT(210)/4200</f>
        <v>2.4152294576982396E-3</v>
      </c>
      <c r="H10" s="4" t="s">
        <v>61</v>
      </c>
      <c r="I10" s="14">
        <v>5.07</v>
      </c>
      <c r="J10" s="15">
        <v>2.54</v>
      </c>
    </row>
    <row r="11" spans="2:10" x14ac:dyDescent="0.25">
      <c r="B11" t="s">
        <v>145</v>
      </c>
      <c r="C11" s="69">
        <f>C10*C8*C9</f>
        <v>0.82117801561740156</v>
      </c>
      <c r="D11" t="s">
        <v>148</v>
      </c>
      <c r="E11" t="s">
        <v>140</v>
      </c>
    </row>
    <row r="13" spans="2:10" x14ac:dyDescent="0.25">
      <c r="B13" s="19" t="s">
        <v>122</v>
      </c>
    </row>
    <row r="15" spans="2:10" x14ac:dyDescent="0.25">
      <c r="B15" s="19" t="s">
        <v>115</v>
      </c>
      <c r="C15">
        <v>20</v>
      </c>
      <c r="D15" t="s">
        <v>116</v>
      </c>
    </row>
    <row r="16" spans="2:10" x14ac:dyDescent="0.25">
      <c r="B16" t="s">
        <v>123</v>
      </c>
      <c r="C16">
        <v>10</v>
      </c>
      <c r="D16" t="s">
        <v>116</v>
      </c>
    </row>
    <row r="17" spans="2:5" x14ac:dyDescent="0.25">
      <c r="B17" s="19" t="s">
        <v>120</v>
      </c>
      <c r="C17">
        <v>17</v>
      </c>
      <c r="D17" t="s">
        <v>116</v>
      </c>
    </row>
    <row r="18" spans="2:5" x14ac:dyDescent="0.25">
      <c r="B18" s="47" t="s">
        <v>121</v>
      </c>
      <c r="C18" s="75">
        <f>0.7*SQRT(210)/4200</f>
        <v>2.4152294576982396E-3</v>
      </c>
    </row>
    <row r="19" spans="2:5" x14ac:dyDescent="0.25">
      <c r="B19" t="s">
        <v>145</v>
      </c>
      <c r="C19" s="69">
        <f>C18*C16*C17</f>
        <v>0.41058900780870078</v>
      </c>
      <c r="D19" t="s">
        <v>148</v>
      </c>
      <c r="E19" t="s">
        <v>141</v>
      </c>
    </row>
    <row r="22" spans="2:5" x14ac:dyDescent="0.25">
      <c r="B22" s="19" t="s">
        <v>144</v>
      </c>
    </row>
    <row r="23" spans="2:5" x14ac:dyDescent="0.25">
      <c r="B23" s="47" t="s">
        <v>121</v>
      </c>
      <c r="C23">
        <v>1.8E-3</v>
      </c>
    </row>
    <row r="24" spans="2:5" x14ac:dyDescent="0.25">
      <c r="B24" t="s">
        <v>146</v>
      </c>
      <c r="C24">
        <f>5*5</f>
        <v>25</v>
      </c>
      <c r="D24" t="s">
        <v>116</v>
      </c>
    </row>
    <row r="25" spans="2:5" x14ac:dyDescent="0.25">
      <c r="B25" t="s">
        <v>147</v>
      </c>
      <c r="C25">
        <v>5</v>
      </c>
      <c r="D25" t="s">
        <v>116</v>
      </c>
    </row>
    <row r="26" spans="2:5" x14ac:dyDescent="0.25">
      <c r="B26" t="s">
        <v>145</v>
      </c>
      <c r="C26">
        <f>C23*C24*C25</f>
        <v>0.22499999999999998</v>
      </c>
      <c r="D26" t="s">
        <v>148</v>
      </c>
      <c r="E26" t="s">
        <v>215</v>
      </c>
    </row>
    <row r="29" spans="2:5" x14ac:dyDescent="0.25">
      <c r="B29" s="19" t="s">
        <v>214</v>
      </c>
    </row>
    <row r="30" spans="2:5" x14ac:dyDescent="0.25">
      <c r="B30" t="s">
        <v>216</v>
      </c>
      <c r="C30">
        <v>50</v>
      </c>
      <c r="D30" t="s">
        <v>116</v>
      </c>
    </row>
    <row r="31" spans="2:5" x14ac:dyDescent="0.25">
      <c r="B31" t="s">
        <v>217</v>
      </c>
      <c r="C31">
        <f>C9</f>
        <v>17</v>
      </c>
      <c r="D31" t="s">
        <v>116</v>
      </c>
    </row>
    <row r="32" spans="2:5" x14ac:dyDescent="0.25">
      <c r="B32" t="s">
        <v>218</v>
      </c>
      <c r="C32" s="70">
        <f>12*J7</f>
        <v>15.24</v>
      </c>
      <c r="D32" t="s">
        <v>116</v>
      </c>
    </row>
    <row r="33" spans="2:4" x14ac:dyDescent="0.25">
      <c r="B33" t="s">
        <v>219</v>
      </c>
      <c r="C33" s="70">
        <f>C30+MAX(C31,C32)</f>
        <v>67</v>
      </c>
      <c r="D33" t="s">
        <v>116</v>
      </c>
    </row>
  </sheetData>
  <mergeCells count="1">
    <mergeCell ref="B2:J2"/>
  </mergeCells>
  <pageMargins left="0.7" right="0.7" top="0.75" bottom="0.75" header="0.3" footer="0.3"/>
  <pageSetup paperSize="9" orientation="portrait" horizontalDpi="30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EEB4-87A0-4C7D-9685-B8D4883BEF46}">
  <dimension ref="B2:M10"/>
  <sheetViews>
    <sheetView showGridLines="0" zoomScale="120" zoomScaleNormal="120" workbookViewId="0">
      <selection activeCell="M10" sqref="M10"/>
    </sheetView>
  </sheetViews>
  <sheetFormatPr baseColWidth="10" defaultRowHeight="15" x14ac:dyDescent="0.25"/>
  <cols>
    <col min="1" max="1" width="3" customWidth="1"/>
    <col min="6" max="6" width="11.5703125" style="19"/>
    <col min="7" max="7" width="15" customWidth="1"/>
    <col min="11" max="11" width="11.5703125" style="30"/>
    <col min="12" max="12" width="11.5703125" style="54"/>
  </cols>
  <sheetData>
    <row r="2" spans="2:13" x14ac:dyDescent="0.25">
      <c r="B2" s="107" t="s">
        <v>143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6" spans="2:13" x14ac:dyDescent="0.25">
      <c r="K6" s="18" t="s">
        <v>136</v>
      </c>
      <c r="L6" s="65">
        <v>0.501</v>
      </c>
    </row>
    <row r="7" spans="2:13" x14ac:dyDescent="0.25">
      <c r="K7" s="18" t="s">
        <v>137</v>
      </c>
      <c r="L7" s="65">
        <v>0.3</v>
      </c>
    </row>
    <row r="8" spans="2:13" x14ac:dyDescent="0.25">
      <c r="K8" s="18" t="s">
        <v>135</v>
      </c>
      <c r="L8" s="65">
        <f>ABS(L6-L7)</f>
        <v>0.20100000000000001</v>
      </c>
    </row>
    <row r="9" spans="2:13" x14ac:dyDescent="0.25">
      <c r="K9" s="8" t="s">
        <v>132</v>
      </c>
      <c r="L9" s="16">
        <v>440</v>
      </c>
    </row>
    <row r="10" spans="2:13" x14ac:dyDescent="0.25">
      <c r="K10" s="18" t="s">
        <v>138</v>
      </c>
      <c r="L10" s="4">
        <f>L8/L9</f>
        <v>4.5681818181818182E-4</v>
      </c>
      <c r="M10" s="55" t="str">
        <f>IF(L10&lt;1/150,"CUMPLE","NO CUMPLE")</f>
        <v>CUMPLE</v>
      </c>
    </row>
  </sheetData>
  <mergeCells count="1">
    <mergeCell ref="B2:L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ABEB-6CCD-48AA-A5BC-62401688A1E5}">
  <dimension ref="A2:E12"/>
  <sheetViews>
    <sheetView zoomScale="120" zoomScaleNormal="120" workbookViewId="0">
      <selection activeCell="H13" sqref="H13"/>
    </sheetView>
  </sheetViews>
  <sheetFormatPr baseColWidth="10" defaultRowHeight="15" x14ac:dyDescent="0.25"/>
  <sheetData>
    <row r="2" spans="1:5" x14ac:dyDescent="0.25">
      <c r="A2" t="s">
        <v>230</v>
      </c>
      <c r="C2" t="s">
        <v>231</v>
      </c>
      <c r="D2" s="69">
        <v>2.4</v>
      </c>
      <c r="E2" t="s">
        <v>232</v>
      </c>
    </row>
    <row r="3" spans="1:5" x14ac:dyDescent="0.25">
      <c r="C3" t="s">
        <v>233</v>
      </c>
      <c r="D3">
        <v>0.15</v>
      </c>
      <c r="E3" t="s">
        <v>223</v>
      </c>
    </row>
    <row r="4" spans="1:5" x14ac:dyDescent="0.25">
      <c r="C4" t="s">
        <v>93</v>
      </c>
      <c r="D4" s="69">
        <v>0.9</v>
      </c>
      <c r="E4" t="s">
        <v>223</v>
      </c>
    </row>
    <row r="5" spans="1:5" x14ac:dyDescent="0.25">
      <c r="C5" t="s">
        <v>234</v>
      </c>
      <c r="D5">
        <f>D2*D3*D4</f>
        <v>0.32400000000000001</v>
      </c>
      <c r="E5" t="s">
        <v>235</v>
      </c>
    </row>
    <row r="7" spans="1:5" x14ac:dyDescent="0.25">
      <c r="A7" t="s">
        <v>236</v>
      </c>
      <c r="C7" t="s">
        <v>237</v>
      </c>
      <c r="D7">
        <v>1.35</v>
      </c>
      <c r="E7" t="s">
        <v>232</v>
      </c>
    </row>
    <row r="8" spans="1:5" x14ac:dyDescent="0.25">
      <c r="C8" t="s">
        <v>233</v>
      </c>
      <c r="D8">
        <v>0.15</v>
      </c>
      <c r="E8" t="s">
        <v>223</v>
      </c>
    </row>
    <row r="9" spans="1:5" x14ac:dyDescent="0.25">
      <c r="C9" t="s">
        <v>93</v>
      </c>
      <c r="D9" s="69">
        <v>2.6</v>
      </c>
      <c r="E9" t="s">
        <v>223</v>
      </c>
    </row>
    <row r="10" spans="1:5" x14ac:dyDescent="0.25">
      <c r="C10" t="s">
        <v>234</v>
      </c>
      <c r="D10" s="83">
        <f>D7*D8*D9</f>
        <v>0.52650000000000008</v>
      </c>
      <c r="E10" t="s">
        <v>235</v>
      </c>
    </row>
    <row r="12" spans="1:5" x14ac:dyDescent="0.25">
      <c r="C12" s="84" t="s">
        <v>238</v>
      </c>
      <c r="D12" s="85">
        <f>D5+D10</f>
        <v>0.85050000000000003</v>
      </c>
      <c r="E12" s="84" t="s">
        <v>235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8844-BDED-4B0B-A704-8DF5A7289A59}">
  <dimension ref="A2:G60"/>
  <sheetViews>
    <sheetView zoomScale="120" zoomScaleNormal="120" workbookViewId="0">
      <selection activeCell="E3" sqref="E3"/>
    </sheetView>
  </sheetViews>
  <sheetFormatPr baseColWidth="10" defaultRowHeight="15" x14ac:dyDescent="0.25"/>
  <sheetData>
    <row r="2" spans="1:7" x14ac:dyDescent="0.25">
      <c r="A2" s="84" t="s">
        <v>112</v>
      </c>
      <c r="B2" s="86"/>
      <c r="E2" s="7" t="s">
        <v>55</v>
      </c>
      <c r="F2" s="7" t="s">
        <v>56</v>
      </c>
      <c r="G2" s="87" t="s">
        <v>239</v>
      </c>
    </row>
    <row r="3" spans="1:7" x14ac:dyDescent="0.25">
      <c r="A3" s="19"/>
      <c r="E3" s="12" t="s">
        <v>240</v>
      </c>
      <c r="F3" s="25">
        <v>0.32</v>
      </c>
      <c r="G3" s="88">
        <v>0.64</v>
      </c>
    </row>
    <row r="4" spans="1:7" x14ac:dyDescent="0.25">
      <c r="A4" s="19" t="s">
        <v>241</v>
      </c>
      <c r="E4" s="12" t="s">
        <v>57</v>
      </c>
      <c r="F4" s="25">
        <v>0.71</v>
      </c>
      <c r="G4" s="88">
        <v>0.95</v>
      </c>
    </row>
    <row r="5" spans="1:7" x14ac:dyDescent="0.25">
      <c r="A5" t="s">
        <v>93</v>
      </c>
      <c r="B5">
        <v>20</v>
      </c>
      <c r="C5" t="s">
        <v>116</v>
      </c>
      <c r="E5" s="12" t="s">
        <v>58</v>
      </c>
      <c r="F5" s="25">
        <v>1.29</v>
      </c>
      <c r="G5" s="88">
        <v>1.27</v>
      </c>
    </row>
    <row r="6" spans="1:7" x14ac:dyDescent="0.25">
      <c r="A6" t="s">
        <v>34</v>
      </c>
      <c r="B6">
        <v>40</v>
      </c>
      <c r="C6" t="s">
        <v>116</v>
      </c>
      <c r="E6" s="12" t="s">
        <v>59</v>
      </c>
      <c r="F6" s="25">
        <v>1.98</v>
      </c>
      <c r="G6" s="88">
        <v>1.59</v>
      </c>
    </row>
    <row r="7" spans="1:7" x14ac:dyDescent="0.25">
      <c r="A7" t="s">
        <v>242</v>
      </c>
      <c r="B7">
        <f>2*10</f>
        <v>20</v>
      </c>
      <c r="C7" t="s">
        <v>116</v>
      </c>
      <c r="E7" s="12" t="s">
        <v>60</v>
      </c>
      <c r="F7" s="25">
        <v>2.85</v>
      </c>
      <c r="G7" s="88">
        <v>1.91</v>
      </c>
    </row>
    <row r="8" spans="1:7" x14ac:dyDescent="0.25">
      <c r="A8" t="s">
        <v>243</v>
      </c>
      <c r="B8">
        <f>MIN(B6:B7)</f>
        <v>20</v>
      </c>
      <c r="C8" t="s">
        <v>116</v>
      </c>
      <c r="E8" s="12" t="s">
        <v>61</v>
      </c>
      <c r="F8" s="25">
        <v>5.07</v>
      </c>
      <c r="G8" s="88">
        <v>2.54</v>
      </c>
    </row>
    <row r="9" spans="1:7" x14ac:dyDescent="0.25">
      <c r="A9" t="s">
        <v>51</v>
      </c>
      <c r="B9" s="69">
        <f>B5-2-G5/2</f>
        <v>17.364999999999998</v>
      </c>
      <c r="C9" t="s">
        <v>116</v>
      </c>
    </row>
    <row r="10" spans="1:7" x14ac:dyDescent="0.25">
      <c r="A10" t="s">
        <v>244</v>
      </c>
      <c r="B10" s="75">
        <f>0.7*SQRT(210)/4200</f>
        <v>2.4152294576982396E-3</v>
      </c>
    </row>
    <row r="11" spans="1:7" x14ac:dyDescent="0.25">
      <c r="A11" t="s">
        <v>245</v>
      </c>
      <c r="B11" s="69">
        <f>B10*B8*B9</f>
        <v>0.8388091906585986</v>
      </c>
      <c r="C11" t="s">
        <v>148</v>
      </c>
      <c r="D11" s="89" t="s">
        <v>246</v>
      </c>
    </row>
    <row r="13" spans="1:7" x14ac:dyDescent="0.25">
      <c r="A13" s="19" t="s">
        <v>247</v>
      </c>
    </row>
    <row r="15" spans="1:7" x14ac:dyDescent="0.25">
      <c r="A15" t="s">
        <v>93</v>
      </c>
      <c r="B15">
        <v>20</v>
      </c>
      <c r="C15" t="s">
        <v>116</v>
      </c>
    </row>
    <row r="16" spans="1:7" x14ac:dyDescent="0.25">
      <c r="A16" t="s">
        <v>248</v>
      </c>
      <c r="B16">
        <v>10</v>
      </c>
      <c r="C16" t="s">
        <v>116</v>
      </c>
    </row>
    <row r="17" spans="1:4" x14ac:dyDescent="0.25">
      <c r="A17" t="s">
        <v>51</v>
      </c>
      <c r="B17" s="69">
        <f>B15-2-G5/2</f>
        <v>17.364999999999998</v>
      </c>
      <c r="C17" t="s">
        <v>116</v>
      </c>
    </row>
    <row r="18" spans="1:4" x14ac:dyDescent="0.25">
      <c r="A18" t="s">
        <v>244</v>
      </c>
      <c r="B18" s="75">
        <f>0.7*SQRT(210)/4200</f>
        <v>2.4152294576982396E-3</v>
      </c>
    </row>
    <row r="19" spans="1:4" x14ac:dyDescent="0.25">
      <c r="A19" t="s">
        <v>245</v>
      </c>
      <c r="B19" s="69">
        <f>B18*B16*B17</f>
        <v>0.4194045953292993</v>
      </c>
      <c r="C19" t="s">
        <v>148</v>
      </c>
      <c r="D19" s="89" t="s">
        <v>249</v>
      </c>
    </row>
    <row r="21" spans="1:4" x14ac:dyDescent="0.25">
      <c r="A21" s="90" t="s">
        <v>114</v>
      </c>
    </row>
    <row r="23" spans="1:4" x14ac:dyDescent="0.25">
      <c r="A23" t="s">
        <v>47</v>
      </c>
      <c r="B23">
        <v>0.67</v>
      </c>
      <c r="C23" t="s">
        <v>250</v>
      </c>
    </row>
    <row r="24" spans="1:4" x14ac:dyDescent="0.25">
      <c r="A24" t="s">
        <v>251</v>
      </c>
      <c r="B24">
        <v>210</v>
      </c>
      <c r="C24" t="s">
        <v>252</v>
      </c>
    </row>
    <row r="25" spans="1:4" x14ac:dyDescent="0.25">
      <c r="A25" t="s">
        <v>253</v>
      </c>
      <c r="B25">
        <v>4200</v>
      </c>
      <c r="C25" t="s">
        <v>252</v>
      </c>
    </row>
    <row r="26" spans="1:4" x14ac:dyDescent="0.25">
      <c r="A26" t="s">
        <v>93</v>
      </c>
      <c r="B26">
        <v>20</v>
      </c>
      <c r="C26" t="s">
        <v>116</v>
      </c>
    </row>
    <row r="27" spans="1:4" x14ac:dyDescent="0.25">
      <c r="A27" t="s">
        <v>34</v>
      </c>
      <c r="B27">
        <v>20</v>
      </c>
      <c r="C27" t="s">
        <v>116</v>
      </c>
    </row>
    <row r="28" spans="1:4" x14ac:dyDescent="0.25">
      <c r="A28" t="s">
        <v>50</v>
      </c>
      <c r="B28">
        <v>2</v>
      </c>
      <c r="C28" t="s">
        <v>116</v>
      </c>
    </row>
    <row r="29" spans="1:4" x14ac:dyDescent="0.25">
      <c r="A29" t="s">
        <v>51</v>
      </c>
      <c r="B29" s="69">
        <f>B26-B28-G5/2</f>
        <v>17.364999999999998</v>
      </c>
      <c r="C29" t="s">
        <v>116</v>
      </c>
    </row>
    <row r="30" spans="1:4" x14ac:dyDescent="0.25">
      <c r="A30" s="91" t="s">
        <v>254</v>
      </c>
      <c r="B30" s="69">
        <v>0.9</v>
      </c>
    </row>
    <row r="31" spans="1:4" x14ac:dyDescent="0.25">
      <c r="A31" t="s">
        <v>53</v>
      </c>
      <c r="B31" s="69">
        <f>B29-SQRT((B29^2)-((2*B23*10^5)/(0.85*B24*B30*B27)))</f>
        <v>1.2455194288815825</v>
      </c>
      <c r="C31" t="s">
        <v>116</v>
      </c>
    </row>
    <row r="32" spans="1:4" x14ac:dyDescent="0.25">
      <c r="A32" t="s">
        <v>54</v>
      </c>
      <c r="B32" s="69">
        <f>(B23*10^5)/(B30*B25*(B29-B31/2))</f>
        <v>1.0586915145493445</v>
      </c>
      <c r="C32" t="s">
        <v>148</v>
      </c>
      <c r="D32" s="89" t="s">
        <v>246</v>
      </c>
    </row>
    <row r="34" spans="1:3" x14ac:dyDescent="0.25">
      <c r="A34" t="s">
        <v>54</v>
      </c>
      <c r="B34" s="69">
        <f>F5</f>
        <v>1.29</v>
      </c>
      <c r="C34" t="s">
        <v>148</v>
      </c>
    </row>
    <row r="35" spans="1:3" x14ac:dyDescent="0.25">
      <c r="A35" s="86" t="s">
        <v>47</v>
      </c>
      <c r="B35" s="92">
        <f>(B34*B30*B25*(B29-B31/2))*10^-5</f>
        <v>0.81638512080443792</v>
      </c>
      <c r="C35" s="86" t="s">
        <v>250</v>
      </c>
    </row>
    <row r="38" spans="1:3" x14ac:dyDescent="0.25">
      <c r="A38" s="90" t="s">
        <v>122</v>
      </c>
      <c r="B38" s="93"/>
    </row>
    <row r="40" spans="1:3" x14ac:dyDescent="0.25">
      <c r="A40" t="s">
        <v>47</v>
      </c>
      <c r="B40" s="69">
        <v>1</v>
      </c>
      <c r="C40" t="s">
        <v>250</v>
      </c>
    </row>
    <row r="41" spans="1:3" x14ac:dyDescent="0.25">
      <c r="A41" t="s">
        <v>251</v>
      </c>
      <c r="B41">
        <v>210</v>
      </c>
      <c r="C41" t="s">
        <v>252</v>
      </c>
    </row>
    <row r="42" spans="1:3" x14ac:dyDescent="0.25">
      <c r="A42" t="s">
        <v>253</v>
      </c>
      <c r="B42">
        <v>4200</v>
      </c>
      <c r="C42" t="s">
        <v>252</v>
      </c>
    </row>
    <row r="43" spans="1:3" x14ac:dyDescent="0.25">
      <c r="A43" t="s">
        <v>93</v>
      </c>
      <c r="B43">
        <v>20</v>
      </c>
      <c r="C43" t="s">
        <v>116</v>
      </c>
    </row>
    <row r="44" spans="1:3" x14ac:dyDescent="0.25">
      <c r="A44" t="s">
        <v>34</v>
      </c>
      <c r="B44">
        <v>10</v>
      </c>
      <c r="C44" t="s">
        <v>116</v>
      </c>
    </row>
    <row r="45" spans="1:3" x14ac:dyDescent="0.25">
      <c r="A45" t="s">
        <v>50</v>
      </c>
      <c r="B45">
        <v>2</v>
      </c>
      <c r="C45" t="s">
        <v>116</v>
      </c>
    </row>
    <row r="46" spans="1:3" x14ac:dyDescent="0.25">
      <c r="A46" t="s">
        <v>51</v>
      </c>
      <c r="B46" s="69">
        <f>B43-B45-G5/2</f>
        <v>17.364999999999998</v>
      </c>
      <c r="C46" t="s">
        <v>116</v>
      </c>
    </row>
    <row r="47" spans="1:3" x14ac:dyDescent="0.25">
      <c r="A47" s="91" t="s">
        <v>254</v>
      </c>
      <c r="B47" s="69">
        <v>0.9</v>
      </c>
    </row>
    <row r="48" spans="1:3" x14ac:dyDescent="0.25">
      <c r="A48" t="s">
        <v>53</v>
      </c>
      <c r="B48" s="69">
        <f>B46-SQRT((B46^2)-((2*B40*10^5)/(0.85*B41*B47*B44)))</f>
        <v>4.059024543134802</v>
      </c>
      <c r="C48" t="s">
        <v>116</v>
      </c>
    </row>
    <row r="49" spans="1:4" x14ac:dyDescent="0.25">
      <c r="A49" t="s">
        <v>54</v>
      </c>
      <c r="B49" s="69">
        <f>(B40*10^5)/(B47*B42*(B46-B48/2))</f>
        <v>1.7250854308322909</v>
      </c>
      <c r="C49" t="s">
        <v>148</v>
      </c>
      <c r="D49" s="89" t="s">
        <v>257</v>
      </c>
    </row>
    <row r="51" spans="1:4" x14ac:dyDescent="0.25">
      <c r="A51" t="s">
        <v>54</v>
      </c>
      <c r="B51" s="69">
        <f>F5</f>
        <v>1.29</v>
      </c>
      <c r="C51" t="s">
        <v>148</v>
      </c>
    </row>
    <row r="52" spans="1:4" x14ac:dyDescent="0.25">
      <c r="A52" s="86" t="s">
        <v>47</v>
      </c>
      <c r="B52" s="92">
        <f>(B51*B47*B42*(B46-B48/2))*10^-5</f>
        <v>0.74778905261383033</v>
      </c>
      <c r="C52" s="86" t="s">
        <v>250</v>
      </c>
    </row>
    <row r="55" spans="1:4" x14ac:dyDescent="0.25">
      <c r="A55" s="19" t="s">
        <v>255</v>
      </c>
    </row>
    <row r="57" spans="1:4" x14ac:dyDescent="0.25">
      <c r="A57" t="s">
        <v>244</v>
      </c>
      <c r="B57">
        <v>1.8E-3</v>
      </c>
    </row>
    <row r="58" spans="1:4" x14ac:dyDescent="0.25">
      <c r="A58" t="s">
        <v>34</v>
      </c>
      <c r="B58">
        <f>5*5</f>
        <v>25</v>
      </c>
      <c r="C58" t="s">
        <v>116</v>
      </c>
    </row>
    <row r="59" spans="1:4" x14ac:dyDescent="0.25">
      <c r="A59" t="s">
        <v>93</v>
      </c>
      <c r="B59">
        <v>5</v>
      </c>
      <c r="C59" t="s">
        <v>116</v>
      </c>
    </row>
    <row r="60" spans="1:4" x14ac:dyDescent="0.25">
      <c r="A60" t="s">
        <v>245</v>
      </c>
      <c r="B60">
        <f>B57*B58*B59</f>
        <v>0.22499999999999998</v>
      </c>
      <c r="C60" t="s">
        <v>148</v>
      </c>
      <c r="D60" s="89" t="s">
        <v>256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</vt:i4>
      </vt:variant>
    </vt:vector>
  </HeadingPairs>
  <TitlesOfParts>
    <vt:vector size="12" baseType="lpstr">
      <vt:lpstr>ZAPATA AISLADA</vt:lpstr>
      <vt:lpstr>COMBINACIONES</vt:lpstr>
      <vt:lpstr>DIMENSIONAMIENTO</vt:lpstr>
      <vt:lpstr>ZAPATA COMBINADA</vt:lpstr>
      <vt:lpstr>ZAPATA CONECTADA</vt:lpstr>
      <vt:lpstr>RIGIDEZ</vt:lpstr>
      <vt:lpstr>DISEÑO DE LOSA</vt:lpstr>
      <vt:lpstr>ASENTAMIENTO</vt:lpstr>
      <vt:lpstr>METRADO</vt:lpstr>
      <vt:lpstr>LOSA ALIGERADA</vt:lpstr>
      <vt:lpstr>'ZAPATA AISLADA'!Área_de_impresión</vt:lpstr>
      <vt:lpstr>'ZAPATA CONECTADA'!Área_de_impresión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Chrystian Ballena</dc:creator>
  <cp:lastModifiedBy>Sheylla Barrantes</cp:lastModifiedBy>
  <cp:lastPrinted>2018-07-14T23:14:29Z</cp:lastPrinted>
  <dcterms:created xsi:type="dcterms:W3CDTF">2018-06-18T21:29:38Z</dcterms:created>
  <dcterms:modified xsi:type="dcterms:W3CDTF">2025-09-07T18:16:10Z</dcterms:modified>
</cp:coreProperties>
</file>