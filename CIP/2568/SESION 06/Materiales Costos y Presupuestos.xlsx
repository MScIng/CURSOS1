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1" ContentType="application/binary"/>
  <Override PartName="/xl/commentsmeta3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ño_2025\1.6.-Instructor\CIP Lambayeque\G5_Costos y Presupuestos\Sesión 6\"/>
    </mc:Choice>
  </mc:AlternateContent>
  <xr:revisionPtr revIDLastSave="0" documentId="13_ncr:1_{54E26C54-8A20-450B-A41A-1CDD514099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IMIENTOS CORRIDOS" sheetId="2" r:id="rId1"/>
    <sheet name="MUROS DE LADRILLO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2" roundtripDataChecksum="7Q2da7une3m3g/c1C6Jglh2yX4VxoQibvUPun4eMJ9c="/>
    </ext>
  </extLst>
</workbook>
</file>

<file path=xl/calcChain.xml><?xml version="1.0" encoding="utf-8"?>
<calcChain xmlns="http://schemas.openxmlformats.org/spreadsheetml/2006/main">
  <c r="E183" i="2" l="1"/>
  <c r="G108" i="2"/>
  <c r="E342" i="4"/>
  <c r="E341" i="4"/>
  <c r="E331" i="4"/>
  <c r="E325" i="4"/>
  <c r="D323" i="4"/>
  <c r="D322" i="4"/>
  <c r="D321" i="4"/>
  <c r="E317" i="4"/>
  <c r="E316" i="4"/>
  <c r="E330" i="4" s="1"/>
  <c r="E313" i="4"/>
  <c r="E321" i="4" s="1"/>
  <c r="E304" i="4"/>
  <c r="E303" i="4"/>
  <c r="D300" i="4"/>
  <c r="D299" i="4"/>
  <c r="E292" i="4"/>
  <c r="E291" i="4"/>
  <c r="F284" i="4"/>
  <c r="E284" i="4"/>
  <c r="D284" i="4"/>
  <c r="E283" i="4"/>
  <c r="D283" i="4"/>
  <c r="F283" i="4" s="1"/>
  <c r="E282" i="4"/>
  <c r="D282" i="4"/>
  <c r="F282" i="4" s="1"/>
  <c r="E340" i="4" s="1"/>
  <c r="F281" i="4"/>
  <c r="E281" i="4"/>
  <c r="D281" i="4"/>
  <c r="E256" i="4"/>
  <c r="E255" i="4"/>
  <c r="G238" i="4"/>
  <c r="G237" i="4"/>
  <c r="E242" i="4" s="1"/>
  <c r="E237" i="4"/>
  <c r="G236" i="4"/>
  <c r="E241" i="4" s="1"/>
  <c r="F224" i="4"/>
  <c r="D224" i="4"/>
  <c r="E215" i="4"/>
  <c r="D202" i="4"/>
  <c r="E201" i="4"/>
  <c r="D204" i="4" s="1"/>
  <c r="D201" i="4"/>
  <c r="D187" i="4"/>
  <c r="E186" i="4"/>
  <c r="D183" i="4"/>
  <c r="D176" i="4"/>
  <c r="D174" i="4"/>
  <c r="E171" i="4"/>
  <c r="D175" i="4" s="1"/>
  <c r="F142" i="4"/>
  <c r="E125" i="4"/>
  <c r="E129" i="4" s="1"/>
  <c r="E130" i="4" s="1"/>
  <c r="G124" i="4"/>
  <c r="F124" i="4"/>
  <c r="E124" i="4"/>
  <c r="G123" i="4"/>
  <c r="F122" i="4"/>
  <c r="E121" i="4"/>
  <c r="H107" i="4"/>
  <c r="E305" i="4" s="1"/>
  <c r="H106" i="4"/>
  <c r="H105" i="4"/>
  <c r="H104" i="4"/>
  <c r="E302" i="4" s="1"/>
  <c r="E73" i="4"/>
  <c r="F71" i="4"/>
  <c r="C71" i="4"/>
  <c r="F264" i="2"/>
  <c r="C264" i="2"/>
  <c r="F263" i="2"/>
  <c r="E263" i="2"/>
  <c r="C263" i="2"/>
  <c r="D247" i="2"/>
  <c r="E243" i="2"/>
  <c r="E237" i="2"/>
  <c r="E254" i="2" s="1"/>
  <c r="D230" i="2"/>
  <c r="D227" i="2"/>
  <c r="C227" i="2"/>
  <c r="A227" i="2"/>
  <c r="D226" i="2"/>
  <c r="C226" i="2"/>
  <c r="A226" i="2"/>
  <c r="E225" i="2"/>
  <c r="E224" i="2"/>
  <c r="D212" i="2"/>
  <c r="F211" i="2"/>
  <c r="E208" i="2"/>
  <c r="E238" i="2" s="1"/>
  <c r="E255" i="2" s="1"/>
  <c r="E207" i="2"/>
  <c r="F199" i="2"/>
  <c r="C199" i="2"/>
  <c r="E196" i="2"/>
  <c r="F190" i="2"/>
  <c r="F189" i="2"/>
  <c r="F188" i="2"/>
  <c r="F187" i="2"/>
  <c r="C187" i="2"/>
  <c r="B243" i="2" s="1"/>
  <c r="F186" i="2"/>
  <c r="F180" i="2"/>
  <c r="E158" i="2"/>
  <c r="E145" i="2"/>
  <c r="G147" i="2" s="1"/>
  <c r="E155" i="2" s="1"/>
  <c r="E162" i="2" s="1"/>
  <c r="E171" i="2" s="1"/>
  <c r="E262" i="2" s="1"/>
  <c r="G144" i="2"/>
  <c r="F137" i="2"/>
  <c r="E264" i="2" s="1"/>
  <c r="F136" i="2"/>
  <c r="E127" i="2"/>
  <c r="F113" i="2"/>
  <c r="G96" i="2"/>
  <c r="F96" i="2"/>
  <c r="F100" i="2" s="1"/>
  <c r="F101" i="2" s="1"/>
  <c r="E96" i="2"/>
  <c r="E100" i="2" s="1"/>
  <c r="E101" i="2" s="1"/>
  <c r="G95" i="2"/>
  <c r="G100" i="2" s="1"/>
  <c r="G101" i="2" s="1"/>
  <c r="G107" i="2" s="1"/>
  <c r="E219" i="2" s="1"/>
  <c r="F95" i="2"/>
  <c r="E95" i="2"/>
  <c r="G94" i="2"/>
  <c r="F93" i="2"/>
  <c r="E92" i="2"/>
  <c r="H78" i="2"/>
  <c r="E229" i="2" s="1"/>
  <c r="H73" i="2"/>
  <c r="E227" i="2" s="1"/>
  <c r="E73" i="2"/>
  <c r="G73" i="2" s="1"/>
  <c r="D73" i="2"/>
  <c r="B73" i="2"/>
  <c r="H72" i="2"/>
  <c r="E226" i="2" s="1"/>
  <c r="E72" i="2"/>
  <c r="G72" i="2" s="1"/>
  <c r="D72" i="2"/>
  <c r="B72" i="2"/>
  <c r="H71" i="2"/>
  <c r="H70" i="2"/>
  <c r="H69" i="2"/>
  <c r="E223" i="2" s="1"/>
  <c r="H68" i="2"/>
  <c r="E222" i="2" s="1"/>
  <c r="A54" i="2"/>
  <c r="C189" i="2" s="1"/>
  <c r="B245" i="2" s="1"/>
  <c r="F226" i="2" l="1"/>
  <c r="G106" i="2"/>
  <c r="E218" i="2" s="1"/>
  <c r="E339" i="4"/>
  <c r="D297" i="4"/>
  <c r="F297" i="4" s="1"/>
  <c r="G109" i="2"/>
  <c r="E220" i="2" s="1"/>
  <c r="G105" i="2"/>
  <c r="E217" i="2" s="1"/>
  <c r="G104" i="2"/>
  <c r="E216" i="2" s="1"/>
  <c r="G125" i="4"/>
  <c r="G129" i="4"/>
  <c r="G130" i="4" s="1"/>
  <c r="G136" i="4" s="1"/>
  <c r="E300" i="4" s="1"/>
  <c r="F300" i="4" s="1"/>
  <c r="G187" i="2"/>
  <c r="F125" i="4"/>
  <c r="F129" i="4"/>
  <c r="F130" i="4" s="1"/>
  <c r="G110" i="2"/>
  <c r="G188" i="2"/>
  <c r="G189" i="2"/>
  <c r="G134" i="4"/>
  <c r="E298" i="4" s="1"/>
  <c r="G139" i="4"/>
  <c r="G138" i="4"/>
  <c r="G133" i="4"/>
  <c r="E297" i="4" s="1"/>
  <c r="G199" i="2"/>
  <c r="E243" i="4"/>
  <c r="D298" i="4"/>
  <c r="F298" i="4" s="1"/>
  <c r="D222" i="2"/>
  <c r="F222" i="2" s="1"/>
  <c r="E152" i="2"/>
  <c r="E159" i="2" s="1"/>
  <c r="E168" i="2" s="1"/>
  <c r="E259" i="2" s="1"/>
  <c r="G186" i="2"/>
  <c r="G146" i="2"/>
  <c r="G145" i="2"/>
  <c r="D225" i="2"/>
  <c r="F225" i="2" s="1"/>
  <c r="G190" i="2"/>
  <c r="D173" i="4"/>
  <c r="D178" i="4" s="1"/>
  <c r="F227" i="2"/>
  <c r="E269" i="2" l="1"/>
  <c r="D219" i="2"/>
  <c r="F219" i="2" s="1"/>
  <c r="E270" i="2"/>
  <c r="D220" i="2"/>
  <c r="F220" i="2" s="1"/>
  <c r="E268" i="2"/>
  <c r="D218" i="2"/>
  <c r="F218" i="2" s="1"/>
  <c r="D223" i="2"/>
  <c r="F223" i="2" s="1"/>
  <c r="H222" i="2" s="1"/>
  <c r="E153" i="2"/>
  <c r="E160" i="2" s="1"/>
  <c r="E169" i="2" s="1"/>
  <c r="E260" i="2" s="1"/>
  <c r="E267" i="2"/>
  <c r="D217" i="2"/>
  <c r="F217" i="2" s="1"/>
  <c r="E154" i="2"/>
  <c r="E161" i="2" s="1"/>
  <c r="E170" i="2" s="1"/>
  <c r="E261" i="2" s="1"/>
  <c r="D224" i="2"/>
  <c r="F224" i="2" s="1"/>
  <c r="D216" i="2"/>
  <c r="F216" i="2" s="1"/>
  <c r="E266" i="2"/>
  <c r="G137" i="4"/>
  <c r="G135" i="4"/>
  <c r="E299" i="4" s="1"/>
  <c r="F299" i="4" s="1"/>
  <c r="H297" i="4" s="1"/>
  <c r="E181" i="4"/>
  <c r="E183" i="4" s="1"/>
  <c r="E187" i="4" s="1"/>
  <c r="D205" i="4"/>
  <c r="D207" i="4" s="1"/>
  <c r="E246" i="4"/>
  <c r="E252" i="4" s="1"/>
  <c r="E261" i="4" s="1"/>
  <c r="D229" i="2"/>
  <c r="F229" i="2" s="1"/>
  <c r="E272" i="2"/>
  <c r="E307" i="4" l="1"/>
  <c r="F307" i="4" s="1"/>
  <c r="H307" i="4" s="1"/>
  <c r="H216" i="2"/>
  <c r="E269" i="4"/>
  <c r="E337" i="4" s="1"/>
  <c r="D305" i="4"/>
  <c r="F305" i="4" s="1"/>
  <c r="E212" i="4"/>
  <c r="E216" i="4" s="1"/>
  <c r="E210" i="4"/>
  <c r="E247" i="4"/>
  <c r="E230" i="2" l="1"/>
  <c r="F230" i="2" s="1"/>
  <c r="H229" i="2" s="1"/>
  <c r="H213" i="2" s="1"/>
  <c r="F243" i="2" s="1"/>
  <c r="H243" i="2" s="1"/>
  <c r="H246" i="2" s="1"/>
  <c r="E251" i="4"/>
  <c r="E260" i="4" s="1"/>
  <c r="E250" i="4"/>
  <c r="E259" i="4" s="1"/>
  <c r="E249" i="4"/>
  <c r="E258" i="4" s="1"/>
  <c r="D302" i="4" l="1"/>
  <c r="F302" i="4" s="1"/>
  <c r="E266" i="4"/>
  <c r="E334" i="4" s="1"/>
  <c r="E267" i="4"/>
  <c r="E335" i="4" s="1"/>
  <c r="D303" i="4"/>
  <c r="F303" i="4" s="1"/>
  <c r="D304" i="4"/>
  <c r="F304" i="4" s="1"/>
  <c r="E268" i="4"/>
  <c r="E336" i="4" s="1"/>
  <c r="H302" i="4" l="1"/>
  <c r="H294" i="4" s="1"/>
  <c r="E314" i="4" s="1"/>
  <c r="F321" i="4" s="1"/>
  <c r="H321" i="4" s="1"/>
  <c r="H324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1" authorId="0" shapeId="0" xr:uid="{00000000-0006-0000-0100-000001000000}">
      <text>
        <r>
          <rPr>
            <sz val="11"/>
            <color theme="1"/>
            <rFont val="Calibri"/>
            <scheme val="minor"/>
          </rPr>
          <t>======
ID#AAAA3P9PCAM
User    (2023-08-18 15:19:57)
Si es obra por contrata: NO se incluye el IGV en los Costos Directos.
Si es por administración directa: SI se incluye IGV en los Costos Directos.</t>
        </r>
      </text>
    </comment>
    <comment ref="E115" authorId="0" shapeId="0" xr:uid="{00000000-0006-0000-0100-000002000000}">
      <text>
        <r>
          <rPr>
            <sz val="11"/>
            <color theme="1"/>
            <rFont val="Calibri"/>
            <scheme val="minor"/>
          </rPr>
          <t>======
ID#AAAA3P9PCAE
User    (2023-08-18 15:19:57)
Si es mayor a 50 UIT: se utilizarán los salarios en el Régimen de Constr. Civil.
Si es menor a 50 UIT: se utilizará solamente la Remuneración Básica.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EdYuMZq8giKyTpCJr2sX3J3iIp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10" authorId="0" shapeId="0" xr:uid="{00000000-0006-0000-0300-000001000000}">
      <text>
        <r>
          <rPr>
            <sz val="11"/>
            <color theme="1"/>
            <rFont val="Calibri"/>
            <scheme val="minor"/>
          </rPr>
          <t>======
ID#AAAA3P9PCAs
User    (2023-08-18 15:19:57)
Si es obra por contrata: NO se incluye el IGV en los Costos Directos.
Si es por administración directa: SI se incluye IGV en los Costos Directos.</t>
        </r>
      </text>
    </comment>
    <comment ref="E144" authorId="0" shapeId="0" xr:uid="{00000000-0006-0000-0300-000002000000}">
      <text>
        <r>
          <rPr>
            <sz val="11"/>
            <color theme="1"/>
            <rFont val="Calibri"/>
            <scheme val="minor"/>
          </rPr>
          <t>======
ID#AAAA3P9PCAg
User    (2023-08-18 15:19:57)
Si es mayor a 50 UIT: se utilizarán los salarios en el Régimen de Constr. Civil.
Si es menor a 50 UIT: se utilizará solamente la Remuneración Básica.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oKGBl5+qMa6JEvYGtGgA/uO4L1A=="/>
    </ext>
  </extLst>
</comments>
</file>

<file path=xl/sharedStrings.xml><?xml version="1.0" encoding="utf-8"?>
<sst xmlns="http://schemas.openxmlformats.org/spreadsheetml/2006/main" count="622" uniqueCount="368">
  <si>
    <t>A. DATOS DE ENTRADA</t>
  </si>
  <si>
    <t>CAMBIAR SÓLO LOS DATOS DE COLOR ROJO</t>
  </si>
  <si>
    <t>Posible desperdicio</t>
  </si>
  <si>
    <t xml:space="preserve"> Materiales para máquina mezcladora:</t>
  </si>
  <si>
    <t>SI</t>
  </si>
  <si>
    <t xml:space="preserve"> -Gasolina de 84 octanos:</t>
  </si>
  <si>
    <t>NO</t>
  </si>
  <si>
    <t xml:space="preserve"> -Grasa Multi propósitos:</t>
  </si>
  <si>
    <t>(En el caso que NO los incluyera serán CONSIDERADOS APARTE)</t>
  </si>
  <si>
    <t>Relación a/c</t>
  </si>
  <si>
    <t>(elegir proporción en la lista despleg.)</t>
  </si>
  <si>
    <t>cm</t>
  </si>
  <si>
    <t>Jornada laboral</t>
  </si>
  <si>
    <t>horas</t>
  </si>
  <si>
    <t>(Cambiar los datos del cuadro sólo si se tienen datos más exactos)</t>
  </si>
  <si>
    <t>Actividad</t>
  </si>
  <si>
    <t>Cuadrilla</t>
  </si>
  <si>
    <t>Capatáz</t>
  </si>
  <si>
    <t>Operario</t>
  </si>
  <si>
    <t>Oficial</t>
  </si>
  <si>
    <t>Peón</t>
  </si>
  <si>
    <t>Máquina</t>
  </si>
  <si>
    <t xml:space="preserve"> -Herramientas manuales:</t>
  </si>
  <si>
    <t>de la MO</t>
  </si>
  <si>
    <t>(Colocar el % determinado)</t>
  </si>
  <si>
    <t xml:space="preserve">             CAMBIAR SÓLO LOS DATOS DE COLOR ROJO</t>
  </si>
  <si>
    <t>Costos de los Materiales:</t>
  </si>
  <si>
    <t>(Colorar los costos incluido el IGV)</t>
  </si>
  <si>
    <t>Incluido IGV</t>
  </si>
  <si>
    <t>Materiales</t>
  </si>
  <si>
    <t>Unidades</t>
  </si>
  <si>
    <t>Costos Incluido IGV</t>
  </si>
  <si>
    <t>Costos Sin IGV</t>
  </si>
  <si>
    <t>Sin IGV</t>
  </si>
  <si>
    <t>Cemento</t>
  </si>
  <si>
    <t>bolsa 42.5 kg</t>
  </si>
  <si>
    <t>S/.</t>
  </si>
  <si>
    <t xml:space="preserve">Agua </t>
  </si>
  <si>
    <t>Hormigón</t>
  </si>
  <si>
    <t>kg</t>
  </si>
  <si>
    <t>Costos de los Equipos:</t>
  </si>
  <si>
    <t>Equipos</t>
  </si>
  <si>
    <t>Hora-Máquina</t>
  </si>
  <si>
    <t>Mezcladora de concreto 13 HP 11-12 P³</t>
  </si>
  <si>
    <t xml:space="preserve">         En la obra se considerará los costos:</t>
  </si>
  <si>
    <t xml:space="preserve">      (Elegir en la lista despleg. si se incluye o no el IGV)</t>
  </si>
  <si>
    <t>Costos de Mano de Obra:</t>
  </si>
  <si>
    <t>ESTRUCTURA DE COSTOS DE MANO DE OBRA</t>
  </si>
  <si>
    <t>Vigente del  01/06/2021  al  31/05/2022</t>
  </si>
  <si>
    <t>Descripción</t>
  </si>
  <si>
    <t>Remuneraicón Básica Vigente (RB)</t>
  </si>
  <si>
    <t>Bonificación Unificada de Construcc. (BUC)</t>
  </si>
  <si>
    <t>Leyes y Benef. Soc. Sobre la RB</t>
  </si>
  <si>
    <t>Leyes y Benef. Soc. Sobre BUC</t>
  </si>
  <si>
    <t>Bonificación Movilidada Acumulada</t>
  </si>
  <si>
    <t>Overol (2 unid. Anuales)</t>
  </si>
  <si>
    <t>Seguro de vida (Essalud + vida)</t>
  </si>
  <si>
    <t>Jornal Diario</t>
  </si>
  <si>
    <t>Jornal Horario</t>
  </si>
  <si>
    <t>COSTO HORARIO DE MANO DE OBRA PARA EXPEDIENTE</t>
  </si>
  <si>
    <t>Capataz</t>
  </si>
  <si>
    <t>del operario</t>
  </si>
  <si>
    <t>Topógrafo</t>
  </si>
  <si>
    <t>del oficial</t>
  </si>
  <si>
    <t>Operador de equipo liviano</t>
  </si>
  <si>
    <t>Operador de equipo pesado</t>
  </si>
  <si>
    <t>Salarios aplicables en obras mayores a 50 UIT</t>
  </si>
  <si>
    <t>Valor de la UIT en Perú:</t>
  </si>
  <si>
    <t>50 UIT =</t>
  </si>
  <si>
    <t xml:space="preserve"> Es obra mayor a 50 UIT?</t>
  </si>
  <si>
    <t xml:space="preserve">    (Elegir en la lista desplegable si es mayor o no, que 50 UIT)</t>
  </si>
  <si>
    <t>(Insertar los datos que se han obtenido previamente de los metrados)</t>
  </si>
  <si>
    <t>Importante</t>
  </si>
  <si>
    <t>B. CÁLCULO DE MATERIALES</t>
  </si>
  <si>
    <t>bolsas</t>
  </si>
  <si>
    <t>m</t>
  </si>
  <si>
    <t>Desperdicio de concreto =</t>
  </si>
  <si>
    <t>Utilizando el cuadro de proporciones de CAPECO:</t>
  </si>
  <si>
    <t>Cemento =</t>
  </si>
  <si>
    <t>Hormigón =</t>
  </si>
  <si>
    <t>Agua =</t>
  </si>
  <si>
    <t>Agua</t>
  </si>
  <si>
    <t>Jornada laboral diaria</t>
  </si>
  <si>
    <t>RENDIMIENTO =</t>
  </si>
  <si>
    <t>ACTIVIDAD</t>
  </si>
  <si>
    <t>MO</t>
  </si>
  <si>
    <t>CUADRILLA</t>
  </si>
  <si>
    <t>Cantidad de H-H</t>
  </si>
  <si>
    <t>Op. Equi. Liv.</t>
  </si>
  <si>
    <t>D. CÁLCULO DEL EQUIPO Y MAQUINARIA</t>
  </si>
  <si>
    <t>EQ</t>
  </si>
  <si>
    <t>Cantidad de H-M</t>
  </si>
  <si>
    <t>PARA UNA OBRA</t>
  </si>
  <si>
    <t>CON LOS COSTOS</t>
  </si>
  <si>
    <t>ACTIVIDAD:</t>
  </si>
  <si>
    <t>Rendimiento:</t>
  </si>
  <si>
    <t>Unidad:</t>
  </si>
  <si>
    <t>COSTO UNITARIO S/.</t>
  </si>
  <si>
    <t>UNIDAD</t>
  </si>
  <si>
    <t>CANTIDAD</t>
  </si>
  <si>
    <t>CTO. UNIT.</t>
  </si>
  <si>
    <t>PARCIAL</t>
  </si>
  <si>
    <t>SUB TOTAL</t>
  </si>
  <si>
    <t>MANO DE OBRA</t>
  </si>
  <si>
    <t>CAPATÁZ</t>
  </si>
  <si>
    <t>H-H</t>
  </si>
  <si>
    <t>OPERARIO</t>
  </si>
  <si>
    <t>OFICIAL</t>
  </si>
  <si>
    <t>PEÓN</t>
  </si>
  <si>
    <t>MATERIALES</t>
  </si>
  <si>
    <t>CEMENTO</t>
  </si>
  <si>
    <t>bls</t>
  </si>
  <si>
    <t>ARENA GRUESA</t>
  </si>
  <si>
    <t>AGUA</t>
  </si>
  <si>
    <t>EQUIPOS Y HERRAM.</t>
  </si>
  <si>
    <t>H-M</t>
  </si>
  <si>
    <t>MEZCLADORA DE CONCRETO 13 HP 11-12 P3</t>
  </si>
  <si>
    <t>HERRAM. MANUALES</t>
  </si>
  <si>
    <t>%MO</t>
  </si>
  <si>
    <t>OPERADOR EQUIPO LIVIANO</t>
  </si>
  <si>
    <t>HORMIGÓN</t>
  </si>
  <si>
    <t>METRADO</t>
  </si>
  <si>
    <t>COSTO UNIT. (S/.)</t>
  </si>
  <si>
    <t>COSTO TOTAL (S/.)</t>
  </si>
  <si>
    <t>con los Costos</t>
  </si>
  <si>
    <t>TOTAL</t>
  </si>
  <si>
    <t xml:space="preserve">Arena gruesa </t>
  </si>
  <si>
    <t>Horas-Hombre</t>
  </si>
  <si>
    <t>Horas-Máquina</t>
  </si>
  <si>
    <t>CIMIENTOS CORRIDOS</t>
  </si>
  <si>
    <t>CAMBIAR SÓLO LOS DATOS DE COLOR  ROJO</t>
  </si>
  <si>
    <t>A.1. Datos de los Materiales:</t>
  </si>
  <si>
    <t xml:space="preserve"> Materiales para el concreto ciclópeo: </t>
  </si>
  <si>
    <t>Proporciones usualmente utilizadas en concreto ciclópeo, según CAPECO</t>
  </si>
  <si>
    <t>Concreto ciclópeo para cimientos corridos</t>
  </si>
  <si>
    <t>Proporción</t>
  </si>
  <si>
    <r>
      <rPr>
        <sz val="11"/>
        <color theme="1"/>
        <rFont val="Calibri"/>
      </rPr>
      <t>Materiales por m</t>
    </r>
    <r>
      <rPr>
        <sz val="12"/>
        <color theme="1"/>
        <rFont val="Calibri"/>
      </rPr>
      <t xml:space="preserve">³ </t>
    </r>
    <r>
      <rPr>
        <sz val="11"/>
        <color theme="1"/>
        <rFont val="Calibri"/>
      </rPr>
      <t>de concreto ciclópeo</t>
    </r>
  </si>
  <si>
    <t>Cemento (bolsas)</t>
  </si>
  <si>
    <r>
      <rPr>
        <sz val="11"/>
        <color theme="1"/>
        <rFont val="Calibri"/>
      </rPr>
      <t>Hormigón (m</t>
    </r>
    <r>
      <rPr>
        <sz val="12"/>
        <color theme="1"/>
        <rFont val="Calibri"/>
      </rPr>
      <t>³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</si>
  <si>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Piedra Grand. (m</t>
    </r>
    <r>
      <rPr>
        <sz val="12"/>
        <color theme="1"/>
        <rFont val="Calibri"/>
      </rPr>
      <t>³</t>
    </r>
    <r>
      <rPr>
        <sz val="11"/>
        <color theme="1"/>
        <rFont val="Calibri"/>
      </rPr>
      <t>)</t>
    </r>
  </si>
  <si>
    <r>
      <rPr>
        <sz val="11"/>
        <color theme="1"/>
        <rFont val="Calibri"/>
      </rPr>
      <t>Agua (m</t>
    </r>
    <r>
      <rPr>
        <sz val="12"/>
        <color theme="1"/>
        <rFont val="Calibri"/>
      </rPr>
      <t>³</t>
    </r>
    <r>
      <rPr>
        <sz val="11"/>
        <color theme="1"/>
        <rFont val="Calibri"/>
      </rPr>
      <t>)</t>
    </r>
  </si>
  <si>
    <t>1:8 + 25% PG</t>
  </si>
  <si>
    <t>1:10 + 30% PG</t>
  </si>
  <si>
    <t>Para cimientos corridos se recomienda la proporción 1:10 + 30% PG</t>
  </si>
  <si>
    <r>
      <rPr>
        <sz val="11"/>
        <color theme="1"/>
        <rFont val="Calibri"/>
      </rPr>
      <t xml:space="preserve"> </t>
    </r>
    <r>
      <rPr>
        <b/>
        <i/>
        <sz val="11"/>
        <color theme="1"/>
        <rFont val="Calibri"/>
      </rPr>
      <t>-Proporción Cemento/Hormigón + PG:</t>
    </r>
  </si>
  <si>
    <t>(elegir la proporción en la lista desplegable)</t>
  </si>
  <si>
    <r>
      <rPr>
        <sz val="11"/>
        <color theme="1"/>
        <rFont val="Calibri"/>
      </rPr>
      <t xml:space="preserve"> </t>
    </r>
    <r>
      <rPr>
        <b/>
        <i/>
        <sz val="11"/>
        <color theme="1"/>
        <rFont val="Calibri"/>
      </rPr>
      <t>-Desperdicio de concreto para cimientos:</t>
    </r>
  </si>
  <si>
    <t>(En el caso de ya llevarlo incluido colocarles: 0.00)</t>
  </si>
  <si>
    <r>
      <rPr>
        <sz val="11"/>
        <color theme="1"/>
        <rFont val="Calibri"/>
      </rPr>
      <t>galones/m</t>
    </r>
    <r>
      <rPr>
        <sz val="12"/>
        <color theme="1"/>
        <rFont val="Calibri"/>
      </rPr>
      <t>³</t>
    </r>
  </si>
  <si>
    <r>
      <rPr>
        <sz val="11"/>
        <color theme="1"/>
        <rFont val="Calibri"/>
      </rPr>
      <t>kg/m</t>
    </r>
    <r>
      <rPr>
        <sz val="12"/>
        <color theme="1"/>
        <rFont val="Calibri"/>
      </rPr>
      <t>³</t>
    </r>
  </si>
  <si>
    <r>
      <rPr>
        <i/>
        <sz val="11"/>
        <color theme="1"/>
        <rFont val="Calibri"/>
      </rPr>
      <t xml:space="preserve"> El costo de la máquina mezcladora </t>
    </r>
    <r>
      <rPr>
        <i/>
        <u/>
        <sz val="11"/>
        <color theme="1"/>
        <rFont val="Calibri"/>
      </rPr>
      <t>incluye la gasolina</t>
    </r>
    <r>
      <rPr>
        <i/>
        <sz val="11"/>
        <color theme="1"/>
        <rFont val="Calibri"/>
      </rPr>
      <t>??</t>
    </r>
  </si>
  <si>
    <t>(Elegir en el desplegable si lo lleva o no incluido)</t>
  </si>
  <si>
    <r>
      <rPr>
        <i/>
        <sz val="11"/>
        <color theme="1"/>
        <rFont val="Calibri"/>
      </rPr>
      <t xml:space="preserve"> El costo de la máquina mezcladora </t>
    </r>
    <r>
      <rPr>
        <i/>
        <u/>
        <sz val="11"/>
        <color theme="1"/>
        <rFont val="Calibri"/>
      </rPr>
      <t>incluye la grasa</t>
    </r>
    <r>
      <rPr>
        <i/>
        <sz val="11"/>
        <color theme="1"/>
        <rFont val="Calibri"/>
      </rPr>
      <t>??</t>
    </r>
  </si>
  <si>
    <t>A.2. Datos de la Mano de Obra</t>
  </si>
  <si>
    <r>
      <rPr>
        <sz val="11"/>
        <color theme="1"/>
        <rFont val="Calibri"/>
      </rPr>
      <t>Rendimient. (m</t>
    </r>
    <r>
      <rPr>
        <sz val="12"/>
        <color theme="1"/>
        <rFont val="Calibri"/>
      </rPr>
      <t>³</t>
    </r>
    <r>
      <rPr>
        <sz val="11"/>
        <color theme="1"/>
        <rFont val="Calibri"/>
      </rPr>
      <t>/dia)</t>
    </r>
  </si>
  <si>
    <t>Op. Eq. Liv.</t>
  </si>
  <si>
    <t>CONCRETO PARA CIMIENTOS CORRIDOS</t>
  </si>
  <si>
    <t>A.3. Datos del Equipo y Herramientas</t>
  </si>
  <si>
    <t xml:space="preserve"> -Mezcladora concreto 13 HP 11-12 P³:</t>
  </si>
  <si>
    <t>A.4. Datos de los Costos</t>
  </si>
  <si>
    <r>
      <rPr>
        <sz val="11"/>
        <color theme="1"/>
        <rFont val="Calibri"/>
      </rPr>
      <t>m</t>
    </r>
    <r>
      <rPr>
        <sz val="12"/>
        <color theme="1"/>
        <rFont val="Calibri"/>
      </rPr>
      <t>³</t>
    </r>
  </si>
  <si>
    <t>Piedra Grande</t>
  </si>
  <si>
    <r>
      <rPr>
        <sz val="11"/>
        <color theme="1"/>
        <rFont val="Calibri"/>
      </rPr>
      <t>m</t>
    </r>
    <r>
      <rPr>
        <sz val="12"/>
        <color theme="1"/>
        <rFont val="Calibri"/>
      </rPr>
      <t>³</t>
    </r>
  </si>
  <si>
    <r>
      <rPr>
        <sz val="11"/>
        <color theme="1"/>
        <rFont val="Calibri"/>
      </rPr>
      <t>m</t>
    </r>
    <r>
      <rPr>
        <sz val="12"/>
        <color theme="1"/>
        <rFont val="Calibri"/>
      </rPr>
      <t>³</t>
    </r>
  </si>
  <si>
    <t>Mezcladora concreto 13 HP 11-12 P³</t>
  </si>
  <si>
    <t xml:space="preserve"> Es obra mayor a 50 UIT ??</t>
  </si>
  <si>
    <t>A.5. DATOS DEL CIMIENTO CORRIDO A PRESUESTAR (METRADOS)</t>
  </si>
  <si>
    <t>(datos de los METRADOS)</t>
  </si>
  <si>
    <t xml:space="preserve"> -VOLUMEN DE CONCRETO</t>
  </si>
  <si>
    <t>EN CIMIENTOS</t>
  </si>
  <si>
    <r>
      <rPr>
        <sz val="11"/>
        <color theme="1"/>
        <rFont val="Calibri"/>
      </rPr>
      <t>m</t>
    </r>
    <r>
      <rPr>
        <sz val="12"/>
        <color theme="1"/>
        <rFont val="Calibri"/>
      </rPr>
      <t>³</t>
    </r>
  </si>
  <si>
    <t>B.1. Cálculo de concreto ciclópeo para cimientos corridos</t>
  </si>
  <si>
    <r>
      <rPr>
        <b/>
        <i/>
        <sz val="11"/>
        <color theme="1"/>
        <rFont val="Calibri"/>
      </rPr>
      <t xml:space="preserve"> -Cantidad final (incluido desperdicios) de concreto ciclópeo para cimientos corridos</t>
    </r>
    <r>
      <rPr>
        <b/>
        <i/>
        <sz val="11"/>
        <color theme="1"/>
        <rFont val="Calibri"/>
      </rPr>
      <t>:</t>
    </r>
  </si>
  <si>
    <t>TOTAL CONCRETO CICLÓPEO EN CIMIENTO CORRIDO</t>
  </si>
  <si>
    <r>
      <rPr>
        <b/>
        <sz val="11"/>
        <color theme="1"/>
        <rFont val="Calibri"/>
      </rPr>
      <t>m</t>
    </r>
    <r>
      <rPr>
        <b/>
        <sz val="12"/>
        <color theme="1"/>
        <rFont val="Calibri"/>
      </rPr>
      <t>³</t>
    </r>
  </si>
  <si>
    <r>
      <rPr>
        <b/>
        <i/>
        <u/>
        <sz val="12"/>
        <color theme="1"/>
        <rFont val="Calibri"/>
      </rPr>
      <t xml:space="preserve">B.2. Cálculo de materiales </t>
    </r>
    <r>
      <rPr>
        <b/>
        <i/>
        <u/>
        <sz val="12"/>
        <color theme="1"/>
        <rFont val="Calibri"/>
      </rPr>
      <t>del concreto ciclópeo para cimientos corridos</t>
    </r>
  </si>
  <si>
    <r>
      <rPr>
        <b/>
        <i/>
        <sz val="11"/>
        <color theme="1"/>
        <rFont val="Calibri"/>
      </rPr>
      <t>Materiales por m</t>
    </r>
    <r>
      <rPr>
        <b/>
        <i/>
        <sz val="12"/>
        <color theme="1"/>
        <rFont val="Calibri"/>
      </rPr>
      <t>³</t>
    </r>
    <r>
      <rPr>
        <b/>
        <i/>
        <sz val="11"/>
        <color theme="1"/>
        <rFont val="Calibri"/>
      </rPr>
      <t xml:space="preserve"> de concreto ciclópeo</t>
    </r>
  </si>
  <si>
    <t xml:space="preserve">Proporciones del concreto ciclópeo </t>
  </si>
  <si>
    <r>
      <rPr>
        <i/>
        <sz val="11"/>
        <color theme="1"/>
        <rFont val="Calibri"/>
      </rPr>
      <t>m</t>
    </r>
    <r>
      <rPr>
        <i/>
        <sz val="12"/>
        <color theme="1"/>
        <rFont val="Calibri"/>
      </rPr>
      <t>³</t>
    </r>
  </si>
  <si>
    <t>Piedra Grand. =</t>
  </si>
  <si>
    <r>
      <rPr>
        <i/>
        <sz val="11"/>
        <color theme="1"/>
        <rFont val="Calibri"/>
      </rPr>
      <t>m</t>
    </r>
    <r>
      <rPr>
        <i/>
        <sz val="12"/>
        <color theme="1"/>
        <rFont val="Calibri"/>
      </rPr>
      <t>³</t>
    </r>
  </si>
  <si>
    <r>
      <rPr>
        <i/>
        <sz val="11"/>
        <color theme="1"/>
        <rFont val="Calibri"/>
      </rPr>
      <t>m</t>
    </r>
    <r>
      <rPr>
        <i/>
        <sz val="12"/>
        <color theme="1"/>
        <rFont val="Calibri"/>
      </rPr>
      <t>³</t>
    </r>
  </si>
  <si>
    <r>
      <rPr>
        <b/>
        <i/>
        <sz val="12"/>
        <color theme="1"/>
        <rFont val="Calibri"/>
      </rPr>
      <t xml:space="preserve"> -Cantidad de materiales</t>
    </r>
    <r>
      <rPr>
        <b/>
        <i/>
        <sz val="12"/>
        <color theme="1"/>
        <rFont val="Calibri"/>
      </rPr>
      <t xml:space="preserve"> de concreto ciclópeo: </t>
    </r>
  </si>
  <si>
    <r>
      <rPr>
        <sz val="11"/>
        <color theme="1"/>
        <rFont val="Calibri"/>
      </rPr>
      <t>m</t>
    </r>
    <r>
      <rPr>
        <sz val="12"/>
        <color theme="1"/>
        <rFont val="Calibri"/>
      </rPr>
      <t>³</t>
    </r>
  </si>
  <si>
    <r>
      <rPr>
        <sz val="11"/>
        <color theme="1"/>
        <rFont val="Calibri"/>
      </rPr>
      <t>m</t>
    </r>
    <r>
      <rPr>
        <sz val="12"/>
        <color theme="1"/>
        <rFont val="Calibri"/>
      </rPr>
      <t>³</t>
    </r>
  </si>
  <si>
    <r>
      <rPr>
        <sz val="11"/>
        <color theme="1"/>
        <rFont val="Calibri"/>
      </rPr>
      <t>m</t>
    </r>
    <r>
      <rPr>
        <sz val="12"/>
        <color theme="1"/>
        <rFont val="Calibri"/>
      </rPr>
      <t>³</t>
    </r>
  </si>
  <si>
    <r>
      <rPr>
        <b/>
        <i/>
        <sz val="12"/>
        <color theme="1"/>
        <rFont val="Calibri"/>
      </rPr>
      <t xml:space="preserve"> -Cantidad de materiales (incluido desperdicio) de concreto ciclópeo</t>
    </r>
    <r>
      <rPr>
        <b/>
        <i/>
        <sz val="12"/>
        <color theme="1"/>
        <rFont val="Calibri"/>
      </rPr>
      <t xml:space="preserve">: </t>
    </r>
  </si>
  <si>
    <r>
      <rPr>
        <sz val="11"/>
        <color theme="1"/>
        <rFont val="Calibri"/>
      </rPr>
      <t>m</t>
    </r>
    <r>
      <rPr>
        <sz val="12"/>
        <color theme="1"/>
        <rFont val="Calibri"/>
      </rPr>
      <t>³</t>
    </r>
  </si>
  <si>
    <r>
      <rPr>
        <sz val="11"/>
        <color theme="1"/>
        <rFont val="Calibri"/>
      </rPr>
      <t>m</t>
    </r>
    <r>
      <rPr>
        <sz val="12"/>
        <color theme="1"/>
        <rFont val="Calibri"/>
      </rPr>
      <t>³</t>
    </r>
  </si>
  <si>
    <r>
      <rPr>
        <sz val="11"/>
        <color theme="1"/>
        <rFont val="Calibri"/>
      </rPr>
      <t>m</t>
    </r>
    <r>
      <rPr>
        <sz val="12"/>
        <color theme="1"/>
        <rFont val="Calibri"/>
      </rPr>
      <t>³</t>
    </r>
  </si>
  <si>
    <t>CANTIDAD TOTAL DE MATERIALES (INCLUIDO DESPERDICIO) PARA TODO EL CIMIENTO CORRIDO:</t>
  </si>
  <si>
    <r>
      <rPr>
        <b/>
        <sz val="11"/>
        <color theme="1"/>
        <rFont val="Calibri"/>
      </rPr>
      <t>m</t>
    </r>
    <r>
      <rPr>
        <b/>
        <sz val="12"/>
        <color theme="1"/>
        <rFont val="Calibri"/>
      </rPr>
      <t>³</t>
    </r>
  </si>
  <si>
    <r>
      <rPr>
        <b/>
        <sz val="11"/>
        <color theme="1"/>
        <rFont val="Calibri"/>
      </rPr>
      <t>m</t>
    </r>
    <r>
      <rPr>
        <b/>
        <sz val="12"/>
        <color theme="1"/>
        <rFont val="Calibri"/>
      </rPr>
      <t>³</t>
    </r>
  </si>
  <si>
    <r>
      <rPr>
        <b/>
        <sz val="11"/>
        <color theme="1"/>
        <rFont val="Calibri"/>
      </rPr>
      <t>m</t>
    </r>
    <r>
      <rPr>
        <b/>
        <sz val="12"/>
        <color theme="1"/>
        <rFont val="Calibri"/>
      </rPr>
      <t>³</t>
    </r>
  </si>
  <si>
    <t>C. CÁLCULO DE MANO DE OBRA</t>
  </si>
  <si>
    <r>
      <rPr>
        <b/>
        <i/>
        <u/>
        <sz val="11"/>
        <color theme="1"/>
        <rFont val="Calibri"/>
      </rPr>
      <t xml:space="preserve"> -Cantidad de H-H por m</t>
    </r>
    <r>
      <rPr>
        <b/>
        <u/>
        <sz val="12"/>
        <color theme="1"/>
        <rFont val="Calibri"/>
      </rPr>
      <t>³</t>
    </r>
    <r>
      <rPr>
        <b/>
        <i/>
        <u/>
        <sz val="11"/>
        <color theme="1"/>
        <rFont val="Calibri"/>
      </rPr>
      <t xml:space="preserve"> de concreto ciclópeo para cimientos:</t>
    </r>
  </si>
  <si>
    <r>
      <rPr>
        <sz val="11"/>
        <color theme="1"/>
        <rFont val="Calibri"/>
      </rPr>
      <t>m</t>
    </r>
    <r>
      <rPr>
        <sz val="12"/>
        <color theme="1"/>
        <rFont val="Calibri"/>
      </rPr>
      <t>³/dia</t>
    </r>
  </si>
  <si>
    <r>
      <rPr>
        <b/>
        <i/>
        <u/>
        <sz val="11"/>
        <color theme="1"/>
        <rFont val="Calibri"/>
      </rPr>
      <t xml:space="preserve"> -Cantidad de H-M por m</t>
    </r>
    <r>
      <rPr>
        <b/>
        <u/>
        <sz val="12"/>
        <color theme="1"/>
        <rFont val="Calibri"/>
      </rPr>
      <t>³</t>
    </r>
    <r>
      <rPr>
        <b/>
        <i/>
        <u/>
        <sz val="11"/>
        <color theme="1"/>
        <rFont val="Calibri"/>
      </rPr>
      <t xml:space="preserve"> de concreto ciclópeo para cimientos:</t>
    </r>
  </si>
  <si>
    <r>
      <rPr>
        <sz val="11"/>
        <color theme="1"/>
        <rFont val="Calibri"/>
      </rPr>
      <t>m</t>
    </r>
    <r>
      <rPr>
        <sz val="12"/>
        <color theme="1"/>
        <rFont val="Calibri"/>
      </rPr>
      <t>³/dia</t>
    </r>
  </si>
  <si>
    <t>E. ANÁLISIS DE COSTOS UNITARIOS</t>
  </si>
  <si>
    <r>
      <rPr>
        <sz val="11"/>
        <color theme="1"/>
        <rFont val="Calibri"/>
      </rPr>
      <t>m</t>
    </r>
    <r>
      <rPr>
        <sz val="12"/>
        <color theme="1"/>
        <rFont val="Calibri"/>
      </rPr>
      <t>³</t>
    </r>
    <r>
      <rPr>
        <sz val="11"/>
        <color theme="1"/>
        <rFont val="Calibri"/>
      </rPr>
      <t>/dia</t>
    </r>
  </si>
  <si>
    <r>
      <rPr>
        <b/>
        <sz val="11"/>
        <color theme="1"/>
        <rFont val="Calibri"/>
      </rPr>
      <t>m</t>
    </r>
    <r>
      <rPr>
        <b/>
        <sz val="12"/>
        <color theme="1"/>
        <rFont val="Calibri"/>
      </rPr>
      <t>³</t>
    </r>
  </si>
  <si>
    <r>
      <rPr>
        <sz val="11"/>
        <color theme="1"/>
        <rFont val="Calibri"/>
      </rPr>
      <t>m</t>
    </r>
    <r>
      <rPr>
        <sz val="12"/>
        <color theme="1"/>
        <rFont val="Calibri"/>
      </rPr>
      <t>³</t>
    </r>
  </si>
  <si>
    <t>PIEDRA GRANDE</t>
  </si>
  <si>
    <r>
      <rPr>
        <sz val="11"/>
        <color theme="1"/>
        <rFont val="Calibri"/>
      </rPr>
      <t>m</t>
    </r>
    <r>
      <rPr>
        <sz val="12"/>
        <color theme="1"/>
        <rFont val="Calibri"/>
      </rPr>
      <t>³</t>
    </r>
  </si>
  <si>
    <r>
      <rPr>
        <sz val="11"/>
        <color theme="1"/>
        <rFont val="Calibri"/>
      </rPr>
      <t>m</t>
    </r>
    <r>
      <rPr>
        <sz val="12"/>
        <color theme="1"/>
        <rFont val="Calibri"/>
      </rPr>
      <t>³</t>
    </r>
  </si>
  <si>
    <t>F. PRESUPUESTO DE TODOS LOS CIMIENTOS CORRIDOS</t>
  </si>
  <si>
    <r>
      <rPr>
        <b/>
        <sz val="11"/>
        <color theme="1"/>
        <rFont val="Calibri"/>
      </rPr>
      <t>m</t>
    </r>
    <r>
      <rPr>
        <b/>
        <sz val="12"/>
        <color theme="1"/>
        <rFont val="Calibri"/>
      </rPr>
      <t>³</t>
    </r>
  </si>
  <si>
    <t>PRESUPUESTO TOTAL PARA CIMIENTOS CORRIDOS</t>
  </si>
  <si>
    <t>con los</t>
  </si>
  <si>
    <t>G. RELACIÓN DE INSUMOS PARA LA TOTALIDAD DE CIMIENTOS CORRIDOS</t>
  </si>
  <si>
    <r>
      <rPr>
        <i/>
        <sz val="11"/>
        <color theme="1"/>
        <rFont val="Calibri"/>
      </rPr>
      <t>m</t>
    </r>
    <r>
      <rPr>
        <i/>
        <sz val="12"/>
        <color theme="1"/>
        <rFont val="Calibri"/>
      </rPr>
      <t>³</t>
    </r>
  </si>
  <si>
    <t>Piedra grande</t>
  </si>
  <si>
    <r>
      <rPr>
        <i/>
        <sz val="11"/>
        <color theme="1"/>
        <rFont val="Calibri"/>
      </rPr>
      <t>m</t>
    </r>
    <r>
      <rPr>
        <i/>
        <sz val="12"/>
        <color theme="1"/>
        <rFont val="Calibri"/>
      </rPr>
      <t>³</t>
    </r>
  </si>
  <si>
    <r>
      <rPr>
        <i/>
        <sz val="11"/>
        <color theme="1"/>
        <rFont val="Calibri"/>
      </rPr>
      <t>m</t>
    </r>
    <r>
      <rPr>
        <i/>
        <sz val="12"/>
        <color theme="1"/>
        <rFont val="Calibri"/>
      </rPr>
      <t>³</t>
    </r>
  </si>
  <si>
    <t>Operador Equipo Liviano</t>
  </si>
  <si>
    <t>EQUIPO</t>
  </si>
  <si>
    <t>Mezcladora de concreto 13 HP 11-12 P3</t>
  </si>
  <si>
    <t xml:space="preserve">MUROS DE LADRILLOS </t>
  </si>
  <si>
    <t>A. ESPECIFICACIONES DE LA NORMA E.070 - RNE</t>
  </si>
  <si>
    <t>A.1. Características de las unidades de albañilería:</t>
  </si>
  <si>
    <t>A.2. Uso de las unidades de albañilería por zona sísmica:</t>
  </si>
  <si>
    <t>A.3. Composición del mortero para muros de albañilería:</t>
  </si>
  <si>
    <t xml:space="preserve"> - Aglomerantes:</t>
  </si>
  <si>
    <t xml:space="preserve"> -Proporciones:</t>
  </si>
  <si>
    <t>B. DATOS DE ENTRADA</t>
  </si>
  <si>
    <t>B.1. Datos de los materiales:</t>
  </si>
  <si>
    <r>
      <rPr>
        <b/>
        <i/>
        <sz val="11"/>
        <color theme="1"/>
        <rFont val="Calibri"/>
      </rPr>
      <t xml:space="preserve"> -Dimensiones: </t>
    </r>
    <r>
      <rPr>
        <i/>
        <sz val="11"/>
        <color rgb="FF0070C0"/>
        <rFont val="Calibri"/>
      </rPr>
      <t>(cambiar dimensiones, dependiendo de la fábrica)</t>
    </r>
  </si>
  <si>
    <t>TIPO</t>
  </si>
  <si>
    <t>LARGO (cm)</t>
  </si>
  <si>
    <t>ANCHO (cm)</t>
  </si>
  <si>
    <t>ALTO (cm)</t>
  </si>
  <si>
    <t>King Kong</t>
  </si>
  <si>
    <t>Pandereta</t>
  </si>
  <si>
    <t>Artesanal</t>
  </si>
  <si>
    <t>Ladrillo</t>
  </si>
  <si>
    <t xml:space="preserve"> -Tipo:</t>
  </si>
  <si>
    <t>(elegir el nombre igual que en el cuadro anterior)</t>
  </si>
  <si>
    <t>ASENTADO</t>
  </si>
  <si>
    <t>soga</t>
  </si>
  <si>
    <t>cabeza</t>
  </si>
  <si>
    <t>canto</t>
  </si>
  <si>
    <t xml:space="preserve"> -Forma de asentado:</t>
  </si>
  <si>
    <t>(elergir una forma en la lista desplegable)</t>
  </si>
  <si>
    <r>
      <rPr>
        <sz val="11"/>
        <color theme="1"/>
        <rFont val="Calibri"/>
      </rPr>
      <t xml:space="preserve"> </t>
    </r>
    <r>
      <rPr>
        <b/>
        <i/>
        <sz val="11"/>
        <color theme="1"/>
        <rFont val="Calibri"/>
      </rPr>
      <t>-Proporción del mortero:</t>
    </r>
  </si>
  <si>
    <t>1:5</t>
  </si>
  <si>
    <t>Mortero</t>
  </si>
  <si>
    <r>
      <rPr>
        <sz val="11"/>
        <color theme="1"/>
        <rFont val="Calibri"/>
      </rPr>
      <t xml:space="preserve"> </t>
    </r>
    <r>
      <rPr>
        <b/>
        <i/>
        <sz val="11"/>
        <color theme="1"/>
        <rFont val="Calibri"/>
      </rPr>
      <t>-Relación de a/c:</t>
    </r>
  </si>
  <si>
    <r>
      <rPr>
        <sz val="11"/>
        <color theme="1"/>
        <rFont val="Calibri"/>
      </rPr>
      <t xml:space="preserve"> </t>
    </r>
    <r>
      <rPr>
        <b/>
        <i/>
        <sz val="11"/>
        <color theme="1"/>
        <rFont val="Calibri"/>
      </rPr>
      <t>-Junta horizontal:</t>
    </r>
  </si>
  <si>
    <r>
      <rPr>
        <sz val="11"/>
        <color theme="1"/>
        <rFont val="Calibri"/>
      </rPr>
      <t xml:space="preserve"> </t>
    </r>
    <r>
      <rPr>
        <b/>
        <i/>
        <sz val="11"/>
        <color theme="1"/>
        <rFont val="Calibri"/>
      </rPr>
      <t>-Junta vertical:</t>
    </r>
  </si>
  <si>
    <t xml:space="preserve"> -Ladrillo:</t>
  </si>
  <si>
    <t xml:space="preserve"> -Mortero:</t>
  </si>
  <si>
    <t>B.2. Datos de mano de obra:</t>
  </si>
  <si>
    <t>Jornada (h)</t>
  </si>
  <si>
    <r>
      <rPr>
        <sz val="11"/>
        <color theme="1"/>
        <rFont val="Calibri"/>
      </rPr>
      <t>Rendimient. (m</t>
    </r>
    <r>
      <rPr>
        <sz val="11"/>
        <color theme="1"/>
        <rFont val="Calibri"/>
      </rPr>
      <t>²/dia)</t>
    </r>
  </si>
  <si>
    <t>Colocación</t>
  </si>
  <si>
    <t>Acarreo</t>
  </si>
  <si>
    <t>B.3. Datos de costos:</t>
  </si>
  <si>
    <t>Bolsa (42.5 kg)</t>
  </si>
  <si>
    <r>
      <rPr>
        <i/>
        <sz val="11"/>
        <color theme="1"/>
        <rFont val="Calibri"/>
      </rPr>
      <t>m</t>
    </r>
    <r>
      <rPr>
        <i/>
        <sz val="12"/>
        <color theme="1"/>
        <rFont val="Calibri"/>
      </rPr>
      <t>³</t>
    </r>
  </si>
  <si>
    <r>
      <rPr>
        <i/>
        <sz val="11"/>
        <color theme="1"/>
        <rFont val="Calibri"/>
      </rPr>
      <t>m</t>
    </r>
    <r>
      <rPr>
        <i/>
        <sz val="12"/>
        <color theme="1"/>
        <rFont val="Calibri"/>
      </rPr>
      <t>³</t>
    </r>
  </si>
  <si>
    <t>millar</t>
  </si>
  <si>
    <t xml:space="preserve">      (Elegir en la lista despleg.     si se incluye o no el IGV)</t>
  </si>
  <si>
    <t xml:space="preserve">        (Elegir en la lista despleg. si es mayor o no, que 50 UIT)</t>
  </si>
  <si>
    <t>B.4. DATOS DE LOS MUROS A PRESUPUESTAR</t>
  </si>
  <si>
    <t xml:space="preserve"> -ÁREA TOTAL DE LOS MUROS:</t>
  </si>
  <si>
    <r>
      <rPr>
        <sz val="11"/>
        <color theme="1"/>
        <rFont val="Calibri"/>
      </rPr>
      <t>m</t>
    </r>
    <r>
      <rPr>
        <sz val="12"/>
        <color theme="1"/>
        <rFont val="Calibri"/>
      </rPr>
      <t>²</t>
    </r>
  </si>
  <si>
    <t>C. CÁLCULO DE MATERIALES</t>
  </si>
  <si>
    <t>C.1. Cálculo de ladrillo</t>
  </si>
  <si>
    <r>
      <rPr>
        <b/>
        <i/>
        <sz val="11"/>
        <color theme="1"/>
        <rFont val="Calibri"/>
      </rPr>
      <t>Cantidad de ladrillos por m</t>
    </r>
    <r>
      <rPr>
        <b/>
        <i/>
        <sz val="11"/>
        <color theme="1"/>
        <rFont val="Calibri"/>
      </rPr>
      <t>²:</t>
    </r>
  </si>
  <si>
    <t>Asentado de ladrillo</t>
  </si>
  <si>
    <t>L =</t>
  </si>
  <si>
    <r>
      <rPr>
        <i/>
        <sz val="11"/>
        <color theme="1"/>
        <rFont val="Calibri"/>
      </rPr>
      <t>J</t>
    </r>
    <r>
      <rPr>
        <i/>
        <sz val="8"/>
        <color theme="1"/>
        <rFont val="Calibri"/>
      </rPr>
      <t>h</t>
    </r>
    <r>
      <rPr>
        <i/>
        <sz val="11"/>
        <color theme="1"/>
        <rFont val="Calibri"/>
      </rPr>
      <t xml:space="preserve"> =</t>
    </r>
  </si>
  <si>
    <t>H =</t>
  </si>
  <si>
    <r>
      <rPr>
        <i/>
        <sz val="11"/>
        <color theme="1"/>
        <rFont val="Calibri"/>
      </rPr>
      <t>J</t>
    </r>
    <r>
      <rPr>
        <i/>
        <sz val="8"/>
        <color theme="1"/>
        <rFont val="Calibri"/>
      </rPr>
      <t>v</t>
    </r>
    <r>
      <rPr>
        <i/>
        <sz val="11"/>
        <color theme="1"/>
        <rFont val="Calibri"/>
      </rPr>
      <t xml:space="preserve"> =</t>
    </r>
  </si>
  <si>
    <t>CL =</t>
  </si>
  <si>
    <r>
      <rPr>
        <b/>
        <sz val="11"/>
        <color theme="1"/>
        <rFont val="Calibri"/>
      </rPr>
      <t>Ladrillos/m</t>
    </r>
    <r>
      <rPr>
        <b/>
        <sz val="11"/>
        <color theme="1"/>
        <rFont val="Calibri"/>
      </rPr>
      <t>²</t>
    </r>
  </si>
  <si>
    <r>
      <rPr>
        <b/>
        <i/>
        <sz val="11"/>
        <color theme="1"/>
        <rFont val="Calibri"/>
      </rPr>
      <t>Cantidad de ladrillos para el total de muros</t>
    </r>
    <r>
      <rPr>
        <b/>
        <i/>
        <sz val="11"/>
        <color theme="1"/>
        <rFont val="Calibri"/>
      </rPr>
      <t>:</t>
    </r>
  </si>
  <si>
    <t>Ladrillos por m² de muro =</t>
  </si>
  <si>
    <r>
      <rPr>
        <i/>
        <sz val="11"/>
        <color theme="1"/>
        <rFont val="Calibri"/>
      </rPr>
      <t>ladrillos/m</t>
    </r>
    <r>
      <rPr>
        <i/>
        <sz val="11"/>
        <color theme="1"/>
        <rFont val="Calibri"/>
      </rPr>
      <t>²</t>
    </r>
  </si>
  <si>
    <t>Total ladrillo</t>
  </si>
  <si>
    <t>ladrillos</t>
  </si>
  <si>
    <t>Cantidad final (incluido el desperdicio) de ladrillo para el total de muros:</t>
  </si>
  <si>
    <t>Desperdicio de ladrillo =</t>
  </si>
  <si>
    <t>C.2. Cálculo de mortero</t>
  </si>
  <si>
    <r>
      <rPr>
        <b/>
        <i/>
        <sz val="11"/>
        <color theme="1"/>
        <rFont val="Calibri"/>
      </rPr>
      <t>Cantidad de mortero por m</t>
    </r>
    <r>
      <rPr>
        <b/>
        <i/>
        <sz val="11"/>
        <color theme="1"/>
        <rFont val="Calibri"/>
      </rPr>
      <t>²:</t>
    </r>
  </si>
  <si>
    <t xml:space="preserve">Ancho del muro de </t>
  </si>
  <si>
    <t>asentado con ladrillo</t>
  </si>
  <si>
    <r>
      <rPr>
        <i/>
        <sz val="11"/>
        <color theme="1"/>
        <rFont val="Calibri"/>
      </rPr>
      <t>V</t>
    </r>
    <r>
      <rPr>
        <i/>
        <sz val="8"/>
        <color theme="1"/>
        <rFont val="Calibri"/>
      </rPr>
      <t>mu</t>
    </r>
    <r>
      <rPr>
        <i/>
        <sz val="11"/>
        <color theme="1"/>
        <rFont val="Calibri"/>
      </rPr>
      <t xml:space="preserve"> =</t>
    </r>
  </si>
  <si>
    <r>
      <rPr>
        <i/>
        <sz val="11"/>
        <color theme="1"/>
        <rFont val="Calibri"/>
      </rPr>
      <t>V</t>
    </r>
    <r>
      <rPr>
        <i/>
        <sz val="8"/>
        <color theme="1"/>
        <rFont val="Calibri"/>
      </rPr>
      <t>la</t>
    </r>
    <r>
      <rPr>
        <i/>
        <sz val="11"/>
        <color theme="1"/>
        <rFont val="Calibri"/>
      </rPr>
      <t xml:space="preserve"> =</t>
    </r>
  </si>
  <si>
    <r>
      <rPr>
        <b/>
        <sz val="11"/>
        <color theme="1"/>
        <rFont val="Calibri"/>
      </rPr>
      <t>V</t>
    </r>
    <r>
      <rPr>
        <b/>
        <sz val="8"/>
        <color theme="1"/>
        <rFont val="Calibri"/>
      </rPr>
      <t>mo</t>
    </r>
    <r>
      <rPr>
        <b/>
        <sz val="11"/>
        <color theme="1"/>
        <rFont val="Calibri"/>
      </rPr>
      <t xml:space="preserve"> =</t>
    </r>
  </si>
  <si>
    <r>
      <rPr>
        <b/>
        <sz val="11"/>
        <color theme="1"/>
        <rFont val="Calibri"/>
      </rPr>
      <t>m</t>
    </r>
    <r>
      <rPr>
        <b/>
        <sz val="11"/>
        <color theme="1"/>
        <rFont val="Calibri"/>
      </rPr>
      <t>³/m²</t>
    </r>
  </si>
  <si>
    <r>
      <rPr>
        <b/>
        <i/>
        <sz val="11"/>
        <color theme="1"/>
        <rFont val="Calibri"/>
      </rPr>
      <t>Cantidad de mortero para el total de muros</t>
    </r>
    <r>
      <rPr>
        <b/>
        <i/>
        <sz val="11"/>
        <color theme="1"/>
        <rFont val="Calibri"/>
      </rPr>
      <t>:</t>
    </r>
  </si>
  <si>
    <t>Mortero por m² de muro =</t>
  </si>
  <si>
    <r>
      <rPr>
        <i/>
        <sz val="11"/>
        <color theme="1"/>
        <rFont val="Calibri"/>
      </rPr>
      <t>m</t>
    </r>
    <r>
      <rPr>
        <sz val="11"/>
        <color theme="1"/>
        <rFont val="Calibri"/>
      </rPr>
      <t>³</t>
    </r>
    <r>
      <rPr>
        <i/>
        <sz val="11"/>
        <color theme="1"/>
        <rFont val="Calibri"/>
      </rPr>
      <t>/m</t>
    </r>
    <r>
      <rPr>
        <i/>
        <sz val="11"/>
        <color theme="1"/>
        <rFont val="Calibri"/>
      </rPr>
      <t>²</t>
    </r>
  </si>
  <si>
    <t>Total de mortero</t>
  </si>
  <si>
    <r>
      <rPr>
        <b/>
        <sz val="11"/>
        <color theme="1"/>
        <rFont val="Calibri"/>
      </rPr>
      <t>m</t>
    </r>
    <r>
      <rPr>
        <b/>
        <sz val="12"/>
        <color theme="1"/>
        <rFont val="Calibri"/>
      </rPr>
      <t>³</t>
    </r>
  </si>
  <si>
    <t>Cantidad final (incluido el desperdicio) de mortero para el total de muros:</t>
  </si>
  <si>
    <t>Desperdicio de mortero =</t>
  </si>
  <si>
    <r>
      <rPr>
        <b/>
        <sz val="11"/>
        <color theme="1"/>
        <rFont val="Calibri"/>
      </rPr>
      <t>m</t>
    </r>
    <r>
      <rPr>
        <b/>
        <sz val="12"/>
        <color theme="1"/>
        <rFont val="Calibri"/>
      </rPr>
      <t>³</t>
    </r>
  </si>
  <si>
    <r>
      <rPr>
        <b/>
        <i/>
        <u/>
        <sz val="12"/>
        <color theme="1"/>
        <rFont val="Calibri"/>
      </rPr>
      <t>C.3. Cálculo de materiales por m</t>
    </r>
    <r>
      <rPr>
        <b/>
        <u/>
        <sz val="12"/>
        <color theme="1"/>
        <rFont val="Calibri"/>
      </rPr>
      <t>³ de mortero</t>
    </r>
  </si>
  <si>
    <r>
      <rPr>
        <b/>
        <i/>
        <sz val="11"/>
        <color theme="1"/>
        <rFont val="Calibri"/>
      </rPr>
      <t>Equivalencias del cemento</t>
    </r>
    <r>
      <rPr>
        <b/>
        <i/>
        <sz val="11"/>
        <color theme="1"/>
        <rFont val="Calibri"/>
      </rPr>
      <t xml:space="preserve">: </t>
    </r>
    <r>
      <rPr>
        <i/>
        <sz val="11"/>
        <color theme="1"/>
        <rFont val="Calibri"/>
      </rPr>
      <t>1 pie</t>
    </r>
    <r>
      <rPr>
        <sz val="11"/>
        <color theme="1"/>
        <rFont val="Calibri"/>
      </rPr>
      <t>³</t>
    </r>
    <r>
      <rPr>
        <i/>
        <sz val="11"/>
        <color theme="1"/>
        <rFont val="Calibri"/>
      </rPr>
      <t xml:space="preserve"> = 42.5 kg = 1 bolsa</t>
    </r>
  </si>
  <si>
    <r>
      <rPr>
        <b/>
        <i/>
        <sz val="11"/>
        <color theme="1"/>
        <rFont val="Calibri"/>
      </rPr>
      <t>Equivalencia del agua</t>
    </r>
    <r>
      <rPr>
        <b/>
        <i/>
        <sz val="11"/>
        <color theme="1"/>
        <rFont val="Calibri"/>
      </rPr>
      <t xml:space="preserve">: </t>
    </r>
    <r>
      <rPr>
        <i/>
        <sz val="11"/>
        <color theme="1"/>
        <rFont val="Calibri"/>
      </rPr>
      <t>1 Litro de agua pesa 1 kg</t>
    </r>
  </si>
  <si>
    <t>Agua:</t>
  </si>
  <si>
    <t>a/c =</t>
  </si>
  <si>
    <t>kg/bolsa</t>
  </si>
  <si>
    <t>Peso específico de agua:</t>
  </si>
  <si>
    <r>
      <rPr>
        <sz val="11"/>
        <color theme="1"/>
        <rFont val="Calibri"/>
      </rPr>
      <t>kg/m</t>
    </r>
    <r>
      <rPr>
        <sz val="11"/>
        <color theme="1"/>
        <rFont val="Calibri"/>
      </rPr>
      <t>³</t>
    </r>
  </si>
  <si>
    <t>Utilizamos el siguiente cuadro estandarizado de materiales:</t>
  </si>
  <si>
    <t>Tipo de mortero</t>
  </si>
  <si>
    <r>
      <rPr>
        <sz val="11"/>
        <color theme="1"/>
        <rFont val="Calibri"/>
      </rPr>
      <t>Materiales por m</t>
    </r>
    <r>
      <rPr>
        <sz val="12"/>
        <color theme="1"/>
        <rFont val="Calibri"/>
      </rPr>
      <t>³</t>
    </r>
  </si>
  <si>
    <t>Cemento (kg)</t>
  </si>
  <si>
    <r>
      <rPr>
        <sz val="11"/>
        <color theme="1"/>
        <rFont val="Calibri"/>
      </rPr>
      <t>Arena (m</t>
    </r>
    <r>
      <rPr>
        <sz val="12"/>
        <color theme="1"/>
        <rFont val="Calibri"/>
      </rPr>
      <t>³</t>
    </r>
    <r>
      <rPr>
        <sz val="11"/>
        <color theme="1"/>
        <rFont val="Calibri"/>
      </rPr>
      <t>)</t>
    </r>
  </si>
  <si>
    <t>Agua (L)</t>
  </si>
  <si>
    <t>1:3</t>
  </si>
  <si>
    <t>1:4</t>
  </si>
  <si>
    <t>1:6</t>
  </si>
  <si>
    <t xml:space="preserve">Para el tipo de mortero </t>
  </si>
  <si>
    <t>Arena  =</t>
  </si>
  <si>
    <r>
      <rPr>
        <sz val="11"/>
        <color theme="1"/>
        <rFont val="Calibri"/>
      </rPr>
      <t>m</t>
    </r>
    <r>
      <rPr>
        <sz val="11"/>
        <color theme="1"/>
        <rFont val="Calibri"/>
      </rPr>
      <t>³</t>
    </r>
  </si>
  <si>
    <t>L</t>
  </si>
  <si>
    <r>
      <rPr>
        <b/>
        <i/>
        <sz val="11"/>
        <color theme="1"/>
        <rFont val="Calibri"/>
      </rPr>
      <t>Factor de cantidades de materiales (cantidades por m</t>
    </r>
    <r>
      <rPr>
        <b/>
        <sz val="11"/>
        <color theme="1"/>
        <rFont val="Calibri"/>
      </rPr>
      <t>³</t>
    </r>
    <r>
      <rPr>
        <b/>
        <i/>
        <sz val="11"/>
        <color theme="1"/>
        <rFont val="Calibri"/>
      </rPr>
      <t xml:space="preserve"> de mortero)</t>
    </r>
    <r>
      <rPr>
        <b/>
        <i/>
        <sz val="11"/>
        <color theme="1"/>
        <rFont val="Calibri"/>
      </rPr>
      <t>:</t>
    </r>
  </si>
  <si>
    <t>- Factor cemento</t>
  </si>
  <si>
    <t>- Arena gruesa</t>
  </si>
  <si>
    <r>
      <rPr>
        <sz val="11"/>
        <color theme="1"/>
        <rFont val="Calibri"/>
      </rPr>
      <t>m</t>
    </r>
    <r>
      <rPr>
        <sz val="11"/>
        <color theme="1"/>
        <rFont val="Calibri"/>
      </rPr>
      <t>³</t>
    </r>
  </si>
  <si>
    <t>- Agua</t>
  </si>
  <si>
    <t>m³</t>
  </si>
  <si>
    <t>Es más exacto</t>
  </si>
  <si>
    <r>
      <rPr>
        <b/>
        <i/>
        <u/>
        <sz val="12"/>
        <color theme="1"/>
        <rFont val="Calibri"/>
      </rPr>
      <t>C.4. Cálculo de cantidad de materiales por m</t>
    </r>
    <r>
      <rPr>
        <b/>
        <u/>
        <sz val="12"/>
        <color theme="1"/>
        <rFont val="Calibri"/>
      </rPr>
      <t>² de muro</t>
    </r>
  </si>
  <si>
    <r>
      <rPr>
        <i/>
        <sz val="11"/>
        <color theme="1"/>
        <rFont val="Calibri"/>
      </rPr>
      <t>ladrillos/m</t>
    </r>
    <r>
      <rPr>
        <sz val="11"/>
        <color theme="1"/>
        <rFont val="Calibri"/>
      </rPr>
      <t>²</t>
    </r>
  </si>
  <si>
    <r>
      <rPr>
        <i/>
        <sz val="11"/>
        <color theme="1"/>
        <rFont val="Calibri"/>
      </rPr>
      <t>m</t>
    </r>
    <r>
      <rPr>
        <i/>
        <sz val="11"/>
        <color theme="1"/>
        <rFont val="Calibri"/>
      </rPr>
      <t>³/m</t>
    </r>
    <r>
      <rPr>
        <sz val="11"/>
        <color theme="1"/>
        <rFont val="Calibri"/>
      </rPr>
      <t>²</t>
    </r>
  </si>
  <si>
    <t>bolsas/m²</t>
  </si>
  <si>
    <t>Arena gruesa</t>
  </si>
  <si>
    <r>
      <rPr>
        <sz val="11"/>
        <color theme="1"/>
        <rFont val="Calibri"/>
      </rPr>
      <t>m</t>
    </r>
    <r>
      <rPr>
        <sz val="11"/>
        <color theme="1"/>
        <rFont val="Calibri"/>
      </rPr>
      <t>³/m²</t>
    </r>
  </si>
  <si>
    <r>
      <rPr>
        <sz val="11"/>
        <color theme="1"/>
        <rFont val="Calibri"/>
      </rPr>
      <t>m</t>
    </r>
    <r>
      <rPr>
        <sz val="11"/>
        <color theme="1"/>
        <rFont val="Calibri"/>
      </rPr>
      <t>³/m²</t>
    </r>
  </si>
  <si>
    <t>Ladrillos</t>
  </si>
  <si>
    <t>ladrillos/m²</t>
  </si>
  <si>
    <r>
      <rPr>
        <b/>
        <i/>
        <u/>
        <sz val="12"/>
        <color theme="1"/>
        <rFont val="Calibri"/>
      </rPr>
      <t>C.5. Cálculo de cantidades finales (incluido el desperdicio) por m</t>
    </r>
    <r>
      <rPr>
        <b/>
        <u/>
        <sz val="12"/>
        <color theme="1"/>
        <rFont val="Calibri"/>
      </rPr>
      <t>²</t>
    </r>
    <r>
      <rPr>
        <b/>
        <i/>
        <u/>
        <sz val="12"/>
        <color theme="1"/>
        <rFont val="Calibri"/>
      </rPr>
      <t xml:space="preserve"> de muro</t>
    </r>
    <r>
      <rPr>
        <b/>
        <i/>
        <u/>
        <sz val="12"/>
        <color theme="1"/>
        <rFont val="Calibri"/>
      </rPr>
      <t>:</t>
    </r>
  </si>
  <si>
    <r>
      <rPr>
        <b/>
        <sz val="11"/>
        <color theme="1"/>
        <rFont val="Calibri"/>
      </rPr>
      <t>m</t>
    </r>
    <r>
      <rPr>
        <b/>
        <sz val="11"/>
        <color theme="1"/>
        <rFont val="Calibri"/>
      </rPr>
      <t>³/m²</t>
    </r>
  </si>
  <si>
    <r>
      <rPr>
        <b/>
        <sz val="11"/>
        <color theme="1"/>
        <rFont val="Calibri"/>
      </rPr>
      <t>m</t>
    </r>
    <r>
      <rPr>
        <b/>
        <sz val="11"/>
        <color theme="1"/>
        <rFont val="Calibri"/>
      </rPr>
      <t>³/m²</t>
    </r>
  </si>
  <si>
    <t>C.6. CANTIDAD DE MATERIALES FINALES (INCLUIDO DESPERDICIO) PARA EL TOTAL DE MUROS:</t>
  </si>
  <si>
    <r>
      <rPr>
        <b/>
        <sz val="11"/>
        <color theme="1"/>
        <rFont val="Calibri"/>
      </rPr>
      <t>m</t>
    </r>
    <r>
      <rPr>
        <b/>
        <sz val="12"/>
        <color theme="1"/>
        <rFont val="Calibri"/>
      </rPr>
      <t>³</t>
    </r>
  </si>
  <si>
    <r>
      <rPr>
        <b/>
        <sz val="11"/>
        <color theme="1"/>
        <rFont val="Calibri"/>
      </rPr>
      <t>m</t>
    </r>
    <r>
      <rPr>
        <b/>
        <sz val="12"/>
        <color theme="1"/>
        <rFont val="Calibri"/>
      </rPr>
      <t>³</t>
    </r>
  </si>
  <si>
    <t>D. CÁLCULO DE MANO DE OBRA</t>
  </si>
  <si>
    <r>
      <rPr>
        <b/>
        <i/>
        <u/>
        <sz val="12"/>
        <color theme="1"/>
        <rFont val="Calibri"/>
      </rPr>
      <t>D.1. Cálculo de cantidad de H-H por m</t>
    </r>
    <r>
      <rPr>
        <b/>
        <u/>
        <sz val="12"/>
        <color theme="1"/>
        <rFont val="Calibri"/>
      </rPr>
      <t>²</t>
    </r>
    <r>
      <rPr>
        <b/>
        <i/>
        <u/>
        <sz val="12"/>
        <color theme="1"/>
        <rFont val="Calibri"/>
      </rPr>
      <t xml:space="preserve"> de muro</t>
    </r>
    <r>
      <rPr>
        <b/>
        <i/>
        <u/>
        <sz val="12"/>
        <color theme="1"/>
        <rFont val="Calibri"/>
      </rPr>
      <t>:</t>
    </r>
  </si>
  <si>
    <t xml:space="preserve">H-H por actividad </t>
  </si>
  <si>
    <t>Cantidad total de H-H</t>
  </si>
  <si>
    <r>
      <rPr>
        <b/>
        <i/>
        <u/>
        <sz val="12"/>
        <color theme="1"/>
        <rFont val="Calibri"/>
      </rPr>
      <t>E. COSTO UNITARIO POR m</t>
    </r>
    <r>
      <rPr>
        <b/>
        <i/>
        <u/>
        <sz val="12"/>
        <color theme="1"/>
        <rFont val="Calibri"/>
      </rPr>
      <t>² DE MURO</t>
    </r>
  </si>
  <si>
    <r>
      <rPr>
        <b/>
        <sz val="11"/>
        <color theme="1"/>
        <rFont val="Calibri"/>
      </rPr>
      <t>m</t>
    </r>
    <r>
      <rPr>
        <b/>
        <sz val="12"/>
        <color theme="1"/>
        <rFont val="Calibri"/>
      </rPr>
      <t>²</t>
    </r>
  </si>
  <si>
    <r>
      <rPr>
        <sz val="11"/>
        <color theme="1"/>
        <rFont val="Calibri"/>
      </rPr>
      <t>m</t>
    </r>
    <r>
      <rPr>
        <sz val="11"/>
        <color theme="1"/>
        <rFont val="Calibri"/>
      </rPr>
      <t>³</t>
    </r>
  </si>
  <si>
    <r>
      <rPr>
        <sz val="11"/>
        <color theme="1"/>
        <rFont val="Calibri"/>
      </rPr>
      <t>m</t>
    </r>
    <r>
      <rPr>
        <sz val="11"/>
        <color theme="1"/>
        <rFont val="Calibri"/>
      </rPr>
      <t>³</t>
    </r>
  </si>
  <si>
    <t>LADRILLO</t>
  </si>
  <si>
    <t>und</t>
  </si>
  <si>
    <t>F. PRESUPUESTO PARA EL TOTAL DE MUROS</t>
  </si>
  <si>
    <t>Metrado total de muros =</t>
  </si>
  <si>
    <t>m²</t>
  </si>
  <si>
    <r>
      <rPr>
        <i/>
        <sz val="11"/>
        <color theme="1"/>
        <rFont val="Calibri"/>
      </rPr>
      <t>Costo unitario por m</t>
    </r>
    <r>
      <rPr>
        <i/>
        <sz val="11"/>
        <color theme="1"/>
        <rFont val="Calibri"/>
      </rPr>
      <t>² =</t>
    </r>
  </si>
  <si>
    <t>Soles</t>
  </si>
  <si>
    <t>TIPO DE MURO</t>
  </si>
  <si>
    <r>
      <rPr>
        <sz val="11"/>
        <color theme="1"/>
        <rFont val="Calibri"/>
      </rPr>
      <t>METRADO (m</t>
    </r>
    <r>
      <rPr>
        <sz val="11"/>
        <color theme="1"/>
        <rFont val="Calibri"/>
      </rPr>
      <t>²)</t>
    </r>
  </si>
  <si>
    <t>Muro de ladrillo</t>
  </si>
  <si>
    <t xml:space="preserve">amarre de </t>
  </si>
  <si>
    <t>con mortero</t>
  </si>
  <si>
    <t xml:space="preserve">                             PRESUPUESTO TOTAL PARA MUROS DE LADRILLOS</t>
  </si>
  <si>
    <t>G. RELACIÓN DE INSUMOS PARA EL TOTAL DE MUROS</t>
  </si>
  <si>
    <t xml:space="preserve"> TOTAL</t>
  </si>
  <si>
    <r>
      <rPr>
        <i/>
        <sz val="11"/>
        <color theme="1"/>
        <rFont val="Calibri"/>
      </rPr>
      <t>m</t>
    </r>
    <r>
      <rPr>
        <i/>
        <sz val="12"/>
        <color theme="1"/>
        <rFont val="Calibri"/>
      </rPr>
      <t>³</t>
    </r>
  </si>
  <si>
    <r>
      <rPr>
        <i/>
        <sz val="11"/>
        <color theme="1"/>
        <rFont val="Calibri"/>
      </rPr>
      <t>m</t>
    </r>
    <r>
      <rPr>
        <i/>
        <sz val="12"/>
        <color theme="1"/>
        <rFont val="Calibri"/>
      </rPr>
      <t>³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</si>
</sst>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"/>
    <numFmt numFmtId="165" formatCode="0.0"/>
    <numFmt numFmtId="166" formatCode="&quot;S/&quot;#,##0.00"/>
    <numFmt numFmtId="167" formatCode="_-[$S/-280A]* #,##0.00_-;\-[$S/-280A]* #,##0.00_-;_-[$S/-280A]* &quot;-&quot;??_-;_-@"/>
    <numFmt numFmtId="168" formatCode="0.0000"/>
    <numFmt numFmtId="169" formatCode="0.00000"/>
    <numFmt numFmtId="170" formatCode="#,###&quot; C:H&quot;"/>
    <numFmt numFmtId="171" formatCode="#,###.0&quot; cm&quot;"/>
  </numFmts>
  <fonts count="59">
    <font>
      <sz val="11"/>
      <color theme="1"/>
      <name val="Calibri"/>
      <scheme val="minor"/>
    </font>
    <font>
      <b/>
      <sz val="14"/>
      <color theme="1"/>
      <name val="Calibri"/>
    </font>
    <font>
      <b/>
      <sz val="16"/>
      <color rgb="FFF1C232"/>
      <name val="Calibri"/>
    </font>
    <font>
      <sz val="11"/>
      <name val="Calibri"/>
    </font>
    <font>
      <sz val="11"/>
      <color theme="1"/>
      <name val="Calibri"/>
    </font>
    <font>
      <b/>
      <sz val="16"/>
      <color theme="1"/>
      <name val="Calibri"/>
    </font>
    <font>
      <b/>
      <i/>
      <u/>
      <sz val="12"/>
      <color theme="1"/>
      <name val="Calibri"/>
    </font>
    <font>
      <b/>
      <i/>
      <u/>
      <sz val="11"/>
      <color theme="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i/>
      <u/>
      <sz val="11"/>
      <color theme="1"/>
      <name val="Calibri"/>
    </font>
    <font>
      <b/>
      <i/>
      <sz val="11"/>
      <color theme="1"/>
      <name val="Calibri"/>
    </font>
    <font>
      <b/>
      <sz val="11"/>
      <color theme="1"/>
      <name val="Calibri"/>
    </font>
    <font>
      <i/>
      <sz val="10"/>
      <color theme="1"/>
      <name val="Calibri"/>
    </font>
    <font>
      <sz val="11"/>
      <color rgb="FF0070C0"/>
      <name val="Calibri"/>
    </font>
    <font>
      <i/>
      <sz val="11"/>
      <color theme="1"/>
      <name val="Calibri"/>
    </font>
    <font>
      <b/>
      <i/>
      <sz val="10"/>
      <color theme="1"/>
      <name val="Calibri"/>
    </font>
    <font>
      <sz val="10"/>
      <color rgb="FF0070C0"/>
      <name val="Calibri"/>
    </font>
    <font>
      <b/>
      <i/>
      <u/>
      <sz val="11"/>
      <color theme="1"/>
      <name val="Calibri"/>
    </font>
    <font>
      <sz val="11"/>
      <color theme="0"/>
      <name val="Calibri"/>
    </font>
    <font>
      <i/>
      <sz val="11"/>
      <color rgb="FF171616"/>
      <name val="Calibri"/>
    </font>
    <font>
      <sz val="10"/>
      <color rgb="FFFF0000"/>
      <name val="Calibri"/>
    </font>
    <font>
      <i/>
      <sz val="11"/>
      <color rgb="FF0070C0"/>
      <name val="Calibri"/>
    </font>
    <font>
      <b/>
      <u/>
      <sz val="11"/>
      <color theme="1"/>
      <name val="Calibri"/>
    </font>
    <font>
      <sz val="12"/>
      <color theme="1"/>
      <name val="Calibri"/>
    </font>
    <font>
      <b/>
      <i/>
      <u/>
      <sz val="12"/>
      <color theme="1"/>
      <name val="Calibri"/>
    </font>
    <font>
      <sz val="10"/>
      <color theme="1"/>
      <name val="Calibri"/>
    </font>
    <font>
      <b/>
      <i/>
      <u/>
      <sz val="12"/>
      <color theme="1"/>
      <name val="Calibri"/>
    </font>
    <font>
      <u/>
      <sz val="11"/>
      <color theme="1"/>
      <name val="Calibri"/>
    </font>
    <font>
      <b/>
      <i/>
      <sz val="12"/>
      <color theme="1"/>
      <name val="Calibri"/>
    </font>
    <font>
      <b/>
      <i/>
      <u/>
      <sz val="11"/>
      <color theme="1"/>
      <name val="Calibri"/>
    </font>
    <font>
      <sz val="8"/>
      <color rgb="FF000000"/>
      <name val="Calibri"/>
    </font>
    <font>
      <b/>
      <i/>
      <u/>
      <sz val="12"/>
      <color theme="1"/>
      <name val="Calibri"/>
    </font>
    <font>
      <sz val="9"/>
      <color theme="1"/>
      <name val="Calibri"/>
    </font>
    <font>
      <b/>
      <u/>
      <sz val="12"/>
      <color theme="1"/>
      <name val="Calibri"/>
    </font>
    <font>
      <b/>
      <i/>
      <u/>
      <sz val="12"/>
      <color theme="1"/>
      <name val="Calibri"/>
    </font>
    <font>
      <b/>
      <i/>
      <u/>
      <sz val="11"/>
      <color theme="1"/>
      <name val="Calibri"/>
    </font>
    <font>
      <b/>
      <i/>
      <u/>
      <sz val="12"/>
      <color theme="1"/>
      <name val="Calibri"/>
    </font>
    <font>
      <b/>
      <i/>
      <u/>
      <sz val="12"/>
      <color theme="1"/>
      <name val="Calibri"/>
    </font>
    <font>
      <b/>
      <i/>
      <u/>
      <sz val="12"/>
      <color theme="1"/>
      <name val="Calibri"/>
    </font>
    <font>
      <b/>
      <u/>
      <sz val="12"/>
      <color theme="1"/>
      <name val="Calibri"/>
    </font>
    <font>
      <b/>
      <u/>
      <sz val="12"/>
      <color theme="1"/>
      <name val="Calibri"/>
    </font>
    <font>
      <b/>
      <u/>
      <sz val="12"/>
      <color theme="1"/>
      <name val="Calibri"/>
    </font>
    <font>
      <b/>
      <i/>
      <u/>
      <sz val="12"/>
      <color rgb="FFF1C232"/>
      <name val="Calibri"/>
    </font>
    <font>
      <b/>
      <i/>
      <u/>
      <sz val="11"/>
      <color rgb="FF0070C0"/>
      <name val="Calibri"/>
    </font>
    <font>
      <b/>
      <i/>
      <u/>
      <sz val="12"/>
      <color theme="1"/>
      <name val="Calibri"/>
    </font>
    <font>
      <b/>
      <i/>
      <u/>
      <sz val="12"/>
      <color theme="1"/>
      <name val="Calibri"/>
    </font>
    <font>
      <b/>
      <i/>
      <u/>
      <sz val="12"/>
      <color theme="1"/>
      <name val="Calibri"/>
    </font>
    <font>
      <b/>
      <i/>
      <u/>
      <sz val="12"/>
      <color theme="1"/>
      <name val="Calibri"/>
    </font>
    <font>
      <u/>
      <sz val="11"/>
      <color theme="1"/>
      <name val="Calibri"/>
    </font>
    <font>
      <b/>
      <i/>
      <u/>
      <sz val="12"/>
      <color theme="1"/>
      <name val="Calibri"/>
    </font>
    <font>
      <b/>
      <u/>
      <sz val="12"/>
      <color theme="1"/>
      <name val="Calibri"/>
    </font>
    <font>
      <b/>
      <u/>
      <sz val="11"/>
      <color theme="1"/>
      <name val="Calibri"/>
    </font>
    <font>
      <b/>
      <u/>
      <sz val="12"/>
      <color theme="1"/>
      <name val="Calibri"/>
    </font>
    <font>
      <i/>
      <sz val="12"/>
      <color theme="1"/>
      <name val="Calibri"/>
    </font>
    <font>
      <i/>
      <u/>
      <sz val="11"/>
      <color theme="1"/>
      <name val="Calibri"/>
    </font>
    <font>
      <b/>
      <sz val="12"/>
      <color theme="1"/>
      <name val="Calibri"/>
    </font>
    <font>
      <i/>
      <sz val="8"/>
      <color theme="1"/>
      <name val="Calibri"/>
    </font>
    <font>
      <b/>
      <sz val="8"/>
      <color theme="1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theme="0"/>
        <bgColor theme="0"/>
      </patternFill>
    </fill>
    <fill>
      <patternFill patternType="solid">
        <fgColor rgb="FFE69138"/>
        <bgColor rgb="FFE69138"/>
      </patternFill>
    </fill>
    <fill>
      <patternFill patternType="solid">
        <fgColor rgb="FFE2EFD9"/>
        <bgColor rgb="FFE2EFD9"/>
      </patternFill>
    </fill>
    <fill>
      <patternFill patternType="solid">
        <fgColor rgb="FFF1C232"/>
        <bgColor rgb="FFF1C232"/>
      </patternFill>
    </fill>
    <fill>
      <patternFill patternType="solid">
        <fgColor rgb="FFE06666"/>
        <bgColor rgb="FFE06666"/>
      </patternFill>
    </fill>
    <fill>
      <patternFill patternType="solid">
        <fgColor rgb="FFFEF2CB"/>
        <bgColor rgb="FFFEF2CB"/>
      </patternFill>
    </fill>
    <fill>
      <patternFill patternType="solid">
        <fgColor rgb="FFC198E0"/>
        <bgColor rgb="FFC198E0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9CC2E5"/>
        <bgColor rgb="FF9CC2E5"/>
      </patternFill>
    </fill>
    <fill>
      <patternFill patternType="solid">
        <fgColor rgb="FFC5E0B3"/>
        <bgColor rgb="FFC5E0B3"/>
      </patternFill>
    </fill>
    <fill>
      <patternFill patternType="solid">
        <fgColor rgb="FF783F04"/>
        <bgColor rgb="FF783F04"/>
      </patternFill>
    </fill>
    <fill>
      <patternFill patternType="solid">
        <fgColor rgb="FFF6B26B"/>
        <bgColor rgb="FFF6B26B"/>
      </patternFill>
    </fill>
  </fills>
  <borders count="90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hair">
        <color rgb="FFFF0000"/>
      </left>
      <right style="hair">
        <color rgb="FFFF0000"/>
      </right>
      <top style="hair">
        <color rgb="FFFF0000"/>
      </top>
      <bottom style="hair">
        <color rgb="FFFF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hair">
        <color rgb="FFFF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hair">
        <color rgb="FFFF0000"/>
      </left>
      <right style="hair">
        <color rgb="FFFF0000"/>
      </right>
      <top style="hair">
        <color rgb="FFFF0000"/>
      </top>
      <bottom/>
      <diagonal/>
    </border>
    <border>
      <left style="hair">
        <color rgb="FFFF0000"/>
      </left>
      <right style="hair">
        <color rgb="FFFF0000"/>
      </right>
      <top/>
      <bottom style="hair">
        <color rgb="FFFF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61">
    <xf numFmtId="0" fontId="0" fillId="0" borderId="0" xfId="0" applyFont="1" applyAlignment="1"/>
    <xf numFmtId="0" fontId="1" fillId="2" borderId="1" xfId="0" applyFont="1" applyFill="1" applyBorder="1" applyAlignment="1">
      <alignment vertical="center" wrapText="1"/>
    </xf>
    <xf numFmtId="0" fontId="4" fillId="2" borderId="1" xfId="0" applyFont="1" applyFill="1" applyBorder="1"/>
    <xf numFmtId="0" fontId="5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0" fontId="10" fillId="3" borderId="1" xfId="0" applyFont="1" applyFill="1" applyBorder="1"/>
    <xf numFmtId="0" fontId="4" fillId="3" borderId="1" xfId="0" applyFont="1" applyFill="1" applyBorder="1" applyAlignment="1">
      <alignment horizontal="left"/>
    </xf>
    <xf numFmtId="0" fontId="4" fillId="0" borderId="16" xfId="0" applyFont="1" applyBorder="1" applyAlignment="1">
      <alignment horizontal="center"/>
    </xf>
    <xf numFmtId="2" fontId="4" fillId="0" borderId="16" xfId="0" applyNumberFormat="1" applyFont="1" applyBorder="1" applyAlignment="1">
      <alignment horizontal="center"/>
    </xf>
    <xf numFmtId="0" fontId="11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left"/>
    </xf>
    <xf numFmtId="0" fontId="11" fillId="3" borderId="1" xfId="0" applyFont="1" applyFill="1" applyBorder="1"/>
    <xf numFmtId="0" fontId="9" fillId="3" borderId="19" xfId="0" applyFont="1" applyFill="1" applyBorder="1" applyAlignment="1">
      <alignment horizontal="center"/>
    </xf>
    <xf numFmtId="0" fontId="4" fillId="0" borderId="0" xfId="0" applyFont="1"/>
    <xf numFmtId="0" fontId="15" fillId="3" borderId="1" xfId="0" applyFont="1" applyFill="1" applyBorder="1"/>
    <xf numFmtId="2" fontId="15" fillId="3" borderId="1" xfId="0" applyNumberFormat="1" applyFont="1" applyFill="1" applyBorder="1" applyAlignment="1">
      <alignment horizontal="center"/>
    </xf>
    <xf numFmtId="164" fontId="15" fillId="3" borderId="1" xfId="0" applyNumberFormat="1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vertical="center" wrapText="1"/>
    </xf>
    <xf numFmtId="9" fontId="9" fillId="3" borderId="19" xfId="0" applyNumberFormat="1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17" fillId="3" borderId="1" xfId="0" applyFont="1" applyFill="1" applyBorder="1" applyAlignment="1">
      <alignment vertical="center" wrapText="1"/>
    </xf>
    <xf numFmtId="0" fontId="18" fillId="4" borderId="1" xfId="0" applyFont="1" applyFill="1" applyBorder="1"/>
    <xf numFmtId="0" fontId="4" fillId="4" borderId="1" xfId="0" applyFont="1" applyFill="1" applyBorder="1"/>
    <xf numFmtId="0" fontId="19" fillId="3" borderId="1" xfId="0" applyFont="1" applyFill="1" applyBorder="1"/>
    <xf numFmtId="164" fontId="9" fillId="3" borderId="19" xfId="0" applyNumberFormat="1" applyFont="1" applyFill="1" applyBorder="1" applyAlignment="1">
      <alignment horizontal="center"/>
    </xf>
    <xf numFmtId="0" fontId="19" fillId="3" borderId="1" xfId="0" applyFont="1" applyFill="1" applyBorder="1" applyAlignment="1">
      <alignment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left" vertical="center" wrapText="1"/>
    </xf>
    <xf numFmtId="0" fontId="4" fillId="4" borderId="16" xfId="0" applyFont="1" applyFill="1" applyBorder="1" applyAlignment="1">
      <alignment horizontal="center"/>
    </xf>
    <xf numFmtId="0" fontId="12" fillId="4" borderId="16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left"/>
    </xf>
    <xf numFmtId="0" fontId="9" fillId="3" borderId="1" xfId="0" applyFont="1" applyFill="1" applyBorder="1" applyAlignment="1">
      <alignment horizontal="center"/>
    </xf>
    <xf numFmtId="2" fontId="9" fillId="3" borderId="19" xfId="0" applyNumberFormat="1" applyFont="1" applyFill="1" applyBorder="1" applyAlignment="1">
      <alignment horizontal="center"/>
    </xf>
    <xf numFmtId="0" fontId="17" fillId="3" borderId="1" xfId="0" applyFont="1" applyFill="1" applyBorder="1" applyAlignment="1">
      <alignment horizontal="center" vertical="center" wrapText="1"/>
    </xf>
    <xf numFmtId="49" fontId="4" fillId="5" borderId="16" xfId="0" applyNumberFormat="1" applyFont="1" applyFill="1" applyBorder="1" applyAlignment="1">
      <alignment horizontal="center"/>
    </xf>
    <xf numFmtId="2" fontId="4" fillId="5" borderId="16" xfId="0" applyNumberFormat="1" applyFont="1" applyFill="1" applyBorder="1" applyAlignment="1">
      <alignment horizontal="center"/>
    </xf>
    <xf numFmtId="165" fontId="4" fillId="0" borderId="16" xfId="0" applyNumberFormat="1" applyFont="1" applyBorder="1" applyAlignment="1">
      <alignment horizontal="center"/>
    </xf>
    <xf numFmtId="0" fontId="11" fillId="3" borderId="1" xfId="0" applyFont="1" applyFill="1" applyBorder="1" applyAlignment="1">
      <alignment horizontal="left"/>
    </xf>
    <xf numFmtId="0" fontId="9" fillId="3" borderId="1" xfId="0" applyFont="1" applyFill="1" applyBorder="1"/>
    <xf numFmtId="49" fontId="19" fillId="3" borderId="1" xfId="0" applyNumberFormat="1" applyFont="1" applyFill="1" applyBorder="1"/>
    <xf numFmtId="49" fontId="9" fillId="3" borderId="19" xfId="0" applyNumberFormat="1" applyFont="1" applyFill="1" applyBorder="1" applyAlignment="1">
      <alignment horizontal="center"/>
    </xf>
    <xf numFmtId="0" fontId="22" fillId="3" borderId="1" xfId="0" applyFont="1" applyFill="1" applyBorder="1"/>
    <xf numFmtId="0" fontId="4" fillId="3" borderId="1" xfId="0" applyFont="1" applyFill="1" applyBorder="1" applyAlignment="1">
      <alignment horizontal="right"/>
    </xf>
    <xf numFmtId="0" fontId="23" fillId="3" borderId="1" xfId="0" applyFont="1" applyFill="1" applyBorder="1"/>
    <xf numFmtId="0" fontId="15" fillId="3" borderId="1" xfId="0" applyFont="1" applyFill="1" applyBorder="1" applyAlignment="1">
      <alignment horizontal="right"/>
    </xf>
    <xf numFmtId="9" fontId="9" fillId="3" borderId="1" xfId="0" applyNumberFormat="1" applyFont="1" applyFill="1" applyBorder="1" applyAlignment="1">
      <alignment horizontal="center"/>
    </xf>
    <xf numFmtId="0" fontId="25" fillId="3" borderId="1" xfId="0" applyFont="1" applyFill="1" applyBorder="1"/>
    <xf numFmtId="0" fontId="22" fillId="3" borderId="41" xfId="0" applyFont="1" applyFill="1" applyBorder="1"/>
    <xf numFmtId="0" fontId="26" fillId="3" borderId="43" xfId="0" applyFont="1" applyFill="1" applyBorder="1" applyAlignment="1">
      <alignment horizontal="right"/>
    </xf>
    <xf numFmtId="2" fontId="9" fillId="3" borderId="44" xfId="0" applyNumberFormat="1" applyFont="1" applyFill="1" applyBorder="1" applyAlignment="1">
      <alignment horizontal="left"/>
    </xf>
    <xf numFmtId="2" fontId="4" fillId="3" borderId="44" xfId="0" applyNumberFormat="1" applyFont="1" applyFill="1" applyBorder="1" applyAlignment="1">
      <alignment horizontal="left"/>
    </xf>
    <xf numFmtId="0" fontId="4" fillId="6" borderId="16" xfId="0" applyFont="1" applyFill="1" applyBorder="1" applyAlignment="1">
      <alignment horizontal="center"/>
    </xf>
    <xf numFmtId="0" fontId="15" fillId="6" borderId="16" xfId="0" applyFont="1" applyFill="1" applyBorder="1" applyAlignment="1">
      <alignment horizontal="center"/>
    </xf>
    <xf numFmtId="0" fontId="26" fillId="3" borderId="1" xfId="0" applyFont="1" applyFill="1" applyBorder="1" applyAlignment="1">
      <alignment horizontal="right"/>
    </xf>
    <xf numFmtId="2" fontId="9" fillId="3" borderId="1" xfId="0" applyNumberFormat="1" applyFont="1" applyFill="1" applyBorder="1" applyAlignment="1">
      <alignment horizontal="left"/>
    </xf>
    <xf numFmtId="2" fontId="4" fillId="3" borderId="1" xfId="0" applyNumberFormat="1" applyFont="1" applyFill="1" applyBorder="1" applyAlignment="1">
      <alignment horizontal="left"/>
    </xf>
    <xf numFmtId="0" fontId="11" fillId="4" borderId="1" xfId="0" applyFont="1" applyFill="1" applyBorder="1" applyAlignment="1">
      <alignment horizontal="left"/>
    </xf>
    <xf numFmtId="0" fontId="4" fillId="3" borderId="43" xfId="0" applyFont="1" applyFill="1" applyBorder="1" applyAlignment="1">
      <alignment horizontal="right"/>
    </xf>
    <xf numFmtId="0" fontId="19" fillId="3" borderId="1" xfId="0" applyFont="1" applyFill="1" applyBorder="1" applyAlignment="1">
      <alignment horizontal="left" vertical="center" wrapText="1"/>
    </xf>
    <xf numFmtId="0" fontId="26" fillId="3" borderId="1" xfId="0" applyFont="1" applyFill="1" applyBorder="1"/>
    <xf numFmtId="0" fontId="12" fillId="7" borderId="16" xfId="0" applyFont="1" applyFill="1" applyBorder="1" applyAlignment="1">
      <alignment horizontal="center"/>
    </xf>
    <xf numFmtId="2" fontId="12" fillId="7" borderId="16" xfId="0" applyNumberFormat="1" applyFont="1" applyFill="1" applyBorder="1" applyAlignment="1">
      <alignment horizontal="center"/>
    </xf>
    <xf numFmtId="2" fontId="4" fillId="3" borderId="16" xfId="0" applyNumberFormat="1" applyFont="1" applyFill="1" applyBorder="1" applyAlignment="1">
      <alignment horizontal="center"/>
    </xf>
    <xf numFmtId="0" fontId="4" fillId="6" borderId="53" xfId="0" applyFont="1" applyFill="1" applyBorder="1" applyAlignment="1">
      <alignment vertical="center" wrapText="1"/>
    </xf>
    <xf numFmtId="0" fontId="26" fillId="6" borderId="41" xfId="0" applyFont="1" applyFill="1" applyBorder="1" applyAlignment="1">
      <alignment horizontal="right" vertical="center" wrapText="1"/>
    </xf>
    <xf numFmtId="10" fontId="26" fillId="6" borderId="41" xfId="0" applyNumberFormat="1" applyFont="1" applyFill="1" applyBorder="1" applyAlignment="1">
      <alignment horizontal="left" vertical="center" wrapText="1"/>
    </xf>
    <xf numFmtId="0" fontId="4" fillId="6" borderId="43" xfId="0" applyFont="1" applyFill="1" applyBorder="1" applyAlignment="1">
      <alignment vertical="center" wrapText="1"/>
    </xf>
    <xf numFmtId="0" fontId="26" fillId="6" borderId="49" xfId="0" applyFont="1" applyFill="1" applyBorder="1" applyAlignment="1">
      <alignment horizontal="right" vertical="center" wrapText="1"/>
    </xf>
    <xf numFmtId="10" fontId="26" fillId="6" borderId="49" xfId="0" applyNumberFormat="1" applyFont="1" applyFill="1" applyBorder="1" applyAlignment="1">
      <alignment horizontal="left" vertical="center" wrapText="1"/>
    </xf>
    <xf numFmtId="10" fontId="26" fillId="6" borderId="44" xfId="0" applyNumberFormat="1" applyFont="1" applyFill="1" applyBorder="1" applyAlignment="1">
      <alignment horizontal="left" vertical="center" wrapText="1"/>
    </xf>
    <xf numFmtId="9" fontId="26" fillId="6" borderId="44" xfId="0" applyNumberFormat="1" applyFont="1" applyFill="1" applyBorder="1" applyAlignment="1">
      <alignment horizontal="left" vertical="center" wrapText="1"/>
    </xf>
    <xf numFmtId="0" fontId="11" fillId="6" borderId="43" xfId="0" applyFont="1" applyFill="1" applyBorder="1" applyAlignment="1">
      <alignment horizontal="left" vertical="center" wrapText="1"/>
    </xf>
    <xf numFmtId="0" fontId="11" fillId="6" borderId="49" xfId="0" applyFont="1" applyFill="1" applyBorder="1" applyAlignment="1">
      <alignment horizontal="left"/>
    </xf>
    <xf numFmtId="0" fontId="11" fillId="6" borderId="44" xfId="0" applyFont="1" applyFill="1" applyBorder="1" applyAlignment="1">
      <alignment horizontal="left"/>
    </xf>
    <xf numFmtId="9" fontId="26" fillId="3" borderId="43" xfId="0" applyNumberFormat="1" applyFont="1" applyFill="1" applyBorder="1" applyAlignment="1">
      <alignment horizontal="right"/>
    </xf>
    <xf numFmtId="2" fontId="26" fillId="3" borderId="44" xfId="0" applyNumberFormat="1" applyFont="1" applyFill="1" applyBorder="1" applyAlignment="1">
      <alignment horizontal="left"/>
    </xf>
    <xf numFmtId="2" fontId="12" fillId="3" borderId="16" xfId="0" applyNumberFormat="1" applyFont="1" applyFill="1" applyBorder="1" applyAlignment="1">
      <alignment horizontal="center"/>
    </xf>
    <xf numFmtId="2" fontId="21" fillId="3" borderId="44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 vertical="center"/>
    </xf>
    <xf numFmtId="166" fontId="9" fillId="3" borderId="19" xfId="0" applyNumberFormat="1" applyFont="1" applyFill="1" applyBorder="1" applyAlignment="1">
      <alignment horizontal="center"/>
    </xf>
    <xf numFmtId="167" fontId="4" fillId="3" borderId="1" xfId="0" applyNumberFormat="1" applyFont="1" applyFill="1" applyBorder="1" applyAlignment="1">
      <alignment horizontal="left"/>
    </xf>
    <xf numFmtId="0" fontId="26" fillId="3" borderId="1" xfId="0" applyFont="1" applyFill="1" applyBorder="1" applyAlignment="1">
      <alignment vertical="center" wrapText="1"/>
    </xf>
    <xf numFmtId="0" fontId="11" fillId="3" borderId="59" xfId="0" applyFont="1" applyFill="1" applyBorder="1"/>
    <xf numFmtId="0" fontId="4" fillId="3" borderId="60" xfId="0" applyFont="1" applyFill="1" applyBorder="1"/>
    <xf numFmtId="0" fontId="9" fillId="3" borderId="1" xfId="0" applyFont="1" applyFill="1" applyBorder="1" applyAlignment="1">
      <alignment horizontal="left"/>
    </xf>
    <xf numFmtId="0" fontId="14" fillId="0" borderId="0" xfId="0" applyFont="1"/>
    <xf numFmtId="0" fontId="27" fillId="4" borderId="1" xfId="0" applyFont="1" applyFill="1" applyBorder="1"/>
    <xf numFmtId="2" fontId="12" fillId="3" borderId="49" xfId="0" applyNumberFormat="1" applyFont="1" applyFill="1" applyBorder="1" applyAlignment="1">
      <alignment horizontal="center"/>
    </xf>
    <xf numFmtId="0" fontId="12" fillId="3" borderId="44" xfId="0" applyFont="1" applyFill="1" applyBorder="1"/>
    <xf numFmtId="0" fontId="12" fillId="3" borderId="1" xfId="0" applyFont="1" applyFill="1" applyBorder="1" applyAlignment="1">
      <alignment horizontal="center"/>
    </xf>
    <xf numFmtId="2" fontId="12" fillId="3" borderId="1" xfId="0" applyNumberFormat="1" applyFont="1" applyFill="1" applyBorder="1" applyAlignment="1">
      <alignment horizontal="center"/>
    </xf>
    <xf numFmtId="0" fontId="12" fillId="3" borderId="1" xfId="0" applyFont="1" applyFill="1" applyBorder="1"/>
    <xf numFmtId="0" fontId="15" fillId="3" borderId="59" xfId="0" applyFont="1" applyFill="1" applyBorder="1"/>
    <xf numFmtId="2" fontId="4" fillId="3" borderId="60" xfId="0" applyNumberFormat="1" applyFont="1" applyFill="1" applyBorder="1" applyAlignment="1">
      <alignment horizontal="center"/>
    </xf>
    <xf numFmtId="164" fontId="4" fillId="3" borderId="60" xfId="0" applyNumberFormat="1" applyFont="1" applyFill="1" applyBorder="1" applyAlignment="1">
      <alignment horizontal="center"/>
    </xf>
    <xf numFmtId="2" fontId="4" fillId="0" borderId="0" xfId="0" applyNumberFormat="1" applyFont="1"/>
    <xf numFmtId="2" fontId="4" fillId="0" borderId="0" xfId="0" applyNumberFormat="1" applyFont="1" applyAlignment="1">
      <alignment horizontal="center"/>
    </xf>
    <xf numFmtId="0" fontId="4" fillId="3" borderId="61" xfId="0" applyFont="1" applyFill="1" applyBorder="1"/>
    <xf numFmtId="0" fontId="4" fillId="3" borderId="60" xfId="0" applyFont="1" applyFill="1" applyBorder="1" applyAlignment="1">
      <alignment horizontal="center"/>
    </xf>
    <xf numFmtId="2" fontId="4" fillId="3" borderId="1" xfId="0" applyNumberFormat="1" applyFont="1" applyFill="1" applyBorder="1"/>
    <xf numFmtId="9" fontId="15" fillId="3" borderId="1" xfId="0" applyNumberFormat="1" applyFont="1" applyFill="1" applyBorder="1" applyAlignment="1">
      <alignment horizontal="center"/>
    </xf>
    <xf numFmtId="0" fontId="28" fillId="3" borderId="1" xfId="0" applyFont="1" applyFill="1" applyBorder="1"/>
    <xf numFmtId="165" fontId="15" fillId="3" borderId="60" xfId="0" applyNumberFormat="1" applyFont="1" applyFill="1" applyBorder="1" applyAlignment="1">
      <alignment horizontal="center"/>
    </xf>
    <xf numFmtId="0" fontId="15" fillId="3" borderId="61" xfId="0" applyFont="1" applyFill="1" applyBorder="1"/>
    <xf numFmtId="49" fontId="15" fillId="3" borderId="1" xfId="0" applyNumberFormat="1" applyFont="1" applyFill="1" applyBorder="1"/>
    <xf numFmtId="49" fontId="15" fillId="3" borderId="1" xfId="0" applyNumberFormat="1" applyFont="1" applyFill="1" applyBorder="1" applyAlignment="1">
      <alignment horizontal="center"/>
    </xf>
    <xf numFmtId="2" fontId="15" fillId="3" borderId="60" xfId="0" applyNumberFormat="1" applyFont="1" applyFill="1" applyBorder="1" applyAlignment="1">
      <alignment horizontal="center"/>
    </xf>
    <xf numFmtId="0" fontId="29" fillId="3" borderId="1" xfId="0" applyFont="1" applyFill="1" applyBorder="1"/>
    <xf numFmtId="168" fontId="4" fillId="3" borderId="60" xfId="0" applyNumberFormat="1" applyFont="1" applyFill="1" applyBorder="1" applyAlignment="1">
      <alignment horizontal="center"/>
    </xf>
    <xf numFmtId="164" fontId="4" fillId="3" borderId="1" xfId="0" applyNumberFormat="1" applyFont="1" applyFill="1" applyBorder="1"/>
    <xf numFmtId="0" fontId="15" fillId="3" borderId="44" xfId="0" applyFont="1" applyFill="1" applyBorder="1"/>
    <xf numFmtId="0" fontId="4" fillId="3" borderId="16" xfId="0" applyFont="1" applyFill="1" applyBorder="1" applyAlignment="1">
      <alignment horizontal="center"/>
    </xf>
    <xf numFmtId="168" fontId="4" fillId="3" borderId="16" xfId="0" applyNumberFormat="1" applyFont="1" applyFill="1" applyBorder="1" applyAlignment="1">
      <alignment horizontal="center"/>
    </xf>
    <xf numFmtId="0" fontId="15" fillId="3" borderId="16" xfId="0" applyFont="1" applyFill="1" applyBorder="1"/>
    <xf numFmtId="0" fontId="30" fillId="0" borderId="0" xfId="0" applyFont="1"/>
    <xf numFmtId="0" fontId="31" fillId="0" borderId="0" xfId="0" applyFont="1" applyAlignment="1">
      <alignment vertical="center"/>
    </xf>
    <xf numFmtId="0" fontId="32" fillId="3" borderId="1" xfId="0" applyFont="1" applyFill="1" applyBorder="1" applyAlignment="1">
      <alignment horizontal="left"/>
    </xf>
    <xf numFmtId="0" fontId="11" fillId="0" borderId="0" xfId="0" applyFont="1" applyAlignment="1">
      <alignment horizontal="left"/>
    </xf>
    <xf numFmtId="0" fontId="12" fillId="3" borderId="1" xfId="0" applyFont="1" applyFill="1" applyBorder="1" applyAlignment="1">
      <alignment horizontal="right"/>
    </xf>
    <xf numFmtId="168" fontId="4" fillId="0" borderId="16" xfId="0" applyNumberFormat="1" applyFont="1" applyBorder="1" applyAlignment="1">
      <alignment horizontal="center"/>
    </xf>
    <xf numFmtId="2" fontId="4" fillId="0" borderId="12" xfId="0" applyNumberFormat="1" applyFont="1" applyBorder="1" applyAlignment="1">
      <alignment horizontal="center"/>
    </xf>
    <xf numFmtId="9" fontId="4" fillId="0" borderId="16" xfId="0" applyNumberFormat="1" applyFont="1" applyBorder="1" applyAlignment="1">
      <alignment horizontal="center"/>
    </xf>
    <xf numFmtId="170" fontId="4" fillId="0" borderId="0" xfId="0" applyNumberFormat="1" applyFont="1"/>
    <xf numFmtId="2" fontId="4" fillId="3" borderId="43" xfId="0" applyNumberFormat="1" applyFont="1" applyFill="1" applyBorder="1" applyAlignment="1">
      <alignment horizontal="center"/>
    </xf>
    <xf numFmtId="0" fontId="26" fillId="3" borderId="1" xfId="0" applyFont="1" applyFill="1" applyBorder="1" applyAlignment="1">
      <alignment horizontal="left"/>
    </xf>
    <xf numFmtId="0" fontId="4" fillId="7" borderId="53" xfId="0" applyFont="1" applyFill="1" applyBorder="1"/>
    <xf numFmtId="0" fontId="11" fillId="7" borderId="74" xfId="0" applyFont="1" applyFill="1" applyBorder="1"/>
    <xf numFmtId="2" fontId="12" fillId="0" borderId="32" xfId="0" applyNumberFormat="1" applyFont="1" applyBorder="1" applyAlignment="1">
      <alignment horizontal="center"/>
    </xf>
    <xf numFmtId="0" fontId="15" fillId="3" borderId="48" xfId="0" applyFont="1" applyFill="1" applyBorder="1" applyAlignment="1">
      <alignment horizontal="left"/>
    </xf>
    <xf numFmtId="0" fontId="15" fillId="3" borderId="44" xfId="0" applyFont="1" applyFill="1" applyBorder="1" applyAlignment="1">
      <alignment horizontal="left"/>
    </xf>
    <xf numFmtId="2" fontId="12" fillId="3" borderId="43" xfId="0" applyNumberFormat="1" applyFont="1" applyFill="1" applyBorder="1" applyAlignment="1">
      <alignment horizontal="center"/>
    </xf>
    <xf numFmtId="0" fontId="13" fillId="3" borderId="44" xfId="0" applyFont="1" applyFill="1" applyBorder="1" applyAlignment="1">
      <alignment horizontal="left"/>
    </xf>
    <xf numFmtId="164" fontId="12" fillId="0" borderId="32" xfId="0" applyNumberFormat="1" applyFont="1" applyBorder="1" applyAlignment="1">
      <alignment horizontal="center"/>
    </xf>
    <xf numFmtId="0" fontId="1" fillId="3" borderId="1" xfId="0" applyFont="1" applyFill="1" applyBorder="1" applyAlignment="1">
      <alignment vertical="center" wrapText="1"/>
    </xf>
    <xf numFmtId="0" fontId="8" fillId="3" borderId="1" xfId="0" applyFont="1" applyFill="1" applyBorder="1"/>
    <xf numFmtId="0" fontId="36" fillId="10" borderId="1" xfId="0" applyFont="1" applyFill="1" applyBorder="1"/>
    <xf numFmtId="0" fontId="4" fillId="10" borderId="1" xfId="0" applyFont="1" applyFill="1" applyBorder="1"/>
    <xf numFmtId="0" fontId="20" fillId="3" borderId="1" xfId="0" applyFont="1" applyFill="1" applyBorder="1"/>
    <xf numFmtId="0" fontId="4" fillId="11" borderId="16" xfId="0" applyFont="1" applyFill="1" applyBorder="1" applyAlignment="1">
      <alignment horizontal="center"/>
    </xf>
    <xf numFmtId="0" fontId="14" fillId="3" borderId="1" xfId="0" applyFont="1" applyFill="1" applyBorder="1"/>
    <xf numFmtId="0" fontId="12" fillId="11" borderId="16" xfId="0" applyFont="1" applyFill="1" applyBorder="1" applyAlignment="1">
      <alignment horizontal="center"/>
    </xf>
    <xf numFmtId="0" fontId="4" fillId="5" borderId="43" xfId="0" applyFont="1" applyFill="1" applyBorder="1"/>
    <xf numFmtId="0" fontId="4" fillId="5" borderId="16" xfId="0" applyFont="1" applyFill="1" applyBorder="1" applyAlignment="1">
      <alignment horizontal="center"/>
    </xf>
    <xf numFmtId="168" fontId="4" fillId="0" borderId="0" xfId="0" applyNumberFormat="1" applyFont="1"/>
    <xf numFmtId="0" fontId="11" fillId="10" borderId="1" xfId="0" applyFont="1" applyFill="1" applyBorder="1" applyAlignment="1">
      <alignment horizontal="left"/>
    </xf>
    <xf numFmtId="0" fontId="26" fillId="5" borderId="43" xfId="0" applyFont="1" applyFill="1" applyBorder="1"/>
    <xf numFmtId="0" fontId="26" fillId="3" borderId="1" xfId="0" applyFont="1" applyFill="1" applyBorder="1" applyAlignment="1">
      <alignment horizontal="left" vertical="center"/>
    </xf>
    <xf numFmtId="0" fontId="12" fillId="12" borderId="16" xfId="0" applyFont="1" applyFill="1" applyBorder="1" applyAlignment="1">
      <alignment horizontal="center"/>
    </xf>
    <xf numFmtId="2" fontId="12" fillId="12" borderId="16" xfId="0" applyNumberFormat="1" applyFont="1" applyFill="1" applyBorder="1" applyAlignment="1">
      <alignment horizontal="center"/>
    </xf>
    <xf numFmtId="0" fontId="4" fillId="5" borderId="53" xfId="0" applyFont="1" applyFill="1" applyBorder="1" applyAlignment="1">
      <alignment vertical="center" wrapText="1"/>
    </xf>
    <xf numFmtId="0" fontId="26" fillId="5" borderId="41" xfId="0" applyFont="1" applyFill="1" applyBorder="1" applyAlignment="1">
      <alignment horizontal="right" vertical="center" wrapText="1"/>
    </xf>
    <xf numFmtId="10" fontId="26" fillId="5" borderId="41" xfId="0" applyNumberFormat="1" applyFont="1" applyFill="1" applyBorder="1" applyAlignment="1">
      <alignment horizontal="left" vertical="center" wrapText="1"/>
    </xf>
    <xf numFmtId="0" fontId="4" fillId="5" borderId="43" xfId="0" applyFont="1" applyFill="1" applyBorder="1" applyAlignment="1">
      <alignment vertical="center" wrapText="1"/>
    </xf>
    <xf numFmtId="0" fontId="26" fillId="5" borderId="49" xfId="0" applyFont="1" applyFill="1" applyBorder="1" applyAlignment="1">
      <alignment horizontal="right" vertical="center" wrapText="1"/>
    </xf>
    <xf numFmtId="10" fontId="26" fillId="5" borderId="49" xfId="0" applyNumberFormat="1" applyFont="1" applyFill="1" applyBorder="1" applyAlignment="1">
      <alignment horizontal="left" vertical="center" wrapText="1"/>
    </xf>
    <xf numFmtId="10" fontId="26" fillId="5" borderId="44" xfId="0" applyNumberFormat="1" applyFont="1" applyFill="1" applyBorder="1" applyAlignment="1">
      <alignment horizontal="left" vertical="center" wrapText="1"/>
    </xf>
    <xf numFmtId="9" fontId="26" fillId="5" borderId="44" xfId="0" applyNumberFormat="1" applyFont="1" applyFill="1" applyBorder="1" applyAlignment="1">
      <alignment horizontal="left" vertical="center" wrapText="1"/>
    </xf>
    <xf numFmtId="0" fontId="11" fillId="5" borderId="43" xfId="0" applyFont="1" applyFill="1" applyBorder="1" applyAlignment="1">
      <alignment horizontal="left" vertical="center" wrapText="1"/>
    </xf>
    <xf numFmtId="0" fontId="11" fillId="5" borderId="49" xfId="0" applyFont="1" applyFill="1" applyBorder="1" applyAlignment="1">
      <alignment horizontal="left"/>
    </xf>
    <xf numFmtId="0" fontId="11" fillId="5" borderId="44" xfId="0" applyFont="1" applyFill="1" applyBorder="1" applyAlignment="1">
      <alignment horizontal="left"/>
    </xf>
    <xf numFmtId="0" fontId="26" fillId="3" borderId="1" xfId="0" applyFont="1" applyFill="1" applyBorder="1" applyAlignment="1">
      <alignment horizontal="left" vertical="center" wrapText="1"/>
    </xf>
    <xf numFmtId="49" fontId="12" fillId="3" borderId="1" xfId="0" applyNumberFormat="1" applyFont="1" applyFill="1" applyBorder="1" applyAlignment="1">
      <alignment horizontal="center"/>
    </xf>
    <xf numFmtId="0" fontId="12" fillId="3" borderId="1" xfId="0" applyFont="1" applyFill="1" applyBorder="1" applyAlignment="1">
      <alignment horizontal="left"/>
    </xf>
    <xf numFmtId="2" fontId="9" fillId="3" borderId="19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/>
    </xf>
    <xf numFmtId="2" fontId="12" fillId="13" borderId="49" xfId="0" applyNumberFormat="1" applyFont="1" applyFill="1" applyBorder="1" applyAlignment="1">
      <alignment horizontal="center" vertical="center"/>
    </xf>
    <xf numFmtId="0" fontId="12" fillId="13" borderId="44" xfId="0" applyFont="1" applyFill="1" applyBorder="1" applyAlignment="1">
      <alignment vertical="center"/>
    </xf>
    <xf numFmtId="49" fontId="15" fillId="3" borderId="1" xfId="0" applyNumberFormat="1" applyFont="1" applyFill="1" applyBorder="1" applyAlignment="1">
      <alignment horizontal="left"/>
    </xf>
    <xf numFmtId="0" fontId="11" fillId="5" borderId="43" xfId="0" applyFont="1" applyFill="1" applyBorder="1"/>
    <xf numFmtId="0" fontId="4" fillId="5" borderId="49" xfId="0" applyFont="1" applyFill="1" applyBorder="1"/>
    <xf numFmtId="2" fontId="4" fillId="5" borderId="49" xfId="0" applyNumberFormat="1" applyFont="1" applyFill="1" applyBorder="1" applyAlignment="1">
      <alignment horizontal="center"/>
    </xf>
    <xf numFmtId="0" fontId="4" fillId="5" borderId="44" xfId="0" applyFont="1" applyFill="1" applyBorder="1"/>
    <xf numFmtId="164" fontId="4" fillId="5" borderId="49" xfId="0" applyNumberFormat="1" applyFont="1" applyFill="1" applyBorder="1" applyAlignment="1">
      <alignment horizontal="center"/>
    </xf>
    <xf numFmtId="0" fontId="11" fillId="13" borderId="43" xfId="0" applyFont="1" applyFill="1" applyBorder="1"/>
    <xf numFmtId="0" fontId="4" fillId="13" borderId="49" xfId="0" applyFont="1" applyFill="1" applyBorder="1"/>
    <xf numFmtId="2" fontId="12" fillId="13" borderId="49" xfId="0" applyNumberFormat="1" applyFont="1" applyFill="1" applyBorder="1" applyAlignment="1">
      <alignment horizontal="center"/>
    </xf>
    <xf numFmtId="0" fontId="12" fillId="13" borderId="44" xfId="0" applyFont="1" applyFill="1" applyBorder="1"/>
    <xf numFmtId="169" fontId="4" fillId="3" borderId="1" xfId="0" applyNumberFormat="1" applyFont="1" applyFill="1" applyBorder="1"/>
    <xf numFmtId="164" fontId="12" fillId="13" borderId="49" xfId="0" applyNumberFormat="1" applyFont="1" applyFill="1" applyBorder="1" applyAlignment="1">
      <alignment horizontal="center"/>
    </xf>
    <xf numFmtId="0" fontId="4" fillId="10" borderId="47" xfId="0" applyFont="1" applyFill="1" applyBorder="1"/>
    <xf numFmtId="0" fontId="4" fillId="10" borderId="82" xfId="0" applyFont="1" applyFill="1" applyBorder="1"/>
    <xf numFmtId="0" fontId="4" fillId="10" borderId="48" xfId="0" applyFont="1" applyFill="1" applyBorder="1"/>
    <xf numFmtId="0" fontId="4" fillId="10" borderId="53" xfId="0" applyFont="1" applyFill="1" applyBorder="1"/>
    <xf numFmtId="0" fontId="4" fillId="10" borderId="41" xfId="0" applyFont="1" applyFill="1" applyBorder="1"/>
    <xf numFmtId="0" fontId="4" fillId="10" borderId="74" xfId="0" applyFont="1" applyFill="1" applyBorder="1"/>
    <xf numFmtId="168" fontId="4" fillId="5" borderId="47" xfId="0" applyNumberFormat="1" applyFont="1" applyFill="1" applyBorder="1" applyAlignment="1">
      <alignment vertical="center" wrapText="1"/>
    </xf>
    <xf numFmtId="168" fontId="4" fillId="5" borderId="48" xfId="0" applyNumberFormat="1" applyFont="1" applyFill="1" applyBorder="1" applyAlignment="1">
      <alignment vertical="center" wrapText="1"/>
    </xf>
    <xf numFmtId="168" fontId="4" fillId="5" borderId="53" xfId="0" applyNumberFormat="1" applyFont="1" applyFill="1" applyBorder="1" applyAlignment="1">
      <alignment horizontal="right" vertical="center" wrapText="1"/>
    </xf>
    <xf numFmtId="168" fontId="4" fillId="5" borderId="74" xfId="0" applyNumberFormat="1" applyFont="1" applyFill="1" applyBorder="1" applyAlignment="1">
      <alignment vertical="center" wrapText="1"/>
    </xf>
    <xf numFmtId="171" fontId="12" fillId="14" borderId="1" xfId="0" applyNumberFormat="1" applyFont="1" applyFill="1" applyBorder="1" applyAlignment="1">
      <alignment horizontal="left"/>
    </xf>
    <xf numFmtId="49" fontId="12" fillId="3" borderId="1" xfId="0" applyNumberFormat="1" applyFont="1" applyFill="1" applyBorder="1"/>
    <xf numFmtId="0" fontId="4" fillId="14" borderId="16" xfId="0" applyFont="1" applyFill="1" applyBorder="1" applyAlignment="1">
      <alignment horizontal="center"/>
    </xf>
    <xf numFmtId="0" fontId="41" fillId="3" borderId="1" xfId="0" applyFont="1" applyFill="1" applyBorder="1" applyAlignment="1">
      <alignment horizontal="center"/>
    </xf>
    <xf numFmtId="0" fontId="4" fillId="15" borderId="53" xfId="0" applyFont="1" applyFill="1" applyBorder="1"/>
    <xf numFmtId="0" fontId="11" fillId="15" borderId="41" xfId="0" applyFont="1" applyFill="1" applyBorder="1" applyAlignment="1">
      <alignment horizontal="right"/>
    </xf>
    <xf numFmtId="0" fontId="11" fillId="15" borderId="41" xfId="0" applyFont="1" applyFill="1" applyBorder="1" applyAlignment="1">
      <alignment horizontal="left"/>
    </xf>
    <xf numFmtId="0" fontId="11" fillId="15" borderId="41" xfId="0" applyFont="1" applyFill="1" applyBorder="1"/>
    <xf numFmtId="0" fontId="11" fillId="15" borderId="74" xfId="0" applyFont="1" applyFill="1" applyBorder="1"/>
    <xf numFmtId="165" fontId="4" fillId="3" borderId="1" xfId="0" applyNumberFormat="1" applyFont="1" applyFill="1" applyBorder="1"/>
    <xf numFmtId="1" fontId="4" fillId="3" borderId="1" xfId="0" applyNumberFormat="1" applyFont="1" applyFill="1" applyBorder="1"/>
    <xf numFmtId="0" fontId="42" fillId="3" borderId="1" xfId="0" applyFont="1" applyFill="1" applyBorder="1"/>
    <xf numFmtId="0" fontId="11" fillId="2" borderId="1" xfId="0" applyFont="1" applyFill="1" applyBorder="1"/>
    <xf numFmtId="0" fontId="8" fillId="3" borderId="1" xfId="0" applyFont="1" applyFill="1" applyBorder="1" applyAlignment="1">
      <alignment vertical="center"/>
    </xf>
    <xf numFmtId="0" fontId="44" fillId="3" borderId="1" xfId="0" applyFont="1" applyFill="1" applyBorder="1" applyAlignment="1">
      <alignment horizontal="center"/>
    </xf>
    <xf numFmtId="0" fontId="45" fillId="0" borderId="0" xfId="0" applyFont="1"/>
    <xf numFmtId="0" fontId="4" fillId="6" borderId="16" xfId="0" applyFont="1" applyFill="1" applyBorder="1" applyAlignment="1">
      <alignment horizontal="left"/>
    </xf>
    <xf numFmtId="0" fontId="9" fillId="0" borderId="16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11" fillId="6" borderId="16" xfId="0" applyFont="1" applyFill="1" applyBorder="1"/>
    <xf numFmtId="0" fontId="4" fillId="6" borderId="16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/>
    </xf>
    <xf numFmtId="0" fontId="22" fillId="3" borderId="1" xfId="0" applyFont="1" applyFill="1" applyBorder="1" applyAlignment="1">
      <alignment horizontal="center"/>
    </xf>
    <xf numFmtId="0" fontId="13" fillId="6" borderId="16" xfId="0" applyFont="1" applyFill="1" applyBorder="1" applyAlignment="1">
      <alignment horizontal="center"/>
    </xf>
    <xf numFmtId="0" fontId="4" fillId="3" borderId="47" xfId="0" applyFont="1" applyFill="1" applyBorder="1" applyAlignment="1">
      <alignment horizontal="right"/>
    </xf>
    <xf numFmtId="2" fontId="9" fillId="3" borderId="48" xfId="0" applyNumberFormat="1" applyFont="1" applyFill="1" applyBorder="1" applyAlignment="1">
      <alignment horizontal="left"/>
    </xf>
    <xf numFmtId="0" fontId="4" fillId="3" borderId="49" xfId="0" applyFont="1" applyFill="1" applyBorder="1" applyAlignment="1">
      <alignment horizontal="right"/>
    </xf>
    <xf numFmtId="0" fontId="14" fillId="3" borderId="1" xfId="0" applyFont="1" applyFill="1" applyBorder="1" applyAlignment="1">
      <alignment wrapText="1"/>
    </xf>
    <xf numFmtId="0" fontId="47" fillId="3" borderId="1" xfId="0" applyFont="1" applyFill="1" applyBorder="1" applyAlignment="1">
      <alignment horizontal="center"/>
    </xf>
    <xf numFmtId="0" fontId="48" fillId="2" borderId="1" xfId="0" applyFont="1" applyFill="1" applyBorder="1"/>
    <xf numFmtId="0" fontId="15" fillId="2" borderId="1" xfId="0" applyFont="1" applyFill="1" applyBorder="1" applyAlignment="1">
      <alignment horizontal="center"/>
    </xf>
    <xf numFmtId="0" fontId="15" fillId="2" borderId="59" xfId="0" applyFont="1" applyFill="1" applyBorder="1" applyAlignment="1">
      <alignment horizontal="center"/>
    </xf>
    <xf numFmtId="0" fontId="4" fillId="2" borderId="60" xfId="0" applyFont="1" applyFill="1" applyBorder="1" applyAlignment="1">
      <alignment horizontal="center"/>
    </xf>
    <xf numFmtId="0" fontId="4" fillId="2" borderId="61" xfId="0" applyFont="1" applyFill="1" applyBorder="1"/>
    <xf numFmtId="0" fontId="15" fillId="2" borderId="87" xfId="0" applyFont="1" applyFill="1" applyBorder="1" applyAlignment="1">
      <alignment horizontal="center"/>
    </xf>
    <xf numFmtId="0" fontId="4" fillId="2" borderId="65" xfId="0" applyFont="1" applyFill="1" applyBorder="1" applyAlignment="1">
      <alignment horizontal="center"/>
    </xf>
    <xf numFmtId="0" fontId="4" fillId="2" borderId="66" xfId="0" applyFont="1" applyFill="1" applyBorder="1"/>
    <xf numFmtId="0" fontId="12" fillId="2" borderId="43" xfId="0" applyFont="1" applyFill="1" applyBorder="1" applyAlignment="1">
      <alignment horizontal="center"/>
    </xf>
    <xf numFmtId="2" fontId="12" fillId="2" borderId="49" xfId="0" applyNumberFormat="1" applyFont="1" applyFill="1" applyBorder="1" applyAlignment="1">
      <alignment horizontal="center"/>
    </xf>
    <xf numFmtId="0" fontId="12" fillId="2" borderId="44" xfId="0" applyFont="1" applyFill="1" applyBorder="1"/>
    <xf numFmtId="0" fontId="15" fillId="2" borderId="1" xfId="0" applyFont="1" applyFill="1" applyBorder="1"/>
    <xf numFmtId="2" fontId="15" fillId="2" borderId="1" xfId="0" applyNumberFormat="1" applyFont="1" applyFill="1" applyBorder="1" applyAlignment="1">
      <alignment horizontal="center"/>
    </xf>
    <xf numFmtId="0" fontId="12" fillId="2" borderId="43" xfId="0" applyFont="1" applyFill="1" applyBorder="1" applyAlignment="1">
      <alignment horizontal="left"/>
    </xf>
    <xf numFmtId="0" fontId="12" fillId="2" borderId="49" xfId="0" applyFont="1" applyFill="1" applyBorder="1"/>
    <xf numFmtId="0" fontId="15" fillId="2" borderId="1" xfId="0" applyFont="1" applyFill="1" applyBorder="1" applyAlignment="1">
      <alignment horizontal="right"/>
    </xf>
    <xf numFmtId="9" fontId="15" fillId="2" borderId="1" xfId="0" applyNumberFormat="1" applyFont="1" applyFill="1" applyBorder="1" applyAlignment="1">
      <alignment horizontal="center"/>
    </xf>
    <xf numFmtId="0" fontId="12" fillId="7" borderId="43" xfId="0" applyFont="1" applyFill="1" applyBorder="1" applyAlignment="1">
      <alignment horizontal="left"/>
    </xf>
    <xf numFmtId="0" fontId="12" fillId="7" borderId="49" xfId="0" applyFont="1" applyFill="1" applyBorder="1"/>
    <xf numFmtId="1" fontId="12" fillId="7" borderId="49" xfId="0" applyNumberFormat="1" applyFont="1" applyFill="1" applyBorder="1" applyAlignment="1">
      <alignment horizontal="center"/>
    </xf>
    <xf numFmtId="0" fontId="12" fillId="7" borderId="44" xfId="0" applyFont="1" applyFill="1" applyBorder="1"/>
    <xf numFmtId="0" fontId="15" fillId="4" borderId="47" xfId="0" applyFont="1" applyFill="1" applyBorder="1"/>
    <xf numFmtId="0" fontId="15" fillId="4" borderId="82" xfId="0" applyFont="1" applyFill="1" applyBorder="1" applyAlignment="1">
      <alignment horizontal="right"/>
    </xf>
    <xf numFmtId="0" fontId="15" fillId="4" borderId="48" xfId="0" applyFont="1" applyFill="1" applyBorder="1" applyAlignment="1">
      <alignment horizontal="left"/>
    </xf>
    <xf numFmtId="0" fontId="15" fillId="4" borderId="74" xfId="0" applyFont="1" applyFill="1" applyBorder="1" applyAlignment="1">
      <alignment horizontal="left"/>
    </xf>
    <xf numFmtId="0" fontId="15" fillId="2" borderId="1" xfId="0" applyFont="1" applyFill="1" applyBorder="1" applyAlignment="1">
      <alignment horizontal="left"/>
    </xf>
    <xf numFmtId="0" fontId="15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left" vertical="center"/>
    </xf>
    <xf numFmtId="164" fontId="4" fillId="2" borderId="60" xfId="0" applyNumberFormat="1" applyFont="1" applyFill="1" applyBorder="1" applyAlignment="1">
      <alignment horizontal="center"/>
    </xf>
    <xf numFmtId="164" fontId="12" fillId="2" borderId="49" xfId="0" applyNumberFormat="1" applyFont="1" applyFill="1" applyBorder="1" applyAlignment="1">
      <alignment horizontal="center"/>
    </xf>
    <xf numFmtId="164" fontId="15" fillId="2" borderId="1" xfId="0" applyNumberFormat="1" applyFont="1" applyFill="1" applyBorder="1" applyAlignment="1">
      <alignment horizontal="center"/>
    </xf>
    <xf numFmtId="2" fontId="12" fillId="7" borderId="49" xfId="0" applyNumberFormat="1" applyFont="1" applyFill="1" applyBorder="1" applyAlignment="1">
      <alignment horizontal="center"/>
    </xf>
    <xf numFmtId="0" fontId="49" fillId="4" borderId="1" xfId="0" applyFont="1" applyFill="1" applyBorder="1"/>
    <xf numFmtId="49" fontId="4" fillId="6" borderId="16" xfId="0" applyNumberFormat="1" applyFont="1" applyFill="1" applyBorder="1" applyAlignment="1">
      <alignment horizontal="center"/>
    </xf>
    <xf numFmtId="49" fontId="4" fillId="3" borderId="1" xfId="0" applyNumberFormat="1" applyFont="1" applyFill="1" applyBorder="1" applyAlignment="1">
      <alignment horizontal="center"/>
    </xf>
    <xf numFmtId="0" fontId="4" fillId="3" borderId="59" xfId="0" applyFont="1" applyFill="1" applyBorder="1"/>
    <xf numFmtId="49" fontId="15" fillId="3" borderId="1" xfId="0" applyNumberFormat="1" applyFont="1" applyFill="1" applyBorder="1" applyAlignment="1">
      <alignment horizontal="right"/>
    </xf>
    <xf numFmtId="49" fontId="11" fillId="17" borderId="47" xfId="0" applyNumberFormat="1" applyFont="1" applyFill="1" applyBorder="1" applyAlignment="1">
      <alignment horizontal="left"/>
    </xf>
    <xf numFmtId="0" fontId="4" fillId="17" borderId="82" xfId="0" applyFont="1" applyFill="1" applyBorder="1"/>
    <xf numFmtId="164" fontId="4" fillId="17" borderId="82" xfId="0" applyNumberFormat="1" applyFont="1" applyFill="1" applyBorder="1" applyAlignment="1">
      <alignment horizontal="center"/>
    </xf>
    <xf numFmtId="0" fontId="4" fillId="17" borderId="48" xfId="0" applyFont="1" applyFill="1" applyBorder="1"/>
    <xf numFmtId="49" fontId="11" fillId="17" borderId="69" xfId="0" applyNumberFormat="1" applyFont="1" applyFill="1" applyBorder="1" applyAlignment="1">
      <alignment horizontal="left"/>
    </xf>
    <xf numFmtId="0" fontId="4" fillId="17" borderId="1" xfId="0" applyFont="1" applyFill="1" applyBorder="1"/>
    <xf numFmtId="0" fontId="4" fillId="17" borderId="1" xfId="0" applyFont="1" applyFill="1" applyBorder="1" applyAlignment="1">
      <alignment horizontal="center"/>
    </xf>
    <xf numFmtId="0" fontId="4" fillId="17" borderId="70" xfId="0" applyFont="1" applyFill="1" applyBorder="1"/>
    <xf numFmtId="49" fontId="11" fillId="17" borderId="53" xfId="0" applyNumberFormat="1" applyFont="1" applyFill="1" applyBorder="1" applyAlignment="1">
      <alignment horizontal="left"/>
    </xf>
    <xf numFmtId="0" fontId="4" fillId="17" borderId="41" xfId="0" applyFont="1" applyFill="1" applyBorder="1"/>
    <xf numFmtId="164" fontId="4" fillId="17" borderId="41" xfId="0" applyNumberFormat="1" applyFont="1" applyFill="1" applyBorder="1" applyAlignment="1">
      <alignment horizontal="center"/>
    </xf>
    <xf numFmtId="0" fontId="4" fillId="17" borderId="74" xfId="0" applyFont="1" applyFill="1" applyBorder="1"/>
    <xf numFmtId="0" fontId="11" fillId="3" borderId="43" xfId="0" applyFont="1" applyFill="1" applyBorder="1"/>
    <xf numFmtId="0" fontId="4" fillId="3" borderId="49" xfId="0" applyFont="1" applyFill="1" applyBorder="1"/>
    <xf numFmtId="168" fontId="12" fillId="3" borderId="49" xfId="0" applyNumberFormat="1" applyFont="1" applyFill="1" applyBorder="1" applyAlignment="1">
      <alignment horizontal="center"/>
    </xf>
    <xf numFmtId="0" fontId="11" fillId="4" borderId="1" xfId="0" applyFont="1" applyFill="1" applyBorder="1"/>
    <xf numFmtId="0" fontId="11" fillId="7" borderId="43" xfId="0" applyFont="1" applyFill="1" applyBorder="1"/>
    <xf numFmtId="0" fontId="4" fillId="7" borderId="49" xfId="0" applyFont="1" applyFill="1" applyBorder="1"/>
    <xf numFmtId="164" fontId="12" fillId="7" borderId="49" xfId="0" applyNumberFormat="1" applyFont="1" applyFill="1" applyBorder="1" applyAlignment="1">
      <alignment horizontal="center"/>
    </xf>
    <xf numFmtId="169" fontId="4" fillId="0" borderId="16" xfId="0" applyNumberFormat="1" applyFont="1" applyBorder="1" applyAlignment="1">
      <alignment horizontal="center"/>
    </xf>
    <xf numFmtId="168" fontId="12" fillId="0" borderId="16" xfId="0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/>
    </xf>
    <xf numFmtId="169" fontId="4" fillId="3" borderId="1" xfId="0" applyNumberFormat="1" applyFont="1" applyFill="1" applyBorder="1" applyAlignment="1">
      <alignment horizontal="center"/>
    </xf>
    <xf numFmtId="0" fontId="52" fillId="3" borderId="1" xfId="0" applyFont="1" applyFill="1" applyBorder="1" applyAlignment="1">
      <alignment horizontal="center"/>
    </xf>
    <xf numFmtId="0" fontId="11" fillId="6" borderId="48" xfId="0" applyFont="1" applyFill="1" applyBorder="1"/>
    <xf numFmtId="0" fontId="11" fillId="6" borderId="70" xfId="0" applyFont="1" applyFill="1" applyBorder="1"/>
    <xf numFmtId="49" fontId="12" fillId="6" borderId="74" xfId="0" applyNumberFormat="1" applyFont="1" applyFill="1" applyBorder="1"/>
    <xf numFmtId="0" fontId="11" fillId="7" borderId="41" xfId="0" applyFont="1" applyFill="1" applyBorder="1"/>
    <xf numFmtId="2" fontId="12" fillId="3" borderId="47" xfId="0" applyNumberFormat="1" applyFont="1" applyFill="1" applyBorder="1" applyAlignment="1">
      <alignment horizontal="center"/>
    </xf>
    <xf numFmtId="164" fontId="12" fillId="3" borderId="47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wrapText="1"/>
    </xf>
    <xf numFmtId="1" fontId="12" fillId="3" borderId="43" xfId="0" applyNumberFormat="1" applyFont="1" applyFill="1" applyBorder="1" applyAlignment="1">
      <alignment horizontal="center"/>
    </xf>
    <xf numFmtId="0" fontId="40" fillId="9" borderId="8" xfId="0" applyFont="1" applyFill="1" applyBorder="1" applyAlignment="1">
      <alignment horizontal="left"/>
    </xf>
    <xf numFmtId="0" fontId="3" fillId="0" borderId="9" xfId="0" applyFont="1" applyBorder="1"/>
    <xf numFmtId="0" fontId="3" fillId="0" borderId="10" xfId="0" applyFont="1" applyBorder="1"/>
    <xf numFmtId="0" fontId="11" fillId="3" borderId="8" xfId="0" applyFont="1" applyFill="1" applyBorder="1" applyAlignment="1">
      <alignment horizontal="right"/>
    </xf>
    <xf numFmtId="0" fontId="11" fillId="3" borderId="8" xfId="0" applyFont="1" applyFill="1" applyBorder="1" applyAlignment="1">
      <alignment horizontal="left"/>
    </xf>
    <xf numFmtId="0" fontId="15" fillId="5" borderId="12" xfId="0" applyFont="1" applyFill="1" applyBorder="1" applyAlignment="1">
      <alignment horizontal="left"/>
    </xf>
    <xf numFmtId="0" fontId="3" fillId="0" borderId="54" xfId="0" applyFont="1" applyBorder="1"/>
    <xf numFmtId="0" fontId="12" fillId="14" borderId="12" xfId="0" applyFont="1" applyFill="1" applyBorder="1" applyAlignment="1">
      <alignment horizontal="center" vertical="center"/>
    </xf>
    <xf numFmtId="0" fontId="12" fillId="14" borderId="12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13" fillId="5" borderId="12" xfId="0" applyFont="1" applyFill="1" applyBorder="1" applyAlignment="1">
      <alignment horizontal="left"/>
    </xf>
    <xf numFmtId="168" fontId="15" fillId="5" borderId="32" xfId="0" applyNumberFormat="1" applyFont="1" applyFill="1" applyBorder="1" applyAlignment="1">
      <alignment horizontal="center" vertical="center" wrapText="1"/>
    </xf>
    <xf numFmtId="0" fontId="3" fillId="0" borderId="33" xfId="0" applyFont="1" applyBorder="1"/>
    <xf numFmtId="0" fontId="3" fillId="0" borderId="67" xfId="0" applyFont="1" applyBorder="1"/>
    <xf numFmtId="0" fontId="3" fillId="0" borderId="68" xfId="0" applyFont="1" applyBorder="1"/>
    <xf numFmtId="0" fontId="12" fillId="8" borderId="11" xfId="0" applyFont="1" applyFill="1" applyBorder="1" applyAlignment="1">
      <alignment horizontal="center" vertical="center"/>
    </xf>
    <xf numFmtId="0" fontId="3" fillId="0" borderId="76" xfId="0" applyFont="1" applyBorder="1"/>
    <xf numFmtId="0" fontId="3" fillId="0" borderId="15" xfId="0" applyFont="1" applyBorder="1"/>
    <xf numFmtId="2" fontId="4" fillId="8" borderId="11" xfId="0" applyNumberFormat="1" applyFont="1" applyFill="1" applyBorder="1" applyAlignment="1">
      <alignment horizontal="center" vertical="center"/>
    </xf>
    <xf numFmtId="2" fontId="4" fillId="0" borderId="32" xfId="0" applyNumberFormat="1" applyFont="1" applyBorder="1" applyAlignment="1">
      <alignment horizontal="center" vertical="center"/>
    </xf>
    <xf numFmtId="0" fontId="3" fillId="0" borderId="72" xfId="0" applyFont="1" applyBorder="1"/>
    <xf numFmtId="0" fontId="3" fillId="0" borderId="34" xfId="0" applyFont="1" applyBorder="1"/>
    <xf numFmtId="2" fontId="12" fillId="3" borderId="36" xfId="0" applyNumberFormat="1" applyFont="1" applyFill="1" applyBorder="1" applyAlignment="1">
      <alignment horizontal="right" vertical="center"/>
    </xf>
    <xf numFmtId="0" fontId="3" fillId="0" borderId="75" xfId="0" applyFont="1" applyBorder="1"/>
    <xf numFmtId="0" fontId="3" fillId="0" borderId="38" xfId="0" applyFont="1" applyBorder="1"/>
    <xf numFmtId="2" fontId="12" fillId="3" borderId="37" xfId="0" applyNumberFormat="1" applyFont="1" applyFill="1" applyBorder="1" applyAlignment="1">
      <alignment horizontal="left" vertical="center"/>
    </xf>
    <xf numFmtId="0" fontId="3" fillId="0" borderId="28" xfId="0" applyFont="1" applyBorder="1"/>
    <xf numFmtId="0" fontId="3" fillId="0" borderId="40" xfId="0" applyFont="1" applyBorder="1"/>
    <xf numFmtId="168" fontId="15" fillId="5" borderId="50" xfId="0" applyNumberFormat="1" applyFont="1" applyFill="1" applyBorder="1" applyAlignment="1">
      <alignment horizontal="center" wrapText="1"/>
    </xf>
    <xf numFmtId="0" fontId="3" fillId="0" borderId="51" xfId="0" applyFont="1" applyBorder="1"/>
    <xf numFmtId="0" fontId="11" fillId="15" borderId="45" xfId="0" applyFont="1" applyFill="1" applyBorder="1" applyAlignment="1">
      <alignment horizontal="center"/>
    </xf>
    <xf numFmtId="0" fontId="3" fillId="0" borderId="52" xfId="0" applyFont="1" applyBorder="1"/>
    <xf numFmtId="0" fontId="3" fillId="0" borderId="46" xfId="0" applyFont="1" applyBorder="1"/>
    <xf numFmtId="0" fontId="12" fillId="15" borderId="36" xfId="0" applyFont="1" applyFill="1" applyBorder="1" applyAlignment="1">
      <alignment horizontal="right" vertical="center"/>
    </xf>
    <xf numFmtId="2" fontId="12" fillId="15" borderId="37" xfId="0" applyNumberFormat="1" applyFont="1" applyFill="1" applyBorder="1" applyAlignment="1">
      <alignment horizontal="left" vertical="center"/>
    </xf>
    <xf numFmtId="0" fontId="26" fillId="5" borderId="12" xfId="0" applyFont="1" applyFill="1" applyBorder="1" applyAlignment="1">
      <alignment horizontal="left"/>
    </xf>
    <xf numFmtId="0" fontId="4" fillId="14" borderId="11" xfId="0" applyFont="1" applyFill="1" applyBorder="1" applyAlignment="1">
      <alignment horizontal="center" vertical="center" wrapText="1"/>
    </xf>
    <xf numFmtId="0" fontId="12" fillId="14" borderId="32" xfId="0" applyFont="1" applyFill="1" applyBorder="1" applyAlignment="1">
      <alignment horizontal="center" vertical="center" wrapText="1"/>
    </xf>
    <xf numFmtId="0" fontId="12" fillId="14" borderId="32" xfId="0" applyFont="1" applyFill="1" applyBorder="1" applyAlignment="1">
      <alignment horizontal="center" vertical="center"/>
    </xf>
    <xf numFmtId="0" fontId="3" fillId="0" borderId="35" xfId="0" applyFont="1" applyBorder="1"/>
    <xf numFmtId="0" fontId="4" fillId="14" borderId="12" xfId="0" applyFont="1" applyFill="1" applyBorder="1" applyAlignment="1">
      <alignment horizontal="center"/>
    </xf>
    <xf numFmtId="0" fontId="4" fillId="3" borderId="36" xfId="0" applyFont="1" applyFill="1" applyBorder="1" applyAlignment="1">
      <alignment horizontal="right" vertical="center"/>
    </xf>
    <xf numFmtId="2" fontId="4" fillId="3" borderId="37" xfId="0" applyNumberFormat="1" applyFont="1" applyFill="1" applyBorder="1" applyAlignment="1">
      <alignment horizontal="left" vertical="center"/>
    </xf>
    <xf numFmtId="0" fontId="12" fillId="10" borderId="45" xfId="0" applyFont="1" applyFill="1" applyBorder="1" applyAlignment="1">
      <alignment horizontal="left"/>
    </xf>
    <xf numFmtId="0" fontId="33" fillId="5" borderId="12" xfId="0" applyFont="1" applyFill="1" applyBorder="1" applyAlignment="1">
      <alignment horizontal="left"/>
    </xf>
    <xf numFmtId="0" fontId="12" fillId="14" borderId="45" xfId="0" applyFont="1" applyFill="1" applyBorder="1" applyAlignment="1">
      <alignment horizontal="center" vertical="center" wrapText="1"/>
    </xf>
    <xf numFmtId="0" fontId="38" fillId="9" borderId="8" xfId="0" applyFont="1" applyFill="1" applyBorder="1" applyAlignment="1">
      <alignment horizontal="left"/>
    </xf>
    <xf numFmtId="0" fontId="4" fillId="3" borderId="29" xfId="0" applyFont="1" applyFill="1" applyBorder="1" applyAlignment="1">
      <alignment horizontal="right"/>
    </xf>
    <xf numFmtId="0" fontId="3" fillId="0" borderId="31" xfId="0" applyFont="1" applyBorder="1"/>
    <xf numFmtId="0" fontId="12" fillId="14" borderId="11" xfId="0" applyFont="1" applyFill="1" applyBorder="1" applyAlignment="1">
      <alignment horizontal="center" vertical="center" wrapText="1"/>
    </xf>
    <xf numFmtId="168" fontId="4" fillId="3" borderId="11" xfId="0" applyNumberFormat="1" applyFont="1" applyFill="1" applyBorder="1" applyAlignment="1">
      <alignment horizontal="center" vertical="center" wrapText="1"/>
    </xf>
    <xf numFmtId="168" fontId="4" fillId="5" borderId="32" xfId="0" applyNumberFormat="1" applyFont="1" applyFill="1" applyBorder="1" applyAlignment="1">
      <alignment horizontal="center" vertical="center" wrapText="1"/>
    </xf>
    <xf numFmtId="0" fontId="39" fillId="9" borderId="29" xfId="0" applyFont="1" applyFill="1" applyBorder="1" applyAlignment="1">
      <alignment horizontal="left"/>
    </xf>
    <xf numFmtId="0" fontId="3" fillId="0" borderId="30" xfId="0" applyFont="1" applyBorder="1"/>
    <xf numFmtId="0" fontId="11" fillId="14" borderId="8" xfId="0" applyFont="1" applyFill="1" applyBorder="1" applyAlignment="1">
      <alignment horizontal="center"/>
    </xf>
    <xf numFmtId="0" fontId="12" fillId="14" borderId="8" xfId="0" applyFont="1" applyFill="1" applyBorder="1" applyAlignment="1">
      <alignment horizontal="right"/>
    </xf>
    <xf numFmtId="0" fontId="12" fillId="12" borderId="12" xfId="0" applyFont="1" applyFill="1" applyBorder="1" applyAlignment="1">
      <alignment horizontal="center" vertical="center"/>
    </xf>
    <xf numFmtId="0" fontId="3" fillId="0" borderId="13" xfId="0" applyFont="1" applyBorder="1"/>
    <xf numFmtId="0" fontId="11" fillId="11" borderId="12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left" vertical="center" wrapText="1"/>
    </xf>
    <xf numFmtId="0" fontId="26" fillId="3" borderId="55" xfId="0" applyFont="1" applyFill="1" applyBorder="1" applyAlignment="1">
      <alignment horizontal="left" vertical="center" wrapText="1"/>
    </xf>
    <xf numFmtId="0" fontId="3" fillId="0" borderId="56" xfId="0" applyFont="1" applyBorder="1"/>
    <xf numFmtId="0" fontId="3" fillId="0" borderId="27" xfId="0" applyFont="1" applyBorder="1"/>
    <xf numFmtId="0" fontId="17" fillId="3" borderId="20" xfId="0" applyFont="1" applyFill="1" applyBorder="1" applyAlignment="1">
      <alignment horizontal="right" vertical="center" wrapText="1"/>
    </xf>
    <xf numFmtId="0" fontId="3" fillId="0" borderId="21" xfId="0" applyFont="1" applyBorder="1"/>
    <xf numFmtId="0" fontId="3" fillId="0" borderId="23" xfId="0" applyFont="1" applyBorder="1"/>
    <xf numFmtId="0" fontId="3" fillId="0" borderId="24" xfId="0" applyFont="1" applyBorder="1"/>
    <xf numFmtId="0" fontId="26" fillId="3" borderId="20" xfId="0" applyFont="1" applyFill="1" applyBorder="1" applyAlignment="1">
      <alignment horizontal="center" vertical="center" wrapText="1"/>
    </xf>
    <xf numFmtId="0" fontId="3" fillId="0" borderId="57" xfId="0" applyFont="1" applyBorder="1"/>
    <xf numFmtId="0" fontId="3" fillId="0" borderId="58" xfId="0" applyFont="1" applyBorder="1"/>
    <xf numFmtId="0" fontId="14" fillId="3" borderId="8" xfId="0" applyFont="1" applyFill="1" applyBorder="1" applyAlignment="1">
      <alignment horizontal="center" wrapText="1"/>
    </xf>
    <xf numFmtId="0" fontId="35" fillId="9" borderId="79" xfId="0" applyFont="1" applyFill="1" applyBorder="1" applyAlignment="1">
      <alignment horizontal="left"/>
    </xf>
    <xf numFmtId="0" fontId="3" fillId="0" borderId="80" xfId="0" applyFont="1" applyBorder="1"/>
    <xf numFmtId="0" fontId="3" fillId="0" borderId="81" xfId="0" applyFont="1" applyBorder="1"/>
    <xf numFmtId="0" fontId="12" fillId="13" borderId="12" xfId="0" applyFont="1" applyFill="1" applyBorder="1" applyAlignment="1">
      <alignment horizontal="center" vertical="center"/>
    </xf>
    <xf numFmtId="0" fontId="11" fillId="3" borderId="62" xfId="0" applyFont="1" applyFill="1" applyBorder="1" applyAlignment="1">
      <alignment horizontal="center"/>
    </xf>
    <xf numFmtId="0" fontId="3" fillId="0" borderId="63" xfId="0" applyFont="1" applyBorder="1"/>
    <xf numFmtId="0" fontId="3" fillId="0" borderId="64" xfId="0" applyFont="1" applyBorder="1"/>
    <xf numFmtId="49" fontId="15" fillId="3" borderId="8" xfId="0" applyNumberFormat="1" applyFont="1" applyFill="1" applyBorder="1" applyAlignment="1">
      <alignment horizontal="left"/>
    </xf>
    <xf numFmtId="0" fontId="11" fillId="3" borderId="8" xfId="0" applyFont="1" applyFill="1" applyBorder="1" applyAlignment="1">
      <alignment horizontal="center"/>
    </xf>
    <xf numFmtId="0" fontId="37" fillId="9" borderId="29" xfId="0" applyFont="1" applyFill="1" applyBorder="1" applyAlignment="1">
      <alignment horizontal="center"/>
    </xf>
    <xf numFmtId="0" fontId="17" fillId="3" borderId="20" xfId="0" applyFont="1" applyFill="1" applyBorder="1" applyAlignment="1">
      <alignment horizontal="center" vertical="center" wrapText="1"/>
    </xf>
    <xf numFmtId="0" fontId="11" fillId="11" borderId="45" xfId="0" applyFont="1" applyFill="1" applyBorder="1" applyAlignment="1">
      <alignment horizontal="center" vertical="center" wrapText="1"/>
    </xf>
    <xf numFmtId="0" fontId="12" fillId="11" borderId="50" xfId="0" applyFont="1" applyFill="1" applyBorder="1" applyAlignment="1">
      <alignment horizontal="center" vertical="center" wrapText="1"/>
    </xf>
    <xf numFmtId="0" fontId="12" fillId="12" borderId="12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12" fillId="5" borderId="12" xfId="0" applyFont="1" applyFill="1" applyBorder="1" applyAlignment="1">
      <alignment horizontal="left" vertical="center" wrapText="1"/>
    </xf>
    <xf numFmtId="0" fontId="26" fillId="5" borderId="12" xfId="0" applyFont="1" applyFill="1" applyBorder="1" applyAlignment="1">
      <alignment horizontal="left" vertical="center"/>
    </xf>
    <xf numFmtId="0" fontId="15" fillId="3" borderId="8" xfId="0" applyFont="1" applyFill="1" applyBorder="1" applyAlignment="1">
      <alignment horizontal="center"/>
    </xf>
    <xf numFmtId="168" fontId="4" fillId="5" borderId="83" xfId="0" applyNumberFormat="1" applyFont="1" applyFill="1" applyBorder="1" applyAlignment="1">
      <alignment horizontal="center" vertical="center" wrapText="1"/>
    </xf>
    <xf numFmtId="0" fontId="3" fillId="0" borderId="84" xfId="0" applyFont="1" applyBorder="1"/>
    <xf numFmtId="168" fontId="4" fillId="5" borderId="42" xfId="0" applyNumberFormat="1" applyFont="1" applyFill="1" applyBorder="1" applyAlignment="1">
      <alignment horizontal="center" vertical="center" wrapText="1"/>
    </xf>
    <xf numFmtId="0" fontId="3" fillId="0" borderId="71" xfId="0" applyFont="1" applyBorder="1"/>
    <xf numFmtId="0" fontId="5" fillId="9" borderId="2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8" fillId="3" borderId="8" xfId="0" applyFont="1" applyFill="1" applyBorder="1" applyAlignment="1">
      <alignment horizontal="center"/>
    </xf>
    <xf numFmtId="0" fontId="4" fillId="11" borderId="11" xfId="0" applyFont="1" applyFill="1" applyBorder="1" applyAlignment="1">
      <alignment horizontal="center" vertical="center" wrapText="1"/>
    </xf>
    <xf numFmtId="0" fontId="4" fillId="11" borderId="12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left" wrapText="1"/>
    </xf>
    <xf numFmtId="0" fontId="4" fillId="0" borderId="11" xfId="0" applyFont="1" applyBorder="1" applyAlignment="1">
      <alignment horizontal="center" vertical="center" wrapText="1"/>
    </xf>
    <xf numFmtId="0" fontId="22" fillId="3" borderId="29" xfId="0" applyFont="1" applyFill="1" applyBorder="1" applyAlignment="1">
      <alignment horizontal="center" vertical="center"/>
    </xf>
    <xf numFmtId="0" fontId="4" fillId="11" borderId="32" xfId="0" applyFont="1" applyFill="1" applyBorder="1" applyAlignment="1">
      <alignment horizontal="center" vertical="center" wrapText="1"/>
    </xf>
    <xf numFmtId="0" fontId="4" fillId="11" borderId="12" xfId="0" applyFont="1" applyFill="1" applyBorder="1" applyAlignment="1">
      <alignment horizontal="center"/>
    </xf>
    <xf numFmtId="0" fontId="16" fillId="3" borderId="32" xfId="0" applyFont="1" applyFill="1" applyBorder="1" applyAlignment="1">
      <alignment horizontal="center" wrapText="1"/>
    </xf>
    <xf numFmtId="0" fontId="9" fillId="3" borderId="11" xfId="0" applyFont="1" applyFill="1" applyBorder="1" applyAlignment="1">
      <alignment horizontal="center" vertical="center" wrapText="1"/>
    </xf>
    <xf numFmtId="49" fontId="12" fillId="3" borderId="50" xfId="0" applyNumberFormat="1" applyFont="1" applyFill="1" applyBorder="1" applyAlignment="1">
      <alignment horizontal="center" vertical="center"/>
    </xf>
    <xf numFmtId="0" fontId="12" fillId="11" borderId="12" xfId="0" applyFont="1" applyFill="1" applyBorder="1" applyAlignment="1">
      <alignment horizontal="center"/>
    </xf>
    <xf numFmtId="0" fontId="4" fillId="11" borderId="11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 wrapText="1"/>
    </xf>
    <xf numFmtId="0" fontId="17" fillId="3" borderId="20" xfId="0" applyFont="1" applyFill="1" applyBorder="1" applyAlignment="1">
      <alignment horizontal="left" vertical="center" wrapText="1"/>
    </xf>
    <xf numFmtId="0" fontId="11" fillId="3" borderId="17" xfId="0" applyFont="1" applyFill="1" applyBorder="1" applyAlignment="1">
      <alignment horizontal="center" vertical="center" wrapText="1"/>
    </xf>
    <xf numFmtId="0" fontId="3" fillId="0" borderId="18" xfId="0" applyFont="1" applyBorder="1"/>
    <xf numFmtId="0" fontId="3" fillId="0" borderId="22" xfId="0" applyFont="1" applyBorder="1"/>
    <xf numFmtId="0" fontId="12" fillId="11" borderId="42" xfId="0" applyFont="1" applyFill="1" applyBorder="1" applyAlignment="1">
      <alignment horizontal="center"/>
    </xf>
    <xf numFmtId="0" fontId="3" fillId="0" borderId="73" xfId="0" applyFont="1" applyBorder="1"/>
    <xf numFmtId="0" fontId="3" fillId="0" borderId="39" xfId="0" applyFont="1" applyBorder="1"/>
    <xf numFmtId="0" fontId="12" fillId="7" borderId="45" xfId="0" applyFont="1" applyFill="1" applyBorder="1" applyAlignment="1">
      <alignment horizontal="left"/>
    </xf>
    <xf numFmtId="0" fontId="4" fillId="6" borderId="12" xfId="0" applyFont="1" applyFill="1" applyBorder="1" applyAlignment="1">
      <alignment horizontal="left"/>
    </xf>
    <xf numFmtId="0" fontId="51" fillId="4" borderId="29" xfId="0" applyFont="1" applyFill="1" applyBorder="1" applyAlignment="1">
      <alignment horizontal="center"/>
    </xf>
    <xf numFmtId="0" fontId="11" fillId="6" borderId="42" xfId="0" applyFont="1" applyFill="1" applyBorder="1" applyAlignment="1">
      <alignment horizontal="right"/>
    </xf>
    <xf numFmtId="0" fontId="11" fillId="6" borderId="50" xfId="0" applyFont="1" applyFill="1" applyBorder="1" applyAlignment="1">
      <alignment horizontal="right"/>
    </xf>
    <xf numFmtId="0" fontId="4" fillId="4" borderId="11" xfId="0" applyFont="1" applyFill="1" applyBorder="1" applyAlignment="1">
      <alignment horizontal="center" vertical="center" wrapText="1"/>
    </xf>
    <xf numFmtId="0" fontId="50" fillId="4" borderId="29" xfId="0" applyFont="1" applyFill="1" applyBorder="1" applyAlignment="1">
      <alignment horizontal="left"/>
    </xf>
    <xf numFmtId="0" fontId="4" fillId="4" borderId="12" xfId="0" applyFont="1" applyFill="1" applyBorder="1" applyAlignment="1">
      <alignment horizontal="center"/>
    </xf>
    <xf numFmtId="2" fontId="4" fillId="0" borderId="33" xfId="0" applyNumberFormat="1" applyFont="1" applyBorder="1" applyAlignment="1">
      <alignment horizontal="left" vertical="center"/>
    </xf>
    <xf numFmtId="0" fontId="4" fillId="4" borderId="12" xfId="0" applyFont="1" applyFill="1" applyBorder="1" applyAlignment="1">
      <alignment horizontal="center" vertical="center" wrapText="1"/>
    </xf>
    <xf numFmtId="0" fontId="46" fillId="6" borderId="29" xfId="0" applyFont="1" applyFill="1" applyBorder="1" applyAlignment="1">
      <alignment horizontal="left"/>
    </xf>
    <xf numFmtId="0" fontId="15" fillId="2" borderId="12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center"/>
    </xf>
    <xf numFmtId="0" fontId="15" fillId="2" borderId="88" xfId="0" applyFont="1" applyFill="1" applyBorder="1" applyAlignment="1">
      <alignment horizontal="center" vertical="center"/>
    </xf>
    <xf numFmtId="0" fontId="15" fillId="2" borderId="17" xfId="0" applyFont="1" applyFill="1" applyBorder="1" applyAlignment="1">
      <alignment horizontal="left" vertical="center"/>
    </xf>
    <xf numFmtId="0" fontId="15" fillId="4" borderId="50" xfId="0" applyFont="1" applyFill="1" applyBorder="1" applyAlignment="1">
      <alignment horizontal="right"/>
    </xf>
    <xf numFmtId="0" fontId="12" fillId="2" borderId="12" xfId="0" applyFont="1" applyFill="1" applyBorder="1" applyAlignment="1">
      <alignment horizontal="center"/>
    </xf>
    <xf numFmtId="0" fontId="12" fillId="7" borderId="12" xfId="0" applyFont="1" applyFill="1" applyBorder="1" applyAlignment="1">
      <alignment horizontal="center"/>
    </xf>
    <xf numFmtId="0" fontId="53" fillId="4" borderId="8" xfId="0" applyFont="1" applyFill="1" applyBorder="1" applyAlignment="1">
      <alignment horizontal="left"/>
    </xf>
    <xf numFmtId="0" fontId="12" fillId="4" borderId="45" xfId="0" applyFont="1" applyFill="1" applyBorder="1" applyAlignment="1">
      <alignment horizontal="center" vertical="center" wrapText="1"/>
    </xf>
    <xf numFmtId="0" fontId="15" fillId="6" borderId="12" xfId="0" applyFont="1" applyFill="1" applyBorder="1" applyAlignment="1">
      <alignment horizontal="left"/>
    </xf>
    <xf numFmtId="0" fontId="12" fillId="4" borderId="12" xfId="0" applyFont="1" applyFill="1" applyBorder="1" applyAlignment="1">
      <alignment horizontal="center" vertical="center"/>
    </xf>
    <xf numFmtId="0" fontId="12" fillId="7" borderId="77" xfId="0" applyFont="1" applyFill="1" applyBorder="1" applyAlignment="1">
      <alignment horizontal="right" vertical="center"/>
    </xf>
    <xf numFmtId="0" fontId="3" fillId="0" borderId="78" xfId="0" applyFont="1" applyBorder="1"/>
    <xf numFmtId="2" fontId="12" fillId="7" borderId="37" xfId="0" applyNumberFormat="1" applyFont="1" applyFill="1" applyBorder="1" applyAlignment="1">
      <alignment horizontal="left" vertical="center"/>
    </xf>
    <xf numFmtId="0" fontId="12" fillId="4" borderId="32" xfId="0" applyFont="1" applyFill="1" applyBorder="1" applyAlignment="1">
      <alignment horizontal="center" vertical="center"/>
    </xf>
    <xf numFmtId="0" fontId="3" fillId="0" borderId="89" xfId="0" applyFont="1" applyBorder="1"/>
    <xf numFmtId="0" fontId="3" fillId="0" borderId="26" xfId="0" applyFont="1" applyBorder="1"/>
    <xf numFmtId="0" fontId="12" fillId="4" borderId="32" xfId="0" applyFont="1" applyFill="1" applyBorder="1" applyAlignment="1">
      <alignment horizontal="center" vertical="center" wrapText="1"/>
    </xf>
    <xf numFmtId="0" fontId="11" fillId="6" borderId="45" xfId="0" applyFont="1" applyFill="1" applyBorder="1" applyAlignment="1">
      <alignment horizontal="right"/>
    </xf>
    <xf numFmtId="0" fontId="11" fillId="7" borderId="45" xfId="0" applyFont="1" applyFill="1" applyBorder="1" applyAlignment="1">
      <alignment horizontal="left"/>
    </xf>
    <xf numFmtId="0" fontId="11" fillId="7" borderId="29" xfId="0" applyFont="1" applyFill="1" applyBorder="1" applyAlignment="1">
      <alignment horizontal="right"/>
    </xf>
    <xf numFmtId="0" fontId="26" fillId="6" borderId="12" xfId="0" applyFont="1" applyFill="1" applyBorder="1" applyAlignment="1">
      <alignment horizontal="left" vertical="center"/>
    </xf>
    <xf numFmtId="0" fontId="12" fillId="7" borderId="12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 wrapText="1"/>
    </xf>
    <xf numFmtId="0" fontId="11" fillId="6" borderId="12" xfId="0" applyFont="1" applyFill="1" applyBorder="1" applyAlignment="1">
      <alignment horizontal="left" vertical="center" wrapText="1"/>
    </xf>
    <xf numFmtId="2" fontId="9" fillId="3" borderId="85" xfId="0" applyNumberFormat="1" applyFont="1" applyFill="1" applyBorder="1" applyAlignment="1">
      <alignment horizontal="center" vertical="center"/>
    </xf>
    <xf numFmtId="0" fontId="3" fillId="0" borderId="86" xfId="0" applyFont="1" applyBorder="1"/>
    <xf numFmtId="0" fontId="4" fillId="3" borderId="17" xfId="0" applyFont="1" applyFill="1" applyBorder="1" applyAlignment="1">
      <alignment horizontal="left" vertical="center"/>
    </xf>
    <xf numFmtId="0" fontId="11" fillId="3" borderId="20" xfId="0" applyFont="1" applyFill="1" applyBorder="1" applyAlignment="1">
      <alignment horizontal="center" vertical="center"/>
    </xf>
    <xf numFmtId="0" fontId="3" fillId="0" borderId="25" xfId="0" applyFont="1" applyBorder="1"/>
    <xf numFmtId="0" fontId="11" fillId="4" borderId="45" xfId="0" applyFont="1" applyFill="1" applyBorder="1" applyAlignment="1">
      <alignment horizontal="center" vertical="center" wrapText="1"/>
    </xf>
    <xf numFmtId="0" fontId="12" fillId="4" borderId="50" xfId="0" applyFont="1" applyFill="1" applyBorder="1" applyAlignment="1">
      <alignment horizontal="center" vertical="center" wrapText="1"/>
    </xf>
    <xf numFmtId="0" fontId="12" fillId="7" borderId="12" xfId="0" applyFont="1" applyFill="1" applyBorder="1" applyAlignment="1">
      <alignment horizontal="center" vertical="center" wrapText="1"/>
    </xf>
    <xf numFmtId="0" fontId="12" fillId="6" borderId="12" xfId="0" applyFont="1" applyFill="1" applyBorder="1" applyAlignment="1">
      <alignment horizontal="left" vertical="center" wrapText="1"/>
    </xf>
    <xf numFmtId="0" fontId="12" fillId="4" borderId="42" xfId="0" applyFont="1" applyFill="1" applyBorder="1" applyAlignment="1">
      <alignment horizontal="center"/>
    </xf>
    <xf numFmtId="0" fontId="12" fillId="4" borderId="12" xfId="0" applyFont="1" applyFill="1" applyBorder="1" applyAlignment="1">
      <alignment horizontal="center"/>
    </xf>
    <xf numFmtId="0" fontId="2" fillId="16" borderId="2" xfId="0" applyFont="1" applyFill="1" applyBorder="1" applyAlignment="1">
      <alignment horizontal="center" vertical="center" wrapText="1"/>
    </xf>
    <xf numFmtId="0" fontId="43" fillId="16" borderId="8" xfId="0" applyFont="1" applyFill="1" applyBorder="1" applyAlignment="1">
      <alignment horizontal="left"/>
    </xf>
    <xf numFmtId="0" fontId="11" fillId="3" borderId="17" xfId="0" applyFont="1" applyFill="1" applyBorder="1" applyAlignment="1">
      <alignment horizontal="center" vertical="center"/>
    </xf>
    <xf numFmtId="0" fontId="14" fillId="3" borderId="2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619125</xdr:colOff>
      <xdr:row>19</xdr:row>
      <xdr:rowOff>142875</xdr:rowOff>
    </xdr:from>
    <xdr:ext cx="161925" cy="1990725"/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>
        <a:xfrm>
          <a:off x="5269800" y="2789400"/>
          <a:ext cx="152400" cy="1981200"/>
        </a:xfrm>
        <a:prstGeom prst="leftBrace">
          <a:avLst>
            <a:gd name="adj1" fmla="val 8333"/>
            <a:gd name="adj2" fmla="val 50000"/>
          </a:avLst>
        </a:prstGeom>
        <a:noFill/>
        <a:ln w="9525" cap="flat" cmpd="sng">
          <a:solidFill>
            <a:srgbClr val="0070C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</xdr:col>
      <xdr:colOff>723900</xdr:colOff>
      <xdr:row>31</xdr:row>
      <xdr:rowOff>104775</xdr:rowOff>
    </xdr:from>
    <xdr:ext cx="95250" cy="342900"/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>
        <a:xfrm>
          <a:off x="5303138" y="3613313"/>
          <a:ext cx="85725" cy="333375"/>
        </a:xfrm>
        <a:prstGeom prst="leftBrace">
          <a:avLst>
            <a:gd name="adj1" fmla="val 8333"/>
            <a:gd name="adj2" fmla="val 50000"/>
          </a:avLst>
        </a:prstGeom>
        <a:noFill/>
        <a:ln w="9525" cap="flat" cmpd="sng">
          <a:solidFill>
            <a:srgbClr val="0070C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6</xdr:col>
      <xdr:colOff>9525</xdr:colOff>
      <xdr:row>120</xdr:row>
      <xdr:rowOff>0</xdr:rowOff>
    </xdr:from>
    <xdr:ext cx="1495425" cy="561975"/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>
        <a:xfrm>
          <a:off x="4603050" y="3503775"/>
          <a:ext cx="1485900" cy="552450"/>
        </a:xfrm>
        <a:prstGeom prst="roundRect">
          <a:avLst>
            <a:gd name="adj" fmla="val 16667"/>
          </a:avLst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704850</xdr:colOff>
      <xdr:row>126</xdr:row>
      <xdr:rowOff>0</xdr:rowOff>
    </xdr:from>
    <xdr:ext cx="123825" cy="209550"/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/>
      </xdr:nvSpPr>
      <xdr:spPr>
        <a:xfrm>
          <a:off x="5288850" y="3679988"/>
          <a:ext cx="114300" cy="200025"/>
        </a:xfrm>
        <a:prstGeom prst="leftBrace">
          <a:avLst>
            <a:gd name="adj1" fmla="val 8333"/>
            <a:gd name="adj2" fmla="val 50000"/>
          </a:avLst>
        </a:prstGeom>
        <a:noFill/>
        <a:ln w="9525" cap="flat" cmpd="sng">
          <a:solidFill>
            <a:srgbClr val="0070C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9525</xdr:colOff>
      <xdr:row>123</xdr:row>
      <xdr:rowOff>28575</xdr:rowOff>
    </xdr:from>
    <xdr:ext cx="6172200" cy="885825"/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>
        <a:xfrm>
          <a:off x="2264663" y="3341850"/>
          <a:ext cx="6162675" cy="876300"/>
        </a:xfrm>
        <a:prstGeom prst="roundRect">
          <a:avLst>
            <a:gd name="adj" fmla="val 16667"/>
          </a:avLst>
        </a:prstGeom>
        <a:noFill/>
        <a:ln w="12700" cap="flat" cmpd="sng">
          <a:solidFill>
            <a:srgbClr val="0070C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333375</xdr:colOff>
      <xdr:row>133</xdr:row>
      <xdr:rowOff>85725</xdr:rowOff>
    </xdr:from>
    <xdr:ext cx="5343525" cy="866775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/>
      </xdr:nvSpPr>
      <xdr:spPr>
        <a:xfrm>
          <a:off x="2679000" y="3351375"/>
          <a:ext cx="5334000" cy="857250"/>
        </a:xfrm>
        <a:prstGeom prst="roundRect">
          <a:avLst>
            <a:gd name="adj" fmla="val 16667"/>
          </a:avLst>
        </a:prstGeom>
        <a:noFill/>
        <a:ln w="12700" cap="flat" cmpd="sng">
          <a:solidFill>
            <a:srgbClr val="0070C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790575</xdr:colOff>
      <xdr:row>142</xdr:row>
      <xdr:rowOff>152400</xdr:rowOff>
    </xdr:from>
    <xdr:ext cx="66675" cy="876300"/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>
        <a:xfrm>
          <a:off x="5317425" y="3346613"/>
          <a:ext cx="57150" cy="866775"/>
        </a:xfrm>
        <a:prstGeom prst="leftBrace">
          <a:avLst>
            <a:gd name="adj1" fmla="val 8333"/>
            <a:gd name="adj2" fmla="val 50000"/>
          </a:avLst>
        </a:prstGeom>
        <a:noFill/>
        <a:ln w="9525" cap="flat" cmpd="sng">
          <a:solidFill>
            <a:srgbClr val="0070C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190500</xdr:colOff>
      <xdr:row>164</xdr:row>
      <xdr:rowOff>85725</xdr:rowOff>
    </xdr:from>
    <xdr:ext cx="5800725" cy="1466850"/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>
          <a:off x="2450400" y="3051338"/>
          <a:ext cx="5791200" cy="1457325"/>
        </a:xfrm>
        <a:prstGeom prst="roundRect">
          <a:avLst>
            <a:gd name="adj" fmla="val 16667"/>
          </a:avLst>
        </a:prstGeom>
        <a:noFill/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180975</xdr:colOff>
      <xdr:row>176</xdr:row>
      <xdr:rowOff>19050</xdr:rowOff>
    </xdr:from>
    <xdr:ext cx="1914525" cy="33337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4393500" y="3618075"/>
          <a:ext cx="190500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628650</xdr:colOff>
      <xdr:row>36</xdr:row>
      <xdr:rowOff>152400</xdr:rowOff>
    </xdr:from>
    <xdr:ext cx="171450" cy="476250"/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/>
      </xdr:nvSpPr>
      <xdr:spPr>
        <a:xfrm>
          <a:off x="5265038" y="3546638"/>
          <a:ext cx="161925" cy="466725"/>
        </a:xfrm>
        <a:prstGeom prst="leftBrace">
          <a:avLst>
            <a:gd name="adj1" fmla="val 8333"/>
            <a:gd name="adj2" fmla="val 50000"/>
          </a:avLst>
        </a:prstGeom>
        <a:noFill/>
        <a:ln w="9525" cap="flat" cmpd="sng">
          <a:solidFill>
            <a:srgbClr val="0070C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771525</xdr:colOff>
      <xdr:row>63</xdr:row>
      <xdr:rowOff>180975</xdr:rowOff>
    </xdr:from>
    <xdr:ext cx="2076450" cy="257175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/>
      </xdr:nvSpPr>
      <xdr:spPr>
        <a:xfrm>
          <a:off x="4312538" y="3656175"/>
          <a:ext cx="2066925" cy="247650"/>
        </a:xfrm>
        <a:prstGeom prst="roundRect">
          <a:avLst>
            <a:gd name="adj" fmla="val 16667"/>
          </a:avLst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495300</xdr:colOff>
      <xdr:row>205</xdr:row>
      <xdr:rowOff>123825</xdr:rowOff>
    </xdr:from>
    <xdr:ext cx="2238375" cy="571500"/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/>
      </xdr:nvSpPr>
      <xdr:spPr>
        <a:xfrm>
          <a:off x="4231575" y="3499013"/>
          <a:ext cx="2228850" cy="561975"/>
        </a:xfrm>
        <a:prstGeom prst="roundRect">
          <a:avLst>
            <a:gd name="adj" fmla="val 16667"/>
          </a:avLst>
        </a:prstGeom>
        <a:noFill/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495300</xdr:colOff>
      <xdr:row>235</xdr:row>
      <xdr:rowOff>123825</xdr:rowOff>
    </xdr:from>
    <xdr:ext cx="2238375" cy="571500"/>
    <xdr:sp macro="" textlink="">
      <xdr:nvSpPr>
        <xdr:cNvPr id="2" name="Shape 4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4231575" y="3499013"/>
          <a:ext cx="2228850" cy="561975"/>
        </a:xfrm>
        <a:prstGeom prst="roundRect">
          <a:avLst>
            <a:gd name="adj" fmla="val 16667"/>
          </a:avLst>
        </a:prstGeom>
        <a:noFill/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9525</xdr:colOff>
      <xdr:row>36</xdr:row>
      <xdr:rowOff>152400</xdr:rowOff>
    </xdr:from>
    <xdr:ext cx="1504950" cy="485775"/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/>
      </xdr:nvSpPr>
      <xdr:spPr>
        <a:xfrm>
          <a:off x="4598288" y="3541875"/>
          <a:ext cx="1495425" cy="476250"/>
        </a:xfrm>
        <a:prstGeom prst="roundRect">
          <a:avLst>
            <a:gd name="adj" fmla="val 16667"/>
          </a:avLst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495300</xdr:colOff>
      <xdr:row>252</xdr:row>
      <xdr:rowOff>123825</xdr:rowOff>
    </xdr:from>
    <xdr:ext cx="2238375" cy="571500"/>
    <xdr:sp macro="" textlink="">
      <xdr:nvSpPr>
        <xdr:cNvPr id="3" name="Shape 4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4231575" y="3499013"/>
          <a:ext cx="2228850" cy="561975"/>
        </a:xfrm>
        <a:prstGeom prst="roundRect">
          <a:avLst>
            <a:gd name="adj" fmla="val 16667"/>
          </a:avLst>
        </a:prstGeom>
        <a:noFill/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438150</xdr:colOff>
      <xdr:row>61</xdr:row>
      <xdr:rowOff>123825</xdr:rowOff>
    </xdr:from>
    <xdr:ext cx="2771775" cy="342900"/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/>
      </xdr:nvSpPr>
      <xdr:spPr>
        <a:xfrm>
          <a:off x="3964875" y="3613313"/>
          <a:ext cx="2762250" cy="333375"/>
        </a:xfrm>
        <a:prstGeom prst="roundRect">
          <a:avLst>
            <a:gd name="adj" fmla="val 16667"/>
          </a:avLst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228600</xdr:colOff>
      <xdr:row>14</xdr:row>
      <xdr:rowOff>133350</xdr:rowOff>
    </xdr:from>
    <xdr:ext cx="2819400" cy="342900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3941063" y="3613313"/>
          <a:ext cx="2809875" cy="333375"/>
        </a:xfrm>
        <a:prstGeom prst="roundRect">
          <a:avLst>
            <a:gd name="adj" fmla="val 16667"/>
          </a:avLst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314325</xdr:colOff>
      <xdr:row>80</xdr:row>
      <xdr:rowOff>0</xdr:rowOff>
    </xdr:from>
    <xdr:ext cx="381000" cy="247650"/>
    <xdr:sp macro="" textlink="">
      <xdr:nvSpPr>
        <xdr:cNvPr id="45" name="Shape 45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/>
      </xdr:nvSpPr>
      <xdr:spPr>
        <a:xfrm>
          <a:off x="5160263" y="3660938"/>
          <a:ext cx="371475" cy="238125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161925</xdr:colOff>
      <xdr:row>114</xdr:row>
      <xdr:rowOff>0</xdr:rowOff>
    </xdr:from>
    <xdr:ext cx="381000" cy="247650"/>
    <xdr:sp macro="" textlink="">
      <xdr:nvSpPr>
        <xdr:cNvPr id="4" name="Shape 45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5160263" y="3660938"/>
          <a:ext cx="371475" cy="238125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800100</xdr:colOff>
      <xdr:row>120</xdr:row>
      <xdr:rowOff>85725</xdr:rowOff>
    </xdr:from>
    <xdr:ext cx="952500" cy="409575"/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/>
      </xdr:nvSpPr>
      <xdr:spPr>
        <a:xfrm>
          <a:off x="4874513" y="3579975"/>
          <a:ext cx="942975" cy="400050"/>
        </a:xfrm>
        <a:prstGeom prst="rightArrow">
          <a:avLst>
            <a:gd name="adj1" fmla="val 50000"/>
            <a:gd name="adj2" fmla="val 50000"/>
          </a:avLst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314325</xdr:colOff>
      <xdr:row>40</xdr:row>
      <xdr:rowOff>85725</xdr:rowOff>
    </xdr:from>
    <xdr:ext cx="371475" cy="238125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5165025" y="3665700"/>
          <a:ext cx="361950" cy="228600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142875</xdr:colOff>
      <xdr:row>2</xdr:row>
      <xdr:rowOff>66675</xdr:rowOff>
    </xdr:from>
    <xdr:ext cx="3028950" cy="2143125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457200</xdr:colOff>
      <xdr:row>70</xdr:row>
      <xdr:rowOff>114300</xdr:rowOff>
    </xdr:from>
    <xdr:ext cx="295275" cy="285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3528060" y="13723620"/>
          <a:ext cx="295275" cy="28575"/>
          <a:chOff x="5198363" y="3765713"/>
          <a:chExt cx="295275" cy="28575"/>
        </a:xfrm>
      </xdr:grpSpPr>
      <xdr:grpSp>
        <xdr:nvGrpSpPr>
          <xdr:cNvPr id="53" name="Shape 53">
            <a:extLst>
              <a:ext uri="{FF2B5EF4-FFF2-40B4-BE49-F238E27FC236}">
                <a16:creationId xmlns:a16="http://schemas.microsoft.com/office/drawing/2014/main" id="{00000000-0008-0000-0300-000035000000}"/>
              </a:ext>
            </a:extLst>
          </xdr:cNvPr>
          <xdr:cNvGrpSpPr/>
        </xdr:nvGrpSpPr>
        <xdr:grpSpPr>
          <a:xfrm>
            <a:off x="5198363" y="3765713"/>
            <a:ext cx="295275" cy="28575"/>
            <a:chOff x="5198363" y="3775238"/>
            <a:chExt cx="295275" cy="9525"/>
          </a:xfrm>
        </xdr:grpSpPr>
        <xdr:sp macro="" textlink="">
          <xdr:nvSpPr>
            <xdr:cNvPr id="54" name="Shape 54">
              <a:extLst>
                <a:ext uri="{FF2B5EF4-FFF2-40B4-BE49-F238E27FC236}">
                  <a16:creationId xmlns:a16="http://schemas.microsoft.com/office/drawing/2014/main" id="{00000000-0008-0000-0300-000036000000}"/>
                </a:ext>
              </a:extLst>
            </xdr:cNvPr>
            <xdr:cNvSpPr/>
          </xdr:nvSpPr>
          <xdr:spPr>
            <a:xfrm>
              <a:off x="5198363" y="3775238"/>
              <a:ext cx="295275" cy="9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5" name="Shape 55">
              <a:extLst>
                <a:ext uri="{FF2B5EF4-FFF2-40B4-BE49-F238E27FC236}">
                  <a16:creationId xmlns:a16="http://schemas.microsoft.com/office/drawing/2014/main" id="{00000000-0008-0000-0300-000037000000}"/>
                </a:ext>
              </a:extLst>
            </xdr:cNvPr>
            <xdr:cNvCxnSpPr/>
          </xdr:nvCxnSpPr>
          <xdr:spPr>
            <a:xfrm flipH="1">
              <a:off x="5198363" y="3775238"/>
              <a:ext cx="295275" cy="9525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3</xdr:col>
      <xdr:colOff>19050</xdr:colOff>
      <xdr:row>70</xdr:row>
      <xdr:rowOff>114300</xdr:rowOff>
    </xdr:from>
    <xdr:ext cx="400050" cy="381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pSpPr/>
      </xdr:nvGrpSpPr>
      <xdr:grpSpPr>
        <a:xfrm>
          <a:off x="2236470" y="13723620"/>
          <a:ext cx="400050" cy="38100"/>
          <a:chOff x="5145975" y="3760950"/>
          <a:chExt cx="400050" cy="38100"/>
        </a:xfrm>
      </xdr:grpSpPr>
      <xdr:grpSp>
        <xdr:nvGrpSpPr>
          <xdr:cNvPr id="56" name="Shape 56">
            <a:extLst>
              <a:ext uri="{FF2B5EF4-FFF2-40B4-BE49-F238E27FC236}">
                <a16:creationId xmlns:a16="http://schemas.microsoft.com/office/drawing/2014/main" id="{00000000-0008-0000-0300-000038000000}"/>
              </a:ext>
            </a:extLst>
          </xdr:cNvPr>
          <xdr:cNvGrpSpPr/>
        </xdr:nvGrpSpPr>
        <xdr:grpSpPr>
          <a:xfrm>
            <a:off x="5145975" y="3760950"/>
            <a:ext cx="400050" cy="38100"/>
            <a:chOff x="5145975" y="3765713"/>
            <a:chExt cx="400050" cy="28575"/>
          </a:xfrm>
        </xdr:grpSpPr>
        <xdr:sp macro="" textlink="">
          <xdr:nvSpPr>
            <xdr:cNvPr id="4" name="Shape 5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5145975" y="3765713"/>
              <a:ext cx="40005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7" name="Shape 57">
              <a:extLst>
                <a:ext uri="{FF2B5EF4-FFF2-40B4-BE49-F238E27FC236}">
                  <a16:creationId xmlns:a16="http://schemas.microsoft.com/office/drawing/2014/main" id="{00000000-0008-0000-0300-000039000000}"/>
                </a:ext>
              </a:extLst>
            </xdr:cNvPr>
            <xdr:cNvCxnSpPr/>
          </xdr:nvCxnSpPr>
          <xdr:spPr>
            <a:xfrm>
              <a:off x="5145975" y="3765713"/>
              <a:ext cx="400050" cy="28575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4</xdr:col>
      <xdr:colOff>161925</xdr:colOff>
      <xdr:row>72</xdr:row>
      <xdr:rowOff>76200</xdr:rowOff>
    </xdr:from>
    <xdr:ext cx="409575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pSpPr/>
      </xdr:nvGrpSpPr>
      <xdr:grpSpPr>
        <a:xfrm>
          <a:off x="3232785" y="14081760"/>
          <a:ext cx="409575" cy="38100"/>
          <a:chOff x="5141213" y="3760950"/>
          <a:chExt cx="409575" cy="38100"/>
        </a:xfrm>
      </xdr:grpSpPr>
      <xdr:grpSp>
        <xdr:nvGrpSpPr>
          <xdr:cNvPr id="58" name="Shape 58">
            <a:extLst>
              <a:ext uri="{FF2B5EF4-FFF2-40B4-BE49-F238E27FC236}">
                <a16:creationId xmlns:a16="http://schemas.microsoft.com/office/drawing/2014/main" id="{00000000-0008-0000-0300-00003A000000}"/>
              </a:ext>
            </a:extLst>
          </xdr:cNvPr>
          <xdr:cNvGrpSpPr/>
        </xdr:nvGrpSpPr>
        <xdr:grpSpPr>
          <a:xfrm>
            <a:off x="5141213" y="3760950"/>
            <a:ext cx="409575" cy="38100"/>
            <a:chOff x="5141213" y="3770475"/>
            <a:chExt cx="409575" cy="19050"/>
          </a:xfrm>
        </xdr:grpSpPr>
        <xdr:sp macro="" textlink="">
          <xdr:nvSpPr>
            <xdr:cNvPr id="6" name="Shape 54">
              <a:extLst>
                <a:ext uri="{FF2B5EF4-FFF2-40B4-BE49-F238E27FC236}">
                  <a16:creationId xmlns:a16="http://schemas.microsoft.com/office/drawing/2014/main" id="{00000000-0008-0000-0300-000006000000}"/>
                </a:ext>
              </a:extLst>
            </xdr:cNvPr>
            <xdr:cNvSpPr/>
          </xdr:nvSpPr>
          <xdr:spPr>
            <a:xfrm>
              <a:off x="5141213" y="3770475"/>
              <a:ext cx="409575" cy="19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9" name="Shape 59">
              <a:extLst>
                <a:ext uri="{FF2B5EF4-FFF2-40B4-BE49-F238E27FC236}">
                  <a16:creationId xmlns:a16="http://schemas.microsoft.com/office/drawing/2014/main" id="{00000000-0008-0000-0300-00003B000000}"/>
                </a:ext>
              </a:extLst>
            </xdr:cNvPr>
            <xdr:cNvCxnSpPr/>
          </xdr:nvCxnSpPr>
          <xdr:spPr>
            <a:xfrm rot="10800000">
              <a:off x="5141213" y="3770475"/>
              <a:ext cx="409575" cy="1905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</xdr:grpSp>
    </xdr:grpSp>
    <xdr:clientData fLocksWithSheet="0"/>
  </xdr:oneCellAnchor>
  <xdr:oneCellAnchor>
    <xdr:from>
      <xdr:col>1</xdr:col>
      <xdr:colOff>695325</xdr:colOff>
      <xdr:row>62</xdr:row>
      <xdr:rowOff>0</xdr:rowOff>
    </xdr:from>
    <xdr:ext cx="123825" cy="3181350"/>
    <xdr:sp macro="" textlink="">
      <xdr:nvSpPr>
        <xdr:cNvPr id="60" name="Shape 60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SpPr/>
      </xdr:nvSpPr>
      <xdr:spPr>
        <a:xfrm>
          <a:off x="5288850" y="2194088"/>
          <a:ext cx="114300" cy="3171825"/>
        </a:xfrm>
        <a:prstGeom prst="leftBrace">
          <a:avLst>
            <a:gd name="adj1" fmla="val 8333"/>
            <a:gd name="adj2" fmla="val 50000"/>
          </a:avLst>
        </a:prstGeom>
        <a:noFill/>
        <a:ln w="9525" cap="flat" cmpd="sng">
          <a:solidFill>
            <a:srgbClr val="0070C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676275</xdr:colOff>
      <xdr:row>79</xdr:row>
      <xdr:rowOff>161925</xdr:rowOff>
    </xdr:from>
    <xdr:ext cx="133350" cy="838200"/>
    <xdr:sp macro="" textlink="">
      <xdr:nvSpPr>
        <xdr:cNvPr id="61" name="Shape 61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SpPr/>
      </xdr:nvSpPr>
      <xdr:spPr>
        <a:xfrm>
          <a:off x="5284088" y="3365663"/>
          <a:ext cx="123825" cy="828675"/>
        </a:xfrm>
        <a:prstGeom prst="leftBrace">
          <a:avLst>
            <a:gd name="adj1" fmla="val 8333"/>
            <a:gd name="adj2" fmla="val 50000"/>
          </a:avLst>
        </a:prstGeom>
        <a:noFill/>
        <a:ln w="9525" cap="flat" cmpd="sng">
          <a:solidFill>
            <a:srgbClr val="0070C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</xdr:col>
      <xdr:colOff>704850</xdr:colOff>
      <xdr:row>86</xdr:row>
      <xdr:rowOff>0</xdr:rowOff>
    </xdr:from>
    <xdr:ext cx="114300" cy="381000"/>
    <xdr:sp macro="" textlink="">
      <xdr:nvSpPr>
        <xdr:cNvPr id="62" name="Shape 62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SpPr/>
      </xdr:nvSpPr>
      <xdr:spPr>
        <a:xfrm>
          <a:off x="5293613" y="3594263"/>
          <a:ext cx="104775" cy="371475"/>
        </a:xfrm>
        <a:prstGeom prst="leftBrace">
          <a:avLst>
            <a:gd name="adj1" fmla="val 8333"/>
            <a:gd name="adj2" fmla="val 50000"/>
          </a:avLst>
        </a:prstGeom>
        <a:noFill/>
        <a:ln w="9525" cap="flat" cmpd="sng">
          <a:solidFill>
            <a:srgbClr val="0070C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647700</xdr:colOff>
      <xdr:row>234</xdr:row>
      <xdr:rowOff>133350</xdr:rowOff>
    </xdr:from>
    <xdr:ext cx="114300" cy="714375"/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/>
      </xdr:nvSpPr>
      <xdr:spPr>
        <a:xfrm>
          <a:off x="5293613" y="3427575"/>
          <a:ext cx="104775" cy="704850"/>
        </a:xfrm>
        <a:prstGeom prst="leftBrace">
          <a:avLst>
            <a:gd name="adj1" fmla="val 8333"/>
            <a:gd name="adj2" fmla="val 50000"/>
          </a:avLst>
        </a:prstGeom>
        <a:noFill/>
        <a:ln w="9525" cap="flat" cmpd="sng">
          <a:solidFill>
            <a:srgbClr val="0070C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180975</xdr:colOff>
      <xdr:row>273</xdr:row>
      <xdr:rowOff>19050</xdr:rowOff>
    </xdr:from>
    <xdr:ext cx="1914525" cy="33337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 txBox="1"/>
      </xdr:nvSpPr>
      <xdr:spPr>
        <a:xfrm>
          <a:off x="4393500" y="3618075"/>
          <a:ext cx="190500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9525</xdr:colOff>
      <xdr:row>149</xdr:row>
      <xdr:rowOff>0</xdr:rowOff>
    </xdr:from>
    <xdr:ext cx="1447800" cy="581025"/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SpPr/>
      </xdr:nvSpPr>
      <xdr:spPr>
        <a:xfrm>
          <a:off x="4626863" y="3494250"/>
          <a:ext cx="1438275" cy="571500"/>
        </a:xfrm>
        <a:prstGeom prst="roundRect">
          <a:avLst>
            <a:gd name="adj" fmla="val 16667"/>
          </a:avLst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190500</xdr:colOff>
      <xdr:row>154</xdr:row>
      <xdr:rowOff>9525</xdr:rowOff>
    </xdr:from>
    <xdr:ext cx="114300" cy="371475"/>
    <xdr:sp macro="" textlink="">
      <xdr:nvSpPr>
        <xdr:cNvPr id="64" name="Shape 64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SpPr/>
      </xdr:nvSpPr>
      <xdr:spPr>
        <a:xfrm>
          <a:off x="5293613" y="3599025"/>
          <a:ext cx="104775" cy="361950"/>
        </a:xfrm>
        <a:prstGeom prst="leftBrace">
          <a:avLst>
            <a:gd name="adj1" fmla="val 8333"/>
            <a:gd name="adj2" fmla="val 50000"/>
          </a:avLst>
        </a:prstGeom>
        <a:noFill/>
        <a:ln w="9525" cap="flat" cmpd="sng">
          <a:solidFill>
            <a:srgbClr val="0070C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9525</xdr:colOff>
      <xdr:row>152</xdr:row>
      <xdr:rowOff>57150</xdr:rowOff>
    </xdr:from>
    <xdr:ext cx="5715000" cy="828675"/>
    <xdr:sp macro="" textlink="">
      <xdr:nvSpPr>
        <xdr:cNvPr id="65" name="Shape 65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SpPr/>
      </xdr:nvSpPr>
      <xdr:spPr>
        <a:xfrm>
          <a:off x="2493263" y="3370425"/>
          <a:ext cx="5705475" cy="819150"/>
        </a:xfrm>
        <a:prstGeom prst="roundRect">
          <a:avLst>
            <a:gd name="adj" fmla="val 16667"/>
          </a:avLst>
        </a:prstGeom>
        <a:noFill/>
        <a:ln w="12700" cap="flat" cmpd="sng">
          <a:solidFill>
            <a:srgbClr val="0070C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247650</xdr:colOff>
      <xdr:row>183</xdr:row>
      <xdr:rowOff>142875</xdr:rowOff>
    </xdr:from>
    <xdr:ext cx="4552950" cy="819150"/>
    <xdr:sp macro="" textlink="">
      <xdr:nvSpPr>
        <xdr:cNvPr id="66" name="Shape 66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SpPr/>
      </xdr:nvSpPr>
      <xdr:spPr>
        <a:xfrm>
          <a:off x="3074288" y="3375188"/>
          <a:ext cx="4543425" cy="809625"/>
        </a:xfrm>
        <a:prstGeom prst="roundRect">
          <a:avLst>
            <a:gd name="adj" fmla="val 16667"/>
          </a:avLst>
        </a:prstGeom>
        <a:noFill/>
        <a:ln w="12700" cap="flat" cmpd="sng">
          <a:solidFill>
            <a:srgbClr val="0070C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161925</xdr:colOff>
      <xdr:row>212</xdr:row>
      <xdr:rowOff>142875</xdr:rowOff>
    </xdr:from>
    <xdr:ext cx="4552950" cy="819150"/>
    <xdr:sp macro="" textlink="">
      <xdr:nvSpPr>
        <xdr:cNvPr id="7" name="Shape 6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3074288" y="3375188"/>
          <a:ext cx="4543425" cy="809625"/>
        </a:xfrm>
        <a:prstGeom prst="roundRect">
          <a:avLst>
            <a:gd name="adj" fmla="val 16667"/>
          </a:avLst>
        </a:prstGeom>
        <a:noFill/>
        <a:ln w="12700" cap="flat" cmpd="sng">
          <a:solidFill>
            <a:srgbClr val="0070C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514350</xdr:colOff>
      <xdr:row>264</xdr:row>
      <xdr:rowOff>57150</xdr:rowOff>
    </xdr:from>
    <xdr:ext cx="3657600" cy="1123950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SpPr/>
      </xdr:nvSpPr>
      <xdr:spPr>
        <a:xfrm>
          <a:off x="3521963" y="3222788"/>
          <a:ext cx="3648075" cy="1114425"/>
        </a:xfrm>
        <a:prstGeom prst="roundRect">
          <a:avLst>
            <a:gd name="adj" fmla="val 16667"/>
          </a:avLst>
        </a:prstGeom>
        <a:noFill/>
        <a:ln w="12700" cap="flat" cmpd="sng">
          <a:solidFill>
            <a:srgbClr val="0070C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733425</xdr:colOff>
      <xdr:row>58</xdr:row>
      <xdr:rowOff>123825</xdr:rowOff>
    </xdr:from>
    <xdr:ext cx="2781300" cy="352425"/>
    <xdr:sp macro="" textlink="">
      <xdr:nvSpPr>
        <xdr:cNvPr id="68" name="Shape 68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SpPr/>
      </xdr:nvSpPr>
      <xdr:spPr>
        <a:xfrm>
          <a:off x="3960113" y="3608550"/>
          <a:ext cx="2771775" cy="342900"/>
        </a:xfrm>
        <a:prstGeom prst="roundRect">
          <a:avLst>
            <a:gd name="adj" fmla="val 16667"/>
          </a:avLst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771525</xdr:colOff>
      <xdr:row>99</xdr:row>
      <xdr:rowOff>171450</xdr:rowOff>
    </xdr:from>
    <xdr:ext cx="2228850" cy="257175"/>
    <xdr:sp macro="" textlink="">
      <xdr:nvSpPr>
        <xdr:cNvPr id="69" name="Shape 69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SpPr/>
      </xdr:nvSpPr>
      <xdr:spPr>
        <a:xfrm>
          <a:off x="4236338" y="3656175"/>
          <a:ext cx="2219325" cy="247650"/>
        </a:xfrm>
        <a:prstGeom prst="roundRect">
          <a:avLst>
            <a:gd name="adj" fmla="val 16667"/>
          </a:avLst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438150</xdr:colOff>
      <xdr:row>97</xdr:row>
      <xdr:rowOff>123825</xdr:rowOff>
    </xdr:from>
    <xdr:ext cx="2847975" cy="342900"/>
    <xdr:sp macro="" textlink="">
      <xdr:nvSpPr>
        <xdr:cNvPr id="70" name="Shape 70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SpPr/>
      </xdr:nvSpPr>
      <xdr:spPr>
        <a:xfrm>
          <a:off x="3926775" y="3613313"/>
          <a:ext cx="2838450" cy="333375"/>
        </a:xfrm>
        <a:prstGeom prst="roundRect">
          <a:avLst>
            <a:gd name="adj" fmla="val 16667"/>
          </a:avLst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180975</xdr:colOff>
      <xdr:row>109</xdr:row>
      <xdr:rowOff>0</xdr:rowOff>
    </xdr:from>
    <xdr:ext cx="495300" cy="247650"/>
    <xdr:sp macro="" textlink="">
      <xdr:nvSpPr>
        <xdr:cNvPr id="71" name="Shape 71"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SpPr/>
      </xdr:nvSpPr>
      <xdr:spPr>
        <a:xfrm>
          <a:off x="5103113" y="3660938"/>
          <a:ext cx="485775" cy="238125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142875</xdr:colOff>
      <xdr:row>143</xdr:row>
      <xdr:rowOff>0</xdr:rowOff>
    </xdr:from>
    <xdr:ext cx="495300" cy="238125"/>
    <xdr:sp macro="" textlink="">
      <xdr:nvSpPr>
        <xdr:cNvPr id="72" name="Shape 72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SpPr/>
      </xdr:nvSpPr>
      <xdr:spPr>
        <a:xfrm>
          <a:off x="5103113" y="3665700"/>
          <a:ext cx="485775" cy="228600"/>
        </a:xfrm>
        <a:prstGeom prst="right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42719B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400050</xdr:colOff>
      <xdr:row>289</xdr:row>
      <xdr:rowOff>123825</xdr:rowOff>
    </xdr:from>
    <xdr:ext cx="2314575" cy="571500"/>
    <xdr:sp macro="" textlink="">
      <xdr:nvSpPr>
        <xdr:cNvPr id="73" name="Shape 73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SpPr/>
      </xdr:nvSpPr>
      <xdr:spPr>
        <a:xfrm>
          <a:off x="4193475" y="3499013"/>
          <a:ext cx="2305050" cy="561975"/>
        </a:xfrm>
        <a:prstGeom prst="roundRect">
          <a:avLst>
            <a:gd name="adj" fmla="val 16667"/>
          </a:avLst>
        </a:prstGeom>
        <a:noFill/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400050</xdr:colOff>
      <xdr:row>314</xdr:row>
      <xdr:rowOff>123825</xdr:rowOff>
    </xdr:from>
    <xdr:ext cx="2314575" cy="571500"/>
    <xdr:sp macro="" textlink="">
      <xdr:nvSpPr>
        <xdr:cNvPr id="8" name="Shape 73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4193475" y="3499013"/>
          <a:ext cx="2305050" cy="561975"/>
        </a:xfrm>
        <a:prstGeom prst="roundRect">
          <a:avLst>
            <a:gd name="adj" fmla="val 16667"/>
          </a:avLst>
        </a:prstGeom>
        <a:noFill/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400050</xdr:colOff>
      <xdr:row>328</xdr:row>
      <xdr:rowOff>123825</xdr:rowOff>
    </xdr:from>
    <xdr:ext cx="2314575" cy="571500"/>
    <xdr:sp macro="" textlink="">
      <xdr:nvSpPr>
        <xdr:cNvPr id="9" name="Shape 73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4193475" y="3499013"/>
          <a:ext cx="2305050" cy="561975"/>
        </a:xfrm>
        <a:prstGeom prst="roundRect">
          <a:avLst>
            <a:gd name="adj" fmla="val 16667"/>
          </a:avLst>
        </a:prstGeom>
        <a:noFill/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19050</xdr:colOff>
      <xdr:row>162</xdr:row>
      <xdr:rowOff>9525</xdr:rowOff>
    </xdr:from>
    <xdr:ext cx="4152900" cy="1533525"/>
    <xdr:pic>
      <xdr:nvPicPr>
        <xdr:cNvPr id="10" name="image4.png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191</xdr:row>
      <xdr:rowOff>47625</xdr:rowOff>
    </xdr:from>
    <xdr:ext cx="3867150" cy="1695450"/>
    <xdr:pic>
      <xdr:nvPicPr>
        <xdr:cNvPr id="11" name="image5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15</xdr:row>
      <xdr:rowOff>9525</xdr:rowOff>
    </xdr:from>
    <xdr:ext cx="3295650" cy="2724150"/>
    <xdr:pic>
      <xdr:nvPicPr>
        <xdr:cNvPr id="12" name="image7.png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31</xdr:row>
      <xdr:rowOff>28575</xdr:rowOff>
    </xdr:from>
    <xdr:ext cx="3286125" cy="2714625"/>
    <xdr:pic>
      <xdr:nvPicPr>
        <xdr:cNvPr id="14" name="image6.png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390525</xdr:colOff>
      <xdr:row>47</xdr:row>
      <xdr:rowOff>47625</xdr:rowOff>
    </xdr:from>
    <xdr:ext cx="3352800" cy="685800"/>
    <xdr:pic>
      <xdr:nvPicPr>
        <xdr:cNvPr id="15" name="image8.png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495300</xdr:colOff>
      <xdr:row>51</xdr:row>
      <xdr:rowOff>9525</xdr:rowOff>
    </xdr:from>
    <xdr:ext cx="3286125" cy="1171575"/>
    <xdr:pic>
      <xdr:nvPicPr>
        <xdr:cNvPr id="16" name="image9.png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69</xdr:row>
      <xdr:rowOff>95250</xdr:rowOff>
    </xdr:from>
    <xdr:ext cx="1114425" cy="733425"/>
    <xdr:pic>
      <xdr:nvPicPr>
        <xdr:cNvPr id="17" name="image11.png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657225</xdr:colOff>
      <xdr:row>2</xdr:row>
      <xdr:rowOff>28575</xdr:rowOff>
    </xdr:from>
    <xdr:ext cx="3371850" cy="1971675"/>
    <xdr:pic>
      <xdr:nvPicPr>
        <xdr:cNvPr id="18" name="image10.png" title="Imagen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148C8"/>
  </sheetPr>
  <dimension ref="A1:R1000"/>
  <sheetViews>
    <sheetView tabSelected="1" topLeftCell="A255" workbookViewId="0">
      <selection activeCell="J264" sqref="J264"/>
    </sheetView>
  </sheetViews>
  <sheetFormatPr baseColWidth="10" defaultColWidth="14.44140625" defaultRowHeight="15" customHeight="1"/>
  <cols>
    <col min="1" max="1" width="7.6640625" customWidth="1"/>
    <col min="2" max="2" width="11.44140625" customWidth="1"/>
    <col min="3" max="3" width="12.6640625" customWidth="1"/>
    <col min="4" max="4" width="12" customWidth="1"/>
    <col min="5" max="5" width="12.6640625" customWidth="1"/>
    <col min="6" max="6" width="13.44140625" customWidth="1"/>
    <col min="7" max="7" width="11.5546875" customWidth="1"/>
    <col min="8" max="8" width="11.44140625" customWidth="1"/>
    <col min="9" max="26" width="10.6640625" customWidth="1"/>
  </cols>
  <sheetData>
    <row r="1" spans="1:9" ht="15" customHeight="1">
      <c r="A1" s="135"/>
      <c r="B1" s="383" t="s">
        <v>129</v>
      </c>
      <c r="C1" s="384"/>
      <c r="D1" s="384"/>
      <c r="E1" s="384"/>
      <c r="F1" s="384"/>
      <c r="G1" s="385"/>
      <c r="H1" s="4"/>
      <c r="I1" s="4"/>
    </row>
    <row r="2" spans="1:9" ht="15" customHeight="1">
      <c r="A2" s="135"/>
      <c r="B2" s="386"/>
      <c r="C2" s="387"/>
      <c r="D2" s="387"/>
      <c r="E2" s="387"/>
      <c r="F2" s="387"/>
      <c r="G2" s="388"/>
      <c r="H2" s="4"/>
      <c r="I2" s="4"/>
    </row>
    <row r="3" spans="1:9" ht="15" customHeight="1">
      <c r="A3" s="135"/>
      <c r="B3" s="3"/>
      <c r="C3" s="3"/>
      <c r="D3" s="3"/>
      <c r="E3" s="3"/>
      <c r="F3" s="3"/>
      <c r="G3" s="3"/>
      <c r="H3" s="4"/>
      <c r="I3" s="4"/>
    </row>
    <row r="4" spans="1:9" ht="15" customHeight="1">
      <c r="A4" s="135"/>
      <c r="B4" s="3"/>
      <c r="C4" s="3"/>
      <c r="D4" s="3"/>
      <c r="E4" s="3"/>
      <c r="F4" s="3"/>
      <c r="G4" s="3"/>
      <c r="H4" s="4"/>
      <c r="I4" s="4"/>
    </row>
    <row r="5" spans="1:9" ht="15" customHeight="1">
      <c r="A5" s="135"/>
      <c r="B5" s="3"/>
      <c r="C5" s="3"/>
      <c r="D5" s="3"/>
      <c r="E5" s="3"/>
      <c r="F5" s="3"/>
      <c r="G5" s="3"/>
      <c r="H5" s="4"/>
      <c r="I5" s="4"/>
    </row>
    <row r="6" spans="1:9" ht="15" customHeight="1">
      <c r="A6" s="135"/>
      <c r="B6" s="3"/>
      <c r="C6" s="3"/>
      <c r="D6" s="3"/>
      <c r="E6" s="3"/>
      <c r="F6" s="3"/>
      <c r="G6" s="3"/>
      <c r="H6" s="4"/>
      <c r="I6" s="4"/>
    </row>
    <row r="7" spans="1:9" ht="15" customHeight="1">
      <c r="A7" s="135"/>
      <c r="B7" s="3"/>
      <c r="C7" s="3"/>
      <c r="D7" s="3"/>
      <c r="E7" s="3"/>
      <c r="F7" s="3"/>
      <c r="G7" s="3"/>
      <c r="H7" s="4"/>
      <c r="I7" s="4"/>
    </row>
    <row r="8" spans="1:9" ht="15" customHeight="1">
      <c r="A8" s="135"/>
      <c r="B8" s="3"/>
      <c r="C8" s="3"/>
      <c r="D8" s="3"/>
      <c r="E8" s="3"/>
      <c r="F8" s="3"/>
      <c r="G8" s="3"/>
      <c r="H8" s="4"/>
      <c r="I8" s="4"/>
    </row>
    <row r="9" spans="1:9" ht="15" customHeight="1">
      <c r="A9" s="135"/>
      <c r="B9" s="3"/>
      <c r="C9" s="3"/>
      <c r="D9" s="3"/>
      <c r="E9" s="3"/>
      <c r="F9" s="3"/>
      <c r="G9" s="3"/>
      <c r="H9" s="4"/>
      <c r="I9" s="4"/>
    </row>
    <row r="10" spans="1:9" ht="15" customHeight="1">
      <c r="A10" s="135"/>
      <c r="B10" s="3"/>
      <c r="C10" s="3"/>
      <c r="D10" s="3"/>
      <c r="E10" s="3"/>
      <c r="F10" s="3"/>
      <c r="G10" s="3"/>
      <c r="H10" s="4"/>
      <c r="I10" s="4"/>
    </row>
    <row r="11" spans="1:9" ht="15" customHeight="1">
      <c r="A11" s="135"/>
      <c r="B11" s="3"/>
      <c r="C11" s="3"/>
      <c r="D11" s="3"/>
      <c r="E11" s="3"/>
      <c r="F11" s="3"/>
      <c r="G11" s="3"/>
      <c r="H11" s="4"/>
      <c r="I11" s="4"/>
    </row>
    <row r="12" spans="1:9" ht="15" customHeight="1">
      <c r="A12" s="135"/>
      <c r="B12" s="3"/>
      <c r="C12" s="3"/>
      <c r="D12" s="3"/>
      <c r="E12" s="3"/>
      <c r="F12" s="3"/>
      <c r="G12" s="3"/>
      <c r="H12" s="4"/>
      <c r="I12" s="4"/>
    </row>
    <row r="13" spans="1:9" ht="14.4">
      <c r="A13" s="4"/>
      <c r="B13" s="4"/>
      <c r="C13" s="4"/>
      <c r="D13" s="4"/>
      <c r="E13" s="4"/>
      <c r="F13" s="4"/>
      <c r="G13" s="4"/>
      <c r="H13" s="4"/>
      <c r="I13" s="4"/>
    </row>
    <row r="14" spans="1:9" ht="14.4">
      <c r="A14" s="4"/>
      <c r="B14" s="4"/>
      <c r="C14" s="4"/>
      <c r="D14" s="4"/>
      <c r="E14" s="4"/>
      <c r="F14" s="4"/>
      <c r="G14" s="4"/>
      <c r="H14" s="4"/>
      <c r="I14" s="4"/>
    </row>
    <row r="15" spans="1:9" ht="15.6">
      <c r="A15" s="360" t="s">
        <v>0</v>
      </c>
      <c r="B15" s="361"/>
      <c r="C15" s="362"/>
      <c r="D15" s="4"/>
      <c r="E15" s="136"/>
      <c r="F15" s="136"/>
      <c r="G15" s="136"/>
      <c r="H15" s="136"/>
      <c r="I15" s="4"/>
    </row>
    <row r="16" spans="1:9" ht="14.4">
      <c r="A16" s="4"/>
      <c r="B16" s="4"/>
      <c r="C16" s="4"/>
      <c r="D16" s="4"/>
      <c r="E16" s="389" t="s">
        <v>130</v>
      </c>
      <c r="F16" s="290"/>
      <c r="G16" s="290"/>
      <c r="H16" s="291"/>
      <c r="I16" s="4"/>
    </row>
    <row r="17" spans="1:10" ht="15.6">
      <c r="A17" s="48" t="s">
        <v>131</v>
      </c>
      <c r="B17" s="4"/>
      <c r="C17" s="4"/>
      <c r="D17" s="4"/>
      <c r="E17" s="4"/>
      <c r="F17" s="4"/>
      <c r="G17" s="4"/>
      <c r="H17" s="4"/>
      <c r="I17" s="4"/>
    </row>
    <row r="18" spans="1:10" ht="15.6">
      <c r="A18" s="48"/>
      <c r="B18" s="4"/>
      <c r="C18" s="4"/>
      <c r="D18" s="4"/>
      <c r="E18" s="4"/>
      <c r="F18" s="4"/>
      <c r="G18" s="4"/>
      <c r="H18" s="4"/>
      <c r="I18" s="4"/>
    </row>
    <row r="19" spans="1:10" ht="14.4">
      <c r="A19" s="4"/>
      <c r="B19" s="137" t="s">
        <v>132</v>
      </c>
      <c r="C19" s="138"/>
      <c r="D19" s="138"/>
      <c r="E19" s="6"/>
      <c r="F19" s="4"/>
      <c r="G19" s="4"/>
      <c r="H19" s="4"/>
      <c r="I19" s="4"/>
      <c r="J19" s="4"/>
    </row>
    <row r="20" spans="1:10" ht="14.4">
      <c r="A20" s="4"/>
      <c r="B20" s="4"/>
      <c r="C20" s="4"/>
      <c r="D20" s="4"/>
      <c r="E20" s="4"/>
      <c r="F20" s="4"/>
      <c r="G20" s="4"/>
      <c r="H20" s="4"/>
      <c r="I20" s="4"/>
    </row>
    <row r="21" spans="1:10" ht="15.75" customHeight="1">
      <c r="A21" s="4"/>
      <c r="B21" s="4"/>
      <c r="C21" s="12" t="s">
        <v>133</v>
      </c>
      <c r="D21" s="12"/>
      <c r="E21" s="12"/>
      <c r="F21" s="12"/>
      <c r="G21" s="12"/>
      <c r="H21" s="12"/>
      <c r="I21" s="12"/>
    </row>
    <row r="22" spans="1:10" ht="15" customHeight="1">
      <c r="A22" s="4"/>
      <c r="B22" s="404" t="s">
        <v>134</v>
      </c>
      <c r="C22" s="390" t="s">
        <v>135</v>
      </c>
      <c r="D22" s="390" t="s">
        <v>9</v>
      </c>
      <c r="E22" s="391" t="s">
        <v>136</v>
      </c>
      <c r="F22" s="346"/>
      <c r="G22" s="346"/>
      <c r="H22" s="298"/>
      <c r="I22" s="4"/>
    </row>
    <row r="23" spans="1:10" ht="15.75" customHeight="1">
      <c r="A23" s="4"/>
      <c r="B23" s="405"/>
      <c r="C23" s="305"/>
      <c r="D23" s="305"/>
      <c r="E23" s="390" t="s">
        <v>137</v>
      </c>
      <c r="F23" s="390" t="s">
        <v>138</v>
      </c>
      <c r="G23" s="390" t="s">
        <v>139</v>
      </c>
      <c r="H23" s="401" t="s">
        <v>140</v>
      </c>
      <c r="I23" s="4"/>
    </row>
    <row r="24" spans="1:10" ht="15.75" customHeight="1">
      <c r="A24" s="4"/>
      <c r="B24" s="405"/>
      <c r="C24" s="306"/>
      <c r="D24" s="306"/>
      <c r="E24" s="306"/>
      <c r="F24" s="306"/>
      <c r="G24" s="306"/>
      <c r="H24" s="306"/>
      <c r="I24" s="4"/>
    </row>
    <row r="25" spans="1:10" ht="15" customHeight="1">
      <c r="A25" s="9"/>
      <c r="B25" s="405"/>
      <c r="C25" s="36" t="s">
        <v>141</v>
      </c>
      <c r="D25" s="37">
        <v>0.8</v>
      </c>
      <c r="E25" s="38">
        <v>3.7</v>
      </c>
      <c r="F25" s="7">
        <v>0.85</v>
      </c>
      <c r="G25" s="8">
        <v>0.4</v>
      </c>
      <c r="H25" s="7">
        <v>0.13</v>
      </c>
      <c r="I25" s="4"/>
    </row>
    <row r="26" spans="1:10" ht="15.75" customHeight="1">
      <c r="A26" s="9"/>
      <c r="B26" s="405"/>
      <c r="C26" s="36" t="s">
        <v>142</v>
      </c>
      <c r="D26" s="37">
        <v>0.8</v>
      </c>
      <c r="E26" s="7">
        <v>2.9</v>
      </c>
      <c r="F26" s="7">
        <v>0.83</v>
      </c>
      <c r="G26" s="7">
        <v>0.48</v>
      </c>
      <c r="H26" s="8">
        <v>0.1</v>
      </c>
      <c r="I26" s="4"/>
    </row>
    <row r="27" spans="1:10" ht="15.75" customHeight="1">
      <c r="A27" s="9"/>
      <c r="B27" s="405"/>
      <c r="C27" s="126" t="s">
        <v>143</v>
      </c>
      <c r="D27" s="20"/>
      <c r="E27" s="40"/>
      <c r="F27" s="4"/>
      <c r="G27" s="4"/>
      <c r="H27" s="4"/>
      <c r="I27" s="4"/>
    </row>
    <row r="28" spans="1:10" ht="15.75" customHeight="1">
      <c r="A28" s="9"/>
      <c r="B28" s="405"/>
      <c r="C28" s="11"/>
      <c r="D28" s="20"/>
      <c r="E28" s="40"/>
      <c r="F28" s="4"/>
      <c r="G28" s="4"/>
      <c r="H28" s="4"/>
      <c r="I28" s="4"/>
    </row>
    <row r="29" spans="1:10" ht="15.75" customHeight="1">
      <c r="A29" s="41"/>
      <c r="B29" s="406"/>
      <c r="C29" s="4" t="s">
        <v>144</v>
      </c>
      <c r="D29" s="4"/>
      <c r="E29" s="4"/>
      <c r="F29" s="42" t="s">
        <v>142</v>
      </c>
      <c r="G29" s="392" t="s">
        <v>145</v>
      </c>
      <c r="H29" s="353"/>
      <c r="I29" s="4"/>
      <c r="J29" s="4"/>
    </row>
    <row r="30" spans="1:10" ht="15.75" customHeight="1">
      <c r="A30" s="4"/>
      <c r="B30" s="18"/>
      <c r="C30" s="4"/>
      <c r="D30" s="4"/>
      <c r="E30" s="33"/>
      <c r="F30" s="4"/>
      <c r="G30" s="354"/>
      <c r="H30" s="355"/>
      <c r="I30" s="4"/>
    </row>
    <row r="31" spans="1:10" ht="15.75" customHeight="1">
      <c r="A31" s="4"/>
      <c r="B31" s="4"/>
      <c r="C31" s="4"/>
      <c r="D31" s="4"/>
      <c r="E31" s="4"/>
      <c r="F31" s="4"/>
      <c r="G31" s="4"/>
      <c r="H31" s="4"/>
      <c r="I31" s="4"/>
    </row>
    <row r="32" spans="1:10" ht="15" customHeight="1">
      <c r="A32" s="4"/>
      <c r="B32" s="404" t="s">
        <v>2</v>
      </c>
      <c r="C32" s="4"/>
      <c r="D32" s="4"/>
      <c r="E32" s="4"/>
      <c r="F32" s="4"/>
      <c r="G32" s="4"/>
      <c r="H32" s="4"/>
      <c r="I32" s="4"/>
    </row>
    <row r="33" spans="1:9" ht="15" customHeight="1">
      <c r="A33" s="4"/>
      <c r="B33" s="405"/>
      <c r="C33" s="4" t="s">
        <v>146</v>
      </c>
      <c r="D33" s="4"/>
      <c r="E33" s="4"/>
      <c r="F33" s="19">
        <v>0.05</v>
      </c>
      <c r="G33" s="4"/>
      <c r="H33" s="4"/>
      <c r="I33" s="4"/>
    </row>
    <row r="34" spans="1:9" ht="15.75" customHeight="1">
      <c r="A34" s="4"/>
      <c r="B34" s="406"/>
      <c r="C34" s="9"/>
      <c r="D34" s="4"/>
      <c r="E34" s="4"/>
      <c r="F34" s="4"/>
      <c r="G34" s="4"/>
      <c r="H34" s="4"/>
      <c r="I34" s="4"/>
    </row>
    <row r="35" spans="1:9" ht="15.75" customHeight="1">
      <c r="A35" s="4"/>
      <c r="B35" s="18"/>
      <c r="C35" s="9"/>
      <c r="D35" s="4"/>
      <c r="E35" s="4"/>
      <c r="F35" s="4"/>
      <c r="G35" s="4"/>
      <c r="H35" s="4"/>
      <c r="I35" s="4"/>
    </row>
    <row r="36" spans="1:9" ht="15.75" customHeight="1">
      <c r="A36" s="4"/>
      <c r="B36" s="137" t="s">
        <v>3</v>
      </c>
      <c r="C36" s="138"/>
      <c r="D36" s="138"/>
      <c r="E36" s="4"/>
      <c r="F36" s="4"/>
      <c r="G36" s="4"/>
      <c r="H36" s="4"/>
      <c r="I36" s="4"/>
    </row>
    <row r="37" spans="1:9" ht="15.75" customHeight="1">
      <c r="A37" s="4"/>
      <c r="B37" s="4"/>
      <c r="C37" s="4"/>
      <c r="D37" s="4"/>
      <c r="E37" s="4"/>
      <c r="F37" s="4"/>
      <c r="G37" s="402" t="s">
        <v>147</v>
      </c>
      <c r="H37" s="353"/>
      <c r="I37" s="4"/>
    </row>
    <row r="38" spans="1:9" ht="15" customHeight="1">
      <c r="A38" s="4"/>
      <c r="B38" s="24" t="s">
        <v>4</v>
      </c>
      <c r="C38" s="12" t="s">
        <v>5</v>
      </c>
      <c r="D38" s="4"/>
      <c r="E38" s="34">
        <v>0.24</v>
      </c>
      <c r="F38" s="4" t="s">
        <v>148</v>
      </c>
      <c r="G38" s="357"/>
      <c r="H38" s="358"/>
      <c r="I38" s="4"/>
    </row>
    <row r="39" spans="1:9" ht="15.75" customHeight="1">
      <c r="A39" s="4"/>
      <c r="B39" s="26" t="s">
        <v>6</v>
      </c>
      <c r="C39" s="12" t="s">
        <v>7</v>
      </c>
      <c r="D39" s="4"/>
      <c r="E39" s="25">
        <v>8.0000000000000002E-3</v>
      </c>
      <c r="F39" s="4" t="s">
        <v>149</v>
      </c>
      <c r="G39" s="357"/>
      <c r="H39" s="358"/>
      <c r="I39" s="4"/>
    </row>
    <row r="40" spans="1:9" ht="15.75" customHeight="1">
      <c r="A40" s="4"/>
      <c r="B40" s="4"/>
      <c r="C40" s="4"/>
      <c r="D40" s="4"/>
      <c r="E40" s="4"/>
      <c r="F40" s="4"/>
      <c r="G40" s="354"/>
      <c r="H40" s="355"/>
      <c r="I40" s="4"/>
    </row>
    <row r="41" spans="1:9" ht="15" customHeight="1">
      <c r="A41" s="4"/>
      <c r="B41" s="4"/>
      <c r="C41" s="15" t="s">
        <v>150</v>
      </c>
      <c r="D41" s="4"/>
      <c r="E41" s="4"/>
      <c r="F41" s="4"/>
      <c r="G41" s="27" t="s">
        <v>6</v>
      </c>
      <c r="H41" s="403" t="s">
        <v>151</v>
      </c>
      <c r="I41" s="353"/>
    </row>
    <row r="42" spans="1:9" ht="15.75" customHeight="1">
      <c r="A42" s="4"/>
      <c r="B42" s="4"/>
      <c r="C42" s="15" t="s">
        <v>152</v>
      </c>
      <c r="D42" s="4"/>
      <c r="E42" s="4"/>
      <c r="F42" s="4"/>
      <c r="G42" s="27" t="s">
        <v>6</v>
      </c>
      <c r="H42" s="354"/>
      <c r="I42" s="355"/>
    </row>
    <row r="43" spans="1:9" ht="15.75" customHeight="1">
      <c r="A43" s="4"/>
      <c r="B43" s="4"/>
      <c r="C43" s="15"/>
      <c r="D43" s="4"/>
      <c r="E43" s="4"/>
      <c r="F43" s="4"/>
      <c r="G43" s="28"/>
      <c r="H43" s="29"/>
      <c r="I43" s="29"/>
    </row>
    <row r="44" spans="1:9" ht="15.75" customHeight="1">
      <c r="A44" s="4"/>
      <c r="B44" s="4"/>
      <c r="C44" s="139" t="s">
        <v>8</v>
      </c>
      <c r="D44" s="4"/>
      <c r="E44" s="4"/>
      <c r="F44" s="4"/>
      <c r="G44" s="4"/>
      <c r="H44" s="4"/>
      <c r="I44" s="4"/>
    </row>
    <row r="45" spans="1:9" ht="15.75" customHeight="1">
      <c r="A45" s="4"/>
      <c r="B45" s="5"/>
      <c r="C45" s="4"/>
      <c r="D45" s="4"/>
      <c r="E45" s="4"/>
      <c r="F45" s="4"/>
      <c r="G45" s="4"/>
      <c r="H45" s="4"/>
      <c r="I45" s="4"/>
    </row>
    <row r="46" spans="1:9" ht="15.75" customHeight="1">
      <c r="A46" s="4"/>
      <c r="B46" s="5"/>
      <c r="C46" s="4"/>
      <c r="D46" s="4"/>
      <c r="E46" s="4"/>
      <c r="F46" s="4"/>
      <c r="G46" s="4"/>
      <c r="H46" s="4"/>
      <c r="I46" s="4"/>
    </row>
    <row r="47" spans="1:9" ht="15.75" customHeight="1">
      <c r="A47" s="48" t="s">
        <v>153</v>
      </c>
      <c r="B47" s="4"/>
      <c r="C47" s="4"/>
      <c r="D47" s="4"/>
      <c r="E47" s="4"/>
      <c r="F47" s="4"/>
      <c r="G47" s="4"/>
      <c r="H47" s="4"/>
      <c r="I47" s="4"/>
    </row>
    <row r="48" spans="1:9" ht="15.75" customHeight="1">
      <c r="A48" s="45"/>
      <c r="B48" s="46" t="s">
        <v>12</v>
      </c>
      <c r="C48" s="46">
        <v>8</v>
      </c>
      <c r="D48" s="15" t="s">
        <v>13</v>
      </c>
      <c r="E48" s="4"/>
      <c r="F48" s="4"/>
      <c r="G48" s="4"/>
      <c r="H48" s="4"/>
      <c r="I48" s="4"/>
    </row>
    <row r="49" spans="1:9" ht="15.75" customHeight="1">
      <c r="A49" s="394" t="s">
        <v>14</v>
      </c>
      <c r="B49" s="342"/>
      <c r="C49" s="342"/>
      <c r="D49" s="342"/>
      <c r="E49" s="342"/>
      <c r="F49" s="342"/>
      <c r="G49" s="342"/>
      <c r="H49" s="337"/>
      <c r="I49" s="4"/>
    </row>
    <row r="50" spans="1:9" ht="15" customHeight="1">
      <c r="A50" s="395" t="s">
        <v>15</v>
      </c>
      <c r="B50" s="301"/>
      <c r="C50" s="390" t="s">
        <v>154</v>
      </c>
      <c r="D50" s="396" t="s">
        <v>16</v>
      </c>
      <c r="E50" s="346"/>
      <c r="F50" s="346"/>
      <c r="G50" s="346"/>
      <c r="H50" s="298"/>
      <c r="I50" s="4"/>
    </row>
    <row r="51" spans="1:9" ht="15.75" customHeight="1">
      <c r="A51" s="302"/>
      <c r="B51" s="303"/>
      <c r="C51" s="306"/>
      <c r="D51" s="140" t="s">
        <v>17</v>
      </c>
      <c r="E51" s="140" t="s">
        <v>18</v>
      </c>
      <c r="F51" s="140" t="s">
        <v>19</v>
      </c>
      <c r="G51" s="140" t="s">
        <v>20</v>
      </c>
      <c r="H51" s="140" t="s">
        <v>155</v>
      </c>
      <c r="I51" s="4"/>
    </row>
    <row r="52" spans="1:9" ht="15" customHeight="1">
      <c r="A52" s="397" t="s">
        <v>156</v>
      </c>
      <c r="B52" s="301"/>
      <c r="C52" s="398">
        <v>25</v>
      </c>
      <c r="D52" s="393">
        <v>0.1</v>
      </c>
      <c r="E52" s="393">
        <v>1</v>
      </c>
      <c r="F52" s="393">
        <v>2</v>
      </c>
      <c r="G52" s="393">
        <v>8</v>
      </c>
      <c r="H52" s="393">
        <v>1</v>
      </c>
      <c r="I52" s="4"/>
    </row>
    <row r="53" spans="1:9" ht="15.75" customHeight="1">
      <c r="A53" s="302"/>
      <c r="B53" s="303"/>
      <c r="C53" s="305"/>
      <c r="D53" s="305"/>
      <c r="E53" s="305"/>
      <c r="F53" s="305"/>
      <c r="G53" s="305"/>
      <c r="H53" s="305"/>
      <c r="I53" s="4"/>
    </row>
    <row r="54" spans="1:9" ht="15.75" customHeight="1">
      <c r="A54" s="399" t="str">
        <f>F29</f>
        <v>1:10 + 30% PG</v>
      </c>
      <c r="B54" s="318"/>
      <c r="C54" s="306"/>
      <c r="D54" s="306"/>
      <c r="E54" s="306"/>
      <c r="F54" s="306"/>
      <c r="G54" s="306"/>
      <c r="H54" s="306"/>
      <c r="I54" s="4"/>
    </row>
    <row r="55" spans="1:9" ht="15.75" customHeight="1">
      <c r="A55" s="4"/>
      <c r="B55" s="4"/>
      <c r="C55" s="4"/>
      <c r="D55" s="4"/>
      <c r="E55" s="4"/>
      <c r="F55" s="4"/>
      <c r="G55" s="4"/>
      <c r="H55" s="4"/>
      <c r="I55" s="4"/>
    </row>
    <row r="56" spans="1:9" ht="15.75" customHeight="1">
      <c r="A56" s="4"/>
      <c r="B56" s="4"/>
      <c r="C56" s="4"/>
      <c r="D56" s="4"/>
      <c r="E56" s="4"/>
      <c r="F56" s="4"/>
      <c r="G56" s="4"/>
      <c r="H56" s="4"/>
      <c r="I56" s="4"/>
    </row>
    <row r="57" spans="1:9" ht="15.75" customHeight="1">
      <c r="A57" s="48" t="s">
        <v>157</v>
      </c>
      <c r="B57" s="4"/>
      <c r="C57" s="4"/>
      <c r="D57" s="4"/>
      <c r="E57" s="4"/>
      <c r="F57" s="4"/>
      <c r="G57" s="4"/>
      <c r="H57" s="4"/>
      <c r="I57" s="4"/>
    </row>
    <row r="58" spans="1:9" ht="15.75" customHeight="1">
      <c r="A58" s="4"/>
      <c r="B58" s="4"/>
      <c r="C58" s="4"/>
      <c r="D58" s="4"/>
      <c r="E58" s="4"/>
      <c r="F58" s="4"/>
      <c r="G58" s="4"/>
      <c r="H58" s="4"/>
      <c r="I58" s="4"/>
    </row>
    <row r="59" spans="1:9" ht="15.75" customHeight="1">
      <c r="A59" s="4"/>
      <c r="B59" s="12" t="s">
        <v>158</v>
      </c>
      <c r="C59" s="4"/>
      <c r="D59" s="4"/>
      <c r="E59" s="13">
        <v>1</v>
      </c>
      <c r="F59" s="4" t="s">
        <v>21</v>
      </c>
      <c r="G59" s="4"/>
      <c r="H59" s="4"/>
      <c r="I59" s="4"/>
    </row>
    <row r="60" spans="1:9" ht="15.75" customHeight="1">
      <c r="A60" s="4"/>
      <c r="B60" s="12" t="s">
        <v>22</v>
      </c>
      <c r="C60" s="4"/>
      <c r="D60" s="4"/>
      <c r="E60" s="19">
        <v>0.03</v>
      </c>
      <c r="F60" s="4" t="s">
        <v>23</v>
      </c>
      <c r="G60" s="141" t="s">
        <v>24</v>
      </c>
      <c r="H60" s="141"/>
      <c r="I60" s="141"/>
    </row>
    <row r="61" spans="1:9" ht="15.75" customHeight="1">
      <c r="A61" s="4"/>
      <c r="B61" s="4"/>
      <c r="C61" s="4"/>
      <c r="D61" s="4"/>
      <c r="E61" s="4"/>
      <c r="F61" s="4"/>
      <c r="G61" s="4"/>
      <c r="H61" s="4"/>
      <c r="I61" s="4"/>
    </row>
    <row r="62" spans="1:9" ht="15.75" customHeight="1">
      <c r="A62" s="4"/>
      <c r="B62" s="4"/>
      <c r="C62" s="4"/>
      <c r="D62" s="4"/>
      <c r="E62" s="4"/>
      <c r="F62" s="4"/>
      <c r="G62" s="4"/>
      <c r="H62" s="4"/>
      <c r="I62" s="4"/>
    </row>
    <row r="63" spans="1:9" ht="15.75" customHeight="1">
      <c r="A63" s="48" t="s">
        <v>159</v>
      </c>
      <c r="B63" s="4"/>
      <c r="C63" s="4"/>
      <c r="D63" s="389" t="s">
        <v>25</v>
      </c>
      <c r="E63" s="290"/>
      <c r="F63" s="290"/>
      <c r="G63" s="291"/>
      <c r="H63" s="136"/>
    </row>
    <row r="64" spans="1:9" ht="15.75" customHeight="1">
      <c r="A64" s="48"/>
      <c r="B64" s="4"/>
      <c r="C64" s="4"/>
      <c r="D64" s="4"/>
      <c r="E64" s="43"/>
      <c r="F64" s="4"/>
      <c r="G64" s="4"/>
      <c r="H64" s="4"/>
      <c r="I64" s="4"/>
    </row>
    <row r="65" spans="1:11" ht="15.75" customHeight="1">
      <c r="A65" s="48"/>
      <c r="B65" s="137" t="s">
        <v>26</v>
      </c>
      <c r="C65" s="138"/>
      <c r="D65" s="4"/>
      <c r="E65" s="141" t="s">
        <v>27</v>
      </c>
      <c r="F65" s="4"/>
      <c r="G65" s="4"/>
      <c r="H65" s="4"/>
      <c r="I65" s="4"/>
    </row>
    <row r="66" spans="1:11" ht="15.75" customHeight="1">
      <c r="A66" s="5"/>
      <c r="B66" s="18"/>
      <c r="C66" s="49"/>
      <c r="D66" s="49"/>
      <c r="E66" s="49"/>
      <c r="F66" s="49"/>
      <c r="G66" s="4"/>
      <c r="H66" s="4"/>
      <c r="I66" s="4"/>
    </row>
    <row r="67" spans="1:11" ht="15.75" customHeight="1">
      <c r="A67" s="24" t="s">
        <v>28</v>
      </c>
      <c r="B67" s="400" t="s">
        <v>29</v>
      </c>
      <c r="C67" s="298"/>
      <c r="D67" s="142" t="s">
        <v>30</v>
      </c>
      <c r="E67" s="407" t="s">
        <v>31</v>
      </c>
      <c r="F67" s="291"/>
      <c r="G67" s="400" t="s">
        <v>32</v>
      </c>
      <c r="H67" s="298"/>
      <c r="I67" s="4"/>
    </row>
    <row r="68" spans="1:11" ht="15.75" customHeight="1">
      <c r="A68" s="24" t="s">
        <v>33</v>
      </c>
      <c r="B68" s="294" t="s">
        <v>34</v>
      </c>
      <c r="C68" s="298"/>
      <c r="D68" s="143" t="s">
        <v>35</v>
      </c>
      <c r="E68" s="50" t="s">
        <v>36</v>
      </c>
      <c r="F68" s="51">
        <v>30</v>
      </c>
      <c r="G68" s="50" t="s">
        <v>36</v>
      </c>
      <c r="H68" s="52">
        <f t="shared" ref="H68:H73" si="0">F68/1.18</f>
        <v>25.423728813559322</v>
      </c>
      <c r="I68" s="4"/>
    </row>
    <row r="69" spans="1:11" ht="15.75" customHeight="1">
      <c r="A69" s="24"/>
      <c r="B69" s="294" t="s">
        <v>38</v>
      </c>
      <c r="C69" s="298"/>
      <c r="D69" s="144" t="s">
        <v>160</v>
      </c>
      <c r="E69" s="50" t="s">
        <v>36</v>
      </c>
      <c r="F69" s="51">
        <v>60</v>
      </c>
      <c r="G69" s="50" t="s">
        <v>36</v>
      </c>
      <c r="H69" s="52">
        <f t="shared" si="0"/>
        <v>50.847457627118644</v>
      </c>
      <c r="I69" s="4"/>
    </row>
    <row r="70" spans="1:11" ht="15.75" customHeight="1">
      <c r="A70" s="4"/>
      <c r="B70" s="294" t="s">
        <v>161</v>
      </c>
      <c r="C70" s="298"/>
      <c r="D70" s="144" t="s">
        <v>162</v>
      </c>
      <c r="E70" s="50" t="s">
        <v>36</v>
      </c>
      <c r="F70" s="51">
        <v>80</v>
      </c>
      <c r="G70" s="50" t="s">
        <v>36</v>
      </c>
      <c r="H70" s="52">
        <f t="shared" si="0"/>
        <v>67.79661016949153</v>
      </c>
      <c r="I70" s="4"/>
    </row>
    <row r="71" spans="1:11" ht="15.75" customHeight="1">
      <c r="A71" s="4"/>
      <c r="B71" s="294" t="s">
        <v>81</v>
      </c>
      <c r="C71" s="298"/>
      <c r="D71" s="144" t="s">
        <v>163</v>
      </c>
      <c r="E71" s="50" t="s">
        <v>36</v>
      </c>
      <c r="F71" s="51">
        <v>5</v>
      </c>
      <c r="G71" s="50" t="s">
        <v>36</v>
      </c>
      <c r="H71" s="52">
        <f t="shared" si="0"/>
        <v>4.2372881355932206</v>
      </c>
      <c r="I71" s="4"/>
      <c r="K71" s="145"/>
    </row>
    <row r="72" spans="1:11" ht="15.75" customHeight="1">
      <c r="A72" s="4"/>
      <c r="B72" s="294" t="str">
        <f>IF(G41="NO","Gasolina de 84 octanos",IF(AND(G41="SI"),"-"))</f>
        <v>Gasolina de 84 octanos</v>
      </c>
      <c r="C72" s="298"/>
      <c r="D72" s="144" t="str">
        <f>IF(G41="NO","galón",IF(AND(G41="SI"),"-"))</f>
        <v>galón</v>
      </c>
      <c r="E72" s="50" t="str">
        <f t="shared" ref="E72:E73" si="1">IF(G41="NO","S/.",IF(AND(G41="SI"),"No considerar"))</f>
        <v>S/.</v>
      </c>
      <c r="F72" s="51">
        <v>15</v>
      </c>
      <c r="G72" s="50" t="str">
        <f t="shared" ref="G72:G73" si="2">E72</f>
        <v>S/.</v>
      </c>
      <c r="H72" s="52">
        <f t="shared" si="0"/>
        <v>12.711864406779661</v>
      </c>
      <c r="I72" s="4"/>
    </row>
    <row r="73" spans="1:11" ht="15.75" customHeight="1">
      <c r="A73" s="4"/>
      <c r="B73" s="294" t="str">
        <f>IF(G42="NO","Grasa multipropósitos",IF(AND(G42="SI"),"-"))</f>
        <v>Grasa multipropósitos</v>
      </c>
      <c r="C73" s="298"/>
      <c r="D73" s="144" t="str">
        <f>IF(G42="NO","kg",IF(AND(G42="SI"),"-"))</f>
        <v>kg</v>
      </c>
      <c r="E73" s="50" t="str">
        <f t="shared" si="1"/>
        <v>S/.</v>
      </c>
      <c r="F73" s="51">
        <v>20</v>
      </c>
      <c r="G73" s="50" t="str">
        <f t="shared" si="2"/>
        <v>S/.</v>
      </c>
      <c r="H73" s="52">
        <f t="shared" si="0"/>
        <v>16.949152542372882</v>
      </c>
      <c r="I73" s="4"/>
    </row>
    <row r="74" spans="1:11" ht="15.75" customHeight="1">
      <c r="A74" s="4"/>
      <c r="B74" s="32"/>
      <c r="C74" s="32"/>
      <c r="D74" s="10"/>
      <c r="E74" s="55"/>
      <c r="F74" s="56"/>
      <c r="G74" s="44"/>
      <c r="H74" s="57"/>
      <c r="I74" s="4"/>
    </row>
    <row r="75" spans="1:11" ht="15.75" customHeight="1">
      <c r="A75" s="4"/>
      <c r="B75" s="137" t="s">
        <v>40</v>
      </c>
      <c r="C75" s="146"/>
      <c r="D75" s="39"/>
      <c r="E75" s="44"/>
      <c r="F75" s="56"/>
      <c r="G75" s="4"/>
      <c r="H75" s="4"/>
      <c r="I75" s="4"/>
    </row>
    <row r="76" spans="1:11" ht="15.75" customHeight="1">
      <c r="A76" s="4"/>
      <c r="B76" s="5"/>
      <c r="C76" s="39"/>
      <c r="D76" s="39"/>
      <c r="E76" s="44"/>
      <c r="F76" s="56"/>
      <c r="G76" s="4"/>
      <c r="H76" s="4"/>
      <c r="I76" s="4"/>
    </row>
    <row r="77" spans="1:11" ht="15.75" customHeight="1">
      <c r="A77" s="24" t="s">
        <v>28</v>
      </c>
      <c r="B77" s="400" t="s">
        <v>41</v>
      </c>
      <c r="C77" s="298"/>
      <c r="D77" s="142" t="s">
        <v>30</v>
      </c>
      <c r="E77" s="400" t="s">
        <v>31</v>
      </c>
      <c r="F77" s="298"/>
      <c r="G77" s="400" t="s">
        <v>32</v>
      </c>
      <c r="H77" s="298"/>
      <c r="I77" s="4"/>
    </row>
    <row r="78" spans="1:11" ht="15.75" customHeight="1">
      <c r="A78" s="24" t="s">
        <v>33</v>
      </c>
      <c r="B78" s="299" t="s">
        <v>164</v>
      </c>
      <c r="C78" s="298"/>
      <c r="D78" s="147" t="s">
        <v>42</v>
      </c>
      <c r="E78" s="50" t="s">
        <v>36</v>
      </c>
      <c r="F78" s="51">
        <v>12</v>
      </c>
      <c r="G78" s="59" t="s">
        <v>36</v>
      </c>
      <c r="H78" s="52">
        <f>F78/1.18</f>
        <v>10.16949152542373</v>
      </c>
      <c r="I78" s="4"/>
    </row>
    <row r="79" spans="1:11" ht="15.75" customHeight="1">
      <c r="A79" s="4"/>
      <c r="B79" s="148"/>
      <c r="C79" s="39"/>
      <c r="D79" s="39"/>
      <c r="E79" s="44"/>
      <c r="F79" s="56"/>
      <c r="G79" s="4"/>
      <c r="H79" s="4"/>
      <c r="I79" s="4"/>
    </row>
    <row r="80" spans="1:11" ht="15.75" customHeight="1">
      <c r="A80" s="4"/>
      <c r="B80" s="18"/>
      <c r="C80" s="39"/>
      <c r="D80" s="39"/>
      <c r="E80" s="44"/>
      <c r="F80" s="56"/>
      <c r="G80" s="4"/>
      <c r="H80" s="4"/>
      <c r="I80" s="4"/>
    </row>
    <row r="81" spans="1:9" ht="15.75" customHeight="1">
      <c r="A81" s="61"/>
      <c r="B81" s="292" t="s">
        <v>44</v>
      </c>
      <c r="C81" s="290"/>
      <c r="D81" s="351"/>
      <c r="E81" s="13" t="s">
        <v>33</v>
      </c>
      <c r="F81" s="370" t="s">
        <v>45</v>
      </c>
      <c r="G81" s="353"/>
      <c r="H81" s="4"/>
    </row>
    <row r="82" spans="1:9" ht="15.75" customHeight="1">
      <c r="A82" s="4"/>
      <c r="B82" s="18"/>
      <c r="C82" s="39"/>
      <c r="D82" s="39"/>
      <c r="E82" s="44"/>
      <c r="F82" s="354"/>
      <c r="G82" s="355"/>
      <c r="H82" s="4"/>
      <c r="I82" s="4"/>
    </row>
    <row r="83" spans="1:9" ht="15.75" customHeight="1">
      <c r="A83" s="4"/>
      <c r="B83" s="18"/>
      <c r="C83" s="39"/>
      <c r="D83" s="39"/>
      <c r="E83" s="44"/>
      <c r="F83" s="56"/>
      <c r="G83" s="4"/>
      <c r="H83" s="4"/>
      <c r="I83" s="4"/>
    </row>
    <row r="84" spans="1:9" ht="15.75" customHeight="1">
      <c r="A84" s="4"/>
      <c r="B84" s="18"/>
      <c r="C84" s="39"/>
      <c r="D84" s="39"/>
      <c r="E84" s="44"/>
      <c r="F84" s="56"/>
      <c r="G84" s="4"/>
      <c r="H84" s="4"/>
      <c r="I84" s="4"/>
    </row>
    <row r="85" spans="1:9" ht="15.75" customHeight="1">
      <c r="A85" s="4"/>
      <c r="B85" s="137" t="s">
        <v>46</v>
      </c>
      <c r="C85" s="146"/>
      <c r="D85" s="39"/>
      <c r="E85" s="44"/>
      <c r="F85" s="56"/>
      <c r="G85" s="4"/>
      <c r="H85" s="4"/>
      <c r="I85" s="4"/>
    </row>
    <row r="86" spans="1:9" ht="15.75" customHeight="1">
      <c r="A86" s="4"/>
      <c r="B86" s="18"/>
      <c r="C86" s="39"/>
      <c r="D86" s="39"/>
      <c r="E86" s="44"/>
      <c r="F86" s="56"/>
      <c r="G86" s="4"/>
      <c r="H86" s="4"/>
      <c r="I86" s="4"/>
    </row>
    <row r="87" spans="1:9" ht="15.75" customHeight="1">
      <c r="A87" s="4"/>
      <c r="B87" s="371" t="s">
        <v>47</v>
      </c>
      <c r="C87" s="320"/>
      <c r="D87" s="320"/>
      <c r="E87" s="320"/>
      <c r="F87" s="320"/>
      <c r="G87" s="321"/>
      <c r="H87" s="4"/>
      <c r="I87" s="4"/>
    </row>
    <row r="88" spans="1:9" ht="15.75" customHeight="1">
      <c r="A88" s="4"/>
      <c r="B88" s="372" t="s">
        <v>48</v>
      </c>
      <c r="C88" s="342"/>
      <c r="D88" s="342"/>
      <c r="E88" s="342"/>
      <c r="F88" s="342"/>
      <c r="G88" s="318"/>
      <c r="H88" s="4"/>
      <c r="I88" s="4"/>
    </row>
    <row r="89" spans="1:9" ht="15.75" customHeight="1">
      <c r="A89" s="4"/>
      <c r="B89" s="373" t="s">
        <v>49</v>
      </c>
      <c r="C89" s="346"/>
      <c r="D89" s="298"/>
      <c r="E89" s="149" t="s">
        <v>18</v>
      </c>
      <c r="F89" s="150" t="s">
        <v>19</v>
      </c>
      <c r="G89" s="149" t="s">
        <v>20</v>
      </c>
      <c r="H89" s="4"/>
      <c r="I89" s="4"/>
    </row>
    <row r="90" spans="1:9" ht="15.75" customHeight="1">
      <c r="A90" s="4"/>
      <c r="B90" s="376" t="s">
        <v>50</v>
      </c>
      <c r="C90" s="346"/>
      <c r="D90" s="298"/>
      <c r="E90" s="64">
        <v>74.3</v>
      </c>
      <c r="F90" s="64">
        <v>58.45</v>
      </c>
      <c r="G90" s="64">
        <v>52.5</v>
      </c>
      <c r="H90" s="4"/>
      <c r="I90" s="4"/>
    </row>
    <row r="91" spans="1:9" ht="15.75" customHeight="1">
      <c r="A91" s="4"/>
      <c r="B91" s="377" t="s">
        <v>51</v>
      </c>
      <c r="C91" s="346"/>
      <c r="D91" s="298"/>
      <c r="E91" s="64"/>
      <c r="F91" s="64"/>
      <c r="G91" s="64"/>
      <c r="H91" s="4"/>
      <c r="I91" s="4"/>
    </row>
    <row r="92" spans="1:9" ht="15.75" customHeight="1">
      <c r="A92" s="4"/>
      <c r="B92" s="151"/>
      <c r="C92" s="152" t="s">
        <v>18</v>
      </c>
      <c r="D92" s="153">
        <v>0.32</v>
      </c>
      <c r="E92" s="64">
        <f>D92*E90</f>
        <v>23.776</v>
      </c>
      <c r="F92" s="64"/>
      <c r="G92" s="64"/>
      <c r="H92" s="4"/>
      <c r="I92" s="4"/>
    </row>
    <row r="93" spans="1:9" ht="15.75" customHeight="1">
      <c r="A93" s="4"/>
      <c r="B93" s="154"/>
      <c r="C93" s="155" t="s">
        <v>19</v>
      </c>
      <c r="D93" s="156">
        <v>0.3</v>
      </c>
      <c r="E93" s="64"/>
      <c r="F93" s="64">
        <f>D93*F90</f>
        <v>17.535</v>
      </c>
      <c r="G93" s="64"/>
      <c r="H93" s="4"/>
      <c r="I93" s="4"/>
    </row>
    <row r="94" spans="1:9" ht="15.75" customHeight="1">
      <c r="A94" s="4"/>
      <c r="B94" s="154"/>
      <c r="C94" s="155" t="s">
        <v>20</v>
      </c>
      <c r="D94" s="156">
        <v>0.3</v>
      </c>
      <c r="E94" s="64"/>
      <c r="F94" s="64"/>
      <c r="G94" s="64">
        <f>D94*G90</f>
        <v>15.75</v>
      </c>
      <c r="H94" s="4"/>
      <c r="I94" s="4"/>
    </row>
    <row r="95" spans="1:9" ht="15" customHeight="1">
      <c r="A95" s="4"/>
      <c r="B95" s="377" t="s">
        <v>52</v>
      </c>
      <c r="C95" s="295"/>
      <c r="D95" s="157">
        <v>1.1345000000000001</v>
      </c>
      <c r="E95" s="64">
        <f>D95*E90</f>
        <v>84.293350000000004</v>
      </c>
      <c r="F95" s="64">
        <f>D95*F90</f>
        <v>66.311525000000003</v>
      </c>
      <c r="G95" s="64">
        <f>D95*G90</f>
        <v>59.561250000000001</v>
      </c>
      <c r="H95" s="4"/>
      <c r="I95" s="4"/>
    </row>
    <row r="96" spans="1:9" ht="15" customHeight="1">
      <c r="A96" s="4"/>
      <c r="B96" s="377" t="s">
        <v>53</v>
      </c>
      <c r="C96" s="295"/>
      <c r="D96" s="158">
        <v>0.12</v>
      </c>
      <c r="E96" s="64">
        <f>D96*E92</f>
        <v>2.8531199999999997</v>
      </c>
      <c r="F96" s="64">
        <f>D96*F93</f>
        <v>2.1042000000000001</v>
      </c>
      <c r="G96" s="64">
        <f>D96*G94</f>
        <v>1.89</v>
      </c>
      <c r="H96" s="4"/>
      <c r="I96" s="4"/>
    </row>
    <row r="97" spans="1:9" ht="15.75" customHeight="1">
      <c r="A97" s="4"/>
      <c r="B97" s="377" t="s">
        <v>54</v>
      </c>
      <c r="C97" s="346"/>
      <c r="D97" s="298"/>
      <c r="E97" s="64">
        <v>8</v>
      </c>
      <c r="F97" s="64">
        <v>8</v>
      </c>
      <c r="G97" s="64">
        <v>8</v>
      </c>
      <c r="H97" s="4"/>
      <c r="I97" s="4"/>
    </row>
    <row r="98" spans="1:9" ht="15.75" customHeight="1">
      <c r="A98" s="4"/>
      <c r="B98" s="377" t="s">
        <v>55</v>
      </c>
      <c r="C98" s="346"/>
      <c r="D98" s="298"/>
      <c r="E98" s="64">
        <v>0.4</v>
      </c>
      <c r="F98" s="64">
        <v>0.4</v>
      </c>
      <c r="G98" s="64">
        <v>0.4</v>
      </c>
      <c r="H98" s="4"/>
      <c r="I98" s="4"/>
    </row>
    <row r="99" spans="1:9" ht="15.75" customHeight="1">
      <c r="A99" s="4"/>
      <c r="B99" s="377" t="s">
        <v>56</v>
      </c>
      <c r="C99" s="346"/>
      <c r="D99" s="298"/>
      <c r="E99" s="64">
        <v>0.17</v>
      </c>
      <c r="F99" s="64">
        <v>0.17</v>
      </c>
      <c r="G99" s="64">
        <v>0.17</v>
      </c>
      <c r="H99" s="4"/>
      <c r="I99" s="4"/>
    </row>
    <row r="100" spans="1:9" ht="15.75" customHeight="1">
      <c r="A100" s="4"/>
      <c r="B100" s="345" t="s">
        <v>57</v>
      </c>
      <c r="C100" s="346"/>
      <c r="D100" s="298"/>
      <c r="E100" s="150">
        <f>E90+E92+E95+E96+E97+E98+E99</f>
        <v>193.79246999999998</v>
      </c>
      <c r="F100" s="150">
        <f>F90+F93+F95+F96+F97+F98+F99</f>
        <v>152.97072499999999</v>
      </c>
      <c r="G100" s="150">
        <f>G90+G94+G95+G96+G97+G98+G99</f>
        <v>138.27124999999998</v>
      </c>
      <c r="H100" s="4"/>
      <c r="I100" s="4"/>
    </row>
    <row r="101" spans="1:9" ht="15.75" customHeight="1">
      <c r="A101" s="4"/>
      <c r="B101" s="345" t="s">
        <v>58</v>
      </c>
      <c r="C101" s="346"/>
      <c r="D101" s="298"/>
      <c r="E101" s="150">
        <f t="shared" ref="E101:G101" si="3">E100/8</f>
        <v>24.224058749999998</v>
      </c>
      <c r="F101" s="150">
        <f t="shared" si="3"/>
        <v>19.121340624999998</v>
      </c>
      <c r="G101" s="150">
        <f t="shared" si="3"/>
        <v>17.283906249999998</v>
      </c>
      <c r="H101" s="4"/>
      <c r="I101" s="4"/>
    </row>
    <row r="102" spans="1:9" ht="15.75" customHeight="1">
      <c r="A102" s="4"/>
      <c r="B102" s="18"/>
      <c r="C102" s="39"/>
      <c r="D102" s="39"/>
      <c r="E102" s="44"/>
      <c r="F102" s="56"/>
      <c r="G102" s="4"/>
      <c r="H102" s="4"/>
      <c r="I102" s="4"/>
    </row>
    <row r="103" spans="1:9" ht="15.75" customHeight="1">
      <c r="A103" s="4"/>
      <c r="B103" s="347" t="s">
        <v>59</v>
      </c>
      <c r="C103" s="346"/>
      <c r="D103" s="346"/>
      <c r="E103" s="346"/>
      <c r="F103" s="346"/>
      <c r="G103" s="298"/>
      <c r="H103" s="4"/>
      <c r="I103" s="4"/>
    </row>
    <row r="104" spans="1:9" ht="15.75" customHeight="1">
      <c r="A104" s="4"/>
      <c r="B104" s="159" t="s">
        <v>60</v>
      </c>
      <c r="C104" s="160"/>
      <c r="D104" s="161"/>
      <c r="E104" s="76">
        <v>1.1000000000000001</v>
      </c>
      <c r="F104" s="77" t="s">
        <v>61</v>
      </c>
      <c r="G104" s="78">
        <f>E104*E101</f>
        <v>26.646464625</v>
      </c>
      <c r="H104" s="4"/>
      <c r="I104" s="4"/>
    </row>
    <row r="105" spans="1:9" ht="15.75" customHeight="1">
      <c r="A105" s="4"/>
      <c r="B105" s="159" t="s">
        <v>18</v>
      </c>
      <c r="C105" s="160"/>
      <c r="D105" s="161"/>
      <c r="E105" s="76"/>
      <c r="F105" s="77"/>
      <c r="G105" s="78">
        <f>E101</f>
        <v>24.224058749999998</v>
      </c>
      <c r="H105" s="4"/>
      <c r="I105" s="4"/>
    </row>
    <row r="106" spans="1:9" ht="15.75" customHeight="1">
      <c r="A106" s="4"/>
      <c r="B106" s="159" t="s">
        <v>19</v>
      </c>
      <c r="C106" s="160"/>
      <c r="D106" s="161"/>
      <c r="E106" s="50"/>
      <c r="F106" s="79"/>
      <c r="G106" s="78">
        <f>F101</f>
        <v>19.121340624999998</v>
      </c>
      <c r="H106" s="4"/>
      <c r="I106" s="4"/>
    </row>
    <row r="107" spans="1:9" ht="15.75" customHeight="1">
      <c r="A107" s="4"/>
      <c r="B107" s="159" t="s">
        <v>20</v>
      </c>
      <c r="C107" s="160"/>
      <c r="D107" s="161"/>
      <c r="E107" s="50"/>
      <c r="F107" s="79"/>
      <c r="G107" s="78">
        <f>G101</f>
        <v>17.283906249999998</v>
      </c>
      <c r="H107" s="4"/>
      <c r="I107" s="4"/>
    </row>
    <row r="108" spans="1:9" ht="15.75" customHeight="1">
      <c r="A108" s="4"/>
      <c r="B108" s="159" t="s">
        <v>62</v>
      </c>
      <c r="C108" s="160"/>
      <c r="D108" s="161"/>
      <c r="E108" s="76">
        <v>1</v>
      </c>
      <c r="F108" s="77" t="s">
        <v>63</v>
      </c>
      <c r="G108" s="78">
        <f>E108*E101</f>
        <v>24.224058749999998</v>
      </c>
      <c r="H108" s="4"/>
      <c r="I108" s="4"/>
    </row>
    <row r="109" spans="1:9" ht="15.75" customHeight="1">
      <c r="A109" s="4"/>
      <c r="B109" s="348" t="s">
        <v>64</v>
      </c>
      <c r="C109" s="346"/>
      <c r="D109" s="298"/>
      <c r="E109" s="76">
        <v>1.08</v>
      </c>
      <c r="F109" s="77" t="s">
        <v>61</v>
      </c>
      <c r="G109" s="78">
        <f>E109*E101</f>
        <v>26.161983449999997</v>
      </c>
      <c r="H109" s="4"/>
      <c r="I109" s="4"/>
    </row>
    <row r="110" spans="1:9" ht="15.75" customHeight="1">
      <c r="A110" s="4"/>
      <c r="B110" s="348" t="s">
        <v>65</v>
      </c>
      <c r="C110" s="346"/>
      <c r="D110" s="298"/>
      <c r="E110" s="76">
        <v>1.1000000000000001</v>
      </c>
      <c r="F110" s="77" t="s">
        <v>61</v>
      </c>
      <c r="G110" s="78">
        <f>E110*E101</f>
        <v>26.646464625</v>
      </c>
      <c r="H110" s="4"/>
      <c r="I110" s="4"/>
    </row>
    <row r="111" spans="1:9" ht="15.75" customHeight="1">
      <c r="A111" s="4"/>
      <c r="B111" s="349" t="s">
        <v>66</v>
      </c>
      <c r="C111" s="320"/>
      <c r="D111" s="320"/>
      <c r="E111" s="320"/>
      <c r="F111" s="320"/>
      <c r="G111" s="350"/>
      <c r="H111" s="4"/>
      <c r="I111" s="4"/>
    </row>
    <row r="112" spans="1:9" ht="15.75" customHeight="1">
      <c r="A112" s="4"/>
      <c r="B112" s="162"/>
      <c r="C112" s="162"/>
      <c r="D112" s="162"/>
      <c r="E112" s="162"/>
      <c r="F112" s="162"/>
      <c r="G112" s="162"/>
      <c r="H112" s="4"/>
      <c r="I112" s="4"/>
    </row>
    <row r="113" spans="1:18" ht="15.75" customHeight="1">
      <c r="A113" s="4"/>
      <c r="B113" s="80" t="s">
        <v>67</v>
      </c>
      <c r="C113" s="57"/>
      <c r="D113" s="81">
        <v>4600</v>
      </c>
      <c r="E113" s="44" t="s">
        <v>68</v>
      </c>
      <c r="F113" s="82">
        <f>50*D113</f>
        <v>230000</v>
      </c>
      <c r="G113" s="4"/>
      <c r="H113" s="4"/>
      <c r="I113" s="4"/>
    </row>
    <row r="114" spans="1:18" ht="15.75" customHeight="1">
      <c r="A114" s="4"/>
      <c r="B114" s="18"/>
      <c r="C114" s="39"/>
      <c r="D114" s="39"/>
      <c r="E114" s="44"/>
      <c r="F114" s="56"/>
      <c r="G114" s="4"/>
      <c r="H114" s="4"/>
      <c r="I114" s="4"/>
    </row>
    <row r="115" spans="1:18" ht="15.75" customHeight="1">
      <c r="A115" s="24" t="s">
        <v>4</v>
      </c>
      <c r="B115" s="292" t="s">
        <v>165</v>
      </c>
      <c r="C115" s="351"/>
      <c r="D115" s="13" t="s">
        <v>4</v>
      </c>
      <c r="E115" s="352" t="s">
        <v>70</v>
      </c>
      <c r="F115" s="353"/>
      <c r="G115" s="4"/>
    </row>
    <row r="116" spans="1:18" ht="15.75" customHeight="1">
      <c r="A116" s="24" t="s">
        <v>6</v>
      </c>
      <c r="B116" s="18"/>
      <c r="C116" s="39"/>
      <c r="D116" s="39"/>
      <c r="E116" s="354"/>
      <c r="F116" s="355"/>
      <c r="G116" s="4"/>
      <c r="H116" s="4"/>
      <c r="I116" s="4"/>
    </row>
    <row r="117" spans="1:18" ht="15.75" customHeight="1">
      <c r="A117" s="4"/>
      <c r="B117" s="18"/>
      <c r="C117" s="39"/>
      <c r="D117" s="39"/>
      <c r="E117" s="44"/>
      <c r="F117" s="56"/>
      <c r="G117" s="4"/>
      <c r="H117" s="4"/>
      <c r="I117" s="4"/>
    </row>
    <row r="118" spans="1:18" ht="15.75" customHeight="1">
      <c r="A118" s="4"/>
      <c r="B118" s="18"/>
      <c r="C118" s="39"/>
      <c r="D118" s="39"/>
      <c r="E118" s="44"/>
      <c r="F118" s="56"/>
      <c r="G118" s="4"/>
      <c r="H118" s="4"/>
      <c r="I118" s="4"/>
    </row>
    <row r="119" spans="1:18" ht="15.75" customHeight="1">
      <c r="A119" s="4"/>
      <c r="B119" s="18"/>
      <c r="C119" s="39"/>
      <c r="D119" s="39"/>
      <c r="E119" s="44"/>
      <c r="F119" s="56"/>
      <c r="G119" s="4"/>
      <c r="H119" s="4"/>
      <c r="I119" s="4"/>
    </row>
    <row r="120" spans="1:18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P120" s="4"/>
      <c r="Q120" s="4"/>
      <c r="R120" s="4"/>
    </row>
    <row r="121" spans="1:18" ht="15" customHeight="1">
      <c r="A121" s="4"/>
      <c r="B121" s="18"/>
      <c r="C121" s="39"/>
      <c r="D121" s="39"/>
      <c r="E121" s="44"/>
      <c r="F121" s="86"/>
      <c r="G121" s="356" t="s">
        <v>71</v>
      </c>
      <c r="H121" s="353"/>
      <c r="I121" s="4"/>
    </row>
    <row r="122" spans="1:18" ht="15" customHeight="1">
      <c r="A122" s="4"/>
      <c r="B122" s="18"/>
      <c r="C122" s="39"/>
      <c r="D122" s="39"/>
      <c r="E122" s="44"/>
      <c r="F122" s="6" t="s">
        <v>72</v>
      </c>
      <c r="G122" s="357"/>
      <c r="H122" s="358"/>
      <c r="I122" s="4"/>
    </row>
    <row r="123" spans="1:18" ht="15" customHeight="1">
      <c r="A123" s="4"/>
      <c r="B123" s="18"/>
      <c r="C123" s="39"/>
      <c r="D123" s="39"/>
      <c r="E123" s="44"/>
      <c r="F123" s="86"/>
      <c r="G123" s="354"/>
      <c r="H123" s="355"/>
      <c r="I123" s="4"/>
    </row>
    <row r="124" spans="1:18" ht="15" customHeight="1">
      <c r="A124" s="4"/>
      <c r="B124" s="18"/>
      <c r="C124" s="39"/>
      <c r="D124" s="39"/>
      <c r="E124" s="44"/>
      <c r="F124" s="86"/>
      <c r="G124" s="21"/>
      <c r="H124" s="21"/>
      <c r="I124" s="4"/>
    </row>
    <row r="125" spans="1:18" ht="15" customHeight="1">
      <c r="A125" s="5" t="s">
        <v>166</v>
      </c>
      <c r="B125" s="18"/>
      <c r="C125" s="4"/>
      <c r="D125" s="4"/>
      <c r="E125" s="20"/>
      <c r="F125" s="6"/>
      <c r="G125" s="83"/>
      <c r="H125" s="83"/>
      <c r="I125" s="4"/>
    </row>
    <row r="126" spans="1:18" ht="15.75" customHeight="1">
      <c r="A126" s="359" t="s">
        <v>167</v>
      </c>
      <c r="B126" s="290"/>
      <c r="C126" s="291"/>
      <c r="D126" s="4"/>
      <c r="E126" s="20"/>
      <c r="F126" s="6"/>
      <c r="G126" s="83"/>
      <c r="H126" s="83"/>
      <c r="I126" s="4"/>
    </row>
    <row r="127" spans="1:18" ht="15.75" customHeight="1">
      <c r="A127" s="5"/>
      <c r="B127" s="18"/>
      <c r="C127" s="93" t="s">
        <v>168</v>
      </c>
      <c r="D127" s="4"/>
      <c r="E127" s="163" t="str">
        <f>F29</f>
        <v>1:10 + 30% PG</v>
      </c>
      <c r="F127" s="164" t="s">
        <v>169</v>
      </c>
      <c r="G127" s="165">
        <v>6</v>
      </c>
      <c r="H127" s="166" t="s">
        <v>170</v>
      </c>
      <c r="I127" s="4"/>
    </row>
    <row r="128" spans="1:18" ht="15.75" customHeight="1">
      <c r="A128" s="4"/>
      <c r="B128" s="4"/>
      <c r="C128" s="4"/>
      <c r="D128" s="4"/>
      <c r="E128" s="4"/>
      <c r="F128" s="4"/>
      <c r="G128" s="4"/>
      <c r="H128" s="4"/>
      <c r="I128" s="4"/>
    </row>
    <row r="129" spans="1:10" ht="15.75" customHeight="1">
      <c r="A129" s="4"/>
      <c r="B129" s="4"/>
      <c r="C129" s="4"/>
      <c r="D129" s="4"/>
      <c r="E129" s="4"/>
      <c r="F129" s="4"/>
      <c r="G129" s="4"/>
      <c r="H129" s="4"/>
      <c r="I129" s="4"/>
    </row>
    <row r="130" spans="1:10" ht="15.75" customHeight="1">
      <c r="A130" s="4"/>
      <c r="B130" s="4"/>
      <c r="C130" s="4"/>
      <c r="D130" s="4"/>
      <c r="E130" s="4"/>
      <c r="F130" s="4"/>
      <c r="G130" s="4"/>
      <c r="H130" s="4"/>
      <c r="I130" s="4"/>
    </row>
    <row r="131" spans="1:10" ht="15.75" customHeight="1">
      <c r="A131" s="360" t="s">
        <v>73</v>
      </c>
      <c r="B131" s="361"/>
      <c r="C131" s="362"/>
      <c r="D131" s="4"/>
      <c r="E131" s="4"/>
      <c r="F131" s="4"/>
      <c r="G131" s="4"/>
      <c r="H131" s="4"/>
      <c r="I131" s="4"/>
    </row>
    <row r="132" spans="1:10" ht="15.75" customHeight="1">
      <c r="A132" s="4"/>
      <c r="B132" s="4"/>
      <c r="C132" s="4"/>
      <c r="D132" s="4"/>
      <c r="E132" s="4"/>
      <c r="F132" s="4"/>
      <c r="G132" s="4"/>
      <c r="H132" s="4"/>
      <c r="I132" s="4"/>
    </row>
    <row r="133" spans="1:10" ht="15.75" customHeight="1">
      <c r="A133" s="48" t="s">
        <v>171</v>
      </c>
      <c r="B133" s="4"/>
      <c r="C133" s="4"/>
      <c r="D133" s="4"/>
      <c r="E133" s="4"/>
      <c r="F133" s="4"/>
      <c r="G133" s="4"/>
      <c r="H133" s="4"/>
      <c r="I133" s="4"/>
    </row>
    <row r="134" spans="1:10" ht="15.75" customHeight="1">
      <c r="A134" s="4"/>
      <c r="B134" s="4"/>
      <c r="C134" s="4"/>
      <c r="D134" s="4"/>
      <c r="E134" s="4"/>
      <c r="F134" s="4"/>
      <c r="G134" s="4"/>
      <c r="H134" s="4"/>
      <c r="I134" s="4"/>
    </row>
    <row r="135" spans="1:10" ht="15.75" customHeight="1">
      <c r="A135" s="4"/>
      <c r="B135" s="12" t="s">
        <v>172</v>
      </c>
      <c r="C135" s="4"/>
      <c r="D135" s="4"/>
      <c r="E135" s="4"/>
      <c r="F135" s="4"/>
      <c r="G135" s="4"/>
      <c r="H135" s="4"/>
      <c r="I135" s="4"/>
    </row>
    <row r="136" spans="1:10" ht="15.75" customHeight="1">
      <c r="A136" s="4"/>
      <c r="B136" s="4"/>
      <c r="C136" s="4"/>
      <c r="D136" s="46"/>
      <c r="E136" s="46" t="s">
        <v>76</v>
      </c>
      <c r="F136" s="102">
        <f>F33</f>
        <v>0.05</v>
      </c>
      <c r="G136" s="4"/>
      <c r="H136" s="4"/>
      <c r="I136" s="4"/>
      <c r="J136" s="4"/>
    </row>
    <row r="137" spans="1:10" ht="15.75" customHeight="1">
      <c r="A137" s="4"/>
      <c r="B137" s="363" t="s">
        <v>173</v>
      </c>
      <c r="C137" s="346"/>
      <c r="D137" s="346"/>
      <c r="E137" s="295"/>
      <c r="F137" s="167">
        <f>G127+G127*F136</f>
        <v>6.3</v>
      </c>
      <c r="G137" s="168" t="s">
        <v>174</v>
      </c>
      <c r="H137" s="4"/>
      <c r="I137" s="4"/>
      <c r="J137" s="4"/>
    </row>
    <row r="138" spans="1:10" ht="15.75" customHeight="1">
      <c r="A138" s="4"/>
      <c r="B138" s="4"/>
      <c r="C138" s="4"/>
      <c r="D138" s="4"/>
      <c r="E138" s="4"/>
      <c r="F138" s="4"/>
      <c r="G138" s="4"/>
      <c r="H138" s="4"/>
      <c r="I138" s="4"/>
    </row>
    <row r="139" spans="1:10" ht="15.75" customHeight="1">
      <c r="A139" s="4"/>
      <c r="B139" s="4"/>
      <c r="C139" s="4"/>
      <c r="D139" s="4"/>
      <c r="E139" s="4"/>
      <c r="F139" s="4"/>
      <c r="G139" s="4"/>
      <c r="H139" s="4"/>
      <c r="I139" s="4"/>
    </row>
    <row r="140" spans="1:10" ht="15.75" customHeight="1">
      <c r="A140" s="48" t="s">
        <v>175</v>
      </c>
      <c r="B140" s="4"/>
      <c r="C140" s="4"/>
      <c r="D140" s="4"/>
      <c r="E140" s="4"/>
      <c r="F140" s="4"/>
      <c r="G140" s="4"/>
      <c r="H140" s="4"/>
      <c r="I140" s="4"/>
    </row>
    <row r="141" spans="1:10" ht="15.75" customHeight="1">
      <c r="A141" s="4"/>
      <c r="B141" s="4"/>
      <c r="C141" s="12"/>
      <c r="D141" s="103"/>
      <c r="E141" s="103"/>
      <c r="F141" s="4"/>
      <c r="G141" s="4"/>
      <c r="H141" s="4"/>
      <c r="I141" s="4"/>
      <c r="J141" s="4"/>
    </row>
    <row r="142" spans="1:10" ht="15.75" customHeight="1">
      <c r="A142" s="4"/>
      <c r="B142" s="15" t="s">
        <v>77</v>
      </c>
      <c r="C142" s="4"/>
      <c r="D142" s="4"/>
      <c r="E142" s="4"/>
      <c r="F142" s="4"/>
      <c r="G142" s="4"/>
      <c r="H142" s="4"/>
    </row>
    <row r="143" spans="1:10" ht="15.75" customHeight="1">
      <c r="A143" s="4"/>
      <c r="B143" s="4"/>
      <c r="C143" s="4"/>
      <c r="D143" s="4"/>
      <c r="E143" s="4"/>
      <c r="F143" s="364" t="s">
        <v>176</v>
      </c>
      <c r="G143" s="365"/>
      <c r="H143" s="366"/>
      <c r="I143" s="4"/>
    </row>
    <row r="144" spans="1:10" ht="15.75" customHeight="1">
      <c r="A144" s="4"/>
      <c r="B144" s="4"/>
      <c r="C144" s="4"/>
      <c r="D144" s="4"/>
      <c r="E144" s="4"/>
      <c r="F144" s="94" t="s">
        <v>78</v>
      </c>
      <c r="G144" s="104">
        <f>IF(E145=C25,E25,IF(AND(E145=C26),E26))</f>
        <v>2.9</v>
      </c>
      <c r="H144" s="105" t="s">
        <v>74</v>
      </c>
      <c r="I144" s="4"/>
    </row>
    <row r="145" spans="1:15" ht="15.75" customHeight="1">
      <c r="A145" s="4"/>
      <c r="B145" s="367" t="s">
        <v>177</v>
      </c>
      <c r="C145" s="290"/>
      <c r="D145" s="291"/>
      <c r="E145" s="169" t="str">
        <f>F29</f>
        <v>1:10 + 30% PG</v>
      </c>
      <c r="F145" s="94" t="s">
        <v>79</v>
      </c>
      <c r="G145" s="108">
        <f>IF(E145=C25,F25,IF(AND(E145=C26),F26))</f>
        <v>0.83</v>
      </c>
      <c r="H145" s="105" t="s">
        <v>178</v>
      </c>
      <c r="I145" s="4"/>
    </row>
    <row r="146" spans="1:15" ht="15.75" customHeight="1">
      <c r="A146" s="4"/>
      <c r="B146" s="107"/>
      <c r="C146" s="107"/>
      <c r="D146" s="107"/>
      <c r="E146" s="169"/>
      <c r="F146" s="94" t="s">
        <v>179</v>
      </c>
      <c r="G146" s="108">
        <f>IF(E145=C25,G25,IF(AND(E145=C26),G26))</f>
        <v>0.48</v>
      </c>
      <c r="H146" s="105" t="s">
        <v>180</v>
      </c>
      <c r="I146" s="4"/>
    </row>
    <row r="147" spans="1:15" ht="15.75" customHeight="1">
      <c r="A147" s="4"/>
      <c r="B147" s="4"/>
      <c r="C147" s="4"/>
      <c r="D147" s="4"/>
      <c r="E147" s="4"/>
      <c r="F147" s="94" t="s">
        <v>80</v>
      </c>
      <c r="G147" s="108">
        <f>IF(E145=C25,H25,IF(AND(E145=C26),H26))</f>
        <v>0.1</v>
      </c>
      <c r="H147" s="105" t="s">
        <v>181</v>
      </c>
      <c r="I147" s="4"/>
    </row>
    <row r="148" spans="1:15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</row>
    <row r="149" spans="1:15" ht="15.75" customHeight="1">
      <c r="A149" s="4"/>
      <c r="B149" s="4"/>
      <c r="C149" s="4"/>
      <c r="D149" s="4"/>
      <c r="E149" s="4"/>
      <c r="F149" s="4"/>
      <c r="G149" s="4"/>
      <c r="H149" s="4"/>
      <c r="I149" s="4"/>
    </row>
    <row r="150" spans="1:15" ht="15.75" customHeight="1">
      <c r="A150" s="4"/>
      <c r="B150" s="109" t="s">
        <v>182</v>
      </c>
      <c r="C150" s="4"/>
      <c r="D150" s="4"/>
      <c r="E150" s="4"/>
      <c r="F150" s="4"/>
      <c r="G150" s="4"/>
      <c r="H150" s="4"/>
      <c r="I150" s="4"/>
    </row>
    <row r="151" spans="1:15" ht="15.75" customHeight="1">
      <c r="A151" s="4"/>
      <c r="B151" s="4"/>
      <c r="C151" s="4"/>
      <c r="D151" s="4"/>
      <c r="E151" s="4"/>
      <c r="F151" s="4"/>
      <c r="G151" s="4"/>
      <c r="H151" s="4"/>
      <c r="I151" s="4"/>
    </row>
    <row r="152" spans="1:15" ht="15.75" customHeight="1">
      <c r="A152" s="4"/>
      <c r="B152" s="4"/>
      <c r="C152" s="84" t="s">
        <v>34</v>
      </c>
      <c r="D152" s="85"/>
      <c r="E152" s="95">
        <f>G127*G144</f>
        <v>17.399999999999999</v>
      </c>
      <c r="F152" s="99" t="s">
        <v>74</v>
      </c>
      <c r="G152" s="4"/>
      <c r="H152" s="4"/>
      <c r="I152" s="101"/>
    </row>
    <row r="153" spans="1:15" ht="15.75" customHeight="1">
      <c r="A153" s="4"/>
      <c r="B153" s="4"/>
      <c r="C153" s="84" t="s">
        <v>38</v>
      </c>
      <c r="D153" s="85"/>
      <c r="E153" s="95">
        <f>G127*G145</f>
        <v>4.9799999999999995</v>
      </c>
      <c r="F153" s="99" t="s">
        <v>183</v>
      </c>
      <c r="G153" s="4"/>
      <c r="H153" s="4"/>
      <c r="I153" s="101"/>
      <c r="J153" s="4"/>
    </row>
    <row r="154" spans="1:15" ht="15.75" customHeight="1">
      <c r="A154" s="4"/>
      <c r="B154" s="4"/>
      <c r="C154" s="84" t="s">
        <v>161</v>
      </c>
      <c r="D154" s="85"/>
      <c r="E154" s="95">
        <f>G127*G146</f>
        <v>2.88</v>
      </c>
      <c r="F154" s="99" t="s">
        <v>184</v>
      </c>
      <c r="G154" s="4"/>
      <c r="H154" s="4"/>
      <c r="I154" s="101"/>
      <c r="J154" s="4"/>
    </row>
    <row r="155" spans="1:15" ht="15.75" customHeight="1">
      <c r="A155" s="4"/>
      <c r="B155" s="4"/>
      <c r="C155" s="84" t="s">
        <v>81</v>
      </c>
      <c r="D155" s="85"/>
      <c r="E155" s="96">
        <f>G127*G147</f>
        <v>0.60000000000000009</v>
      </c>
      <c r="F155" s="99" t="s">
        <v>185</v>
      </c>
      <c r="G155" s="4"/>
      <c r="H155" s="4"/>
      <c r="I155" s="101"/>
    </row>
    <row r="156" spans="1:15" ht="15.75" customHeight="1">
      <c r="A156" s="4"/>
      <c r="B156" s="4"/>
      <c r="C156" s="4"/>
      <c r="D156" s="4"/>
      <c r="E156" s="4"/>
      <c r="F156" s="4"/>
      <c r="G156" s="4"/>
      <c r="H156" s="4"/>
      <c r="I156" s="4"/>
    </row>
    <row r="157" spans="1:15" ht="15.75" customHeight="1">
      <c r="A157" s="4"/>
      <c r="B157" s="109" t="s">
        <v>186</v>
      </c>
      <c r="C157" s="4"/>
      <c r="D157" s="4"/>
      <c r="E157" s="4"/>
      <c r="F157" s="4"/>
      <c r="G157" s="4"/>
      <c r="H157" s="4"/>
      <c r="I157" s="4"/>
    </row>
    <row r="158" spans="1:15" ht="15.75" customHeight="1">
      <c r="A158" s="4"/>
      <c r="B158" s="4"/>
      <c r="C158" s="46"/>
      <c r="D158" s="46" t="s">
        <v>76</v>
      </c>
      <c r="E158" s="102">
        <f>F33</f>
        <v>0.05</v>
      </c>
      <c r="F158" s="4"/>
      <c r="G158" s="4"/>
      <c r="H158" s="4"/>
      <c r="I158" s="4"/>
    </row>
    <row r="159" spans="1:15" ht="15.75" customHeight="1">
      <c r="A159" s="4"/>
      <c r="B159" s="4"/>
      <c r="C159" s="170" t="s">
        <v>34</v>
      </c>
      <c r="D159" s="171"/>
      <c r="E159" s="172">
        <f>E152+E152*E158</f>
        <v>18.27</v>
      </c>
      <c r="F159" s="173" t="s">
        <v>74</v>
      </c>
      <c r="G159" s="4"/>
      <c r="H159" s="4"/>
      <c r="I159" s="4"/>
    </row>
    <row r="160" spans="1:15" ht="15.75" customHeight="1">
      <c r="A160" s="4"/>
      <c r="B160" s="4"/>
      <c r="C160" s="170" t="s">
        <v>38</v>
      </c>
      <c r="D160" s="171"/>
      <c r="E160" s="172">
        <f>E153+E153*E158</f>
        <v>5.2289999999999992</v>
      </c>
      <c r="F160" s="173" t="s">
        <v>187</v>
      </c>
      <c r="G160" s="4"/>
      <c r="H160" s="4"/>
      <c r="I160" s="101"/>
      <c r="J160" s="4"/>
      <c r="K160" s="14"/>
      <c r="L160" s="14"/>
      <c r="M160" s="14"/>
      <c r="N160" s="14"/>
      <c r="O160" s="14"/>
    </row>
    <row r="161" spans="1:15" ht="15.75" customHeight="1">
      <c r="A161" s="4"/>
      <c r="B161" s="4"/>
      <c r="C161" s="170" t="s">
        <v>161</v>
      </c>
      <c r="D161" s="171"/>
      <c r="E161" s="172">
        <f>E154+E154*E158</f>
        <v>3.024</v>
      </c>
      <c r="F161" s="173" t="s">
        <v>188</v>
      </c>
      <c r="G161" s="4"/>
      <c r="H161" s="4"/>
      <c r="I161" s="101"/>
      <c r="J161" s="4"/>
      <c r="K161" s="119"/>
      <c r="L161" s="119"/>
      <c r="M161" s="14"/>
      <c r="N161" s="14"/>
      <c r="O161" s="14"/>
    </row>
    <row r="162" spans="1:15" ht="15.75" customHeight="1">
      <c r="A162" s="4"/>
      <c r="B162" s="4"/>
      <c r="C162" s="170" t="s">
        <v>81</v>
      </c>
      <c r="D162" s="171"/>
      <c r="E162" s="174">
        <f>E155+E155*E158</f>
        <v>0.63000000000000012</v>
      </c>
      <c r="F162" s="173" t="s">
        <v>189</v>
      </c>
      <c r="G162" s="4"/>
      <c r="H162" s="4"/>
      <c r="I162" s="4"/>
      <c r="K162" s="14"/>
      <c r="L162" s="14"/>
      <c r="M162" s="14"/>
      <c r="N162" s="14"/>
      <c r="O162" s="14"/>
    </row>
    <row r="163" spans="1:15" ht="15.75" customHeight="1">
      <c r="A163" s="4"/>
      <c r="B163" s="4"/>
      <c r="C163" s="4"/>
      <c r="D163" s="4"/>
      <c r="E163" s="4"/>
      <c r="F163" s="4"/>
      <c r="G163" s="4"/>
      <c r="H163" s="4"/>
      <c r="I163" s="4"/>
      <c r="K163" s="14"/>
      <c r="L163" s="14"/>
      <c r="M163" s="14"/>
      <c r="N163" s="14"/>
      <c r="O163" s="14"/>
    </row>
    <row r="164" spans="1:15" ht="15.75" customHeight="1">
      <c r="A164" s="4"/>
      <c r="B164" s="4"/>
      <c r="C164" s="4"/>
      <c r="D164" s="4"/>
      <c r="E164" s="4"/>
      <c r="F164" s="4"/>
      <c r="G164" s="4"/>
      <c r="H164" s="4"/>
      <c r="I164" s="4"/>
    </row>
    <row r="165" spans="1:1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97"/>
    </row>
    <row r="166" spans="1:15" ht="15.75" customHeight="1">
      <c r="A166" s="368" t="s">
        <v>190</v>
      </c>
      <c r="B166" s="290"/>
      <c r="C166" s="290"/>
      <c r="D166" s="290"/>
      <c r="E166" s="290"/>
      <c r="F166" s="290"/>
      <c r="G166" s="290"/>
      <c r="H166" s="291"/>
      <c r="I166" s="4"/>
    </row>
    <row r="167" spans="1:15" ht="15.75" customHeight="1">
      <c r="A167" s="4"/>
      <c r="B167" s="4"/>
      <c r="C167" s="4"/>
      <c r="D167" s="4"/>
      <c r="E167" s="4"/>
      <c r="F167" s="4"/>
      <c r="G167" s="4"/>
      <c r="H167" s="4"/>
      <c r="I167" s="4"/>
    </row>
    <row r="168" spans="1:15" ht="15.75" customHeight="1">
      <c r="A168" s="4"/>
      <c r="B168" s="4"/>
      <c r="C168" s="175" t="s">
        <v>34</v>
      </c>
      <c r="D168" s="176"/>
      <c r="E168" s="177">
        <f t="shared" ref="E168:E171" si="4">E159</f>
        <v>18.27</v>
      </c>
      <c r="F168" s="178" t="s">
        <v>74</v>
      </c>
      <c r="G168" s="101"/>
      <c r="H168" s="4"/>
      <c r="I168" s="179"/>
    </row>
    <row r="169" spans="1:15" ht="15.75" customHeight="1">
      <c r="A169" s="4"/>
      <c r="B169" s="4"/>
      <c r="C169" s="175" t="s">
        <v>38</v>
      </c>
      <c r="D169" s="176"/>
      <c r="E169" s="177">
        <f t="shared" si="4"/>
        <v>5.2289999999999992</v>
      </c>
      <c r="F169" s="178" t="s">
        <v>191</v>
      </c>
      <c r="G169" s="101"/>
      <c r="H169" s="4"/>
      <c r="I169" s="179"/>
      <c r="K169" s="116"/>
    </row>
    <row r="170" spans="1:15" ht="15.75" customHeight="1">
      <c r="A170" s="4"/>
      <c r="B170" s="4"/>
      <c r="C170" s="175" t="s">
        <v>161</v>
      </c>
      <c r="D170" s="176"/>
      <c r="E170" s="177">
        <f t="shared" si="4"/>
        <v>3.024</v>
      </c>
      <c r="F170" s="178" t="s">
        <v>192</v>
      </c>
      <c r="G170" s="101"/>
      <c r="H170" s="4"/>
      <c r="I170" s="179"/>
    </row>
    <row r="171" spans="1:15" ht="15.75" customHeight="1">
      <c r="A171" s="4"/>
      <c r="B171" s="4"/>
      <c r="C171" s="175" t="s">
        <v>81</v>
      </c>
      <c r="D171" s="176"/>
      <c r="E171" s="180">
        <f t="shared" si="4"/>
        <v>0.63000000000000012</v>
      </c>
      <c r="F171" s="178" t="s">
        <v>193</v>
      </c>
      <c r="G171" s="111"/>
      <c r="H171" s="4"/>
      <c r="I171" s="179"/>
      <c r="K171" s="98"/>
    </row>
    <row r="172" spans="1:15" ht="15.75" customHeight="1">
      <c r="A172" s="4"/>
      <c r="B172" s="4"/>
      <c r="C172" s="4"/>
      <c r="D172" s="4"/>
      <c r="E172" s="4"/>
      <c r="F172" s="4"/>
      <c r="G172" s="4"/>
      <c r="H172" s="4"/>
      <c r="I172" s="4"/>
      <c r="K172" s="98"/>
    </row>
    <row r="173" spans="1:15" ht="15.75" customHeight="1">
      <c r="A173" s="4"/>
      <c r="B173" s="4"/>
      <c r="C173" s="4"/>
      <c r="D173" s="4"/>
      <c r="E173" s="4"/>
      <c r="F173" s="4"/>
      <c r="G173" s="4"/>
      <c r="H173" s="4"/>
      <c r="I173" s="4"/>
      <c r="K173" s="98"/>
    </row>
    <row r="174" spans="1:15" ht="15.75" customHeight="1">
      <c r="A174" s="4"/>
      <c r="B174" s="4"/>
      <c r="C174" s="4"/>
      <c r="D174" s="4"/>
      <c r="E174" s="4"/>
      <c r="F174" s="4"/>
      <c r="G174" s="4"/>
      <c r="H174" s="4"/>
      <c r="I174" s="4"/>
      <c r="K174" s="98"/>
    </row>
    <row r="175" spans="1:15" ht="15.75" customHeight="1">
      <c r="A175" s="4"/>
      <c r="B175" s="4"/>
      <c r="C175" s="4"/>
      <c r="D175" s="4"/>
      <c r="E175" s="4"/>
      <c r="F175" s="4"/>
      <c r="G175" s="4"/>
      <c r="H175" s="4"/>
      <c r="I175" s="4"/>
      <c r="K175" s="98"/>
    </row>
    <row r="176" spans="1:15" ht="15.75" customHeight="1">
      <c r="A176" s="369" t="s">
        <v>194</v>
      </c>
      <c r="B176" s="342"/>
      <c r="C176" s="337"/>
      <c r="E176" s="4"/>
      <c r="F176" s="4"/>
      <c r="G176" s="4"/>
      <c r="I176" s="4"/>
      <c r="K176" s="98"/>
    </row>
    <row r="177" spans="1:15" ht="15.75" customHeight="1">
      <c r="A177" s="4"/>
      <c r="B177" s="4"/>
      <c r="C177" s="4"/>
      <c r="D177" s="4"/>
      <c r="E177" s="181"/>
      <c r="F177" s="182"/>
      <c r="G177" s="183"/>
      <c r="H177" s="4"/>
      <c r="I177" s="4"/>
    </row>
    <row r="178" spans="1:15" ht="15.75" customHeight="1">
      <c r="A178" s="4"/>
      <c r="B178" s="4"/>
      <c r="C178" s="4"/>
      <c r="D178" s="4"/>
      <c r="E178" s="184"/>
      <c r="F178" s="185"/>
      <c r="G178" s="186"/>
      <c r="H178" s="4"/>
      <c r="I178" s="4"/>
      <c r="K178" s="117"/>
    </row>
    <row r="179" spans="1:15" ht="15.75" customHeight="1">
      <c r="A179" s="4"/>
      <c r="B179" s="4"/>
      <c r="C179" s="4"/>
      <c r="D179" s="4"/>
      <c r="E179" s="4"/>
      <c r="F179" s="4"/>
      <c r="G179" s="4"/>
      <c r="I179" s="4"/>
      <c r="K179" s="117"/>
    </row>
    <row r="180" spans="1:15" ht="15.75" customHeight="1">
      <c r="A180" s="4"/>
      <c r="B180" s="4"/>
      <c r="C180" s="4"/>
      <c r="D180" s="378" t="s">
        <v>82</v>
      </c>
      <c r="E180" s="291"/>
      <c r="F180" s="46">
        <f>C48</f>
        <v>8</v>
      </c>
      <c r="G180" s="15" t="s">
        <v>13</v>
      </c>
      <c r="H180" s="4"/>
      <c r="I180" s="4"/>
      <c r="K180" s="117"/>
    </row>
    <row r="181" spans="1:15" ht="15.75" customHeight="1">
      <c r="A181" s="4"/>
      <c r="B181" s="4"/>
      <c r="C181" s="4"/>
      <c r="D181" s="4"/>
      <c r="E181" s="4"/>
      <c r="F181" s="4"/>
      <c r="G181" s="4"/>
      <c r="H181" s="4"/>
      <c r="I181" s="4"/>
      <c r="K181" s="117"/>
    </row>
    <row r="182" spans="1:15" ht="15.75" customHeight="1">
      <c r="A182" s="4"/>
      <c r="B182" s="5" t="s">
        <v>195</v>
      </c>
      <c r="C182" s="4"/>
      <c r="D182" s="4"/>
      <c r="E182" s="4"/>
      <c r="F182" s="4"/>
      <c r="G182" s="4"/>
      <c r="H182" s="4"/>
      <c r="I182" s="4"/>
      <c r="K182" s="117"/>
    </row>
    <row r="183" spans="1:15" ht="15.75" customHeight="1">
      <c r="A183" s="4"/>
      <c r="B183" s="4"/>
      <c r="C183" s="336" t="s">
        <v>83</v>
      </c>
      <c r="D183" s="337"/>
      <c r="E183" s="10">
        <f>C52</f>
        <v>25</v>
      </c>
      <c r="F183" s="4" t="s">
        <v>196</v>
      </c>
      <c r="G183" s="4"/>
      <c r="H183" s="4"/>
      <c r="I183" s="4"/>
      <c r="K183" s="117"/>
    </row>
    <row r="184" spans="1:15" ht="15.75" customHeight="1">
      <c r="A184" s="4"/>
      <c r="B184" s="4"/>
      <c r="C184" s="327" t="s">
        <v>84</v>
      </c>
      <c r="D184" s="301"/>
      <c r="E184" s="325" t="s">
        <v>85</v>
      </c>
      <c r="F184" s="325" t="s">
        <v>86</v>
      </c>
      <c r="G184" s="338" t="s">
        <v>87</v>
      </c>
      <c r="H184" s="4"/>
      <c r="I184" s="4"/>
      <c r="K184" s="117"/>
    </row>
    <row r="185" spans="1:15" ht="15.75" customHeight="1">
      <c r="A185" s="4"/>
      <c r="B185" s="4"/>
      <c r="C185" s="302"/>
      <c r="D185" s="303"/>
      <c r="E185" s="306"/>
      <c r="F185" s="306"/>
      <c r="G185" s="306"/>
      <c r="H185" s="4"/>
      <c r="I185" s="4"/>
      <c r="K185" s="117"/>
    </row>
    <row r="186" spans="1:15" ht="15" customHeight="1">
      <c r="A186" s="4"/>
      <c r="B186" s="4"/>
      <c r="C186" s="187"/>
      <c r="D186" s="188"/>
      <c r="E186" s="112" t="s">
        <v>17</v>
      </c>
      <c r="F186" s="113">
        <f>D52</f>
        <v>0.1</v>
      </c>
      <c r="G186" s="114">
        <f t="shared" ref="G186:G190" si="5">(F186*$F$180)/$E$183</f>
        <v>3.2000000000000001E-2</v>
      </c>
      <c r="H186" s="4"/>
      <c r="I186" s="4"/>
    </row>
    <row r="187" spans="1:15" ht="15" customHeight="1">
      <c r="A187" s="4"/>
      <c r="B187" s="4"/>
      <c r="C187" s="379" t="str">
        <f>A52</f>
        <v>CONCRETO PARA CIMIENTOS CORRIDOS</v>
      </c>
      <c r="D187" s="380"/>
      <c r="E187" s="112" t="s">
        <v>18</v>
      </c>
      <c r="F187" s="113">
        <f>E52</f>
        <v>1</v>
      </c>
      <c r="G187" s="114">
        <f t="shared" si="5"/>
        <v>0.32</v>
      </c>
      <c r="H187" s="4"/>
      <c r="I187" s="4"/>
    </row>
    <row r="188" spans="1:15" ht="15.75" customHeight="1">
      <c r="A188" s="4"/>
      <c r="B188" s="4"/>
      <c r="C188" s="302"/>
      <c r="D188" s="303"/>
      <c r="E188" s="112" t="s">
        <v>19</v>
      </c>
      <c r="F188" s="113">
        <f>F52</f>
        <v>2</v>
      </c>
      <c r="G188" s="114">
        <f t="shared" si="5"/>
        <v>0.64</v>
      </c>
      <c r="H188" s="4"/>
      <c r="I188" s="4"/>
    </row>
    <row r="189" spans="1:15" ht="15.75" customHeight="1">
      <c r="A189" s="4"/>
      <c r="B189" s="4"/>
      <c r="C189" s="381" t="str">
        <f>A54</f>
        <v>1:10 + 30% PG</v>
      </c>
      <c r="D189" s="382"/>
      <c r="E189" s="112" t="s">
        <v>20</v>
      </c>
      <c r="F189" s="113">
        <f>G52</f>
        <v>8</v>
      </c>
      <c r="G189" s="114">
        <f t="shared" si="5"/>
        <v>2.56</v>
      </c>
      <c r="H189" s="4"/>
      <c r="I189" s="4"/>
    </row>
    <row r="190" spans="1:15" ht="15.75" customHeight="1">
      <c r="A190" s="4"/>
      <c r="B190" s="4"/>
      <c r="C190" s="189"/>
      <c r="D190" s="190"/>
      <c r="E190" s="115" t="s">
        <v>88</v>
      </c>
      <c r="F190" s="113">
        <f>H52</f>
        <v>1</v>
      </c>
      <c r="G190" s="114">
        <f t="shared" si="5"/>
        <v>0.32</v>
      </c>
      <c r="H190" s="4"/>
      <c r="I190" s="4"/>
      <c r="K190" s="14"/>
      <c r="L190" s="14"/>
      <c r="M190" s="14"/>
      <c r="N190" s="14"/>
      <c r="O190" s="14"/>
    </row>
    <row r="191" spans="1:15" ht="15.75" customHeight="1">
      <c r="A191" s="4"/>
      <c r="B191" s="4"/>
      <c r="C191" s="4"/>
      <c r="D191" s="4"/>
      <c r="E191" s="4"/>
      <c r="F191" s="4"/>
      <c r="G191" s="4"/>
      <c r="H191" s="4"/>
      <c r="I191" s="4"/>
      <c r="K191" s="119"/>
      <c r="L191" s="119"/>
      <c r="M191" s="14"/>
      <c r="N191" s="14"/>
      <c r="O191" s="14"/>
    </row>
    <row r="192" spans="1:15" ht="15.75" customHeight="1">
      <c r="A192" s="4"/>
      <c r="B192" s="4"/>
      <c r="C192" s="4"/>
      <c r="D192" s="4"/>
      <c r="E192" s="4"/>
      <c r="F192" s="4"/>
      <c r="G192" s="4"/>
      <c r="H192" s="4"/>
      <c r="I192" s="4"/>
      <c r="K192" s="14"/>
      <c r="L192" s="14"/>
      <c r="M192" s="14"/>
      <c r="N192" s="14"/>
      <c r="O192" s="14"/>
    </row>
    <row r="193" spans="1:18" ht="15.75" customHeight="1">
      <c r="A193" s="335" t="s">
        <v>89</v>
      </c>
      <c r="B193" s="290"/>
      <c r="C193" s="290"/>
      <c r="D193" s="291"/>
      <c r="E193" s="4"/>
      <c r="F193" s="4"/>
      <c r="G193" s="4"/>
      <c r="H193" s="4"/>
      <c r="I193" s="4"/>
      <c r="K193" s="14"/>
      <c r="L193" s="14"/>
      <c r="M193" s="14"/>
      <c r="N193" s="14"/>
      <c r="O193" s="14"/>
    </row>
    <row r="194" spans="1:18" ht="15.75" customHeight="1">
      <c r="A194" s="4"/>
      <c r="B194" s="4"/>
      <c r="C194" s="4"/>
      <c r="D194" s="4"/>
      <c r="E194" s="4"/>
      <c r="F194" s="4"/>
      <c r="G194" s="4"/>
      <c r="H194" s="4"/>
      <c r="I194" s="4"/>
    </row>
    <row r="195" spans="1:18" ht="15.75" customHeight="1">
      <c r="A195" s="4"/>
      <c r="B195" s="5" t="s">
        <v>197</v>
      </c>
      <c r="C195" s="4"/>
      <c r="D195" s="4"/>
      <c r="E195" s="4"/>
      <c r="F195" s="4"/>
      <c r="G195" s="4"/>
      <c r="H195" s="4"/>
      <c r="I195" s="4"/>
    </row>
    <row r="196" spans="1:18" ht="15.75" customHeight="1">
      <c r="A196" s="4"/>
      <c r="B196" s="4"/>
      <c r="C196" s="336" t="s">
        <v>83</v>
      </c>
      <c r="D196" s="337"/>
      <c r="E196" s="10">
        <f>C52</f>
        <v>25</v>
      </c>
      <c r="F196" s="4" t="s">
        <v>198</v>
      </c>
      <c r="G196" s="4"/>
      <c r="H196" s="4"/>
      <c r="I196" s="4"/>
    </row>
    <row r="197" spans="1:18" ht="15.75" customHeight="1">
      <c r="A197" s="4"/>
      <c r="B197" s="4"/>
      <c r="C197" s="327" t="s">
        <v>84</v>
      </c>
      <c r="D197" s="301"/>
      <c r="E197" s="325" t="s">
        <v>90</v>
      </c>
      <c r="F197" s="325" t="s">
        <v>86</v>
      </c>
      <c r="G197" s="338" t="s">
        <v>91</v>
      </c>
      <c r="H197" s="4"/>
      <c r="I197" s="4"/>
    </row>
    <row r="198" spans="1:18" ht="15.75" customHeight="1">
      <c r="A198" s="4"/>
      <c r="B198" s="4"/>
      <c r="C198" s="310"/>
      <c r="D198" s="328"/>
      <c r="E198" s="306"/>
      <c r="F198" s="306"/>
      <c r="G198" s="306"/>
      <c r="H198" s="4"/>
      <c r="I198" s="4"/>
    </row>
    <row r="199" spans="1:18" ht="15.75" customHeight="1">
      <c r="A199" s="4"/>
      <c r="B199" s="4"/>
      <c r="C199" s="340" t="str">
        <f>A52</f>
        <v>CONCRETO PARA CIMIENTOS CORRIDOS</v>
      </c>
      <c r="D199" s="301"/>
      <c r="E199" s="374" t="s">
        <v>43</v>
      </c>
      <c r="F199" s="375">
        <f>E59</f>
        <v>1</v>
      </c>
      <c r="G199" s="339">
        <f>(F199*F180)/E196</f>
        <v>0.32</v>
      </c>
      <c r="H199" s="4"/>
      <c r="I199" s="4"/>
    </row>
    <row r="200" spans="1:18" ht="21.75" customHeight="1">
      <c r="A200" s="4"/>
      <c r="B200" s="4"/>
      <c r="C200" s="310"/>
      <c r="D200" s="328"/>
      <c r="E200" s="306"/>
      <c r="F200" s="306"/>
      <c r="G200" s="306"/>
      <c r="H200" s="4"/>
      <c r="I200" s="4"/>
    </row>
    <row r="201" spans="1:18" ht="15.75" customHeight="1">
      <c r="A201" s="4"/>
      <c r="B201" s="4"/>
      <c r="C201" s="4"/>
      <c r="D201" s="4"/>
      <c r="E201" s="4"/>
      <c r="F201" s="4"/>
      <c r="G201" s="4"/>
      <c r="H201" s="4"/>
      <c r="I201" s="4"/>
    </row>
    <row r="202" spans="1:18" ht="15.75" customHeight="1">
      <c r="A202" s="4"/>
      <c r="B202" s="4"/>
      <c r="C202" s="4"/>
      <c r="D202" s="4"/>
      <c r="E202" s="4"/>
      <c r="F202" s="4"/>
      <c r="G202" s="4"/>
      <c r="H202" s="4"/>
      <c r="I202" s="4"/>
    </row>
    <row r="203" spans="1:18" ht="15.75" customHeight="1">
      <c r="A203" s="4"/>
      <c r="B203" s="4"/>
      <c r="C203" s="4"/>
      <c r="D203" s="4"/>
      <c r="E203" s="4"/>
      <c r="F203" s="4"/>
      <c r="G203" s="4"/>
      <c r="H203" s="4"/>
      <c r="I203" s="4"/>
    </row>
    <row r="204" spans="1:18" ht="15.75" customHeight="1">
      <c r="A204" s="341" t="s">
        <v>199</v>
      </c>
      <c r="B204" s="342"/>
      <c r="C204" s="342"/>
      <c r="D204" s="337"/>
      <c r="E204" s="4"/>
      <c r="F204" s="4"/>
      <c r="G204" s="4"/>
      <c r="H204" s="4"/>
      <c r="I204" s="4"/>
    </row>
    <row r="205" spans="1:18" ht="15.75" customHeight="1">
      <c r="A205" s="118"/>
      <c r="B205" s="118"/>
      <c r="C205" s="118"/>
      <c r="D205" s="118"/>
      <c r="E205" s="4"/>
      <c r="F205" s="4"/>
      <c r="G205" s="4"/>
      <c r="H205" s="4"/>
      <c r="I205" s="4"/>
    </row>
    <row r="206" spans="1:18" ht="15.75" customHeight="1">
      <c r="A206" s="118"/>
      <c r="B206" s="118"/>
      <c r="C206" s="118"/>
      <c r="D206" s="118"/>
      <c r="E206" s="4"/>
      <c r="F206" s="4"/>
      <c r="G206" s="4"/>
      <c r="H206" s="4"/>
      <c r="I206" s="4"/>
      <c r="J206" s="14"/>
      <c r="P206" s="14"/>
      <c r="Q206" s="14"/>
      <c r="R206" s="14"/>
    </row>
    <row r="207" spans="1:18" ht="15.75" customHeight="1">
      <c r="A207" s="4"/>
      <c r="B207" s="4"/>
      <c r="C207" s="292" t="s">
        <v>92</v>
      </c>
      <c r="D207" s="291"/>
      <c r="E207" s="293" t="str">
        <f>IF(D115="SI","MAYOR A 50 UIT",IF(AND(D115="NO"),"MENOR A 50 UIT"))</f>
        <v>MAYOR A 50 UIT</v>
      </c>
      <c r="F207" s="291"/>
      <c r="G207" s="39"/>
      <c r="H207" s="39"/>
      <c r="I207" s="39"/>
      <c r="J207" s="119"/>
      <c r="K207" s="14"/>
      <c r="L207" s="14"/>
      <c r="M207" s="14"/>
      <c r="N207" s="14"/>
      <c r="O207" s="14"/>
      <c r="P207" s="14"/>
      <c r="Q207" s="14"/>
      <c r="R207" s="14"/>
    </row>
    <row r="208" spans="1:18" ht="15.75" customHeight="1">
      <c r="A208" s="4"/>
      <c r="B208" s="4"/>
      <c r="C208" s="292" t="s">
        <v>93</v>
      </c>
      <c r="D208" s="291"/>
      <c r="E208" s="12" t="str">
        <f>IF(E81="Incluido IGV","INCLUIDO IGV",IF(AND(E81="Sin IGV"),"SIN IGV"))</f>
        <v>SIN IGV</v>
      </c>
      <c r="F208" s="15"/>
      <c r="G208" s="4"/>
      <c r="H208" s="4"/>
      <c r="I208" s="4"/>
      <c r="J208" s="14"/>
      <c r="K208" s="119"/>
      <c r="L208" s="119"/>
      <c r="M208" s="14"/>
      <c r="N208" s="14"/>
      <c r="O208" s="14"/>
      <c r="P208" s="14"/>
      <c r="Q208" s="14"/>
      <c r="R208" s="14"/>
    </row>
    <row r="209" spans="1:18" ht="15.75" customHeight="1">
      <c r="A209" s="4"/>
      <c r="B209" s="4"/>
      <c r="C209" s="120"/>
      <c r="D209" s="120"/>
      <c r="E209" s="93"/>
      <c r="F209" s="4"/>
      <c r="G209" s="4"/>
      <c r="H209" s="4"/>
      <c r="I209" s="4"/>
      <c r="J209" s="14"/>
      <c r="K209" s="14"/>
      <c r="L209" s="14"/>
      <c r="M209" s="14"/>
      <c r="N209" s="14"/>
      <c r="O209" s="14"/>
      <c r="P209" s="14"/>
      <c r="Q209" s="14"/>
      <c r="R209" s="14"/>
    </row>
    <row r="210" spans="1:18" ht="15.75" customHeight="1">
      <c r="A210" s="4"/>
      <c r="B210" s="4"/>
      <c r="C210" s="4"/>
      <c r="D210" s="4"/>
      <c r="E210" s="4"/>
      <c r="F210" s="4"/>
      <c r="G210" s="4"/>
      <c r="H210" s="4"/>
      <c r="I210" s="4"/>
      <c r="K210" s="14"/>
      <c r="L210" s="14"/>
      <c r="M210" s="14"/>
      <c r="N210" s="14"/>
      <c r="O210" s="14"/>
    </row>
    <row r="211" spans="1:18" ht="15.75" customHeight="1">
      <c r="A211" s="343" t="s">
        <v>94</v>
      </c>
      <c r="B211" s="291"/>
      <c r="C211" s="344" t="s">
        <v>156</v>
      </c>
      <c r="D211" s="290"/>
      <c r="E211" s="291"/>
      <c r="F211" s="191" t="str">
        <f>A54</f>
        <v>1:10 + 30% PG</v>
      </c>
      <c r="G211" s="93"/>
      <c r="H211" s="192"/>
      <c r="I211" s="4"/>
    </row>
    <row r="212" spans="1:18" ht="15.75" customHeight="1">
      <c r="A212" s="4"/>
      <c r="B212" s="4"/>
      <c r="C212" s="44" t="s">
        <v>95</v>
      </c>
      <c r="D212" s="10">
        <f>C52</f>
        <v>25</v>
      </c>
      <c r="E212" s="4" t="s">
        <v>200</v>
      </c>
      <c r="F212" s="4"/>
      <c r="G212" s="4"/>
      <c r="H212" s="4"/>
      <c r="I212" s="4"/>
    </row>
    <row r="213" spans="1:18" ht="15.75" customHeight="1">
      <c r="A213" s="4"/>
      <c r="B213" s="4"/>
      <c r="C213" s="44" t="s">
        <v>96</v>
      </c>
      <c r="D213" s="91" t="s">
        <v>201</v>
      </c>
      <c r="E213" s="4"/>
      <c r="F213" s="120"/>
      <c r="G213" s="120" t="s">
        <v>97</v>
      </c>
      <c r="H213" s="92">
        <f>H216+H222+H229</f>
        <v>231.00348177400747</v>
      </c>
      <c r="I213" s="4"/>
      <c r="J213" s="124"/>
    </row>
    <row r="214" spans="1:18" ht="15.75" customHeight="1">
      <c r="A214" s="329"/>
      <c r="B214" s="298"/>
      <c r="C214" s="193" t="s">
        <v>98</v>
      </c>
      <c r="D214" s="193" t="s">
        <v>99</v>
      </c>
      <c r="E214" s="193" t="s">
        <v>100</v>
      </c>
      <c r="F214" s="193" t="s">
        <v>101</v>
      </c>
      <c r="G214" s="329" t="s">
        <v>102</v>
      </c>
      <c r="H214" s="298"/>
      <c r="I214" s="4"/>
    </row>
    <row r="215" spans="1:18" ht="15.75" customHeight="1">
      <c r="A215" s="332" t="s">
        <v>103</v>
      </c>
      <c r="B215" s="320"/>
      <c r="C215" s="320"/>
      <c r="D215" s="320"/>
      <c r="E215" s="320"/>
      <c r="F215" s="320"/>
      <c r="G215" s="320"/>
      <c r="H215" s="321"/>
      <c r="I215" s="4"/>
    </row>
    <row r="216" spans="1:18" ht="15.75" customHeight="1">
      <c r="A216" s="324" t="s">
        <v>104</v>
      </c>
      <c r="B216" s="298"/>
      <c r="C216" s="7" t="s">
        <v>105</v>
      </c>
      <c r="D216" s="121">
        <f t="shared" ref="D216:D220" si="6">G186</f>
        <v>3.2000000000000001E-2</v>
      </c>
      <c r="E216" s="8">
        <f>IF(D115="SI",G104,IF(AND(D115="NO"),((E90*1.1)/8)))</f>
        <v>26.646464625</v>
      </c>
      <c r="F216" s="122">
        <f t="shared" ref="F216:F220" si="7">D216*E216</f>
        <v>0.85268686800000004</v>
      </c>
      <c r="G216" s="330" t="s">
        <v>36</v>
      </c>
      <c r="H216" s="331">
        <f>F216+F217+F218+F219+F220</f>
        <v>73.46067837199999</v>
      </c>
      <c r="I216" s="4"/>
      <c r="J216" s="97"/>
    </row>
    <row r="217" spans="1:18" ht="15.75" customHeight="1">
      <c r="A217" s="324" t="s">
        <v>106</v>
      </c>
      <c r="B217" s="298"/>
      <c r="C217" s="7" t="s">
        <v>105</v>
      </c>
      <c r="D217" s="121">
        <f t="shared" si="6"/>
        <v>0.32</v>
      </c>
      <c r="E217" s="8">
        <f>IF(D115="SI",G105,IF(AND(D115="NO"),(E90/8)))</f>
        <v>24.224058749999998</v>
      </c>
      <c r="F217" s="122">
        <f t="shared" si="7"/>
        <v>7.7516987999999998</v>
      </c>
      <c r="G217" s="312"/>
      <c r="H217" s="315"/>
      <c r="I217" s="4"/>
      <c r="J217" s="97"/>
    </row>
    <row r="218" spans="1:18" ht="15.75" customHeight="1">
      <c r="A218" s="324" t="s">
        <v>107</v>
      </c>
      <c r="B218" s="298"/>
      <c r="C218" s="7" t="s">
        <v>105</v>
      </c>
      <c r="D218" s="121">
        <f t="shared" si="6"/>
        <v>0.64</v>
      </c>
      <c r="E218" s="8">
        <f>IF(D115="SI",G106,IF(AND(D115="NO"),(F90/8)))</f>
        <v>19.121340624999998</v>
      </c>
      <c r="F218" s="122">
        <f t="shared" si="7"/>
        <v>12.237658</v>
      </c>
      <c r="G218" s="312"/>
      <c r="H218" s="315"/>
      <c r="I218" s="4"/>
      <c r="J218" s="97"/>
    </row>
    <row r="219" spans="1:18" ht="15.75" customHeight="1">
      <c r="A219" s="324" t="s">
        <v>108</v>
      </c>
      <c r="B219" s="298"/>
      <c r="C219" s="7" t="s">
        <v>105</v>
      </c>
      <c r="D219" s="121">
        <f t="shared" si="6"/>
        <v>2.56</v>
      </c>
      <c r="E219" s="8">
        <f>IF(D115="SI",G107,IF(AND(D115="NO"),(G90/8)))</f>
        <v>17.283906249999998</v>
      </c>
      <c r="F219" s="122">
        <f t="shared" si="7"/>
        <v>44.246799999999993</v>
      </c>
      <c r="G219" s="312"/>
      <c r="H219" s="315"/>
      <c r="I219" s="4"/>
      <c r="J219" s="97"/>
    </row>
    <row r="220" spans="1:18" ht="15.75" customHeight="1">
      <c r="A220" s="324" t="s">
        <v>119</v>
      </c>
      <c r="B220" s="298"/>
      <c r="C220" s="7" t="s">
        <v>105</v>
      </c>
      <c r="D220" s="121">
        <f t="shared" si="6"/>
        <v>0.32</v>
      </c>
      <c r="E220" s="8">
        <f>IF(D115="SI",G109,IF(AND(D115="NO"),((E90*1.08)/8)))</f>
        <v>26.161983449999997</v>
      </c>
      <c r="F220" s="122">
        <f t="shared" si="7"/>
        <v>8.3718347039999994</v>
      </c>
      <c r="G220" s="313"/>
      <c r="H220" s="316"/>
      <c r="I220" s="4"/>
      <c r="J220" s="97"/>
    </row>
    <row r="221" spans="1:18" ht="15.75" customHeight="1">
      <c r="A221" s="332" t="s">
        <v>109</v>
      </c>
      <c r="B221" s="320"/>
      <c r="C221" s="320"/>
      <c r="D221" s="320"/>
      <c r="E221" s="320"/>
      <c r="F221" s="320"/>
      <c r="G221" s="320"/>
      <c r="H221" s="321"/>
      <c r="I221" s="4"/>
      <c r="J221" s="97"/>
    </row>
    <row r="222" spans="1:18" ht="15.75" customHeight="1">
      <c r="A222" s="324" t="s">
        <v>110</v>
      </c>
      <c r="B222" s="298"/>
      <c r="C222" s="7" t="s">
        <v>111</v>
      </c>
      <c r="D222" s="121">
        <f t="shared" ref="D222:D225" si="8">G144</f>
        <v>2.9</v>
      </c>
      <c r="E222" s="8">
        <f>IF(E81="Incluido IGV",F68,IF(AND(E81="Sin IGV"),H68))</f>
        <v>25.423728813559322</v>
      </c>
      <c r="F222" s="122">
        <f t="shared" ref="F222:F227" si="9">D222*E222</f>
        <v>73.728813559322035</v>
      </c>
      <c r="G222" s="330" t="s">
        <v>36</v>
      </c>
      <c r="H222" s="331">
        <f>F222+F223+F224+F225+F226+F227</f>
        <v>152.08474576271189</v>
      </c>
      <c r="I222" s="4"/>
    </row>
    <row r="223" spans="1:18" ht="15.75" customHeight="1">
      <c r="A223" s="324" t="s">
        <v>120</v>
      </c>
      <c r="B223" s="298"/>
      <c r="C223" s="7" t="s">
        <v>202</v>
      </c>
      <c r="D223" s="121">
        <f t="shared" si="8"/>
        <v>0.83</v>
      </c>
      <c r="E223" s="8">
        <f>IF(E81="Incluido IGV",F69,IF(AND(E81="Sin IGV"),H69))</f>
        <v>50.847457627118644</v>
      </c>
      <c r="F223" s="122">
        <f t="shared" si="9"/>
        <v>42.20338983050847</v>
      </c>
      <c r="G223" s="312"/>
      <c r="H223" s="315"/>
      <c r="I223" s="4"/>
      <c r="J223" s="97"/>
    </row>
    <row r="224" spans="1:18" ht="15.75" customHeight="1">
      <c r="A224" s="324" t="s">
        <v>203</v>
      </c>
      <c r="B224" s="298"/>
      <c r="C224" s="7" t="s">
        <v>204</v>
      </c>
      <c r="D224" s="121">
        <f t="shared" si="8"/>
        <v>0.48</v>
      </c>
      <c r="E224" s="8">
        <f>IF(E81="Incluido IGV",F70,IF(AND(E81="Sin IGV"),H70))</f>
        <v>67.79661016949153</v>
      </c>
      <c r="F224" s="122">
        <f t="shared" si="9"/>
        <v>32.542372881355931</v>
      </c>
      <c r="G224" s="312"/>
      <c r="H224" s="315"/>
      <c r="I224" s="4"/>
    </row>
    <row r="225" spans="1:18" ht="15.75" customHeight="1">
      <c r="A225" s="324" t="s">
        <v>113</v>
      </c>
      <c r="B225" s="298"/>
      <c r="C225" s="7" t="s">
        <v>205</v>
      </c>
      <c r="D225" s="121">
        <f t="shared" si="8"/>
        <v>0.1</v>
      </c>
      <c r="E225" s="8">
        <f>IF(E81="Incluido IGV",F71,IF(AND(E81="Sin IGV"),H71))</f>
        <v>4.2372881355932206</v>
      </c>
      <c r="F225" s="122">
        <f t="shared" si="9"/>
        <v>0.42372881355932207</v>
      </c>
      <c r="G225" s="312"/>
      <c r="H225" s="315"/>
      <c r="I225" s="4"/>
    </row>
    <row r="226" spans="1:18" ht="15.75" customHeight="1">
      <c r="A226" s="324" t="str">
        <f>IF(G41="NO","GASOLINA 84 OCTANOS",IF(AND(G41="SI"),"-"))</f>
        <v>GASOLINA 84 OCTANOS</v>
      </c>
      <c r="B226" s="298"/>
      <c r="C226" s="7" t="str">
        <f>IF(G41="NO","galón",IF(AND(G41="SI"),"-"))</f>
        <v>galón</v>
      </c>
      <c r="D226" s="121">
        <f t="shared" ref="D226:D227" si="10">IF(G41="NO",E38,IF(AND(G41="SI"),0))</f>
        <v>0.24</v>
      </c>
      <c r="E226" s="8">
        <f>IF(E81="Incluido IGV",F72,IF(AND(E81="Sin IGV"),H72))</f>
        <v>12.711864406779661</v>
      </c>
      <c r="F226" s="122">
        <f t="shared" si="9"/>
        <v>3.0508474576271185</v>
      </c>
      <c r="G226" s="312"/>
      <c r="H226" s="315"/>
      <c r="I226" s="4"/>
    </row>
    <row r="227" spans="1:18" ht="15.75" customHeight="1">
      <c r="A227" s="324" t="str">
        <f>IF(G42="NO","GRASA MULTIPROPÓSITOS",IF(AND(G42="SI"),"-"))</f>
        <v>GRASA MULTIPROPÓSITOS</v>
      </c>
      <c r="B227" s="298"/>
      <c r="C227" s="7" t="str">
        <f>IF(G42="NO","kg",IF(AND(G42="SI"),"-"))</f>
        <v>kg</v>
      </c>
      <c r="D227" s="121">
        <f t="shared" si="10"/>
        <v>8.0000000000000002E-3</v>
      </c>
      <c r="E227" s="8">
        <f>IF(E81="Incluido IGV",F73,IF(AND(E81="Sin IGV"),H73))</f>
        <v>16.949152542372882</v>
      </c>
      <c r="F227" s="122">
        <f t="shared" si="9"/>
        <v>0.13559322033898305</v>
      </c>
      <c r="G227" s="313"/>
      <c r="H227" s="316"/>
      <c r="I227" s="4"/>
    </row>
    <row r="228" spans="1:18" ht="15.75" customHeight="1">
      <c r="A228" s="332" t="s">
        <v>114</v>
      </c>
      <c r="B228" s="320"/>
      <c r="C228" s="320"/>
      <c r="D228" s="320"/>
      <c r="E228" s="320"/>
      <c r="F228" s="320"/>
      <c r="G228" s="320"/>
      <c r="H228" s="321"/>
      <c r="I228" s="4"/>
    </row>
    <row r="229" spans="1:18" ht="15.75" customHeight="1">
      <c r="A229" s="333" t="s">
        <v>116</v>
      </c>
      <c r="B229" s="298"/>
      <c r="C229" s="7" t="s">
        <v>115</v>
      </c>
      <c r="D229" s="114">
        <f>G199</f>
        <v>0.32</v>
      </c>
      <c r="E229" s="64">
        <f>IF(E81="Incluido IGV",F78,IF(AND(E81="Sin IGV"),H78))</f>
        <v>10.16949152542373</v>
      </c>
      <c r="F229" s="125">
        <f t="shared" ref="F229:F230" si="11">D229*E229</f>
        <v>3.2542372881355939</v>
      </c>
      <c r="G229" s="330" t="s">
        <v>36</v>
      </c>
      <c r="H229" s="331">
        <f>F229+F230</f>
        <v>5.4580576392955935</v>
      </c>
      <c r="I229" s="4"/>
    </row>
    <row r="230" spans="1:18" ht="15.75" customHeight="1">
      <c r="A230" s="324" t="s">
        <v>117</v>
      </c>
      <c r="B230" s="298"/>
      <c r="C230" s="7" t="s">
        <v>118</v>
      </c>
      <c r="D230" s="123">
        <f>E60</f>
        <v>0.03</v>
      </c>
      <c r="E230" s="8">
        <f>H216</f>
        <v>73.46067837199999</v>
      </c>
      <c r="F230" s="122">
        <f t="shared" si="11"/>
        <v>2.2038203511599996</v>
      </c>
      <c r="G230" s="313"/>
      <c r="H230" s="316"/>
      <c r="I230" s="4"/>
      <c r="J230" s="97"/>
    </row>
    <row r="231" spans="1:18" ht="15.75" customHeight="1">
      <c r="A231" s="4"/>
      <c r="B231" s="4"/>
      <c r="C231" s="4"/>
      <c r="D231" s="4"/>
      <c r="E231" s="4"/>
      <c r="F231" s="4"/>
      <c r="G231" s="4"/>
      <c r="H231" s="4"/>
      <c r="I231" s="4"/>
    </row>
    <row r="232" spans="1:18" ht="15.75" customHeight="1">
      <c r="A232" s="4"/>
      <c r="B232" s="4"/>
      <c r="C232" s="4"/>
      <c r="D232" s="4"/>
      <c r="E232" s="4"/>
      <c r="F232" s="4"/>
      <c r="G232" s="4"/>
      <c r="H232" s="4"/>
      <c r="I232" s="4"/>
    </row>
    <row r="233" spans="1:18" ht="15.75" customHeight="1">
      <c r="A233" s="4"/>
      <c r="B233" s="4"/>
      <c r="C233" s="4"/>
      <c r="D233" s="4"/>
      <c r="E233" s="4"/>
      <c r="F233" s="4"/>
      <c r="G233" s="4"/>
      <c r="H233" s="4"/>
      <c r="I233" s="4"/>
    </row>
    <row r="234" spans="1:18" ht="15.75" customHeight="1">
      <c r="A234" s="289" t="s">
        <v>206</v>
      </c>
      <c r="B234" s="290"/>
      <c r="C234" s="290"/>
      <c r="D234" s="290"/>
      <c r="E234" s="291"/>
      <c r="F234" s="4"/>
      <c r="G234" s="4"/>
      <c r="H234" s="4"/>
      <c r="I234" s="4"/>
    </row>
    <row r="235" spans="1:18" ht="15.75" customHeight="1">
      <c r="A235" s="194"/>
      <c r="B235" s="194"/>
      <c r="C235" s="194"/>
      <c r="D235" s="194"/>
      <c r="E235" s="194"/>
      <c r="F235" s="4"/>
      <c r="G235" s="4"/>
      <c r="H235" s="4"/>
      <c r="I235" s="4"/>
    </row>
    <row r="236" spans="1:18" ht="15.75" customHeight="1">
      <c r="A236" s="118"/>
      <c r="B236" s="118"/>
      <c r="C236" s="118"/>
      <c r="D236" s="118"/>
      <c r="E236" s="4"/>
      <c r="F236" s="4"/>
      <c r="G236" s="4"/>
      <c r="H236" s="4"/>
      <c r="I236" s="4"/>
      <c r="J236" s="14"/>
      <c r="P236" s="14"/>
      <c r="Q236" s="14"/>
      <c r="R236" s="14"/>
    </row>
    <row r="237" spans="1:18" ht="15.75" customHeight="1">
      <c r="A237" s="4"/>
      <c r="B237" s="4"/>
      <c r="C237" s="292" t="s">
        <v>92</v>
      </c>
      <c r="D237" s="291"/>
      <c r="E237" s="293" t="str">
        <f t="shared" ref="E237:E238" si="12">E207</f>
        <v>MAYOR A 50 UIT</v>
      </c>
      <c r="F237" s="291"/>
      <c r="G237" s="39"/>
      <c r="H237" s="39"/>
      <c r="I237" s="39"/>
      <c r="J237" s="119"/>
      <c r="P237" s="14"/>
      <c r="Q237" s="14"/>
      <c r="R237" s="14"/>
    </row>
    <row r="238" spans="1:18" ht="15.75" customHeight="1">
      <c r="A238" s="4"/>
      <c r="B238" s="4"/>
      <c r="C238" s="292" t="s">
        <v>93</v>
      </c>
      <c r="D238" s="291"/>
      <c r="E238" s="12" t="str">
        <f t="shared" si="12"/>
        <v>SIN IGV</v>
      </c>
      <c r="F238" s="15"/>
      <c r="G238" s="4"/>
      <c r="H238" s="4"/>
      <c r="I238" s="4"/>
      <c r="J238" s="14"/>
      <c r="P238" s="14"/>
      <c r="Q238" s="14"/>
      <c r="R238" s="14"/>
    </row>
    <row r="239" spans="1:18" ht="15.75" customHeight="1">
      <c r="A239" s="4"/>
      <c r="B239" s="4"/>
      <c r="C239" s="120"/>
      <c r="D239" s="120"/>
      <c r="E239" s="93"/>
      <c r="F239" s="4"/>
      <c r="G239" s="4"/>
      <c r="H239" s="4"/>
      <c r="I239" s="4"/>
      <c r="J239" s="14"/>
      <c r="P239" s="14"/>
      <c r="Q239" s="14"/>
      <c r="R239" s="14"/>
    </row>
    <row r="240" spans="1:18" ht="15.75" customHeight="1">
      <c r="A240" s="4"/>
      <c r="B240" s="4"/>
      <c r="C240" s="4"/>
      <c r="D240" s="4"/>
      <c r="E240" s="4"/>
      <c r="F240" s="4"/>
      <c r="G240" s="4"/>
      <c r="H240" s="4"/>
      <c r="I240" s="4"/>
    </row>
    <row r="241" spans="1:18" ht="15.75" customHeight="1">
      <c r="A241" s="4"/>
      <c r="B241" s="327" t="s">
        <v>84</v>
      </c>
      <c r="C241" s="301"/>
      <c r="D241" s="325" t="s">
        <v>98</v>
      </c>
      <c r="E241" s="325" t="s">
        <v>121</v>
      </c>
      <c r="F241" s="325" t="s">
        <v>122</v>
      </c>
      <c r="G241" s="326" t="s">
        <v>123</v>
      </c>
      <c r="H241" s="301"/>
      <c r="I241" s="4"/>
    </row>
    <row r="242" spans="1:18" ht="15.75" customHeight="1">
      <c r="A242" s="4"/>
      <c r="B242" s="310"/>
      <c r="C242" s="328"/>
      <c r="D242" s="306"/>
      <c r="E242" s="306"/>
      <c r="F242" s="306"/>
      <c r="G242" s="302"/>
      <c r="H242" s="303"/>
      <c r="I242" s="4"/>
    </row>
    <row r="243" spans="1:18" ht="15.75" customHeight="1">
      <c r="A243" s="4"/>
      <c r="B243" s="300" t="str">
        <f>C187</f>
        <v>CONCRETO PARA CIMIENTOS CORRIDOS</v>
      </c>
      <c r="C243" s="301"/>
      <c r="D243" s="304" t="s">
        <v>207</v>
      </c>
      <c r="E243" s="307">
        <f>G127</f>
        <v>6</v>
      </c>
      <c r="F243" s="308">
        <f>H213</f>
        <v>231.00348177400747</v>
      </c>
      <c r="G243" s="311" t="s">
        <v>36</v>
      </c>
      <c r="H243" s="314">
        <f>E243*F243</f>
        <v>1386.0208906440448</v>
      </c>
      <c r="I243" s="4"/>
    </row>
    <row r="244" spans="1:18" ht="15.75" customHeight="1">
      <c r="A244" s="4"/>
      <c r="B244" s="302"/>
      <c r="C244" s="303"/>
      <c r="D244" s="305"/>
      <c r="E244" s="305"/>
      <c r="F244" s="309"/>
      <c r="G244" s="312"/>
      <c r="H244" s="315"/>
      <c r="I244" s="4"/>
    </row>
    <row r="245" spans="1:18" ht="15.75" customHeight="1">
      <c r="A245" s="4"/>
      <c r="B245" s="317" t="str">
        <f>C189</f>
        <v>1:10 + 30% PG</v>
      </c>
      <c r="C245" s="318"/>
      <c r="D245" s="306"/>
      <c r="E245" s="306"/>
      <c r="F245" s="310"/>
      <c r="G245" s="313"/>
      <c r="H245" s="316"/>
      <c r="I245" s="4"/>
    </row>
    <row r="246" spans="1:18" ht="15.75" customHeight="1">
      <c r="A246" s="4"/>
      <c r="B246" s="319" t="s">
        <v>208</v>
      </c>
      <c r="C246" s="320"/>
      <c r="D246" s="320"/>
      <c r="E246" s="320"/>
      <c r="F246" s="321"/>
      <c r="G246" s="322" t="s">
        <v>36</v>
      </c>
      <c r="H246" s="323">
        <f>H243</f>
        <v>1386.0208906440448</v>
      </c>
      <c r="I246" s="4"/>
    </row>
    <row r="247" spans="1:18" ht="15.75" customHeight="1">
      <c r="A247" s="4"/>
      <c r="B247" s="195"/>
      <c r="C247" s="196" t="s">
        <v>209</v>
      </c>
      <c r="D247" s="197" t="str">
        <f>IF(E81="Incluido IGV","Costos Incluido IGV",IF(AND(E81="Sin IGV"),"Costos Sin IGV"))</f>
        <v>Costos Sin IGV</v>
      </c>
      <c r="E247" s="198"/>
      <c r="F247" s="199"/>
      <c r="G247" s="313"/>
      <c r="H247" s="316"/>
      <c r="I247" s="4"/>
    </row>
    <row r="248" spans="1:18" ht="15.75" customHeight="1">
      <c r="A248" s="4"/>
      <c r="B248" s="4"/>
      <c r="C248" s="4"/>
      <c r="D248" s="4"/>
      <c r="E248" s="4"/>
      <c r="F248" s="4"/>
      <c r="G248" s="4"/>
      <c r="H248" s="4"/>
      <c r="I248" s="4"/>
    </row>
    <row r="249" spans="1:18" ht="15.75" customHeight="1">
      <c r="A249" s="4"/>
      <c r="B249" s="4"/>
      <c r="C249" s="4"/>
      <c r="D249" s="4"/>
      <c r="E249" s="4"/>
      <c r="F249" s="4"/>
      <c r="G249" s="4"/>
      <c r="H249" s="4"/>
      <c r="I249" s="4"/>
    </row>
    <row r="250" spans="1:18" ht="15.75" customHeight="1">
      <c r="A250" s="4"/>
      <c r="B250" s="4"/>
      <c r="C250" s="4"/>
      <c r="D250" s="4"/>
      <c r="E250" s="4"/>
      <c r="F250" s="4"/>
      <c r="G250" s="4"/>
      <c r="H250" s="4"/>
      <c r="I250" s="4"/>
    </row>
    <row r="251" spans="1:18" ht="15.75" customHeight="1">
      <c r="A251" s="289" t="s">
        <v>210</v>
      </c>
      <c r="B251" s="290"/>
      <c r="C251" s="290"/>
      <c r="D251" s="290"/>
      <c r="E251" s="290"/>
      <c r="F251" s="290"/>
      <c r="G251" s="291"/>
      <c r="H251" s="4"/>
      <c r="I251" s="4"/>
    </row>
    <row r="252" spans="1:18" ht="15.75" customHeight="1">
      <c r="A252" s="4"/>
      <c r="B252" s="4"/>
      <c r="C252" s="4"/>
      <c r="D252" s="4"/>
      <c r="E252" s="4"/>
      <c r="F252" s="4"/>
      <c r="G252" s="4"/>
      <c r="H252" s="4"/>
      <c r="I252" s="4"/>
    </row>
    <row r="253" spans="1:18" ht="15.75" customHeight="1">
      <c r="A253" s="118"/>
      <c r="B253" s="118"/>
      <c r="C253" s="118"/>
      <c r="D253" s="118"/>
      <c r="E253" s="4"/>
      <c r="F253" s="4"/>
      <c r="G253" s="4"/>
      <c r="H253" s="4"/>
      <c r="I253" s="4"/>
      <c r="J253" s="14"/>
      <c r="P253" s="14"/>
      <c r="Q253" s="14"/>
      <c r="R253" s="14"/>
    </row>
    <row r="254" spans="1:18" ht="15.75" customHeight="1">
      <c r="A254" s="4"/>
      <c r="B254" s="4"/>
      <c r="C254" s="292" t="s">
        <v>92</v>
      </c>
      <c r="D254" s="291"/>
      <c r="E254" s="293" t="str">
        <f t="shared" ref="E254:E255" si="13">E237</f>
        <v>MAYOR A 50 UIT</v>
      </c>
      <c r="F254" s="291"/>
      <c r="G254" s="39"/>
      <c r="H254" s="39"/>
      <c r="I254" s="39"/>
      <c r="J254" s="119"/>
      <c r="P254" s="14"/>
      <c r="Q254" s="14"/>
      <c r="R254" s="14"/>
    </row>
    <row r="255" spans="1:18" ht="15.75" customHeight="1">
      <c r="A255" s="4"/>
      <c r="B255" s="4"/>
      <c r="C255" s="292" t="s">
        <v>93</v>
      </c>
      <c r="D255" s="291"/>
      <c r="E255" s="12" t="str">
        <f t="shared" si="13"/>
        <v>SIN IGV</v>
      </c>
      <c r="F255" s="15"/>
      <c r="G255" s="4"/>
      <c r="H255" s="4"/>
      <c r="I255" s="4"/>
      <c r="J255" s="14"/>
      <c r="P255" s="14"/>
      <c r="Q255" s="14"/>
      <c r="R255" s="14"/>
    </row>
    <row r="256" spans="1:18" ht="15.75" customHeight="1">
      <c r="A256" s="4"/>
      <c r="B256" s="4"/>
      <c r="C256" s="120"/>
      <c r="D256" s="120"/>
      <c r="E256" s="93"/>
      <c r="F256" s="4"/>
      <c r="G256" s="4"/>
      <c r="H256" s="4"/>
      <c r="I256" s="4"/>
      <c r="J256" s="14"/>
      <c r="P256" s="14"/>
      <c r="Q256" s="14"/>
      <c r="R256" s="14"/>
    </row>
    <row r="257" spans="1:9" ht="15.75" customHeight="1">
      <c r="A257" s="4"/>
      <c r="B257" s="4"/>
      <c r="C257" s="4"/>
      <c r="D257" s="4"/>
      <c r="E257" s="4"/>
      <c r="F257" s="4"/>
      <c r="G257" s="4"/>
      <c r="H257" s="4"/>
      <c r="I257" s="4"/>
    </row>
    <row r="258" spans="1:9" ht="15" customHeight="1">
      <c r="A258" s="4"/>
      <c r="B258" s="4"/>
      <c r="C258" s="296" t="s">
        <v>109</v>
      </c>
      <c r="D258" s="298"/>
      <c r="E258" s="334" t="s">
        <v>125</v>
      </c>
      <c r="F258" s="321"/>
      <c r="G258" s="4"/>
      <c r="H258" s="4"/>
      <c r="I258" s="4"/>
    </row>
    <row r="259" spans="1:9" ht="15.75" customHeight="1">
      <c r="A259" s="4"/>
      <c r="B259" s="4"/>
      <c r="C259" s="294" t="s">
        <v>34</v>
      </c>
      <c r="D259" s="295"/>
      <c r="E259" s="129">
        <f t="shared" ref="E259:E262" si="14">E168</f>
        <v>18.27</v>
      </c>
      <c r="F259" s="130" t="s">
        <v>74</v>
      </c>
      <c r="G259" s="4"/>
      <c r="H259" s="4"/>
      <c r="I259" s="4"/>
    </row>
    <row r="260" spans="1:9" ht="15.75" customHeight="1">
      <c r="A260" s="4"/>
      <c r="B260" s="4"/>
      <c r="C260" s="294" t="s">
        <v>38</v>
      </c>
      <c r="D260" s="295"/>
      <c r="E260" s="129">
        <f t="shared" si="14"/>
        <v>5.2289999999999992</v>
      </c>
      <c r="F260" s="130" t="s">
        <v>211</v>
      </c>
      <c r="G260" s="4"/>
      <c r="H260" s="4"/>
      <c r="I260" s="4"/>
    </row>
    <row r="261" spans="1:9" ht="15.75" customHeight="1">
      <c r="A261" s="4"/>
      <c r="B261" s="4"/>
      <c r="C261" s="294" t="s">
        <v>212</v>
      </c>
      <c r="D261" s="298"/>
      <c r="E261" s="129">
        <f t="shared" si="14"/>
        <v>3.024</v>
      </c>
      <c r="F261" s="130" t="s">
        <v>213</v>
      </c>
      <c r="G261" s="4"/>
      <c r="H261" s="4"/>
      <c r="I261" s="4"/>
    </row>
    <row r="262" spans="1:9" ht="15.75" customHeight="1">
      <c r="A262" s="4"/>
      <c r="B262" s="4"/>
      <c r="C262" s="294" t="s">
        <v>37</v>
      </c>
      <c r="D262" s="295"/>
      <c r="E262" s="134">
        <f t="shared" si="14"/>
        <v>0.63000000000000012</v>
      </c>
      <c r="F262" s="131" t="s">
        <v>214</v>
      </c>
      <c r="G262" s="4"/>
      <c r="H262" s="4"/>
      <c r="I262" s="4"/>
    </row>
    <row r="263" spans="1:9" ht="15.75" customHeight="1">
      <c r="A263" s="4"/>
      <c r="B263" s="4"/>
      <c r="C263" s="294" t="str">
        <f>IF(G41="NO","Gasolina de 84 octanos",IF(AND(G41="SI"),"-"))</f>
        <v>Gasolina de 84 octanos</v>
      </c>
      <c r="D263" s="298"/>
      <c r="E263" s="129">
        <f>IF(G41="NO",E38*F137,IF(AND(G41="SI"),"-"))</f>
        <v>1.512</v>
      </c>
      <c r="F263" s="131" t="str">
        <f>IF(G41="NO","galones",IF(AND(G41="SI"),"-"))</f>
        <v>galones</v>
      </c>
      <c r="G263" s="4"/>
      <c r="H263" s="111"/>
      <c r="I263" s="4"/>
    </row>
    <row r="264" spans="1:9" ht="15.75" customHeight="1">
      <c r="A264" s="4"/>
      <c r="B264" s="4"/>
      <c r="C264" s="294" t="str">
        <f>IF(G42="NO","Grasa multipropósitos",IF(AND(G42="SI"),"-"))</f>
        <v>Grasa multipropósitos</v>
      </c>
      <c r="D264" s="298"/>
      <c r="E264" s="129">
        <f>IF(G42="NO",E39*F137,IF(AND(G42="SI"),"-"))</f>
        <v>5.04E-2</v>
      </c>
      <c r="F264" s="131" t="str">
        <f>IF(G42="NO","kg",IF(AND(G42="SI"),"-"))</f>
        <v>kg</v>
      </c>
      <c r="G264" s="4"/>
      <c r="H264" s="111"/>
      <c r="I264" s="4"/>
    </row>
    <row r="265" spans="1:9" ht="15.75" customHeight="1">
      <c r="A265" s="4"/>
      <c r="B265" s="4"/>
      <c r="C265" s="296" t="s">
        <v>103</v>
      </c>
      <c r="D265" s="295"/>
      <c r="E265" s="297" t="s">
        <v>125</v>
      </c>
      <c r="F265" s="298"/>
      <c r="G265" s="4"/>
      <c r="H265" s="4"/>
      <c r="I265" s="4"/>
    </row>
    <row r="266" spans="1:9" ht="15.75" customHeight="1">
      <c r="A266" s="4"/>
      <c r="B266" s="4"/>
      <c r="C266" s="294" t="s">
        <v>17</v>
      </c>
      <c r="D266" s="295"/>
      <c r="E266" s="132">
        <f>G186*E243</f>
        <v>0.192</v>
      </c>
      <c r="F266" s="133" t="s">
        <v>127</v>
      </c>
      <c r="G266" s="4"/>
      <c r="H266" s="200"/>
      <c r="I266" s="4"/>
    </row>
    <row r="267" spans="1:9" ht="15.75" customHeight="1">
      <c r="A267" s="4"/>
      <c r="B267" s="4"/>
      <c r="C267" s="294" t="s">
        <v>18</v>
      </c>
      <c r="D267" s="295"/>
      <c r="E267" s="132">
        <f>G187*E243</f>
        <v>1.92</v>
      </c>
      <c r="F267" s="133" t="s">
        <v>127</v>
      </c>
      <c r="G267" s="4"/>
      <c r="H267" s="201"/>
      <c r="I267" s="4"/>
    </row>
    <row r="268" spans="1:9" ht="15.75" customHeight="1">
      <c r="A268" s="4"/>
      <c r="B268" s="4"/>
      <c r="C268" s="294" t="s">
        <v>19</v>
      </c>
      <c r="D268" s="295"/>
      <c r="E268" s="132">
        <f>G188*E243</f>
        <v>3.84</v>
      </c>
      <c r="F268" s="133" t="s">
        <v>127</v>
      </c>
      <c r="G268" s="4"/>
      <c r="H268" s="201"/>
      <c r="I268" s="4"/>
    </row>
    <row r="269" spans="1:9" ht="15.75" customHeight="1">
      <c r="A269" s="4"/>
      <c r="B269" s="4"/>
      <c r="C269" s="294" t="s">
        <v>20</v>
      </c>
      <c r="D269" s="295"/>
      <c r="E269" s="132">
        <f>G189*E243</f>
        <v>15.36</v>
      </c>
      <c r="F269" s="133" t="s">
        <v>127</v>
      </c>
      <c r="G269" s="4"/>
      <c r="H269" s="101"/>
      <c r="I269" s="4"/>
    </row>
    <row r="270" spans="1:9" ht="15.75" customHeight="1">
      <c r="A270" s="4"/>
      <c r="B270" s="4"/>
      <c r="C270" s="294" t="s">
        <v>215</v>
      </c>
      <c r="D270" s="295"/>
      <c r="E270" s="132">
        <f>G190*E243</f>
        <v>1.92</v>
      </c>
      <c r="F270" s="133" t="s">
        <v>127</v>
      </c>
      <c r="G270" s="4"/>
      <c r="H270" s="4"/>
      <c r="I270" s="4"/>
    </row>
    <row r="271" spans="1:9" ht="15.75" customHeight="1">
      <c r="A271" s="4"/>
      <c r="B271" s="4"/>
      <c r="C271" s="296" t="s">
        <v>216</v>
      </c>
      <c r="D271" s="295"/>
      <c r="E271" s="297" t="s">
        <v>125</v>
      </c>
      <c r="F271" s="298"/>
      <c r="G271" s="4"/>
      <c r="H271" s="4"/>
      <c r="I271" s="4"/>
    </row>
    <row r="272" spans="1:9" ht="15.75" customHeight="1">
      <c r="A272" s="4"/>
      <c r="B272" s="4"/>
      <c r="C272" s="299" t="s">
        <v>217</v>
      </c>
      <c r="D272" s="295"/>
      <c r="E272" s="132">
        <f>G199*E243</f>
        <v>1.92</v>
      </c>
      <c r="F272" s="133" t="s">
        <v>128</v>
      </c>
      <c r="G272" s="4"/>
      <c r="H272" s="4"/>
      <c r="I272" s="4"/>
    </row>
    <row r="273" spans="1:9" ht="15.75" customHeight="1">
      <c r="A273" s="4"/>
      <c r="B273" s="4"/>
      <c r="C273" s="4"/>
      <c r="D273" s="4"/>
      <c r="E273" s="4"/>
      <c r="F273" s="4"/>
      <c r="G273" s="4"/>
      <c r="H273" s="4"/>
      <c r="I273" s="4"/>
    </row>
    <row r="274" spans="1:9" ht="15.75" customHeight="1"/>
    <row r="275" spans="1:9" ht="15.75" customHeight="1"/>
    <row r="276" spans="1:9" ht="15.75" customHeight="1"/>
    <row r="277" spans="1:9" ht="15.75" customHeight="1"/>
    <row r="278" spans="1:9" ht="15.75" customHeight="1"/>
    <row r="279" spans="1:9" ht="15.75" customHeight="1"/>
    <row r="280" spans="1:9" ht="15.75" customHeight="1"/>
    <row r="281" spans="1:9" ht="15.75" customHeight="1"/>
    <row r="282" spans="1:9" ht="15.75" customHeight="1"/>
    <row r="283" spans="1:9" ht="15.75" customHeight="1"/>
    <row r="284" spans="1:9" ht="15.75" customHeight="1"/>
    <row r="285" spans="1:9" ht="15.75" customHeight="1"/>
    <row r="286" spans="1:9" ht="15.75" customHeight="1"/>
    <row r="287" spans="1:9" ht="15.75" customHeight="1"/>
    <row r="288" spans="1:9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8">
    <mergeCell ref="A54:B54"/>
    <mergeCell ref="B71:C71"/>
    <mergeCell ref="B72:C72"/>
    <mergeCell ref="B73:C73"/>
    <mergeCell ref="E77:F77"/>
    <mergeCell ref="G77:H77"/>
    <mergeCell ref="E23:E24"/>
    <mergeCell ref="F23:F24"/>
    <mergeCell ref="G23:G24"/>
    <mergeCell ref="H23:H24"/>
    <mergeCell ref="G37:H40"/>
    <mergeCell ref="H41:I42"/>
    <mergeCell ref="B22:B29"/>
    <mergeCell ref="B32:B34"/>
    <mergeCell ref="B77:C77"/>
    <mergeCell ref="E52:E54"/>
    <mergeCell ref="F52:F54"/>
    <mergeCell ref="D63:G63"/>
    <mergeCell ref="B67:C67"/>
    <mergeCell ref="E67:F67"/>
    <mergeCell ref="G67:H67"/>
    <mergeCell ref="B68:C68"/>
    <mergeCell ref="B69:C69"/>
    <mergeCell ref="B70:C70"/>
    <mergeCell ref="D180:E180"/>
    <mergeCell ref="C183:D183"/>
    <mergeCell ref="C184:D185"/>
    <mergeCell ref="E184:E185"/>
    <mergeCell ref="F184:F185"/>
    <mergeCell ref="G184:G185"/>
    <mergeCell ref="C187:D188"/>
    <mergeCell ref="C189:D189"/>
    <mergeCell ref="B1:G2"/>
    <mergeCell ref="A15:C15"/>
    <mergeCell ref="E16:H16"/>
    <mergeCell ref="C22:C24"/>
    <mergeCell ref="D22:D24"/>
    <mergeCell ref="E22:H22"/>
    <mergeCell ref="G29:H30"/>
    <mergeCell ref="G52:G54"/>
    <mergeCell ref="H52:H54"/>
    <mergeCell ref="A49:H49"/>
    <mergeCell ref="A50:B51"/>
    <mergeCell ref="C50:C51"/>
    <mergeCell ref="D50:H50"/>
    <mergeCell ref="A52:B53"/>
    <mergeCell ref="C52:C54"/>
    <mergeCell ref="D52:D54"/>
    <mergeCell ref="A126:C126"/>
    <mergeCell ref="A131:C131"/>
    <mergeCell ref="B137:E137"/>
    <mergeCell ref="F143:H143"/>
    <mergeCell ref="B145:D145"/>
    <mergeCell ref="A166:H166"/>
    <mergeCell ref="A176:C176"/>
    <mergeCell ref="B78:C78"/>
    <mergeCell ref="B81:D81"/>
    <mergeCell ref="F81:G82"/>
    <mergeCell ref="B87:G87"/>
    <mergeCell ref="B88:G88"/>
    <mergeCell ref="B89:D89"/>
    <mergeCell ref="B90:D90"/>
    <mergeCell ref="B91:D91"/>
    <mergeCell ref="B95:C95"/>
    <mergeCell ref="B96:C96"/>
    <mergeCell ref="B97:D97"/>
    <mergeCell ref="B98:D98"/>
    <mergeCell ref="B99:D99"/>
    <mergeCell ref="B100:D100"/>
    <mergeCell ref="B101:D101"/>
    <mergeCell ref="B103:G103"/>
    <mergeCell ref="B109:D109"/>
    <mergeCell ref="B110:D110"/>
    <mergeCell ref="B111:G111"/>
    <mergeCell ref="B115:C115"/>
    <mergeCell ref="E115:F116"/>
    <mergeCell ref="G121:H123"/>
    <mergeCell ref="C262:D262"/>
    <mergeCell ref="C263:D263"/>
    <mergeCell ref="C264:D264"/>
    <mergeCell ref="A193:D193"/>
    <mergeCell ref="C196:D196"/>
    <mergeCell ref="C197:D198"/>
    <mergeCell ref="E197:E198"/>
    <mergeCell ref="F197:F198"/>
    <mergeCell ref="G197:G198"/>
    <mergeCell ref="G199:G200"/>
    <mergeCell ref="A225:B225"/>
    <mergeCell ref="A226:B226"/>
    <mergeCell ref="G214:H214"/>
    <mergeCell ref="C199:D200"/>
    <mergeCell ref="A204:D204"/>
    <mergeCell ref="C207:D207"/>
    <mergeCell ref="C208:D208"/>
    <mergeCell ref="A211:B211"/>
    <mergeCell ref="C211:E211"/>
    <mergeCell ref="A215:H215"/>
    <mergeCell ref="E199:E200"/>
    <mergeCell ref="F199:F200"/>
    <mergeCell ref="E207:F207"/>
    <mergeCell ref="A222:B222"/>
    <mergeCell ref="G222:G227"/>
    <mergeCell ref="H222:H227"/>
    <mergeCell ref="A223:B223"/>
    <mergeCell ref="A224:B224"/>
    <mergeCell ref="A227:B227"/>
    <mergeCell ref="A228:H228"/>
    <mergeCell ref="A229:B229"/>
    <mergeCell ref="G229:G230"/>
    <mergeCell ref="H229:H230"/>
    <mergeCell ref="A214:B214"/>
    <mergeCell ref="A216:B216"/>
    <mergeCell ref="G216:G220"/>
    <mergeCell ref="H216:H220"/>
    <mergeCell ref="A217:B217"/>
    <mergeCell ref="A218:B218"/>
    <mergeCell ref="A219:B219"/>
    <mergeCell ref="A220:B220"/>
    <mergeCell ref="A221:H221"/>
    <mergeCell ref="H243:H245"/>
    <mergeCell ref="B245:C245"/>
    <mergeCell ref="B246:F246"/>
    <mergeCell ref="G246:G247"/>
    <mergeCell ref="H246:H247"/>
    <mergeCell ref="A230:B230"/>
    <mergeCell ref="A234:E234"/>
    <mergeCell ref="C237:D237"/>
    <mergeCell ref="E237:F237"/>
    <mergeCell ref="C238:D238"/>
    <mergeCell ref="D241:D242"/>
    <mergeCell ref="E241:E242"/>
    <mergeCell ref="F241:F242"/>
    <mergeCell ref="G241:H242"/>
    <mergeCell ref="B241:C242"/>
    <mergeCell ref="A251:G251"/>
    <mergeCell ref="C254:D254"/>
    <mergeCell ref="E254:F254"/>
    <mergeCell ref="C269:D269"/>
    <mergeCell ref="C270:D270"/>
    <mergeCell ref="C271:D271"/>
    <mergeCell ref="E271:F271"/>
    <mergeCell ref="C272:D272"/>
    <mergeCell ref="B243:C244"/>
    <mergeCell ref="D243:D245"/>
    <mergeCell ref="E243:E245"/>
    <mergeCell ref="F243:F245"/>
    <mergeCell ref="G243:G245"/>
    <mergeCell ref="C265:D265"/>
    <mergeCell ref="E265:F265"/>
    <mergeCell ref="C266:D266"/>
    <mergeCell ref="C267:D267"/>
    <mergeCell ref="C268:D268"/>
    <mergeCell ref="C255:D255"/>
    <mergeCell ref="C258:D258"/>
    <mergeCell ref="E258:F258"/>
    <mergeCell ref="C259:D259"/>
    <mergeCell ref="C260:D260"/>
    <mergeCell ref="C261:D261"/>
  </mergeCells>
  <dataValidations count="5">
    <dataValidation type="list" allowBlank="1" showErrorMessage="1" sqref="G43" xr:uid="{00000000-0002-0000-0100-000000000000}">
      <formula1>$B$49:$B$50</formula1>
    </dataValidation>
    <dataValidation type="list" allowBlank="1" showErrorMessage="1" sqref="F29" xr:uid="{00000000-0002-0000-0100-000001000000}">
      <formula1>$C$25:$C$26</formula1>
    </dataValidation>
    <dataValidation type="list" allowBlank="1" showErrorMessage="1" sqref="D115" xr:uid="{00000000-0002-0000-0100-000002000000}">
      <formula1>$A$115:$A$116</formula1>
    </dataValidation>
    <dataValidation type="list" allowBlank="1" showErrorMessage="1" sqref="E81" xr:uid="{00000000-0002-0000-0100-000003000000}">
      <formula1>$A$67:$A$68</formula1>
    </dataValidation>
    <dataValidation type="list" allowBlank="1" showErrorMessage="1" sqref="G41:G42" xr:uid="{00000000-0002-0000-0100-000004000000}">
      <formula1>$B$38:$B$39</formula1>
    </dataValidation>
  </dataValidations>
  <pageMargins left="0.7" right="0.7" top="0.75" bottom="0.75" header="0" footer="0"/>
  <pageSetup orientation="portrait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S1000"/>
  <sheetViews>
    <sheetView workbookViewId="0"/>
  </sheetViews>
  <sheetFormatPr baseColWidth="10" defaultColWidth="14.44140625" defaultRowHeight="15" customHeight="1"/>
  <cols>
    <col min="1" max="1" width="9.44140625" customWidth="1"/>
    <col min="2" max="3" width="11.44140625" customWidth="1"/>
    <col min="4" max="4" width="12.44140625" customWidth="1"/>
    <col min="5" max="5" width="11.88671875" customWidth="1"/>
    <col min="6" max="6" width="13.44140625" customWidth="1"/>
    <col min="7" max="7" width="12.44140625" customWidth="1"/>
    <col min="8" max="8" width="10.33203125" customWidth="1"/>
    <col min="9" max="26" width="10.6640625" customWidth="1"/>
  </cols>
  <sheetData>
    <row r="1" spans="1:9" ht="15" customHeight="1">
      <c r="A1" s="1"/>
      <c r="B1" s="457" t="s">
        <v>218</v>
      </c>
      <c r="C1" s="384"/>
      <c r="D1" s="384"/>
      <c r="E1" s="384"/>
      <c r="F1" s="384"/>
      <c r="G1" s="385"/>
      <c r="H1" s="2"/>
      <c r="I1" s="2"/>
    </row>
    <row r="2" spans="1:9" ht="15" customHeight="1">
      <c r="A2" s="1"/>
      <c r="B2" s="386"/>
      <c r="C2" s="387"/>
      <c r="D2" s="387"/>
      <c r="E2" s="387"/>
      <c r="F2" s="387"/>
      <c r="G2" s="388"/>
      <c r="H2" s="2"/>
      <c r="I2" s="2"/>
    </row>
    <row r="3" spans="1:9" ht="14.4">
      <c r="A3" s="2"/>
      <c r="B3" s="2"/>
      <c r="C3" s="2"/>
      <c r="D3" s="2"/>
      <c r="E3" s="2"/>
      <c r="F3" s="2"/>
      <c r="G3" s="2"/>
      <c r="H3" s="2"/>
      <c r="I3" s="2"/>
    </row>
    <row r="4" spans="1:9" ht="14.4">
      <c r="A4" s="2"/>
      <c r="B4" s="2"/>
      <c r="C4" s="2"/>
      <c r="D4" s="2"/>
      <c r="E4" s="2"/>
      <c r="F4" s="2"/>
      <c r="G4" s="2"/>
      <c r="H4" s="2"/>
      <c r="I4" s="2"/>
    </row>
    <row r="5" spans="1:9" ht="14.4">
      <c r="A5" s="2"/>
      <c r="B5" s="2"/>
      <c r="C5" s="2"/>
      <c r="D5" s="2"/>
      <c r="E5" s="2"/>
      <c r="F5" s="2"/>
      <c r="G5" s="2"/>
      <c r="H5" s="2"/>
      <c r="I5" s="2"/>
    </row>
    <row r="6" spans="1:9" ht="14.4">
      <c r="A6" s="2"/>
      <c r="B6" s="2"/>
      <c r="C6" s="2"/>
      <c r="D6" s="2"/>
      <c r="E6" s="2"/>
      <c r="F6" s="2"/>
      <c r="G6" s="2"/>
      <c r="H6" s="2"/>
      <c r="I6" s="2"/>
    </row>
    <row r="7" spans="1:9" ht="14.4">
      <c r="A7" s="2"/>
      <c r="B7" s="2"/>
      <c r="C7" s="2"/>
      <c r="D7" s="2"/>
      <c r="E7" s="2"/>
      <c r="F7" s="2"/>
      <c r="G7" s="2"/>
      <c r="H7" s="2"/>
      <c r="I7" s="2"/>
    </row>
    <row r="8" spans="1:9" ht="14.4">
      <c r="A8" s="2"/>
      <c r="B8" s="2"/>
      <c r="C8" s="2"/>
      <c r="D8" s="2"/>
      <c r="E8" s="2"/>
      <c r="F8" s="2"/>
      <c r="G8" s="2"/>
      <c r="H8" s="2"/>
      <c r="I8" s="2"/>
    </row>
    <row r="9" spans="1:9" ht="14.4">
      <c r="A9" s="2"/>
      <c r="B9" s="2"/>
      <c r="C9" s="2"/>
      <c r="D9" s="2"/>
      <c r="E9" s="2"/>
      <c r="F9" s="2"/>
      <c r="G9" s="2"/>
      <c r="H9" s="2"/>
      <c r="I9" s="2"/>
    </row>
    <row r="10" spans="1:9" ht="14.4">
      <c r="A10" s="2"/>
      <c r="B10" s="2"/>
      <c r="C10" s="2"/>
      <c r="D10" s="2"/>
      <c r="E10" s="2"/>
      <c r="F10" s="2"/>
      <c r="G10" s="2"/>
      <c r="H10" s="2"/>
      <c r="I10" s="2"/>
    </row>
    <row r="11" spans="1:9" ht="14.4">
      <c r="A11" s="2"/>
      <c r="B11" s="2"/>
      <c r="C11" s="2"/>
      <c r="D11" s="2"/>
      <c r="E11" s="2"/>
      <c r="F11" s="2"/>
      <c r="G11" s="2"/>
      <c r="H11" s="2"/>
      <c r="I11" s="2"/>
    </row>
    <row r="12" spans="1:9" ht="14.4">
      <c r="A12" s="2"/>
      <c r="B12" s="2"/>
      <c r="C12" s="2"/>
      <c r="D12" s="2"/>
      <c r="E12" s="2"/>
      <c r="F12" s="2"/>
      <c r="G12" s="2"/>
      <c r="H12" s="2"/>
      <c r="I12" s="2"/>
    </row>
    <row r="13" spans="1:9" ht="14.4">
      <c r="A13" s="2"/>
      <c r="B13" s="2"/>
      <c r="C13" s="2"/>
      <c r="D13" s="2"/>
      <c r="E13" s="2"/>
      <c r="F13" s="2"/>
      <c r="G13" s="2"/>
      <c r="H13" s="2"/>
      <c r="I13" s="2"/>
    </row>
    <row r="14" spans="1:9" ht="15.6">
      <c r="A14" s="458" t="s">
        <v>219</v>
      </c>
      <c r="B14" s="290"/>
      <c r="C14" s="290"/>
      <c r="D14" s="290"/>
      <c r="E14" s="291"/>
      <c r="F14" s="2"/>
      <c r="G14" s="2"/>
      <c r="H14" s="2"/>
      <c r="I14" s="2"/>
    </row>
    <row r="15" spans="1:9" ht="15.6">
      <c r="A15" s="88" t="s">
        <v>220</v>
      </c>
      <c r="B15" s="23"/>
      <c r="C15" s="23"/>
      <c r="D15" s="23"/>
      <c r="E15" s="23"/>
      <c r="F15" s="2"/>
      <c r="G15" s="2"/>
      <c r="H15" s="2"/>
      <c r="I15" s="2"/>
    </row>
    <row r="16" spans="1:9" ht="14.4">
      <c r="A16" s="2"/>
      <c r="B16" s="2"/>
      <c r="C16" s="2"/>
      <c r="D16" s="2"/>
      <c r="E16" s="2"/>
      <c r="F16" s="2"/>
      <c r="G16" s="2"/>
      <c r="H16" s="2"/>
      <c r="I16" s="2"/>
    </row>
    <row r="17" spans="1:9" ht="14.4">
      <c r="A17" s="2"/>
      <c r="B17" s="2"/>
      <c r="C17" s="2"/>
      <c r="D17" s="2"/>
      <c r="E17" s="2"/>
      <c r="F17" s="2"/>
      <c r="G17" s="2"/>
      <c r="H17" s="2"/>
      <c r="I17" s="2"/>
    </row>
    <row r="18" spans="1:9" ht="14.4">
      <c r="A18" s="2"/>
      <c r="B18" s="2"/>
      <c r="C18" s="2"/>
      <c r="D18" s="2"/>
      <c r="E18" s="2"/>
      <c r="F18" s="2"/>
      <c r="G18" s="2"/>
      <c r="H18" s="2"/>
      <c r="I18" s="2"/>
    </row>
    <row r="19" spans="1:9" ht="14.4">
      <c r="A19" s="2"/>
      <c r="B19" s="2"/>
      <c r="C19" s="2"/>
      <c r="D19" s="2"/>
      <c r="E19" s="2"/>
      <c r="F19" s="2"/>
      <c r="G19" s="2"/>
      <c r="H19" s="2"/>
      <c r="I19" s="2"/>
    </row>
    <row r="20" spans="1:9" ht="14.4">
      <c r="A20" s="2"/>
      <c r="B20" s="2"/>
      <c r="C20" s="2"/>
      <c r="D20" s="2"/>
      <c r="E20" s="2"/>
      <c r="F20" s="2"/>
      <c r="G20" s="2"/>
      <c r="H20" s="2"/>
      <c r="I20" s="2"/>
    </row>
    <row r="21" spans="1:9" ht="15.75" customHeight="1">
      <c r="A21" s="2"/>
      <c r="B21" s="2"/>
      <c r="C21" s="2"/>
      <c r="D21" s="2"/>
      <c r="E21" s="2"/>
      <c r="F21" s="2"/>
      <c r="G21" s="2"/>
      <c r="H21" s="2"/>
      <c r="I21" s="2"/>
    </row>
    <row r="22" spans="1:9" ht="15.75" customHeight="1">
      <c r="A22" s="2"/>
      <c r="B22" s="2"/>
      <c r="C22" s="2"/>
      <c r="D22" s="2"/>
      <c r="E22" s="2"/>
      <c r="F22" s="2"/>
      <c r="G22" s="2"/>
      <c r="H22" s="2"/>
      <c r="I22" s="2"/>
    </row>
    <row r="23" spans="1:9" ht="15.75" customHeight="1">
      <c r="A23" s="2"/>
      <c r="B23" s="2"/>
      <c r="C23" s="2"/>
      <c r="D23" s="2"/>
      <c r="E23" s="2"/>
      <c r="F23" s="2"/>
      <c r="G23" s="2"/>
      <c r="H23" s="2"/>
      <c r="I23" s="2"/>
    </row>
    <row r="24" spans="1:9" ht="15.75" customHeight="1">
      <c r="A24" s="2"/>
      <c r="B24" s="2"/>
      <c r="C24" s="2"/>
      <c r="D24" s="2"/>
      <c r="E24" s="2"/>
      <c r="F24" s="2"/>
      <c r="G24" s="2"/>
      <c r="H24" s="2"/>
      <c r="I24" s="2"/>
    </row>
    <row r="25" spans="1:9" ht="15.75" customHeight="1">
      <c r="A25" s="2"/>
      <c r="B25" s="2"/>
      <c r="C25" s="2"/>
      <c r="D25" s="2"/>
      <c r="E25" s="2"/>
      <c r="F25" s="2"/>
      <c r="G25" s="2"/>
      <c r="H25" s="2"/>
      <c r="I25" s="2"/>
    </row>
    <row r="26" spans="1:9" ht="15.75" customHeight="1">
      <c r="A26" s="2"/>
      <c r="B26" s="2"/>
      <c r="C26" s="2"/>
      <c r="D26" s="2"/>
      <c r="E26" s="2"/>
      <c r="F26" s="2"/>
      <c r="G26" s="2"/>
      <c r="H26" s="2"/>
      <c r="I26" s="2"/>
    </row>
    <row r="27" spans="1:9" ht="15.75" customHeight="1">
      <c r="A27" s="2"/>
      <c r="B27" s="2"/>
      <c r="C27" s="2"/>
      <c r="D27" s="2"/>
      <c r="E27" s="2"/>
      <c r="F27" s="2"/>
      <c r="G27" s="2"/>
      <c r="H27" s="2"/>
      <c r="I27" s="2"/>
    </row>
    <row r="28" spans="1:9" ht="15.75" customHeight="1">
      <c r="A28" s="2"/>
      <c r="B28" s="2"/>
      <c r="C28" s="2"/>
      <c r="D28" s="2"/>
      <c r="E28" s="2"/>
      <c r="F28" s="2"/>
      <c r="G28" s="2"/>
      <c r="H28" s="2"/>
      <c r="I28" s="2"/>
    </row>
    <row r="29" spans="1:9" ht="15.75" customHeight="1">
      <c r="A29" s="2"/>
      <c r="B29" s="2"/>
      <c r="C29" s="2"/>
      <c r="D29" s="2"/>
      <c r="E29" s="2"/>
      <c r="F29" s="2"/>
      <c r="G29" s="2"/>
      <c r="H29" s="2"/>
      <c r="I29" s="2"/>
    </row>
    <row r="30" spans="1:9" ht="15.75" customHeight="1">
      <c r="A30" s="2"/>
      <c r="B30" s="2"/>
      <c r="C30" s="2"/>
      <c r="D30" s="2"/>
      <c r="E30" s="2"/>
      <c r="F30" s="2"/>
      <c r="G30" s="2"/>
      <c r="H30" s="2"/>
      <c r="I30" s="2"/>
    </row>
    <row r="31" spans="1:9" ht="15.75" customHeight="1">
      <c r="A31" s="88" t="s">
        <v>221</v>
      </c>
      <c r="B31" s="23"/>
      <c r="C31" s="23"/>
      <c r="D31" s="23"/>
      <c r="E31" s="23"/>
      <c r="F31" s="2"/>
      <c r="G31" s="2"/>
      <c r="H31" s="2"/>
      <c r="I31" s="2"/>
    </row>
    <row r="32" spans="1:9" ht="15.75" customHeight="1">
      <c r="A32" s="2"/>
      <c r="B32" s="2"/>
      <c r="C32" s="2"/>
      <c r="D32" s="2"/>
      <c r="E32" s="2"/>
      <c r="F32" s="2"/>
      <c r="G32" s="2"/>
      <c r="H32" s="2"/>
      <c r="I32" s="2"/>
    </row>
    <row r="33" spans="1:9" ht="15.75" customHeight="1">
      <c r="A33" s="2"/>
      <c r="B33" s="2"/>
      <c r="C33" s="2"/>
      <c r="D33" s="2"/>
      <c r="E33" s="2"/>
      <c r="F33" s="2"/>
      <c r="G33" s="2"/>
      <c r="H33" s="2"/>
      <c r="I33" s="2"/>
    </row>
    <row r="34" spans="1:9" ht="15.75" customHeight="1">
      <c r="A34" s="2"/>
      <c r="B34" s="2"/>
      <c r="C34" s="2"/>
      <c r="D34" s="2"/>
      <c r="E34" s="2"/>
      <c r="F34" s="2"/>
      <c r="G34" s="2"/>
      <c r="H34" s="2"/>
      <c r="I34" s="2"/>
    </row>
    <row r="35" spans="1:9" ht="15.75" customHeight="1">
      <c r="A35" s="2"/>
      <c r="B35" s="2"/>
      <c r="C35" s="2"/>
      <c r="D35" s="2"/>
      <c r="E35" s="2"/>
      <c r="F35" s="2"/>
      <c r="G35" s="2"/>
      <c r="H35" s="2"/>
      <c r="I35" s="2"/>
    </row>
    <row r="36" spans="1:9" ht="15.75" customHeight="1">
      <c r="A36" s="2"/>
      <c r="B36" s="2"/>
      <c r="C36" s="2"/>
      <c r="D36" s="2"/>
      <c r="E36" s="2"/>
      <c r="F36" s="2"/>
      <c r="G36" s="2"/>
      <c r="H36" s="2"/>
      <c r="I36" s="2"/>
    </row>
    <row r="37" spans="1:9" ht="15.75" customHeight="1">
      <c r="A37" s="2"/>
      <c r="B37" s="2"/>
      <c r="C37" s="2"/>
      <c r="D37" s="2"/>
      <c r="E37" s="2"/>
      <c r="F37" s="2"/>
      <c r="G37" s="2"/>
      <c r="H37" s="2"/>
      <c r="I37" s="2"/>
    </row>
    <row r="38" spans="1:9" ht="15.75" customHeight="1">
      <c r="A38" s="2"/>
      <c r="B38" s="2"/>
      <c r="C38" s="2"/>
      <c r="D38" s="2"/>
      <c r="E38" s="2"/>
      <c r="F38" s="2"/>
      <c r="G38" s="2"/>
      <c r="H38" s="2"/>
      <c r="I38" s="2"/>
    </row>
    <row r="39" spans="1:9" ht="15.75" customHeight="1">
      <c r="A39" s="2"/>
      <c r="B39" s="2"/>
      <c r="C39" s="2"/>
      <c r="D39" s="2"/>
      <c r="E39" s="2"/>
      <c r="F39" s="2"/>
      <c r="G39" s="2"/>
      <c r="H39" s="2"/>
      <c r="I39" s="2"/>
    </row>
    <row r="40" spans="1:9" ht="15.75" customHeight="1">
      <c r="A40" s="2"/>
      <c r="B40" s="2"/>
      <c r="C40" s="2"/>
      <c r="D40" s="2"/>
      <c r="E40" s="2"/>
      <c r="F40" s="2"/>
      <c r="G40" s="2"/>
      <c r="H40" s="2"/>
      <c r="I40" s="2"/>
    </row>
    <row r="41" spans="1:9" ht="15.75" customHeight="1">
      <c r="A41" s="2"/>
      <c r="B41" s="2"/>
      <c r="C41" s="2"/>
      <c r="D41" s="2"/>
      <c r="E41" s="2"/>
      <c r="F41" s="2"/>
      <c r="G41" s="2"/>
      <c r="H41" s="2"/>
      <c r="I41" s="2"/>
    </row>
    <row r="42" spans="1:9" ht="15.75" customHeight="1">
      <c r="A42" s="2"/>
      <c r="B42" s="2"/>
      <c r="C42" s="2"/>
      <c r="D42" s="2"/>
      <c r="E42" s="2"/>
      <c r="F42" s="2"/>
      <c r="G42" s="2"/>
      <c r="H42" s="2"/>
      <c r="I42" s="2"/>
    </row>
    <row r="43" spans="1:9" ht="15.75" customHeight="1">
      <c r="A43" s="2"/>
      <c r="B43" s="2"/>
      <c r="C43" s="2"/>
      <c r="D43" s="2"/>
      <c r="E43" s="2"/>
      <c r="F43" s="2"/>
      <c r="G43" s="2"/>
      <c r="H43" s="2"/>
      <c r="I43" s="2"/>
    </row>
    <row r="44" spans="1:9" ht="15.75" customHeight="1">
      <c r="A44" s="2"/>
      <c r="B44" s="2"/>
      <c r="C44" s="2"/>
      <c r="D44" s="2"/>
      <c r="E44" s="2"/>
      <c r="F44" s="2"/>
      <c r="G44" s="2"/>
      <c r="H44" s="2"/>
      <c r="I44" s="2"/>
    </row>
    <row r="45" spans="1:9" ht="15.75" customHeight="1">
      <c r="A45" s="2"/>
      <c r="B45" s="2"/>
      <c r="C45" s="2"/>
      <c r="D45" s="2"/>
      <c r="E45" s="2"/>
      <c r="F45" s="2"/>
      <c r="G45" s="2"/>
      <c r="H45" s="2"/>
      <c r="I45" s="2"/>
    </row>
    <row r="46" spans="1:9" ht="15.75" customHeight="1">
      <c r="A46" s="2"/>
      <c r="B46" s="2"/>
      <c r="C46" s="2"/>
      <c r="D46" s="2"/>
      <c r="E46" s="2"/>
      <c r="F46" s="2"/>
      <c r="G46" s="2"/>
      <c r="H46" s="2"/>
      <c r="I46" s="2"/>
    </row>
    <row r="47" spans="1:9" ht="15.75" customHeight="1">
      <c r="A47" s="88" t="s">
        <v>222</v>
      </c>
      <c r="B47" s="23"/>
      <c r="C47" s="23"/>
      <c r="D47" s="23"/>
      <c r="E47" s="23"/>
      <c r="F47" s="2"/>
      <c r="G47" s="2"/>
      <c r="H47" s="2"/>
      <c r="I47" s="2"/>
    </row>
    <row r="48" spans="1:9" ht="15.75" customHeight="1">
      <c r="A48" s="203" t="s">
        <v>223</v>
      </c>
      <c r="B48" s="2"/>
      <c r="C48" s="2"/>
      <c r="D48" s="2"/>
      <c r="E48" s="2"/>
      <c r="F48" s="2"/>
      <c r="G48" s="2"/>
      <c r="H48" s="2"/>
      <c r="I48" s="2"/>
    </row>
    <row r="49" spans="1:9" ht="15.75" customHeight="1">
      <c r="A49" s="2"/>
      <c r="B49" s="2"/>
      <c r="C49" s="2"/>
      <c r="D49" s="2"/>
      <c r="E49" s="2"/>
      <c r="F49" s="2"/>
      <c r="G49" s="2"/>
      <c r="H49" s="2"/>
      <c r="I49" s="2"/>
    </row>
    <row r="50" spans="1:9" ht="15.75" customHeight="1">
      <c r="A50" s="2"/>
      <c r="B50" s="2"/>
      <c r="C50" s="2"/>
      <c r="D50" s="2"/>
      <c r="E50" s="2"/>
      <c r="F50" s="2"/>
      <c r="G50" s="2"/>
      <c r="H50" s="2"/>
      <c r="I50" s="2"/>
    </row>
    <row r="51" spans="1:9" ht="15.75" customHeight="1">
      <c r="A51" s="2"/>
      <c r="B51" s="2"/>
      <c r="C51" s="2"/>
      <c r="D51" s="2"/>
      <c r="E51" s="2"/>
      <c r="F51" s="2"/>
      <c r="G51" s="2"/>
      <c r="H51" s="2"/>
      <c r="I51" s="2"/>
    </row>
    <row r="52" spans="1:9" ht="15.75" customHeight="1">
      <c r="A52" s="203" t="s">
        <v>224</v>
      </c>
      <c r="B52" s="2"/>
      <c r="C52" s="2"/>
      <c r="D52" s="2"/>
      <c r="E52" s="2"/>
      <c r="F52" s="2"/>
      <c r="G52" s="2"/>
      <c r="H52" s="2"/>
      <c r="I52" s="2"/>
    </row>
    <row r="53" spans="1:9" ht="15.75" customHeight="1">
      <c r="A53" s="2"/>
      <c r="B53" s="2"/>
      <c r="C53" s="2"/>
      <c r="D53" s="2"/>
      <c r="E53" s="2"/>
      <c r="F53" s="2"/>
      <c r="G53" s="2"/>
      <c r="H53" s="2"/>
      <c r="I53" s="2"/>
    </row>
    <row r="54" spans="1:9" ht="15.75" customHeight="1">
      <c r="A54" s="2"/>
      <c r="B54" s="2"/>
      <c r="C54" s="2"/>
      <c r="D54" s="2"/>
      <c r="E54" s="2"/>
      <c r="F54" s="2"/>
      <c r="G54" s="2"/>
      <c r="H54" s="2"/>
      <c r="I54" s="2"/>
    </row>
    <row r="55" spans="1:9" ht="15.75" customHeight="1">
      <c r="A55" s="2"/>
      <c r="B55" s="2"/>
      <c r="C55" s="2"/>
      <c r="D55" s="2"/>
      <c r="E55" s="2"/>
      <c r="F55" s="2"/>
      <c r="G55" s="2"/>
      <c r="H55" s="2"/>
      <c r="I55" s="2"/>
    </row>
    <row r="56" spans="1:9" ht="15.75" customHeight="1">
      <c r="A56" s="2"/>
      <c r="B56" s="2"/>
      <c r="C56" s="2"/>
      <c r="D56" s="2"/>
      <c r="E56" s="2"/>
      <c r="F56" s="2"/>
      <c r="G56" s="2"/>
      <c r="H56" s="2"/>
      <c r="I56" s="2"/>
    </row>
    <row r="57" spans="1:9" ht="15.75" customHeight="1">
      <c r="A57" s="2"/>
      <c r="B57" s="2"/>
      <c r="C57" s="2"/>
      <c r="D57" s="2"/>
      <c r="E57" s="2"/>
      <c r="F57" s="2"/>
      <c r="G57" s="2"/>
      <c r="H57" s="2"/>
      <c r="I57" s="2"/>
    </row>
    <row r="58" spans="1:9" ht="15.75" customHeight="1">
      <c r="A58" s="2"/>
      <c r="B58" s="2"/>
      <c r="C58" s="2"/>
      <c r="D58" s="2"/>
      <c r="E58" s="2"/>
      <c r="F58" s="2"/>
      <c r="G58" s="2"/>
      <c r="H58" s="2"/>
      <c r="I58" s="2"/>
    </row>
    <row r="59" spans="1:9" ht="15.75" customHeight="1">
      <c r="A59" s="4"/>
      <c r="B59" s="4"/>
      <c r="C59" s="4"/>
      <c r="D59" s="4"/>
      <c r="E59" s="4"/>
      <c r="F59" s="4"/>
      <c r="G59" s="4"/>
      <c r="H59" s="4"/>
      <c r="I59" s="4"/>
    </row>
    <row r="60" spans="1:9" ht="15.75" customHeight="1">
      <c r="A60" s="88" t="s">
        <v>225</v>
      </c>
      <c r="B60" s="88"/>
      <c r="C60" s="88"/>
      <c r="D60" s="5"/>
      <c r="E60" s="204" t="s">
        <v>1</v>
      </c>
      <c r="F60" s="4"/>
      <c r="G60" s="4"/>
      <c r="H60" s="4"/>
      <c r="I60" s="4"/>
    </row>
    <row r="61" spans="1:9" ht="15.75" customHeight="1">
      <c r="A61" s="205"/>
      <c r="B61" s="205"/>
      <c r="C61" s="4"/>
      <c r="D61" s="93"/>
      <c r="E61" s="4"/>
      <c r="F61" s="4"/>
      <c r="G61" s="4"/>
      <c r="H61" s="4"/>
      <c r="I61" s="4"/>
    </row>
    <row r="62" spans="1:9" ht="15.75" customHeight="1">
      <c r="A62" s="206" t="s">
        <v>226</v>
      </c>
      <c r="C62" s="12"/>
      <c r="D62" s="4"/>
      <c r="E62" s="136"/>
      <c r="F62" s="4"/>
      <c r="G62" s="4"/>
      <c r="H62" s="4"/>
      <c r="I62" s="4"/>
    </row>
    <row r="63" spans="1:9" ht="15.75" customHeight="1">
      <c r="A63" s="4"/>
      <c r="B63" s="4"/>
      <c r="C63" s="12" t="s">
        <v>227</v>
      </c>
      <c r="H63" s="4"/>
      <c r="I63" s="4"/>
    </row>
    <row r="64" spans="1:9" ht="15.75" customHeight="1">
      <c r="A64" s="4"/>
      <c r="B64" s="4"/>
      <c r="C64" s="4"/>
      <c r="D64" s="30" t="s">
        <v>228</v>
      </c>
      <c r="E64" s="30" t="s">
        <v>229</v>
      </c>
      <c r="F64" s="30" t="s">
        <v>230</v>
      </c>
      <c r="G64" s="30" t="s">
        <v>231</v>
      </c>
      <c r="H64" s="4"/>
      <c r="I64" s="4"/>
    </row>
    <row r="65" spans="1:9" ht="15.75" customHeight="1">
      <c r="A65" s="4"/>
      <c r="B65" s="4"/>
      <c r="C65" s="4"/>
      <c r="D65" s="207" t="s">
        <v>232</v>
      </c>
      <c r="E65" s="208">
        <v>24</v>
      </c>
      <c r="F65" s="208">
        <v>13</v>
      </c>
      <c r="G65" s="208">
        <v>9</v>
      </c>
      <c r="H65" s="4"/>
      <c r="I65" s="4"/>
    </row>
    <row r="66" spans="1:9" ht="15.75" customHeight="1">
      <c r="A66" s="4"/>
      <c r="B66" s="4"/>
      <c r="C66" s="4"/>
      <c r="D66" s="207" t="s">
        <v>233</v>
      </c>
      <c r="E66" s="208">
        <v>23</v>
      </c>
      <c r="F66" s="208">
        <v>12</v>
      </c>
      <c r="G66" s="208">
        <v>10</v>
      </c>
      <c r="H66" s="4"/>
      <c r="I66" s="4"/>
    </row>
    <row r="67" spans="1:9" ht="15.75" customHeight="1">
      <c r="A67" s="4"/>
      <c r="B67" s="4"/>
      <c r="C67" s="4"/>
      <c r="D67" s="207" t="s">
        <v>234</v>
      </c>
      <c r="E67" s="208">
        <v>22</v>
      </c>
      <c r="F67" s="208">
        <v>12.5</v>
      </c>
      <c r="G67" s="208">
        <v>7.5</v>
      </c>
      <c r="H67" s="4"/>
      <c r="I67" s="4"/>
    </row>
    <row r="68" spans="1:9" ht="15.75" customHeight="1">
      <c r="A68" s="4"/>
      <c r="B68" s="4"/>
      <c r="C68" s="4"/>
      <c r="D68" s="4"/>
      <c r="E68" s="20"/>
      <c r="F68" s="20"/>
      <c r="G68" s="20"/>
      <c r="H68" s="4"/>
      <c r="I68" s="4"/>
    </row>
    <row r="69" spans="1:9" ht="15.75" customHeight="1">
      <c r="A69" s="4"/>
      <c r="B69" s="404" t="s">
        <v>235</v>
      </c>
      <c r="C69" s="12" t="s">
        <v>236</v>
      </c>
      <c r="D69" s="13" t="s">
        <v>232</v>
      </c>
      <c r="E69" s="43" t="s">
        <v>237</v>
      </c>
      <c r="F69" s="4"/>
      <c r="G69" s="4"/>
      <c r="H69" s="4"/>
      <c r="I69" s="4"/>
    </row>
    <row r="70" spans="1:9" ht="15.75" customHeight="1">
      <c r="A70" s="4"/>
      <c r="B70" s="406"/>
      <c r="C70" s="4"/>
      <c r="D70" s="4"/>
      <c r="E70" s="4"/>
      <c r="F70" s="4"/>
      <c r="G70" s="4"/>
      <c r="H70" s="4"/>
      <c r="I70" s="4"/>
    </row>
    <row r="71" spans="1:9" ht="15.75" customHeight="1">
      <c r="A71" s="4"/>
      <c r="B71" s="4"/>
      <c r="C71" s="44">
        <f>IF(D69=D67,F67,IF(AND(D69=D66),F66,IF(AND(D69=D65),F65)))</f>
        <v>13</v>
      </c>
      <c r="D71" s="4"/>
      <c r="E71" s="4"/>
      <c r="F71" s="6">
        <f>IF(D69=D67,G67,IF(AND(D69=D66),G66,IF(AND(D69=D65),G65)))</f>
        <v>9</v>
      </c>
      <c r="G71" s="4"/>
      <c r="H71" s="4"/>
      <c r="I71" s="4"/>
    </row>
    <row r="72" spans="1:9" ht="15.75" customHeight="1">
      <c r="A72" s="4"/>
      <c r="B72" s="4"/>
      <c r="C72" s="4"/>
      <c r="D72" s="4"/>
      <c r="E72" s="4"/>
      <c r="F72" s="86"/>
      <c r="G72" s="4"/>
      <c r="H72" s="4"/>
      <c r="I72" s="4"/>
    </row>
    <row r="73" spans="1:9" ht="15.75" customHeight="1">
      <c r="A73" s="4"/>
      <c r="B73" s="4"/>
      <c r="C73" s="4"/>
      <c r="D73" s="4"/>
      <c r="E73" s="44">
        <f>IF(D69=D67,E67,IF(AND(D69=D66),E66,IF(AND(D69=D65),E65)))</f>
        <v>24</v>
      </c>
      <c r="F73" s="4"/>
      <c r="G73" s="4"/>
      <c r="H73" s="4"/>
      <c r="I73" s="4"/>
    </row>
    <row r="74" spans="1:9" ht="15.75" customHeight="1">
      <c r="A74" s="4"/>
      <c r="B74" s="4"/>
      <c r="C74" s="4"/>
      <c r="D74" s="4"/>
      <c r="E74" s="4"/>
      <c r="F74" s="4"/>
      <c r="G74" s="4"/>
      <c r="H74" s="14"/>
      <c r="I74" s="4"/>
    </row>
    <row r="75" spans="1:9" ht="15.75" customHeight="1">
      <c r="A75" s="4"/>
      <c r="B75" s="4"/>
      <c r="C75" s="4"/>
      <c r="D75" s="4"/>
      <c r="E75" s="4"/>
      <c r="F75" s="4"/>
      <c r="G75" s="4"/>
      <c r="H75" s="4"/>
      <c r="I75" s="4"/>
    </row>
    <row r="76" spans="1:9" ht="15.75" customHeight="1">
      <c r="A76" s="4"/>
      <c r="B76" s="4"/>
      <c r="C76" s="39"/>
      <c r="D76" s="30" t="s">
        <v>238</v>
      </c>
      <c r="E76" s="53" t="s">
        <v>239</v>
      </c>
      <c r="F76" s="53" t="s">
        <v>240</v>
      </c>
      <c r="G76" s="53" t="s">
        <v>241</v>
      </c>
      <c r="H76" s="4"/>
      <c r="I76" s="4"/>
    </row>
    <row r="77" spans="1:9" ht="15.75" customHeight="1">
      <c r="A77" s="4"/>
      <c r="B77" s="4"/>
      <c r="C77" s="404" t="s">
        <v>242</v>
      </c>
      <c r="D77" s="10"/>
      <c r="E77" s="10"/>
      <c r="F77" s="10"/>
      <c r="G77" s="10"/>
      <c r="H77" s="4"/>
      <c r="I77" s="4"/>
    </row>
    <row r="78" spans="1:9" ht="15.75" customHeight="1">
      <c r="A78" s="4"/>
      <c r="B78" s="4"/>
      <c r="C78" s="406"/>
      <c r="D78" s="209" t="s">
        <v>239</v>
      </c>
      <c r="E78" s="87" t="s">
        <v>243</v>
      </c>
      <c r="I78" s="4"/>
    </row>
    <row r="79" spans="1:9" ht="15.75" customHeight="1">
      <c r="A79" s="4"/>
      <c r="B79" s="4"/>
      <c r="C79" s="18"/>
      <c r="D79" s="33"/>
      <c r="E79" s="141"/>
      <c r="F79" s="4"/>
      <c r="G79" s="4"/>
      <c r="H79" s="4"/>
      <c r="I79" s="4"/>
    </row>
    <row r="80" spans="1:9" ht="15.75" customHeight="1">
      <c r="A80" s="4"/>
      <c r="B80" s="4"/>
      <c r="C80" s="39"/>
      <c r="D80" s="20"/>
      <c r="E80" s="40"/>
      <c r="F80" s="4"/>
      <c r="G80" s="4"/>
      <c r="H80" s="4"/>
      <c r="I80" s="4"/>
    </row>
    <row r="81" spans="1:9" ht="15.75" customHeight="1">
      <c r="A81" s="4"/>
      <c r="B81" s="9"/>
      <c r="C81" s="4" t="s">
        <v>244</v>
      </c>
      <c r="D81" s="4"/>
      <c r="E81" s="42" t="s">
        <v>245</v>
      </c>
      <c r="F81" s="43" t="s">
        <v>10</v>
      </c>
      <c r="G81" s="4"/>
      <c r="H81" s="4"/>
      <c r="I81" s="4"/>
    </row>
    <row r="82" spans="1:9" ht="15.75" customHeight="1">
      <c r="A82" s="4"/>
      <c r="B82" s="459" t="s">
        <v>246</v>
      </c>
      <c r="C82" s="4" t="s">
        <v>247</v>
      </c>
      <c r="D82" s="4"/>
      <c r="E82" s="13">
        <v>0.8</v>
      </c>
      <c r="F82" s="4"/>
      <c r="G82" s="4"/>
      <c r="H82" s="4"/>
      <c r="I82" s="4"/>
    </row>
    <row r="83" spans="1:9" ht="15.75" customHeight="1">
      <c r="A83" s="4"/>
      <c r="B83" s="406"/>
      <c r="C83" s="4" t="s">
        <v>248</v>
      </c>
      <c r="D83" s="4"/>
      <c r="E83" s="13">
        <v>1.5</v>
      </c>
      <c r="F83" s="4" t="s">
        <v>11</v>
      </c>
      <c r="G83" s="4"/>
      <c r="H83" s="4"/>
      <c r="I83" s="4"/>
    </row>
    <row r="84" spans="1:9" ht="15.75" customHeight="1">
      <c r="A84" s="4"/>
      <c r="B84" s="18"/>
      <c r="C84" s="4" t="s">
        <v>249</v>
      </c>
      <c r="D84" s="4"/>
      <c r="E84" s="13">
        <v>1.5</v>
      </c>
      <c r="F84" s="4" t="s">
        <v>11</v>
      </c>
      <c r="G84" s="4"/>
      <c r="H84" s="4"/>
      <c r="I84" s="4"/>
    </row>
    <row r="85" spans="1:9" ht="15.75" customHeight="1">
      <c r="A85" s="4"/>
      <c r="B85" s="18"/>
      <c r="C85" s="4"/>
      <c r="D85" s="4"/>
      <c r="E85" s="33"/>
      <c r="F85" s="4"/>
      <c r="G85" s="4"/>
      <c r="H85" s="4"/>
      <c r="I85" s="4"/>
    </row>
    <row r="86" spans="1:9" ht="15.75" customHeight="1">
      <c r="A86" s="4"/>
      <c r="B86" s="18"/>
      <c r="C86" s="4"/>
      <c r="D86" s="4"/>
      <c r="E86" s="20"/>
      <c r="F86" s="4"/>
      <c r="G86" s="21"/>
      <c r="H86" s="21"/>
      <c r="I86" s="4"/>
    </row>
    <row r="87" spans="1:9" ht="15.75" customHeight="1">
      <c r="A87" s="4"/>
      <c r="B87" s="404" t="s">
        <v>2</v>
      </c>
      <c r="C87" s="39" t="s">
        <v>250</v>
      </c>
      <c r="D87" s="19">
        <v>0.05</v>
      </c>
      <c r="E87" s="20"/>
      <c r="F87" s="4"/>
      <c r="G87" s="21"/>
      <c r="H87" s="21"/>
      <c r="I87" s="4"/>
    </row>
    <row r="88" spans="1:9" ht="15.75" customHeight="1">
      <c r="A88" s="4"/>
      <c r="B88" s="406"/>
      <c r="C88" s="39" t="s">
        <v>251</v>
      </c>
      <c r="D88" s="19">
        <v>0.1</v>
      </c>
      <c r="E88" s="20"/>
      <c r="F88" s="4"/>
      <c r="G88" s="21"/>
      <c r="H88" s="21"/>
      <c r="I88" s="4"/>
    </row>
    <row r="89" spans="1:9" ht="15.75" customHeight="1">
      <c r="A89" s="4"/>
      <c r="B89" s="18"/>
      <c r="C89" s="39"/>
      <c r="D89" s="47"/>
      <c r="E89" s="20"/>
      <c r="F89" s="4"/>
      <c r="G89" s="35"/>
      <c r="H89" s="35"/>
      <c r="I89" s="4"/>
    </row>
    <row r="90" spans="1:9" ht="15.75" customHeight="1">
      <c r="A90" s="4"/>
      <c r="B90" s="18"/>
      <c r="C90" s="4"/>
      <c r="D90" s="4"/>
      <c r="E90" s="20"/>
      <c r="F90" s="4"/>
      <c r="G90" s="4"/>
      <c r="H90" s="4"/>
      <c r="I90" s="4"/>
    </row>
    <row r="91" spans="1:9" ht="15.75" customHeight="1">
      <c r="A91" s="48" t="s">
        <v>252</v>
      </c>
      <c r="B91" s="18"/>
      <c r="C91" s="15"/>
      <c r="D91" s="43"/>
      <c r="E91" s="20"/>
      <c r="F91" s="4"/>
      <c r="G91" s="4"/>
      <c r="H91" s="4"/>
      <c r="I91" s="4"/>
    </row>
    <row r="92" spans="1:9" ht="15.75" customHeight="1">
      <c r="A92" s="4"/>
      <c r="B92" s="460" t="s">
        <v>14</v>
      </c>
      <c r="C92" s="342"/>
      <c r="D92" s="342"/>
      <c r="E92" s="342"/>
      <c r="F92" s="342"/>
      <c r="G92" s="342"/>
      <c r="H92" s="337"/>
      <c r="I92" s="4"/>
    </row>
    <row r="93" spans="1:9" ht="15.75" customHeight="1">
      <c r="A93" s="4"/>
      <c r="B93" s="415" t="s">
        <v>15</v>
      </c>
      <c r="C93" s="415" t="s">
        <v>253</v>
      </c>
      <c r="D93" s="415" t="s">
        <v>254</v>
      </c>
      <c r="E93" s="417" t="s">
        <v>16</v>
      </c>
      <c r="F93" s="346"/>
      <c r="G93" s="346"/>
      <c r="H93" s="298"/>
      <c r="I93" s="4"/>
    </row>
    <row r="94" spans="1:9" ht="15.75" customHeight="1">
      <c r="A94" s="4"/>
      <c r="B94" s="306"/>
      <c r="C94" s="306"/>
      <c r="D94" s="306"/>
      <c r="E94" s="30" t="s">
        <v>17</v>
      </c>
      <c r="F94" s="30" t="s">
        <v>18</v>
      </c>
      <c r="G94" s="30" t="s">
        <v>19</v>
      </c>
      <c r="H94" s="30" t="s">
        <v>20</v>
      </c>
      <c r="I94" s="4"/>
    </row>
    <row r="95" spans="1:9" ht="15.75" customHeight="1">
      <c r="A95" s="4"/>
      <c r="B95" s="210" t="s">
        <v>255</v>
      </c>
      <c r="C95" s="211">
        <v>8</v>
      </c>
      <c r="D95" s="208">
        <v>6.92</v>
      </c>
      <c r="E95" s="7">
        <v>0.1</v>
      </c>
      <c r="F95" s="7">
        <v>1</v>
      </c>
      <c r="G95" s="7">
        <v>0</v>
      </c>
      <c r="H95" s="7">
        <v>0.5</v>
      </c>
      <c r="I95" s="4"/>
    </row>
    <row r="96" spans="1:9" ht="15.75" customHeight="1">
      <c r="A96" s="4"/>
      <c r="B96" s="210" t="s">
        <v>256</v>
      </c>
      <c r="C96" s="211">
        <v>8</v>
      </c>
      <c r="D96" s="208">
        <v>19.23</v>
      </c>
      <c r="E96" s="7">
        <v>0</v>
      </c>
      <c r="F96" s="7">
        <v>0</v>
      </c>
      <c r="G96" s="7">
        <v>0</v>
      </c>
      <c r="H96" s="7">
        <v>0.5</v>
      </c>
      <c r="I96" s="4"/>
    </row>
    <row r="97" spans="1:9" ht="15.75" customHeight="1">
      <c r="A97" s="4"/>
      <c r="B97" s="18"/>
      <c r="C97" s="4"/>
      <c r="D97" s="4"/>
      <c r="E97" s="20"/>
      <c r="F97" s="4"/>
      <c r="G97" s="4"/>
      <c r="H97" s="4"/>
      <c r="I97" s="4"/>
    </row>
    <row r="98" spans="1:9" ht="15.75" customHeight="1">
      <c r="A98" s="4"/>
      <c r="B98" s="18"/>
      <c r="C98" s="4"/>
      <c r="D98" s="4"/>
      <c r="E98" s="20"/>
      <c r="F98" s="4"/>
      <c r="G98" s="4"/>
      <c r="H98" s="4"/>
      <c r="I98" s="4"/>
    </row>
    <row r="99" spans="1:9" ht="15.75" customHeight="1">
      <c r="A99" s="48" t="s">
        <v>257</v>
      </c>
      <c r="B99" s="18"/>
      <c r="C99" s="43"/>
      <c r="D99" s="389" t="s">
        <v>25</v>
      </c>
      <c r="E99" s="290"/>
      <c r="F99" s="290"/>
      <c r="G99" s="291"/>
      <c r="H99" s="4"/>
      <c r="I99" s="4"/>
    </row>
    <row r="100" spans="1:9" ht="15.75" customHeight="1">
      <c r="A100" s="5"/>
      <c r="B100" s="18"/>
      <c r="C100" s="43"/>
      <c r="D100" s="389"/>
      <c r="E100" s="290"/>
      <c r="F100" s="290"/>
      <c r="G100" s="291"/>
      <c r="H100" s="4"/>
      <c r="I100" s="4"/>
    </row>
    <row r="101" spans="1:9" ht="15.75" customHeight="1">
      <c r="A101" s="5"/>
      <c r="B101" s="22" t="s">
        <v>26</v>
      </c>
      <c r="C101" s="212"/>
      <c r="D101" s="4"/>
      <c r="E101" s="43" t="s">
        <v>27</v>
      </c>
      <c r="F101" s="4"/>
      <c r="G101" s="4"/>
      <c r="H101" s="4"/>
      <c r="I101" s="4"/>
    </row>
    <row r="102" spans="1:9" ht="15.75" customHeight="1">
      <c r="A102" s="5"/>
      <c r="B102" s="18"/>
      <c r="C102" s="213"/>
      <c r="D102" s="49"/>
      <c r="E102" s="49"/>
      <c r="F102" s="49"/>
      <c r="G102" s="4"/>
      <c r="H102" s="4"/>
      <c r="I102" s="4"/>
    </row>
    <row r="103" spans="1:9" ht="15.75" customHeight="1">
      <c r="A103" s="4"/>
      <c r="B103" s="456" t="s">
        <v>29</v>
      </c>
      <c r="C103" s="298"/>
      <c r="D103" s="31" t="s">
        <v>30</v>
      </c>
      <c r="E103" s="455" t="s">
        <v>31</v>
      </c>
      <c r="F103" s="291"/>
      <c r="G103" s="456" t="s">
        <v>32</v>
      </c>
      <c r="H103" s="298"/>
      <c r="I103" s="4"/>
    </row>
    <row r="104" spans="1:9" ht="15.75" customHeight="1">
      <c r="A104" s="4"/>
      <c r="B104" s="430" t="s">
        <v>34</v>
      </c>
      <c r="C104" s="298"/>
      <c r="D104" s="214" t="s">
        <v>258</v>
      </c>
      <c r="E104" s="59" t="s">
        <v>36</v>
      </c>
      <c r="F104" s="51">
        <v>22</v>
      </c>
      <c r="G104" s="59" t="s">
        <v>36</v>
      </c>
      <c r="H104" s="52">
        <f t="shared" ref="H104:H107" si="0">F104/1.18</f>
        <v>18.64406779661017</v>
      </c>
      <c r="I104" s="4"/>
    </row>
    <row r="105" spans="1:9" ht="15.75" customHeight="1">
      <c r="A105" s="4"/>
      <c r="B105" s="430" t="s">
        <v>126</v>
      </c>
      <c r="C105" s="298"/>
      <c r="D105" s="54" t="s">
        <v>259</v>
      </c>
      <c r="E105" s="59" t="s">
        <v>36</v>
      </c>
      <c r="F105" s="51">
        <v>60</v>
      </c>
      <c r="G105" s="59" t="s">
        <v>36</v>
      </c>
      <c r="H105" s="52">
        <f t="shared" si="0"/>
        <v>50.847457627118644</v>
      </c>
      <c r="I105" s="4"/>
    </row>
    <row r="106" spans="1:9" ht="15.75" customHeight="1">
      <c r="A106" s="4"/>
      <c r="B106" s="430" t="s">
        <v>37</v>
      </c>
      <c r="C106" s="298"/>
      <c r="D106" s="54" t="s">
        <v>260</v>
      </c>
      <c r="E106" s="215" t="s">
        <v>36</v>
      </c>
      <c r="F106" s="216">
        <v>5</v>
      </c>
      <c r="G106" s="59" t="s">
        <v>36</v>
      </c>
      <c r="H106" s="52">
        <f t="shared" si="0"/>
        <v>4.2372881355932206</v>
      </c>
      <c r="I106" s="4"/>
    </row>
    <row r="107" spans="1:9" ht="15.75" customHeight="1">
      <c r="A107" s="4"/>
      <c r="B107" s="430" t="s">
        <v>235</v>
      </c>
      <c r="C107" s="298"/>
      <c r="D107" s="54" t="s">
        <v>261</v>
      </c>
      <c r="E107" s="217" t="s">
        <v>36</v>
      </c>
      <c r="F107" s="51">
        <v>650</v>
      </c>
      <c r="G107" s="59" t="s">
        <v>36</v>
      </c>
      <c r="H107" s="52">
        <f t="shared" si="0"/>
        <v>550.84745762711873</v>
      </c>
      <c r="I107" s="4"/>
    </row>
    <row r="108" spans="1:9" ht="15.75" customHeight="1">
      <c r="A108" s="24" t="s">
        <v>28</v>
      </c>
      <c r="B108" s="39"/>
      <c r="C108" s="39"/>
      <c r="D108" s="44"/>
      <c r="E108" s="56"/>
      <c r="F108" s="4"/>
      <c r="G108" s="4"/>
      <c r="H108" s="4"/>
      <c r="I108" s="4"/>
    </row>
    <row r="109" spans="1:9" ht="15.75" customHeight="1">
      <c r="A109" s="24" t="s">
        <v>33</v>
      </c>
      <c r="B109" s="60" t="s">
        <v>33</v>
      </c>
      <c r="C109" s="39"/>
      <c r="D109" s="39"/>
      <c r="E109" s="44"/>
      <c r="F109" s="56"/>
      <c r="G109" s="4"/>
      <c r="H109" s="4"/>
      <c r="I109" s="4"/>
    </row>
    <row r="110" spans="1:9" ht="15.75" customHeight="1">
      <c r="A110" s="61"/>
      <c r="B110" s="292" t="s">
        <v>44</v>
      </c>
      <c r="C110" s="290"/>
      <c r="D110" s="351"/>
      <c r="E110" s="13" t="s">
        <v>33</v>
      </c>
      <c r="F110" s="370" t="s">
        <v>262</v>
      </c>
      <c r="G110" s="353"/>
      <c r="H110" s="4"/>
      <c r="I110" s="4"/>
    </row>
    <row r="111" spans="1:9" ht="15.75" customHeight="1">
      <c r="A111" s="4"/>
      <c r="B111" s="18"/>
      <c r="C111" s="39"/>
      <c r="D111" s="39"/>
      <c r="E111" s="44"/>
      <c r="F111" s="354"/>
      <c r="G111" s="355"/>
      <c r="H111" s="4"/>
      <c r="I111" s="4"/>
    </row>
    <row r="112" spans="1:9" ht="15.75" customHeight="1">
      <c r="A112" s="4"/>
      <c r="B112" s="18"/>
      <c r="C112" s="39"/>
      <c r="D112" s="39"/>
      <c r="E112" s="44"/>
      <c r="F112" s="56"/>
      <c r="G112" s="4"/>
      <c r="H112" s="4"/>
      <c r="I112" s="4"/>
    </row>
    <row r="113" spans="1:9" ht="15.75" customHeight="1">
      <c r="A113" s="4"/>
      <c r="B113" s="18"/>
      <c r="C113" s="39"/>
      <c r="D113" s="39"/>
      <c r="E113" s="44"/>
      <c r="F113" s="56"/>
      <c r="G113" s="4"/>
      <c r="H113" s="4"/>
      <c r="I113" s="4"/>
    </row>
    <row r="114" spans="1:9" ht="15.75" customHeight="1">
      <c r="A114" s="4"/>
      <c r="B114" s="22" t="s">
        <v>46</v>
      </c>
      <c r="C114" s="58"/>
      <c r="D114" s="39"/>
      <c r="E114" s="44"/>
      <c r="F114" s="56"/>
      <c r="G114" s="4"/>
      <c r="H114" s="4"/>
      <c r="I114" s="4"/>
    </row>
    <row r="115" spans="1:9" ht="15.75" customHeight="1">
      <c r="A115" s="4"/>
      <c r="B115" s="18"/>
      <c r="C115" s="39"/>
      <c r="D115" s="39"/>
      <c r="E115" s="44"/>
      <c r="F115" s="56"/>
      <c r="G115" s="4"/>
      <c r="H115" s="4"/>
      <c r="I115" s="4"/>
    </row>
    <row r="116" spans="1:9" ht="15.75" customHeight="1">
      <c r="A116" s="4"/>
      <c r="B116" s="451" t="s">
        <v>47</v>
      </c>
      <c r="C116" s="320"/>
      <c r="D116" s="320"/>
      <c r="E116" s="320"/>
      <c r="F116" s="320"/>
      <c r="G116" s="321"/>
      <c r="H116" s="4"/>
      <c r="I116" s="4"/>
    </row>
    <row r="117" spans="1:9" ht="15.75" customHeight="1">
      <c r="A117" s="4"/>
      <c r="B117" s="452" t="s">
        <v>48</v>
      </c>
      <c r="C117" s="342"/>
      <c r="D117" s="342"/>
      <c r="E117" s="342"/>
      <c r="F117" s="342"/>
      <c r="G117" s="318"/>
      <c r="H117" s="4"/>
      <c r="I117" s="4"/>
    </row>
    <row r="118" spans="1:9" ht="15.75" customHeight="1">
      <c r="A118" s="4"/>
      <c r="B118" s="453" t="s">
        <v>49</v>
      </c>
      <c r="C118" s="346"/>
      <c r="D118" s="298"/>
      <c r="E118" s="62" t="s">
        <v>18</v>
      </c>
      <c r="F118" s="63" t="s">
        <v>19</v>
      </c>
      <c r="G118" s="62" t="s">
        <v>20</v>
      </c>
      <c r="H118" s="4"/>
      <c r="I118" s="4"/>
    </row>
    <row r="119" spans="1:9" ht="15.75" customHeight="1">
      <c r="A119" s="4"/>
      <c r="B119" s="454" t="s">
        <v>50</v>
      </c>
      <c r="C119" s="346"/>
      <c r="D119" s="298"/>
      <c r="E119" s="64">
        <v>74.3</v>
      </c>
      <c r="F119" s="64">
        <v>58.45</v>
      </c>
      <c r="G119" s="64">
        <v>52.5</v>
      </c>
      <c r="H119" s="4"/>
      <c r="I119" s="4"/>
    </row>
    <row r="120" spans="1:9" ht="15.75" customHeight="1">
      <c r="A120" s="4"/>
      <c r="B120" s="442" t="s">
        <v>51</v>
      </c>
      <c r="C120" s="346"/>
      <c r="D120" s="298"/>
      <c r="E120" s="64"/>
      <c r="F120" s="64"/>
      <c r="G120" s="64"/>
      <c r="H120" s="4"/>
      <c r="I120" s="4"/>
    </row>
    <row r="121" spans="1:9" ht="15.75" customHeight="1">
      <c r="A121" s="4"/>
      <c r="B121" s="65"/>
      <c r="C121" s="66" t="s">
        <v>18</v>
      </c>
      <c r="D121" s="67">
        <v>0.32</v>
      </c>
      <c r="E121" s="64">
        <f>D121*E119</f>
        <v>23.776</v>
      </c>
      <c r="F121" s="64"/>
      <c r="G121" s="64"/>
      <c r="H121" s="4"/>
      <c r="I121" s="4"/>
    </row>
    <row r="122" spans="1:9" ht="15.75" customHeight="1">
      <c r="A122" s="4"/>
      <c r="B122" s="68"/>
      <c r="C122" s="69" t="s">
        <v>19</v>
      </c>
      <c r="D122" s="70">
        <v>0.3</v>
      </c>
      <c r="E122" s="64"/>
      <c r="F122" s="64">
        <f>D122*F119</f>
        <v>17.535</v>
      </c>
      <c r="G122" s="64"/>
      <c r="H122" s="4"/>
      <c r="I122" s="4"/>
    </row>
    <row r="123" spans="1:9" ht="15.75" customHeight="1">
      <c r="A123" s="4"/>
      <c r="B123" s="68"/>
      <c r="C123" s="69" t="s">
        <v>20</v>
      </c>
      <c r="D123" s="70">
        <v>0.3</v>
      </c>
      <c r="E123" s="64"/>
      <c r="F123" s="64"/>
      <c r="G123" s="64">
        <f>D123*G119</f>
        <v>15.75</v>
      </c>
      <c r="H123" s="4"/>
      <c r="I123" s="4"/>
    </row>
    <row r="124" spans="1:9" ht="15" customHeight="1">
      <c r="A124" s="4"/>
      <c r="B124" s="442" t="s">
        <v>52</v>
      </c>
      <c r="C124" s="295"/>
      <c r="D124" s="71">
        <v>1.1345000000000001</v>
      </c>
      <c r="E124" s="64">
        <f>D124*E119</f>
        <v>84.293350000000004</v>
      </c>
      <c r="F124" s="64">
        <f>D124*F119</f>
        <v>66.311525000000003</v>
      </c>
      <c r="G124" s="64">
        <f>D124*G119</f>
        <v>59.561250000000001</v>
      </c>
      <c r="H124" s="4"/>
      <c r="I124" s="4"/>
    </row>
    <row r="125" spans="1:9" ht="15" customHeight="1">
      <c r="A125" s="4"/>
      <c r="B125" s="442" t="s">
        <v>53</v>
      </c>
      <c r="C125" s="295"/>
      <c r="D125" s="72">
        <v>0.12</v>
      </c>
      <c r="E125" s="64">
        <f>D125*E121</f>
        <v>2.8531199999999997</v>
      </c>
      <c r="F125" s="64">
        <f>D125*F122</f>
        <v>2.1042000000000001</v>
      </c>
      <c r="G125" s="64">
        <f>D125*G123</f>
        <v>1.89</v>
      </c>
      <c r="H125" s="4"/>
      <c r="I125" s="4"/>
    </row>
    <row r="126" spans="1:9" ht="15.75" customHeight="1">
      <c r="A126" s="4"/>
      <c r="B126" s="442" t="s">
        <v>54</v>
      </c>
      <c r="C126" s="346"/>
      <c r="D126" s="298"/>
      <c r="E126" s="64">
        <v>8</v>
      </c>
      <c r="F126" s="64">
        <v>8</v>
      </c>
      <c r="G126" s="64">
        <v>8</v>
      </c>
      <c r="H126" s="4"/>
      <c r="I126" s="4"/>
    </row>
    <row r="127" spans="1:9" ht="15.75" customHeight="1">
      <c r="A127" s="4"/>
      <c r="B127" s="442" t="s">
        <v>55</v>
      </c>
      <c r="C127" s="346"/>
      <c r="D127" s="298"/>
      <c r="E127" s="64">
        <v>0.4</v>
      </c>
      <c r="F127" s="64">
        <v>0.4</v>
      </c>
      <c r="G127" s="64">
        <v>0.4</v>
      </c>
      <c r="H127" s="4"/>
      <c r="I127" s="4"/>
    </row>
    <row r="128" spans="1:9" ht="15.75" customHeight="1">
      <c r="A128" s="4"/>
      <c r="B128" s="442" t="s">
        <v>56</v>
      </c>
      <c r="C128" s="346"/>
      <c r="D128" s="298"/>
      <c r="E128" s="64">
        <v>0.17</v>
      </c>
      <c r="F128" s="64">
        <v>0.17</v>
      </c>
      <c r="G128" s="64">
        <v>0.17</v>
      </c>
      <c r="H128" s="4"/>
      <c r="I128" s="4"/>
    </row>
    <row r="129" spans="1:19" ht="15.75" customHeight="1">
      <c r="A129" s="4"/>
      <c r="B129" s="443" t="s">
        <v>57</v>
      </c>
      <c r="C129" s="346"/>
      <c r="D129" s="298"/>
      <c r="E129" s="63">
        <f>E119+E121+E124+E125+E126+E127+E128</f>
        <v>193.79246999999998</v>
      </c>
      <c r="F129" s="63">
        <f>F119+F122+F124+F125+F126+F127+F128</f>
        <v>152.97072499999999</v>
      </c>
      <c r="G129" s="63">
        <f>G119+G123+G124+G125+G126+G127+G128</f>
        <v>138.27124999999998</v>
      </c>
      <c r="H129" s="4"/>
      <c r="I129" s="4"/>
    </row>
    <row r="130" spans="1:19" ht="15.75" customHeight="1">
      <c r="A130" s="4"/>
      <c r="B130" s="443" t="s">
        <v>58</v>
      </c>
      <c r="C130" s="346"/>
      <c r="D130" s="298"/>
      <c r="E130" s="63">
        <f t="shared" ref="E130:G130" si="1">E129/8</f>
        <v>24.224058749999998</v>
      </c>
      <c r="F130" s="63">
        <f t="shared" si="1"/>
        <v>19.121340624999998</v>
      </c>
      <c r="G130" s="63">
        <f t="shared" si="1"/>
        <v>17.283906249999998</v>
      </c>
      <c r="H130" s="4"/>
      <c r="I130" s="4"/>
    </row>
    <row r="131" spans="1:19" ht="15.75" customHeight="1">
      <c r="A131" s="4"/>
      <c r="B131" s="18"/>
      <c r="C131" s="39"/>
      <c r="D131" s="39"/>
      <c r="E131" s="44"/>
      <c r="F131" s="56"/>
      <c r="G131" s="4"/>
      <c r="H131" s="4"/>
      <c r="I131" s="4"/>
    </row>
    <row r="132" spans="1:19" ht="15.75" customHeight="1">
      <c r="A132" s="4"/>
      <c r="B132" s="444" t="s">
        <v>59</v>
      </c>
      <c r="C132" s="346"/>
      <c r="D132" s="346"/>
      <c r="E132" s="346"/>
      <c r="F132" s="346"/>
      <c r="G132" s="298"/>
      <c r="H132" s="4"/>
      <c r="I132" s="4"/>
    </row>
    <row r="133" spans="1:19" ht="15.75" customHeight="1">
      <c r="A133" s="4"/>
      <c r="B133" s="73" t="s">
        <v>60</v>
      </c>
      <c r="C133" s="74"/>
      <c r="D133" s="75"/>
      <c r="E133" s="76">
        <v>1.1000000000000001</v>
      </c>
      <c r="F133" s="77" t="s">
        <v>61</v>
      </c>
      <c r="G133" s="78">
        <f>E133*E130</f>
        <v>26.646464625</v>
      </c>
      <c r="H133" s="4"/>
      <c r="I133" s="4"/>
    </row>
    <row r="134" spans="1:19" ht="15.75" customHeight="1">
      <c r="A134" s="4"/>
      <c r="B134" s="73" t="s">
        <v>18</v>
      </c>
      <c r="C134" s="74"/>
      <c r="D134" s="75"/>
      <c r="E134" s="76"/>
      <c r="F134" s="77"/>
      <c r="G134" s="78">
        <f>E130</f>
        <v>24.224058749999998</v>
      </c>
      <c r="H134" s="4"/>
      <c r="I134" s="4"/>
    </row>
    <row r="135" spans="1:19" ht="15.75" customHeight="1">
      <c r="A135" s="4"/>
      <c r="B135" s="73" t="s">
        <v>19</v>
      </c>
      <c r="C135" s="74"/>
      <c r="D135" s="75"/>
      <c r="E135" s="50"/>
      <c r="F135" s="79"/>
      <c r="G135" s="78">
        <f>F130</f>
        <v>19.121340624999998</v>
      </c>
      <c r="H135" s="4"/>
      <c r="I135" s="4"/>
    </row>
    <row r="136" spans="1:19" ht="15.75" customHeight="1">
      <c r="A136" s="4"/>
      <c r="B136" s="73" t="s">
        <v>20</v>
      </c>
      <c r="C136" s="74"/>
      <c r="D136" s="75"/>
      <c r="E136" s="50"/>
      <c r="F136" s="79"/>
      <c r="G136" s="78">
        <f>G130</f>
        <v>17.283906249999998</v>
      </c>
      <c r="H136" s="4"/>
      <c r="I136" s="4"/>
      <c r="N136" s="14"/>
      <c r="O136" s="14"/>
      <c r="P136" s="14"/>
      <c r="Q136" s="14"/>
      <c r="R136" s="14"/>
      <c r="S136" s="14"/>
    </row>
    <row r="137" spans="1:19" ht="15" customHeight="1">
      <c r="A137" s="4"/>
      <c r="B137" s="73" t="s">
        <v>62</v>
      </c>
      <c r="C137" s="74"/>
      <c r="D137" s="75"/>
      <c r="E137" s="76">
        <v>1</v>
      </c>
      <c r="F137" s="77" t="s">
        <v>63</v>
      </c>
      <c r="G137" s="78">
        <f>E137*F130</f>
        <v>19.121340624999998</v>
      </c>
      <c r="H137" s="4"/>
      <c r="I137" s="4"/>
      <c r="N137" s="14"/>
      <c r="O137" s="14"/>
      <c r="P137" s="14"/>
      <c r="Q137" s="14"/>
      <c r="R137" s="14"/>
      <c r="S137" s="14"/>
    </row>
    <row r="138" spans="1:19" ht="15.75" customHeight="1">
      <c r="A138" s="4"/>
      <c r="B138" s="445" t="s">
        <v>64</v>
      </c>
      <c r="C138" s="346"/>
      <c r="D138" s="298"/>
      <c r="E138" s="76">
        <v>1.08</v>
      </c>
      <c r="F138" s="77" t="s">
        <v>61</v>
      </c>
      <c r="G138" s="78">
        <f>E138*E130</f>
        <v>26.161983449999997</v>
      </c>
      <c r="H138" s="4"/>
      <c r="I138" s="4"/>
      <c r="N138" s="14"/>
      <c r="O138" s="14"/>
      <c r="P138" s="14"/>
      <c r="Q138" s="14"/>
      <c r="R138" s="14"/>
      <c r="S138" s="14"/>
    </row>
    <row r="139" spans="1:19" ht="15.75" customHeight="1">
      <c r="A139" s="4"/>
      <c r="B139" s="445" t="s">
        <v>65</v>
      </c>
      <c r="C139" s="346"/>
      <c r="D139" s="298"/>
      <c r="E139" s="76">
        <v>1.1000000000000001</v>
      </c>
      <c r="F139" s="77" t="s">
        <v>61</v>
      </c>
      <c r="G139" s="78">
        <f>E139*E130</f>
        <v>26.646464625</v>
      </c>
      <c r="H139" s="4"/>
      <c r="I139" s="4"/>
      <c r="J139" s="14"/>
      <c r="K139" s="14"/>
      <c r="N139" s="14"/>
      <c r="O139" s="14"/>
      <c r="P139" s="14"/>
      <c r="Q139" s="14"/>
      <c r="R139" s="14"/>
      <c r="S139" s="14"/>
    </row>
    <row r="140" spans="1:19" ht="15.75" customHeight="1">
      <c r="A140" s="4"/>
      <c r="B140" s="349" t="s">
        <v>66</v>
      </c>
      <c r="C140" s="320"/>
      <c r="D140" s="320"/>
      <c r="E140" s="320"/>
      <c r="F140" s="320"/>
      <c r="G140" s="350"/>
      <c r="H140" s="4"/>
      <c r="I140" s="4"/>
      <c r="J140" s="14"/>
      <c r="K140" s="14"/>
      <c r="N140" s="14"/>
      <c r="O140" s="14"/>
      <c r="P140" s="14"/>
      <c r="Q140" s="14"/>
      <c r="R140" s="14"/>
      <c r="S140" s="14"/>
    </row>
    <row r="141" spans="1:19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14"/>
      <c r="K141" s="14"/>
      <c r="N141" s="14"/>
      <c r="O141" s="14"/>
      <c r="P141" s="14"/>
      <c r="Q141" s="14"/>
      <c r="R141" s="14"/>
      <c r="S141" s="14"/>
    </row>
    <row r="142" spans="1:19" ht="15.75" customHeight="1">
      <c r="A142" s="24" t="s">
        <v>4</v>
      </c>
      <c r="B142" s="80" t="s">
        <v>67</v>
      </c>
      <c r="C142" s="57"/>
      <c r="D142" s="81">
        <v>4600</v>
      </c>
      <c r="E142" s="44" t="s">
        <v>68</v>
      </c>
      <c r="F142" s="82">
        <f>50*D142</f>
        <v>230000</v>
      </c>
      <c r="G142" s="4"/>
      <c r="H142" s="4"/>
      <c r="I142" s="4"/>
      <c r="J142" s="14"/>
      <c r="K142" s="14"/>
      <c r="N142" s="14"/>
      <c r="O142" s="14"/>
      <c r="P142" s="14"/>
      <c r="Q142" s="14"/>
      <c r="R142" s="14"/>
      <c r="S142" s="14"/>
    </row>
    <row r="143" spans="1:19" ht="15.75" customHeight="1">
      <c r="A143" s="24" t="s">
        <v>6</v>
      </c>
      <c r="B143" s="18"/>
      <c r="C143" s="39"/>
      <c r="D143" s="39"/>
      <c r="E143" s="44"/>
      <c r="F143" s="56"/>
      <c r="G143" s="4"/>
      <c r="H143" s="4"/>
      <c r="I143" s="4"/>
      <c r="J143" s="14"/>
      <c r="K143" s="14"/>
      <c r="N143" s="14"/>
      <c r="O143" s="14"/>
      <c r="P143" s="14"/>
      <c r="Q143" s="14"/>
      <c r="R143" s="14"/>
      <c r="S143" s="14"/>
    </row>
    <row r="144" spans="1:19" ht="15" customHeight="1">
      <c r="A144" s="24" t="s">
        <v>4</v>
      </c>
      <c r="B144" s="293" t="s">
        <v>69</v>
      </c>
      <c r="C144" s="351"/>
      <c r="D144" s="13" t="s">
        <v>4</v>
      </c>
      <c r="E144" s="370" t="s">
        <v>263</v>
      </c>
      <c r="F144" s="353"/>
      <c r="G144" s="4"/>
      <c r="I144" s="4"/>
      <c r="J144" s="14"/>
      <c r="K144" s="14"/>
      <c r="N144" s="14"/>
      <c r="O144" s="14"/>
      <c r="P144" s="14"/>
      <c r="Q144" s="14"/>
      <c r="R144" s="14"/>
      <c r="S144" s="14"/>
    </row>
    <row r="145" spans="1:19" ht="15.75" customHeight="1">
      <c r="A145" s="24" t="s">
        <v>6</v>
      </c>
      <c r="B145" s="18"/>
      <c r="C145" s="39"/>
      <c r="D145" s="39"/>
      <c r="E145" s="354"/>
      <c r="F145" s="355"/>
      <c r="G145" s="4"/>
      <c r="H145" s="4"/>
      <c r="I145" s="4"/>
      <c r="J145" s="14"/>
      <c r="K145" s="14"/>
      <c r="N145" s="14"/>
      <c r="O145" s="14"/>
      <c r="P145" s="14"/>
      <c r="Q145" s="14"/>
      <c r="R145" s="14"/>
      <c r="S145" s="14"/>
    </row>
    <row r="146" spans="1:19" ht="15.75" customHeight="1">
      <c r="A146" s="4"/>
      <c r="B146" s="18"/>
      <c r="C146" s="39"/>
      <c r="D146" s="39"/>
      <c r="E146" s="44"/>
      <c r="F146" s="56"/>
      <c r="G146" s="4"/>
      <c r="H146" s="4"/>
      <c r="I146" s="4"/>
      <c r="J146" s="14"/>
      <c r="K146" s="14"/>
      <c r="O146" s="14"/>
      <c r="P146" s="14"/>
      <c r="Q146" s="14"/>
      <c r="R146" s="14"/>
    </row>
    <row r="147" spans="1:19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14"/>
      <c r="K147" s="14"/>
      <c r="O147" s="14"/>
      <c r="P147" s="14"/>
      <c r="Q147" s="14"/>
      <c r="R147" s="14"/>
    </row>
    <row r="148" spans="1:19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14"/>
      <c r="K148" s="14"/>
      <c r="O148" s="14"/>
      <c r="P148" s="14"/>
      <c r="Q148" s="14"/>
      <c r="R148" s="14"/>
    </row>
    <row r="149" spans="1:1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14"/>
      <c r="K149" s="14"/>
      <c r="O149" s="14"/>
      <c r="P149" s="14"/>
      <c r="Q149" s="14"/>
      <c r="R149" s="14"/>
    </row>
    <row r="150" spans="1:19" ht="15.75" customHeight="1">
      <c r="A150" s="4"/>
      <c r="B150" s="18"/>
      <c r="C150" s="4"/>
      <c r="D150" s="4"/>
      <c r="E150" s="20"/>
      <c r="F150" s="6"/>
      <c r="G150" s="356" t="s">
        <v>71</v>
      </c>
      <c r="H150" s="353"/>
      <c r="I150" s="4"/>
    </row>
    <row r="151" spans="1:19" ht="15.75" customHeight="1">
      <c r="A151" s="4"/>
      <c r="B151" s="18"/>
      <c r="C151" s="4"/>
      <c r="D151" s="4"/>
      <c r="E151" s="20"/>
      <c r="F151" s="6"/>
      <c r="G151" s="357"/>
      <c r="H151" s="358"/>
      <c r="I151" s="4"/>
    </row>
    <row r="152" spans="1:19" ht="15.75" customHeight="1">
      <c r="A152" s="4"/>
      <c r="B152" s="18"/>
      <c r="C152" s="4"/>
      <c r="D152" s="4"/>
      <c r="E152" s="20"/>
      <c r="F152" s="6"/>
      <c r="G152" s="354"/>
      <c r="H152" s="355"/>
      <c r="I152" s="4"/>
    </row>
    <row r="153" spans="1:19" ht="15.75" customHeight="1">
      <c r="A153" s="4"/>
      <c r="B153" s="18"/>
      <c r="C153" s="4"/>
      <c r="D153" s="4"/>
      <c r="E153" s="20"/>
      <c r="F153" s="4"/>
      <c r="G153" s="4"/>
      <c r="H153" s="4"/>
      <c r="I153" s="4"/>
    </row>
    <row r="154" spans="1:19" ht="15.75" customHeight="1">
      <c r="A154" s="5" t="s">
        <v>264</v>
      </c>
      <c r="B154" s="18"/>
      <c r="C154" s="4"/>
      <c r="D154" s="4"/>
      <c r="E154" s="20"/>
      <c r="F154" s="4"/>
      <c r="G154" s="4"/>
      <c r="H154" s="4"/>
      <c r="I154" s="4"/>
    </row>
    <row r="155" spans="1:19" ht="15.75" customHeight="1">
      <c r="A155" s="359" t="s">
        <v>167</v>
      </c>
      <c r="B155" s="290"/>
      <c r="C155" s="291"/>
      <c r="D155" s="449" t="s">
        <v>265</v>
      </c>
      <c r="E155" s="450"/>
      <c r="F155" s="353"/>
      <c r="G155" s="446">
        <v>120</v>
      </c>
      <c r="H155" s="448" t="s">
        <v>266</v>
      </c>
      <c r="I155" s="4"/>
    </row>
    <row r="156" spans="1:19" ht="15.75" customHeight="1">
      <c r="A156" s="218"/>
      <c r="B156" s="218"/>
      <c r="C156" s="218"/>
      <c r="D156" s="354"/>
      <c r="E156" s="437"/>
      <c r="F156" s="355"/>
      <c r="G156" s="447"/>
      <c r="H156" s="406"/>
      <c r="I156" s="4"/>
    </row>
    <row r="157" spans="1:19" ht="15.75" customHeight="1">
      <c r="A157" s="4"/>
      <c r="B157" s="18"/>
      <c r="C157" s="4"/>
      <c r="D157" s="4"/>
      <c r="E157" s="20"/>
      <c r="F157" s="4"/>
      <c r="G157" s="4"/>
      <c r="H157" s="4"/>
      <c r="I157" s="4"/>
    </row>
    <row r="158" spans="1:19" ht="15.75" customHeight="1">
      <c r="A158" s="4"/>
      <c r="B158" s="18"/>
      <c r="C158" s="4"/>
      <c r="D158" s="4"/>
      <c r="E158" s="20"/>
      <c r="F158" s="6"/>
      <c r="G158" s="4"/>
      <c r="H158" s="4"/>
      <c r="I158" s="4"/>
    </row>
    <row r="159" spans="1:19" ht="15.75" customHeight="1">
      <c r="A159" s="420" t="s">
        <v>267</v>
      </c>
      <c r="B159" s="342"/>
      <c r="C159" s="337"/>
      <c r="D159" s="4"/>
      <c r="E159" s="4"/>
      <c r="F159" s="4"/>
      <c r="G159" s="4"/>
      <c r="H159" s="4"/>
      <c r="I159" s="4"/>
    </row>
    <row r="160" spans="1:19" ht="15.75" customHeight="1">
      <c r="A160" s="219"/>
      <c r="B160" s="219"/>
      <c r="C160" s="219"/>
      <c r="D160" s="4"/>
      <c r="E160" s="4"/>
      <c r="F160" s="4"/>
      <c r="G160" s="4"/>
      <c r="H160" s="4"/>
      <c r="I160" s="4"/>
    </row>
    <row r="161" spans="1:9" ht="15.75" customHeight="1">
      <c r="A161" s="220" t="s">
        <v>268</v>
      </c>
      <c r="B161" s="2"/>
      <c r="C161" s="2"/>
      <c r="D161" s="2"/>
      <c r="E161" s="2"/>
      <c r="F161" s="2"/>
      <c r="G161" s="2"/>
      <c r="H161" s="2"/>
      <c r="I161" s="2"/>
    </row>
    <row r="162" spans="1:9" ht="15.75" customHeight="1">
      <c r="A162" s="2"/>
      <c r="B162" s="203" t="s">
        <v>269</v>
      </c>
      <c r="C162" s="2"/>
      <c r="D162" s="2"/>
      <c r="E162" s="2"/>
      <c r="F162" s="2"/>
      <c r="G162" s="2"/>
      <c r="H162" s="2"/>
      <c r="I162" s="2"/>
    </row>
    <row r="163" spans="1:9" ht="15.75" customHeight="1">
      <c r="A163" s="2"/>
      <c r="B163" s="2"/>
      <c r="C163" s="2"/>
      <c r="D163" s="2"/>
      <c r="E163" s="2"/>
      <c r="F163" s="2"/>
      <c r="G163" s="2"/>
      <c r="H163" s="2"/>
      <c r="I163" s="2"/>
    </row>
    <row r="164" spans="1:9" ht="15.75" customHeight="1">
      <c r="A164" s="2"/>
      <c r="B164" s="2"/>
      <c r="C164" s="2"/>
      <c r="D164" s="2"/>
      <c r="E164" s="2"/>
      <c r="F164" s="2"/>
      <c r="G164" s="2"/>
      <c r="H164" s="2"/>
      <c r="I164" s="2"/>
    </row>
    <row r="165" spans="1:9" ht="15.75" customHeight="1">
      <c r="A165" s="2"/>
      <c r="B165" s="2"/>
      <c r="C165" s="2"/>
      <c r="D165" s="2"/>
      <c r="E165" s="2"/>
      <c r="F165" s="2"/>
      <c r="G165" s="2"/>
      <c r="H165" s="2"/>
      <c r="I165" s="2"/>
    </row>
    <row r="166" spans="1:9" ht="15.75" customHeight="1">
      <c r="A166" s="2"/>
      <c r="B166" s="2"/>
      <c r="C166" s="2"/>
      <c r="D166" s="2"/>
      <c r="E166" s="2"/>
      <c r="F166" s="2"/>
      <c r="G166" s="2"/>
      <c r="H166" s="2"/>
      <c r="I166" s="2"/>
    </row>
    <row r="167" spans="1:9" ht="15.75" customHeight="1">
      <c r="A167" s="2"/>
      <c r="B167" s="2"/>
      <c r="C167" s="2"/>
      <c r="D167" s="2"/>
      <c r="E167" s="2"/>
      <c r="F167" s="2"/>
      <c r="G167" s="2"/>
      <c r="H167" s="2"/>
      <c r="I167" s="2"/>
    </row>
    <row r="168" spans="1:9" ht="15.75" customHeight="1">
      <c r="A168" s="2"/>
      <c r="B168" s="2"/>
      <c r="C168" s="2"/>
      <c r="D168" s="2"/>
      <c r="E168" s="2"/>
      <c r="F168" s="2"/>
      <c r="G168" s="2"/>
      <c r="H168" s="2"/>
      <c r="I168" s="2"/>
    </row>
    <row r="169" spans="1:9" ht="15.75" customHeight="1">
      <c r="A169" s="2"/>
      <c r="B169" s="2"/>
      <c r="C169" s="2"/>
      <c r="D169" s="2"/>
      <c r="E169" s="2"/>
      <c r="F169" s="2"/>
      <c r="G169" s="2"/>
      <c r="H169" s="2"/>
      <c r="I169" s="2"/>
    </row>
    <row r="170" spans="1:9" ht="15.75" customHeight="1">
      <c r="A170" s="2"/>
      <c r="B170" s="2"/>
      <c r="C170" s="2"/>
      <c r="D170" s="2"/>
      <c r="E170" s="2"/>
      <c r="F170" s="2"/>
      <c r="G170" s="2"/>
      <c r="H170" s="2"/>
      <c r="I170" s="2"/>
    </row>
    <row r="171" spans="1:9" ht="15.75" customHeight="1">
      <c r="A171" s="2"/>
      <c r="B171" s="2"/>
      <c r="C171" s="421" t="s">
        <v>270</v>
      </c>
      <c r="D171" s="298"/>
      <c r="E171" s="221" t="str">
        <f>D78</f>
        <v>soga</v>
      </c>
      <c r="F171" s="2"/>
      <c r="G171" s="2"/>
      <c r="H171" s="2"/>
      <c r="I171" s="2"/>
    </row>
    <row r="172" spans="1:9" ht="15.75" customHeight="1">
      <c r="A172" s="2"/>
      <c r="B172" s="2"/>
      <c r="C172" s="221"/>
      <c r="D172" s="221"/>
      <c r="E172" s="221"/>
      <c r="F172" s="2"/>
      <c r="G172" s="2"/>
      <c r="H172" s="2"/>
      <c r="I172" s="2"/>
    </row>
    <row r="173" spans="1:9" ht="15.75" customHeight="1">
      <c r="A173" s="2"/>
      <c r="B173" s="2"/>
      <c r="C173" s="222" t="s">
        <v>271</v>
      </c>
      <c r="D173" s="223">
        <f>(IF(E171="soga",E73,IF(AND(E171="cabeza"),C71,IF(AND(E171="canto"),E73))))/100</f>
        <v>0.24</v>
      </c>
      <c r="E173" s="224" t="s">
        <v>75</v>
      </c>
      <c r="F173" s="2"/>
      <c r="G173" s="2"/>
      <c r="H173" s="2"/>
      <c r="I173" s="2"/>
    </row>
    <row r="174" spans="1:9" ht="15.75" customHeight="1">
      <c r="A174" s="2"/>
      <c r="B174" s="2"/>
      <c r="C174" s="225" t="s">
        <v>272</v>
      </c>
      <c r="D174" s="226">
        <f>E83/100</f>
        <v>1.4999999999999999E-2</v>
      </c>
      <c r="E174" s="227" t="s">
        <v>75</v>
      </c>
      <c r="F174" s="2"/>
      <c r="G174" s="2"/>
      <c r="H174" s="2"/>
      <c r="I174" s="2"/>
    </row>
    <row r="175" spans="1:9" ht="15.75" customHeight="1">
      <c r="A175" s="2"/>
      <c r="B175" s="2"/>
      <c r="C175" s="222" t="s">
        <v>273</v>
      </c>
      <c r="D175" s="223">
        <f>(IF(E171="soga",F71,(IF(AND(E171="cabeza"),F71,IF(AND(E171="canto"),C71)))))/100</f>
        <v>0.09</v>
      </c>
      <c r="E175" s="224" t="s">
        <v>75</v>
      </c>
      <c r="F175" s="2"/>
      <c r="G175" s="2"/>
      <c r="H175" s="2"/>
      <c r="I175" s="2"/>
    </row>
    <row r="176" spans="1:9" ht="15.75" customHeight="1">
      <c r="A176" s="2"/>
      <c r="B176" s="2"/>
      <c r="C176" s="222" t="s">
        <v>274</v>
      </c>
      <c r="D176" s="223">
        <f>E84/100</f>
        <v>1.4999999999999999E-2</v>
      </c>
      <c r="E176" s="224" t="s">
        <v>75</v>
      </c>
      <c r="F176" s="2"/>
      <c r="G176" s="2"/>
      <c r="H176" s="2"/>
      <c r="I176" s="2"/>
    </row>
    <row r="177" spans="1:9" ht="15.75" customHeight="1">
      <c r="A177" s="2"/>
      <c r="B177" s="2"/>
      <c r="C177" s="2"/>
      <c r="D177" s="2"/>
      <c r="E177" s="2"/>
      <c r="F177" s="2"/>
      <c r="G177" s="2"/>
      <c r="H177" s="2"/>
      <c r="I177" s="2"/>
    </row>
    <row r="178" spans="1:9" ht="15.75" customHeight="1">
      <c r="A178" s="2"/>
      <c r="B178" s="2"/>
      <c r="C178" s="228" t="s">
        <v>275</v>
      </c>
      <c r="D178" s="229">
        <f>1/((D173+D174)*(D175+D176))</f>
        <v>37.348272642390292</v>
      </c>
      <c r="E178" s="230" t="s">
        <v>276</v>
      </c>
      <c r="F178" s="2"/>
      <c r="G178" s="2"/>
      <c r="H178" s="2"/>
      <c r="I178" s="2"/>
    </row>
    <row r="179" spans="1:9" ht="15.75" customHeight="1">
      <c r="A179" s="2"/>
      <c r="B179" s="2"/>
      <c r="C179" s="2"/>
      <c r="D179" s="2"/>
      <c r="E179" s="2"/>
      <c r="F179" s="2"/>
      <c r="G179" s="2"/>
      <c r="H179" s="2"/>
      <c r="I179" s="2"/>
    </row>
    <row r="180" spans="1:9" ht="15.75" customHeight="1">
      <c r="A180" s="2"/>
      <c r="B180" s="203" t="s">
        <v>277</v>
      </c>
      <c r="C180" s="2"/>
      <c r="D180" s="2"/>
      <c r="E180" s="2"/>
      <c r="F180" s="2"/>
      <c r="G180" s="2"/>
      <c r="H180" s="2"/>
      <c r="I180" s="2"/>
    </row>
    <row r="181" spans="1:9" ht="15.75" customHeight="1">
      <c r="A181" s="2"/>
      <c r="B181" s="203"/>
      <c r="C181" s="231" t="s">
        <v>278</v>
      </c>
      <c r="D181" s="2"/>
      <c r="E181" s="232">
        <f>D178</f>
        <v>37.348272642390292</v>
      </c>
      <c r="F181" s="231" t="s">
        <v>279</v>
      </c>
      <c r="G181" s="2"/>
      <c r="H181" s="2"/>
      <c r="I181" s="2"/>
    </row>
    <row r="182" spans="1:9" ht="15.75" customHeight="1">
      <c r="A182" s="2"/>
      <c r="B182" s="203"/>
      <c r="C182" s="2"/>
      <c r="D182" s="2"/>
      <c r="E182" s="2"/>
      <c r="F182" s="2"/>
      <c r="G182" s="2"/>
      <c r="H182" s="2"/>
      <c r="I182" s="2"/>
    </row>
    <row r="183" spans="1:9" ht="15.75" customHeight="1">
      <c r="A183" s="2"/>
      <c r="B183" s="2"/>
      <c r="C183" s="233" t="s">
        <v>280</v>
      </c>
      <c r="D183" s="234" t="str">
        <f>D69</f>
        <v>King Kong</v>
      </c>
      <c r="E183" s="229">
        <f>E181*G155</f>
        <v>4481.7927170868352</v>
      </c>
      <c r="F183" s="230" t="s">
        <v>281</v>
      </c>
      <c r="G183" s="2"/>
      <c r="H183" s="2"/>
      <c r="I183" s="2"/>
    </row>
    <row r="184" spans="1:9" ht="15.75" customHeight="1">
      <c r="A184" s="2"/>
      <c r="B184" s="2"/>
      <c r="C184" s="2"/>
      <c r="D184" s="2"/>
      <c r="E184" s="2"/>
      <c r="F184" s="2"/>
      <c r="G184" s="2"/>
      <c r="H184" s="2"/>
      <c r="I184" s="2"/>
    </row>
    <row r="185" spans="1:9" ht="15.75" customHeight="1">
      <c r="A185" s="2"/>
      <c r="B185" s="422" t="s">
        <v>282</v>
      </c>
      <c r="C185" s="290"/>
      <c r="D185" s="290"/>
      <c r="E185" s="290"/>
      <c r="F185" s="290"/>
      <c r="G185" s="291"/>
      <c r="H185" s="2"/>
      <c r="I185" s="2"/>
    </row>
    <row r="186" spans="1:9" ht="15.75" customHeight="1">
      <c r="A186" s="2"/>
      <c r="B186" s="2"/>
      <c r="C186" s="235"/>
      <c r="D186" s="235" t="s">
        <v>283</v>
      </c>
      <c r="E186" s="236">
        <f>D87</f>
        <v>0.05</v>
      </c>
      <c r="F186" s="2"/>
      <c r="G186" s="2"/>
      <c r="H186" s="2"/>
      <c r="I186" s="2"/>
    </row>
    <row r="187" spans="1:9" ht="15.75" customHeight="1">
      <c r="A187" s="2"/>
      <c r="B187" s="2"/>
      <c r="C187" s="237" t="s">
        <v>280</v>
      </c>
      <c r="D187" s="238" t="str">
        <f>D183</f>
        <v>King Kong</v>
      </c>
      <c r="E187" s="239">
        <f>E183+E186*E183</f>
        <v>4705.8823529411766</v>
      </c>
      <c r="F187" s="240" t="s">
        <v>281</v>
      </c>
      <c r="G187" s="2"/>
      <c r="H187" s="2"/>
      <c r="I187" s="2"/>
    </row>
    <row r="188" spans="1:9" ht="15.75" customHeight="1">
      <c r="A188" s="2"/>
      <c r="B188" s="2"/>
      <c r="C188" s="2"/>
      <c r="D188" s="2"/>
      <c r="E188" s="2"/>
      <c r="F188" s="2"/>
      <c r="G188" s="2"/>
      <c r="H188" s="2"/>
      <c r="I188" s="2"/>
    </row>
    <row r="189" spans="1:9" ht="15.75" customHeight="1">
      <c r="A189" s="2"/>
      <c r="B189" s="2"/>
      <c r="C189" s="2"/>
      <c r="D189" s="2"/>
      <c r="E189" s="2"/>
      <c r="F189" s="2"/>
      <c r="G189" s="2"/>
      <c r="H189" s="2"/>
      <c r="I189" s="2"/>
    </row>
    <row r="190" spans="1:9" ht="15.75" customHeight="1">
      <c r="A190" s="220" t="s">
        <v>284</v>
      </c>
      <c r="B190" s="2"/>
      <c r="C190" s="2"/>
      <c r="D190" s="2"/>
      <c r="E190" s="2"/>
      <c r="F190" s="2"/>
      <c r="G190" s="2"/>
      <c r="H190" s="2"/>
      <c r="I190" s="2"/>
    </row>
    <row r="191" spans="1:9" ht="15.75" customHeight="1">
      <c r="A191" s="2"/>
      <c r="B191" s="203" t="s">
        <v>285</v>
      </c>
      <c r="C191" s="2"/>
      <c r="D191" s="2"/>
      <c r="E191" s="2"/>
      <c r="F191" s="2"/>
      <c r="G191" s="2"/>
      <c r="H191" s="2"/>
      <c r="I191" s="2"/>
    </row>
    <row r="192" spans="1:9" ht="15.75" customHeight="1">
      <c r="A192" s="2"/>
      <c r="B192" s="2"/>
      <c r="C192" s="2"/>
      <c r="D192" s="2"/>
      <c r="E192" s="2"/>
      <c r="F192" s="2"/>
      <c r="G192" s="2"/>
      <c r="H192" s="2"/>
      <c r="I192" s="2"/>
    </row>
    <row r="193" spans="1:9" ht="15.75" customHeight="1">
      <c r="A193" s="2"/>
      <c r="B193" s="2"/>
      <c r="C193" s="2"/>
      <c r="D193" s="2"/>
      <c r="E193" s="2"/>
      <c r="F193" s="2"/>
      <c r="G193" s="2"/>
      <c r="H193" s="2"/>
      <c r="I193" s="2"/>
    </row>
    <row r="194" spans="1:9" ht="15.75" customHeight="1">
      <c r="A194" s="2"/>
      <c r="B194" s="2"/>
      <c r="C194" s="2"/>
      <c r="D194" s="2"/>
      <c r="E194" s="2"/>
      <c r="F194" s="2"/>
      <c r="G194" s="2"/>
      <c r="H194" s="2"/>
      <c r="I194" s="2"/>
    </row>
    <row r="195" spans="1:9" ht="15.75" customHeight="1">
      <c r="A195" s="2"/>
      <c r="B195" s="2"/>
      <c r="C195" s="2"/>
      <c r="D195" s="2"/>
      <c r="E195" s="2"/>
      <c r="F195" s="2"/>
      <c r="G195" s="2"/>
      <c r="H195" s="2"/>
      <c r="I195" s="2"/>
    </row>
    <row r="196" spans="1:9" ht="15.75" customHeight="1">
      <c r="A196" s="2"/>
      <c r="B196" s="2"/>
      <c r="C196" s="2"/>
      <c r="D196" s="2"/>
      <c r="E196" s="2"/>
      <c r="F196" s="2"/>
      <c r="G196" s="2"/>
      <c r="H196" s="2"/>
      <c r="I196" s="2"/>
    </row>
    <row r="197" spans="1:9" ht="15.75" customHeight="1">
      <c r="A197" s="2"/>
      <c r="B197" s="2"/>
      <c r="C197" s="2"/>
      <c r="D197" s="2"/>
      <c r="E197" s="2"/>
      <c r="F197" s="2"/>
      <c r="G197" s="2"/>
      <c r="H197" s="2"/>
      <c r="I197" s="2"/>
    </row>
    <row r="198" spans="1:9" ht="15.75" customHeight="1">
      <c r="A198" s="2"/>
      <c r="B198" s="2"/>
      <c r="C198" s="2"/>
      <c r="D198" s="2"/>
      <c r="E198" s="2"/>
      <c r="F198" s="2"/>
      <c r="G198" s="2"/>
      <c r="H198" s="2"/>
      <c r="I198" s="2"/>
    </row>
    <row r="199" spans="1:9" ht="15.75" customHeight="1">
      <c r="A199" s="2"/>
      <c r="B199" s="2"/>
      <c r="C199" s="2"/>
      <c r="D199" s="2"/>
      <c r="E199" s="2"/>
      <c r="F199" s="2"/>
      <c r="G199" s="2"/>
      <c r="H199" s="2"/>
      <c r="I199" s="2"/>
    </row>
    <row r="200" spans="1:9" ht="15.75" customHeight="1">
      <c r="A200" s="2"/>
      <c r="B200" s="2"/>
      <c r="C200" s="2"/>
      <c r="D200" s="2"/>
      <c r="E200" s="2"/>
      <c r="F200" s="2"/>
      <c r="G200" s="2"/>
      <c r="H200" s="2"/>
      <c r="I200" s="2"/>
    </row>
    <row r="201" spans="1:9" ht="15.75" customHeight="1">
      <c r="A201" s="2"/>
      <c r="B201" s="241"/>
      <c r="C201" s="242" t="s">
        <v>286</v>
      </c>
      <c r="D201" s="243" t="str">
        <f>D78</f>
        <v>soga</v>
      </c>
      <c r="E201" s="423">
        <f>IF(D201="soga",C71,IF(AND(D201="cabeza"),E73,IF(AND(D201="canto"),F71)))</f>
        <v>13</v>
      </c>
      <c r="F201" s="424" t="s">
        <v>11</v>
      </c>
      <c r="G201" s="2"/>
      <c r="H201" s="2"/>
      <c r="I201" s="2"/>
    </row>
    <row r="202" spans="1:9" ht="15.75" customHeight="1">
      <c r="A202" s="2"/>
      <c r="B202" s="425" t="s">
        <v>287</v>
      </c>
      <c r="C202" s="337"/>
      <c r="D202" s="244" t="str">
        <f>D69</f>
        <v>King Kong</v>
      </c>
      <c r="E202" s="409"/>
      <c r="F202" s="406"/>
      <c r="G202" s="2"/>
      <c r="H202" s="2"/>
      <c r="I202" s="2"/>
    </row>
    <row r="203" spans="1:9" ht="15.75" customHeight="1">
      <c r="A203" s="2"/>
      <c r="B203" s="235"/>
      <c r="C203" s="235"/>
      <c r="D203" s="245"/>
      <c r="E203" s="246"/>
      <c r="F203" s="247"/>
      <c r="G203" s="2"/>
      <c r="H203" s="2"/>
      <c r="I203" s="2"/>
    </row>
    <row r="204" spans="1:9" ht="15.75" customHeight="1">
      <c r="A204" s="2"/>
      <c r="B204" s="2"/>
      <c r="C204" s="222" t="s">
        <v>288</v>
      </c>
      <c r="D204" s="223">
        <f>1*1*(E201/100)</f>
        <v>0.13</v>
      </c>
      <c r="E204" s="224" t="s">
        <v>75</v>
      </c>
      <c r="F204" s="2"/>
      <c r="G204" s="2"/>
      <c r="H204" s="2"/>
      <c r="I204" s="2"/>
    </row>
    <row r="205" spans="1:9" ht="15.75" customHeight="1">
      <c r="A205" s="2"/>
      <c r="B205" s="2"/>
      <c r="C205" s="222" t="s">
        <v>289</v>
      </c>
      <c r="D205" s="248">
        <f>D178*((E73/100)*(C71/100)*(F71/100))</f>
        <v>0.10487394957983193</v>
      </c>
      <c r="E205" s="224" t="s">
        <v>75</v>
      </c>
      <c r="F205" s="2"/>
      <c r="G205" s="2"/>
      <c r="H205" s="2"/>
      <c r="I205" s="2"/>
    </row>
    <row r="206" spans="1:9" ht="15.75" customHeight="1">
      <c r="A206" s="2"/>
      <c r="B206" s="2"/>
      <c r="C206" s="2"/>
      <c r="D206" s="2"/>
      <c r="E206" s="2"/>
      <c r="F206" s="2"/>
      <c r="G206" s="2"/>
      <c r="H206" s="2"/>
      <c r="I206" s="2"/>
    </row>
    <row r="207" spans="1:9" ht="15.75" customHeight="1">
      <c r="A207" s="2"/>
      <c r="B207" s="2"/>
      <c r="C207" s="228" t="s">
        <v>290</v>
      </c>
      <c r="D207" s="249">
        <f>D204-D205</f>
        <v>2.5126050420168078E-2</v>
      </c>
      <c r="E207" s="230" t="s">
        <v>291</v>
      </c>
      <c r="F207" s="2"/>
      <c r="G207" s="2"/>
      <c r="H207" s="2"/>
      <c r="I207" s="2"/>
    </row>
    <row r="208" spans="1:9" ht="15.75" customHeight="1">
      <c r="A208" s="2"/>
      <c r="B208" s="2"/>
      <c r="C208" s="2"/>
      <c r="D208" s="2"/>
      <c r="E208" s="2"/>
      <c r="F208" s="2"/>
      <c r="G208" s="2"/>
      <c r="H208" s="2"/>
      <c r="I208" s="2"/>
    </row>
    <row r="209" spans="1:9" ht="15.75" customHeight="1">
      <c r="A209" s="2"/>
      <c r="B209" s="203" t="s">
        <v>292</v>
      </c>
      <c r="C209" s="2"/>
      <c r="D209" s="2"/>
      <c r="E209" s="2"/>
      <c r="F209" s="2"/>
      <c r="G209" s="2"/>
      <c r="H209" s="2"/>
      <c r="I209" s="2"/>
    </row>
    <row r="210" spans="1:9" ht="15.75" customHeight="1">
      <c r="A210" s="2"/>
      <c r="B210" s="203"/>
      <c r="C210" s="231" t="s">
        <v>293</v>
      </c>
      <c r="D210" s="2"/>
      <c r="E210" s="250">
        <f>D207</f>
        <v>2.5126050420168078E-2</v>
      </c>
      <c r="F210" s="231" t="s">
        <v>294</v>
      </c>
      <c r="G210" s="2"/>
      <c r="H210" s="2"/>
      <c r="I210" s="2"/>
    </row>
    <row r="211" spans="1:9" ht="15.75" customHeight="1">
      <c r="A211" s="2"/>
      <c r="B211" s="203"/>
      <c r="C211" s="2"/>
      <c r="D211" s="2"/>
      <c r="E211" s="2"/>
      <c r="F211" s="2"/>
      <c r="G211" s="2"/>
      <c r="H211" s="2"/>
      <c r="I211" s="2"/>
    </row>
    <row r="212" spans="1:9" ht="15.75" customHeight="1">
      <c r="A212" s="2"/>
      <c r="B212" s="2"/>
      <c r="C212" s="426" t="s">
        <v>295</v>
      </c>
      <c r="D212" s="295"/>
      <c r="E212" s="229">
        <f>D207*G155</f>
        <v>3.0151260504201693</v>
      </c>
      <c r="F212" s="230" t="s">
        <v>296</v>
      </c>
      <c r="G212" s="2"/>
      <c r="H212" s="2"/>
      <c r="I212" s="2"/>
    </row>
    <row r="213" spans="1:9" ht="15.75" customHeight="1">
      <c r="A213" s="2"/>
      <c r="B213" s="2"/>
      <c r="C213" s="2"/>
      <c r="D213" s="2"/>
      <c r="E213" s="2"/>
      <c r="F213" s="2"/>
      <c r="G213" s="2"/>
      <c r="H213" s="2"/>
      <c r="I213" s="2"/>
    </row>
    <row r="214" spans="1:9" ht="15.75" customHeight="1">
      <c r="A214" s="2"/>
      <c r="B214" s="422" t="s">
        <v>297</v>
      </c>
      <c r="C214" s="290"/>
      <c r="D214" s="290"/>
      <c r="E214" s="290"/>
      <c r="F214" s="290"/>
      <c r="G214" s="291"/>
      <c r="H214" s="2"/>
      <c r="I214" s="2"/>
    </row>
    <row r="215" spans="1:9" ht="15.75" customHeight="1">
      <c r="A215" s="2"/>
      <c r="B215" s="2"/>
      <c r="C215" s="235"/>
      <c r="D215" s="235" t="s">
        <v>298</v>
      </c>
      <c r="E215" s="236">
        <f>D88</f>
        <v>0.1</v>
      </c>
      <c r="F215" s="2"/>
      <c r="G215" s="2"/>
      <c r="H215" s="2"/>
      <c r="I215" s="2"/>
    </row>
    <row r="216" spans="1:9" ht="15.75" customHeight="1">
      <c r="A216" s="2"/>
      <c r="B216" s="2"/>
      <c r="C216" s="427" t="s">
        <v>295</v>
      </c>
      <c r="D216" s="295"/>
      <c r="E216" s="251">
        <f>E212+E215*E212</f>
        <v>3.3166386554621861</v>
      </c>
      <c r="F216" s="240" t="s">
        <v>299</v>
      </c>
      <c r="G216" s="2"/>
      <c r="H216" s="2"/>
      <c r="I216" s="2"/>
    </row>
    <row r="217" spans="1:9" ht="15.75" customHeight="1">
      <c r="A217" s="2"/>
      <c r="B217" s="2"/>
      <c r="C217" s="2"/>
      <c r="D217" s="2"/>
      <c r="E217" s="2"/>
      <c r="F217" s="2"/>
      <c r="G217" s="2"/>
      <c r="H217" s="2"/>
      <c r="I217" s="2"/>
    </row>
    <row r="218" spans="1:9" ht="15.75" customHeight="1">
      <c r="A218" s="2"/>
      <c r="B218" s="2"/>
      <c r="C218" s="2"/>
      <c r="D218" s="2"/>
      <c r="E218" s="2"/>
      <c r="F218" s="2"/>
      <c r="G218" s="2"/>
      <c r="H218" s="2"/>
      <c r="I218" s="2"/>
    </row>
    <row r="219" spans="1:9" ht="15.75" customHeight="1">
      <c r="A219" s="88" t="s">
        <v>300</v>
      </c>
      <c r="B219" s="252"/>
      <c r="C219" s="252"/>
      <c r="D219" s="23"/>
      <c r="E219" s="4"/>
      <c r="F219" s="4"/>
      <c r="G219" s="4"/>
      <c r="H219" s="4"/>
      <c r="I219" s="4"/>
    </row>
    <row r="220" spans="1:9" ht="15.75" customHeight="1">
      <c r="A220" s="4"/>
      <c r="B220" s="4"/>
      <c r="C220" s="4"/>
      <c r="D220" s="4"/>
      <c r="E220" s="4"/>
      <c r="F220" s="4"/>
      <c r="G220" s="4"/>
      <c r="H220" s="4"/>
      <c r="I220" s="4"/>
    </row>
    <row r="221" spans="1:9" ht="15.75" customHeight="1">
      <c r="A221" s="4"/>
      <c r="B221" s="12" t="s">
        <v>301</v>
      </c>
      <c r="C221" s="4"/>
      <c r="D221" s="4"/>
      <c r="E221" s="4"/>
      <c r="F221" s="4"/>
      <c r="G221" s="4"/>
      <c r="H221" s="4"/>
      <c r="I221" s="4"/>
    </row>
    <row r="222" spans="1:9" ht="15.75" customHeight="1">
      <c r="A222" s="4"/>
      <c r="B222" s="12" t="s">
        <v>302</v>
      </c>
      <c r="C222" s="4"/>
      <c r="D222" s="4"/>
      <c r="E222" s="4"/>
      <c r="F222" s="4"/>
      <c r="G222" s="4"/>
      <c r="H222" s="4"/>
      <c r="I222" s="4"/>
    </row>
    <row r="223" spans="1:9" ht="15.75" customHeight="1">
      <c r="A223" s="4"/>
      <c r="B223" s="12"/>
      <c r="C223" s="4"/>
      <c r="D223" s="4"/>
      <c r="E223" s="4"/>
      <c r="F223" s="4"/>
      <c r="G223" s="4"/>
      <c r="H223" s="4"/>
      <c r="I223" s="4"/>
    </row>
    <row r="224" spans="1:9" ht="15.75" customHeight="1">
      <c r="A224" s="4"/>
      <c r="B224" s="39" t="s">
        <v>303</v>
      </c>
      <c r="C224" s="44" t="s">
        <v>304</v>
      </c>
      <c r="D224" s="10">
        <f>E82</f>
        <v>0.8</v>
      </c>
      <c r="E224" s="44" t="s">
        <v>80</v>
      </c>
      <c r="F224" s="10">
        <f>42.5*D224</f>
        <v>34</v>
      </c>
      <c r="G224" s="4" t="s">
        <v>305</v>
      </c>
      <c r="H224" s="4"/>
      <c r="I224" s="4"/>
    </row>
    <row r="225" spans="1:9" ht="15.75" customHeight="1">
      <c r="A225" s="4"/>
      <c r="B225" s="4"/>
      <c r="C225" s="4"/>
      <c r="D225" s="4"/>
      <c r="E225" s="4"/>
      <c r="F225" s="4"/>
      <c r="G225" s="4"/>
      <c r="H225" s="4"/>
      <c r="I225" s="4"/>
    </row>
    <row r="226" spans="1:9" ht="15.75" customHeight="1">
      <c r="A226" s="4"/>
      <c r="B226" s="12" t="s">
        <v>306</v>
      </c>
      <c r="C226" s="4"/>
      <c r="D226" s="10">
        <v>1000</v>
      </c>
      <c r="E226" s="4" t="s">
        <v>307</v>
      </c>
      <c r="F226" s="4"/>
      <c r="G226" s="4"/>
      <c r="H226" s="4"/>
      <c r="I226" s="4"/>
    </row>
    <row r="227" spans="1:9" ht="15.75" customHeight="1">
      <c r="A227" s="4"/>
      <c r="B227" s="4"/>
      <c r="C227" s="4"/>
      <c r="D227" s="4"/>
      <c r="E227" s="4"/>
      <c r="F227" s="4"/>
      <c r="G227" s="4"/>
      <c r="H227" s="4"/>
      <c r="I227" s="4"/>
    </row>
    <row r="228" spans="1:9" ht="15.75" customHeight="1">
      <c r="A228" s="4"/>
      <c r="B228" s="12" t="s">
        <v>308</v>
      </c>
      <c r="C228" s="4"/>
      <c r="D228" s="4"/>
      <c r="E228" s="4"/>
      <c r="F228" s="4"/>
      <c r="G228" s="4"/>
      <c r="H228" s="4"/>
      <c r="I228" s="4"/>
    </row>
    <row r="229" spans="1:9" ht="15" customHeight="1">
      <c r="A229" s="4"/>
      <c r="B229" s="4"/>
      <c r="C229" s="415" t="s">
        <v>309</v>
      </c>
      <c r="D229" s="419" t="s">
        <v>310</v>
      </c>
      <c r="E229" s="346"/>
      <c r="F229" s="298"/>
      <c r="G229" s="4"/>
      <c r="H229" s="4"/>
      <c r="I229" s="4"/>
    </row>
    <row r="230" spans="1:9" ht="15.75" customHeight="1">
      <c r="A230" s="4"/>
      <c r="B230" s="4"/>
      <c r="C230" s="306"/>
      <c r="D230" s="30" t="s">
        <v>311</v>
      </c>
      <c r="E230" s="30" t="s">
        <v>312</v>
      </c>
      <c r="F230" s="30" t="s">
        <v>313</v>
      </c>
      <c r="G230" s="4"/>
      <c r="H230" s="4"/>
      <c r="I230" s="4"/>
    </row>
    <row r="231" spans="1:9" ht="15.75" customHeight="1">
      <c r="A231" s="4"/>
      <c r="B231" s="4"/>
      <c r="C231" s="253" t="s">
        <v>314</v>
      </c>
      <c r="D231" s="7">
        <v>454</v>
      </c>
      <c r="E231" s="7">
        <v>1.1000000000000001</v>
      </c>
      <c r="F231" s="7">
        <v>250</v>
      </c>
      <c r="G231" s="4"/>
      <c r="H231" s="4"/>
      <c r="I231" s="4"/>
    </row>
    <row r="232" spans="1:9" ht="15.75" customHeight="1">
      <c r="A232" s="4"/>
      <c r="B232" s="4"/>
      <c r="C232" s="253" t="s">
        <v>315</v>
      </c>
      <c r="D232" s="7">
        <v>364</v>
      </c>
      <c r="E232" s="7">
        <v>1.1599999999999999</v>
      </c>
      <c r="F232" s="7">
        <v>240</v>
      </c>
      <c r="G232" s="4"/>
      <c r="H232" s="4"/>
      <c r="I232" s="4"/>
    </row>
    <row r="233" spans="1:9" ht="15.75" customHeight="1">
      <c r="A233" s="4"/>
      <c r="B233" s="4"/>
      <c r="C233" s="253" t="s">
        <v>245</v>
      </c>
      <c r="D233" s="7">
        <v>302</v>
      </c>
      <c r="E233" s="7">
        <v>1.2</v>
      </c>
      <c r="F233" s="7">
        <v>240</v>
      </c>
      <c r="G233" s="4"/>
      <c r="H233" s="4"/>
      <c r="I233" s="4"/>
    </row>
    <row r="234" spans="1:9" ht="15.75" customHeight="1">
      <c r="A234" s="4"/>
      <c r="B234" s="4"/>
      <c r="C234" s="253" t="s">
        <v>316</v>
      </c>
      <c r="D234" s="7">
        <v>261</v>
      </c>
      <c r="E234" s="7">
        <v>1.2</v>
      </c>
      <c r="F234" s="7">
        <v>235</v>
      </c>
      <c r="G234" s="4"/>
      <c r="H234" s="4"/>
      <c r="I234" s="4"/>
    </row>
    <row r="235" spans="1:9" ht="15.75" customHeight="1">
      <c r="A235" s="4"/>
      <c r="B235" s="4"/>
      <c r="C235" s="254"/>
      <c r="D235" s="10"/>
      <c r="E235" s="10"/>
      <c r="F235" s="10"/>
      <c r="G235" s="4"/>
      <c r="H235" s="4"/>
      <c r="I235" s="4"/>
    </row>
    <row r="236" spans="1:9" ht="15.75" customHeight="1">
      <c r="A236" s="4"/>
      <c r="B236" s="4"/>
      <c r="C236" s="4"/>
      <c r="D236" s="4"/>
      <c r="E236" s="4"/>
      <c r="F236" s="255" t="s">
        <v>78</v>
      </c>
      <c r="G236" s="100">
        <f>IF(E237=C231,D231,IF(AND(E237=C232),D232,IF(AND(E237=C233),D233,IF(AND(E237=C234),D234))))</f>
        <v>302</v>
      </c>
      <c r="H236" s="99" t="s">
        <v>39</v>
      </c>
      <c r="I236" s="4"/>
    </row>
    <row r="237" spans="1:9" ht="15.75" customHeight="1">
      <c r="A237" s="4"/>
      <c r="B237" s="4"/>
      <c r="C237" s="107"/>
      <c r="D237" s="256" t="s">
        <v>317</v>
      </c>
      <c r="E237" s="106" t="str">
        <f>E81</f>
        <v>1:5</v>
      </c>
      <c r="F237" s="255" t="s">
        <v>318</v>
      </c>
      <c r="G237" s="100">
        <f>IF(E237=C231,E231,IF(AND(E237=C232),E232,IF(AND(E237=C233),E233,IF(AND(E237=C234),E234))))</f>
        <v>1.2</v>
      </c>
      <c r="H237" s="99" t="s">
        <v>319</v>
      </c>
      <c r="I237" s="4"/>
    </row>
    <row r="238" spans="1:9" ht="15.75" customHeight="1">
      <c r="A238" s="4"/>
      <c r="B238" s="4"/>
      <c r="C238" s="4"/>
      <c r="D238" s="4"/>
      <c r="E238" s="4"/>
      <c r="F238" s="255" t="s">
        <v>80</v>
      </c>
      <c r="G238" s="100">
        <f>IF(E237=C231,F231,IF(AND(E237=C232),F232,IF(AND(E237=C233),F233,IF(AND(E237=C234),F234))))</f>
        <v>240</v>
      </c>
      <c r="H238" s="99" t="s">
        <v>320</v>
      </c>
      <c r="I238" s="4"/>
    </row>
    <row r="239" spans="1:9" ht="15.75" customHeight="1">
      <c r="A239" s="4"/>
      <c r="B239" s="4"/>
      <c r="C239" s="4"/>
      <c r="D239" s="4"/>
      <c r="E239" s="4"/>
      <c r="F239" s="4"/>
      <c r="G239" s="10"/>
      <c r="H239" s="4"/>
      <c r="I239" s="4"/>
    </row>
    <row r="240" spans="1:9" ht="15.75" customHeight="1">
      <c r="A240" s="4"/>
      <c r="B240" s="12" t="s">
        <v>321</v>
      </c>
      <c r="C240" s="4"/>
      <c r="D240" s="4"/>
      <c r="E240" s="4"/>
      <c r="F240" s="4"/>
      <c r="G240" s="4"/>
      <c r="H240" s="4"/>
      <c r="I240" s="4"/>
    </row>
    <row r="241" spans="1:9" ht="15.75" customHeight="1">
      <c r="A241" s="4"/>
      <c r="B241" s="4"/>
      <c r="C241" s="257" t="s">
        <v>322</v>
      </c>
      <c r="D241" s="258"/>
      <c r="E241" s="259">
        <f>G236/42.5</f>
        <v>7.1058823529411761</v>
      </c>
      <c r="F241" s="260" t="s">
        <v>74</v>
      </c>
      <c r="G241" s="4"/>
      <c r="H241" s="4"/>
      <c r="I241" s="4"/>
    </row>
    <row r="242" spans="1:9" ht="15.75" customHeight="1">
      <c r="A242" s="4"/>
      <c r="B242" s="4"/>
      <c r="C242" s="261" t="s">
        <v>323</v>
      </c>
      <c r="D242" s="262"/>
      <c r="E242" s="263">
        <f>G237</f>
        <v>1.2</v>
      </c>
      <c r="F242" s="264" t="s">
        <v>324</v>
      </c>
      <c r="G242" s="4"/>
      <c r="H242" s="4"/>
      <c r="I242" s="4"/>
    </row>
    <row r="243" spans="1:9" ht="15.75" customHeight="1">
      <c r="A243" s="4"/>
      <c r="B243" s="4"/>
      <c r="C243" s="265" t="s">
        <v>325</v>
      </c>
      <c r="D243" s="266"/>
      <c r="E243" s="267">
        <f>(F224*E241)/D226</f>
        <v>0.24159999999999998</v>
      </c>
      <c r="F243" s="268" t="s">
        <v>326</v>
      </c>
      <c r="G243" s="4" t="s">
        <v>327</v>
      </c>
      <c r="H243" s="4"/>
      <c r="I243" s="4"/>
    </row>
    <row r="244" spans="1:9" ht="15.75" customHeight="1">
      <c r="A244" s="4"/>
      <c r="B244" s="4"/>
      <c r="C244" s="4"/>
      <c r="D244" s="4"/>
      <c r="E244" s="4"/>
      <c r="F244" s="4"/>
      <c r="G244" s="4"/>
      <c r="H244" s="4"/>
      <c r="I244" s="4"/>
    </row>
    <row r="245" spans="1:9" ht="15.75" customHeight="1">
      <c r="A245" s="88" t="s">
        <v>328</v>
      </c>
      <c r="B245" s="23"/>
      <c r="C245" s="23"/>
      <c r="D245" s="23"/>
      <c r="E245" s="23"/>
      <c r="F245" s="4"/>
      <c r="G245" s="4"/>
      <c r="H245" s="4"/>
      <c r="I245" s="4"/>
    </row>
    <row r="246" spans="1:9" ht="15.75" customHeight="1">
      <c r="A246" s="5"/>
      <c r="B246" s="4"/>
      <c r="C246" s="169" t="s">
        <v>278</v>
      </c>
      <c r="D246" s="4"/>
      <c r="E246" s="16">
        <f>D178</f>
        <v>37.348272642390292</v>
      </c>
      <c r="F246" s="15" t="s">
        <v>329</v>
      </c>
      <c r="G246" s="4"/>
      <c r="H246" s="4"/>
      <c r="I246" s="4"/>
    </row>
    <row r="247" spans="1:9" ht="15.75" customHeight="1">
      <c r="A247" s="5"/>
      <c r="B247" s="4"/>
      <c r="C247" s="169" t="s">
        <v>293</v>
      </c>
      <c r="D247" s="4"/>
      <c r="E247" s="17">
        <f>D207</f>
        <v>2.5126050420168078E-2</v>
      </c>
      <c r="F247" s="15" t="s">
        <v>330</v>
      </c>
      <c r="G247" s="4"/>
      <c r="H247" s="4"/>
      <c r="I247" s="4"/>
    </row>
    <row r="248" spans="1:9" ht="15.75" customHeight="1">
      <c r="A248" s="5"/>
      <c r="B248" s="4"/>
      <c r="C248" s="4"/>
      <c r="D248" s="4"/>
      <c r="E248" s="4"/>
      <c r="F248" s="4"/>
      <c r="G248" s="4"/>
      <c r="H248" s="4"/>
      <c r="I248" s="4"/>
    </row>
    <row r="249" spans="1:9" ht="15.75" customHeight="1">
      <c r="A249" s="4"/>
      <c r="B249" s="4"/>
      <c r="C249" s="84" t="s">
        <v>34</v>
      </c>
      <c r="D249" s="85"/>
      <c r="E249" s="110">
        <f>E241*E247</f>
        <v>0.17854275827978255</v>
      </c>
      <c r="F249" s="99" t="s">
        <v>331</v>
      </c>
      <c r="G249" s="4"/>
      <c r="H249" s="4"/>
      <c r="I249" s="4"/>
    </row>
    <row r="250" spans="1:9" ht="15.75" customHeight="1">
      <c r="A250" s="4"/>
      <c r="B250" s="4"/>
      <c r="C250" s="84" t="s">
        <v>332</v>
      </c>
      <c r="D250" s="85"/>
      <c r="E250" s="110">
        <f>E242*E247</f>
        <v>3.0151260504201693E-2</v>
      </c>
      <c r="F250" s="99" t="s">
        <v>333</v>
      </c>
      <c r="G250" s="4"/>
      <c r="H250" s="4"/>
      <c r="I250" s="4"/>
    </row>
    <row r="251" spans="1:9" ht="15.75" customHeight="1">
      <c r="A251" s="4"/>
      <c r="B251" s="4"/>
      <c r="C251" s="84" t="s">
        <v>81</v>
      </c>
      <c r="D251" s="85"/>
      <c r="E251" s="110">
        <f>E247*E243</f>
        <v>6.0704537815126072E-3</v>
      </c>
      <c r="F251" s="99" t="s">
        <v>334</v>
      </c>
      <c r="G251" s="4"/>
      <c r="H251" s="4"/>
      <c r="I251" s="4"/>
    </row>
    <row r="252" spans="1:9" ht="15.75" customHeight="1">
      <c r="A252" s="4"/>
      <c r="B252" s="4"/>
      <c r="C252" s="84" t="s">
        <v>335</v>
      </c>
      <c r="D252" s="85"/>
      <c r="E252" s="95">
        <f>E246</f>
        <v>37.348272642390292</v>
      </c>
      <c r="F252" s="99" t="s">
        <v>336</v>
      </c>
      <c r="G252" s="4"/>
      <c r="H252" s="4"/>
      <c r="I252" s="4"/>
    </row>
    <row r="253" spans="1:9" ht="15.75" customHeight="1">
      <c r="A253" s="4"/>
      <c r="B253" s="4"/>
      <c r="C253" s="4"/>
      <c r="D253" s="4"/>
      <c r="E253" s="4"/>
      <c r="F253" s="4"/>
      <c r="G253" s="4"/>
      <c r="H253" s="4"/>
      <c r="I253" s="4"/>
    </row>
    <row r="254" spans="1:9" ht="15.75" customHeight="1">
      <c r="A254" s="88" t="s">
        <v>337</v>
      </c>
      <c r="B254" s="23"/>
      <c r="C254" s="23"/>
      <c r="D254" s="23"/>
      <c r="E254" s="23"/>
      <c r="F254" s="23"/>
      <c r="G254" s="4"/>
      <c r="H254" s="4"/>
      <c r="I254" s="4"/>
    </row>
    <row r="255" spans="1:9" ht="15.75" customHeight="1">
      <c r="A255" s="4"/>
      <c r="B255" s="4"/>
      <c r="C255" s="15" t="s">
        <v>283</v>
      </c>
      <c r="D255" s="4"/>
      <c r="E255" s="102">
        <f t="shared" ref="E255:E256" si="2">D87</f>
        <v>0.05</v>
      </c>
      <c r="F255" s="4"/>
      <c r="G255" s="4"/>
      <c r="H255" s="4"/>
      <c r="I255" s="4"/>
    </row>
    <row r="256" spans="1:9" ht="15.75" customHeight="1">
      <c r="A256" s="4"/>
      <c r="B256" s="4"/>
      <c r="C256" s="15" t="s">
        <v>298</v>
      </c>
      <c r="D256" s="4"/>
      <c r="E256" s="102">
        <f t="shared" si="2"/>
        <v>0.1</v>
      </c>
      <c r="F256" s="4"/>
      <c r="G256" s="4"/>
      <c r="H256" s="4"/>
      <c r="I256" s="4"/>
    </row>
    <row r="257" spans="1:9" ht="15.75" customHeight="1">
      <c r="A257" s="4"/>
      <c r="B257" s="4"/>
      <c r="C257" s="4"/>
      <c r="D257" s="4"/>
      <c r="E257" s="4"/>
      <c r="F257" s="4"/>
      <c r="G257" s="4"/>
      <c r="H257" s="4"/>
      <c r="I257" s="4"/>
    </row>
    <row r="258" spans="1:9" ht="15.75" customHeight="1">
      <c r="A258" s="4"/>
      <c r="B258" s="4"/>
      <c r="C258" s="269" t="s">
        <v>34</v>
      </c>
      <c r="D258" s="270"/>
      <c r="E258" s="271">
        <f>E249+E256*E249</f>
        <v>0.1963970341077608</v>
      </c>
      <c r="F258" s="90" t="s">
        <v>331</v>
      </c>
      <c r="G258" s="4"/>
      <c r="H258" s="101"/>
      <c r="I258" s="4"/>
    </row>
    <row r="259" spans="1:9" ht="15.75" customHeight="1">
      <c r="A259" s="4"/>
      <c r="B259" s="4"/>
      <c r="C259" s="269" t="s">
        <v>332</v>
      </c>
      <c r="D259" s="270"/>
      <c r="E259" s="271">
        <f>E250+E256*E250</f>
        <v>3.3166386554621861E-2</v>
      </c>
      <c r="F259" s="90" t="s">
        <v>338</v>
      </c>
      <c r="G259" s="4"/>
      <c r="H259" s="101"/>
      <c r="I259" s="4"/>
    </row>
    <row r="260" spans="1:9" ht="15.75" customHeight="1">
      <c r="A260" s="4"/>
      <c r="B260" s="4"/>
      <c r="C260" s="269" t="s">
        <v>81</v>
      </c>
      <c r="D260" s="270"/>
      <c r="E260" s="271">
        <f>E251+E256*E251</f>
        <v>6.677499159663868E-3</v>
      </c>
      <c r="F260" s="90" t="s">
        <v>339</v>
      </c>
      <c r="G260" s="4"/>
      <c r="H260" s="101"/>
      <c r="I260" s="4"/>
    </row>
    <row r="261" spans="1:9" ht="15.75" customHeight="1">
      <c r="A261" s="4"/>
      <c r="B261" s="4"/>
      <c r="C261" s="269" t="s">
        <v>335</v>
      </c>
      <c r="D261" s="270"/>
      <c r="E261" s="89">
        <f>E252+E255*E252</f>
        <v>39.215686274509807</v>
      </c>
      <c r="F261" s="90" t="s">
        <v>336</v>
      </c>
      <c r="G261" s="4"/>
      <c r="H261" s="4"/>
      <c r="I261" s="4"/>
    </row>
    <row r="262" spans="1:9" ht="15.75" customHeight="1">
      <c r="A262" s="4"/>
      <c r="B262" s="4"/>
      <c r="C262" s="4"/>
      <c r="D262" s="4"/>
      <c r="E262" s="4"/>
      <c r="F262" s="4"/>
      <c r="G262" s="4"/>
      <c r="H262" s="4"/>
      <c r="I262" s="4"/>
    </row>
    <row r="263" spans="1:9" ht="15.75" customHeight="1">
      <c r="A263" s="4"/>
      <c r="B263" s="4"/>
      <c r="C263" s="4"/>
      <c r="D263" s="4"/>
      <c r="E263" s="4"/>
      <c r="F263" s="4"/>
      <c r="G263" s="4"/>
      <c r="H263" s="4"/>
      <c r="I263" s="4"/>
    </row>
    <row r="264" spans="1:9" ht="15.75" customHeight="1">
      <c r="A264" s="272" t="s">
        <v>340</v>
      </c>
      <c r="B264" s="23"/>
      <c r="C264" s="23"/>
      <c r="D264" s="23"/>
      <c r="E264" s="23"/>
      <c r="F264" s="23"/>
      <c r="G264" s="23"/>
      <c r="H264" s="4"/>
      <c r="I264" s="4"/>
    </row>
    <row r="265" spans="1:9" ht="15.75" customHeight="1">
      <c r="A265" s="4"/>
      <c r="B265" s="4"/>
      <c r="C265" s="4"/>
      <c r="D265" s="4"/>
      <c r="E265" s="4"/>
      <c r="F265" s="4"/>
      <c r="G265" s="4"/>
      <c r="H265" s="4"/>
      <c r="I265" s="4"/>
    </row>
    <row r="266" spans="1:9" ht="15.75" customHeight="1">
      <c r="A266" s="4"/>
      <c r="B266" s="4"/>
      <c r="C266" s="273" t="s">
        <v>34</v>
      </c>
      <c r="D266" s="274"/>
      <c r="E266" s="251">
        <f>E258*G155</f>
        <v>23.567644092931296</v>
      </c>
      <c r="F266" s="240" t="s">
        <v>74</v>
      </c>
      <c r="G266" s="4"/>
      <c r="H266" s="4"/>
      <c r="I266" s="4"/>
    </row>
    <row r="267" spans="1:9" ht="15.75" customHeight="1">
      <c r="A267" s="4"/>
      <c r="B267" s="4"/>
      <c r="C267" s="273" t="s">
        <v>332</v>
      </c>
      <c r="D267" s="274"/>
      <c r="E267" s="251">
        <f>E259*G155</f>
        <v>3.9799663865546235</v>
      </c>
      <c r="F267" s="240" t="s">
        <v>341</v>
      </c>
      <c r="G267" s="4"/>
      <c r="H267" s="4"/>
      <c r="I267" s="4"/>
    </row>
    <row r="268" spans="1:9" ht="15.75" customHeight="1">
      <c r="A268" s="4"/>
      <c r="B268" s="4"/>
      <c r="C268" s="273" t="s">
        <v>81</v>
      </c>
      <c r="D268" s="274"/>
      <c r="E268" s="275">
        <f>E260*G155</f>
        <v>0.80129989915966415</v>
      </c>
      <c r="F268" s="240" t="s">
        <v>342</v>
      </c>
      <c r="G268" s="4"/>
      <c r="H268" s="4"/>
      <c r="I268" s="4"/>
    </row>
    <row r="269" spans="1:9" ht="15.75" customHeight="1">
      <c r="A269" s="4"/>
      <c r="B269" s="4"/>
      <c r="C269" s="273" t="s">
        <v>335</v>
      </c>
      <c r="D269" s="274"/>
      <c r="E269" s="239">
        <f>E261*G155</f>
        <v>4705.8823529411766</v>
      </c>
      <c r="F269" s="240" t="s">
        <v>281</v>
      </c>
      <c r="G269" s="4"/>
      <c r="H269" s="4"/>
      <c r="I269" s="4"/>
    </row>
    <row r="270" spans="1:9" ht="15.75" customHeight="1">
      <c r="A270" s="4"/>
      <c r="B270" s="4"/>
      <c r="C270" s="4"/>
      <c r="D270" s="4"/>
      <c r="E270" s="4"/>
      <c r="F270" s="4"/>
      <c r="G270" s="4"/>
      <c r="H270" s="4"/>
      <c r="I270" s="4"/>
    </row>
    <row r="271" spans="1:9" ht="15.75" customHeight="1">
      <c r="A271" s="4"/>
      <c r="B271" s="4"/>
      <c r="C271" s="4"/>
      <c r="D271" s="4"/>
      <c r="E271" s="4"/>
      <c r="F271" s="4"/>
      <c r="G271" s="4"/>
      <c r="H271" s="4"/>
      <c r="I271" s="4"/>
    </row>
    <row r="272" spans="1:9" ht="15.75" customHeight="1">
      <c r="A272" s="4"/>
      <c r="B272" s="4"/>
      <c r="C272" s="4"/>
      <c r="D272" s="4"/>
      <c r="E272" s="4"/>
      <c r="F272" s="4"/>
      <c r="G272" s="4"/>
      <c r="H272" s="4"/>
      <c r="I272" s="4"/>
    </row>
    <row r="273" spans="1:9" ht="15.75" customHeight="1">
      <c r="A273" s="416" t="s">
        <v>343</v>
      </c>
      <c r="B273" s="342"/>
      <c r="C273" s="337"/>
      <c r="E273" s="4"/>
      <c r="F273" s="4"/>
      <c r="G273" s="4"/>
      <c r="I273" s="4"/>
    </row>
    <row r="274" spans="1:9" ht="15.75" customHeight="1">
      <c r="A274" s="4"/>
      <c r="B274" s="4"/>
      <c r="C274" s="4"/>
      <c r="D274" s="4"/>
      <c r="E274" s="181"/>
      <c r="F274" s="182"/>
      <c r="G274" s="183"/>
      <c r="H274" s="4"/>
      <c r="I274" s="4"/>
    </row>
    <row r="275" spans="1:9" ht="15.75" customHeight="1">
      <c r="A275" s="4"/>
      <c r="B275" s="4"/>
      <c r="C275" s="4"/>
      <c r="D275" s="4"/>
      <c r="E275" s="184"/>
      <c r="F275" s="185"/>
      <c r="G275" s="186"/>
      <c r="H275" s="4"/>
      <c r="I275" s="4"/>
    </row>
    <row r="276" spans="1:9" ht="15.75" customHeight="1">
      <c r="A276" s="4"/>
      <c r="B276" s="4"/>
      <c r="C276" s="4"/>
      <c r="D276" s="4"/>
      <c r="E276" s="4"/>
      <c r="F276" s="4"/>
      <c r="G276" s="4"/>
      <c r="I276" s="4"/>
    </row>
    <row r="277" spans="1:9" ht="15.75" customHeight="1">
      <c r="A277" s="88" t="s">
        <v>344</v>
      </c>
      <c r="B277" s="272"/>
      <c r="C277" s="23"/>
      <c r="D277" s="23"/>
      <c r="E277" s="23"/>
      <c r="F277" s="4"/>
      <c r="G277" s="4"/>
      <c r="H277" s="4"/>
      <c r="I277" s="4"/>
    </row>
    <row r="278" spans="1:9" ht="15.75" customHeight="1">
      <c r="A278" s="5"/>
      <c r="B278" s="12"/>
      <c r="C278" s="4"/>
      <c r="D278" s="4"/>
      <c r="E278" s="4"/>
      <c r="F278" s="4"/>
      <c r="G278" s="4"/>
      <c r="H278" s="4"/>
      <c r="I278" s="4"/>
    </row>
    <row r="279" spans="1:9" ht="15.75" customHeight="1">
      <c r="A279" s="5"/>
      <c r="B279" s="12"/>
      <c r="C279" s="415" t="s">
        <v>85</v>
      </c>
      <c r="D279" s="417" t="s">
        <v>345</v>
      </c>
      <c r="E279" s="298"/>
      <c r="F279" s="415" t="s">
        <v>346</v>
      </c>
      <c r="G279" s="4"/>
      <c r="H279" s="4"/>
      <c r="I279" s="4"/>
    </row>
    <row r="280" spans="1:9" ht="15.75" customHeight="1">
      <c r="A280" s="4"/>
      <c r="B280" s="4"/>
      <c r="C280" s="306"/>
      <c r="D280" s="30" t="s">
        <v>255</v>
      </c>
      <c r="E280" s="30" t="s">
        <v>256</v>
      </c>
      <c r="F280" s="306"/>
      <c r="G280" s="4"/>
      <c r="H280" s="4"/>
      <c r="I280" s="4"/>
    </row>
    <row r="281" spans="1:9" ht="15.75" customHeight="1">
      <c r="A281" s="4"/>
      <c r="B281" s="4"/>
      <c r="C281" s="210" t="s">
        <v>17</v>
      </c>
      <c r="D281" s="121">
        <f>(E95*C95)/D95</f>
        <v>0.11560693641618498</v>
      </c>
      <c r="E281" s="276">
        <f>(E96*C96)/D96</f>
        <v>0</v>
      </c>
      <c r="F281" s="277">
        <f t="shared" ref="F281:F284" si="3">D281+E281</f>
        <v>0.11560693641618498</v>
      </c>
      <c r="G281" s="4"/>
      <c r="H281" s="4"/>
      <c r="I281" s="4"/>
    </row>
    <row r="282" spans="1:9" ht="15.75" customHeight="1">
      <c r="A282" s="4"/>
      <c r="B282" s="4"/>
      <c r="C282" s="210" t="s">
        <v>18</v>
      </c>
      <c r="D282" s="121">
        <f>(F95*C95)/D95</f>
        <v>1.1560693641618498</v>
      </c>
      <c r="E282" s="276">
        <f>(F96*C96)/D96</f>
        <v>0</v>
      </c>
      <c r="F282" s="277">
        <f t="shared" si="3"/>
        <v>1.1560693641618498</v>
      </c>
      <c r="G282" s="4"/>
      <c r="H282" s="4"/>
      <c r="I282" s="4"/>
    </row>
    <row r="283" spans="1:9" ht="15.75" customHeight="1">
      <c r="A283" s="4"/>
      <c r="B283" s="4"/>
      <c r="C283" s="210" t="s">
        <v>19</v>
      </c>
      <c r="D283" s="121">
        <f>(G95*C95)/D95</f>
        <v>0</v>
      </c>
      <c r="E283" s="276">
        <f>(G96*C96)/D96</f>
        <v>0</v>
      </c>
      <c r="F283" s="277">
        <f t="shared" si="3"/>
        <v>0</v>
      </c>
      <c r="G283" s="4"/>
      <c r="H283" s="4"/>
      <c r="I283" s="4"/>
    </row>
    <row r="284" spans="1:9" ht="15.75" customHeight="1">
      <c r="A284" s="4"/>
      <c r="B284" s="4"/>
      <c r="C284" s="210" t="s">
        <v>20</v>
      </c>
      <c r="D284" s="121">
        <f>(H95*C95)/D95</f>
        <v>0.5780346820809249</v>
      </c>
      <c r="E284" s="276">
        <f>(H96*C96)/D96</f>
        <v>0.2080083203328133</v>
      </c>
      <c r="F284" s="277">
        <f t="shared" si="3"/>
        <v>0.78604300241373815</v>
      </c>
      <c r="G284" s="4"/>
      <c r="H284" s="4"/>
      <c r="I284" s="4"/>
    </row>
    <row r="285" spans="1:9" ht="15.75" customHeight="1">
      <c r="A285" s="4"/>
      <c r="B285" s="4"/>
      <c r="C285" s="12"/>
      <c r="D285" s="278"/>
      <c r="E285" s="279"/>
      <c r="F285" s="278"/>
      <c r="G285" s="4"/>
      <c r="H285" s="4"/>
      <c r="I285" s="4"/>
    </row>
    <row r="286" spans="1:9" ht="15.75" customHeight="1">
      <c r="A286" s="4"/>
      <c r="B286" s="4"/>
      <c r="C286" s="12"/>
      <c r="D286" s="278"/>
      <c r="E286" s="279"/>
      <c r="F286" s="278"/>
      <c r="G286" s="4"/>
      <c r="H286" s="4"/>
      <c r="I286" s="4"/>
    </row>
    <row r="287" spans="1:9" ht="15.75" customHeight="1">
      <c r="A287" s="4"/>
      <c r="B287" s="4"/>
      <c r="C287" s="12"/>
      <c r="D287" s="278"/>
      <c r="E287" s="279"/>
      <c r="F287" s="278"/>
      <c r="G287" s="4"/>
      <c r="H287" s="4"/>
      <c r="I287" s="4"/>
    </row>
    <row r="288" spans="1:9" ht="15.75" customHeight="1">
      <c r="A288" s="416" t="s">
        <v>347</v>
      </c>
      <c r="B288" s="342"/>
      <c r="C288" s="342"/>
      <c r="D288" s="337"/>
      <c r="E288" s="4"/>
      <c r="F288" s="4"/>
      <c r="G288" s="4"/>
      <c r="H288" s="4"/>
      <c r="I288" s="4"/>
    </row>
    <row r="289" spans="1:18" ht="15.75" customHeight="1">
      <c r="A289" s="4"/>
      <c r="B289" s="4"/>
      <c r="C289" s="4"/>
      <c r="D289" s="4"/>
      <c r="E289" s="4"/>
      <c r="F289" s="4"/>
      <c r="G289" s="4"/>
      <c r="H289" s="4"/>
      <c r="I289" s="4"/>
    </row>
    <row r="290" spans="1:18" ht="15.75" customHeight="1">
      <c r="A290" s="118"/>
      <c r="B290" s="118"/>
      <c r="C290" s="118"/>
      <c r="D290" s="118"/>
      <c r="E290" s="4"/>
      <c r="F290" s="4"/>
      <c r="G290" s="4"/>
      <c r="H290" s="4"/>
      <c r="I290" s="4"/>
      <c r="J290" s="14"/>
      <c r="P290" s="14"/>
      <c r="Q290" s="14"/>
      <c r="R290" s="14"/>
    </row>
    <row r="291" spans="1:18" ht="15.75" customHeight="1">
      <c r="A291" s="4"/>
      <c r="B291" s="4"/>
      <c r="C291" s="292" t="s">
        <v>92</v>
      </c>
      <c r="D291" s="291"/>
      <c r="E291" s="293" t="str">
        <f>IF(D144="SI","MAYOR A 50 UIT",IF(AND(D144="NO"),"MENOR A 50 UIT"))</f>
        <v>MAYOR A 50 UIT</v>
      </c>
      <c r="F291" s="291"/>
      <c r="G291" s="39"/>
      <c r="H291" s="39"/>
      <c r="I291" s="39"/>
      <c r="J291" s="119"/>
      <c r="K291" s="14"/>
      <c r="L291" s="14"/>
      <c r="M291" s="14"/>
      <c r="N291" s="14"/>
      <c r="O291" s="14"/>
      <c r="P291" s="14"/>
      <c r="Q291" s="14"/>
      <c r="R291" s="14"/>
    </row>
    <row r="292" spans="1:18" ht="15.75" customHeight="1">
      <c r="A292" s="4"/>
      <c r="B292" s="4"/>
      <c r="C292" s="292" t="s">
        <v>93</v>
      </c>
      <c r="D292" s="291"/>
      <c r="E292" s="12" t="str">
        <f>IF(E110="Incluido IGV","INCLUIDO IGV",IF(AND(E110="Sin IGV"),"SIN IGV"))</f>
        <v>SIN IGV</v>
      </c>
      <c r="F292" s="15"/>
      <c r="G292" s="4"/>
      <c r="H292" s="4"/>
      <c r="I292" s="4"/>
      <c r="J292" s="14"/>
      <c r="K292" s="119"/>
      <c r="L292" s="119"/>
      <c r="M292" s="14"/>
      <c r="N292" s="14"/>
      <c r="O292" s="14"/>
      <c r="P292" s="14"/>
      <c r="Q292" s="14"/>
      <c r="R292" s="14"/>
    </row>
    <row r="293" spans="1:18" ht="15.75" customHeight="1">
      <c r="A293" s="4"/>
      <c r="B293" s="4"/>
      <c r="C293" s="120"/>
      <c r="D293" s="120"/>
      <c r="E293" s="93"/>
      <c r="F293" s="4"/>
      <c r="G293" s="4"/>
      <c r="H293" s="4"/>
      <c r="I293" s="4"/>
      <c r="J293" s="14"/>
      <c r="K293" s="14"/>
      <c r="L293" s="14"/>
      <c r="M293" s="14"/>
      <c r="N293" s="14"/>
      <c r="O293" s="14"/>
      <c r="P293" s="14"/>
      <c r="Q293" s="14"/>
      <c r="R293" s="14"/>
    </row>
    <row r="294" spans="1:18" ht="15.75" customHeight="1">
      <c r="A294" s="4"/>
      <c r="B294" s="4"/>
      <c r="C294" s="44" t="s">
        <v>96</v>
      </c>
      <c r="D294" s="91" t="s">
        <v>348</v>
      </c>
      <c r="E294" s="4"/>
      <c r="F294" s="120"/>
      <c r="G294" s="120" t="s">
        <v>97</v>
      </c>
      <c r="H294" s="92">
        <f>H297+H302+H307</f>
        <v>72.989456582668126</v>
      </c>
      <c r="I294" s="4"/>
    </row>
    <row r="295" spans="1:18" ht="15.75" customHeight="1">
      <c r="A295" s="417"/>
      <c r="B295" s="298"/>
      <c r="C295" s="30" t="s">
        <v>98</v>
      </c>
      <c r="D295" s="30" t="s">
        <v>99</v>
      </c>
      <c r="E295" s="30" t="s">
        <v>100</v>
      </c>
      <c r="F295" s="30" t="s">
        <v>101</v>
      </c>
      <c r="G295" s="417" t="s">
        <v>102</v>
      </c>
      <c r="H295" s="298"/>
      <c r="I295" s="4"/>
    </row>
    <row r="296" spans="1:18" ht="15.75" customHeight="1">
      <c r="A296" s="410" t="s">
        <v>103</v>
      </c>
      <c r="B296" s="320"/>
      <c r="C296" s="320"/>
      <c r="D296" s="320"/>
      <c r="E296" s="320"/>
      <c r="F296" s="320"/>
      <c r="G296" s="320"/>
      <c r="H296" s="321"/>
      <c r="I296" s="4"/>
      <c r="Q296" s="4"/>
    </row>
    <row r="297" spans="1:18" ht="15.75" customHeight="1">
      <c r="A297" s="411" t="s">
        <v>104</v>
      </c>
      <c r="B297" s="298"/>
      <c r="C297" s="7" t="s">
        <v>105</v>
      </c>
      <c r="D297" s="121">
        <f t="shared" ref="D297:D300" si="4">F281</f>
        <v>0.11560693641618498</v>
      </c>
      <c r="E297" s="8">
        <f>IF(D144="SI",G133,IF(AND(D144="NO"),((E119*1.1)/8)))</f>
        <v>26.646464625</v>
      </c>
      <c r="F297" s="122">
        <f t="shared" ref="F297:F300" si="5">D297*E297</f>
        <v>3.0805161416184976</v>
      </c>
      <c r="G297" s="330" t="s">
        <v>36</v>
      </c>
      <c r="H297" s="418">
        <f>F297+F298+F299+F300</f>
        <v>44.67110190033786</v>
      </c>
      <c r="I297" s="4"/>
      <c r="Q297" s="4"/>
    </row>
    <row r="298" spans="1:18" ht="15.75" customHeight="1">
      <c r="A298" s="411" t="s">
        <v>106</v>
      </c>
      <c r="B298" s="298"/>
      <c r="C298" s="7" t="s">
        <v>105</v>
      </c>
      <c r="D298" s="121">
        <f t="shared" si="4"/>
        <v>1.1560693641618498</v>
      </c>
      <c r="E298" s="8">
        <f>IF(D144="SI",G134,IF(AND(D144="NO"),(E119/8)))</f>
        <v>24.224058749999998</v>
      </c>
      <c r="F298" s="122">
        <f t="shared" si="5"/>
        <v>28.004692196531792</v>
      </c>
      <c r="G298" s="312"/>
      <c r="H298" s="408"/>
      <c r="I298" s="4"/>
      <c r="Q298" s="4"/>
    </row>
    <row r="299" spans="1:18" ht="15.75" customHeight="1">
      <c r="A299" s="411" t="s">
        <v>107</v>
      </c>
      <c r="B299" s="298"/>
      <c r="C299" s="7" t="s">
        <v>105</v>
      </c>
      <c r="D299" s="121">
        <f t="shared" si="4"/>
        <v>0</v>
      </c>
      <c r="E299" s="8">
        <f>IF(D144="SI",G135,IF(AND(D144="NO"),(F119/8)))</f>
        <v>19.121340624999998</v>
      </c>
      <c r="F299" s="122">
        <f t="shared" si="5"/>
        <v>0</v>
      </c>
      <c r="G299" s="312"/>
      <c r="H299" s="408"/>
      <c r="I299" s="4"/>
      <c r="Q299" s="4"/>
    </row>
    <row r="300" spans="1:18" ht="15.75" customHeight="1">
      <c r="A300" s="411" t="s">
        <v>108</v>
      </c>
      <c r="B300" s="298"/>
      <c r="C300" s="7" t="s">
        <v>105</v>
      </c>
      <c r="D300" s="121">
        <f t="shared" si="4"/>
        <v>0.78604300241373815</v>
      </c>
      <c r="E300" s="8">
        <f>IF(D144="SI",G136,IF(AND(D144="NO"),(G119/8)))</f>
        <v>17.283906249999998</v>
      </c>
      <c r="F300" s="122">
        <f t="shared" si="5"/>
        <v>13.585893562187572</v>
      </c>
      <c r="G300" s="313"/>
      <c r="H300" s="328"/>
      <c r="I300" s="4"/>
    </row>
    <row r="301" spans="1:18" ht="15.75" customHeight="1">
      <c r="A301" s="410" t="s">
        <v>109</v>
      </c>
      <c r="B301" s="320"/>
      <c r="C301" s="320"/>
      <c r="D301" s="320"/>
      <c r="E301" s="320"/>
      <c r="F301" s="320"/>
      <c r="G301" s="320"/>
      <c r="H301" s="321"/>
      <c r="I301" s="4"/>
    </row>
    <row r="302" spans="1:18" ht="15.75" customHeight="1">
      <c r="A302" s="411" t="s">
        <v>110</v>
      </c>
      <c r="B302" s="298"/>
      <c r="C302" s="7" t="s">
        <v>111</v>
      </c>
      <c r="D302" s="121">
        <f t="shared" ref="D302:D305" si="6">E258</f>
        <v>0.1963970341077608</v>
      </c>
      <c r="E302" s="8">
        <f>IF(E110="Incluido IGV",F104,IF(AND(E110="Sin IGV"),H104))</f>
        <v>18.64406779661017</v>
      </c>
      <c r="F302" s="122">
        <f t="shared" ref="F302:F305" si="7">D302*E302</f>
        <v>3.6616396189582523</v>
      </c>
      <c r="G302" s="330" t="s">
        <v>36</v>
      </c>
      <c r="H302" s="331">
        <f>F302+F303+F304+F305</f>
        <v>26.978221625320124</v>
      </c>
      <c r="I302" s="4"/>
    </row>
    <row r="303" spans="1:18" ht="15.75" customHeight="1">
      <c r="A303" s="411" t="s">
        <v>112</v>
      </c>
      <c r="B303" s="298"/>
      <c r="C303" s="7" t="s">
        <v>349</v>
      </c>
      <c r="D303" s="121">
        <f t="shared" si="6"/>
        <v>3.3166386554621861E-2</v>
      </c>
      <c r="E303" s="8">
        <f>IF(E110="Incluido IGV",F105,IF(AND(E110="Sin IGV"),H105))</f>
        <v>50.847457627118644</v>
      </c>
      <c r="F303" s="122">
        <f t="shared" si="7"/>
        <v>1.6864264349807725</v>
      </c>
      <c r="G303" s="312"/>
      <c r="H303" s="315"/>
      <c r="I303" s="4"/>
    </row>
    <row r="304" spans="1:18" ht="15.75" customHeight="1">
      <c r="A304" s="411" t="s">
        <v>113</v>
      </c>
      <c r="B304" s="298"/>
      <c r="C304" s="7" t="s">
        <v>350</v>
      </c>
      <c r="D304" s="121">
        <f t="shared" si="6"/>
        <v>6.677499159663868E-3</v>
      </c>
      <c r="E304" s="8">
        <f>IF(E110="Incluido IGV",F106,IF(AND(E110="Sin IGV"),H106))</f>
        <v>4.2372881355932206</v>
      </c>
      <c r="F304" s="122">
        <f t="shared" si="7"/>
        <v>2.8294487964677408E-2</v>
      </c>
      <c r="G304" s="312"/>
      <c r="H304" s="315"/>
      <c r="I304" s="4"/>
    </row>
    <row r="305" spans="1:18" ht="15.75" customHeight="1">
      <c r="A305" s="411" t="s">
        <v>351</v>
      </c>
      <c r="B305" s="298"/>
      <c r="C305" s="7" t="s">
        <v>352</v>
      </c>
      <c r="D305" s="8">
        <f t="shared" si="6"/>
        <v>39.215686274509807</v>
      </c>
      <c r="E305" s="8">
        <f>IF(E110="Incluido IGV",(F107/1000),IF(AND(E110="Sin IGV"),(H107/1000)))</f>
        <v>0.55084745762711873</v>
      </c>
      <c r="F305" s="122">
        <f t="shared" si="7"/>
        <v>21.601861083416424</v>
      </c>
      <c r="G305" s="313"/>
      <c r="H305" s="316"/>
      <c r="I305" s="4"/>
    </row>
    <row r="306" spans="1:18" ht="15.75" customHeight="1">
      <c r="A306" s="410" t="s">
        <v>114</v>
      </c>
      <c r="B306" s="320"/>
      <c r="C306" s="320"/>
      <c r="D306" s="320"/>
      <c r="E306" s="320"/>
      <c r="F306" s="320"/>
      <c r="G306" s="320"/>
      <c r="H306" s="321"/>
      <c r="I306" s="4"/>
    </row>
    <row r="307" spans="1:18" ht="15.75" customHeight="1">
      <c r="A307" s="411" t="s">
        <v>117</v>
      </c>
      <c r="B307" s="298"/>
      <c r="C307" s="7" t="s">
        <v>118</v>
      </c>
      <c r="D307" s="123">
        <v>0.03</v>
      </c>
      <c r="E307" s="8">
        <f>H297</f>
        <v>44.67110190033786</v>
      </c>
      <c r="F307" s="122">
        <f>D307*E307</f>
        <v>1.3401330570101357</v>
      </c>
      <c r="G307" s="59" t="s">
        <v>36</v>
      </c>
      <c r="H307" s="52">
        <f>F307</f>
        <v>1.3401330570101357</v>
      </c>
      <c r="I307" s="4"/>
    </row>
    <row r="308" spans="1:18" ht="15.75" customHeight="1">
      <c r="A308" s="4"/>
      <c r="B308" s="4"/>
      <c r="C308" s="4"/>
      <c r="D308" s="4"/>
      <c r="E308" s="4"/>
      <c r="F308" s="4"/>
      <c r="G308" s="4"/>
      <c r="H308" s="4"/>
      <c r="I308" s="4"/>
    </row>
    <row r="309" spans="1:18" ht="15.75" customHeight="1">
      <c r="A309" s="4"/>
      <c r="B309" s="4"/>
      <c r="C309" s="4"/>
      <c r="D309" s="4"/>
      <c r="E309" s="4"/>
      <c r="F309" s="4"/>
      <c r="G309" s="4"/>
      <c r="H309" s="4"/>
      <c r="I309" s="4"/>
    </row>
    <row r="310" spans="1:18" ht="15.75" customHeight="1">
      <c r="A310" s="4"/>
      <c r="B310" s="4"/>
      <c r="C310" s="4"/>
      <c r="D310" s="4"/>
      <c r="E310" s="4"/>
      <c r="F310" s="4"/>
      <c r="G310" s="4"/>
      <c r="H310" s="4"/>
      <c r="I310" s="4"/>
    </row>
    <row r="311" spans="1:18" ht="14.25" customHeight="1">
      <c r="A311" s="412" t="s">
        <v>353</v>
      </c>
      <c r="B311" s="342"/>
      <c r="C311" s="342"/>
      <c r="D311" s="337"/>
      <c r="E311" s="202"/>
      <c r="F311" s="4"/>
      <c r="G311" s="4"/>
      <c r="H311" s="4"/>
      <c r="I311" s="4"/>
    </row>
    <row r="312" spans="1:18" ht="14.25" customHeight="1">
      <c r="A312" s="280"/>
      <c r="B312" s="280"/>
      <c r="C312" s="280"/>
      <c r="D312" s="280"/>
      <c r="E312" s="280"/>
      <c r="F312" s="4"/>
      <c r="G312" s="4"/>
      <c r="H312" s="4"/>
      <c r="I312" s="4"/>
    </row>
    <row r="313" spans="1:18" ht="15.75" customHeight="1">
      <c r="A313" s="4"/>
      <c r="B313" s="4"/>
      <c r="C313" s="94" t="s">
        <v>354</v>
      </c>
      <c r="D313" s="85"/>
      <c r="E313" s="108">
        <f>G155</f>
        <v>120</v>
      </c>
      <c r="F313" s="99" t="s">
        <v>355</v>
      </c>
      <c r="G313" s="4"/>
      <c r="H313" s="4"/>
      <c r="I313" s="4"/>
    </row>
    <row r="314" spans="1:18" ht="15.75" customHeight="1">
      <c r="A314" s="4"/>
      <c r="B314" s="4"/>
      <c r="C314" s="94" t="s">
        <v>356</v>
      </c>
      <c r="D314" s="85"/>
      <c r="E314" s="108">
        <f>H294</f>
        <v>72.989456582668126</v>
      </c>
      <c r="F314" s="105" t="s">
        <v>357</v>
      </c>
      <c r="G314" s="4"/>
      <c r="H314" s="4"/>
      <c r="I314" s="4"/>
    </row>
    <row r="315" spans="1:18" ht="15.75" customHeight="1">
      <c r="A315" s="4"/>
      <c r="B315" s="4"/>
      <c r="C315" s="15"/>
      <c r="D315" s="4"/>
      <c r="E315" s="16"/>
      <c r="F315" s="15"/>
      <c r="G315" s="4"/>
      <c r="H315" s="4"/>
      <c r="I315" s="4"/>
    </row>
    <row r="316" spans="1:18" ht="15.75" customHeight="1">
      <c r="A316" s="4"/>
      <c r="B316" s="4"/>
      <c r="C316" s="292" t="s">
        <v>92</v>
      </c>
      <c r="D316" s="291"/>
      <c r="E316" s="293" t="str">
        <f t="shared" ref="E316:E317" si="8">E291</f>
        <v>MAYOR A 50 UIT</v>
      </c>
      <c r="F316" s="291"/>
      <c r="G316" s="39"/>
      <c r="H316" s="39"/>
      <c r="I316" s="39"/>
      <c r="J316" s="119"/>
      <c r="K316" s="14"/>
      <c r="L316" s="14"/>
      <c r="M316" s="14"/>
      <c r="N316" s="14"/>
      <c r="O316" s="14"/>
      <c r="P316" s="14"/>
      <c r="Q316" s="14"/>
      <c r="R316" s="14"/>
    </row>
    <row r="317" spans="1:18" ht="15.75" customHeight="1">
      <c r="A317" s="4"/>
      <c r="B317" s="4"/>
      <c r="C317" s="292" t="s">
        <v>93</v>
      </c>
      <c r="D317" s="291"/>
      <c r="E317" s="12" t="str">
        <f t="shared" si="8"/>
        <v>SIN IGV</v>
      </c>
      <c r="F317" s="15"/>
      <c r="G317" s="4"/>
      <c r="H317" s="4"/>
      <c r="I317" s="4"/>
      <c r="J317" s="14"/>
      <c r="K317" s="119"/>
      <c r="L317" s="119"/>
      <c r="M317" s="14"/>
      <c r="N317" s="14"/>
      <c r="O317" s="14"/>
      <c r="P317" s="14"/>
      <c r="Q317" s="14"/>
      <c r="R317" s="14"/>
    </row>
    <row r="318" spans="1:18" ht="15.75" customHeight="1">
      <c r="A318" s="5"/>
      <c r="B318" s="4"/>
      <c r="C318" s="4"/>
      <c r="D318" s="4"/>
      <c r="E318" s="4"/>
      <c r="F318" s="4"/>
      <c r="G318" s="4"/>
      <c r="H318" s="4"/>
      <c r="I318" s="4"/>
    </row>
    <row r="319" spans="1:18" ht="15" customHeight="1">
      <c r="A319" s="4"/>
      <c r="B319" s="435" t="s">
        <v>358</v>
      </c>
      <c r="C319" s="436"/>
      <c r="D319" s="301"/>
      <c r="E319" s="415" t="s">
        <v>359</v>
      </c>
      <c r="F319" s="415" t="s">
        <v>122</v>
      </c>
      <c r="G319" s="438" t="s">
        <v>123</v>
      </c>
      <c r="H319" s="301"/>
      <c r="I319" s="4"/>
    </row>
    <row r="320" spans="1:18" ht="15.75" customHeight="1">
      <c r="A320" s="4"/>
      <c r="B320" s="302"/>
      <c r="C320" s="437"/>
      <c r="D320" s="303"/>
      <c r="E320" s="306"/>
      <c r="F320" s="306"/>
      <c r="G320" s="302"/>
      <c r="H320" s="303"/>
      <c r="I320" s="4"/>
    </row>
    <row r="321" spans="1:18" ht="15.75" customHeight="1">
      <c r="A321" s="4"/>
      <c r="B321" s="439" t="s">
        <v>360</v>
      </c>
      <c r="C321" s="350"/>
      <c r="D321" s="281" t="str">
        <f>D69</f>
        <v>King Kong</v>
      </c>
      <c r="E321" s="307">
        <f>E313</f>
        <v>120</v>
      </c>
      <c r="F321" s="308">
        <f>E314</f>
        <v>72.989456582668126</v>
      </c>
      <c r="G321" s="311" t="s">
        <v>36</v>
      </c>
      <c r="H321" s="314">
        <f>E321*F321</f>
        <v>8758.7347899201759</v>
      </c>
      <c r="I321" s="4"/>
    </row>
    <row r="322" spans="1:18" ht="15.75" customHeight="1">
      <c r="A322" s="4"/>
      <c r="B322" s="413" t="s">
        <v>361</v>
      </c>
      <c r="C322" s="291"/>
      <c r="D322" s="282" t="str">
        <f>D78</f>
        <v>soga</v>
      </c>
      <c r="E322" s="305"/>
      <c r="F322" s="309"/>
      <c r="G322" s="312"/>
      <c r="H322" s="315"/>
      <c r="I322" s="4"/>
    </row>
    <row r="323" spans="1:18" ht="15.75" customHeight="1">
      <c r="A323" s="4"/>
      <c r="B323" s="414" t="s">
        <v>362</v>
      </c>
      <c r="C323" s="337"/>
      <c r="D323" s="283" t="str">
        <f>E81</f>
        <v>1:5</v>
      </c>
      <c r="E323" s="306"/>
      <c r="F323" s="310"/>
      <c r="G323" s="313"/>
      <c r="H323" s="316"/>
      <c r="I323" s="4"/>
    </row>
    <row r="324" spans="1:18" ht="15.75" customHeight="1">
      <c r="A324" s="4"/>
      <c r="B324" s="440" t="s">
        <v>363</v>
      </c>
      <c r="C324" s="320"/>
      <c r="D324" s="320"/>
      <c r="E324" s="320"/>
      <c r="F324" s="321"/>
      <c r="G324" s="432" t="s">
        <v>36</v>
      </c>
      <c r="H324" s="434">
        <f>H315+H318+H321</f>
        <v>8758.7347899201759</v>
      </c>
      <c r="I324" s="4"/>
    </row>
    <row r="325" spans="1:18" ht="15.75" customHeight="1">
      <c r="A325" s="4"/>
      <c r="B325" s="127"/>
      <c r="C325" s="441" t="s">
        <v>124</v>
      </c>
      <c r="D325" s="337"/>
      <c r="E325" s="284" t="str">
        <f>E110</f>
        <v>Sin IGV</v>
      </c>
      <c r="F325" s="128"/>
      <c r="G325" s="433"/>
      <c r="H325" s="316"/>
      <c r="I325" s="4"/>
    </row>
    <row r="326" spans="1:18" ht="15.75" customHeight="1">
      <c r="A326" s="4"/>
      <c r="B326" s="4"/>
      <c r="C326" s="15"/>
      <c r="D326" s="4"/>
      <c r="E326" s="16"/>
      <c r="F326" s="15"/>
      <c r="G326" s="4"/>
      <c r="H326" s="4"/>
      <c r="I326" s="4"/>
    </row>
    <row r="327" spans="1:18" ht="15.75" customHeight="1">
      <c r="A327" s="4"/>
      <c r="B327" s="4"/>
      <c r="C327" s="15"/>
      <c r="D327" s="4"/>
      <c r="E327" s="16"/>
      <c r="F327" s="15"/>
      <c r="G327" s="4"/>
      <c r="H327" s="4"/>
      <c r="I327" s="4"/>
    </row>
    <row r="328" spans="1:18" ht="14.25" customHeight="1">
      <c r="A328" s="428" t="s">
        <v>364</v>
      </c>
      <c r="B328" s="290"/>
      <c r="C328" s="290"/>
      <c r="D328" s="290"/>
      <c r="E328" s="291"/>
      <c r="F328" s="4"/>
      <c r="G328" s="4"/>
      <c r="H328" s="4"/>
      <c r="I328" s="4"/>
    </row>
    <row r="329" spans="1:18" ht="15.75" customHeight="1">
      <c r="A329" s="48"/>
      <c r="B329" s="4"/>
      <c r="C329" s="15"/>
      <c r="D329" s="4"/>
      <c r="E329" s="16"/>
      <c r="F329" s="15"/>
      <c r="G329" s="4"/>
      <c r="H329" s="4"/>
      <c r="I329" s="4"/>
    </row>
    <row r="330" spans="1:18" ht="15.75" customHeight="1">
      <c r="A330" s="4"/>
      <c r="B330" s="4"/>
      <c r="C330" s="292" t="s">
        <v>92</v>
      </c>
      <c r="D330" s="291"/>
      <c r="E330" s="293" t="str">
        <f t="shared" ref="E330:E331" si="9">E316</f>
        <v>MAYOR A 50 UIT</v>
      </c>
      <c r="F330" s="291"/>
      <c r="G330" s="39"/>
      <c r="H330" s="39"/>
      <c r="I330" s="39"/>
      <c r="J330" s="119"/>
      <c r="K330" s="14"/>
      <c r="L330" s="14"/>
      <c r="M330" s="14"/>
      <c r="N330" s="14"/>
      <c r="O330" s="14"/>
      <c r="P330" s="14"/>
      <c r="Q330" s="14"/>
      <c r="R330" s="14"/>
    </row>
    <row r="331" spans="1:18" ht="15.75" customHeight="1">
      <c r="A331" s="4"/>
      <c r="B331" s="4"/>
      <c r="C331" s="292" t="s">
        <v>93</v>
      </c>
      <c r="D331" s="291"/>
      <c r="E331" s="12" t="str">
        <f t="shared" si="9"/>
        <v>SIN IGV</v>
      </c>
      <c r="F331" s="15"/>
      <c r="G331" s="4"/>
      <c r="H331" s="4"/>
      <c r="I331" s="4"/>
      <c r="J331" s="14"/>
      <c r="K331" s="119"/>
      <c r="L331" s="119"/>
      <c r="M331" s="14"/>
      <c r="N331" s="14"/>
      <c r="O331" s="14"/>
      <c r="P331" s="14"/>
      <c r="Q331" s="14"/>
      <c r="R331" s="14"/>
    </row>
    <row r="332" spans="1:18" ht="15.75" customHeight="1">
      <c r="A332" s="48"/>
      <c r="B332" s="4"/>
      <c r="C332" s="15"/>
      <c r="D332" s="4"/>
      <c r="E332" s="16"/>
      <c r="F332" s="15"/>
      <c r="G332" s="4"/>
      <c r="H332" s="4"/>
      <c r="I332" s="4"/>
    </row>
    <row r="333" spans="1:18" ht="15" customHeight="1">
      <c r="A333" s="4"/>
      <c r="B333" s="4"/>
      <c r="C333" s="431" t="s">
        <v>109</v>
      </c>
      <c r="D333" s="298"/>
      <c r="E333" s="429" t="s">
        <v>365</v>
      </c>
      <c r="F333" s="321"/>
      <c r="G333" s="4"/>
      <c r="H333" s="4"/>
      <c r="I333" s="4"/>
    </row>
    <row r="334" spans="1:18" ht="15.75" customHeight="1">
      <c r="A334" s="4"/>
      <c r="B334" s="4"/>
      <c r="C334" s="430" t="s">
        <v>34</v>
      </c>
      <c r="D334" s="295"/>
      <c r="E334" s="285">
        <f t="shared" ref="E334:E337" si="10">E266</f>
        <v>23.567644092931296</v>
      </c>
      <c r="F334" s="130" t="s">
        <v>74</v>
      </c>
      <c r="G334" s="4"/>
      <c r="H334" s="4"/>
      <c r="I334" s="4"/>
    </row>
    <row r="335" spans="1:18" ht="15.75" customHeight="1">
      <c r="A335" s="4"/>
      <c r="B335" s="4"/>
      <c r="C335" s="430" t="s">
        <v>332</v>
      </c>
      <c r="D335" s="295"/>
      <c r="E335" s="285">
        <f t="shared" si="10"/>
        <v>3.9799663865546235</v>
      </c>
      <c r="F335" s="130" t="s">
        <v>366</v>
      </c>
      <c r="G335" s="4"/>
      <c r="H335" s="4"/>
      <c r="I335" s="4"/>
    </row>
    <row r="336" spans="1:18" ht="15.75" customHeight="1">
      <c r="A336" s="4"/>
      <c r="B336" s="4"/>
      <c r="C336" s="430" t="s">
        <v>81</v>
      </c>
      <c r="D336" s="295"/>
      <c r="E336" s="286">
        <f t="shared" si="10"/>
        <v>0.80129989915966415</v>
      </c>
      <c r="F336" s="131" t="s">
        <v>367</v>
      </c>
      <c r="G336" s="4"/>
      <c r="H336" s="287"/>
      <c r="I336" s="4"/>
    </row>
    <row r="337" spans="1:9" ht="15.75" customHeight="1">
      <c r="A337" s="4"/>
      <c r="B337" s="4"/>
      <c r="C337" s="430" t="s">
        <v>235</v>
      </c>
      <c r="D337" s="295"/>
      <c r="E337" s="288">
        <f t="shared" si="10"/>
        <v>4705.8823529411766</v>
      </c>
      <c r="F337" s="131" t="s">
        <v>352</v>
      </c>
      <c r="G337" s="4"/>
      <c r="H337" s="4"/>
      <c r="I337" s="4"/>
    </row>
    <row r="338" spans="1:9" ht="15" customHeight="1">
      <c r="A338" s="4"/>
      <c r="B338" s="4"/>
      <c r="C338" s="431" t="s">
        <v>103</v>
      </c>
      <c r="D338" s="298"/>
      <c r="E338" s="429" t="s">
        <v>365</v>
      </c>
      <c r="F338" s="321"/>
      <c r="G338" s="4"/>
      <c r="H338" s="4"/>
      <c r="I338" s="4"/>
    </row>
    <row r="339" spans="1:9" ht="15.75" customHeight="1">
      <c r="A339" s="4"/>
      <c r="B339" s="4"/>
      <c r="C339" s="430" t="s">
        <v>17</v>
      </c>
      <c r="D339" s="295"/>
      <c r="E339" s="285">
        <f>F281*E321</f>
        <v>13.872832369942198</v>
      </c>
      <c r="F339" s="133" t="s">
        <v>127</v>
      </c>
      <c r="G339" s="4"/>
      <c r="H339" s="4"/>
      <c r="I339" s="4"/>
    </row>
    <row r="340" spans="1:9" ht="15.75" customHeight="1">
      <c r="A340" s="4"/>
      <c r="B340" s="4"/>
      <c r="C340" s="430" t="s">
        <v>18</v>
      </c>
      <c r="D340" s="295"/>
      <c r="E340" s="285">
        <f>F282*E321</f>
        <v>138.72832369942196</v>
      </c>
      <c r="F340" s="133" t="s">
        <v>127</v>
      </c>
      <c r="G340" s="4"/>
      <c r="H340" s="4"/>
      <c r="I340" s="4"/>
    </row>
    <row r="341" spans="1:9" ht="15.75" customHeight="1">
      <c r="A341" s="4"/>
      <c r="B341" s="4"/>
      <c r="C341" s="430" t="s">
        <v>19</v>
      </c>
      <c r="D341" s="295"/>
      <c r="E341" s="285">
        <f>F283*E321</f>
        <v>0</v>
      </c>
      <c r="F341" s="133" t="s">
        <v>127</v>
      </c>
      <c r="G341" s="4"/>
      <c r="H341" s="4"/>
      <c r="I341" s="4"/>
    </row>
    <row r="342" spans="1:9" ht="15.75" customHeight="1">
      <c r="A342" s="4"/>
      <c r="B342" s="4"/>
      <c r="C342" s="430" t="s">
        <v>20</v>
      </c>
      <c r="D342" s="295"/>
      <c r="E342" s="132">
        <f>F284*E321</f>
        <v>94.325160289648579</v>
      </c>
      <c r="F342" s="133" t="s">
        <v>127</v>
      </c>
      <c r="G342" s="4"/>
      <c r="H342" s="4"/>
      <c r="I342" s="4"/>
    </row>
    <row r="343" spans="1:9" ht="15.75" customHeight="1">
      <c r="A343" s="4"/>
      <c r="B343" s="4"/>
      <c r="C343" s="4"/>
      <c r="D343" s="4"/>
      <c r="E343" s="4"/>
      <c r="F343" s="4"/>
      <c r="G343" s="4"/>
      <c r="H343" s="4"/>
      <c r="I343" s="4"/>
    </row>
    <row r="344" spans="1:9" ht="15.75" customHeight="1">
      <c r="A344" s="4"/>
      <c r="B344" s="4"/>
      <c r="C344" s="4"/>
      <c r="D344" s="4"/>
      <c r="E344" s="4"/>
      <c r="F344" s="4"/>
      <c r="G344" s="4"/>
      <c r="H344" s="4"/>
      <c r="I344" s="4"/>
    </row>
    <row r="345" spans="1:9" ht="15.75" customHeight="1"/>
    <row r="346" spans="1:9" ht="15.75" customHeight="1">
      <c r="G346" s="97"/>
    </row>
    <row r="347" spans="1:9" ht="15.75" customHeight="1"/>
    <row r="348" spans="1:9" ht="15.75" customHeight="1"/>
    <row r="349" spans="1:9" ht="15.75" customHeight="1"/>
    <row r="350" spans="1:9" ht="15.75" customHeight="1"/>
    <row r="351" spans="1:9" ht="15.75" customHeight="1"/>
    <row r="352" spans="1:9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7">
    <mergeCell ref="B1:G2"/>
    <mergeCell ref="A14:E14"/>
    <mergeCell ref="B69:B70"/>
    <mergeCell ref="C77:C78"/>
    <mergeCell ref="B82:B83"/>
    <mergeCell ref="B87:B88"/>
    <mergeCell ref="B92:H92"/>
    <mergeCell ref="E93:H93"/>
    <mergeCell ref="B93:B94"/>
    <mergeCell ref="C93:C94"/>
    <mergeCell ref="D93:D94"/>
    <mergeCell ref="D99:G99"/>
    <mergeCell ref="D100:G100"/>
    <mergeCell ref="E103:F103"/>
    <mergeCell ref="G103:H103"/>
    <mergeCell ref="B103:C103"/>
    <mergeCell ref="B104:C104"/>
    <mergeCell ref="B105:C105"/>
    <mergeCell ref="B106:C106"/>
    <mergeCell ref="B107:C107"/>
    <mergeCell ref="B110:D110"/>
    <mergeCell ref="F110:G111"/>
    <mergeCell ref="B116:G116"/>
    <mergeCell ref="B117:G117"/>
    <mergeCell ref="B118:D118"/>
    <mergeCell ref="B119:D119"/>
    <mergeCell ref="B120:D120"/>
    <mergeCell ref="B124:C124"/>
    <mergeCell ref="B125:C125"/>
    <mergeCell ref="B126:D126"/>
    <mergeCell ref="B127:D127"/>
    <mergeCell ref="B128:D128"/>
    <mergeCell ref="B129:D129"/>
    <mergeCell ref="B130:D130"/>
    <mergeCell ref="B132:G132"/>
    <mergeCell ref="B138:D138"/>
    <mergeCell ref="G155:G156"/>
    <mergeCell ref="H155:H156"/>
    <mergeCell ref="B139:D139"/>
    <mergeCell ref="B140:G140"/>
    <mergeCell ref="B144:C144"/>
    <mergeCell ref="E144:F145"/>
    <mergeCell ref="G150:H152"/>
    <mergeCell ref="A155:C155"/>
    <mergeCell ref="D155:F156"/>
    <mergeCell ref="G324:G325"/>
    <mergeCell ref="H324:H325"/>
    <mergeCell ref="B319:D320"/>
    <mergeCell ref="E319:E320"/>
    <mergeCell ref="F319:F320"/>
    <mergeCell ref="G319:H320"/>
    <mergeCell ref="B321:C321"/>
    <mergeCell ref="E321:E323"/>
    <mergeCell ref="F321:F323"/>
    <mergeCell ref="B324:F324"/>
    <mergeCell ref="C325:D325"/>
    <mergeCell ref="A328:E328"/>
    <mergeCell ref="C330:D330"/>
    <mergeCell ref="E330:F330"/>
    <mergeCell ref="C331:D331"/>
    <mergeCell ref="E333:F333"/>
    <mergeCell ref="C339:D339"/>
    <mergeCell ref="C340:D340"/>
    <mergeCell ref="C341:D341"/>
    <mergeCell ref="C342:D342"/>
    <mergeCell ref="C333:D333"/>
    <mergeCell ref="C334:D334"/>
    <mergeCell ref="C335:D335"/>
    <mergeCell ref="C336:D336"/>
    <mergeCell ref="C337:D337"/>
    <mergeCell ref="C338:D338"/>
    <mergeCell ref="E338:F338"/>
    <mergeCell ref="A159:C159"/>
    <mergeCell ref="C171:D171"/>
    <mergeCell ref="B185:G185"/>
    <mergeCell ref="E201:E202"/>
    <mergeCell ref="F201:F202"/>
    <mergeCell ref="B202:C202"/>
    <mergeCell ref="B214:G214"/>
    <mergeCell ref="C212:D212"/>
    <mergeCell ref="C216:D216"/>
    <mergeCell ref="C229:C230"/>
    <mergeCell ref="D229:F229"/>
    <mergeCell ref="A273:C273"/>
    <mergeCell ref="D279:E279"/>
    <mergeCell ref="F279:F280"/>
    <mergeCell ref="A295:B295"/>
    <mergeCell ref="A297:B297"/>
    <mergeCell ref="A298:B298"/>
    <mergeCell ref="A299:B299"/>
    <mergeCell ref="C279:C280"/>
    <mergeCell ref="A288:D288"/>
    <mergeCell ref="C291:D291"/>
    <mergeCell ref="E291:F291"/>
    <mergeCell ref="C292:D292"/>
    <mergeCell ref="G295:H295"/>
    <mergeCell ref="A296:H296"/>
    <mergeCell ref="G297:G300"/>
    <mergeCell ref="H297:H300"/>
    <mergeCell ref="A306:H306"/>
    <mergeCell ref="A307:B307"/>
    <mergeCell ref="A311:D311"/>
    <mergeCell ref="C316:D316"/>
    <mergeCell ref="E316:F316"/>
    <mergeCell ref="C317:D317"/>
    <mergeCell ref="B322:C322"/>
    <mergeCell ref="B323:C323"/>
    <mergeCell ref="A300:B300"/>
    <mergeCell ref="A302:B302"/>
    <mergeCell ref="A301:H301"/>
    <mergeCell ref="G302:G305"/>
    <mergeCell ref="H302:H305"/>
    <mergeCell ref="A303:B303"/>
    <mergeCell ref="A304:B304"/>
    <mergeCell ref="A305:B305"/>
    <mergeCell ref="G321:G323"/>
    <mergeCell ref="H321:H323"/>
  </mergeCells>
  <dataValidations count="5">
    <dataValidation type="list" allowBlank="1" showErrorMessage="1" sqref="E81" xr:uid="{00000000-0002-0000-0300-000000000000}">
      <formula1>$C$231:$C$234</formula1>
    </dataValidation>
    <dataValidation type="list" allowBlank="1" showErrorMessage="1" sqref="D144" xr:uid="{00000000-0002-0000-0300-000001000000}">
      <formula1>$A$142:$A$143</formula1>
    </dataValidation>
    <dataValidation type="list" allowBlank="1" showErrorMessage="1" sqref="D78:D79" xr:uid="{00000000-0002-0000-0300-000002000000}">
      <formula1>$E$76:$G$76</formula1>
    </dataValidation>
    <dataValidation type="list" allowBlank="1" showErrorMessage="1" sqref="D69" xr:uid="{00000000-0002-0000-0300-000003000000}">
      <formula1>$D$65:$D$67</formula1>
    </dataValidation>
    <dataValidation type="list" allowBlank="1" showErrorMessage="1" sqref="E110" xr:uid="{00000000-0002-0000-0300-000004000000}">
      <formula1>$A$108:$A$109</formula1>
    </dataValidation>
  </dataValidations>
  <pageMargins left="0.7" right="0.7" top="0.75" bottom="0.75" header="0" footer="0"/>
  <pageSetup orientation="landscape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CIMIENTOS CORRIDOS</vt:lpstr>
      <vt:lpstr>MUROS DE LADRILLOS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</dc:creator>
  <cp:lastModifiedBy>EDWIN BERNILLA</cp:lastModifiedBy>
  <dcterms:created xsi:type="dcterms:W3CDTF">2021-10-12T18:08:28Z</dcterms:created>
  <dcterms:modified xsi:type="dcterms:W3CDTF">2025-09-28T23:57:41Z</dcterms:modified>
</cp:coreProperties>
</file>