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 codeName="ThisWorkbook" defaultThemeVersion="166925"/>
  <xr:revisionPtr revIDLastSave="0" documentId="13_ncr:1_{8D40CA63-9293-48D9-A2A1-D041AC3800B6}" xr6:coauthVersionLast="47" xr6:coauthVersionMax="47" xr10:uidLastSave="{00000000-0000-0000-0000-000000000000}"/>
  <bookViews>
    <workbookView xWindow="-120" yWindow="-120" windowWidth="24240" windowHeight="13140" tabRatio="824" xr2:uid="{00000000-000D-0000-FFFF-FFFF00000000}"/>
  </bookViews>
  <sheets>
    <sheet name="Ejercicio 1" sheetId="24" r:id="rId1"/>
    <sheet name="Ejercicio 2" sheetId="31" r:id="rId2"/>
    <sheet name="Ejercicio 3" sheetId="32" r:id="rId3"/>
    <sheet name="Ejercicio 4" sheetId="33" r:id="rId4"/>
    <sheet name="Ejercicio 5" sheetId="34" r:id="rId5"/>
    <sheet name="Ejercicio 6" sheetId="37" r:id="rId6"/>
    <sheet name="Ejercicio 7" sheetId="38" r:id="rId7"/>
    <sheet name="Ejercicio 8" sheetId="39" r:id="rId8"/>
    <sheet name="Ejercicio 9" sheetId="40" r:id="rId9"/>
    <sheet name="Ejercicio 10" sheetId="43" r:id="rId10"/>
    <sheet name="Ejercicio 11" sheetId="44" r:id="rId11"/>
    <sheet name="Ejercicio 12" sheetId="45" r:id="rId12"/>
  </sheets>
  <definedNames>
    <definedName name="_xlnm._FilterDatabase" localSheetId="0" hidden="1">'Ejercicio 1'!#REF!</definedName>
    <definedName name="_xlnm._FilterDatabase" localSheetId="9" hidden="1">'Ejercicio 10'!#REF!</definedName>
    <definedName name="_xlnm._FilterDatabase" localSheetId="10" hidden="1">'Ejercicio 11'!#REF!</definedName>
    <definedName name="_xlnm._FilterDatabase" localSheetId="11" hidden="1">'Ejercicio 12'!#REF!</definedName>
    <definedName name="_xlnm._FilterDatabase" localSheetId="1" hidden="1">'Ejercicio 2'!#REF!</definedName>
    <definedName name="_xlnm._FilterDatabase" localSheetId="2" hidden="1">'Ejercicio 3'!#REF!</definedName>
    <definedName name="_xlnm._FilterDatabase" localSheetId="3" hidden="1">'Ejercicio 4'!#REF!</definedName>
    <definedName name="_xlnm._FilterDatabase" localSheetId="4" hidden="1">'Ejercicio 5'!#REF!</definedName>
    <definedName name="_xlnm._FilterDatabase" localSheetId="5" hidden="1">'Ejercicio 6'!#REF!</definedName>
    <definedName name="_xlnm._FilterDatabase" localSheetId="6" hidden="1">'Ejercicio 7'!#REF!</definedName>
    <definedName name="_xlnm._FilterDatabase" localSheetId="7" hidden="1">'Ejercicio 8'!#REF!</definedName>
    <definedName name="_xlnm._FilterDatabase" localSheetId="8" hidden="1">'Ejercicio 9'!#REF!</definedName>
    <definedName name="Envío">1.25</definedName>
    <definedName name="grp_WalkMeArrows">"shp_ArrowCurved,txt_FlechasDeLaGuía,shp_ArrowStraight"</definedName>
    <definedName name="grp_WalkMeBrace">"shp_BraceBottom,txt_WalkMeBrace,shp_LlaveDeApertura"</definedName>
    <definedName name="Impuesto_sobre_las_ventas">0.0825</definedName>
    <definedName name="Jacinta">#REF!</definedName>
    <definedName name="Limones" localSheetId="0">#REF!</definedName>
    <definedName name="Limones" localSheetId="9">#REF!</definedName>
    <definedName name="Limones" localSheetId="10">#REF!</definedName>
    <definedName name="Limones" localSheetId="11">#REF!</definedName>
    <definedName name="Limones" localSheetId="1">#REF!</definedName>
    <definedName name="Limones" localSheetId="2">#REF!</definedName>
    <definedName name="Limones" localSheetId="3">#REF!</definedName>
    <definedName name="Limones" localSheetId="4">#REF!</definedName>
    <definedName name="Limones" localSheetId="5">#REF!</definedName>
    <definedName name="Limones" localSheetId="6">#REF!</definedName>
    <definedName name="Limones" localSheetId="7">#REF!</definedName>
    <definedName name="Limones" localSheetId="8">#REF!</definedName>
    <definedName name="Limones">#REF!</definedName>
    <definedName name="lst_Fruit" localSheetId="0">#REF!</definedName>
    <definedName name="lst_Fruit" localSheetId="9">#REF!</definedName>
    <definedName name="lst_Fruit" localSheetId="10">#REF!</definedName>
    <definedName name="lst_Fruit" localSheetId="11">#REF!</definedName>
    <definedName name="lst_Fruit" localSheetId="1">#REF!</definedName>
    <definedName name="lst_Fruit" localSheetId="2">#REF!</definedName>
    <definedName name="lst_Fruit" localSheetId="3">#REF!</definedName>
    <definedName name="lst_Fruit" localSheetId="4">#REF!</definedName>
    <definedName name="lst_Fruit" localSheetId="5">#REF!</definedName>
    <definedName name="lst_Fruit" localSheetId="6">#REF!</definedName>
    <definedName name="lst_Fruit" localSheetId="7">#REF!</definedName>
    <definedName name="lst_Fruit" localSheetId="8">#REF!</definedName>
    <definedName name="lst_Fruit">#REF!</definedName>
    <definedName name="lst_FruitType" localSheetId="0">#REF!</definedName>
    <definedName name="lst_FruitType" localSheetId="9">#REF!</definedName>
    <definedName name="lst_FruitType" localSheetId="10">#REF!</definedName>
    <definedName name="lst_FruitType" localSheetId="11">#REF!</definedName>
    <definedName name="lst_FruitType" localSheetId="1">#REF!</definedName>
    <definedName name="lst_FruitType" localSheetId="2">#REF!</definedName>
    <definedName name="lst_FruitType" localSheetId="3">#REF!</definedName>
    <definedName name="lst_FruitType" localSheetId="4">#REF!</definedName>
    <definedName name="lst_FruitType" localSheetId="5">#REF!</definedName>
    <definedName name="lst_FruitType" localSheetId="6">#REF!</definedName>
    <definedName name="lst_FruitType" localSheetId="7">#REF!</definedName>
    <definedName name="lst_FruitType" localSheetId="8">#REF!</definedName>
    <definedName name="lst_FruitType">#REF!</definedName>
    <definedName name="Manzanas" localSheetId="0">#REF!</definedName>
    <definedName name="Manzanas" localSheetId="9">#REF!</definedName>
    <definedName name="Manzanas" localSheetId="10">#REF!</definedName>
    <definedName name="Manzanas" localSheetId="11">#REF!</definedName>
    <definedName name="Manzanas" localSheetId="1">#REF!</definedName>
    <definedName name="Manzanas" localSheetId="2">#REF!</definedName>
    <definedName name="Manzanas" localSheetId="3">#REF!</definedName>
    <definedName name="Manzanas" localSheetId="4">#REF!</definedName>
    <definedName name="Manzanas" localSheetId="5">#REF!</definedName>
    <definedName name="Manzanas" localSheetId="6">#REF!</definedName>
    <definedName name="Manzanas" localSheetId="7">#REF!</definedName>
    <definedName name="Manzanas" localSheetId="8">#REF!</definedName>
    <definedName name="Manzanas">#REF!</definedName>
    <definedName name="Naranjas" localSheetId="0">#REF!</definedName>
    <definedName name="Naranjas" localSheetId="9">#REF!</definedName>
    <definedName name="Naranjas" localSheetId="10">#REF!</definedName>
    <definedName name="Naranjas" localSheetId="11">#REF!</definedName>
    <definedName name="Naranjas" localSheetId="1">#REF!</definedName>
    <definedName name="Naranjas" localSheetId="2">#REF!</definedName>
    <definedName name="Naranjas" localSheetId="3">#REF!</definedName>
    <definedName name="Naranjas" localSheetId="4">#REF!</definedName>
    <definedName name="Naranjas" localSheetId="5">#REF!</definedName>
    <definedName name="Naranjas" localSheetId="6">#REF!</definedName>
    <definedName name="Naranjas" localSheetId="7">#REF!</definedName>
    <definedName name="Naranjas" localSheetId="8">#REF!</definedName>
    <definedName name="Naranjas">#REF!</definedName>
    <definedName name="Plátanos" localSheetId="0">#REF!</definedName>
    <definedName name="Plátanos" localSheetId="9">#REF!</definedName>
    <definedName name="Plátanos" localSheetId="10">#REF!</definedName>
    <definedName name="Plátanos" localSheetId="11">#REF!</definedName>
    <definedName name="Plátanos" localSheetId="1">#REF!</definedName>
    <definedName name="Plátanos" localSheetId="2">#REF!</definedName>
    <definedName name="Plátanos" localSheetId="3">#REF!</definedName>
    <definedName name="Plátanos" localSheetId="4">#REF!</definedName>
    <definedName name="Plátanos" localSheetId="5">#REF!</definedName>
    <definedName name="Plátanos" localSheetId="6">#REF!</definedName>
    <definedName name="Plátanos" localSheetId="7">#REF!</definedName>
    <definedName name="Plátanos" localSheetId="8">#REF!</definedName>
    <definedName name="Plátanos">#REF!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27" i="44" l="1"/>
  <c r="L26" i="44"/>
  <c r="L25" i="44"/>
  <c r="L24" i="44"/>
  <c r="L23" i="44"/>
  <c r="L22" i="44"/>
  <c r="L21" i="44"/>
  <c r="L20" i="44"/>
  <c r="L19" i="44"/>
  <c r="L18" i="44"/>
  <c r="L41" i="31" l="1"/>
  <c r="L40" i="31"/>
  <c r="L39" i="31"/>
  <c r="L38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J37" authorId="0" shapeId="0" xr:uid="{E1E3B309-968F-406C-A7EF-3FCAFC47493B}">
      <text>
        <r>
          <rPr>
            <sz val="9"/>
            <color indexed="81"/>
            <rFont val="Tahoma"/>
            <family val="2"/>
          </rPr>
          <t>Aplique formato general</t>
        </r>
      </text>
    </comment>
    <comment ref="K37" authorId="0" shapeId="0" xr:uid="{D177688A-97FB-413D-B40C-398024CB88FD}">
      <text>
        <r>
          <rPr>
            <sz val="9"/>
            <color indexed="81"/>
            <rFont val="Tahoma"/>
            <family val="2"/>
          </rPr>
          <t>Aplique formato de Fecha Corta</t>
        </r>
      </text>
    </comment>
    <comment ref="L37" authorId="0" shapeId="0" xr:uid="{E64C69F1-EF1C-4B9C-B48B-F18A6B24C369}">
      <text>
        <r>
          <rPr>
            <sz val="9"/>
            <color indexed="81"/>
            <rFont val="Tahoma"/>
            <family val="2"/>
          </rPr>
          <t>Aplique formato de fecha Larga</t>
        </r>
      </text>
    </comment>
  </commentList>
</comments>
</file>

<file path=xl/sharedStrings.xml><?xml version="1.0" encoding="utf-8"?>
<sst xmlns="http://schemas.openxmlformats.org/spreadsheetml/2006/main" count="4241" uniqueCount="265">
  <si>
    <t>Preguntas:</t>
  </si>
  <si>
    <r>
      <rPr>
        <b/>
        <sz val="22"/>
        <color theme="1"/>
        <rFont val="Segoe UI Black"/>
        <family val="2"/>
      </rPr>
      <t>Ejercicio 1:</t>
    </r>
    <r>
      <rPr>
        <sz val="22"/>
        <color theme="1"/>
        <rFont val="Segoe UI Light"/>
        <family val="2"/>
      </rPr>
      <t xml:space="preserve"> "Manipulando celdas"</t>
    </r>
  </si>
  <si>
    <t>a) Generar una secuencia de número del 1 al 20 a partir de la celda H15</t>
  </si>
  <si>
    <t>b) Generar una secuencia de meses del año desde Enero a partir de la celda I15</t>
  </si>
  <si>
    <t>c) Generar una secuencia de días de la semana desde Lunes a partir de la celda J15</t>
  </si>
  <si>
    <t>d) Generar una secuencia de fechas desde el 01/09/2021 a partir de la celda K15</t>
  </si>
  <si>
    <t>Créditos otorgados:</t>
  </si>
  <si>
    <r>
      <t xml:space="preserve">Moneda Nacional </t>
    </r>
    <r>
      <rPr>
        <b/>
        <sz val="14"/>
        <color rgb="FFFFC000"/>
        <rFont val="Calibri"/>
        <family val="2"/>
      </rPr>
      <t>S/.</t>
    </r>
  </si>
  <si>
    <r>
      <t xml:space="preserve">Moneda Extranjera </t>
    </r>
    <r>
      <rPr>
        <b/>
        <sz val="16"/>
        <color rgb="FF4F81BD"/>
        <rFont val="Calibri"/>
        <family val="2"/>
      </rPr>
      <t>€</t>
    </r>
  </si>
  <si>
    <r>
      <t xml:space="preserve">Moneda Extranjera </t>
    </r>
    <r>
      <rPr>
        <b/>
        <sz val="16"/>
        <color rgb="FF00B050"/>
        <rFont val="Calibri"/>
        <family val="2"/>
      </rPr>
      <t>$</t>
    </r>
  </si>
  <si>
    <t>Código</t>
  </si>
  <si>
    <t>Capital</t>
  </si>
  <si>
    <t>100-001-A1</t>
  </si>
  <si>
    <t>100-001-B1</t>
  </si>
  <si>
    <t>100-001-C1</t>
  </si>
  <si>
    <t>100-001-A2</t>
  </si>
  <si>
    <t>100-001-B2</t>
  </si>
  <si>
    <t>100-001-C2</t>
  </si>
  <si>
    <t>100-001-A3</t>
  </si>
  <si>
    <t>100-001-B3</t>
  </si>
  <si>
    <t>100-001-C3</t>
  </si>
  <si>
    <t>100-001-A4</t>
  </si>
  <si>
    <t>100-001-B4</t>
  </si>
  <si>
    <t>100-001-C4</t>
  </si>
  <si>
    <t>100-001-A5</t>
  </si>
  <si>
    <t>100-001-B5</t>
  </si>
  <si>
    <t>100-001-C5</t>
  </si>
  <si>
    <t>100-001-A6</t>
  </si>
  <si>
    <t>100-001-B6</t>
  </si>
  <si>
    <t>100-001-C6</t>
  </si>
  <si>
    <t>100-001-A7</t>
  </si>
  <si>
    <t>100-001-B7</t>
  </si>
  <si>
    <t>100-001-C7</t>
  </si>
  <si>
    <t>100-001-A8</t>
  </si>
  <si>
    <t>100-001-B8</t>
  </si>
  <si>
    <t>100-001-C8</t>
  </si>
  <si>
    <t>100-001-A9</t>
  </si>
  <si>
    <t>100-001-B9</t>
  </si>
  <si>
    <t>100-001-C9</t>
  </si>
  <si>
    <t>Letra de
Cambio</t>
  </si>
  <si>
    <t>Fecha de Desembolso</t>
  </si>
  <si>
    <t>Fecha de Vencimiento</t>
  </si>
  <si>
    <t>TASA DE INTERES PROMEDIO (Activas Anuales por tipo de crédito, las tasas se muestran en porcentaje con 2 decimales)</t>
  </si>
  <si>
    <t>Tipo de Crédito</t>
  </si>
  <si>
    <t>TASAS</t>
  </si>
  <si>
    <t>Moneda
Nacional</t>
  </si>
  <si>
    <t>Moneda
Extranjera</t>
  </si>
  <si>
    <t>Pequeñas Empresas</t>
  </si>
  <si>
    <t>Microempresas</t>
  </si>
  <si>
    <t>Consumo</t>
  </si>
  <si>
    <t>Hipotecario</t>
  </si>
  <si>
    <t>Ingresa la EDAD de tu compañer@</t>
  </si>
  <si>
    <t>Ingresa la Fecha de Nacimiento de tu compañer@</t>
  </si>
  <si>
    <t>Ingresa el número del celular de tu compañer@</t>
  </si>
  <si>
    <r>
      <rPr>
        <b/>
        <sz val="22"/>
        <color theme="1"/>
        <rFont val="Segoe UI Black"/>
        <family val="2"/>
      </rPr>
      <t>Ejercicio 2:</t>
    </r>
    <r>
      <rPr>
        <sz val="22"/>
        <color theme="1"/>
        <rFont val="Segoe UI Light"/>
        <family val="2"/>
      </rPr>
      <t xml:space="preserve"> "Formato de Número"</t>
    </r>
  </si>
  <si>
    <t>a) Corregir los formatos según sea los casos</t>
  </si>
  <si>
    <t>a) Aplicar el formato de alineación para ajustar el texto de la tabla en varias líneas</t>
  </si>
  <si>
    <r>
      <rPr>
        <b/>
        <sz val="22"/>
        <color theme="1"/>
        <rFont val="Segoe UI Black"/>
        <family val="2"/>
      </rPr>
      <t>Ejercicio 3:</t>
    </r>
    <r>
      <rPr>
        <sz val="22"/>
        <color theme="1"/>
        <rFont val="Segoe UI Light"/>
        <family val="2"/>
      </rPr>
      <t xml:space="preserve"> "Formato de Alineación"</t>
    </r>
  </si>
  <si>
    <t>a.</t>
  </si>
  <si>
    <t>Cliente</t>
  </si>
  <si>
    <t>Observaciones</t>
  </si>
  <si>
    <t>Sagafalabella</t>
  </si>
  <si>
    <t>En 1995, la empresa Falabella compró SAGA. El nombre legal se convirtió en Saga Falabella en 1996; los nuevos propietarios chilenos decidieron mantener el nombre Saga para establecerse mejor en el mercado peruano. Ese mismo año es introducida la tarjeta de crédito CMR.</t>
  </si>
  <si>
    <t>Tortus</t>
  </si>
  <si>
    <t>Tottus te da más por menos. Soluciona tu vida en el mejor supermercado online, donde encontrarás nuestros productos más frescos y de mejor calidad. Compra por internet pagando online o contra entrega y te llevamos los productos a tu casa.</t>
  </si>
  <si>
    <t>Macros Trujillo</t>
  </si>
  <si>
    <t>Único hipermayorista que, en la Argentina, abastece integralmente insumos de alimentos y no alimentos al cliente profesional. Ofreciendo servicios y ofertas que simplifiquen y optimicen la experiencia de compra de sus clientes profesionales en las sucursales.</t>
  </si>
  <si>
    <t>b.</t>
  </si>
  <si>
    <t>b) Aplicar el formato de alineación para combinar las celdas de I18 a Y18 con ajuste de texto</t>
  </si>
  <si>
    <t>c) Aplicar el formato de alineación para separar las celdas combinadas</t>
  </si>
  <si>
    <t>c.</t>
  </si>
  <si>
    <t xml:space="preserve">Tottus te da más por menos. Soluciona tu vida en el mejor supermercado online, donde encontrarás nuestros productos más frescos y de mejor calidad. </t>
  </si>
  <si>
    <r>
      <rPr>
        <b/>
        <sz val="22"/>
        <color theme="1"/>
        <rFont val="Segoe UI Black"/>
        <family val="2"/>
      </rPr>
      <t>Ejercicio 4:</t>
    </r>
    <r>
      <rPr>
        <sz val="22"/>
        <color theme="1"/>
        <rFont val="Segoe UI Light"/>
        <family val="2"/>
      </rPr>
      <t xml:space="preserve"> "Formato de Fuente"</t>
    </r>
  </si>
  <si>
    <t>a) A los datos de la Columna Referencia aplicarle un Tipo de Fuente Arial, Tamaño 18, Subrayado simple, Estilo Cursiva, color de fuente rojo</t>
  </si>
  <si>
    <t>b) A los datos de la Columna Tipo aplicarle un Tipo de Fuente Cambria, Tamaño 14, Subrayado doble, Estilo Negrita, Color de Fuente  RGB (Rojo: 90, Verde: 120, Azul: 80)</t>
  </si>
  <si>
    <t>c) A los datos de la Columna Precio Venta aplicarle un Tipo de Fuente Times New Roman, Tamaño 16, sin subrayado, Estilo Negrita Cursiva, Color de Fuente Azul</t>
  </si>
  <si>
    <t>Referencia</t>
  </si>
  <si>
    <t>Fecha Alta</t>
  </si>
  <si>
    <t>Tipo</t>
  </si>
  <si>
    <t>Operación</t>
  </si>
  <si>
    <t>Provincia</t>
  </si>
  <si>
    <t>Superficie</t>
  </si>
  <si>
    <t>Precio Venta</t>
  </si>
  <si>
    <t>Parking</t>
  </si>
  <si>
    <t>Alquiler</t>
  </si>
  <si>
    <t>Lleida</t>
  </si>
  <si>
    <t>Local</t>
  </si>
  <si>
    <t>Venta</t>
  </si>
  <si>
    <t>Girona</t>
  </si>
  <si>
    <t>Oficina</t>
  </si>
  <si>
    <t>Suelo</t>
  </si>
  <si>
    <t>Tarragona</t>
  </si>
  <si>
    <t>Industrial</t>
  </si>
  <si>
    <t>Piso</t>
  </si>
  <si>
    <t>Barcelona</t>
  </si>
  <si>
    <t>Casa</t>
  </si>
  <si>
    <r>
      <rPr>
        <b/>
        <sz val="22"/>
        <color theme="1"/>
        <rFont val="Segoe UI Black"/>
        <family val="2"/>
      </rPr>
      <t>Ejercicio 5:</t>
    </r>
    <r>
      <rPr>
        <sz val="22"/>
        <color theme="1"/>
        <rFont val="Segoe UI Light"/>
        <family val="2"/>
      </rPr>
      <t xml:space="preserve"> "Formato de Relleno y Borde"</t>
    </r>
  </si>
  <si>
    <t xml:space="preserve">a) Aplicar un relleno de Color Dorado desde el campo Referencia al Campo Provincia, Color de Borde Rojo, todos los bordes </t>
  </si>
  <si>
    <t xml:space="preserve">b) Aplicar un relleno de Color Verde Claro desde el campo Superficie al Campo Precio Venta, Color de Borde Azul, Estilo de Borde Doble Línea, aplicado a todos los bordes </t>
  </si>
  <si>
    <t>SALDO
ANTERIOR</t>
  </si>
  <si>
    <t>DEPOSITO</t>
  </si>
  <si>
    <t>SALDO
ACTUAL</t>
  </si>
  <si>
    <t>PRODUCTO</t>
  </si>
  <si>
    <t>PRECIO
UNITARIO</t>
  </si>
  <si>
    <t>CANTIDAD</t>
  </si>
  <si>
    <t>TOTAL</t>
  </si>
  <si>
    <t>Cuadernos</t>
  </si>
  <si>
    <t>CANTIDAD EN
SOLES</t>
  </si>
  <si>
    <t>TIPO DE
CAMBIO</t>
  </si>
  <si>
    <t>CANTIDAD EN
DOLARES</t>
  </si>
  <si>
    <t>DSCTO</t>
  </si>
  <si>
    <t>TOTAL A
PAGAR</t>
  </si>
  <si>
    <t>PRECIO USB</t>
  </si>
  <si>
    <t>PAGO</t>
  </si>
  <si>
    <t>VUELTO</t>
  </si>
  <si>
    <t>CARTUCHO</t>
  </si>
  <si>
    <t>TE QUEDA</t>
  </si>
  <si>
    <t>a) ¿Cómo calcularía el SALDO ACTUAL?</t>
  </si>
  <si>
    <t>b) Para calcular el TOTAL ¿Qué fórmula escribirias?</t>
  </si>
  <si>
    <t>c) Se desea cambiar 100 Soles a Dolares, ¿Cómo sería la fórmula que usarias?</t>
  </si>
  <si>
    <t>d) Se desea cambiar 300 Dolares a Soles, entonces ¿Qué fórmula usarias?</t>
  </si>
  <si>
    <t>e) Los clientes del BCP tienen un dscto. del 5% del Total de las compras que hagan en tiendas Metro</t>
  </si>
  <si>
    <t>f) Si ya calculó el DSCTO en el ejercicio anterior, ¿Cómo calcularías el TOTAL A PAGAR?</t>
  </si>
  <si>
    <t>g) Si compras una USB que cuesta S/. 45.50 y pago con un billete de S/. 100.00</t>
  </si>
  <si>
    <t>h)  Con el vuelto que te dieron en el ejercicio anterior compraste un pomo de tinta para tu impresora HP
     y te costó 35.50  ¿Cuánto te queda de tus S/. 100.00?</t>
  </si>
  <si>
    <t>d.</t>
  </si>
  <si>
    <t xml:space="preserve">e. </t>
  </si>
  <si>
    <t>f.</t>
  </si>
  <si>
    <t>g.</t>
  </si>
  <si>
    <t>h.</t>
  </si>
  <si>
    <r>
      <rPr>
        <b/>
        <sz val="22"/>
        <color theme="1"/>
        <rFont val="Segoe UI Black"/>
        <family val="2"/>
      </rPr>
      <t>Ejercicio 6:</t>
    </r>
    <r>
      <rPr>
        <sz val="22"/>
        <color theme="1"/>
        <rFont val="Segoe UI Light"/>
        <family val="2"/>
      </rPr>
      <t xml:space="preserve"> "Operaciones matemáticas"</t>
    </r>
  </si>
  <si>
    <t>a) Resultado1 es el 37% del resultado de sumar VAL1 más VAL2</t>
  </si>
  <si>
    <r>
      <rPr>
        <b/>
        <sz val="22"/>
        <color theme="1"/>
        <rFont val="Segoe UI Black"/>
        <family val="2"/>
      </rPr>
      <t>Ejercicio 7:</t>
    </r>
    <r>
      <rPr>
        <sz val="22"/>
        <color theme="1"/>
        <rFont val="Segoe UI Light"/>
        <family val="2"/>
      </rPr>
      <t xml:space="preserve"> "Operaciones matemáticas"</t>
    </r>
  </si>
  <si>
    <t>VAL1</t>
  </si>
  <si>
    <t>VAL2</t>
  </si>
  <si>
    <t>Resultado1</t>
  </si>
  <si>
    <t>Resultado2</t>
  </si>
  <si>
    <t>Resultado3</t>
  </si>
  <si>
    <t>Resultado4</t>
  </si>
  <si>
    <t>Resultado5</t>
  </si>
  <si>
    <t>b) Resultado2 es la mitad del Resultado1</t>
  </si>
  <si>
    <t>c) Resultado3 es la tercera parte del resultado de restar Resultado1 menos Resultado2</t>
  </si>
  <si>
    <t>d) Resultado4 es la mitad del resultado de la suma de Resultado2 más Resultado3</t>
  </si>
  <si>
    <t>e) Resultado5 es el 16% del resultado de restarle al Resultado1 el resultado de la suma del Resultado2 más el Resultado3</t>
  </si>
  <si>
    <t xml:space="preserve">Operador </t>
  </si>
  <si>
    <t>Ejemplo</t>
  </si>
  <si>
    <t>Resultado</t>
  </si>
  <si>
    <t>=</t>
  </si>
  <si>
    <t>&gt;</t>
  </si>
  <si>
    <t>&lt;</t>
  </si>
  <si>
    <t>&gt;=</t>
  </si>
  <si>
    <t>&lt;=</t>
  </si>
  <si>
    <t>&lt;&gt;</t>
  </si>
  <si>
    <t>a) Utilizar los operadores de comparación</t>
  </si>
  <si>
    <r>
      <rPr>
        <b/>
        <sz val="22"/>
        <color theme="1"/>
        <rFont val="Segoe UI Black"/>
        <family val="2"/>
      </rPr>
      <t>Ejercicio 8:</t>
    </r>
    <r>
      <rPr>
        <sz val="22"/>
        <color theme="1"/>
        <rFont val="Segoe UI Light"/>
        <family val="2"/>
      </rPr>
      <t xml:space="preserve"> "Operaciones de comparación"</t>
    </r>
  </si>
  <si>
    <t>usuario</t>
  </si>
  <si>
    <t>Dominio</t>
  </si>
  <si>
    <t>hmendozaea</t>
  </si>
  <si>
    <t>nmoranterogger</t>
  </si>
  <si>
    <t>acornejocarito</t>
  </si>
  <si>
    <t>chcumparonald</t>
  </si>
  <si>
    <t>tmendozarenato</t>
  </si>
  <si>
    <t>tvasquezjuan</t>
  </si>
  <si>
    <t>a) Utilizar los operadores de unión</t>
  </si>
  <si>
    <r>
      <rPr>
        <b/>
        <sz val="22"/>
        <color theme="1"/>
        <rFont val="Segoe UI Black"/>
        <family val="2"/>
      </rPr>
      <t>Ejercicio 9:</t>
    </r>
    <r>
      <rPr>
        <sz val="22"/>
        <color theme="1"/>
        <rFont val="Segoe UI Light"/>
        <family val="2"/>
      </rPr>
      <t xml:space="preserve"> "Operaciones de comparación"</t>
    </r>
  </si>
  <si>
    <r>
      <rPr>
        <b/>
        <sz val="22"/>
        <color theme="1"/>
        <rFont val="Segoe UI Black"/>
        <family val="2"/>
      </rPr>
      <t>Ejercicio 10:</t>
    </r>
    <r>
      <rPr>
        <sz val="22"/>
        <color theme="1"/>
        <rFont val="Segoe UI Light"/>
        <family val="2"/>
      </rPr>
      <t xml:space="preserve"> "Referencias Relativas"</t>
    </r>
  </si>
  <si>
    <t>Código de
Producto</t>
  </si>
  <si>
    <t>Unidades a
Producir</t>
  </si>
  <si>
    <t>Capital
Inicial</t>
  </si>
  <si>
    <t>Mano de
Obra</t>
  </si>
  <si>
    <t>Materia
Prima</t>
  </si>
  <si>
    <t>Otros
Gastos</t>
  </si>
  <si>
    <t>Total
Gastos</t>
  </si>
  <si>
    <t>Precio
Unitario</t>
  </si>
  <si>
    <t>Precio de
Venta</t>
  </si>
  <si>
    <t>Capital
Restante</t>
  </si>
  <si>
    <t>Ganancia de
Venta</t>
  </si>
  <si>
    <t>CMMR-1000-1</t>
  </si>
  <si>
    <t>CMMR-1000-2</t>
  </si>
  <si>
    <t>CMMR-1000-3</t>
  </si>
  <si>
    <t>CMMR-1000-4</t>
  </si>
  <si>
    <t>CMMR-1000-5</t>
  </si>
  <si>
    <t>CMMR-1000-6</t>
  </si>
  <si>
    <t>CMMR-1000-7</t>
  </si>
  <si>
    <t>a) Mano de Obra: 20% del Capital Inicial</t>
  </si>
  <si>
    <t>b) Materia Prima: 35% del resultado de restar Capital Inicial menos Mano de Obra</t>
  </si>
  <si>
    <t>c) Otros Gastos: 17% del resultado de restarle al Capital Inicial el resultado de la suma de Mano de Obra más Materia Prima</t>
  </si>
  <si>
    <t>d) Total Gastos: Mano de Obra + Materia Prima + Otros Gastos</t>
  </si>
  <si>
    <t xml:space="preserve">e) Precio Unitario: Total de Gastos entre Unidades a Producir </t>
  </si>
  <si>
    <t>f) Precio de Venta: Precio Unitario aumentado en 40%</t>
  </si>
  <si>
    <t>g) Capital restante: Capital Inicial - Total de Gastos</t>
  </si>
  <si>
    <t>h) Ganancia de Venta: Precio de Venta por Unidades a Producir menos Total de Gastos</t>
  </si>
  <si>
    <t>Deuda</t>
  </si>
  <si>
    <t>Fecha de
Vencimiento</t>
  </si>
  <si>
    <t>Fecha de
Pago</t>
  </si>
  <si>
    <t>Días de
Mora</t>
  </si>
  <si>
    <t>Interés por
Mora</t>
  </si>
  <si>
    <t>Comisión por
Mora</t>
  </si>
  <si>
    <t>Total a
Pagar</t>
  </si>
  <si>
    <t>Próximo
Pago</t>
  </si>
  <si>
    <t>Tasa Moratoria
Diaria</t>
  </si>
  <si>
    <t>Comisión</t>
  </si>
  <si>
    <t>Carin Morales</t>
  </si>
  <si>
    <t>Luis Gallardo</t>
  </si>
  <si>
    <t>Amelia Rios</t>
  </si>
  <si>
    <t>Frecuencia de Pago</t>
  </si>
  <si>
    <t>días</t>
  </si>
  <si>
    <t>Francisco Paz</t>
  </si>
  <si>
    <t>Arturo Robles</t>
  </si>
  <si>
    <t>Carmen Garcia</t>
  </si>
  <si>
    <t>Pedro Rivera</t>
  </si>
  <si>
    <t>Mariela Llanos</t>
  </si>
  <si>
    <t>Gloria Torres</t>
  </si>
  <si>
    <t>Gabriela Castillo</t>
  </si>
  <si>
    <t>a) Días de Mora: Fecha de Pago - Fecha de Vencimiento</t>
  </si>
  <si>
    <t>b) Interés por Mora: ((1+Tasa Moratoria Diaria)^Días de Mora-1)xDeuda</t>
  </si>
  <si>
    <t>c) Comisión por Mora: El valor de la Comisión como constante</t>
  </si>
  <si>
    <t>d) Total a pagar: Deuda+Interés por Mora+Comisión por Mora</t>
  </si>
  <si>
    <t>e) Próximo pago: Fecha de Vencimiento + Frecuencia de Pago</t>
  </si>
  <si>
    <r>
      <rPr>
        <b/>
        <sz val="22"/>
        <color theme="1"/>
        <rFont val="Segoe UI Black"/>
        <family val="2"/>
      </rPr>
      <t>Ejercicio 11:</t>
    </r>
    <r>
      <rPr>
        <sz val="22"/>
        <color theme="1"/>
        <rFont val="Segoe UI Light"/>
        <family val="2"/>
      </rPr>
      <t xml:space="preserve"> "Referencias Absolutas"</t>
    </r>
  </si>
  <si>
    <r>
      <rPr>
        <b/>
        <sz val="22"/>
        <color theme="1"/>
        <rFont val="Segoe UI Black"/>
        <family val="2"/>
      </rPr>
      <t>Ejercicio 12:</t>
    </r>
    <r>
      <rPr>
        <sz val="22"/>
        <color theme="1"/>
        <rFont val="Segoe UI Light"/>
        <family val="2"/>
      </rPr>
      <t xml:space="preserve"> "Referencias Mixtas"</t>
    </r>
  </si>
  <si>
    <t>VENTAS DE ARTÍCULO POR DEPARTAMENTOS</t>
  </si>
  <si>
    <t>Artículo</t>
  </si>
  <si>
    <t>Departamento</t>
  </si>
  <si>
    <t>Ventas</t>
  </si>
  <si>
    <t>Costo Transporte</t>
  </si>
  <si>
    <t>Recargos</t>
  </si>
  <si>
    <t>Lima</t>
  </si>
  <si>
    <t>Provincias</t>
  </si>
  <si>
    <t>A-100</t>
  </si>
  <si>
    <t>Algodón</t>
  </si>
  <si>
    <t>Finna S.R.L.</t>
  </si>
  <si>
    <t>Tacna</t>
  </si>
  <si>
    <t>A-101</t>
  </si>
  <si>
    <t>Casimires S.A.</t>
  </si>
  <si>
    <t>Chiclayo</t>
  </si>
  <si>
    <t>B-102</t>
  </si>
  <si>
    <t>Lana</t>
  </si>
  <si>
    <t>Cajamarca</t>
  </si>
  <si>
    <t>A-103</t>
  </si>
  <si>
    <t>Corporación Textil</t>
  </si>
  <si>
    <t>A-104</t>
  </si>
  <si>
    <t>B-105</t>
  </si>
  <si>
    <t>A-106</t>
  </si>
  <si>
    <t>B-107</t>
  </si>
  <si>
    <t>A-108</t>
  </si>
  <si>
    <t>B-109</t>
  </si>
  <si>
    <t>A-110</t>
  </si>
  <si>
    <t>A-111</t>
  </si>
  <si>
    <t>A-112</t>
  </si>
  <si>
    <t>A-113</t>
  </si>
  <si>
    <t>B-114</t>
  </si>
  <si>
    <t>A-115</t>
  </si>
  <si>
    <t>A-116</t>
  </si>
  <si>
    <t>A-117</t>
  </si>
  <si>
    <t>B-118</t>
  </si>
  <si>
    <t>A-119</t>
  </si>
  <si>
    <t>A-120</t>
  </si>
  <si>
    <t>B-121</t>
  </si>
  <si>
    <t>A-122</t>
  </si>
  <si>
    <t>B-123</t>
  </si>
  <si>
    <t>A-124</t>
  </si>
  <si>
    <t>B-125</t>
  </si>
  <si>
    <t>a) Utilizar las referencias Mixtas para hallar el resultado</t>
  </si>
  <si>
    <t>@ciplambayeque.pe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</si>
</sst>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&quot;S/&quot;* #,##0.00_-;\-&quot;S/&quot;* #,##0.00_-;_-&quot;S/&quot;* &quot;-&quot;??_-;_-@_-"/>
    <numFmt numFmtId="165" formatCode="_-* #,##0\ &quot;€&quot;_-;\-* #,##0\ &quot;€&quot;_-;_-* &quot;-&quot;\ &quot;€&quot;_-;_-@_-"/>
    <numFmt numFmtId="166" formatCode="_-* #,##0.00\ &quot;€&quot;_-;\-* #,##0.00\ &quot;€&quot;_-;_-* &quot;-&quot;??\ &quot;€&quot;_-;_-@_-"/>
    <numFmt numFmtId="167" formatCode="_(* #,##0_);_(* \(#,##0\);_(* &quot;-&quot;_);_(@_)"/>
    <numFmt numFmtId="168" formatCode="_(* #,##0.00_);_(* \(#,##0.00\);_(* &quot;-&quot;??_);_(@_)"/>
    <numFmt numFmtId="169" formatCode="[$-F400]h:mm:ss\ AM/PM"/>
    <numFmt numFmtId="170" formatCode="_ &quot;$&quot;* #,##0.00_ ;_ &quot;$&quot;* \-#,##0.00_ ;_ &quot;$&quot;* &quot;-&quot;??_ ;_ @_ "/>
    <numFmt numFmtId="171" formatCode="dd/mm/yy"/>
    <numFmt numFmtId="172" formatCode="_-[$€-2]\ * #,##0.00_-;\-[$€-2]\ * #,##0.00_-;_-[$€-2]\ * &quot;-&quot;??_-;_-@_-"/>
    <numFmt numFmtId="173" formatCode="_ &quot;S/.&quot;\ * #,##0.00_ ;_ &quot;S/.&quot;\ * \-#,##0.00_ ;_ &quot;S/.&quot;\ * &quot;-&quot;??_ ;_ @_ "/>
    <numFmt numFmtId="174" formatCode="_-[$$-240A]\ * #,##0.00_ ;_-[$$-240A]\ * \-#,##0.00\ ;_-[$$-240A]\ * &quot;-&quot;??_ ;_-@_ "/>
    <numFmt numFmtId="175" formatCode="_ [$S/.-280A]\ * #,##0.00_ ;_ [$S/.-280A]\ * \-#,##0.00_ ;_ [$S/.-280A]\ * &quot;-&quot;??_ ;_ @_ "/>
    <numFmt numFmtId="176" formatCode="&quot;$&quot;#,##0_);[Red]\(&quot;$&quot;#,##0\)"/>
    <numFmt numFmtId="177" formatCode="_-&quot;$&quot;* #,##0.00_-;\-&quot;$&quot;* #,##0.00_-;_-&quot;$&quot;* &quot;-&quot;??_-;_-@_-"/>
    <numFmt numFmtId="178" formatCode="_(&quot;$&quot;* #,##0.0_);_(&quot;$&quot;* \(#,##0.0\);_(&quot;$&quot;* &quot;-&quot;?_);_(@_)"/>
  </numFmts>
  <fonts count="57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B744D"/>
      <name val="Calibri"/>
      <family val="2"/>
      <scheme val="minor"/>
    </font>
    <font>
      <sz val="17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22"/>
      <color theme="1"/>
      <name val="Segoe UI Light"/>
      <family val="2"/>
    </font>
    <font>
      <b/>
      <sz val="22"/>
      <color theme="1"/>
      <name val="Segoe UI Black"/>
      <family val="2"/>
    </font>
    <font>
      <sz val="16"/>
      <color theme="1"/>
      <name val="Segoe UI Semibold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u/>
      <sz val="20"/>
      <color rgb="FF4F81BD"/>
      <name val="Calibri"/>
      <family val="2"/>
    </font>
    <font>
      <b/>
      <sz val="20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FFC000"/>
      <name val="Calibri"/>
      <family val="2"/>
    </font>
    <font>
      <sz val="11"/>
      <name val="Calibri"/>
      <family val="2"/>
    </font>
    <font>
      <b/>
      <sz val="16"/>
      <color rgb="FF4F81BD"/>
      <name val="Calibri"/>
      <family val="2"/>
    </font>
    <font>
      <b/>
      <sz val="16"/>
      <color rgb="FF00B050"/>
      <name val="Calibri"/>
      <family val="2"/>
    </font>
    <font>
      <b/>
      <sz val="14"/>
      <color rgb="FF000000"/>
      <name val="Calibri"/>
      <family val="2"/>
    </font>
    <font>
      <sz val="14"/>
      <color theme="1"/>
      <name val="Calibri"/>
      <family val="2"/>
      <scheme val="minor"/>
    </font>
    <font>
      <b/>
      <i/>
      <sz val="11"/>
      <color rgb="FF000000"/>
      <name val="Calibri"/>
      <family val="2"/>
    </font>
    <font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sz val="18"/>
      <color rgb="FF000000"/>
      <name val="Calibri"/>
      <family val="2"/>
    </font>
    <font>
      <b/>
      <sz val="18"/>
      <color rgb="FF000000"/>
      <name val="Calibri"/>
      <family val="2"/>
    </font>
    <font>
      <b/>
      <sz val="16"/>
      <name val="Calibri"/>
      <family val="2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sz val="11"/>
      <name val="Candara"/>
      <family val="2"/>
    </font>
    <font>
      <b/>
      <sz val="20"/>
      <color rgb="FFFA7D00"/>
      <name val="Calibri"/>
      <family val="2"/>
      <scheme val="minor"/>
    </font>
    <font>
      <sz val="10"/>
      <color theme="1"/>
      <name val="Arial"/>
      <family val="2"/>
    </font>
    <font>
      <sz val="10"/>
      <name val="MS Sans Serif"/>
      <family val="2"/>
    </font>
    <font>
      <sz val="10"/>
      <color indexed="8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rgb="FF217346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4" tint="0.79998168889431442"/>
        <bgColor rgb="FFDBE5F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rgb="FF548DD4"/>
      </patternFill>
    </fill>
    <fill>
      <patternFill patternType="solid">
        <fgColor theme="7"/>
        <bgColor rgb="FFDBE5F1"/>
      </patternFill>
    </fill>
    <fill>
      <patternFill patternType="solid">
        <fgColor theme="7" tint="0.79998168889431442"/>
        <bgColor rgb="FF92CDD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rgb="FFDBE5F1"/>
      </patternFill>
    </fill>
  </fills>
  <borders count="3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ck">
        <color rgb="FFF4B183"/>
      </left>
      <right style="thick">
        <color rgb="FFF4B183"/>
      </right>
      <top style="thick">
        <color rgb="FFF4B183"/>
      </top>
      <bottom style="thick">
        <color rgb="FFF4B18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FFFFFF"/>
      </right>
      <top/>
      <bottom style="thin">
        <color rgb="FFA5A5A5"/>
      </bottom>
      <diagonal/>
    </border>
    <border>
      <left style="medium">
        <color rgb="FFFFFFFF"/>
      </left>
      <right style="medium">
        <color rgb="FFFFFFFF"/>
      </right>
      <top/>
      <bottom style="thin">
        <color rgb="FFA5A5A5"/>
      </bottom>
      <diagonal/>
    </border>
    <border>
      <left style="medium">
        <color rgb="FFFFFFFF"/>
      </left>
      <right style="medium">
        <color rgb="FFA5A5A5"/>
      </right>
      <top/>
      <bottom style="thin">
        <color rgb="FFA5A5A5"/>
      </bottom>
      <diagonal/>
    </border>
    <border>
      <left/>
      <right style="medium">
        <color rgb="FFFFFFFF"/>
      </right>
      <top style="thin">
        <color rgb="FFA5A5A5"/>
      </top>
      <bottom style="thin">
        <color rgb="FFA5A5A5"/>
      </bottom>
      <diagonal/>
    </border>
    <border>
      <left style="medium">
        <color rgb="FFFFFFFF"/>
      </left>
      <right style="medium">
        <color rgb="FFFFFFFF"/>
      </right>
      <top style="thin">
        <color rgb="FFA5A5A5"/>
      </top>
      <bottom style="thin">
        <color rgb="FFA5A5A5"/>
      </bottom>
      <diagonal/>
    </border>
    <border>
      <left style="medium">
        <color rgb="FFFFFFFF"/>
      </left>
      <right style="medium">
        <color rgb="FFA5A5A5"/>
      </right>
      <top style="thin">
        <color rgb="FFA5A5A5"/>
      </top>
      <bottom style="thin">
        <color rgb="FFA5A5A5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2">
    <xf numFmtId="0" fontId="0" fillId="0" borderId="0"/>
    <xf numFmtId="0" fontId="5" fillId="0" borderId="0" applyFill="0" applyBorder="0">
      <alignment wrapText="1"/>
    </xf>
    <xf numFmtId="0" fontId="4" fillId="0" borderId="0"/>
    <xf numFmtId="0" fontId="6" fillId="2" borderId="0" applyNumberFormat="0" applyProtection="0">
      <alignment horizontal="left" wrapText="1" indent="4"/>
    </xf>
    <xf numFmtId="0" fontId="5" fillId="2" borderId="0" applyNumberFormat="0" applyProtection="0">
      <alignment horizontal="left" wrapText="1" indent="4"/>
    </xf>
    <xf numFmtId="0" fontId="7" fillId="0" borderId="0"/>
    <xf numFmtId="0" fontId="7" fillId="3" borderId="0" applyNumberFormat="0" applyBorder="0" applyProtection="0"/>
    <xf numFmtId="0" fontId="4" fillId="4" borderId="0"/>
    <xf numFmtId="0" fontId="4" fillId="5" borderId="1"/>
    <xf numFmtId="0" fontId="4" fillId="4" borderId="2"/>
    <xf numFmtId="0" fontId="4" fillId="0" borderId="0"/>
    <xf numFmtId="0" fontId="4" fillId="4" borderId="0"/>
    <xf numFmtId="0" fontId="4" fillId="5" borderId="1"/>
    <xf numFmtId="0" fontId="4" fillId="4" borderId="2"/>
    <xf numFmtId="0" fontId="4" fillId="0" borderId="0"/>
    <xf numFmtId="0" fontId="12" fillId="0" borderId="0" applyNumberFormat="0" applyFill="0" applyBorder="0" applyAlignment="0" applyProtection="0"/>
    <xf numFmtId="0" fontId="4" fillId="4" borderId="0"/>
    <xf numFmtId="0" fontId="4" fillId="5" borderId="1"/>
    <xf numFmtId="0" fontId="4" fillId="4" borderId="2"/>
    <xf numFmtId="0" fontId="13" fillId="0" borderId="0" applyNumberFormat="0" applyFill="0" applyBorder="0" applyAlignment="0" applyProtection="0"/>
    <xf numFmtId="168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6" applyNumberFormat="0" applyAlignment="0" applyProtection="0"/>
    <xf numFmtId="0" fontId="22" fillId="10" borderId="7" applyNumberFormat="0" applyAlignment="0" applyProtection="0"/>
    <xf numFmtId="0" fontId="23" fillId="10" borderId="6" applyNumberFormat="0" applyAlignment="0" applyProtection="0"/>
    <xf numFmtId="0" fontId="24" fillId="0" borderId="8" applyNumberFormat="0" applyFill="0" applyAlignment="0" applyProtection="0"/>
    <xf numFmtId="0" fontId="11" fillId="11" borderId="9" applyNumberFormat="0" applyAlignment="0" applyProtection="0"/>
    <xf numFmtId="0" fontId="25" fillId="0" borderId="0" applyNumberFormat="0" applyFill="0" applyBorder="0" applyAlignment="0" applyProtection="0"/>
    <xf numFmtId="0" fontId="9" fillId="12" borderId="1" applyNumberFormat="0" applyFont="0" applyAlignment="0" applyProtection="0"/>
    <xf numFmtId="0" fontId="26" fillId="0" borderId="0" applyNumberFormat="0" applyFill="0" applyBorder="0" applyAlignment="0" applyProtection="0"/>
    <xf numFmtId="0" fontId="8" fillId="0" borderId="10" applyNumberFormat="0" applyFill="0" applyAlignment="0" applyProtection="0"/>
    <xf numFmtId="0" fontId="7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7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7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7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7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7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3" fillId="0" borderId="0"/>
    <xf numFmtId="0" fontId="46" fillId="0" borderId="0"/>
    <xf numFmtId="0" fontId="2" fillId="0" borderId="0"/>
    <xf numFmtId="0" fontId="1" fillId="12" borderId="1" applyNumberFormat="0" applyFont="0" applyAlignment="0" applyProtection="0"/>
    <xf numFmtId="0" fontId="55" fillId="0" borderId="0"/>
    <xf numFmtId="177" fontId="1" fillId="0" borderId="0" applyFont="0" applyFill="0" applyBorder="0" applyAlignment="0" applyProtection="0"/>
  </cellStyleXfs>
  <cellXfs count="134">
    <xf numFmtId="0" fontId="0" fillId="0" borderId="0" xfId="0"/>
    <xf numFmtId="0" fontId="10" fillId="0" borderId="0" xfId="0" applyFont="1" applyProtection="1"/>
    <xf numFmtId="0" fontId="9" fillId="0" borderId="0" xfId="0" applyFont="1" applyProtection="1"/>
    <xf numFmtId="0" fontId="9" fillId="4" borderId="0" xfId="0" applyFont="1" applyFill="1" applyProtection="1"/>
    <xf numFmtId="0" fontId="0" fillId="4" borderId="0" xfId="0" applyFont="1" applyFill="1" applyAlignment="1" applyProtection="1">
      <alignment vertical="center"/>
    </xf>
    <xf numFmtId="0" fontId="10" fillId="0" borderId="0" xfId="0" applyFont="1" applyAlignment="1" applyProtection="1">
      <alignment wrapText="1"/>
    </xf>
    <xf numFmtId="0" fontId="10" fillId="0" borderId="0" xfId="0" quotePrefix="1" applyFont="1" applyProtection="1"/>
    <xf numFmtId="0" fontId="10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9" fillId="4" borderId="0" xfId="0" applyFont="1" applyFill="1" applyAlignment="1" applyProtection="1">
      <alignment wrapText="1"/>
    </xf>
    <xf numFmtId="0" fontId="30" fillId="4" borderId="0" xfId="0" applyFont="1" applyFill="1" applyAlignment="1" applyProtection="1">
      <alignment vertical="center"/>
    </xf>
    <xf numFmtId="0" fontId="31" fillId="4" borderId="0" xfId="0" applyFont="1" applyFill="1" applyAlignment="1" applyProtection="1">
      <alignment horizontal="center" vertical="center"/>
    </xf>
    <xf numFmtId="0" fontId="9" fillId="4" borderId="0" xfId="0" applyFont="1" applyFill="1" applyAlignment="1" applyProtection="1"/>
    <xf numFmtId="0" fontId="0" fillId="0" borderId="11" xfId="0" applyBorder="1"/>
    <xf numFmtId="0" fontId="31" fillId="4" borderId="0" xfId="0" applyFont="1" applyFill="1" applyAlignment="1" applyProtection="1">
      <alignment horizontal="center" vertical="center"/>
    </xf>
    <xf numFmtId="0" fontId="0" fillId="4" borderId="0" xfId="0" applyFont="1" applyFill="1" applyAlignment="1" applyProtection="1">
      <alignment horizontal="left" vertical="center" wrapText="1"/>
    </xf>
    <xf numFmtId="0" fontId="9" fillId="4" borderId="0" xfId="0" applyFont="1" applyFill="1" applyAlignment="1" applyProtection="1">
      <alignment wrapText="1"/>
    </xf>
    <xf numFmtId="0" fontId="31" fillId="4" borderId="0" xfId="0" applyFont="1" applyFill="1" applyAlignment="1" applyProtection="1">
      <alignment horizontal="center" vertical="center"/>
    </xf>
    <xf numFmtId="0" fontId="0" fillId="4" borderId="0" xfId="0" applyFont="1" applyFill="1" applyAlignment="1" applyProtection="1">
      <alignment horizontal="left" vertical="center" wrapText="1"/>
    </xf>
    <xf numFmtId="0" fontId="9" fillId="4" borderId="0" xfId="0" applyFont="1" applyFill="1" applyAlignment="1" applyProtection="1">
      <alignment wrapText="1"/>
    </xf>
    <xf numFmtId="0" fontId="0" fillId="38" borderId="0" xfId="0" applyFill="1"/>
    <xf numFmtId="0" fontId="32" fillId="38" borderId="0" xfId="0" applyFont="1" applyFill="1" applyAlignment="1">
      <alignment vertical="top"/>
    </xf>
    <xf numFmtId="0" fontId="33" fillId="38" borderId="0" xfId="0" applyFont="1" applyFill="1"/>
    <xf numFmtId="0" fontId="34" fillId="38" borderId="0" xfId="0" applyFont="1" applyFill="1"/>
    <xf numFmtId="0" fontId="34" fillId="38" borderId="14" xfId="0" applyFont="1" applyFill="1" applyBorder="1" applyAlignment="1">
      <alignment horizontal="center"/>
    </xf>
    <xf numFmtId="0" fontId="0" fillId="38" borderId="14" xfId="0" applyFill="1" applyBorder="1"/>
    <xf numFmtId="169" fontId="0" fillId="38" borderId="14" xfId="0" applyNumberFormat="1" applyFill="1" applyBorder="1"/>
    <xf numFmtId="11" fontId="0" fillId="38" borderId="14" xfId="0" applyNumberFormat="1" applyFill="1" applyBorder="1"/>
    <xf numFmtId="21" fontId="0" fillId="38" borderId="14" xfId="0" applyNumberFormat="1" applyFill="1" applyBorder="1"/>
    <xf numFmtId="0" fontId="0" fillId="38" borderId="0" xfId="0" applyFill="1" applyAlignment="1">
      <alignment horizontal="center" wrapText="1"/>
    </xf>
    <xf numFmtId="0" fontId="39" fillId="38" borderId="0" xfId="0" applyFont="1" applyFill="1"/>
    <xf numFmtId="0" fontId="40" fillId="38" borderId="0" xfId="0" applyFont="1" applyFill="1"/>
    <xf numFmtId="0" fontId="34" fillId="38" borderId="13" xfId="0" applyFont="1" applyFill="1" applyBorder="1" applyAlignment="1">
      <alignment horizontal="center" wrapText="1"/>
    </xf>
    <xf numFmtId="14" fontId="0" fillId="38" borderId="14" xfId="0" applyNumberFormat="1" applyFill="1" applyBorder="1"/>
    <xf numFmtId="0" fontId="0" fillId="38" borderId="0" xfId="0" applyFill="1" applyAlignment="1">
      <alignment vertical="center"/>
    </xf>
    <xf numFmtId="170" fontId="39" fillId="39" borderId="14" xfId="0" applyNumberFormat="1" applyFont="1" applyFill="1" applyBorder="1" applyAlignment="1">
      <alignment vertical="center"/>
    </xf>
    <xf numFmtId="169" fontId="39" fillId="39" borderId="14" xfId="0" applyNumberFormat="1" applyFont="1" applyFill="1" applyBorder="1" applyAlignment="1">
      <alignment vertical="center"/>
    </xf>
    <xf numFmtId="11" fontId="39" fillId="39" borderId="14" xfId="0" applyNumberFormat="1" applyFont="1" applyFill="1" applyBorder="1" applyAlignment="1">
      <alignment vertical="center"/>
    </xf>
    <xf numFmtId="0" fontId="36" fillId="0" borderId="13" xfId="0" applyFont="1" applyBorder="1"/>
    <xf numFmtId="0" fontId="0" fillId="38" borderId="0" xfId="0" applyFill="1" applyAlignment="1">
      <alignment horizontal="center"/>
    </xf>
    <xf numFmtId="0" fontId="36" fillId="0" borderId="0" xfId="0" applyFont="1"/>
    <xf numFmtId="0" fontId="34" fillId="38" borderId="15" xfId="0" applyFont="1" applyFill="1" applyBorder="1" applyAlignment="1">
      <alignment horizontal="center"/>
    </xf>
    <xf numFmtId="0" fontId="0" fillId="38" borderId="12" xfId="0" applyFill="1" applyBorder="1" applyAlignment="1">
      <alignment horizontal="left"/>
    </xf>
    <xf numFmtId="0" fontId="41" fillId="40" borderId="0" xfId="0" applyFont="1" applyFill="1" applyAlignment="1">
      <alignment horizontal="left" vertical="center"/>
    </xf>
    <xf numFmtId="0" fontId="36" fillId="41" borderId="0" xfId="0" applyFont="1" applyFill="1"/>
    <xf numFmtId="0" fontId="36" fillId="41" borderId="17" xfId="0" applyFont="1" applyFill="1" applyBorder="1"/>
    <xf numFmtId="0" fontId="43" fillId="37" borderId="11" xfId="0" applyFont="1" applyFill="1" applyBorder="1" applyAlignment="1">
      <alignment horizontal="center"/>
    </xf>
    <xf numFmtId="0" fontId="44" fillId="0" borderId="11" xfId="0" applyFont="1" applyBorder="1"/>
    <xf numFmtId="171" fontId="0" fillId="0" borderId="0" xfId="0" applyNumberFormat="1"/>
    <xf numFmtId="172" fontId="0" fillId="0" borderId="0" xfId="0" applyNumberFormat="1"/>
    <xf numFmtId="0" fontId="45" fillId="0" borderId="0" xfId="0" applyFont="1" applyAlignment="1">
      <alignment vertical="center"/>
    </xf>
    <xf numFmtId="0" fontId="30" fillId="43" borderId="18" xfId="67" applyFont="1" applyFill="1" applyBorder="1" applyAlignment="1">
      <alignment horizontal="center" wrapText="1"/>
    </xf>
    <xf numFmtId="0" fontId="30" fillId="43" borderId="19" xfId="67" applyFont="1" applyFill="1" applyBorder="1" applyAlignment="1">
      <alignment horizontal="center" wrapText="1"/>
    </xf>
    <xf numFmtId="0" fontId="30" fillId="43" borderId="20" xfId="67" applyFont="1" applyFill="1" applyBorder="1" applyAlignment="1">
      <alignment horizontal="center" wrapText="1"/>
    </xf>
    <xf numFmtId="173" fontId="47" fillId="44" borderId="21" xfId="67" applyNumberFormat="1" applyFont="1" applyFill="1" applyBorder="1"/>
    <xf numFmtId="173" fontId="47" fillId="44" borderId="22" xfId="67" applyNumberFormat="1" applyFont="1" applyFill="1" applyBorder="1"/>
    <xf numFmtId="173" fontId="48" fillId="44" borderId="23" xfId="67" applyNumberFormat="1" applyFont="1" applyFill="1" applyBorder="1"/>
    <xf numFmtId="174" fontId="48" fillId="44" borderId="23" xfId="67" applyNumberFormat="1" applyFont="1" applyFill="1" applyBorder="1"/>
    <xf numFmtId="175" fontId="48" fillId="44" borderId="23" xfId="67" applyNumberFormat="1" applyFont="1" applyFill="1" applyBorder="1"/>
    <xf numFmtId="174" fontId="48" fillId="0" borderId="0" xfId="67" applyNumberFormat="1" applyFont="1" applyFill="1" applyBorder="1"/>
    <xf numFmtId="173" fontId="47" fillId="0" borderId="0" xfId="67" applyNumberFormat="1" applyFont="1" applyFill="1" applyBorder="1"/>
    <xf numFmtId="175" fontId="48" fillId="0" borderId="0" xfId="67" applyNumberFormat="1" applyFont="1" applyFill="1" applyBorder="1"/>
    <xf numFmtId="0" fontId="31" fillId="4" borderId="0" xfId="0" applyFont="1" applyFill="1" applyAlignment="1" applyProtection="1">
      <alignment horizontal="center" vertical="center"/>
    </xf>
    <xf numFmtId="0" fontId="0" fillId="4" borderId="0" xfId="0" applyFont="1" applyFill="1" applyAlignment="1" applyProtection="1">
      <alignment horizontal="left" vertical="center" wrapText="1"/>
    </xf>
    <xf numFmtId="0" fontId="9" fillId="4" borderId="0" xfId="0" applyFont="1" applyFill="1" applyAlignment="1" applyProtection="1">
      <alignment wrapText="1"/>
    </xf>
    <xf numFmtId="0" fontId="30" fillId="42" borderId="14" xfId="0" applyFont="1" applyFill="1" applyBorder="1" applyAlignment="1">
      <alignment horizontal="center" vertical="center" wrapText="1"/>
    </xf>
    <xf numFmtId="4" fontId="36" fillId="46" borderId="14" xfId="0" applyNumberFormat="1" applyFont="1" applyFill="1" applyBorder="1" applyAlignment="1">
      <alignment horizontal="center"/>
    </xf>
    <xf numFmtId="4" fontId="49" fillId="47" borderId="14" xfId="0" applyNumberFormat="1" applyFont="1" applyFill="1" applyBorder="1"/>
    <xf numFmtId="0" fontId="50" fillId="48" borderId="0" xfId="2" applyFont="1" applyFill="1" applyAlignment="1">
      <alignment horizontal="center" vertical="center"/>
    </xf>
    <xf numFmtId="0" fontId="50" fillId="48" borderId="24" xfId="2" applyFont="1" applyFill="1" applyBorder="1" applyAlignment="1">
      <alignment horizontal="center" vertical="center"/>
    </xf>
    <xf numFmtId="0" fontId="51" fillId="0" borderId="11" xfId="2" applyFont="1" applyBorder="1" applyAlignment="1">
      <alignment horizontal="center" vertical="center"/>
    </xf>
    <xf numFmtId="0" fontId="52" fillId="0" borderId="11" xfId="2" applyFont="1" applyBorder="1" applyAlignment="1">
      <alignment horizontal="center" vertical="center"/>
    </xf>
    <xf numFmtId="0" fontId="50" fillId="48" borderId="11" xfId="68" applyFont="1" applyFill="1" applyBorder="1" applyAlignment="1">
      <alignment horizontal="center" vertical="center"/>
    </xf>
    <xf numFmtId="0" fontId="52" fillId="0" borderId="11" xfId="68" applyFont="1" applyBorder="1" applyAlignment="1">
      <alignment horizontal="center" vertical="center"/>
    </xf>
    <xf numFmtId="0" fontId="52" fillId="0" borderId="11" xfId="68" quotePrefix="1" applyFont="1" applyBorder="1" applyAlignment="1">
      <alignment horizontal="center" vertical="center"/>
    </xf>
    <xf numFmtId="14" fontId="36" fillId="49" borderId="14" xfId="0" applyNumberFormat="1" applyFont="1" applyFill="1" applyBorder="1" applyAlignment="1">
      <alignment horizontal="center"/>
    </xf>
    <xf numFmtId="3" fontId="36" fillId="49" borderId="14" xfId="0" applyNumberFormat="1" applyFont="1" applyFill="1" applyBorder="1" applyAlignment="1">
      <alignment horizontal="center"/>
    </xf>
    <xf numFmtId="4" fontId="36" fillId="49" borderId="14" xfId="0" applyNumberFormat="1" applyFont="1" applyFill="1" applyBorder="1"/>
    <xf numFmtId="4" fontId="36" fillId="47" borderId="14" xfId="0" applyNumberFormat="1" applyFont="1" applyFill="1" applyBorder="1"/>
    <xf numFmtId="0" fontId="29" fillId="4" borderId="0" xfId="0" applyFont="1" applyFill="1" applyBorder="1" applyAlignment="1" applyProtection="1">
      <alignment vertical="center"/>
    </xf>
    <xf numFmtId="0" fontId="30" fillId="42" borderId="14" xfId="0" applyFont="1" applyFill="1" applyBorder="1" applyAlignment="1">
      <alignment horizontal="center" vertical="center"/>
    </xf>
    <xf numFmtId="0" fontId="30" fillId="42" borderId="14" xfId="0" applyFont="1" applyFill="1" applyBorder="1" applyAlignment="1">
      <alignment horizontal="center" wrapText="1"/>
    </xf>
    <xf numFmtId="0" fontId="36" fillId="49" borderId="14" xfId="0" applyFont="1" applyFill="1" applyBorder="1"/>
    <xf numFmtId="14" fontId="36" fillId="49" borderId="14" xfId="0" applyNumberFormat="1" applyFont="1" applyFill="1" applyBorder="1"/>
    <xf numFmtId="0" fontId="36" fillId="47" borderId="14" xfId="0" applyFont="1" applyFill="1" applyBorder="1"/>
    <xf numFmtId="4" fontId="36" fillId="47" borderId="14" xfId="0" quotePrefix="1" applyNumberFormat="1" applyFont="1" applyFill="1" applyBorder="1"/>
    <xf numFmtId="14" fontId="36" fillId="47" borderId="14" xfId="0" applyNumberFormat="1" applyFont="1" applyFill="1" applyBorder="1"/>
    <xf numFmtId="10" fontId="36" fillId="46" borderId="14" xfId="0" applyNumberFormat="1" applyFont="1" applyFill="1" applyBorder="1" applyAlignment="1">
      <alignment horizontal="center"/>
    </xf>
    <xf numFmtId="173" fontId="36" fillId="46" borderId="14" xfId="0" applyNumberFormat="1" applyFont="1" applyFill="1" applyBorder="1"/>
    <xf numFmtId="0" fontId="30" fillId="42" borderId="12" xfId="0" applyFont="1" applyFill="1" applyBorder="1" applyAlignment="1">
      <alignment vertical="center"/>
    </xf>
    <xf numFmtId="0" fontId="36" fillId="46" borderId="14" xfId="0" applyFont="1" applyFill="1" applyBorder="1"/>
    <xf numFmtId="0" fontId="4" fillId="0" borderId="0" xfId="2"/>
    <xf numFmtId="9" fontId="23" fillId="12" borderId="11" xfId="69" applyNumberFormat="1" applyFont="1" applyBorder="1" applyAlignment="1">
      <alignment horizontal="center" vertical="center"/>
    </xf>
    <xf numFmtId="0" fontId="54" fillId="0" borderId="11" xfId="2" applyFont="1" applyBorder="1" applyAlignment="1">
      <alignment horizontal="center" vertical="center"/>
    </xf>
    <xf numFmtId="0" fontId="56" fillId="0" borderId="11" xfId="70" applyFont="1" applyBorder="1" applyAlignment="1">
      <alignment vertical="center"/>
    </xf>
    <xf numFmtId="164" fontId="56" fillId="0" borderId="11" xfId="71" applyNumberFormat="1" applyFont="1" applyBorder="1" applyAlignment="1">
      <alignment vertical="center"/>
    </xf>
    <xf numFmtId="178" fontId="56" fillId="0" borderId="11" xfId="71" quotePrefix="1" applyNumberFormat="1" applyFont="1" applyBorder="1" applyAlignment="1">
      <alignment vertical="center"/>
    </xf>
    <xf numFmtId="0" fontId="23" fillId="12" borderId="11" xfId="69" applyFont="1" applyBorder="1" applyAlignment="1">
      <alignment horizontal="center" vertical="center"/>
    </xf>
    <xf numFmtId="0" fontId="36" fillId="0" borderId="0" xfId="0" applyFont="1" applyBorder="1"/>
    <xf numFmtId="0" fontId="0" fillId="0" borderId="0" xfId="0" applyBorder="1"/>
    <xf numFmtId="0" fontId="34" fillId="38" borderId="11" xfId="0" applyFont="1" applyFill="1" applyBorder="1" applyAlignment="1">
      <alignment horizontal="center" wrapText="1"/>
    </xf>
    <xf numFmtId="0" fontId="34" fillId="38" borderId="11" xfId="0" applyFont="1" applyFill="1" applyBorder="1" applyAlignment="1">
      <alignment horizontal="center"/>
    </xf>
    <xf numFmtId="169" fontId="0" fillId="38" borderId="11" xfId="0" applyNumberFormat="1" applyFill="1" applyBorder="1" applyAlignment="1">
      <alignment horizontal="center"/>
    </xf>
    <xf numFmtId="0" fontId="0" fillId="38" borderId="11" xfId="0" applyFill="1" applyBorder="1" applyAlignment="1">
      <alignment horizontal="center"/>
    </xf>
    <xf numFmtId="14" fontId="0" fillId="38" borderId="25" xfId="0" applyNumberFormat="1" applyFill="1" applyBorder="1"/>
    <xf numFmtId="0" fontId="50" fillId="45" borderId="11" xfId="2" applyFont="1" applyFill="1" applyBorder="1" applyAlignment="1">
      <alignment horizontal="center" vertical="center"/>
    </xf>
    <xf numFmtId="0" fontId="50" fillId="45" borderId="11" xfId="68" applyFont="1" applyFill="1" applyBorder="1" applyAlignment="1">
      <alignment horizontal="center" vertical="center"/>
    </xf>
    <xf numFmtId="0" fontId="43" fillId="37" borderId="11" xfId="0" applyFont="1" applyFill="1" applyBorder="1" applyAlignment="1">
      <alignment horizontal="left"/>
    </xf>
    <xf numFmtId="0" fontId="0" fillId="0" borderId="0" xfId="0"/>
    <xf numFmtId="0" fontId="27" fillId="4" borderId="0" xfId="0" applyFont="1" applyFill="1" applyAlignment="1" applyProtection="1">
      <alignment horizontal="left" vertical="center" wrapText="1"/>
    </xf>
    <xf numFmtId="0" fontId="29" fillId="4" borderId="0" xfId="0" applyFont="1" applyFill="1" applyBorder="1" applyAlignment="1" applyProtection="1">
      <alignment horizontal="left" vertical="center"/>
    </xf>
    <xf numFmtId="0" fontId="31" fillId="4" borderId="0" xfId="0" applyFont="1" applyFill="1" applyAlignment="1" applyProtection="1">
      <alignment horizontal="center" vertical="center"/>
    </xf>
    <xf numFmtId="0" fontId="0" fillId="4" borderId="0" xfId="0" applyFont="1" applyFill="1" applyAlignment="1" applyProtection="1">
      <alignment horizontal="left" vertical="center" wrapText="1"/>
    </xf>
    <xf numFmtId="0" fontId="0" fillId="4" borderId="0" xfId="0" applyFont="1" applyFill="1" applyAlignment="1" applyProtection="1">
      <alignment horizontal="left" vertical="top" wrapText="1"/>
    </xf>
    <xf numFmtId="0" fontId="0" fillId="4" borderId="0" xfId="0" applyFont="1" applyFill="1" applyAlignment="1" applyProtection="1">
      <alignment wrapText="1"/>
    </xf>
    <xf numFmtId="0" fontId="9" fillId="4" borderId="0" xfId="0" applyFont="1" applyFill="1" applyAlignment="1" applyProtection="1">
      <alignment wrapText="1"/>
    </xf>
    <xf numFmtId="0" fontId="34" fillId="38" borderId="15" xfId="0" applyFont="1" applyFill="1" applyBorder="1" applyAlignment="1">
      <alignment horizontal="center"/>
    </xf>
    <xf numFmtId="0" fontId="34" fillId="38" borderId="16" xfId="0" applyFont="1" applyFill="1" applyBorder="1" applyAlignment="1">
      <alignment horizontal="center"/>
    </xf>
    <xf numFmtId="0" fontId="0" fillId="38" borderId="12" xfId="0" applyFill="1" applyBorder="1" applyAlignment="1">
      <alignment horizontal="center"/>
    </xf>
    <xf numFmtId="0" fontId="36" fillId="0" borderId="13" xfId="0" applyFont="1" applyBorder="1"/>
    <xf numFmtId="0" fontId="0" fillId="0" borderId="0" xfId="0"/>
    <xf numFmtId="0" fontId="30" fillId="4" borderId="0" xfId="0" applyFont="1" applyFill="1" applyAlignment="1" applyProtection="1">
      <alignment horizontal="left" vertical="center" wrapText="1"/>
    </xf>
    <xf numFmtId="0" fontId="50" fillId="48" borderId="24" xfId="2" applyFont="1" applyFill="1" applyBorder="1" applyAlignment="1">
      <alignment horizontal="center" vertical="center"/>
    </xf>
    <xf numFmtId="0" fontId="23" fillId="12" borderId="28" xfId="69" applyFont="1" applyBorder="1" applyAlignment="1">
      <alignment horizontal="center" vertical="center"/>
    </xf>
    <xf numFmtId="0" fontId="23" fillId="12" borderId="29" xfId="69" applyFont="1" applyBorder="1" applyAlignment="1">
      <alignment horizontal="center" vertical="center"/>
    </xf>
    <xf numFmtId="0" fontId="23" fillId="12" borderId="30" xfId="69" applyFont="1" applyBorder="1" applyAlignment="1">
      <alignment horizontal="center" vertical="center"/>
    </xf>
    <xf numFmtId="0" fontId="53" fillId="10" borderId="31" xfId="35" applyFont="1" applyBorder="1" applyAlignment="1">
      <alignment horizontal="center"/>
    </xf>
    <xf numFmtId="0" fontId="53" fillId="10" borderId="32" xfId="35" applyFont="1" applyBorder="1" applyAlignment="1">
      <alignment horizontal="center"/>
    </xf>
    <xf numFmtId="0" fontId="53" fillId="10" borderId="33" xfId="35" applyFont="1" applyBorder="1" applyAlignment="1">
      <alignment horizontal="center"/>
    </xf>
    <xf numFmtId="0" fontId="23" fillId="12" borderId="26" xfId="69" applyFont="1" applyBorder="1" applyAlignment="1">
      <alignment horizontal="center" vertical="center"/>
    </xf>
    <xf numFmtId="0" fontId="23" fillId="12" borderId="27" xfId="69" applyFont="1" applyBorder="1" applyAlignment="1">
      <alignment horizontal="center" vertical="center"/>
    </xf>
    <xf numFmtId="176" fontId="23" fillId="12" borderId="28" xfId="69" applyNumberFormat="1" applyFont="1" applyBorder="1" applyAlignment="1">
      <alignment horizontal="center" vertical="center"/>
    </xf>
    <xf numFmtId="176" fontId="23" fillId="12" borderId="29" xfId="69" applyNumberFormat="1" applyFont="1" applyBorder="1" applyAlignment="1">
      <alignment horizontal="center" vertical="center"/>
    </xf>
    <xf numFmtId="176" fontId="23" fillId="12" borderId="30" xfId="69" applyNumberFormat="1" applyFont="1" applyBorder="1" applyAlignment="1">
      <alignment horizontal="center" vertical="center"/>
    </xf>
  </cellXfs>
  <cellStyles count="72">
    <cellStyle name="20% - Énfasis1" xfId="43" builtinId="30" customBuiltin="1"/>
    <cellStyle name="20% - Énfasis2" xfId="47" builtinId="34" customBuiltin="1"/>
    <cellStyle name="20% - Énfasis3" xfId="51" builtinId="38" customBuiltin="1"/>
    <cellStyle name="20% - Énfasis4" xfId="55" builtinId="42" customBuiltin="1"/>
    <cellStyle name="20% - Énfasis5" xfId="59" builtinId="46" customBuiltin="1"/>
    <cellStyle name="20% - Énfasis6" xfId="63" builtinId="50" customBuiltin="1"/>
    <cellStyle name="40% - Énfasis1" xfId="44" builtinId="31" customBuiltin="1"/>
    <cellStyle name="40% - Énfasis2" xfId="48" builtinId="35" customBuiltin="1"/>
    <cellStyle name="40% - Énfasis3" xfId="52" builtinId="39" customBuiltin="1"/>
    <cellStyle name="40% - Énfasis4" xfId="56" builtinId="43" customBuiltin="1"/>
    <cellStyle name="40% - Énfasis5" xfId="60" builtinId="47" customBuiltin="1"/>
    <cellStyle name="40% - Énfasis6" xfId="64" builtinId="51" customBuiltin="1"/>
    <cellStyle name="60% - Énfasis1" xfId="45" builtinId="32" customBuiltin="1"/>
    <cellStyle name="60% - Énfasis2" xfId="49" builtinId="36" customBuiltin="1"/>
    <cellStyle name="60% - Énfasis3" xfId="53" builtinId="40" customBuiltin="1"/>
    <cellStyle name="60% - Énfasis4" xfId="57" builtinId="44" customBuiltin="1"/>
    <cellStyle name="60% - Énfasis5" xfId="61" builtinId="48" customBuiltin="1"/>
    <cellStyle name="60% - Énfasis6" xfId="65" builtinId="52" customBuiltin="1"/>
    <cellStyle name="Bueno" xfId="30" builtinId="26" customBuiltin="1"/>
    <cellStyle name="Cálculo" xfId="35" builtinId="22" customBuiltin="1"/>
    <cellStyle name="Celda de comprobación" xfId="37" builtinId="23" customBuiltin="1"/>
    <cellStyle name="Celda vinculada" xfId="36" builtinId="24" customBuiltin="1"/>
    <cellStyle name="Encabezado 1" xfId="26" builtinId="16" customBuiltin="1"/>
    <cellStyle name="Encabezado 1 2" xfId="3" xr:uid="{00000000-0005-0000-0000-000016000000}"/>
    <cellStyle name="Encabezado 2 2" xfId="4" xr:uid="{00000000-0005-0000-0000-000017000000}"/>
    <cellStyle name="Encabezado 3 2" xfId="6" xr:uid="{00000000-0005-0000-0000-000018000000}"/>
    <cellStyle name="Encabezado 4" xfId="29" builtinId="19" customBuiltin="1"/>
    <cellStyle name="Énfasis1" xfId="42" builtinId="29" customBuiltin="1"/>
    <cellStyle name="Énfasis2" xfId="46" builtinId="33" customBuiltin="1"/>
    <cellStyle name="Énfasis3" xfId="50" builtinId="37" customBuiltin="1"/>
    <cellStyle name="Énfasis4" xfId="54" builtinId="41" customBuiltin="1"/>
    <cellStyle name="Énfasis5" xfId="58" builtinId="45" customBuiltin="1"/>
    <cellStyle name="Énfasis6" xfId="62" builtinId="49" customBuiltin="1"/>
    <cellStyle name="Entrada" xfId="33" builtinId="20" customBuiltin="1"/>
    <cellStyle name="GrayCell" xfId="7" xr:uid="{00000000-0005-0000-0000-000021000000}"/>
    <cellStyle name="GrayCell 2" xfId="11" xr:uid="{00000000-0005-0000-0000-000022000000}"/>
    <cellStyle name="GrayCell 2 2" xfId="16" xr:uid="{00000000-0005-0000-0000-000023000000}"/>
    <cellStyle name="Hipervínculo" xfId="15" builtinId="8" customBuiltin="1"/>
    <cellStyle name="Hipervínculo visitado" xfId="19" builtinId="9" customBuiltin="1"/>
    <cellStyle name="Incorrecto" xfId="31" builtinId="27" customBuiltin="1"/>
    <cellStyle name="Millares" xfId="20" builtinId="3" customBuiltin="1"/>
    <cellStyle name="Millares [0]" xfId="21" builtinId="6" customBuiltin="1"/>
    <cellStyle name="Moneda" xfId="22" builtinId="4" customBuiltin="1"/>
    <cellStyle name="Moneda [0]" xfId="23" builtinId="7" customBuiltin="1"/>
    <cellStyle name="Moneda 2" xfId="71" xr:uid="{94084BA0-B4E1-493C-BEEA-03B7B69C5523}"/>
    <cellStyle name="Neutral" xfId="32" builtinId="28" customBuiltin="1"/>
    <cellStyle name="Normal" xfId="0" builtinId="0" customBuiltin="1"/>
    <cellStyle name="Normal 2" xfId="2" xr:uid="{00000000-0005-0000-0000-00002D000000}"/>
    <cellStyle name="Normal 2 2" xfId="14" xr:uid="{00000000-0005-0000-0000-00002E000000}"/>
    <cellStyle name="Normal 2 3" xfId="68" xr:uid="{02F236A9-FDBD-47B3-9D90-8F3200CB634F}"/>
    <cellStyle name="Normal 3" xfId="10" xr:uid="{00000000-0005-0000-0000-00002F000000}"/>
    <cellStyle name="Normal 4" xfId="66" xr:uid="{1985096E-41F8-4164-8AF5-53233D7F68CA}"/>
    <cellStyle name="Normal 5" xfId="67" xr:uid="{D7B77F82-7372-4D4F-91A8-B696EB209897}"/>
    <cellStyle name="Normal_Sales" xfId="70" xr:uid="{657C26E9-B0F8-47B7-B123-061A656596CE}"/>
    <cellStyle name="Notas" xfId="39" builtinId="10" customBuiltin="1"/>
    <cellStyle name="Notas 2" xfId="69" xr:uid="{5F72FE8A-8E1A-43D3-9B66-ECFE1BFFCDDA}"/>
    <cellStyle name="OrangeBorder" xfId="9" xr:uid="{00000000-0005-0000-0000-000031000000}"/>
    <cellStyle name="OrangeBorder 2" xfId="13" xr:uid="{00000000-0005-0000-0000-000032000000}"/>
    <cellStyle name="OrangeBorder 3" xfId="18" xr:uid="{00000000-0005-0000-0000-000033000000}"/>
    <cellStyle name="Porcentaje" xfId="24" builtinId="5" customBuiltin="1"/>
    <cellStyle name="Salida" xfId="34" builtinId="21" customBuiltin="1"/>
    <cellStyle name="Texto de advertencia" xfId="38" builtinId="11" customBuiltin="1"/>
    <cellStyle name="Texto de inicio" xfId="1" xr:uid="{00000000-0005-0000-0000-000037000000}"/>
    <cellStyle name="Texto de la columna A" xfId="5" xr:uid="{00000000-0005-0000-0000-000038000000}"/>
    <cellStyle name="Texto explicativo" xfId="40" builtinId="53" customBuiltin="1"/>
    <cellStyle name="Título" xfId="25" builtinId="15" customBuiltin="1"/>
    <cellStyle name="Título 2" xfId="27" xr:uid="{00000000-0005-0000-0000-00003C000000}"/>
    <cellStyle name="Título 3" xfId="28" builtinId="18" customBuiltin="1"/>
    <cellStyle name="Total" xfId="41" builtinId="25" customBuiltin="1"/>
    <cellStyle name="YellowCell" xfId="8" xr:uid="{00000000-0005-0000-0000-00003F000000}"/>
    <cellStyle name="YellowCell 2" xfId="12" xr:uid="{00000000-0005-0000-0000-000040000000}"/>
    <cellStyle name="YellowCell 2 2" xfId="17" xr:uid="{00000000-0005-0000-0000-000041000000}"/>
  </cellStyles>
  <dxfs count="7"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</dxf>
    <dxf>
      <fill>
        <patternFill>
          <bgColor rgb="FF227447"/>
        </patternFill>
      </fill>
      <border>
        <top style="double">
          <color theme="1"/>
        </top>
      </border>
    </dxf>
    <dxf>
      <font>
        <b/>
        <color theme="0"/>
      </font>
      <fill>
        <patternFill patternType="solid">
          <fgColor theme="9"/>
          <bgColor rgb="FF227447"/>
        </patternFill>
      </fill>
      <border>
        <bottom style="medium">
          <color theme="1"/>
        </bottom>
      </border>
    </dxf>
    <dxf>
      <font>
        <color theme="1"/>
      </font>
      <border>
        <top style="medium">
          <color theme="1"/>
        </top>
        <bottom style="medium">
          <color theme="1"/>
        </bottom>
      </border>
    </dxf>
  </dxfs>
  <tableStyles count="1" defaultTableStyle="TableStyleMedium2" defaultPivotStyle="PivotStyleLight16">
    <tableStyle name="Interfaz de usuario de Excel" pivot="0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3BFF40"/>
      <color rgb="FFF4B183"/>
      <color rgb="FFE2F0D9"/>
      <color rgb="FF3B3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15</xdr:row>
      <xdr:rowOff>47625</xdr:rowOff>
    </xdr:from>
    <xdr:to>
      <xdr:col>4</xdr:col>
      <xdr:colOff>2952750</xdr:colOff>
      <xdr:row>15</xdr:row>
      <xdr:rowOff>57154</xdr:rowOff>
    </xdr:to>
    <xdr:cxnSp macro="">
      <xdr:nvCxnSpPr>
        <xdr:cNvPr id="70" name="Línea superior" descr="Línea decorativa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CxnSpPr>
          <a:cxnSpLocks/>
        </xdr:cNvCxnSpPr>
      </xdr:nvCxnSpPr>
      <xdr:spPr>
        <a:xfrm flipV="1">
          <a:off x="504825" y="2009775"/>
          <a:ext cx="4457700" cy="9529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42333</xdr:colOff>
      <xdr:row>5</xdr:row>
      <xdr:rowOff>126999</xdr:rowOff>
    </xdr:from>
    <xdr:to>
      <xdr:col>66</xdr:col>
      <xdr:colOff>317500</xdr:colOff>
      <xdr:row>5</xdr:row>
      <xdr:rowOff>137580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4DEA2426-3FFA-49B6-B8F0-C0D12203B7FB}"/>
            </a:ext>
          </a:extLst>
        </xdr:cNvPr>
        <xdr:cNvCxnSpPr/>
      </xdr:nvCxnSpPr>
      <xdr:spPr>
        <a:xfrm>
          <a:off x="266451" y="698499"/>
          <a:ext cx="47418314" cy="1058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67235</xdr:colOff>
      <xdr:row>0</xdr:row>
      <xdr:rowOff>179295</xdr:rowOff>
    </xdr:from>
    <xdr:to>
      <xdr:col>3</xdr:col>
      <xdr:colOff>102509</xdr:colOff>
      <xdr:row>4</xdr:row>
      <xdr:rowOff>180951</xdr:rowOff>
    </xdr:to>
    <xdr:pic>
      <xdr:nvPicPr>
        <xdr:cNvPr id="5" name="Imagen 4" descr="Inicio - Colegio de Ingenieros del Perú">
          <a:extLst>
            <a:ext uri="{FF2B5EF4-FFF2-40B4-BE49-F238E27FC236}">
              <a16:creationId xmlns:a16="http://schemas.microsoft.com/office/drawing/2014/main" id="{77DD20A7-5AF2-4E37-9387-5D1E74EC44C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353" y="179295"/>
          <a:ext cx="763656" cy="76365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14</xdr:row>
      <xdr:rowOff>47625</xdr:rowOff>
    </xdr:from>
    <xdr:to>
      <xdr:col>4</xdr:col>
      <xdr:colOff>2952750</xdr:colOff>
      <xdr:row>14</xdr:row>
      <xdr:rowOff>57154</xdr:rowOff>
    </xdr:to>
    <xdr:cxnSp macro="">
      <xdr:nvCxnSpPr>
        <xdr:cNvPr id="2" name="Línea superior" descr="Línea decorativa">
          <a:extLst>
            <a:ext uri="{FF2B5EF4-FFF2-40B4-BE49-F238E27FC236}">
              <a16:creationId xmlns:a16="http://schemas.microsoft.com/office/drawing/2014/main" id="{04958D06-36F7-4BD2-9BE0-9CFE151E270E}"/>
            </a:ext>
          </a:extLst>
        </xdr:cNvPr>
        <xdr:cNvCxnSpPr>
          <a:cxnSpLocks/>
        </xdr:cNvCxnSpPr>
      </xdr:nvCxnSpPr>
      <xdr:spPr>
        <a:xfrm flipV="1">
          <a:off x="504825" y="2762250"/>
          <a:ext cx="4457700" cy="9529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42332</xdr:colOff>
      <xdr:row>5</xdr:row>
      <xdr:rowOff>93382</xdr:rowOff>
    </xdr:from>
    <xdr:to>
      <xdr:col>78</xdr:col>
      <xdr:colOff>317499</xdr:colOff>
      <xdr:row>5</xdr:row>
      <xdr:rowOff>103963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20DE81F-2FD1-4339-B359-F3D49B065D44}"/>
            </a:ext>
          </a:extLst>
        </xdr:cNvPr>
        <xdr:cNvCxnSpPr/>
      </xdr:nvCxnSpPr>
      <xdr:spPr>
        <a:xfrm>
          <a:off x="266450" y="698500"/>
          <a:ext cx="52472167" cy="1058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559735</xdr:colOff>
      <xdr:row>12</xdr:row>
      <xdr:rowOff>109818</xdr:rowOff>
    </xdr:from>
    <xdr:to>
      <xdr:col>12</xdr:col>
      <xdr:colOff>213473</xdr:colOff>
      <xdr:row>15</xdr:row>
      <xdr:rowOff>74519</xdr:rowOff>
    </xdr:to>
    <xdr:sp macro="" textlink="">
      <xdr:nvSpPr>
        <xdr:cNvPr id="6" name="Shape 9">
          <a:extLst>
            <a:ext uri="{FF2B5EF4-FFF2-40B4-BE49-F238E27FC236}">
              <a16:creationId xmlns:a16="http://schemas.microsoft.com/office/drawing/2014/main" id="{A55DBB30-8FCF-4FB2-B601-BC8C86DC3980}"/>
            </a:ext>
          </a:extLst>
        </xdr:cNvPr>
        <xdr:cNvSpPr/>
      </xdr:nvSpPr>
      <xdr:spPr>
        <a:xfrm>
          <a:off x="6364382" y="2541494"/>
          <a:ext cx="4057650" cy="536201"/>
        </a:xfrm>
        <a:prstGeom prst="rect">
          <a:avLst/>
        </a:prstGeom>
        <a:noFill/>
        <a:ln>
          <a:noFill/>
        </a:ln>
      </xdr:spPr>
      <xdr:txBody>
        <a:bodyPr lIns="91425" tIns="45700" rIns="91425" bIns="45700" anchor="t" anchorCtr="0">
          <a:noAutofit/>
        </a:bodyPr>
        <a:lstStyle/>
        <a:p>
          <a:pPr lvl="0" indent="0" algn="ctr">
            <a:spcBef>
              <a:spcPts val="0"/>
            </a:spcBef>
            <a:buSzPct val="25000"/>
            <a:buNone/>
          </a:pPr>
          <a:r>
            <a:rPr lang="en-US" sz="2800" b="1" cap="none">
              <a:solidFill>
                <a:srgbClr val="6F91C8"/>
              </a:solidFill>
            </a:rPr>
            <a:t>FORMATO DE NÚMERO</a:t>
          </a:r>
          <a:endParaRPr lang="en-US" sz="1400" b="1" cap="none">
            <a:solidFill>
              <a:srgbClr val="6F91C8"/>
            </a:solidFill>
          </a:endParaRPr>
        </a:p>
      </xdr:txBody>
    </xdr:sp>
    <xdr:clientData fLocksWithSheet="0"/>
  </xdr:twoCellAnchor>
  <xdr:twoCellAnchor>
    <xdr:from>
      <xdr:col>7</xdr:col>
      <xdr:colOff>123825</xdr:colOff>
      <xdr:row>32</xdr:row>
      <xdr:rowOff>0</xdr:rowOff>
    </xdr:from>
    <xdr:to>
      <xdr:col>15</xdr:col>
      <xdr:colOff>228600</xdr:colOff>
      <xdr:row>34</xdr:row>
      <xdr:rowOff>47625</xdr:rowOff>
    </xdr:to>
    <xdr:sp macro="" textlink="">
      <xdr:nvSpPr>
        <xdr:cNvPr id="7" name="Shape 10">
          <a:extLst>
            <a:ext uri="{FF2B5EF4-FFF2-40B4-BE49-F238E27FC236}">
              <a16:creationId xmlns:a16="http://schemas.microsoft.com/office/drawing/2014/main" id="{E66C60EB-2D25-4B5E-896C-D770CDB9AC4B}"/>
            </a:ext>
          </a:extLst>
        </xdr:cNvPr>
        <xdr:cNvSpPr/>
      </xdr:nvSpPr>
      <xdr:spPr>
        <a:xfrm>
          <a:off x="885825" y="4619625"/>
          <a:ext cx="6200775" cy="428625"/>
        </a:xfrm>
        <a:prstGeom prst="rect">
          <a:avLst/>
        </a:prstGeom>
        <a:noFill/>
        <a:ln>
          <a:noFill/>
        </a:ln>
      </xdr:spPr>
      <xdr:txBody>
        <a:bodyPr lIns="91425" tIns="45700" rIns="91425" bIns="45700" anchor="t" anchorCtr="0">
          <a:noAutofit/>
        </a:bodyPr>
        <a:lstStyle/>
        <a:p>
          <a:pPr lvl="0" indent="0" algn="l">
            <a:spcBef>
              <a:spcPts val="0"/>
            </a:spcBef>
            <a:buSzPct val="25000"/>
            <a:buNone/>
          </a:pPr>
          <a:r>
            <a:rPr lang="en-US" sz="2800" b="1" cap="none">
              <a:solidFill>
                <a:srgbClr val="6F91C8"/>
              </a:solidFill>
            </a:rPr>
            <a:t>FORMATO DE FECHA</a:t>
          </a:r>
          <a:endParaRPr lang="en-US" sz="1400" b="1" cap="none">
            <a:solidFill>
              <a:srgbClr val="6F91C8"/>
            </a:solidFill>
          </a:endParaRPr>
        </a:p>
      </xdr:txBody>
    </xdr:sp>
    <xdr:clientData fLocksWithSheet="0"/>
  </xdr:twoCellAnchor>
  <xdr:twoCellAnchor>
    <xdr:from>
      <xdr:col>7</xdr:col>
      <xdr:colOff>95250</xdr:colOff>
      <xdr:row>43</xdr:row>
      <xdr:rowOff>19050</xdr:rowOff>
    </xdr:from>
    <xdr:to>
      <xdr:col>15</xdr:col>
      <xdr:colOff>752475</xdr:colOff>
      <xdr:row>45</xdr:row>
      <xdr:rowOff>171450</xdr:rowOff>
    </xdr:to>
    <xdr:sp macro="" textlink="">
      <xdr:nvSpPr>
        <xdr:cNvPr id="8" name="Shape 11">
          <a:extLst>
            <a:ext uri="{FF2B5EF4-FFF2-40B4-BE49-F238E27FC236}">
              <a16:creationId xmlns:a16="http://schemas.microsoft.com/office/drawing/2014/main" id="{860EF255-3B3D-449C-8110-A7F725CD1CCB}"/>
            </a:ext>
          </a:extLst>
        </xdr:cNvPr>
        <xdr:cNvSpPr/>
      </xdr:nvSpPr>
      <xdr:spPr>
        <a:xfrm>
          <a:off x="857250" y="6924675"/>
          <a:ext cx="6753225" cy="533400"/>
        </a:xfrm>
        <a:prstGeom prst="rect">
          <a:avLst/>
        </a:prstGeom>
        <a:noFill/>
        <a:ln>
          <a:noFill/>
        </a:ln>
      </xdr:spPr>
      <xdr:txBody>
        <a:bodyPr lIns="91425" tIns="45700" rIns="91425" bIns="45700" anchor="t" anchorCtr="0">
          <a:noAutofit/>
        </a:bodyPr>
        <a:lstStyle/>
        <a:p>
          <a:pPr lvl="0" indent="0" algn="l">
            <a:spcBef>
              <a:spcPts val="0"/>
            </a:spcBef>
            <a:buSzPct val="25000"/>
            <a:buNone/>
          </a:pPr>
          <a:r>
            <a:rPr lang="en-US" sz="2800" b="1" cap="none">
              <a:solidFill>
                <a:srgbClr val="6F91C8"/>
              </a:solidFill>
            </a:rPr>
            <a:t>FORMATO PORCENTUAL</a:t>
          </a:r>
          <a:endParaRPr lang="en-US" sz="1400" b="1" cap="none">
            <a:solidFill>
              <a:srgbClr val="6F91C8"/>
            </a:solidFill>
          </a:endParaRPr>
        </a:p>
      </xdr:txBody>
    </xdr:sp>
    <xdr:clientData fLocksWithSheet="0"/>
  </xdr:twoCellAnchor>
  <xdr:twoCellAnchor>
    <xdr:from>
      <xdr:col>7</xdr:col>
      <xdr:colOff>152400</xdr:colOff>
      <xdr:row>59</xdr:row>
      <xdr:rowOff>19050</xdr:rowOff>
    </xdr:from>
    <xdr:to>
      <xdr:col>16</xdr:col>
      <xdr:colOff>47625</xdr:colOff>
      <xdr:row>61</xdr:row>
      <xdr:rowOff>171450</xdr:rowOff>
    </xdr:to>
    <xdr:sp macro="" textlink="">
      <xdr:nvSpPr>
        <xdr:cNvPr id="9" name="Shape 12">
          <a:extLst>
            <a:ext uri="{FF2B5EF4-FFF2-40B4-BE49-F238E27FC236}">
              <a16:creationId xmlns:a16="http://schemas.microsoft.com/office/drawing/2014/main" id="{5BAFCCF7-3FD7-407C-A3B4-BA6BA900CF27}"/>
            </a:ext>
          </a:extLst>
        </xdr:cNvPr>
        <xdr:cNvSpPr/>
      </xdr:nvSpPr>
      <xdr:spPr>
        <a:xfrm>
          <a:off x="914400" y="10210800"/>
          <a:ext cx="6753225" cy="533400"/>
        </a:xfrm>
        <a:prstGeom prst="rect">
          <a:avLst/>
        </a:prstGeom>
        <a:noFill/>
        <a:ln>
          <a:noFill/>
        </a:ln>
      </xdr:spPr>
      <xdr:txBody>
        <a:bodyPr lIns="91425" tIns="45700" rIns="91425" bIns="45700" anchor="t" anchorCtr="0">
          <a:noAutofit/>
        </a:bodyPr>
        <a:lstStyle/>
        <a:p>
          <a:pPr lvl="0" indent="0" algn="l">
            <a:spcBef>
              <a:spcPts val="0"/>
            </a:spcBef>
            <a:buSzPct val="25000"/>
            <a:buNone/>
          </a:pPr>
          <a:r>
            <a:rPr lang="en-US" sz="2800" b="1" cap="none">
              <a:solidFill>
                <a:srgbClr val="6F91C8"/>
              </a:solidFill>
            </a:rPr>
            <a:t>MODIFICANDO FORMATOS</a:t>
          </a:r>
        </a:p>
      </xdr:txBody>
    </xdr:sp>
    <xdr:clientData fLocksWithSheet="0"/>
  </xdr:twoCellAnchor>
  <xdr:twoCellAnchor editAs="oneCell">
    <xdr:from>
      <xdr:col>1</xdr:col>
      <xdr:colOff>78441</xdr:colOff>
      <xdr:row>0</xdr:row>
      <xdr:rowOff>112059</xdr:rowOff>
    </xdr:from>
    <xdr:to>
      <xdr:col>3</xdr:col>
      <xdr:colOff>113715</xdr:colOff>
      <xdr:row>4</xdr:row>
      <xdr:rowOff>113715</xdr:rowOff>
    </xdr:to>
    <xdr:pic>
      <xdr:nvPicPr>
        <xdr:cNvPr id="11" name="Imagen 10" descr="Inicio - Colegio de Ingenieros del Perú">
          <a:extLst>
            <a:ext uri="{FF2B5EF4-FFF2-40B4-BE49-F238E27FC236}">
              <a16:creationId xmlns:a16="http://schemas.microsoft.com/office/drawing/2014/main" id="{4691EE69-8EDD-4743-B25E-2221F2A1B9F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559" y="112059"/>
          <a:ext cx="763656" cy="76365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15</xdr:row>
      <xdr:rowOff>47625</xdr:rowOff>
    </xdr:from>
    <xdr:to>
      <xdr:col>4</xdr:col>
      <xdr:colOff>2952750</xdr:colOff>
      <xdr:row>15</xdr:row>
      <xdr:rowOff>57154</xdr:rowOff>
    </xdr:to>
    <xdr:cxnSp macro="">
      <xdr:nvCxnSpPr>
        <xdr:cNvPr id="2" name="Línea superior" descr="Línea decorativa">
          <a:extLst>
            <a:ext uri="{FF2B5EF4-FFF2-40B4-BE49-F238E27FC236}">
              <a16:creationId xmlns:a16="http://schemas.microsoft.com/office/drawing/2014/main" id="{A1AA0B01-9917-4BC8-A0FA-D59C157DB149}"/>
            </a:ext>
          </a:extLst>
        </xdr:cNvPr>
        <xdr:cNvCxnSpPr>
          <a:cxnSpLocks/>
        </xdr:cNvCxnSpPr>
      </xdr:nvCxnSpPr>
      <xdr:spPr>
        <a:xfrm flipV="1">
          <a:off x="504825" y="2762250"/>
          <a:ext cx="4457700" cy="9529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42333</xdr:colOff>
      <xdr:row>5</xdr:row>
      <xdr:rowOff>126999</xdr:rowOff>
    </xdr:from>
    <xdr:to>
      <xdr:col>66</xdr:col>
      <xdr:colOff>317500</xdr:colOff>
      <xdr:row>5</xdr:row>
      <xdr:rowOff>137580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2B31F3DF-3A16-49E2-B384-5A3078BB4B53}"/>
            </a:ext>
          </a:extLst>
        </xdr:cNvPr>
        <xdr:cNvCxnSpPr/>
      </xdr:nvCxnSpPr>
      <xdr:spPr>
        <a:xfrm>
          <a:off x="261408" y="698499"/>
          <a:ext cx="42413767" cy="1058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33617</xdr:colOff>
      <xdr:row>0</xdr:row>
      <xdr:rowOff>100853</xdr:rowOff>
    </xdr:from>
    <xdr:to>
      <xdr:col>3</xdr:col>
      <xdr:colOff>68891</xdr:colOff>
      <xdr:row>4</xdr:row>
      <xdr:rowOff>102509</xdr:rowOff>
    </xdr:to>
    <xdr:pic>
      <xdr:nvPicPr>
        <xdr:cNvPr id="6" name="Imagen 5" descr="Inicio - Colegio de Ingenieros del Perú">
          <a:extLst>
            <a:ext uri="{FF2B5EF4-FFF2-40B4-BE49-F238E27FC236}">
              <a16:creationId xmlns:a16="http://schemas.microsoft.com/office/drawing/2014/main" id="{48597075-B932-4FF8-8F4E-148F267AD4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5" y="100853"/>
          <a:ext cx="763656" cy="76365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15</xdr:row>
      <xdr:rowOff>47625</xdr:rowOff>
    </xdr:from>
    <xdr:to>
      <xdr:col>4</xdr:col>
      <xdr:colOff>2952750</xdr:colOff>
      <xdr:row>15</xdr:row>
      <xdr:rowOff>57154</xdr:rowOff>
    </xdr:to>
    <xdr:cxnSp macro="">
      <xdr:nvCxnSpPr>
        <xdr:cNvPr id="2" name="Línea superior" descr="Línea decorativa">
          <a:extLst>
            <a:ext uri="{FF2B5EF4-FFF2-40B4-BE49-F238E27FC236}">
              <a16:creationId xmlns:a16="http://schemas.microsoft.com/office/drawing/2014/main" id="{65DB6EFB-016B-4642-B507-83F145A1DFD2}"/>
            </a:ext>
          </a:extLst>
        </xdr:cNvPr>
        <xdr:cNvCxnSpPr>
          <a:cxnSpLocks/>
        </xdr:cNvCxnSpPr>
      </xdr:nvCxnSpPr>
      <xdr:spPr>
        <a:xfrm flipV="1">
          <a:off x="504825" y="2762250"/>
          <a:ext cx="4457700" cy="9529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42333</xdr:colOff>
      <xdr:row>5</xdr:row>
      <xdr:rowOff>126999</xdr:rowOff>
    </xdr:from>
    <xdr:to>
      <xdr:col>35</xdr:col>
      <xdr:colOff>317500</xdr:colOff>
      <xdr:row>5</xdr:row>
      <xdr:rowOff>137580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4940481F-D044-4E0B-983C-33DDD82B4CD9}"/>
            </a:ext>
          </a:extLst>
        </xdr:cNvPr>
        <xdr:cNvCxnSpPr/>
      </xdr:nvCxnSpPr>
      <xdr:spPr>
        <a:xfrm>
          <a:off x="261408" y="698499"/>
          <a:ext cx="42413767" cy="1058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56029</xdr:colOff>
      <xdr:row>0</xdr:row>
      <xdr:rowOff>112059</xdr:rowOff>
    </xdr:from>
    <xdr:to>
      <xdr:col>3</xdr:col>
      <xdr:colOff>91303</xdr:colOff>
      <xdr:row>4</xdr:row>
      <xdr:rowOff>113715</xdr:rowOff>
    </xdr:to>
    <xdr:pic>
      <xdr:nvPicPr>
        <xdr:cNvPr id="6" name="Imagen 5" descr="Inicio - Colegio de Ingenieros del Perú">
          <a:extLst>
            <a:ext uri="{FF2B5EF4-FFF2-40B4-BE49-F238E27FC236}">
              <a16:creationId xmlns:a16="http://schemas.microsoft.com/office/drawing/2014/main" id="{16E1C55B-2307-4507-A934-E79C0B36C94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147" y="112059"/>
          <a:ext cx="763656" cy="76365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15</xdr:row>
      <xdr:rowOff>47625</xdr:rowOff>
    </xdr:from>
    <xdr:to>
      <xdr:col>4</xdr:col>
      <xdr:colOff>2952750</xdr:colOff>
      <xdr:row>15</xdr:row>
      <xdr:rowOff>57154</xdr:rowOff>
    </xdr:to>
    <xdr:cxnSp macro="">
      <xdr:nvCxnSpPr>
        <xdr:cNvPr id="2" name="Línea superior" descr="Línea decorativa">
          <a:extLst>
            <a:ext uri="{FF2B5EF4-FFF2-40B4-BE49-F238E27FC236}">
              <a16:creationId xmlns:a16="http://schemas.microsoft.com/office/drawing/2014/main" id="{592B3E87-A2E0-4F09-9A1B-E4D8FAEB5A0B}"/>
            </a:ext>
          </a:extLst>
        </xdr:cNvPr>
        <xdr:cNvCxnSpPr>
          <a:cxnSpLocks/>
        </xdr:cNvCxnSpPr>
      </xdr:nvCxnSpPr>
      <xdr:spPr>
        <a:xfrm flipV="1">
          <a:off x="504825" y="2762250"/>
          <a:ext cx="4457700" cy="9529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42333</xdr:colOff>
      <xdr:row>5</xdr:row>
      <xdr:rowOff>126999</xdr:rowOff>
    </xdr:from>
    <xdr:to>
      <xdr:col>33</xdr:col>
      <xdr:colOff>317500</xdr:colOff>
      <xdr:row>5</xdr:row>
      <xdr:rowOff>137580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91C4E6D2-8785-46B9-8BB8-AADCE0F2CE04}"/>
            </a:ext>
          </a:extLst>
        </xdr:cNvPr>
        <xdr:cNvCxnSpPr/>
      </xdr:nvCxnSpPr>
      <xdr:spPr>
        <a:xfrm>
          <a:off x="261408" y="698499"/>
          <a:ext cx="42413767" cy="1058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100853</xdr:colOff>
      <xdr:row>0</xdr:row>
      <xdr:rowOff>145676</xdr:rowOff>
    </xdr:from>
    <xdr:to>
      <xdr:col>3</xdr:col>
      <xdr:colOff>136127</xdr:colOff>
      <xdr:row>4</xdr:row>
      <xdr:rowOff>147332</xdr:rowOff>
    </xdr:to>
    <xdr:pic>
      <xdr:nvPicPr>
        <xdr:cNvPr id="6" name="Imagen 5" descr="Inicio - Colegio de Ingenieros del Perú">
          <a:extLst>
            <a:ext uri="{FF2B5EF4-FFF2-40B4-BE49-F238E27FC236}">
              <a16:creationId xmlns:a16="http://schemas.microsoft.com/office/drawing/2014/main" id="{DB7B2D6C-1292-4C7D-87C2-223DAB6D924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71" y="145676"/>
          <a:ext cx="763656" cy="76365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15</xdr:row>
      <xdr:rowOff>47625</xdr:rowOff>
    </xdr:from>
    <xdr:to>
      <xdr:col>4</xdr:col>
      <xdr:colOff>2952750</xdr:colOff>
      <xdr:row>15</xdr:row>
      <xdr:rowOff>57154</xdr:rowOff>
    </xdr:to>
    <xdr:cxnSp macro="">
      <xdr:nvCxnSpPr>
        <xdr:cNvPr id="2" name="Línea superior" descr="Línea decorativa">
          <a:extLst>
            <a:ext uri="{FF2B5EF4-FFF2-40B4-BE49-F238E27FC236}">
              <a16:creationId xmlns:a16="http://schemas.microsoft.com/office/drawing/2014/main" id="{AF71E4E1-D4EF-48E9-8520-8CE655F6C889}"/>
            </a:ext>
          </a:extLst>
        </xdr:cNvPr>
        <xdr:cNvCxnSpPr>
          <a:cxnSpLocks/>
        </xdr:cNvCxnSpPr>
      </xdr:nvCxnSpPr>
      <xdr:spPr>
        <a:xfrm flipV="1">
          <a:off x="504825" y="2762250"/>
          <a:ext cx="4457700" cy="9529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42333</xdr:colOff>
      <xdr:row>5</xdr:row>
      <xdr:rowOff>126999</xdr:rowOff>
    </xdr:from>
    <xdr:to>
      <xdr:col>26</xdr:col>
      <xdr:colOff>317500</xdr:colOff>
      <xdr:row>5</xdr:row>
      <xdr:rowOff>137580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A90F9984-F1FD-4F27-8FA1-3EA11B53F409}"/>
            </a:ext>
          </a:extLst>
        </xdr:cNvPr>
        <xdr:cNvCxnSpPr/>
      </xdr:nvCxnSpPr>
      <xdr:spPr>
        <a:xfrm>
          <a:off x="261408" y="698499"/>
          <a:ext cx="23287567" cy="1058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56029</xdr:colOff>
      <xdr:row>0</xdr:row>
      <xdr:rowOff>134471</xdr:rowOff>
    </xdr:from>
    <xdr:to>
      <xdr:col>3</xdr:col>
      <xdr:colOff>91303</xdr:colOff>
      <xdr:row>4</xdr:row>
      <xdr:rowOff>136127</xdr:rowOff>
    </xdr:to>
    <xdr:pic>
      <xdr:nvPicPr>
        <xdr:cNvPr id="6" name="Imagen 5" descr="Inicio - Colegio de Ingenieros del Perú">
          <a:extLst>
            <a:ext uri="{FF2B5EF4-FFF2-40B4-BE49-F238E27FC236}">
              <a16:creationId xmlns:a16="http://schemas.microsoft.com/office/drawing/2014/main" id="{36C06C0D-B30F-48B3-B160-C6E1B25818B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147" y="134471"/>
          <a:ext cx="763656" cy="76365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15</xdr:row>
      <xdr:rowOff>47625</xdr:rowOff>
    </xdr:from>
    <xdr:to>
      <xdr:col>4</xdr:col>
      <xdr:colOff>2952750</xdr:colOff>
      <xdr:row>15</xdr:row>
      <xdr:rowOff>57154</xdr:rowOff>
    </xdr:to>
    <xdr:cxnSp macro="">
      <xdr:nvCxnSpPr>
        <xdr:cNvPr id="2" name="Línea superior" descr="Línea decorativa">
          <a:extLst>
            <a:ext uri="{FF2B5EF4-FFF2-40B4-BE49-F238E27FC236}">
              <a16:creationId xmlns:a16="http://schemas.microsoft.com/office/drawing/2014/main" id="{1EA31C81-778F-450E-B07D-3A679FC68CB9}"/>
            </a:ext>
          </a:extLst>
        </xdr:cNvPr>
        <xdr:cNvCxnSpPr>
          <a:cxnSpLocks/>
        </xdr:cNvCxnSpPr>
      </xdr:nvCxnSpPr>
      <xdr:spPr>
        <a:xfrm flipV="1">
          <a:off x="504825" y="2762250"/>
          <a:ext cx="4457700" cy="9529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42333</xdr:colOff>
      <xdr:row>5</xdr:row>
      <xdr:rowOff>126999</xdr:rowOff>
    </xdr:from>
    <xdr:to>
      <xdr:col>22</xdr:col>
      <xdr:colOff>317500</xdr:colOff>
      <xdr:row>5</xdr:row>
      <xdr:rowOff>137580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86137E8D-7AFB-4EA1-9D19-7C9BA98977ED}"/>
            </a:ext>
          </a:extLst>
        </xdr:cNvPr>
        <xdr:cNvCxnSpPr/>
      </xdr:nvCxnSpPr>
      <xdr:spPr>
        <a:xfrm>
          <a:off x="261408" y="698499"/>
          <a:ext cx="20792017" cy="1058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67235</xdr:colOff>
      <xdr:row>0</xdr:row>
      <xdr:rowOff>112059</xdr:rowOff>
    </xdr:from>
    <xdr:to>
      <xdr:col>3</xdr:col>
      <xdr:colOff>102509</xdr:colOff>
      <xdr:row>4</xdr:row>
      <xdr:rowOff>113715</xdr:rowOff>
    </xdr:to>
    <xdr:pic>
      <xdr:nvPicPr>
        <xdr:cNvPr id="6" name="Imagen 5" descr="Inicio - Colegio de Ingenieros del Perú">
          <a:extLst>
            <a:ext uri="{FF2B5EF4-FFF2-40B4-BE49-F238E27FC236}">
              <a16:creationId xmlns:a16="http://schemas.microsoft.com/office/drawing/2014/main" id="{95310E27-5AAA-43B9-828F-BF75D82CF8D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353" y="112059"/>
          <a:ext cx="763656" cy="76365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15</xdr:row>
      <xdr:rowOff>47625</xdr:rowOff>
    </xdr:from>
    <xdr:to>
      <xdr:col>4</xdr:col>
      <xdr:colOff>2952750</xdr:colOff>
      <xdr:row>15</xdr:row>
      <xdr:rowOff>57154</xdr:rowOff>
    </xdr:to>
    <xdr:cxnSp macro="">
      <xdr:nvCxnSpPr>
        <xdr:cNvPr id="2" name="Línea superior" descr="Línea decorativa">
          <a:extLst>
            <a:ext uri="{FF2B5EF4-FFF2-40B4-BE49-F238E27FC236}">
              <a16:creationId xmlns:a16="http://schemas.microsoft.com/office/drawing/2014/main" id="{9108E1B5-1630-495C-9182-2176990B9DD5}"/>
            </a:ext>
          </a:extLst>
        </xdr:cNvPr>
        <xdr:cNvCxnSpPr>
          <a:cxnSpLocks/>
        </xdr:cNvCxnSpPr>
      </xdr:nvCxnSpPr>
      <xdr:spPr>
        <a:xfrm flipV="1">
          <a:off x="504825" y="2762250"/>
          <a:ext cx="4457700" cy="9529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42333</xdr:colOff>
      <xdr:row>5</xdr:row>
      <xdr:rowOff>126999</xdr:rowOff>
    </xdr:from>
    <xdr:to>
      <xdr:col>19</xdr:col>
      <xdr:colOff>317500</xdr:colOff>
      <xdr:row>5</xdr:row>
      <xdr:rowOff>137580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D776FAD1-1C4D-4021-830C-44FAC421FD61}"/>
            </a:ext>
          </a:extLst>
        </xdr:cNvPr>
        <xdr:cNvCxnSpPr/>
      </xdr:nvCxnSpPr>
      <xdr:spPr>
        <a:xfrm>
          <a:off x="261408" y="698499"/>
          <a:ext cx="17239192" cy="1058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134470</xdr:colOff>
      <xdr:row>0</xdr:row>
      <xdr:rowOff>112059</xdr:rowOff>
    </xdr:from>
    <xdr:to>
      <xdr:col>3</xdr:col>
      <xdr:colOff>169744</xdr:colOff>
      <xdr:row>4</xdr:row>
      <xdr:rowOff>113715</xdr:rowOff>
    </xdr:to>
    <xdr:pic>
      <xdr:nvPicPr>
        <xdr:cNvPr id="6" name="Imagen 5" descr="Inicio - Colegio de Ingenieros del Perú">
          <a:extLst>
            <a:ext uri="{FF2B5EF4-FFF2-40B4-BE49-F238E27FC236}">
              <a16:creationId xmlns:a16="http://schemas.microsoft.com/office/drawing/2014/main" id="{628B95F5-A4EF-485A-AEB4-EE119C64605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588" y="112059"/>
          <a:ext cx="763656" cy="76365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15</xdr:row>
      <xdr:rowOff>47625</xdr:rowOff>
    </xdr:from>
    <xdr:to>
      <xdr:col>4</xdr:col>
      <xdr:colOff>2952750</xdr:colOff>
      <xdr:row>15</xdr:row>
      <xdr:rowOff>57154</xdr:rowOff>
    </xdr:to>
    <xdr:cxnSp macro="">
      <xdr:nvCxnSpPr>
        <xdr:cNvPr id="2" name="Línea superior" descr="Línea decorativa">
          <a:extLst>
            <a:ext uri="{FF2B5EF4-FFF2-40B4-BE49-F238E27FC236}">
              <a16:creationId xmlns:a16="http://schemas.microsoft.com/office/drawing/2014/main" id="{B4B00A98-5DB3-41C3-B76B-213DA6A7B3BC}"/>
            </a:ext>
          </a:extLst>
        </xdr:cNvPr>
        <xdr:cNvCxnSpPr>
          <a:cxnSpLocks/>
        </xdr:cNvCxnSpPr>
      </xdr:nvCxnSpPr>
      <xdr:spPr>
        <a:xfrm flipV="1">
          <a:off x="504825" y="2762250"/>
          <a:ext cx="4457700" cy="9529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42333</xdr:colOff>
      <xdr:row>5</xdr:row>
      <xdr:rowOff>126999</xdr:rowOff>
    </xdr:from>
    <xdr:to>
      <xdr:col>15</xdr:col>
      <xdr:colOff>317500</xdr:colOff>
      <xdr:row>5</xdr:row>
      <xdr:rowOff>137580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1D1EB017-47AB-4C72-B7AF-CD08498EA3C4}"/>
            </a:ext>
          </a:extLst>
        </xdr:cNvPr>
        <xdr:cNvCxnSpPr/>
      </xdr:nvCxnSpPr>
      <xdr:spPr>
        <a:xfrm>
          <a:off x="261408" y="698499"/>
          <a:ext cx="14391217" cy="1058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35719</xdr:colOff>
      <xdr:row>1</xdr:row>
      <xdr:rowOff>35719</xdr:rowOff>
    </xdr:from>
    <xdr:to>
      <xdr:col>3</xdr:col>
      <xdr:colOff>85000</xdr:colOff>
      <xdr:row>5</xdr:row>
      <xdr:rowOff>37375</xdr:rowOff>
    </xdr:to>
    <xdr:pic>
      <xdr:nvPicPr>
        <xdr:cNvPr id="6" name="Imagen 5" descr="Inicio - Colegio de Ingenieros del Perú">
          <a:extLst>
            <a:ext uri="{FF2B5EF4-FFF2-40B4-BE49-F238E27FC236}">
              <a16:creationId xmlns:a16="http://schemas.microsoft.com/office/drawing/2014/main" id="{2F6EFB0A-D6D8-497D-99A4-5323525586E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032" y="226219"/>
          <a:ext cx="763656" cy="76365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15</xdr:row>
      <xdr:rowOff>47625</xdr:rowOff>
    </xdr:from>
    <xdr:to>
      <xdr:col>4</xdr:col>
      <xdr:colOff>2952750</xdr:colOff>
      <xdr:row>15</xdr:row>
      <xdr:rowOff>57154</xdr:rowOff>
    </xdr:to>
    <xdr:cxnSp macro="">
      <xdr:nvCxnSpPr>
        <xdr:cNvPr id="2" name="Línea superior" descr="Línea decorativa">
          <a:extLst>
            <a:ext uri="{FF2B5EF4-FFF2-40B4-BE49-F238E27FC236}">
              <a16:creationId xmlns:a16="http://schemas.microsoft.com/office/drawing/2014/main" id="{1D8B453C-47D8-4062-BB9B-52C6131E964A}"/>
            </a:ext>
          </a:extLst>
        </xdr:cNvPr>
        <xdr:cNvCxnSpPr>
          <a:cxnSpLocks/>
        </xdr:cNvCxnSpPr>
      </xdr:nvCxnSpPr>
      <xdr:spPr>
        <a:xfrm flipV="1">
          <a:off x="504825" y="2762250"/>
          <a:ext cx="4457700" cy="9529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42333</xdr:colOff>
      <xdr:row>5</xdr:row>
      <xdr:rowOff>126999</xdr:rowOff>
    </xdr:from>
    <xdr:to>
      <xdr:col>12</xdr:col>
      <xdr:colOff>317500</xdr:colOff>
      <xdr:row>5</xdr:row>
      <xdr:rowOff>137580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63E54771-0C27-4AF7-A647-F12A096D61DA}"/>
            </a:ext>
          </a:extLst>
        </xdr:cNvPr>
        <xdr:cNvCxnSpPr/>
      </xdr:nvCxnSpPr>
      <xdr:spPr>
        <a:xfrm>
          <a:off x="261408" y="698499"/>
          <a:ext cx="13829242" cy="1058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52334</xdr:colOff>
      <xdr:row>0</xdr:row>
      <xdr:rowOff>125604</xdr:rowOff>
    </xdr:from>
    <xdr:to>
      <xdr:col>3</xdr:col>
      <xdr:colOff>93765</xdr:colOff>
      <xdr:row>4</xdr:row>
      <xdr:rowOff>135634</xdr:rowOff>
    </xdr:to>
    <xdr:pic>
      <xdr:nvPicPr>
        <xdr:cNvPr id="6" name="Imagen 5" descr="Inicio - Colegio de Ingenieros del Perú">
          <a:extLst>
            <a:ext uri="{FF2B5EF4-FFF2-40B4-BE49-F238E27FC236}">
              <a16:creationId xmlns:a16="http://schemas.microsoft.com/office/drawing/2014/main" id="{08F96EE5-D341-47DE-BDE1-5BF094AB038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142" y="125604"/>
          <a:ext cx="763656" cy="76365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15</xdr:row>
      <xdr:rowOff>47625</xdr:rowOff>
    </xdr:from>
    <xdr:to>
      <xdr:col>4</xdr:col>
      <xdr:colOff>2952750</xdr:colOff>
      <xdr:row>15</xdr:row>
      <xdr:rowOff>57154</xdr:rowOff>
    </xdr:to>
    <xdr:cxnSp macro="">
      <xdr:nvCxnSpPr>
        <xdr:cNvPr id="2" name="Línea superior" descr="Línea decorativa">
          <a:extLst>
            <a:ext uri="{FF2B5EF4-FFF2-40B4-BE49-F238E27FC236}">
              <a16:creationId xmlns:a16="http://schemas.microsoft.com/office/drawing/2014/main" id="{9738B1F4-614E-4871-80FB-7878025082C5}"/>
            </a:ext>
          </a:extLst>
        </xdr:cNvPr>
        <xdr:cNvCxnSpPr>
          <a:cxnSpLocks/>
        </xdr:cNvCxnSpPr>
      </xdr:nvCxnSpPr>
      <xdr:spPr>
        <a:xfrm flipV="1">
          <a:off x="504825" y="2762250"/>
          <a:ext cx="4457700" cy="9529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42333</xdr:colOff>
      <xdr:row>5</xdr:row>
      <xdr:rowOff>126999</xdr:rowOff>
    </xdr:from>
    <xdr:to>
      <xdr:col>10</xdr:col>
      <xdr:colOff>0</xdr:colOff>
      <xdr:row>5</xdr:row>
      <xdr:rowOff>137580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A5524E8A-8898-4609-BB2E-031F28D14707}"/>
            </a:ext>
          </a:extLst>
        </xdr:cNvPr>
        <xdr:cNvCxnSpPr/>
      </xdr:nvCxnSpPr>
      <xdr:spPr>
        <a:xfrm>
          <a:off x="261408" y="698499"/>
          <a:ext cx="10724092" cy="1058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107156</xdr:colOff>
      <xdr:row>0</xdr:row>
      <xdr:rowOff>83344</xdr:rowOff>
    </xdr:from>
    <xdr:to>
      <xdr:col>3</xdr:col>
      <xdr:colOff>156437</xdr:colOff>
      <xdr:row>4</xdr:row>
      <xdr:rowOff>85000</xdr:rowOff>
    </xdr:to>
    <xdr:pic>
      <xdr:nvPicPr>
        <xdr:cNvPr id="6" name="Imagen 5" descr="Inicio - Colegio de Ingenieros del Perú">
          <a:extLst>
            <a:ext uri="{FF2B5EF4-FFF2-40B4-BE49-F238E27FC236}">
              <a16:creationId xmlns:a16="http://schemas.microsoft.com/office/drawing/2014/main" id="{2130916D-677B-4CC2-8D18-1918AA83A1D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469" y="83344"/>
          <a:ext cx="763656" cy="76365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15</xdr:row>
      <xdr:rowOff>47625</xdr:rowOff>
    </xdr:from>
    <xdr:to>
      <xdr:col>4</xdr:col>
      <xdr:colOff>2952750</xdr:colOff>
      <xdr:row>15</xdr:row>
      <xdr:rowOff>57154</xdr:rowOff>
    </xdr:to>
    <xdr:cxnSp macro="">
      <xdr:nvCxnSpPr>
        <xdr:cNvPr id="2" name="Línea superior" descr="Línea decorativa">
          <a:extLst>
            <a:ext uri="{FF2B5EF4-FFF2-40B4-BE49-F238E27FC236}">
              <a16:creationId xmlns:a16="http://schemas.microsoft.com/office/drawing/2014/main" id="{3567C5C1-1B3A-4F04-9C48-E1135881EDDE}"/>
            </a:ext>
          </a:extLst>
        </xdr:cNvPr>
        <xdr:cNvCxnSpPr>
          <a:cxnSpLocks/>
        </xdr:cNvCxnSpPr>
      </xdr:nvCxnSpPr>
      <xdr:spPr>
        <a:xfrm flipV="1">
          <a:off x="504825" y="2762250"/>
          <a:ext cx="4457700" cy="9529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42333</xdr:colOff>
      <xdr:row>5</xdr:row>
      <xdr:rowOff>126999</xdr:rowOff>
    </xdr:from>
    <xdr:to>
      <xdr:col>8</xdr:col>
      <xdr:colOff>0</xdr:colOff>
      <xdr:row>5</xdr:row>
      <xdr:rowOff>137580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81E55DD6-C787-465B-B7E4-BA6A51562C8E}"/>
            </a:ext>
          </a:extLst>
        </xdr:cNvPr>
        <xdr:cNvCxnSpPr/>
      </xdr:nvCxnSpPr>
      <xdr:spPr>
        <a:xfrm>
          <a:off x="261408" y="698499"/>
          <a:ext cx="8892117" cy="1058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</xdr:row>
      <xdr:rowOff>0</xdr:rowOff>
    </xdr:from>
    <xdr:to>
      <xdr:col>3</xdr:col>
      <xdr:colOff>42477</xdr:colOff>
      <xdr:row>5</xdr:row>
      <xdr:rowOff>1656</xdr:rowOff>
    </xdr:to>
    <xdr:pic>
      <xdr:nvPicPr>
        <xdr:cNvPr id="6" name="Imagen 5" descr="Inicio - Colegio de Ingenieros del Perú">
          <a:extLst>
            <a:ext uri="{FF2B5EF4-FFF2-40B4-BE49-F238E27FC236}">
              <a16:creationId xmlns:a16="http://schemas.microsoft.com/office/drawing/2014/main" id="{5D9F5704-0676-4B21-B27B-AB2E7049B64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714" y="190500"/>
          <a:ext cx="763656" cy="76365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/>
  </sheetPr>
  <dimension ref="A10:R110"/>
  <sheetViews>
    <sheetView showGridLines="0" tabSelected="1" zoomScale="85" zoomScaleNormal="85" workbookViewId="0">
      <selection activeCell="I17" sqref="I17"/>
    </sheetView>
  </sheetViews>
  <sheetFormatPr baseColWidth="10" defaultColWidth="9.140625" defaultRowHeight="15" x14ac:dyDescent="0.25"/>
  <cols>
    <col min="1" max="1" width="3.28515625" style="1" customWidth="1"/>
    <col min="2" max="2" width="3.28515625" style="2" customWidth="1"/>
    <col min="3" max="3" width="7.5703125" style="2" customWidth="1"/>
    <col min="4" max="4" width="16" style="2" customWidth="1"/>
    <col min="5" max="5" width="53.42578125" style="2" customWidth="1"/>
    <col min="6" max="6" width="3.42578125" style="2" customWidth="1"/>
    <col min="7" max="7" width="8.85546875" style="8" customWidth="1"/>
    <col min="8" max="16384" width="9.140625" style="8"/>
  </cols>
  <sheetData>
    <row r="10" spans="2:6" ht="15.75" customHeight="1" x14ac:dyDescent="0.25"/>
    <row r="11" spans="2:6" x14ac:dyDescent="0.25">
      <c r="B11" s="3"/>
      <c r="C11" s="3"/>
      <c r="D11" s="3"/>
      <c r="E11" s="3"/>
      <c r="F11" s="3"/>
    </row>
    <row r="12" spans="2:6" ht="33" customHeight="1" x14ac:dyDescent="0.25">
      <c r="B12" s="3"/>
      <c r="C12" s="109" t="s">
        <v>1</v>
      </c>
      <c r="D12" s="109"/>
      <c r="E12" s="109"/>
      <c r="F12" s="3"/>
    </row>
    <row r="13" spans="2:6" ht="15" customHeight="1" x14ac:dyDescent="0.25">
      <c r="B13" s="3"/>
      <c r="C13" s="109"/>
      <c r="D13" s="109"/>
      <c r="E13" s="109"/>
      <c r="F13" s="3"/>
    </row>
    <row r="14" spans="2:6" x14ac:dyDescent="0.25">
      <c r="B14" s="3"/>
      <c r="C14" s="109"/>
      <c r="D14" s="109"/>
      <c r="E14" s="109"/>
      <c r="F14" s="3"/>
    </row>
    <row r="15" spans="2:6" x14ac:dyDescent="0.25">
      <c r="B15" s="3"/>
      <c r="C15" s="109"/>
      <c r="D15" s="109"/>
      <c r="E15" s="109"/>
      <c r="F15" s="3"/>
    </row>
    <row r="16" spans="2:6" ht="15" customHeight="1" x14ac:dyDescent="0.25">
      <c r="B16" s="3"/>
      <c r="C16" s="3"/>
      <c r="D16" s="3"/>
      <c r="E16" s="3"/>
      <c r="F16" s="3"/>
    </row>
    <row r="17" spans="1:6" ht="17.25" customHeight="1" x14ac:dyDescent="0.25">
      <c r="B17" s="3"/>
      <c r="C17" s="110" t="s">
        <v>0</v>
      </c>
      <c r="D17" s="110"/>
      <c r="E17" s="110"/>
      <c r="F17" s="3"/>
    </row>
    <row r="18" spans="1:6" ht="15" customHeight="1" x14ac:dyDescent="0.25">
      <c r="B18" s="3"/>
      <c r="C18" s="110"/>
      <c r="D18" s="110"/>
      <c r="E18" s="110"/>
      <c r="F18" s="3"/>
    </row>
    <row r="19" spans="1:6" ht="15" customHeight="1" x14ac:dyDescent="0.25">
      <c r="B19" s="3"/>
      <c r="C19" s="10" t="s">
        <v>2</v>
      </c>
      <c r="D19" s="4"/>
      <c r="E19" s="4"/>
      <c r="F19" s="3"/>
    </row>
    <row r="20" spans="1:6" x14ac:dyDescent="0.25">
      <c r="B20" s="3"/>
      <c r="C20" s="10" t="s">
        <v>3</v>
      </c>
      <c r="D20" s="4"/>
      <c r="E20" s="4"/>
      <c r="F20" s="3"/>
    </row>
    <row r="21" spans="1:6" x14ac:dyDescent="0.25">
      <c r="B21" s="3"/>
      <c r="C21" s="10" t="s">
        <v>4</v>
      </c>
      <c r="D21" s="4"/>
      <c r="E21" s="4"/>
      <c r="F21" s="3"/>
    </row>
    <row r="22" spans="1:6" x14ac:dyDescent="0.25">
      <c r="B22" s="3"/>
      <c r="C22" s="10" t="s">
        <v>5</v>
      </c>
      <c r="D22" s="4"/>
      <c r="E22" s="4"/>
      <c r="F22" s="3"/>
    </row>
    <row r="23" spans="1:6" x14ac:dyDescent="0.25">
      <c r="B23" s="3"/>
      <c r="C23" s="4"/>
      <c r="D23" s="4"/>
      <c r="E23" s="4"/>
      <c r="F23" s="3"/>
    </row>
    <row r="24" spans="1:6" x14ac:dyDescent="0.25">
      <c r="B24" s="3"/>
      <c r="C24" s="4"/>
      <c r="D24" s="4"/>
      <c r="E24" s="4"/>
      <c r="F24" s="3"/>
    </row>
    <row r="25" spans="1:6" x14ac:dyDescent="0.25">
      <c r="B25" s="3"/>
      <c r="C25" s="4"/>
      <c r="D25" s="4"/>
      <c r="E25" s="4"/>
      <c r="F25" s="3"/>
    </row>
    <row r="26" spans="1:6" x14ac:dyDescent="0.25">
      <c r="B26" s="3"/>
      <c r="C26" s="4"/>
      <c r="D26" s="4"/>
      <c r="E26" s="4"/>
      <c r="F26" s="3"/>
    </row>
    <row r="27" spans="1:6" x14ac:dyDescent="0.25">
      <c r="B27" s="3"/>
      <c r="C27" s="4"/>
      <c r="D27" s="4"/>
      <c r="E27" s="4"/>
      <c r="F27" s="3"/>
    </row>
    <row r="28" spans="1:6" ht="15" customHeight="1" x14ac:dyDescent="0.25">
      <c r="B28" s="3"/>
      <c r="C28" s="110"/>
      <c r="D28" s="110"/>
      <c r="E28" s="110"/>
      <c r="F28" s="3"/>
    </row>
    <row r="29" spans="1:6" ht="15" customHeight="1" x14ac:dyDescent="0.25">
      <c r="A29" s="5"/>
      <c r="B29" s="3"/>
      <c r="C29" s="110"/>
      <c r="D29" s="110"/>
      <c r="E29" s="110"/>
      <c r="F29" s="3"/>
    </row>
    <row r="30" spans="1:6" ht="15" customHeight="1" x14ac:dyDescent="0.25">
      <c r="B30" s="3"/>
      <c r="C30" s="112"/>
      <c r="D30" s="112"/>
      <c r="E30" s="112"/>
      <c r="F30" s="3"/>
    </row>
    <row r="31" spans="1:6" x14ac:dyDescent="0.25">
      <c r="B31" s="3"/>
      <c r="C31" s="112"/>
      <c r="D31" s="112"/>
      <c r="E31" s="112"/>
      <c r="F31" s="3"/>
    </row>
    <row r="32" spans="1:6" x14ac:dyDescent="0.25">
      <c r="B32" s="3"/>
      <c r="C32" s="3"/>
      <c r="D32" s="3"/>
      <c r="E32" s="3"/>
      <c r="F32" s="3"/>
    </row>
    <row r="33" spans="1:6" x14ac:dyDescent="0.25">
      <c r="A33" s="6"/>
      <c r="B33" s="3"/>
      <c r="C33" s="111"/>
      <c r="D33" s="113"/>
      <c r="E33" s="113"/>
      <c r="F33" s="3"/>
    </row>
    <row r="34" spans="1:6" x14ac:dyDescent="0.25">
      <c r="B34" s="3"/>
      <c r="C34" s="111"/>
      <c r="D34" s="113"/>
      <c r="E34" s="113"/>
      <c r="F34" s="3"/>
    </row>
    <row r="35" spans="1:6" ht="15" customHeight="1" x14ac:dyDescent="0.25">
      <c r="A35" s="5"/>
      <c r="B35" s="3"/>
      <c r="C35" s="3"/>
      <c r="D35" s="3"/>
      <c r="E35" s="3"/>
      <c r="F35" s="3"/>
    </row>
    <row r="36" spans="1:6" x14ac:dyDescent="0.25">
      <c r="B36" s="3"/>
      <c r="C36" s="111"/>
      <c r="D36" s="114"/>
      <c r="E36" s="115"/>
      <c r="F36" s="3"/>
    </row>
    <row r="37" spans="1:6" x14ac:dyDescent="0.25">
      <c r="B37" s="3"/>
      <c r="C37" s="111"/>
      <c r="D37" s="115"/>
      <c r="E37" s="115"/>
      <c r="F37" s="3"/>
    </row>
    <row r="38" spans="1:6" ht="18.75" x14ac:dyDescent="0.25">
      <c r="B38" s="3"/>
      <c r="C38" s="11"/>
      <c r="D38" s="9"/>
      <c r="E38" s="9"/>
      <c r="F38" s="3"/>
    </row>
    <row r="39" spans="1:6" x14ac:dyDescent="0.25">
      <c r="B39" s="3"/>
      <c r="C39" s="111"/>
      <c r="D39" s="9"/>
      <c r="E39" s="9"/>
      <c r="F39" s="3"/>
    </row>
    <row r="40" spans="1:6" x14ac:dyDescent="0.25">
      <c r="B40" s="3"/>
      <c r="C40" s="111"/>
      <c r="D40" s="9"/>
      <c r="E40" s="9"/>
      <c r="F40" s="3"/>
    </row>
    <row r="41" spans="1:6" ht="18.75" x14ac:dyDescent="0.25">
      <c r="B41" s="3"/>
      <c r="C41" s="11"/>
      <c r="D41" s="9"/>
      <c r="E41" s="9"/>
      <c r="F41" s="3"/>
    </row>
    <row r="42" spans="1:6" ht="18.75" x14ac:dyDescent="0.25">
      <c r="B42" s="3"/>
      <c r="C42" s="11"/>
      <c r="D42" s="9"/>
      <c r="E42" s="9"/>
      <c r="F42" s="3"/>
    </row>
    <row r="43" spans="1:6" ht="18.75" x14ac:dyDescent="0.25">
      <c r="B43" s="3"/>
      <c r="C43" s="11"/>
      <c r="D43" s="9"/>
      <c r="E43" s="9"/>
      <c r="F43" s="3"/>
    </row>
    <row r="44" spans="1:6" ht="18.75" x14ac:dyDescent="0.25">
      <c r="B44" s="3"/>
      <c r="C44" s="11"/>
      <c r="D44" s="9"/>
      <c r="E44" s="9"/>
      <c r="F44" s="3"/>
    </row>
    <row r="45" spans="1:6" ht="18.75" x14ac:dyDescent="0.25">
      <c r="B45" s="3"/>
      <c r="C45" s="11"/>
      <c r="D45" s="9"/>
      <c r="E45" s="9"/>
      <c r="F45" s="3"/>
    </row>
    <row r="46" spans="1:6" ht="18.75" x14ac:dyDescent="0.25">
      <c r="B46" s="3"/>
      <c r="C46" s="11"/>
      <c r="D46" s="9"/>
      <c r="E46" s="9"/>
      <c r="F46" s="3"/>
    </row>
    <row r="47" spans="1:6" ht="18.75" x14ac:dyDescent="0.25">
      <c r="B47" s="3"/>
      <c r="C47" s="11"/>
      <c r="D47" s="9"/>
      <c r="E47" s="9"/>
      <c r="F47" s="3"/>
    </row>
    <row r="48" spans="1:6" ht="15" customHeight="1" x14ac:dyDescent="0.25">
      <c r="B48" s="3"/>
      <c r="C48" s="12"/>
      <c r="D48" s="3"/>
      <c r="E48" s="3"/>
      <c r="F48" s="3"/>
    </row>
    <row r="49" spans="2:6" ht="15" customHeight="1" x14ac:dyDescent="0.25">
      <c r="B49" s="3"/>
      <c r="C49" s="111"/>
      <c r="D49" s="3"/>
      <c r="E49" s="3"/>
      <c r="F49" s="3"/>
    </row>
    <row r="50" spans="2:6" x14ac:dyDescent="0.25">
      <c r="B50" s="3"/>
      <c r="C50" s="111"/>
      <c r="D50" s="3"/>
      <c r="E50" s="3"/>
      <c r="F50" s="3"/>
    </row>
    <row r="110" spans="1:18" s="7" customFormat="1" ht="17.45" customHeight="1" x14ac:dyDescent="0.25">
      <c r="A110" s="1"/>
      <c r="B110" s="2"/>
      <c r="C110" s="2"/>
      <c r="D110" s="2"/>
      <c r="E110" s="2"/>
      <c r="F110" s="2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</row>
  </sheetData>
  <mergeCells count="10">
    <mergeCell ref="C12:E15"/>
    <mergeCell ref="C28:E29"/>
    <mergeCell ref="C33:C34"/>
    <mergeCell ref="C36:C37"/>
    <mergeCell ref="C49:C50"/>
    <mergeCell ref="C39:C40"/>
    <mergeCell ref="C30:E31"/>
    <mergeCell ref="C17:E18"/>
    <mergeCell ref="D33:E34"/>
    <mergeCell ref="D36:E3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4C7F1-D205-45B7-BB51-66A9D3209EE7}">
  <sheetPr>
    <tabColor theme="7"/>
  </sheetPr>
  <dimension ref="A2:AD109"/>
  <sheetViews>
    <sheetView showGridLines="0" zoomScale="85" zoomScaleNormal="85" workbookViewId="0">
      <selection activeCell="A2" sqref="A2:XFD3"/>
    </sheetView>
  </sheetViews>
  <sheetFormatPr baseColWidth="10" defaultColWidth="9.140625" defaultRowHeight="15" x14ac:dyDescent="0.25"/>
  <cols>
    <col min="1" max="1" width="3.28515625" style="1" customWidth="1"/>
    <col min="2" max="2" width="3.28515625" style="2" customWidth="1"/>
    <col min="3" max="3" width="7.5703125" style="2" customWidth="1"/>
    <col min="4" max="4" width="16" style="2" customWidth="1"/>
    <col min="5" max="5" width="53.42578125" style="2" customWidth="1"/>
    <col min="6" max="6" width="3.42578125" style="2" customWidth="1"/>
    <col min="7" max="7" width="8.85546875" style="8" customWidth="1"/>
    <col min="8" max="9" width="11.42578125"/>
    <col min="10" max="10" width="11.28515625" customWidth="1"/>
    <col min="11" max="11" width="21.140625" customWidth="1"/>
    <col min="12" max="12" width="19.42578125" customWidth="1"/>
    <col min="13" max="19" width="11.42578125"/>
    <col min="20" max="16384" width="9.140625" style="8"/>
  </cols>
  <sheetData>
    <row r="2" spans="2:19" x14ac:dyDescent="0.25"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</row>
    <row r="3" spans="2:19" x14ac:dyDescent="0.25"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</row>
    <row r="4" spans="2:19" ht="15" customHeight="1" x14ac:dyDescent="0.25">
      <c r="H4" s="20"/>
      <c r="I4" s="21"/>
      <c r="J4" s="20"/>
      <c r="K4" s="20"/>
      <c r="L4" s="20"/>
      <c r="M4" s="20"/>
      <c r="N4" s="20"/>
      <c r="O4" s="20"/>
      <c r="P4" s="20"/>
      <c r="Q4" s="20"/>
      <c r="R4" s="20"/>
    </row>
    <row r="5" spans="2:19" ht="17.25" customHeight="1" x14ac:dyDescent="0.4">
      <c r="H5" s="20"/>
      <c r="I5" s="22"/>
      <c r="J5" s="20"/>
      <c r="K5" s="20"/>
      <c r="L5" s="20"/>
      <c r="M5" s="20"/>
      <c r="N5" s="20"/>
      <c r="O5" s="20"/>
      <c r="P5" s="20"/>
      <c r="Q5" s="20"/>
      <c r="R5" s="20"/>
    </row>
    <row r="6" spans="2:19" x14ac:dyDescent="0.25"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</row>
    <row r="7" spans="2:19" x14ac:dyDescent="0.25"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</row>
    <row r="8" spans="2:19" x14ac:dyDescent="0.25"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spans="2:19" ht="15.75" customHeight="1" x14ac:dyDescent="0.25"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2:19" x14ac:dyDescent="0.25">
      <c r="B10" s="3"/>
      <c r="C10" s="3"/>
      <c r="D10" s="3"/>
      <c r="E10" s="3"/>
      <c r="F10" s="3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2:19" ht="33" customHeight="1" x14ac:dyDescent="0.25">
      <c r="B11" s="3"/>
      <c r="C11" s="109" t="s">
        <v>54</v>
      </c>
      <c r="D11" s="109"/>
      <c r="E11" s="109"/>
      <c r="F11" s="3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2:19" ht="15" customHeight="1" x14ac:dyDescent="0.25">
      <c r="B12" s="3"/>
      <c r="C12" s="109"/>
      <c r="D12" s="109"/>
      <c r="E12" s="109"/>
      <c r="F12" s="3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19" x14ac:dyDescent="0.25">
      <c r="B13" s="3"/>
      <c r="C13" s="109"/>
      <c r="D13" s="109"/>
      <c r="E13" s="109"/>
      <c r="F13" s="3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2:19" x14ac:dyDescent="0.25">
      <c r="B14" s="3"/>
      <c r="C14" s="109"/>
      <c r="D14" s="109"/>
      <c r="E14" s="109"/>
      <c r="F14" s="3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spans="2:19" ht="15" customHeight="1" x14ac:dyDescent="0.25">
      <c r="B15" s="3"/>
      <c r="C15" s="3"/>
      <c r="D15" s="3"/>
      <c r="E15" s="3"/>
      <c r="F15" s="3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spans="2:19" ht="17.25" customHeight="1" x14ac:dyDescent="0.25">
      <c r="B16" s="3"/>
      <c r="C16" s="110" t="s">
        <v>0</v>
      </c>
      <c r="D16" s="110"/>
      <c r="E16" s="110"/>
      <c r="F16" s="3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1:18" ht="15" customHeight="1" x14ac:dyDescent="0.25">
      <c r="B17" s="3"/>
      <c r="C17" s="110"/>
      <c r="D17" s="110"/>
      <c r="E17" s="110"/>
      <c r="F17" s="3"/>
      <c r="H17" s="20"/>
      <c r="I17" s="23" t="s">
        <v>6</v>
      </c>
      <c r="J17" s="20"/>
      <c r="K17" s="20"/>
      <c r="L17" s="20"/>
      <c r="M17" s="20"/>
      <c r="N17" s="20"/>
      <c r="O17" s="20"/>
      <c r="P17" s="20"/>
      <c r="Q17" s="20"/>
      <c r="R17" s="20"/>
    </row>
    <row r="18" spans="1:18" ht="15" customHeight="1" x14ac:dyDescent="0.25">
      <c r="B18" s="3"/>
      <c r="C18" s="10" t="s">
        <v>55</v>
      </c>
      <c r="D18" s="4"/>
      <c r="E18" s="4"/>
      <c r="F18" s="3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</row>
    <row r="19" spans="1:18" ht="21" x14ac:dyDescent="0.35">
      <c r="B19" s="3"/>
      <c r="C19" s="10"/>
      <c r="D19" s="4"/>
      <c r="E19" s="4"/>
      <c r="F19" s="3"/>
      <c r="H19" s="20"/>
      <c r="I19" s="20"/>
      <c r="J19" s="118" t="s">
        <v>7</v>
      </c>
      <c r="K19" s="119"/>
      <c r="L19" s="20"/>
      <c r="M19" s="118" t="s">
        <v>8</v>
      </c>
      <c r="N19" s="119"/>
      <c r="O19" s="20"/>
      <c r="P19" s="118" t="s">
        <v>9</v>
      </c>
      <c r="Q19" s="119"/>
      <c r="R19" s="20"/>
    </row>
    <row r="20" spans="1:18" x14ac:dyDescent="0.25">
      <c r="B20" s="3"/>
      <c r="C20" s="10"/>
      <c r="D20" s="4"/>
      <c r="E20" s="4"/>
      <c r="F20" s="3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</row>
    <row r="21" spans="1:18" x14ac:dyDescent="0.25">
      <c r="B21" s="3"/>
      <c r="C21" s="10"/>
      <c r="D21" s="4"/>
      <c r="E21" s="4"/>
      <c r="F21" s="3"/>
      <c r="H21" s="20"/>
      <c r="I21" s="20"/>
      <c r="J21" s="24" t="s">
        <v>10</v>
      </c>
      <c r="K21" s="24" t="s">
        <v>11</v>
      </c>
      <c r="L21" s="20"/>
      <c r="M21" s="24" t="s">
        <v>10</v>
      </c>
      <c r="N21" s="24" t="s">
        <v>11</v>
      </c>
      <c r="O21" s="20"/>
      <c r="P21" s="24" t="s">
        <v>10</v>
      </c>
      <c r="Q21" s="24" t="s">
        <v>11</v>
      </c>
      <c r="R21" s="20"/>
    </row>
    <row r="22" spans="1:18" x14ac:dyDescent="0.25">
      <c r="B22" s="3"/>
      <c r="C22" s="4"/>
      <c r="D22" s="4"/>
      <c r="E22" s="4"/>
      <c r="F22" s="3"/>
      <c r="H22" s="20"/>
      <c r="I22" s="20"/>
      <c r="J22" s="25" t="s">
        <v>12</v>
      </c>
      <c r="K22" s="26">
        <v>1200</v>
      </c>
      <c r="L22" s="20"/>
      <c r="M22" s="25" t="s">
        <v>13</v>
      </c>
      <c r="N22" s="27">
        <v>42946</v>
      </c>
      <c r="O22" s="20"/>
      <c r="P22" s="25" t="s">
        <v>14</v>
      </c>
      <c r="Q22" s="28">
        <v>34796</v>
      </c>
      <c r="R22" s="20"/>
    </row>
    <row r="23" spans="1:18" x14ac:dyDescent="0.25">
      <c r="B23" s="3"/>
      <c r="C23" s="4"/>
      <c r="D23" s="4"/>
      <c r="E23" s="4"/>
      <c r="F23" s="3"/>
      <c r="H23" s="20"/>
      <c r="I23" s="20"/>
      <c r="J23" s="25" t="s">
        <v>15</v>
      </c>
      <c r="K23" s="26">
        <v>38410</v>
      </c>
      <c r="L23" s="20"/>
      <c r="M23" s="25" t="s">
        <v>16</v>
      </c>
      <c r="N23" s="27">
        <v>38291</v>
      </c>
      <c r="O23" s="20"/>
      <c r="P23" s="25" t="s">
        <v>17</v>
      </c>
      <c r="Q23" s="28">
        <v>36823</v>
      </c>
      <c r="R23" s="20"/>
    </row>
    <row r="24" spans="1:18" x14ac:dyDescent="0.25">
      <c r="B24" s="3"/>
      <c r="C24" s="4"/>
      <c r="D24" s="4"/>
      <c r="E24" s="4"/>
      <c r="F24" s="3"/>
      <c r="H24" s="20"/>
      <c r="I24" s="20"/>
      <c r="J24" s="25" t="s">
        <v>18</v>
      </c>
      <c r="K24" s="26">
        <v>40001</v>
      </c>
      <c r="L24" s="20"/>
      <c r="M24" s="25" t="s">
        <v>19</v>
      </c>
      <c r="N24" s="27">
        <v>26168</v>
      </c>
      <c r="O24" s="20"/>
      <c r="P24" s="25" t="s">
        <v>20</v>
      </c>
      <c r="Q24" s="28">
        <v>44164</v>
      </c>
      <c r="R24" s="20"/>
    </row>
    <row r="25" spans="1:18" x14ac:dyDescent="0.25">
      <c r="B25" s="3"/>
      <c r="C25" s="4"/>
      <c r="D25" s="4"/>
      <c r="E25" s="4"/>
      <c r="F25" s="3"/>
      <c r="H25" s="20"/>
      <c r="I25" s="20"/>
      <c r="J25" s="25" t="s">
        <v>21</v>
      </c>
      <c r="K25" s="26">
        <v>43958</v>
      </c>
      <c r="L25" s="20"/>
      <c r="M25" s="25" t="s">
        <v>22</v>
      </c>
      <c r="N25" s="27">
        <v>32245</v>
      </c>
      <c r="O25" s="20"/>
      <c r="P25" s="25" t="s">
        <v>23</v>
      </c>
      <c r="Q25" s="28">
        <v>41434</v>
      </c>
      <c r="R25" s="20"/>
    </row>
    <row r="26" spans="1:18" x14ac:dyDescent="0.25">
      <c r="B26" s="3"/>
      <c r="C26" s="4"/>
      <c r="D26" s="4"/>
      <c r="E26" s="4"/>
      <c r="F26" s="3"/>
      <c r="H26" s="20"/>
      <c r="I26" s="20"/>
      <c r="J26" s="25" t="s">
        <v>24</v>
      </c>
      <c r="K26" s="26">
        <v>40796</v>
      </c>
      <c r="L26" s="20"/>
      <c r="M26" s="25" t="s">
        <v>25</v>
      </c>
      <c r="N26" s="27">
        <v>41583</v>
      </c>
      <c r="O26" s="20"/>
      <c r="P26" s="25" t="s">
        <v>26</v>
      </c>
      <c r="Q26" s="28">
        <v>35167</v>
      </c>
      <c r="R26" s="20"/>
    </row>
    <row r="27" spans="1:18" ht="15" customHeight="1" x14ac:dyDescent="0.25">
      <c r="B27" s="3"/>
      <c r="C27" s="110"/>
      <c r="D27" s="110"/>
      <c r="E27" s="110"/>
      <c r="F27" s="3"/>
      <c r="H27" s="20"/>
      <c r="I27" s="20"/>
      <c r="J27" s="25" t="s">
        <v>27</v>
      </c>
      <c r="K27" s="26">
        <v>35845</v>
      </c>
      <c r="L27" s="20"/>
      <c r="M27" s="25" t="s">
        <v>28</v>
      </c>
      <c r="N27" s="27">
        <v>30206</v>
      </c>
      <c r="O27" s="20"/>
      <c r="P27" s="25" t="s">
        <v>29</v>
      </c>
      <c r="Q27" s="28">
        <v>29102</v>
      </c>
      <c r="R27" s="20"/>
    </row>
    <row r="28" spans="1:18" ht="15" customHeight="1" x14ac:dyDescent="0.25">
      <c r="A28" s="5"/>
      <c r="B28" s="3"/>
      <c r="C28" s="110"/>
      <c r="D28" s="110"/>
      <c r="E28" s="110"/>
      <c r="F28" s="3"/>
      <c r="H28" s="20"/>
      <c r="I28" s="20"/>
      <c r="J28" s="25" t="s">
        <v>30</v>
      </c>
      <c r="K28" s="26">
        <v>36604</v>
      </c>
      <c r="L28" s="20"/>
      <c r="M28" s="25" t="s">
        <v>31</v>
      </c>
      <c r="N28" s="27">
        <v>43831</v>
      </c>
      <c r="O28" s="20"/>
      <c r="P28" s="25" t="s">
        <v>32</v>
      </c>
      <c r="Q28" s="28">
        <v>27613</v>
      </c>
      <c r="R28" s="20"/>
    </row>
    <row r="29" spans="1:18" ht="15" customHeight="1" x14ac:dyDescent="0.25">
      <c r="B29" s="3"/>
      <c r="C29" s="112"/>
      <c r="D29" s="112"/>
      <c r="E29" s="112"/>
      <c r="F29" s="3"/>
      <c r="H29" s="20"/>
      <c r="I29" s="20"/>
      <c r="J29" s="25" t="s">
        <v>33</v>
      </c>
      <c r="K29" s="26">
        <v>41145</v>
      </c>
      <c r="L29" s="20"/>
      <c r="M29" s="25" t="s">
        <v>34</v>
      </c>
      <c r="N29" s="27">
        <v>32287</v>
      </c>
      <c r="O29" s="20"/>
      <c r="P29" s="25" t="s">
        <v>35</v>
      </c>
      <c r="Q29" s="28">
        <v>32495</v>
      </c>
      <c r="R29" s="20"/>
    </row>
    <row r="30" spans="1:18" x14ac:dyDescent="0.25">
      <c r="B30" s="3"/>
      <c r="C30" s="112"/>
      <c r="D30" s="112"/>
      <c r="E30" s="112"/>
      <c r="F30" s="3"/>
      <c r="H30" s="20"/>
      <c r="I30" s="20"/>
      <c r="J30" s="25" t="s">
        <v>36</v>
      </c>
      <c r="K30" s="26">
        <v>27707</v>
      </c>
      <c r="L30" s="20"/>
      <c r="M30" s="25" t="s">
        <v>37</v>
      </c>
      <c r="N30" s="27">
        <v>36676</v>
      </c>
      <c r="O30" s="20"/>
      <c r="P30" s="25" t="s">
        <v>38</v>
      </c>
      <c r="Q30" s="28">
        <v>33417</v>
      </c>
      <c r="R30" s="20"/>
    </row>
    <row r="31" spans="1:18" x14ac:dyDescent="0.25">
      <c r="B31" s="3"/>
      <c r="C31" s="3"/>
      <c r="D31" s="3"/>
      <c r="E31" s="3"/>
      <c r="F31" s="3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</row>
    <row r="32" spans="1:18" x14ac:dyDescent="0.25">
      <c r="A32" s="6"/>
      <c r="B32" s="3"/>
      <c r="C32" s="111"/>
      <c r="D32" s="113"/>
      <c r="E32" s="113"/>
      <c r="F32" s="3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</row>
    <row r="33" spans="1:18" x14ac:dyDescent="0.25">
      <c r="B33" s="3"/>
      <c r="C33" s="111"/>
      <c r="D33" s="113"/>
      <c r="E33" s="113"/>
      <c r="F33" s="3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</row>
    <row r="34" spans="1:18" ht="15" customHeight="1" x14ac:dyDescent="0.25">
      <c r="A34" s="5"/>
      <c r="B34" s="3"/>
      <c r="C34" s="3"/>
      <c r="D34" s="3"/>
      <c r="E34" s="3"/>
      <c r="F34" s="3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</row>
    <row r="35" spans="1:18" x14ac:dyDescent="0.25">
      <c r="B35" s="3"/>
      <c r="C35" s="111"/>
      <c r="D35" s="114"/>
      <c r="E35" s="115"/>
      <c r="F35" s="3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</row>
    <row r="36" spans="1:18" x14ac:dyDescent="0.25">
      <c r="B36" s="3"/>
      <c r="C36" s="111"/>
      <c r="D36" s="115"/>
      <c r="E36" s="115"/>
      <c r="F36" s="3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</row>
    <row r="37" spans="1:18" ht="30" x14ac:dyDescent="0.25">
      <c r="B37" s="3"/>
      <c r="C37" s="14"/>
      <c r="D37" s="16"/>
      <c r="E37" s="16"/>
      <c r="F37" s="3"/>
      <c r="H37" s="20"/>
      <c r="I37" s="29"/>
      <c r="J37" s="100" t="s">
        <v>39</v>
      </c>
      <c r="K37" s="101" t="s">
        <v>40</v>
      </c>
      <c r="L37" s="101" t="s">
        <v>41</v>
      </c>
      <c r="M37" s="98"/>
      <c r="N37" s="99"/>
      <c r="O37" s="98"/>
      <c r="P37" s="98"/>
      <c r="Q37" s="20"/>
      <c r="R37" s="20"/>
    </row>
    <row r="38" spans="1:18" x14ac:dyDescent="0.25">
      <c r="B38" s="3"/>
      <c r="C38" s="111"/>
      <c r="D38" s="16"/>
      <c r="E38" s="16"/>
      <c r="F38" s="3"/>
      <c r="H38" s="20"/>
      <c r="I38" s="20"/>
      <c r="J38" s="102">
        <v>10025</v>
      </c>
      <c r="K38" s="103">
        <v>40714</v>
      </c>
      <c r="L38" s="103">
        <f>K38+90</f>
        <v>40804</v>
      </c>
      <c r="M38" s="98"/>
      <c r="N38" s="99"/>
      <c r="O38" s="98"/>
      <c r="P38" s="98"/>
      <c r="Q38" s="20"/>
      <c r="R38" s="20"/>
    </row>
    <row r="39" spans="1:18" x14ac:dyDescent="0.25">
      <c r="B39" s="3"/>
      <c r="C39" s="111"/>
      <c r="D39" s="16"/>
      <c r="E39" s="16"/>
      <c r="F39" s="3"/>
      <c r="H39" s="20"/>
      <c r="I39" s="20"/>
      <c r="J39" s="102">
        <v>10026</v>
      </c>
      <c r="K39" s="103">
        <v>40714</v>
      </c>
      <c r="L39" s="103">
        <f>K39+120</f>
        <v>40834</v>
      </c>
      <c r="M39" s="98"/>
      <c r="N39" s="99"/>
      <c r="O39" s="98"/>
      <c r="P39" s="98"/>
      <c r="Q39" s="20"/>
      <c r="R39" s="20"/>
    </row>
    <row r="40" spans="1:18" ht="18.75" x14ac:dyDescent="0.25">
      <c r="B40" s="3"/>
      <c r="C40" s="14"/>
      <c r="D40" s="16"/>
      <c r="E40" s="16"/>
      <c r="F40" s="3"/>
      <c r="H40" s="20"/>
      <c r="I40" s="20"/>
      <c r="J40" s="102">
        <v>10027</v>
      </c>
      <c r="K40" s="103">
        <v>40714</v>
      </c>
      <c r="L40" s="103">
        <f>K40+45</f>
        <v>40759</v>
      </c>
      <c r="M40" s="98"/>
      <c r="N40" s="99"/>
      <c r="O40" s="98"/>
      <c r="P40" s="98"/>
      <c r="Q40" s="20"/>
      <c r="R40" s="20"/>
    </row>
    <row r="41" spans="1:18" ht="18.75" x14ac:dyDescent="0.25">
      <c r="B41" s="3"/>
      <c r="C41" s="14"/>
      <c r="D41" s="16"/>
      <c r="E41" s="16"/>
      <c r="F41" s="3"/>
      <c r="H41" s="20"/>
      <c r="I41" s="20"/>
      <c r="J41" s="102">
        <v>10028</v>
      </c>
      <c r="K41" s="103">
        <v>40714</v>
      </c>
      <c r="L41" s="103">
        <f>K41+180</f>
        <v>40894</v>
      </c>
      <c r="M41" s="98"/>
      <c r="N41" s="99"/>
      <c r="O41" s="98"/>
      <c r="P41" s="98"/>
      <c r="Q41" s="20"/>
      <c r="R41" s="20"/>
    </row>
    <row r="42" spans="1:18" ht="18.75" x14ac:dyDescent="0.25">
      <c r="B42" s="3"/>
      <c r="C42" s="14"/>
      <c r="D42" s="16"/>
      <c r="E42" s="16"/>
      <c r="F42" s="3"/>
      <c r="H42" s="20"/>
      <c r="I42" s="20"/>
      <c r="J42" s="20"/>
      <c r="K42" s="39"/>
      <c r="L42" s="40"/>
      <c r="M42" s="40"/>
      <c r="N42" s="20"/>
      <c r="O42" s="20"/>
      <c r="P42" s="20"/>
      <c r="Q42" s="20"/>
      <c r="R42" s="20"/>
    </row>
    <row r="43" spans="1:18" ht="18.75" x14ac:dyDescent="0.25">
      <c r="B43" s="3"/>
      <c r="C43" s="14"/>
      <c r="D43" s="16"/>
      <c r="E43" s="16"/>
      <c r="F43" s="3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</row>
    <row r="44" spans="1:18" ht="18.75" x14ac:dyDescent="0.25">
      <c r="B44" s="3"/>
      <c r="C44" s="14"/>
      <c r="D44" s="16"/>
      <c r="E44" s="16"/>
      <c r="F44" s="3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</row>
    <row r="45" spans="1:18" ht="18.75" x14ac:dyDescent="0.25">
      <c r="B45" s="3"/>
      <c r="C45" s="14"/>
      <c r="D45" s="16"/>
      <c r="E45" s="16"/>
      <c r="F45" s="3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</row>
    <row r="46" spans="1:18" ht="18.75" x14ac:dyDescent="0.25">
      <c r="B46" s="3"/>
      <c r="C46" s="14"/>
      <c r="D46" s="16"/>
      <c r="E46" s="16"/>
      <c r="F46" s="3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</row>
    <row r="47" spans="1:18" ht="15" customHeight="1" x14ac:dyDescent="0.25">
      <c r="B47" s="3"/>
      <c r="C47" s="12"/>
      <c r="D47" s="3"/>
      <c r="E47" s="3"/>
      <c r="F47" s="3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</row>
    <row r="48" spans="1:18" ht="15" customHeight="1" x14ac:dyDescent="0.25">
      <c r="B48" s="3"/>
      <c r="C48" s="111"/>
      <c r="D48" s="3"/>
      <c r="E48" s="3"/>
      <c r="F48" s="3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</row>
    <row r="49" spans="2:18" ht="18.75" x14ac:dyDescent="0.3">
      <c r="B49" s="3"/>
      <c r="C49" s="111"/>
      <c r="D49" s="3"/>
      <c r="E49" s="3"/>
      <c r="F49" s="3"/>
      <c r="H49" s="20"/>
      <c r="I49" s="30" t="s">
        <v>42</v>
      </c>
      <c r="J49" s="31"/>
      <c r="K49" s="31"/>
      <c r="L49" s="31"/>
      <c r="M49" s="31"/>
      <c r="N49" s="31"/>
      <c r="O49" s="31"/>
      <c r="P49" s="31"/>
      <c r="Q49" s="31"/>
      <c r="R49" s="31"/>
    </row>
    <row r="50" spans="2:18" ht="18.75" x14ac:dyDescent="0.25">
      <c r="B50" s="3"/>
      <c r="C50" s="14"/>
      <c r="D50" s="16"/>
      <c r="E50" s="16"/>
      <c r="F50" s="3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</row>
    <row r="51" spans="2:18" x14ac:dyDescent="0.25">
      <c r="B51" s="3"/>
      <c r="C51" s="12"/>
      <c r="D51" s="3"/>
      <c r="E51" s="3"/>
      <c r="F51" s="3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</row>
    <row r="52" spans="2:18" ht="15" customHeight="1" x14ac:dyDescent="0.25">
      <c r="B52" s="3"/>
      <c r="C52" s="111"/>
      <c r="D52" s="3"/>
      <c r="E52" s="3"/>
      <c r="F52" s="3"/>
      <c r="H52" s="20"/>
      <c r="I52" s="20"/>
      <c r="K52" s="116" t="s">
        <v>43</v>
      </c>
      <c r="L52" s="41" t="s">
        <v>44</v>
      </c>
      <c r="M52" s="38"/>
      <c r="N52" s="20"/>
      <c r="O52" s="20"/>
      <c r="P52" s="20"/>
      <c r="Q52" s="20"/>
      <c r="R52" s="20"/>
    </row>
    <row r="53" spans="2:18" ht="30" x14ac:dyDescent="0.25">
      <c r="B53" s="3"/>
      <c r="C53" s="111"/>
      <c r="D53" s="3"/>
      <c r="E53" s="3"/>
      <c r="F53" s="3"/>
      <c r="H53" s="20"/>
      <c r="I53" s="20"/>
      <c r="K53" s="117"/>
      <c r="L53" s="100" t="s">
        <v>45</v>
      </c>
      <c r="M53" s="32" t="s">
        <v>46</v>
      </c>
      <c r="N53" s="20"/>
      <c r="O53" s="20"/>
      <c r="P53" s="20"/>
      <c r="Q53" s="20"/>
      <c r="R53" s="20"/>
    </row>
    <row r="54" spans="2:18" ht="18.75" x14ac:dyDescent="0.25">
      <c r="B54" s="3"/>
      <c r="C54" s="14"/>
      <c r="D54" s="16"/>
      <c r="E54" s="16"/>
      <c r="F54" s="3"/>
      <c r="H54" s="20"/>
      <c r="I54" s="20"/>
      <c r="K54" s="42" t="s">
        <v>47</v>
      </c>
      <c r="L54" s="104">
        <v>0.23630000000000001</v>
      </c>
      <c r="M54" s="33">
        <v>0.1565</v>
      </c>
      <c r="N54" s="20"/>
      <c r="O54" s="20"/>
      <c r="P54" s="20"/>
      <c r="Q54" s="20"/>
      <c r="R54" s="20"/>
    </row>
    <row r="55" spans="2:18" x14ac:dyDescent="0.25">
      <c r="B55" s="3"/>
      <c r="C55" s="12"/>
      <c r="D55" s="3"/>
      <c r="E55" s="3"/>
      <c r="F55" s="3"/>
      <c r="H55" s="20"/>
      <c r="I55" s="20"/>
      <c r="K55" s="42" t="s">
        <v>48</v>
      </c>
      <c r="L55" s="33">
        <v>0.31759999999999999</v>
      </c>
      <c r="M55" s="33">
        <v>0.1618</v>
      </c>
      <c r="N55" s="20"/>
      <c r="O55" s="20"/>
      <c r="P55" s="20"/>
      <c r="Q55" s="20"/>
      <c r="R55" s="20"/>
    </row>
    <row r="56" spans="2:18" x14ac:dyDescent="0.25">
      <c r="B56" s="3"/>
      <c r="C56" s="111"/>
      <c r="D56" s="3"/>
      <c r="E56" s="3"/>
      <c r="F56" s="3"/>
      <c r="H56" s="20"/>
      <c r="I56" s="20"/>
      <c r="K56" s="42" t="s">
        <v>49</v>
      </c>
      <c r="L56" s="33">
        <v>0.3977</v>
      </c>
      <c r="M56" s="33">
        <v>0.2142</v>
      </c>
      <c r="N56" s="20"/>
      <c r="O56" s="20"/>
      <c r="P56" s="20"/>
      <c r="Q56" s="20"/>
      <c r="R56" s="20"/>
    </row>
    <row r="57" spans="2:18" x14ac:dyDescent="0.25">
      <c r="B57" s="3"/>
      <c r="C57" s="111"/>
      <c r="D57" s="3"/>
      <c r="E57" s="3"/>
      <c r="F57" s="3"/>
      <c r="H57" s="20"/>
      <c r="I57" s="20"/>
      <c r="K57" s="42" t="s">
        <v>50</v>
      </c>
      <c r="L57" s="33">
        <v>9.7299999999999998E-2</v>
      </c>
      <c r="M57" s="33">
        <v>8.4500000000000006E-2</v>
      </c>
      <c r="N57" s="20"/>
      <c r="O57" s="20"/>
      <c r="P57" s="20"/>
      <c r="Q57" s="20"/>
      <c r="R57" s="20"/>
    </row>
    <row r="58" spans="2:18" ht="18.75" x14ac:dyDescent="0.25">
      <c r="B58" s="3"/>
      <c r="C58" s="14"/>
      <c r="D58" s="16"/>
      <c r="E58" s="16"/>
      <c r="F58" s="3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</row>
    <row r="59" spans="2:18" x14ac:dyDescent="0.25">
      <c r="B59" s="3"/>
      <c r="C59" s="12"/>
      <c r="D59" s="3"/>
      <c r="E59" s="3"/>
      <c r="F59" s="3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</row>
    <row r="60" spans="2:18" x14ac:dyDescent="0.25">
      <c r="B60" s="3"/>
      <c r="C60" s="111"/>
      <c r="D60" s="3"/>
      <c r="E60" s="3"/>
      <c r="F60" s="3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</row>
    <row r="61" spans="2:18" x14ac:dyDescent="0.25">
      <c r="B61" s="3"/>
      <c r="C61" s="111"/>
      <c r="D61" s="3"/>
      <c r="E61" s="3"/>
      <c r="F61" s="3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</row>
    <row r="62" spans="2:18" ht="18.75" x14ac:dyDescent="0.25">
      <c r="B62" s="3"/>
      <c r="C62" s="14"/>
      <c r="D62" s="16"/>
      <c r="E62" s="16"/>
      <c r="F62" s="3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</row>
    <row r="63" spans="2:18" x14ac:dyDescent="0.25">
      <c r="B63" s="3"/>
      <c r="C63" s="12"/>
      <c r="D63" s="3"/>
      <c r="E63" s="3"/>
      <c r="F63" s="3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</row>
    <row r="64" spans="2:18" x14ac:dyDescent="0.25">
      <c r="B64" s="3"/>
      <c r="C64" s="111"/>
      <c r="D64" s="3"/>
      <c r="E64" s="3"/>
      <c r="F64" s="3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</row>
    <row r="65" spans="2:18" ht="18.75" x14ac:dyDescent="0.25">
      <c r="B65" s="3"/>
      <c r="C65" s="111"/>
      <c r="D65" s="3"/>
      <c r="E65" s="3"/>
      <c r="F65" s="3"/>
      <c r="H65" s="34"/>
      <c r="I65" s="34"/>
      <c r="J65" s="43" t="s">
        <v>51</v>
      </c>
      <c r="K65" s="44"/>
      <c r="L65" s="44"/>
      <c r="M65" s="45"/>
      <c r="N65" s="35"/>
      <c r="O65" s="34"/>
      <c r="P65" s="34"/>
      <c r="Q65" s="34"/>
      <c r="R65" s="34"/>
    </row>
    <row r="66" spans="2:18" ht="18.75" x14ac:dyDescent="0.25">
      <c r="B66" s="3"/>
      <c r="C66" s="14"/>
      <c r="D66" s="16"/>
      <c r="E66" s="16"/>
      <c r="F66" s="3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</row>
    <row r="67" spans="2:18" ht="18.75" x14ac:dyDescent="0.25">
      <c r="B67" s="3"/>
      <c r="C67" s="12"/>
      <c r="D67" s="3"/>
      <c r="E67" s="3"/>
      <c r="F67" s="3"/>
      <c r="H67" s="34"/>
      <c r="I67" s="34"/>
      <c r="J67" s="43" t="s">
        <v>52</v>
      </c>
      <c r="K67" s="44"/>
      <c r="L67" s="44"/>
      <c r="M67" s="45"/>
      <c r="N67" s="36"/>
      <c r="O67" s="34"/>
      <c r="P67" s="34"/>
      <c r="Q67" s="34"/>
      <c r="R67" s="34"/>
    </row>
    <row r="68" spans="2:18" x14ac:dyDescent="0.25">
      <c r="B68" s="3"/>
      <c r="C68" s="111"/>
      <c r="D68" s="3"/>
      <c r="E68" s="3"/>
      <c r="F68" s="3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</row>
    <row r="69" spans="2:18" ht="18.75" x14ac:dyDescent="0.25">
      <c r="B69" s="3"/>
      <c r="C69" s="111"/>
      <c r="D69" s="3"/>
      <c r="E69" s="3"/>
      <c r="F69" s="3"/>
      <c r="H69" s="34"/>
      <c r="I69" s="34"/>
      <c r="J69" s="43" t="s">
        <v>53</v>
      </c>
      <c r="K69" s="44"/>
      <c r="L69" s="44"/>
      <c r="M69" s="45"/>
      <c r="N69" s="37"/>
      <c r="O69" s="34"/>
      <c r="P69" s="34"/>
      <c r="Q69" s="34"/>
      <c r="R69" s="34"/>
    </row>
    <row r="70" spans="2:18" ht="18.75" x14ac:dyDescent="0.25">
      <c r="B70" s="3"/>
      <c r="C70" s="14"/>
      <c r="D70" s="16"/>
      <c r="E70" s="16"/>
      <c r="F70" s="3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</row>
    <row r="71" spans="2:18" x14ac:dyDescent="0.25">
      <c r="B71" s="3"/>
      <c r="C71" s="12"/>
      <c r="D71" s="3"/>
      <c r="E71" s="3"/>
      <c r="F71" s="3"/>
    </row>
    <row r="109" spans="1:30" s="7" customFormat="1" ht="17.45" customHeight="1" x14ac:dyDescent="0.25">
      <c r="A109" s="1"/>
      <c r="B109" s="2"/>
      <c r="C109" s="2"/>
      <c r="D109" s="2"/>
      <c r="E109" s="2"/>
      <c r="F109" s="2"/>
      <c r="G109" s="8"/>
      <c r="H109"/>
      <c r="I109"/>
      <c r="J109"/>
      <c r="K109"/>
      <c r="L109"/>
      <c r="M109"/>
      <c r="N109"/>
      <c r="O109"/>
      <c r="P109"/>
      <c r="Q109"/>
      <c r="R109"/>
      <c r="S109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</sheetData>
  <mergeCells count="19">
    <mergeCell ref="C35:C36"/>
    <mergeCell ref="D35:E36"/>
    <mergeCell ref="C38:C39"/>
    <mergeCell ref="C48:C49"/>
    <mergeCell ref="J19:K19"/>
    <mergeCell ref="C29:E30"/>
    <mergeCell ref="C32:C33"/>
    <mergeCell ref="D32:E33"/>
    <mergeCell ref="M19:N19"/>
    <mergeCell ref="P19:Q19"/>
    <mergeCell ref="C11:E14"/>
    <mergeCell ref="C16:E17"/>
    <mergeCell ref="C27:E28"/>
    <mergeCell ref="C56:C57"/>
    <mergeCell ref="C60:C61"/>
    <mergeCell ref="C64:C65"/>
    <mergeCell ref="C68:C69"/>
    <mergeCell ref="K52:K53"/>
    <mergeCell ref="C52:C53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BFBE9-21C6-46D5-BC61-666DF4189612}">
  <sheetPr>
    <tabColor theme="7"/>
  </sheetPr>
  <dimension ref="A10:S110"/>
  <sheetViews>
    <sheetView showGridLines="0" zoomScale="85" zoomScaleNormal="85" workbookViewId="0">
      <selection activeCell="D3" sqref="D3"/>
    </sheetView>
  </sheetViews>
  <sheetFormatPr baseColWidth="10" defaultColWidth="9.140625" defaultRowHeight="15" x14ac:dyDescent="0.25"/>
  <cols>
    <col min="1" max="1" width="3.28515625" style="1" customWidth="1"/>
    <col min="2" max="2" width="3.28515625" style="2" customWidth="1"/>
    <col min="3" max="3" width="7.5703125" style="2" customWidth="1"/>
    <col min="4" max="4" width="16" style="2" customWidth="1"/>
    <col min="5" max="5" width="53.42578125" style="2" customWidth="1"/>
    <col min="6" max="6" width="3.42578125" style="2" customWidth="1"/>
    <col min="7" max="7" width="8.85546875" style="8" customWidth="1"/>
    <col min="8" max="8" width="9.140625" style="8"/>
    <col min="9" max="9" width="17.28515625" style="8" customWidth="1"/>
    <col min="10" max="16384" width="9.140625" style="8"/>
  </cols>
  <sheetData>
    <row r="10" spans="2:10" ht="15.75" customHeight="1" x14ac:dyDescent="0.25"/>
    <row r="11" spans="2:10" x14ac:dyDescent="0.25">
      <c r="B11" s="3"/>
      <c r="C11" s="3"/>
      <c r="D11" s="3"/>
      <c r="E11" s="3"/>
      <c r="F11" s="3"/>
    </row>
    <row r="12" spans="2:10" ht="33" customHeight="1" x14ac:dyDescent="0.25">
      <c r="B12" s="3"/>
      <c r="C12" s="109" t="s">
        <v>57</v>
      </c>
      <c r="D12" s="109"/>
      <c r="E12" s="109"/>
      <c r="F12" s="3"/>
    </row>
    <row r="13" spans="2:10" ht="15" customHeight="1" x14ac:dyDescent="0.25">
      <c r="B13" s="3"/>
      <c r="C13" s="109"/>
      <c r="D13" s="109"/>
      <c r="E13" s="109"/>
      <c r="F13" s="3"/>
      <c r="H13" s="8" t="s">
        <v>58</v>
      </c>
      <c r="I13" s="46" t="s">
        <v>59</v>
      </c>
      <c r="J13" s="107" t="s">
        <v>60</v>
      </c>
    </row>
    <row r="14" spans="2:10" x14ac:dyDescent="0.25">
      <c r="B14" s="3"/>
      <c r="C14" s="109"/>
      <c r="D14" s="109"/>
      <c r="E14" s="109"/>
      <c r="F14" s="3"/>
      <c r="I14" s="13" t="s">
        <v>61</v>
      </c>
      <c r="J14" s="13" t="s">
        <v>62</v>
      </c>
    </row>
    <row r="15" spans="2:10" x14ac:dyDescent="0.25">
      <c r="B15" s="3"/>
      <c r="C15" s="109"/>
      <c r="D15" s="109"/>
      <c r="E15" s="109"/>
      <c r="F15" s="3"/>
      <c r="I15" s="13" t="s">
        <v>63</v>
      </c>
      <c r="J15" s="13" t="s">
        <v>64</v>
      </c>
    </row>
    <row r="16" spans="2:10" ht="15" customHeight="1" x14ac:dyDescent="0.25">
      <c r="B16" s="3"/>
      <c r="C16" s="3"/>
      <c r="D16" s="3"/>
      <c r="E16" s="3"/>
      <c r="F16" s="3"/>
      <c r="I16" s="13" t="s">
        <v>65</v>
      </c>
      <c r="J16" s="47" t="s">
        <v>66</v>
      </c>
    </row>
    <row r="17" spans="1:19" ht="17.25" customHeight="1" x14ac:dyDescent="0.25">
      <c r="B17" s="3"/>
      <c r="C17" s="110" t="s">
        <v>0</v>
      </c>
      <c r="D17" s="110"/>
      <c r="E17" s="110"/>
      <c r="F17" s="3"/>
    </row>
    <row r="18" spans="1:19" ht="15" customHeight="1" x14ac:dyDescent="0.25">
      <c r="B18" s="3"/>
      <c r="C18" s="110"/>
      <c r="D18" s="110"/>
      <c r="E18" s="110"/>
      <c r="F18" s="3"/>
    </row>
    <row r="19" spans="1:19" ht="15" customHeight="1" x14ac:dyDescent="0.25">
      <c r="B19" s="3"/>
      <c r="C19" s="10" t="s">
        <v>56</v>
      </c>
      <c r="D19" s="4"/>
      <c r="E19" s="4"/>
      <c r="F19" s="3"/>
    </row>
    <row r="20" spans="1:19" x14ac:dyDescent="0.25">
      <c r="B20" s="3"/>
      <c r="C20" s="10" t="s">
        <v>68</v>
      </c>
      <c r="D20" s="4"/>
      <c r="E20" s="4"/>
      <c r="F20" s="3"/>
      <c r="H20" s="8" t="s">
        <v>67</v>
      </c>
      <c r="I20" s="99" t="s">
        <v>62</v>
      </c>
    </row>
    <row r="21" spans="1:19" x14ac:dyDescent="0.25">
      <c r="B21" s="3"/>
      <c r="C21" s="10" t="s">
        <v>69</v>
      </c>
      <c r="D21" s="4"/>
      <c r="E21" s="4"/>
      <c r="F21" s="3"/>
    </row>
    <row r="22" spans="1:19" x14ac:dyDescent="0.25">
      <c r="B22" s="3"/>
      <c r="C22" s="10"/>
      <c r="D22" s="4"/>
      <c r="E22" s="4"/>
      <c r="F22" s="3"/>
    </row>
    <row r="23" spans="1:19" x14ac:dyDescent="0.25">
      <c r="B23" s="3"/>
      <c r="C23" s="4"/>
      <c r="D23" s="4"/>
      <c r="E23" s="4"/>
      <c r="F23" s="3"/>
    </row>
    <row r="24" spans="1:19" x14ac:dyDescent="0.25">
      <c r="B24" s="3"/>
      <c r="C24" s="4"/>
      <c r="D24" s="4"/>
      <c r="E24" s="4"/>
      <c r="F24" s="3"/>
      <c r="H24" s="8" t="s">
        <v>70</v>
      </c>
      <c r="I24" s="120" t="s">
        <v>71</v>
      </c>
      <c r="J24" s="120"/>
      <c r="K24" s="120"/>
      <c r="L24" s="120"/>
      <c r="M24" s="120"/>
      <c r="N24" s="120"/>
      <c r="O24" s="120"/>
      <c r="P24" s="120"/>
      <c r="Q24" s="120"/>
      <c r="R24" s="120"/>
      <c r="S24" s="120"/>
    </row>
    <row r="25" spans="1:19" x14ac:dyDescent="0.25">
      <c r="B25" s="3"/>
      <c r="C25" s="4"/>
      <c r="D25" s="4"/>
      <c r="E25" s="4"/>
      <c r="F25" s="3"/>
    </row>
    <row r="26" spans="1:19" x14ac:dyDescent="0.25">
      <c r="B26" s="3"/>
      <c r="C26" s="4"/>
      <c r="D26" s="4"/>
      <c r="E26" s="4"/>
      <c r="F26" s="3"/>
    </row>
    <row r="27" spans="1:19" x14ac:dyDescent="0.25">
      <c r="B27" s="3"/>
      <c r="C27" s="4"/>
      <c r="D27" s="4"/>
      <c r="E27" s="4"/>
      <c r="F27" s="3"/>
    </row>
    <row r="28" spans="1:19" ht="15" customHeight="1" x14ac:dyDescent="0.25">
      <c r="B28" s="3"/>
      <c r="C28" s="110"/>
      <c r="D28" s="110"/>
      <c r="E28" s="110"/>
      <c r="F28" s="3"/>
    </row>
    <row r="29" spans="1:19" ht="15" customHeight="1" x14ac:dyDescent="0.25">
      <c r="A29" s="5"/>
      <c r="B29" s="3"/>
      <c r="C29" s="110"/>
      <c r="D29" s="110"/>
      <c r="E29" s="110"/>
      <c r="F29" s="3"/>
    </row>
    <row r="30" spans="1:19" ht="15" customHeight="1" x14ac:dyDescent="0.25">
      <c r="B30" s="3"/>
      <c r="C30" s="112"/>
      <c r="D30" s="112"/>
      <c r="E30" s="112"/>
      <c r="F30" s="3"/>
    </row>
    <row r="31" spans="1:19" x14ac:dyDescent="0.25">
      <c r="B31" s="3"/>
      <c r="C31" s="112"/>
      <c r="D31" s="112"/>
      <c r="E31" s="112"/>
      <c r="F31" s="3"/>
    </row>
    <row r="32" spans="1:19" x14ac:dyDescent="0.25">
      <c r="B32" s="3"/>
      <c r="C32" s="3"/>
      <c r="D32" s="3"/>
      <c r="E32" s="3"/>
      <c r="F32" s="3"/>
    </row>
    <row r="33" spans="1:6" x14ac:dyDescent="0.25">
      <c r="A33" s="6"/>
      <c r="B33" s="3"/>
      <c r="C33" s="111"/>
      <c r="D33" s="113"/>
      <c r="E33" s="113"/>
      <c r="F33" s="3"/>
    </row>
    <row r="34" spans="1:6" x14ac:dyDescent="0.25">
      <c r="B34" s="3"/>
      <c r="C34" s="111"/>
      <c r="D34" s="113"/>
      <c r="E34" s="113"/>
      <c r="F34" s="3"/>
    </row>
    <row r="35" spans="1:6" ht="15" customHeight="1" x14ac:dyDescent="0.25">
      <c r="A35" s="5"/>
      <c r="B35" s="3"/>
      <c r="C35" s="3"/>
      <c r="D35" s="3"/>
      <c r="E35" s="3"/>
      <c r="F35" s="3"/>
    </row>
    <row r="36" spans="1:6" x14ac:dyDescent="0.25">
      <c r="B36" s="3"/>
      <c r="C36" s="111"/>
      <c r="D36" s="114"/>
      <c r="E36" s="115"/>
      <c r="F36" s="3"/>
    </row>
    <row r="37" spans="1:6" x14ac:dyDescent="0.25">
      <c r="B37" s="3"/>
      <c r="C37" s="111"/>
      <c r="D37" s="115"/>
      <c r="E37" s="115"/>
      <c r="F37" s="3"/>
    </row>
    <row r="38" spans="1:6" ht="18.75" x14ac:dyDescent="0.25">
      <c r="B38" s="3"/>
      <c r="C38" s="14"/>
      <c r="D38" s="16"/>
      <c r="E38" s="16"/>
      <c r="F38" s="3"/>
    </row>
    <row r="39" spans="1:6" x14ac:dyDescent="0.25">
      <c r="B39" s="3"/>
      <c r="C39" s="111"/>
      <c r="D39" s="16"/>
      <c r="E39" s="16"/>
      <c r="F39" s="3"/>
    </row>
    <row r="40" spans="1:6" x14ac:dyDescent="0.25">
      <c r="B40" s="3"/>
      <c r="C40" s="111"/>
      <c r="D40" s="16"/>
      <c r="E40" s="16"/>
      <c r="F40" s="3"/>
    </row>
    <row r="41" spans="1:6" ht="18.75" x14ac:dyDescent="0.25">
      <c r="B41" s="3"/>
      <c r="C41" s="14"/>
      <c r="D41" s="16"/>
      <c r="E41" s="16"/>
      <c r="F41" s="3"/>
    </row>
    <row r="42" spans="1:6" ht="18.75" x14ac:dyDescent="0.25">
      <c r="B42" s="3"/>
      <c r="C42" s="14"/>
      <c r="D42" s="16"/>
      <c r="E42" s="16"/>
      <c r="F42" s="3"/>
    </row>
    <row r="43" spans="1:6" ht="18.75" x14ac:dyDescent="0.25">
      <c r="B43" s="3"/>
      <c r="C43" s="14"/>
      <c r="D43" s="16"/>
      <c r="E43" s="16"/>
      <c r="F43" s="3"/>
    </row>
    <row r="44" spans="1:6" ht="18.75" x14ac:dyDescent="0.25">
      <c r="B44" s="3"/>
      <c r="C44" s="14"/>
      <c r="D44" s="16"/>
      <c r="E44" s="16"/>
      <c r="F44" s="3"/>
    </row>
    <row r="45" spans="1:6" ht="18.75" x14ac:dyDescent="0.25">
      <c r="B45" s="3"/>
      <c r="C45" s="14"/>
      <c r="D45" s="16"/>
      <c r="E45" s="16"/>
      <c r="F45" s="3"/>
    </row>
    <row r="46" spans="1:6" ht="18.75" x14ac:dyDescent="0.25">
      <c r="B46" s="3"/>
      <c r="C46" s="14"/>
      <c r="D46" s="16"/>
      <c r="E46" s="16"/>
      <c r="F46" s="3"/>
    </row>
    <row r="47" spans="1:6" ht="18.75" x14ac:dyDescent="0.25">
      <c r="B47" s="3"/>
      <c r="C47" s="14"/>
      <c r="D47" s="16"/>
      <c r="E47" s="16"/>
      <c r="F47" s="3"/>
    </row>
    <row r="48" spans="1:6" ht="15" customHeight="1" x14ac:dyDescent="0.25">
      <c r="B48" s="3"/>
      <c r="C48" s="12"/>
      <c r="D48" s="3"/>
      <c r="E48" s="3"/>
      <c r="F48" s="3"/>
    </row>
    <row r="49" spans="2:6" ht="15" customHeight="1" x14ac:dyDescent="0.25">
      <c r="B49" s="3"/>
      <c r="C49" s="111"/>
      <c r="D49" s="3"/>
      <c r="E49" s="3"/>
      <c r="F49" s="3"/>
    </row>
    <row r="50" spans="2:6" x14ac:dyDescent="0.25">
      <c r="B50" s="3"/>
      <c r="C50" s="111"/>
      <c r="D50" s="3"/>
      <c r="E50" s="3"/>
      <c r="F50" s="3"/>
    </row>
    <row r="110" spans="1:18" s="7" customFormat="1" ht="17.45" customHeight="1" x14ac:dyDescent="0.25">
      <c r="A110" s="1"/>
      <c r="B110" s="2"/>
      <c r="C110" s="2"/>
      <c r="D110" s="2"/>
      <c r="E110" s="2"/>
      <c r="F110" s="2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</row>
  </sheetData>
  <mergeCells count="11">
    <mergeCell ref="C12:E15"/>
    <mergeCell ref="C17:E18"/>
    <mergeCell ref="C28:E29"/>
    <mergeCell ref="C30:E31"/>
    <mergeCell ref="C33:C34"/>
    <mergeCell ref="D33:E34"/>
    <mergeCell ref="C36:C37"/>
    <mergeCell ref="D36:E37"/>
    <mergeCell ref="C39:C40"/>
    <mergeCell ref="C49:C50"/>
    <mergeCell ref="I24:S24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50A3F-5DA7-48E9-8999-4460DBD436B0}">
  <sheetPr>
    <tabColor theme="7"/>
  </sheetPr>
  <dimension ref="A10:P664"/>
  <sheetViews>
    <sheetView showGridLines="0" zoomScale="85" zoomScaleNormal="85" workbookViewId="0">
      <selection activeCell="C3" sqref="C3"/>
    </sheetView>
  </sheetViews>
  <sheetFormatPr baseColWidth="10" defaultColWidth="9.140625" defaultRowHeight="15" x14ac:dyDescent="0.25"/>
  <cols>
    <col min="1" max="1" width="3.28515625" style="1" customWidth="1"/>
    <col min="2" max="2" width="3.28515625" style="2" customWidth="1"/>
    <col min="3" max="3" width="7.5703125" style="2" customWidth="1"/>
    <col min="4" max="4" width="16" style="2" customWidth="1"/>
    <col min="5" max="5" width="53.42578125" style="2" customWidth="1"/>
    <col min="6" max="6" width="3.42578125" style="2" customWidth="1"/>
    <col min="7" max="7" width="8.85546875" style="8" customWidth="1"/>
    <col min="8" max="9" width="9.140625" style="8"/>
    <col min="10" max="10" width="11" style="8" bestFit="1" customWidth="1"/>
    <col min="11" max="11" width="10.7109375" style="8" bestFit="1" customWidth="1"/>
    <col min="12" max="12" width="10.28515625" style="8" bestFit="1" customWidth="1"/>
    <col min="13" max="13" width="10.5703125" style="8" bestFit="1" customWidth="1"/>
    <col min="14" max="14" width="9.140625" style="8"/>
    <col min="15" max="15" width="10.5703125" style="8" bestFit="1" customWidth="1"/>
    <col min="16" max="16" width="14.5703125" style="8" bestFit="1" customWidth="1"/>
    <col min="17" max="16384" width="9.140625" style="8"/>
  </cols>
  <sheetData>
    <row r="10" spans="2:6" ht="15.75" customHeight="1" x14ac:dyDescent="0.25"/>
    <row r="11" spans="2:6" x14ac:dyDescent="0.25">
      <c r="B11" s="3"/>
      <c r="C11" s="3"/>
      <c r="D11" s="3"/>
      <c r="E11" s="3"/>
      <c r="F11" s="3"/>
    </row>
    <row r="12" spans="2:6" ht="33" customHeight="1" x14ac:dyDescent="0.25">
      <c r="B12" s="3"/>
      <c r="C12" s="109" t="s">
        <v>72</v>
      </c>
      <c r="D12" s="109"/>
      <c r="E12" s="109"/>
      <c r="F12" s="3"/>
    </row>
    <row r="13" spans="2:6" ht="15" customHeight="1" x14ac:dyDescent="0.25">
      <c r="B13" s="3"/>
      <c r="C13" s="109"/>
      <c r="D13" s="109"/>
      <c r="E13" s="109"/>
      <c r="F13" s="3"/>
    </row>
    <row r="14" spans="2:6" x14ac:dyDescent="0.25">
      <c r="B14" s="3"/>
      <c r="C14" s="109"/>
      <c r="D14" s="109"/>
      <c r="E14" s="109"/>
      <c r="F14" s="3"/>
    </row>
    <row r="15" spans="2:6" x14ac:dyDescent="0.25">
      <c r="B15" s="3"/>
      <c r="C15" s="109"/>
      <c r="D15" s="109"/>
      <c r="E15" s="109"/>
      <c r="F15" s="3"/>
    </row>
    <row r="16" spans="2:6" ht="15" customHeight="1" x14ac:dyDescent="0.25">
      <c r="B16" s="3"/>
      <c r="C16" s="3"/>
      <c r="D16" s="3"/>
      <c r="E16" s="3"/>
      <c r="F16" s="3"/>
    </row>
    <row r="17" spans="1:16" ht="17.25" customHeight="1" x14ac:dyDescent="0.25">
      <c r="B17" s="3"/>
      <c r="C17" s="110" t="s">
        <v>0</v>
      </c>
      <c r="D17" s="110"/>
      <c r="E17" s="110"/>
      <c r="F17" s="3"/>
    </row>
    <row r="18" spans="1:16" ht="15" customHeight="1" x14ac:dyDescent="0.25">
      <c r="B18" s="3"/>
      <c r="C18" s="110"/>
      <c r="D18" s="110"/>
      <c r="E18" s="110"/>
      <c r="F18" s="3"/>
    </row>
    <row r="19" spans="1:16" ht="34.5" customHeight="1" x14ac:dyDescent="0.25">
      <c r="B19" s="3"/>
      <c r="C19" s="121" t="s">
        <v>73</v>
      </c>
      <c r="D19" s="121"/>
      <c r="E19" s="121"/>
      <c r="F19" s="121"/>
      <c r="J19" s="50" t="s">
        <v>76</v>
      </c>
      <c r="K19" s="50" t="s">
        <v>77</v>
      </c>
      <c r="L19" s="50" t="s">
        <v>78</v>
      </c>
      <c r="M19" s="50" t="s">
        <v>79</v>
      </c>
      <c r="N19" s="50" t="s">
        <v>80</v>
      </c>
      <c r="O19" s="50" t="s">
        <v>81</v>
      </c>
      <c r="P19" s="50" t="s">
        <v>82</v>
      </c>
    </row>
    <row r="20" spans="1:16" ht="30.75" customHeight="1" x14ac:dyDescent="0.25">
      <c r="B20" s="3"/>
      <c r="C20" s="121" t="s">
        <v>74</v>
      </c>
      <c r="D20" s="121"/>
      <c r="E20" s="121"/>
      <c r="F20" s="121"/>
      <c r="J20">
        <v>1</v>
      </c>
      <c r="K20" s="48">
        <v>37987</v>
      </c>
      <c r="L20" t="s">
        <v>83</v>
      </c>
      <c r="M20" t="s">
        <v>84</v>
      </c>
      <c r="N20" t="s">
        <v>85</v>
      </c>
      <c r="O20">
        <v>291</v>
      </c>
      <c r="P20" s="49">
        <v>2133903</v>
      </c>
    </row>
    <row r="21" spans="1:16" ht="30" customHeight="1" x14ac:dyDescent="0.25">
      <c r="B21" s="3"/>
      <c r="C21" s="121" t="s">
        <v>75</v>
      </c>
      <c r="D21" s="121"/>
      <c r="E21" s="121"/>
      <c r="F21" s="121"/>
      <c r="J21">
        <v>2</v>
      </c>
      <c r="K21" s="48">
        <v>37987</v>
      </c>
      <c r="L21" t="s">
        <v>86</v>
      </c>
      <c r="M21" t="s">
        <v>87</v>
      </c>
      <c r="N21" t="s">
        <v>88</v>
      </c>
      <c r="O21">
        <v>199</v>
      </c>
      <c r="P21" s="49">
        <v>1945424</v>
      </c>
    </row>
    <row r="22" spans="1:16" x14ac:dyDescent="0.25">
      <c r="B22" s="3"/>
      <c r="C22" s="10"/>
      <c r="D22" s="4"/>
      <c r="E22" s="4"/>
      <c r="F22" s="3"/>
      <c r="J22">
        <v>3</v>
      </c>
      <c r="K22" s="48">
        <v>37987</v>
      </c>
      <c r="L22" t="s">
        <v>89</v>
      </c>
      <c r="M22" t="s">
        <v>84</v>
      </c>
      <c r="N22" t="s">
        <v>88</v>
      </c>
      <c r="O22">
        <v>82</v>
      </c>
      <c r="P22" s="49">
        <v>712416</v>
      </c>
    </row>
    <row r="23" spans="1:16" x14ac:dyDescent="0.25">
      <c r="B23" s="3"/>
      <c r="C23" s="4"/>
      <c r="D23" s="4"/>
      <c r="E23" s="4"/>
      <c r="F23" s="3"/>
      <c r="J23">
        <v>4</v>
      </c>
      <c r="K23" s="48">
        <v>37988</v>
      </c>
      <c r="L23" t="s">
        <v>83</v>
      </c>
      <c r="M23" t="s">
        <v>84</v>
      </c>
      <c r="N23" t="s">
        <v>88</v>
      </c>
      <c r="O23">
        <v>285</v>
      </c>
      <c r="P23" s="49">
        <v>1815450</v>
      </c>
    </row>
    <row r="24" spans="1:16" x14ac:dyDescent="0.25">
      <c r="B24" s="3"/>
      <c r="C24" s="4"/>
      <c r="D24" s="4"/>
      <c r="E24" s="4"/>
      <c r="F24" s="3"/>
      <c r="J24">
        <v>5</v>
      </c>
      <c r="K24" s="48">
        <v>37988</v>
      </c>
      <c r="L24" t="s">
        <v>90</v>
      </c>
      <c r="M24" t="s">
        <v>87</v>
      </c>
      <c r="N24" t="s">
        <v>91</v>
      </c>
      <c r="O24">
        <v>152</v>
      </c>
      <c r="P24" s="49">
        <v>1138024</v>
      </c>
    </row>
    <row r="25" spans="1:16" x14ac:dyDescent="0.25">
      <c r="B25" s="3"/>
      <c r="C25" s="4"/>
      <c r="D25" s="4"/>
      <c r="E25" s="4"/>
      <c r="F25" s="3"/>
      <c r="J25">
        <v>6</v>
      </c>
      <c r="K25" s="48">
        <v>37989</v>
      </c>
      <c r="L25" t="s">
        <v>92</v>
      </c>
      <c r="M25" t="s">
        <v>84</v>
      </c>
      <c r="N25" t="s">
        <v>88</v>
      </c>
      <c r="O25">
        <v>131</v>
      </c>
      <c r="P25" s="49">
        <v>953156</v>
      </c>
    </row>
    <row r="26" spans="1:16" x14ac:dyDescent="0.25">
      <c r="B26" s="3"/>
      <c r="C26" s="4"/>
      <c r="D26" s="4"/>
      <c r="E26" s="4"/>
      <c r="F26" s="3"/>
      <c r="J26">
        <v>7</v>
      </c>
      <c r="K26" s="48">
        <v>37989</v>
      </c>
      <c r="L26" t="s">
        <v>83</v>
      </c>
      <c r="M26" t="s">
        <v>84</v>
      </c>
      <c r="N26" t="s">
        <v>91</v>
      </c>
      <c r="O26">
        <v>69</v>
      </c>
      <c r="P26" s="49">
        <v>406686</v>
      </c>
    </row>
    <row r="27" spans="1:16" x14ac:dyDescent="0.25">
      <c r="B27" s="3"/>
      <c r="C27" s="4"/>
      <c r="D27" s="4"/>
      <c r="E27" s="4"/>
      <c r="F27" s="3"/>
      <c r="J27">
        <v>8</v>
      </c>
      <c r="K27" s="48">
        <v>37989</v>
      </c>
      <c r="L27" t="s">
        <v>89</v>
      </c>
      <c r="M27" t="s">
        <v>87</v>
      </c>
      <c r="N27" t="s">
        <v>88</v>
      </c>
      <c r="O27">
        <v>235</v>
      </c>
      <c r="P27" s="49">
        <v>2158475</v>
      </c>
    </row>
    <row r="28" spans="1:16" ht="15" customHeight="1" x14ac:dyDescent="0.25">
      <c r="B28" s="3"/>
      <c r="C28" s="110"/>
      <c r="D28" s="110"/>
      <c r="E28" s="110"/>
      <c r="F28" s="3"/>
      <c r="J28">
        <v>9</v>
      </c>
      <c r="K28" s="48">
        <v>37990</v>
      </c>
      <c r="L28" t="s">
        <v>93</v>
      </c>
      <c r="M28" t="s">
        <v>84</v>
      </c>
      <c r="N28" t="s">
        <v>85</v>
      </c>
      <c r="O28">
        <v>108</v>
      </c>
      <c r="P28" s="49">
        <v>1024380</v>
      </c>
    </row>
    <row r="29" spans="1:16" ht="15" customHeight="1" x14ac:dyDescent="0.25">
      <c r="A29" s="5"/>
      <c r="B29" s="3"/>
      <c r="C29" s="110"/>
      <c r="D29" s="110"/>
      <c r="E29" s="110"/>
      <c r="F29" s="3"/>
      <c r="J29">
        <v>10</v>
      </c>
      <c r="K29" s="48">
        <v>37990</v>
      </c>
      <c r="L29" t="s">
        <v>83</v>
      </c>
      <c r="M29" t="s">
        <v>87</v>
      </c>
      <c r="N29" t="s">
        <v>85</v>
      </c>
      <c r="O29">
        <v>299</v>
      </c>
      <c r="P29" s="49">
        <v>2042768</v>
      </c>
    </row>
    <row r="30" spans="1:16" ht="15" customHeight="1" x14ac:dyDescent="0.25">
      <c r="B30" s="3"/>
      <c r="C30" s="112"/>
      <c r="D30" s="112"/>
      <c r="E30" s="112"/>
      <c r="F30" s="3"/>
      <c r="J30">
        <v>11</v>
      </c>
      <c r="K30" s="48">
        <v>37990</v>
      </c>
      <c r="L30" t="s">
        <v>89</v>
      </c>
      <c r="M30" t="s">
        <v>84</v>
      </c>
      <c r="N30" t="s">
        <v>88</v>
      </c>
      <c r="O30">
        <v>124</v>
      </c>
      <c r="P30" s="49">
        <v>627068</v>
      </c>
    </row>
    <row r="31" spans="1:16" x14ac:dyDescent="0.25">
      <c r="B31" s="3"/>
      <c r="C31" s="112"/>
      <c r="D31" s="112"/>
      <c r="E31" s="112"/>
      <c r="F31" s="3"/>
      <c r="J31">
        <v>12</v>
      </c>
      <c r="K31" s="48">
        <v>37990</v>
      </c>
      <c r="L31" t="s">
        <v>92</v>
      </c>
      <c r="M31" t="s">
        <v>87</v>
      </c>
      <c r="N31" t="s">
        <v>88</v>
      </c>
      <c r="O31">
        <v>187</v>
      </c>
      <c r="P31" s="49">
        <v>999328</v>
      </c>
    </row>
    <row r="32" spans="1:16" x14ac:dyDescent="0.25">
      <c r="B32" s="3"/>
      <c r="C32" s="3"/>
      <c r="D32" s="3"/>
      <c r="E32" s="3"/>
      <c r="F32" s="3"/>
      <c r="J32">
        <v>13</v>
      </c>
      <c r="K32" s="48">
        <v>37990</v>
      </c>
      <c r="L32" t="s">
        <v>83</v>
      </c>
      <c r="M32" t="s">
        <v>87</v>
      </c>
      <c r="N32" t="s">
        <v>94</v>
      </c>
      <c r="O32">
        <v>300</v>
      </c>
      <c r="P32" s="49">
        <v>2937300</v>
      </c>
    </row>
    <row r="33" spans="1:16" x14ac:dyDescent="0.25">
      <c r="A33" s="6"/>
      <c r="B33" s="3"/>
      <c r="C33" s="111"/>
      <c r="D33" s="113"/>
      <c r="E33" s="113"/>
      <c r="F33" s="3"/>
      <c r="J33">
        <v>14</v>
      </c>
      <c r="K33" s="48">
        <v>37990</v>
      </c>
      <c r="L33" t="s">
        <v>86</v>
      </c>
      <c r="M33" t="s">
        <v>87</v>
      </c>
      <c r="N33" t="s">
        <v>91</v>
      </c>
      <c r="O33">
        <v>68</v>
      </c>
      <c r="P33" s="49">
        <v>664700</v>
      </c>
    </row>
    <row r="34" spans="1:16" x14ac:dyDescent="0.25">
      <c r="B34" s="3"/>
      <c r="C34" s="111"/>
      <c r="D34" s="113"/>
      <c r="E34" s="113"/>
      <c r="F34" s="3"/>
      <c r="J34">
        <v>15</v>
      </c>
      <c r="K34" s="48">
        <v>37990</v>
      </c>
      <c r="L34" t="s">
        <v>92</v>
      </c>
      <c r="M34" t="s">
        <v>84</v>
      </c>
      <c r="N34" t="s">
        <v>88</v>
      </c>
      <c r="O34">
        <v>176</v>
      </c>
      <c r="P34" s="49">
        <v>820336</v>
      </c>
    </row>
    <row r="35" spans="1:16" ht="15" customHeight="1" x14ac:dyDescent="0.25">
      <c r="A35" s="5"/>
      <c r="B35" s="3"/>
      <c r="C35" s="3"/>
      <c r="D35" s="3"/>
      <c r="E35" s="3"/>
      <c r="F35" s="3"/>
      <c r="J35">
        <v>16</v>
      </c>
      <c r="K35" s="48">
        <v>37991</v>
      </c>
      <c r="L35" t="s">
        <v>95</v>
      </c>
      <c r="M35" t="s">
        <v>84</v>
      </c>
      <c r="N35" t="s">
        <v>88</v>
      </c>
      <c r="O35">
        <v>179</v>
      </c>
      <c r="P35" s="49">
        <v>937960</v>
      </c>
    </row>
    <row r="36" spans="1:16" x14ac:dyDescent="0.25">
      <c r="B36" s="3"/>
      <c r="C36" s="111"/>
      <c r="D36" s="114"/>
      <c r="E36" s="115"/>
      <c r="F36" s="3"/>
      <c r="J36">
        <v>17</v>
      </c>
      <c r="K36" s="48">
        <v>37991</v>
      </c>
      <c r="L36" t="s">
        <v>95</v>
      </c>
      <c r="M36" t="s">
        <v>84</v>
      </c>
      <c r="N36" t="s">
        <v>91</v>
      </c>
      <c r="O36">
        <v>58</v>
      </c>
      <c r="P36" s="49">
        <v>358846</v>
      </c>
    </row>
    <row r="37" spans="1:16" x14ac:dyDescent="0.25">
      <c r="B37" s="3"/>
      <c r="C37" s="111"/>
      <c r="D37" s="115"/>
      <c r="E37" s="115"/>
      <c r="F37" s="3"/>
      <c r="J37">
        <v>18</v>
      </c>
      <c r="K37" s="48">
        <v>37992</v>
      </c>
      <c r="L37" t="s">
        <v>90</v>
      </c>
      <c r="M37" t="s">
        <v>87</v>
      </c>
      <c r="N37" t="s">
        <v>94</v>
      </c>
      <c r="O37">
        <v>283</v>
      </c>
      <c r="P37" s="49">
        <v>1679605</v>
      </c>
    </row>
    <row r="38" spans="1:16" ht="18.75" x14ac:dyDescent="0.25">
      <c r="B38" s="3"/>
      <c r="C38" s="14"/>
      <c r="D38" s="16"/>
      <c r="E38" s="16"/>
      <c r="F38" s="3"/>
      <c r="J38">
        <v>19</v>
      </c>
      <c r="K38" s="48">
        <v>37993</v>
      </c>
      <c r="L38" t="s">
        <v>93</v>
      </c>
      <c r="M38" t="s">
        <v>84</v>
      </c>
      <c r="N38" t="s">
        <v>88</v>
      </c>
      <c r="O38">
        <v>55</v>
      </c>
      <c r="P38" s="49">
        <v>472615</v>
      </c>
    </row>
    <row r="39" spans="1:16" x14ac:dyDescent="0.25">
      <c r="B39" s="3"/>
      <c r="C39" s="111"/>
      <c r="D39" s="16"/>
      <c r="E39" s="16"/>
      <c r="F39" s="3"/>
      <c r="J39">
        <v>20</v>
      </c>
      <c r="K39" s="48">
        <v>37994</v>
      </c>
      <c r="L39" t="s">
        <v>89</v>
      </c>
      <c r="M39" t="s">
        <v>84</v>
      </c>
      <c r="N39" t="s">
        <v>94</v>
      </c>
      <c r="O39">
        <v>148</v>
      </c>
      <c r="P39" s="49">
        <v>1169496</v>
      </c>
    </row>
    <row r="40" spans="1:16" x14ac:dyDescent="0.25">
      <c r="B40" s="3"/>
      <c r="C40" s="111"/>
      <c r="D40" s="16"/>
      <c r="E40" s="16"/>
      <c r="F40" s="3"/>
      <c r="J40">
        <v>21</v>
      </c>
      <c r="K40" s="48">
        <v>37995</v>
      </c>
      <c r="L40" t="s">
        <v>92</v>
      </c>
      <c r="M40" t="s">
        <v>87</v>
      </c>
      <c r="N40" t="s">
        <v>94</v>
      </c>
      <c r="O40">
        <v>228</v>
      </c>
      <c r="P40" s="49">
        <v>2020992</v>
      </c>
    </row>
    <row r="41" spans="1:16" ht="18.75" x14ac:dyDescent="0.25">
      <c r="B41" s="3"/>
      <c r="C41" s="14"/>
      <c r="D41" s="16"/>
      <c r="E41" s="16"/>
      <c r="F41" s="3"/>
      <c r="J41">
        <v>22</v>
      </c>
      <c r="K41" s="48">
        <v>37995</v>
      </c>
      <c r="L41" t="s">
        <v>89</v>
      </c>
      <c r="M41" t="s">
        <v>84</v>
      </c>
      <c r="N41" t="s">
        <v>85</v>
      </c>
      <c r="O41">
        <v>116</v>
      </c>
      <c r="P41" s="49">
        <v>727552</v>
      </c>
    </row>
    <row r="42" spans="1:16" ht="18.75" x14ac:dyDescent="0.25">
      <c r="B42" s="3"/>
      <c r="C42" s="14"/>
      <c r="D42" s="16"/>
      <c r="E42" s="16"/>
      <c r="F42" s="3"/>
      <c r="J42">
        <v>23</v>
      </c>
      <c r="K42" s="48">
        <v>37996</v>
      </c>
      <c r="L42" t="s">
        <v>95</v>
      </c>
      <c r="M42" t="s">
        <v>84</v>
      </c>
      <c r="N42" t="s">
        <v>88</v>
      </c>
      <c r="O42">
        <v>183</v>
      </c>
      <c r="P42" s="49">
        <v>1438929</v>
      </c>
    </row>
    <row r="43" spans="1:16" ht="18.75" x14ac:dyDescent="0.25">
      <c r="B43" s="3"/>
      <c r="C43" s="14"/>
      <c r="D43" s="16"/>
      <c r="E43" s="16"/>
      <c r="F43" s="3"/>
      <c r="J43">
        <v>24</v>
      </c>
      <c r="K43" s="48">
        <v>37996</v>
      </c>
      <c r="L43" t="s">
        <v>89</v>
      </c>
      <c r="M43" t="s">
        <v>84</v>
      </c>
      <c r="N43" t="s">
        <v>91</v>
      </c>
      <c r="O43">
        <v>79</v>
      </c>
      <c r="P43" s="49">
        <v>427390</v>
      </c>
    </row>
    <row r="44" spans="1:16" ht="18.75" x14ac:dyDescent="0.25">
      <c r="B44" s="3"/>
      <c r="C44" s="14"/>
      <c r="D44" s="16"/>
      <c r="E44" s="16"/>
      <c r="F44" s="3"/>
      <c r="J44">
        <v>25</v>
      </c>
      <c r="K44" s="48">
        <v>37996</v>
      </c>
      <c r="L44" t="s">
        <v>89</v>
      </c>
      <c r="M44" t="s">
        <v>84</v>
      </c>
      <c r="N44" t="s">
        <v>94</v>
      </c>
      <c r="O44">
        <v>124</v>
      </c>
      <c r="P44" s="49">
        <v>1170684</v>
      </c>
    </row>
    <row r="45" spans="1:16" ht="18.75" x14ac:dyDescent="0.25">
      <c r="B45" s="3"/>
      <c r="C45" s="14"/>
      <c r="D45" s="16"/>
      <c r="E45" s="16"/>
      <c r="F45" s="3"/>
      <c r="J45">
        <v>26</v>
      </c>
      <c r="K45" s="48">
        <v>37996</v>
      </c>
      <c r="L45" t="s">
        <v>86</v>
      </c>
      <c r="M45" t="s">
        <v>84</v>
      </c>
      <c r="N45" t="s">
        <v>91</v>
      </c>
      <c r="O45">
        <v>70</v>
      </c>
      <c r="P45" s="49">
        <v>549780</v>
      </c>
    </row>
    <row r="46" spans="1:16" ht="18.75" x14ac:dyDescent="0.25">
      <c r="B46" s="3"/>
      <c r="C46" s="14"/>
      <c r="D46" s="16"/>
      <c r="E46" s="16"/>
      <c r="F46" s="3"/>
      <c r="J46">
        <v>27</v>
      </c>
      <c r="K46" s="48">
        <v>37997</v>
      </c>
      <c r="L46" t="s">
        <v>86</v>
      </c>
      <c r="M46" t="s">
        <v>84</v>
      </c>
      <c r="N46" t="s">
        <v>91</v>
      </c>
      <c r="O46">
        <v>70</v>
      </c>
      <c r="P46" s="49">
        <v>659330</v>
      </c>
    </row>
    <row r="47" spans="1:16" ht="18.75" x14ac:dyDescent="0.25">
      <c r="B47" s="3"/>
      <c r="C47" s="14"/>
      <c r="D47" s="16"/>
      <c r="E47" s="16"/>
      <c r="F47" s="3"/>
      <c r="J47">
        <v>28</v>
      </c>
      <c r="K47" s="48">
        <v>37998</v>
      </c>
      <c r="L47" t="s">
        <v>95</v>
      </c>
      <c r="M47" t="s">
        <v>84</v>
      </c>
      <c r="N47" t="s">
        <v>94</v>
      </c>
      <c r="O47">
        <v>187</v>
      </c>
      <c r="P47" s="49">
        <v>1660560</v>
      </c>
    </row>
    <row r="48" spans="1:16" ht="15" customHeight="1" x14ac:dyDescent="0.25">
      <c r="B48" s="3"/>
      <c r="C48" s="12"/>
      <c r="D48" s="3"/>
      <c r="E48" s="3"/>
      <c r="F48" s="3"/>
      <c r="J48">
        <v>29</v>
      </c>
      <c r="K48" s="48">
        <v>37998</v>
      </c>
      <c r="L48" t="s">
        <v>95</v>
      </c>
      <c r="M48" t="s">
        <v>84</v>
      </c>
      <c r="N48" t="s">
        <v>91</v>
      </c>
      <c r="O48">
        <v>91</v>
      </c>
      <c r="P48" s="49">
        <v>753571</v>
      </c>
    </row>
    <row r="49" spans="2:16" ht="15" customHeight="1" x14ac:dyDescent="0.25">
      <c r="B49" s="3"/>
      <c r="C49" s="111"/>
      <c r="D49" s="3"/>
      <c r="E49" s="3"/>
      <c r="F49" s="3"/>
      <c r="J49">
        <v>30</v>
      </c>
      <c r="K49" s="48">
        <v>37998</v>
      </c>
      <c r="L49" t="s">
        <v>86</v>
      </c>
      <c r="M49" t="s">
        <v>84</v>
      </c>
      <c r="N49" t="s">
        <v>91</v>
      </c>
      <c r="O49">
        <v>201</v>
      </c>
      <c r="P49" s="49">
        <v>939072</v>
      </c>
    </row>
    <row r="50" spans="2:16" x14ac:dyDescent="0.25">
      <c r="B50" s="3"/>
      <c r="C50" s="111"/>
      <c r="D50" s="3"/>
      <c r="E50" s="3"/>
      <c r="F50" s="3"/>
      <c r="J50">
        <v>31</v>
      </c>
      <c r="K50" s="48">
        <v>37999</v>
      </c>
      <c r="L50" t="s">
        <v>92</v>
      </c>
      <c r="M50" t="s">
        <v>84</v>
      </c>
      <c r="N50" t="s">
        <v>94</v>
      </c>
      <c r="O50">
        <v>142</v>
      </c>
      <c r="P50" s="49">
        <v>1405374</v>
      </c>
    </row>
    <row r="51" spans="2:16" x14ac:dyDescent="0.25">
      <c r="J51">
        <v>32</v>
      </c>
      <c r="K51" s="48">
        <v>37999</v>
      </c>
      <c r="L51" t="s">
        <v>95</v>
      </c>
      <c r="M51" t="s">
        <v>84</v>
      </c>
      <c r="N51" t="s">
        <v>88</v>
      </c>
      <c r="O51">
        <v>92</v>
      </c>
      <c r="P51" s="49">
        <v>627348</v>
      </c>
    </row>
    <row r="52" spans="2:16" x14ac:dyDescent="0.25">
      <c r="J52">
        <v>33</v>
      </c>
      <c r="K52" s="48">
        <v>38001</v>
      </c>
      <c r="L52" t="s">
        <v>86</v>
      </c>
      <c r="M52" t="s">
        <v>84</v>
      </c>
      <c r="N52" t="s">
        <v>94</v>
      </c>
      <c r="O52">
        <v>181</v>
      </c>
      <c r="P52" s="49">
        <v>1504110</v>
      </c>
    </row>
    <row r="53" spans="2:16" x14ac:dyDescent="0.25">
      <c r="J53">
        <v>34</v>
      </c>
      <c r="K53" s="48">
        <v>38001</v>
      </c>
      <c r="L53" t="s">
        <v>95</v>
      </c>
      <c r="M53" t="s">
        <v>87</v>
      </c>
      <c r="N53" t="s">
        <v>94</v>
      </c>
      <c r="O53">
        <v>281</v>
      </c>
      <c r="P53" s="49">
        <v>2483197</v>
      </c>
    </row>
    <row r="54" spans="2:16" x14ac:dyDescent="0.25">
      <c r="J54">
        <v>35</v>
      </c>
      <c r="K54" s="48">
        <v>38001</v>
      </c>
      <c r="L54" t="s">
        <v>92</v>
      </c>
      <c r="M54" t="s">
        <v>84</v>
      </c>
      <c r="N54" t="s">
        <v>91</v>
      </c>
      <c r="O54">
        <v>257</v>
      </c>
      <c r="P54" s="49">
        <v>1799771</v>
      </c>
    </row>
    <row r="55" spans="2:16" x14ac:dyDescent="0.25">
      <c r="J55">
        <v>36</v>
      </c>
      <c r="K55" s="48">
        <v>38002</v>
      </c>
      <c r="L55" t="s">
        <v>92</v>
      </c>
      <c r="M55" t="s">
        <v>84</v>
      </c>
      <c r="N55" t="s">
        <v>91</v>
      </c>
      <c r="O55">
        <v>140</v>
      </c>
      <c r="P55" s="49">
        <v>1054340</v>
      </c>
    </row>
    <row r="56" spans="2:16" x14ac:dyDescent="0.25">
      <c r="J56">
        <v>37</v>
      </c>
      <c r="K56" s="48">
        <v>38002</v>
      </c>
      <c r="L56" t="s">
        <v>86</v>
      </c>
      <c r="M56" t="s">
        <v>87</v>
      </c>
      <c r="N56" t="s">
        <v>88</v>
      </c>
      <c r="O56">
        <v>229</v>
      </c>
      <c r="P56" s="49">
        <v>1160572</v>
      </c>
    </row>
    <row r="57" spans="2:16" x14ac:dyDescent="0.25">
      <c r="J57">
        <v>38</v>
      </c>
      <c r="K57" s="48">
        <v>38003</v>
      </c>
      <c r="L57" t="s">
        <v>90</v>
      </c>
      <c r="M57" t="s">
        <v>84</v>
      </c>
      <c r="N57" t="s">
        <v>91</v>
      </c>
      <c r="O57">
        <v>300</v>
      </c>
      <c r="P57" s="49">
        <v>1492800</v>
      </c>
    </row>
    <row r="58" spans="2:16" x14ac:dyDescent="0.25">
      <c r="J58">
        <v>39</v>
      </c>
      <c r="K58" s="48">
        <v>38004</v>
      </c>
      <c r="L58" t="s">
        <v>83</v>
      </c>
      <c r="M58" t="s">
        <v>84</v>
      </c>
      <c r="N58" t="s">
        <v>91</v>
      </c>
      <c r="O58">
        <v>215</v>
      </c>
      <c r="P58" s="49">
        <v>1154980</v>
      </c>
    </row>
    <row r="59" spans="2:16" x14ac:dyDescent="0.25">
      <c r="J59">
        <v>40</v>
      </c>
      <c r="K59" s="48">
        <v>38004</v>
      </c>
      <c r="L59" t="s">
        <v>89</v>
      </c>
      <c r="M59" t="s">
        <v>87</v>
      </c>
      <c r="N59" t="s">
        <v>88</v>
      </c>
      <c r="O59">
        <v>182</v>
      </c>
      <c r="P59" s="49">
        <v>1057784</v>
      </c>
    </row>
    <row r="60" spans="2:16" x14ac:dyDescent="0.25">
      <c r="J60">
        <v>41</v>
      </c>
      <c r="K60" s="48">
        <v>38004</v>
      </c>
      <c r="L60" t="s">
        <v>93</v>
      </c>
      <c r="M60" t="s">
        <v>87</v>
      </c>
      <c r="N60" t="s">
        <v>94</v>
      </c>
      <c r="O60">
        <v>230</v>
      </c>
      <c r="P60" s="49">
        <v>1421860</v>
      </c>
    </row>
    <row r="61" spans="2:16" x14ac:dyDescent="0.25">
      <c r="J61">
        <v>42</v>
      </c>
      <c r="K61" s="48">
        <v>38005</v>
      </c>
      <c r="L61" t="s">
        <v>89</v>
      </c>
      <c r="M61" t="s">
        <v>87</v>
      </c>
      <c r="N61" t="s">
        <v>91</v>
      </c>
      <c r="O61">
        <v>168</v>
      </c>
      <c r="P61" s="49">
        <v>1426992</v>
      </c>
    </row>
    <row r="62" spans="2:16" x14ac:dyDescent="0.25">
      <c r="J62">
        <v>43</v>
      </c>
      <c r="K62" s="48">
        <v>38005</v>
      </c>
      <c r="L62" t="s">
        <v>89</v>
      </c>
      <c r="M62" t="s">
        <v>84</v>
      </c>
      <c r="N62" t="s">
        <v>88</v>
      </c>
      <c r="O62">
        <v>74</v>
      </c>
      <c r="P62" s="49">
        <v>579716</v>
      </c>
    </row>
    <row r="63" spans="2:16" x14ac:dyDescent="0.25">
      <c r="J63">
        <v>44</v>
      </c>
      <c r="K63" s="48">
        <v>38005</v>
      </c>
      <c r="L63" t="s">
        <v>95</v>
      </c>
      <c r="M63" t="s">
        <v>87</v>
      </c>
      <c r="N63" t="s">
        <v>88</v>
      </c>
      <c r="O63">
        <v>278</v>
      </c>
      <c r="P63" s="49">
        <v>1537062</v>
      </c>
    </row>
    <row r="64" spans="2:16" x14ac:dyDescent="0.25">
      <c r="J64">
        <v>45</v>
      </c>
      <c r="K64" s="48">
        <v>38006</v>
      </c>
      <c r="L64" t="s">
        <v>89</v>
      </c>
      <c r="M64" t="s">
        <v>84</v>
      </c>
      <c r="N64" t="s">
        <v>94</v>
      </c>
      <c r="O64">
        <v>287</v>
      </c>
      <c r="P64" s="49">
        <v>2851058</v>
      </c>
    </row>
    <row r="65" spans="10:16" x14ac:dyDescent="0.25">
      <c r="J65">
        <v>46</v>
      </c>
      <c r="K65" s="48">
        <v>38006</v>
      </c>
      <c r="L65" t="s">
        <v>89</v>
      </c>
      <c r="M65" t="s">
        <v>84</v>
      </c>
      <c r="N65" t="s">
        <v>85</v>
      </c>
      <c r="O65">
        <v>224</v>
      </c>
      <c r="P65" s="49">
        <v>1294048</v>
      </c>
    </row>
    <row r="66" spans="10:16" x14ac:dyDescent="0.25">
      <c r="J66">
        <v>47</v>
      </c>
      <c r="K66" s="48">
        <v>38006</v>
      </c>
      <c r="L66" t="s">
        <v>93</v>
      </c>
      <c r="M66" t="s">
        <v>84</v>
      </c>
      <c r="N66" t="s">
        <v>94</v>
      </c>
      <c r="O66">
        <v>53</v>
      </c>
      <c r="P66" s="49">
        <v>249418</v>
      </c>
    </row>
    <row r="67" spans="10:16" x14ac:dyDescent="0.25">
      <c r="J67">
        <v>48</v>
      </c>
      <c r="K67" s="48">
        <v>38006</v>
      </c>
      <c r="L67" t="s">
        <v>92</v>
      </c>
      <c r="M67" t="s">
        <v>87</v>
      </c>
      <c r="N67" t="s">
        <v>94</v>
      </c>
      <c r="O67">
        <v>284</v>
      </c>
      <c r="P67" s="49">
        <v>1457488</v>
      </c>
    </row>
    <row r="68" spans="10:16" x14ac:dyDescent="0.25">
      <c r="J68">
        <v>49</v>
      </c>
      <c r="K68" s="48">
        <v>38006</v>
      </c>
      <c r="L68" t="s">
        <v>86</v>
      </c>
      <c r="M68" t="s">
        <v>87</v>
      </c>
      <c r="N68" t="s">
        <v>88</v>
      </c>
      <c r="O68">
        <v>40</v>
      </c>
      <c r="P68" s="49">
        <v>321680</v>
      </c>
    </row>
    <row r="69" spans="10:16" x14ac:dyDescent="0.25">
      <c r="J69">
        <v>50</v>
      </c>
      <c r="K69" s="48">
        <v>38006</v>
      </c>
      <c r="L69" t="s">
        <v>86</v>
      </c>
      <c r="M69" t="s">
        <v>84</v>
      </c>
      <c r="N69" t="s">
        <v>91</v>
      </c>
      <c r="O69">
        <v>235</v>
      </c>
      <c r="P69" s="49">
        <v>957625</v>
      </c>
    </row>
    <row r="70" spans="10:16" x14ac:dyDescent="0.25">
      <c r="J70">
        <v>51</v>
      </c>
      <c r="K70" s="48">
        <v>38006</v>
      </c>
      <c r="L70" t="s">
        <v>92</v>
      </c>
      <c r="M70" t="s">
        <v>87</v>
      </c>
      <c r="N70" t="s">
        <v>85</v>
      </c>
      <c r="O70">
        <v>90</v>
      </c>
      <c r="P70" s="49">
        <v>568620</v>
      </c>
    </row>
    <row r="71" spans="10:16" x14ac:dyDescent="0.25">
      <c r="J71">
        <v>52</v>
      </c>
      <c r="K71" s="48">
        <v>38008</v>
      </c>
      <c r="L71" t="s">
        <v>86</v>
      </c>
      <c r="M71" t="s">
        <v>84</v>
      </c>
      <c r="N71" t="s">
        <v>85</v>
      </c>
      <c r="O71">
        <v>206</v>
      </c>
      <c r="P71" s="49">
        <v>1605564</v>
      </c>
    </row>
    <row r="72" spans="10:16" x14ac:dyDescent="0.25">
      <c r="J72">
        <v>53</v>
      </c>
      <c r="K72" s="48">
        <v>38008</v>
      </c>
      <c r="L72" t="s">
        <v>90</v>
      </c>
      <c r="M72" t="s">
        <v>84</v>
      </c>
      <c r="N72" t="s">
        <v>91</v>
      </c>
      <c r="O72">
        <v>158</v>
      </c>
      <c r="P72" s="49">
        <v>1438748</v>
      </c>
    </row>
    <row r="73" spans="10:16" x14ac:dyDescent="0.25">
      <c r="J73">
        <v>54</v>
      </c>
      <c r="K73" s="48">
        <v>38008</v>
      </c>
      <c r="L73" t="s">
        <v>90</v>
      </c>
      <c r="M73" t="s">
        <v>84</v>
      </c>
      <c r="N73" t="s">
        <v>94</v>
      </c>
      <c r="O73">
        <v>71</v>
      </c>
      <c r="P73" s="49">
        <v>686996</v>
      </c>
    </row>
    <row r="74" spans="10:16" x14ac:dyDescent="0.25">
      <c r="J74">
        <v>55</v>
      </c>
      <c r="K74" s="48">
        <v>38008</v>
      </c>
      <c r="L74" t="s">
        <v>86</v>
      </c>
      <c r="M74" t="s">
        <v>87</v>
      </c>
      <c r="N74" t="s">
        <v>88</v>
      </c>
      <c r="O74">
        <v>127</v>
      </c>
      <c r="P74" s="49">
        <v>983234</v>
      </c>
    </row>
    <row r="75" spans="10:16" x14ac:dyDescent="0.25">
      <c r="J75">
        <v>56</v>
      </c>
      <c r="K75" s="48">
        <v>38009</v>
      </c>
      <c r="L75" t="s">
        <v>93</v>
      </c>
      <c r="M75" t="s">
        <v>87</v>
      </c>
      <c r="N75" t="s">
        <v>85</v>
      </c>
      <c r="O75">
        <v>54</v>
      </c>
      <c r="P75" s="49">
        <v>239220</v>
      </c>
    </row>
    <row r="76" spans="10:16" x14ac:dyDescent="0.25">
      <c r="J76">
        <v>57</v>
      </c>
      <c r="K76" s="48">
        <v>38009</v>
      </c>
      <c r="L76" t="s">
        <v>89</v>
      </c>
      <c r="M76" t="s">
        <v>84</v>
      </c>
      <c r="N76" t="s">
        <v>85</v>
      </c>
      <c r="O76">
        <v>54</v>
      </c>
      <c r="P76" s="49">
        <v>512730</v>
      </c>
    </row>
    <row r="77" spans="10:16" x14ac:dyDescent="0.25">
      <c r="J77">
        <v>58</v>
      </c>
      <c r="K77" s="48">
        <v>38010</v>
      </c>
      <c r="L77" t="s">
        <v>86</v>
      </c>
      <c r="M77" t="s">
        <v>84</v>
      </c>
      <c r="N77" t="s">
        <v>88</v>
      </c>
      <c r="O77">
        <v>274</v>
      </c>
      <c r="P77" s="49">
        <v>2287626</v>
      </c>
    </row>
    <row r="78" spans="10:16" x14ac:dyDescent="0.25">
      <c r="J78">
        <v>59</v>
      </c>
      <c r="K78" s="48">
        <v>38010</v>
      </c>
      <c r="L78" t="s">
        <v>92</v>
      </c>
      <c r="M78" t="s">
        <v>87</v>
      </c>
      <c r="N78" t="s">
        <v>91</v>
      </c>
      <c r="O78">
        <v>166</v>
      </c>
      <c r="P78" s="49">
        <v>1373816</v>
      </c>
    </row>
    <row r="79" spans="10:16" x14ac:dyDescent="0.25">
      <c r="J79">
        <v>60</v>
      </c>
      <c r="K79" s="48">
        <v>38010</v>
      </c>
      <c r="L79" t="s">
        <v>89</v>
      </c>
      <c r="M79" t="s">
        <v>84</v>
      </c>
      <c r="N79" t="s">
        <v>85</v>
      </c>
      <c r="O79">
        <v>270</v>
      </c>
      <c r="P79" s="49">
        <v>1920240</v>
      </c>
    </row>
    <row r="80" spans="10:16" x14ac:dyDescent="0.25">
      <c r="J80">
        <v>61</v>
      </c>
      <c r="K80" s="48">
        <v>38010</v>
      </c>
      <c r="L80" t="s">
        <v>95</v>
      </c>
      <c r="M80" t="s">
        <v>87</v>
      </c>
      <c r="N80" t="s">
        <v>91</v>
      </c>
      <c r="O80">
        <v>120</v>
      </c>
      <c r="P80" s="49">
        <v>1140840</v>
      </c>
    </row>
    <row r="81" spans="10:16" x14ac:dyDescent="0.25">
      <c r="J81">
        <v>62</v>
      </c>
      <c r="K81" s="48">
        <v>38010</v>
      </c>
      <c r="L81" t="s">
        <v>92</v>
      </c>
      <c r="M81" t="s">
        <v>87</v>
      </c>
      <c r="N81" t="s">
        <v>91</v>
      </c>
      <c r="O81">
        <v>178</v>
      </c>
      <c r="P81" s="49">
        <v>1142938</v>
      </c>
    </row>
    <row r="82" spans="10:16" x14ac:dyDescent="0.25">
      <c r="J82">
        <v>63</v>
      </c>
      <c r="K82" s="48">
        <v>38011</v>
      </c>
      <c r="L82" t="s">
        <v>93</v>
      </c>
      <c r="M82" t="s">
        <v>87</v>
      </c>
      <c r="N82" t="s">
        <v>94</v>
      </c>
      <c r="O82">
        <v>144</v>
      </c>
      <c r="P82" s="49">
        <v>738144</v>
      </c>
    </row>
    <row r="83" spans="10:16" x14ac:dyDescent="0.25">
      <c r="J83">
        <v>64</v>
      </c>
      <c r="K83" s="48">
        <v>38012</v>
      </c>
      <c r="L83" t="s">
        <v>92</v>
      </c>
      <c r="M83" t="s">
        <v>87</v>
      </c>
      <c r="N83" t="s">
        <v>85</v>
      </c>
      <c r="O83">
        <v>57</v>
      </c>
      <c r="P83" s="49">
        <v>509010</v>
      </c>
    </row>
    <row r="84" spans="10:16" x14ac:dyDescent="0.25">
      <c r="J84">
        <v>65</v>
      </c>
      <c r="K84" s="48">
        <v>38012</v>
      </c>
      <c r="L84" t="s">
        <v>89</v>
      </c>
      <c r="M84" t="s">
        <v>87</v>
      </c>
      <c r="N84" t="s">
        <v>91</v>
      </c>
      <c r="O84">
        <v>144</v>
      </c>
      <c r="P84" s="49">
        <v>1436832</v>
      </c>
    </row>
    <row r="85" spans="10:16" x14ac:dyDescent="0.25">
      <c r="J85">
        <v>66</v>
      </c>
      <c r="K85" s="48">
        <v>38013</v>
      </c>
      <c r="L85" t="s">
        <v>90</v>
      </c>
      <c r="M85" t="s">
        <v>87</v>
      </c>
      <c r="N85" t="s">
        <v>85</v>
      </c>
      <c r="O85">
        <v>272</v>
      </c>
      <c r="P85" s="49">
        <v>2119424</v>
      </c>
    </row>
    <row r="86" spans="10:16" x14ac:dyDescent="0.25">
      <c r="J86">
        <v>67</v>
      </c>
      <c r="K86" s="48">
        <v>38013</v>
      </c>
      <c r="L86" t="s">
        <v>92</v>
      </c>
      <c r="M86" t="s">
        <v>84</v>
      </c>
      <c r="N86" t="s">
        <v>94</v>
      </c>
      <c r="O86">
        <v>219</v>
      </c>
      <c r="P86" s="49">
        <v>948927</v>
      </c>
    </row>
    <row r="87" spans="10:16" x14ac:dyDescent="0.25">
      <c r="J87">
        <v>68</v>
      </c>
      <c r="K87" s="48">
        <v>38013</v>
      </c>
      <c r="L87" t="s">
        <v>86</v>
      </c>
      <c r="M87" t="s">
        <v>84</v>
      </c>
      <c r="N87" t="s">
        <v>94</v>
      </c>
      <c r="O87">
        <v>68</v>
      </c>
      <c r="P87" s="49">
        <v>376992</v>
      </c>
    </row>
    <row r="88" spans="10:16" x14ac:dyDescent="0.25">
      <c r="J88">
        <v>69</v>
      </c>
      <c r="K88" s="48">
        <v>38013</v>
      </c>
      <c r="L88" t="s">
        <v>86</v>
      </c>
      <c r="M88" t="s">
        <v>87</v>
      </c>
      <c r="N88" t="s">
        <v>88</v>
      </c>
      <c r="O88">
        <v>248</v>
      </c>
      <c r="P88" s="49">
        <v>2212408</v>
      </c>
    </row>
    <row r="89" spans="10:16" x14ac:dyDescent="0.25">
      <c r="J89">
        <v>70</v>
      </c>
      <c r="K89" s="48">
        <v>38014</v>
      </c>
      <c r="L89" t="s">
        <v>95</v>
      </c>
      <c r="M89" t="s">
        <v>84</v>
      </c>
      <c r="N89" t="s">
        <v>91</v>
      </c>
      <c r="O89">
        <v>179</v>
      </c>
      <c r="P89" s="49">
        <v>1647695</v>
      </c>
    </row>
    <row r="90" spans="10:16" x14ac:dyDescent="0.25">
      <c r="J90">
        <v>71</v>
      </c>
      <c r="K90" s="48">
        <v>38014</v>
      </c>
      <c r="L90" t="s">
        <v>95</v>
      </c>
      <c r="M90" t="s">
        <v>87</v>
      </c>
      <c r="N90" t="s">
        <v>88</v>
      </c>
      <c r="O90">
        <v>235</v>
      </c>
      <c r="P90" s="49">
        <v>1939925</v>
      </c>
    </row>
    <row r="91" spans="10:16" x14ac:dyDescent="0.25">
      <c r="J91">
        <v>72</v>
      </c>
      <c r="K91" s="48">
        <v>38014</v>
      </c>
      <c r="L91" t="s">
        <v>90</v>
      </c>
      <c r="M91" t="s">
        <v>87</v>
      </c>
      <c r="N91" t="s">
        <v>91</v>
      </c>
      <c r="O91">
        <v>216</v>
      </c>
      <c r="P91" s="49">
        <v>1478952</v>
      </c>
    </row>
    <row r="92" spans="10:16" x14ac:dyDescent="0.25">
      <c r="J92">
        <v>73</v>
      </c>
      <c r="K92" s="48">
        <v>38014</v>
      </c>
      <c r="L92" t="s">
        <v>83</v>
      </c>
      <c r="M92" t="s">
        <v>84</v>
      </c>
      <c r="N92" t="s">
        <v>94</v>
      </c>
      <c r="O92">
        <v>62</v>
      </c>
      <c r="P92" s="49">
        <v>320044</v>
      </c>
    </row>
    <row r="93" spans="10:16" x14ac:dyDescent="0.25">
      <c r="J93">
        <v>74</v>
      </c>
      <c r="K93" s="48">
        <v>38015</v>
      </c>
      <c r="L93" t="s">
        <v>92</v>
      </c>
      <c r="M93" t="s">
        <v>87</v>
      </c>
      <c r="N93" t="s">
        <v>88</v>
      </c>
      <c r="O93">
        <v>229</v>
      </c>
      <c r="P93" s="49">
        <v>1098055</v>
      </c>
    </row>
    <row r="94" spans="10:16" x14ac:dyDescent="0.25">
      <c r="J94">
        <v>75</v>
      </c>
      <c r="K94" s="48">
        <v>38015</v>
      </c>
      <c r="L94" t="s">
        <v>90</v>
      </c>
      <c r="M94" t="s">
        <v>87</v>
      </c>
      <c r="N94" t="s">
        <v>91</v>
      </c>
      <c r="O94">
        <v>41</v>
      </c>
      <c r="P94" s="49">
        <v>187862</v>
      </c>
    </row>
    <row r="95" spans="10:16" x14ac:dyDescent="0.25">
      <c r="J95">
        <v>76</v>
      </c>
      <c r="K95" s="48">
        <v>38015</v>
      </c>
      <c r="L95" t="s">
        <v>90</v>
      </c>
      <c r="M95" t="s">
        <v>84</v>
      </c>
      <c r="N95" t="s">
        <v>91</v>
      </c>
      <c r="O95">
        <v>234</v>
      </c>
      <c r="P95" s="49">
        <v>1757106</v>
      </c>
    </row>
    <row r="96" spans="10:16" x14ac:dyDescent="0.25">
      <c r="J96">
        <v>77</v>
      </c>
      <c r="K96" s="48">
        <v>38016</v>
      </c>
      <c r="L96" t="s">
        <v>92</v>
      </c>
      <c r="M96" t="s">
        <v>84</v>
      </c>
      <c r="N96" t="s">
        <v>91</v>
      </c>
      <c r="O96">
        <v>112</v>
      </c>
      <c r="P96" s="49">
        <v>1104992</v>
      </c>
    </row>
    <row r="97" spans="1:16" x14ac:dyDescent="0.25">
      <c r="J97">
        <v>78</v>
      </c>
      <c r="K97" s="48">
        <v>38017</v>
      </c>
      <c r="L97" t="s">
        <v>93</v>
      </c>
      <c r="M97" t="s">
        <v>87</v>
      </c>
      <c r="N97" t="s">
        <v>85</v>
      </c>
      <c r="O97">
        <v>87</v>
      </c>
      <c r="P97" s="49">
        <v>448485</v>
      </c>
    </row>
    <row r="98" spans="1:16" x14ac:dyDescent="0.25">
      <c r="J98">
        <v>79</v>
      </c>
      <c r="K98" s="48">
        <v>38017</v>
      </c>
      <c r="L98" t="s">
        <v>83</v>
      </c>
      <c r="M98" t="s">
        <v>87</v>
      </c>
      <c r="N98" t="s">
        <v>94</v>
      </c>
      <c r="O98">
        <v>298</v>
      </c>
      <c r="P98" s="49">
        <v>2520484</v>
      </c>
    </row>
    <row r="99" spans="1:16" x14ac:dyDescent="0.25">
      <c r="J99">
        <v>80</v>
      </c>
      <c r="K99" s="48">
        <v>38017</v>
      </c>
      <c r="L99" t="s">
        <v>83</v>
      </c>
      <c r="M99" t="s">
        <v>84</v>
      </c>
      <c r="N99" t="s">
        <v>94</v>
      </c>
      <c r="O99">
        <v>217</v>
      </c>
      <c r="P99" s="49">
        <v>1339107</v>
      </c>
    </row>
    <row r="100" spans="1:16" x14ac:dyDescent="0.25">
      <c r="J100">
        <v>81</v>
      </c>
      <c r="K100" s="48">
        <v>38018</v>
      </c>
      <c r="L100" t="s">
        <v>92</v>
      </c>
      <c r="M100" t="s">
        <v>84</v>
      </c>
      <c r="N100" t="s">
        <v>94</v>
      </c>
      <c r="O100">
        <v>236</v>
      </c>
      <c r="P100" s="49">
        <v>1812244</v>
      </c>
    </row>
    <row r="101" spans="1:16" x14ac:dyDescent="0.25">
      <c r="J101">
        <v>82</v>
      </c>
      <c r="K101" s="48">
        <v>38019</v>
      </c>
      <c r="L101" t="s">
        <v>83</v>
      </c>
      <c r="M101" t="s">
        <v>87</v>
      </c>
      <c r="N101" t="s">
        <v>88</v>
      </c>
      <c r="O101">
        <v>117</v>
      </c>
      <c r="P101" s="49">
        <v>1069731</v>
      </c>
    </row>
    <row r="102" spans="1:16" x14ac:dyDescent="0.25">
      <c r="J102">
        <v>83</v>
      </c>
      <c r="K102" s="48">
        <v>38019</v>
      </c>
      <c r="L102" t="s">
        <v>90</v>
      </c>
      <c r="M102" t="s">
        <v>87</v>
      </c>
      <c r="N102" t="s">
        <v>85</v>
      </c>
      <c r="O102">
        <v>56</v>
      </c>
      <c r="P102" s="49">
        <v>471072</v>
      </c>
    </row>
    <row r="103" spans="1:16" x14ac:dyDescent="0.25">
      <c r="J103">
        <v>84</v>
      </c>
      <c r="K103" s="48">
        <v>38019</v>
      </c>
      <c r="L103" t="s">
        <v>93</v>
      </c>
      <c r="M103" t="s">
        <v>87</v>
      </c>
      <c r="N103" t="s">
        <v>94</v>
      </c>
      <c r="O103">
        <v>94</v>
      </c>
      <c r="P103" s="49">
        <v>470940</v>
      </c>
    </row>
    <row r="104" spans="1:16" x14ac:dyDescent="0.25">
      <c r="J104">
        <v>85</v>
      </c>
      <c r="K104" s="48">
        <v>38019</v>
      </c>
      <c r="L104" t="s">
        <v>86</v>
      </c>
      <c r="M104" t="s">
        <v>84</v>
      </c>
      <c r="N104" t="s">
        <v>94</v>
      </c>
      <c r="O104">
        <v>127</v>
      </c>
      <c r="P104" s="49">
        <v>925322</v>
      </c>
    </row>
    <row r="105" spans="1:16" x14ac:dyDescent="0.25">
      <c r="J105">
        <v>86</v>
      </c>
      <c r="K105" s="48">
        <v>38020</v>
      </c>
      <c r="L105" t="s">
        <v>93</v>
      </c>
      <c r="M105" t="s">
        <v>87</v>
      </c>
      <c r="N105" t="s">
        <v>88</v>
      </c>
      <c r="O105">
        <v>275</v>
      </c>
      <c r="P105" s="49">
        <v>2141700</v>
      </c>
    </row>
    <row r="106" spans="1:16" x14ac:dyDescent="0.25">
      <c r="J106">
        <v>87</v>
      </c>
      <c r="K106" s="48">
        <v>38020</v>
      </c>
      <c r="L106" t="s">
        <v>92</v>
      </c>
      <c r="M106" t="s">
        <v>84</v>
      </c>
      <c r="N106" t="s">
        <v>94</v>
      </c>
      <c r="O106">
        <v>93</v>
      </c>
      <c r="P106" s="49">
        <v>778875</v>
      </c>
    </row>
    <row r="107" spans="1:16" x14ac:dyDescent="0.25">
      <c r="J107">
        <v>88</v>
      </c>
      <c r="K107" s="48">
        <v>38020</v>
      </c>
      <c r="L107" t="s">
        <v>83</v>
      </c>
      <c r="M107" t="s">
        <v>84</v>
      </c>
      <c r="N107" t="s">
        <v>91</v>
      </c>
      <c r="O107">
        <v>58</v>
      </c>
      <c r="P107" s="49">
        <v>421196</v>
      </c>
    </row>
    <row r="108" spans="1:16" x14ac:dyDescent="0.25">
      <c r="J108">
        <v>89</v>
      </c>
      <c r="K108" s="48">
        <v>38021</v>
      </c>
      <c r="L108" t="s">
        <v>86</v>
      </c>
      <c r="M108" t="s">
        <v>84</v>
      </c>
      <c r="N108" t="s">
        <v>94</v>
      </c>
      <c r="O108">
        <v>49</v>
      </c>
      <c r="P108" s="49">
        <v>219716</v>
      </c>
    </row>
    <row r="109" spans="1:16" x14ac:dyDescent="0.25">
      <c r="J109">
        <v>90</v>
      </c>
      <c r="K109" s="48">
        <v>38021</v>
      </c>
      <c r="L109" t="s">
        <v>90</v>
      </c>
      <c r="M109" t="s">
        <v>87</v>
      </c>
      <c r="N109" t="s">
        <v>88</v>
      </c>
      <c r="O109">
        <v>292</v>
      </c>
      <c r="P109" s="49">
        <v>2685816</v>
      </c>
    </row>
    <row r="110" spans="1:16" s="7" customFormat="1" ht="17.45" customHeight="1" x14ac:dyDescent="0.25">
      <c r="A110" s="1"/>
      <c r="B110" s="2"/>
      <c r="C110" s="2"/>
      <c r="D110" s="2"/>
      <c r="E110" s="2"/>
      <c r="F110" s="2"/>
      <c r="G110" s="8"/>
      <c r="J110">
        <v>91</v>
      </c>
      <c r="K110" s="48">
        <v>38021</v>
      </c>
      <c r="L110" t="s">
        <v>92</v>
      </c>
      <c r="M110" t="s">
        <v>84</v>
      </c>
      <c r="N110" t="s">
        <v>94</v>
      </c>
      <c r="O110">
        <v>123</v>
      </c>
      <c r="P110" s="49">
        <v>723609</v>
      </c>
    </row>
    <row r="111" spans="1:16" x14ac:dyDescent="0.25">
      <c r="J111">
        <v>92</v>
      </c>
      <c r="K111" s="48">
        <v>38022</v>
      </c>
      <c r="L111" t="s">
        <v>93</v>
      </c>
      <c r="M111" t="s">
        <v>84</v>
      </c>
      <c r="N111" t="s">
        <v>94</v>
      </c>
      <c r="O111">
        <v>48</v>
      </c>
      <c r="P111" s="49">
        <v>388032</v>
      </c>
    </row>
    <row r="112" spans="1:16" x14ac:dyDescent="0.25">
      <c r="J112">
        <v>93</v>
      </c>
      <c r="K112" s="48">
        <v>38022</v>
      </c>
      <c r="L112" t="s">
        <v>92</v>
      </c>
      <c r="M112" t="s">
        <v>84</v>
      </c>
      <c r="N112" t="s">
        <v>91</v>
      </c>
      <c r="O112">
        <v>132</v>
      </c>
      <c r="P112" s="49">
        <v>922020</v>
      </c>
    </row>
    <row r="113" spans="10:16" x14ac:dyDescent="0.25">
      <c r="J113">
        <v>94</v>
      </c>
      <c r="K113" s="48">
        <v>38023</v>
      </c>
      <c r="L113" t="s">
        <v>92</v>
      </c>
      <c r="M113" t="s">
        <v>84</v>
      </c>
      <c r="N113" t="s">
        <v>94</v>
      </c>
      <c r="O113">
        <v>177</v>
      </c>
      <c r="P113" s="49">
        <v>965358</v>
      </c>
    </row>
    <row r="114" spans="10:16" x14ac:dyDescent="0.25">
      <c r="J114">
        <v>95</v>
      </c>
      <c r="K114" s="48">
        <v>38023</v>
      </c>
      <c r="L114" t="s">
        <v>86</v>
      </c>
      <c r="M114" t="s">
        <v>87</v>
      </c>
      <c r="N114" t="s">
        <v>94</v>
      </c>
      <c r="O114">
        <v>68</v>
      </c>
      <c r="P114" s="49">
        <v>663816</v>
      </c>
    </row>
    <row r="115" spans="10:16" x14ac:dyDescent="0.25">
      <c r="J115">
        <v>96</v>
      </c>
      <c r="K115" s="48">
        <v>38024</v>
      </c>
      <c r="L115" t="s">
        <v>92</v>
      </c>
      <c r="M115" t="s">
        <v>84</v>
      </c>
      <c r="N115" t="s">
        <v>91</v>
      </c>
      <c r="O115">
        <v>103</v>
      </c>
      <c r="P115" s="49">
        <v>728931</v>
      </c>
    </row>
    <row r="116" spans="10:16" x14ac:dyDescent="0.25">
      <c r="J116">
        <v>97</v>
      </c>
      <c r="K116" s="48">
        <v>38024</v>
      </c>
      <c r="L116" t="s">
        <v>90</v>
      </c>
      <c r="M116" t="s">
        <v>87</v>
      </c>
      <c r="N116" t="s">
        <v>91</v>
      </c>
      <c r="O116">
        <v>96</v>
      </c>
      <c r="P116" s="49">
        <v>625536</v>
      </c>
    </row>
    <row r="117" spans="10:16" x14ac:dyDescent="0.25">
      <c r="J117">
        <v>98</v>
      </c>
      <c r="K117" s="48">
        <v>38024</v>
      </c>
      <c r="L117" t="s">
        <v>95</v>
      </c>
      <c r="M117" t="s">
        <v>87</v>
      </c>
      <c r="N117" t="s">
        <v>85</v>
      </c>
      <c r="O117">
        <v>227</v>
      </c>
      <c r="P117" s="49">
        <v>1467782</v>
      </c>
    </row>
    <row r="118" spans="10:16" x14ac:dyDescent="0.25">
      <c r="J118">
        <v>99</v>
      </c>
      <c r="K118" s="48">
        <v>38024</v>
      </c>
      <c r="L118" t="s">
        <v>92</v>
      </c>
      <c r="M118" t="s">
        <v>84</v>
      </c>
      <c r="N118" t="s">
        <v>88</v>
      </c>
      <c r="O118">
        <v>251</v>
      </c>
      <c r="P118" s="49">
        <v>2067236</v>
      </c>
    </row>
    <row r="119" spans="10:16" x14ac:dyDescent="0.25">
      <c r="J119">
        <v>100</v>
      </c>
      <c r="K119" s="48">
        <v>38025</v>
      </c>
      <c r="L119" t="s">
        <v>86</v>
      </c>
      <c r="M119" t="s">
        <v>84</v>
      </c>
      <c r="N119" t="s">
        <v>91</v>
      </c>
      <c r="O119">
        <v>125</v>
      </c>
      <c r="P119" s="49">
        <v>531375</v>
      </c>
    </row>
    <row r="120" spans="10:16" x14ac:dyDescent="0.25">
      <c r="J120">
        <v>101</v>
      </c>
      <c r="K120" s="48">
        <v>38025</v>
      </c>
      <c r="L120" t="s">
        <v>90</v>
      </c>
      <c r="M120" t="s">
        <v>84</v>
      </c>
      <c r="N120" t="s">
        <v>88</v>
      </c>
      <c r="O120">
        <v>162</v>
      </c>
      <c r="P120" s="49">
        <v>710694</v>
      </c>
    </row>
    <row r="121" spans="10:16" x14ac:dyDescent="0.25">
      <c r="J121">
        <v>102</v>
      </c>
      <c r="K121" s="48">
        <v>38025</v>
      </c>
      <c r="L121" t="s">
        <v>86</v>
      </c>
      <c r="M121" t="s">
        <v>87</v>
      </c>
      <c r="N121" t="s">
        <v>94</v>
      </c>
      <c r="O121">
        <v>45</v>
      </c>
      <c r="P121" s="49">
        <v>438435</v>
      </c>
    </row>
    <row r="122" spans="10:16" x14ac:dyDescent="0.25">
      <c r="J122">
        <v>103</v>
      </c>
      <c r="K122" s="48">
        <v>38025</v>
      </c>
      <c r="L122" t="s">
        <v>95</v>
      </c>
      <c r="M122" t="s">
        <v>84</v>
      </c>
      <c r="N122" t="s">
        <v>88</v>
      </c>
      <c r="O122">
        <v>258</v>
      </c>
      <c r="P122" s="49">
        <v>1188090</v>
      </c>
    </row>
    <row r="123" spans="10:16" x14ac:dyDescent="0.25">
      <c r="J123">
        <v>104</v>
      </c>
      <c r="K123" s="48">
        <v>38026</v>
      </c>
      <c r="L123" t="s">
        <v>89</v>
      </c>
      <c r="M123" t="s">
        <v>87</v>
      </c>
      <c r="N123" t="s">
        <v>91</v>
      </c>
      <c r="O123">
        <v>104</v>
      </c>
      <c r="P123" s="49">
        <v>699400</v>
      </c>
    </row>
    <row r="124" spans="10:16" x14ac:dyDescent="0.25">
      <c r="J124">
        <v>105</v>
      </c>
      <c r="K124" s="48">
        <v>38027</v>
      </c>
      <c r="L124" t="s">
        <v>93</v>
      </c>
      <c r="M124" t="s">
        <v>84</v>
      </c>
      <c r="N124" t="s">
        <v>88</v>
      </c>
      <c r="O124">
        <v>238</v>
      </c>
      <c r="P124" s="49">
        <v>1854496</v>
      </c>
    </row>
    <row r="125" spans="10:16" x14ac:dyDescent="0.25">
      <c r="J125">
        <v>106</v>
      </c>
      <c r="K125" s="48">
        <v>38027</v>
      </c>
      <c r="L125" t="s">
        <v>93</v>
      </c>
      <c r="M125" t="s">
        <v>84</v>
      </c>
      <c r="N125" t="s">
        <v>85</v>
      </c>
      <c r="O125">
        <v>300</v>
      </c>
      <c r="P125" s="49">
        <v>2105700</v>
      </c>
    </row>
    <row r="126" spans="10:16" x14ac:dyDescent="0.25">
      <c r="J126">
        <v>107</v>
      </c>
      <c r="K126" s="48">
        <v>38027</v>
      </c>
      <c r="L126" t="s">
        <v>90</v>
      </c>
      <c r="M126" t="s">
        <v>84</v>
      </c>
      <c r="N126" t="s">
        <v>88</v>
      </c>
      <c r="O126">
        <v>222</v>
      </c>
      <c r="P126" s="49">
        <v>1791318</v>
      </c>
    </row>
    <row r="127" spans="10:16" x14ac:dyDescent="0.25">
      <c r="J127">
        <v>108</v>
      </c>
      <c r="K127" s="48">
        <v>38029</v>
      </c>
      <c r="L127" t="s">
        <v>90</v>
      </c>
      <c r="M127" t="s">
        <v>84</v>
      </c>
      <c r="N127" t="s">
        <v>91</v>
      </c>
      <c r="O127">
        <v>187</v>
      </c>
      <c r="P127" s="49">
        <v>1782297</v>
      </c>
    </row>
    <row r="128" spans="10:16" x14ac:dyDescent="0.25">
      <c r="J128">
        <v>109</v>
      </c>
      <c r="K128" s="48">
        <v>38029</v>
      </c>
      <c r="L128" t="s">
        <v>90</v>
      </c>
      <c r="M128" t="s">
        <v>84</v>
      </c>
      <c r="N128" t="s">
        <v>94</v>
      </c>
      <c r="O128">
        <v>300</v>
      </c>
      <c r="P128" s="49">
        <v>1528200</v>
      </c>
    </row>
    <row r="129" spans="10:16" x14ac:dyDescent="0.25">
      <c r="J129">
        <v>110</v>
      </c>
      <c r="K129" s="48">
        <v>38029</v>
      </c>
      <c r="L129" t="s">
        <v>83</v>
      </c>
      <c r="M129" t="s">
        <v>87</v>
      </c>
      <c r="N129" t="s">
        <v>94</v>
      </c>
      <c r="O129">
        <v>206</v>
      </c>
      <c r="P129" s="49">
        <v>1587642</v>
      </c>
    </row>
    <row r="130" spans="10:16" x14ac:dyDescent="0.25">
      <c r="J130">
        <v>111</v>
      </c>
      <c r="K130" s="48">
        <v>38030</v>
      </c>
      <c r="L130" t="s">
        <v>90</v>
      </c>
      <c r="M130" t="s">
        <v>84</v>
      </c>
      <c r="N130" t="s">
        <v>91</v>
      </c>
      <c r="O130">
        <v>162</v>
      </c>
      <c r="P130" s="49">
        <v>954666</v>
      </c>
    </row>
    <row r="131" spans="10:16" x14ac:dyDescent="0.25">
      <c r="J131">
        <v>112</v>
      </c>
      <c r="K131" s="48">
        <v>38030</v>
      </c>
      <c r="L131" t="s">
        <v>86</v>
      </c>
      <c r="M131" t="s">
        <v>84</v>
      </c>
      <c r="N131" t="s">
        <v>85</v>
      </c>
      <c r="O131">
        <v>160</v>
      </c>
      <c r="P131" s="49">
        <v>1064800</v>
      </c>
    </row>
    <row r="132" spans="10:16" x14ac:dyDescent="0.25">
      <c r="J132">
        <v>113</v>
      </c>
      <c r="K132" s="48">
        <v>38030</v>
      </c>
      <c r="L132" t="s">
        <v>90</v>
      </c>
      <c r="M132" t="s">
        <v>84</v>
      </c>
      <c r="N132" t="s">
        <v>94</v>
      </c>
      <c r="O132">
        <v>89</v>
      </c>
      <c r="P132" s="49">
        <v>887241</v>
      </c>
    </row>
    <row r="133" spans="10:16" x14ac:dyDescent="0.25">
      <c r="J133">
        <v>114</v>
      </c>
      <c r="K133" s="48">
        <v>38031</v>
      </c>
      <c r="L133" t="s">
        <v>90</v>
      </c>
      <c r="M133" t="s">
        <v>87</v>
      </c>
      <c r="N133" t="s">
        <v>88</v>
      </c>
      <c r="O133">
        <v>103</v>
      </c>
      <c r="P133" s="49">
        <v>806799</v>
      </c>
    </row>
    <row r="134" spans="10:16" x14ac:dyDescent="0.25">
      <c r="J134">
        <v>115</v>
      </c>
      <c r="K134" s="48">
        <v>38031</v>
      </c>
      <c r="L134" t="s">
        <v>92</v>
      </c>
      <c r="M134" t="s">
        <v>87</v>
      </c>
      <c r="N134" t="s">
        <v>91</v>
      </c>
      <c r="O134">
        <v>54</v>
      </c>
      <c r="P134" s="49">
        <v>438750</v>
      </c>
    </row>
    <row r="135" spans="10:16" x14ac:dyDescent="0.25">
      <c r="J135">
        <v>116</v>
      </c>
      <c r="K135" s="48">
        <v>38032</v>
      </c>
      <c r="L135" t="s">
        <v>83</v>
      </c>
      <c r="M135" t="s">
        <v>87</v>
      </c>
      <c r="N135" t="s">
        <v>88</v>
      </c>
      <c r="O135">
        <v>103</v>
      </c>
      <c r="P135" s="49">
        <v>973659</v>
      </c>
    </row>
    <row r="136" spans="10:16" x14ac:dyDescent="0.25">
      <c r="J136">
        <v>117</v>
      </c>
      <c r="K136" s="48">
        <v>38032</v>
      </c>
      <c r="L136" t="s">
        <v>89</v>
      </c>
      <c r="M136" t="s">
        <v>87</v>
      </c>
      <c r="N136" t="s">
        <v>88</v>
      </c>
      <c r="O136">
        <v>274</v>
      </c>
      <c r="P136" s="49">
        <v>1724008</v>
      </c>
    </row>
    <row r="137" spans="10:16" x14ac:dyDescent="0.25">
      <c r="J137">
        <v>118</v>
      </c>
      <c r="K137" s="48">
        <v>38032</v>
      </c>
      <c r="L137" t="s">
        <v>89</v>
      </c>
      <c r="M137" t="s">
        <v>87</v>
      </c>
      <c r="N137" t="s">
        <v>88</v>
      </c>
      <c r="O137">
        <v>253</v>
      </c>
      <c r="P137" s="49">
        <v>2047276</v>
      </c>
    </row>
    <row r="138" spans="10:16" x14ac:dyDescent="0.25">
      <c r="J138">
        <v>119</v>
      </c>
      <c r="K138" s="48">
        <v>38033</v>
      </c>
      <c r="L138" t="s">
        <v>83</v>
      </c>
      <c r="M138" t="s">
        <v>87</v>
      </c>
      <c r="N138" t="s">
        <v>85</v>
      </c>
      <c r="O138">
        <v>51</v>
      </c>
      <c r="P138" s="49">
        <v>307989</v>
      </c>
    </row>
    <row r="139" spans="10:16" x14ac:dyDescent="0.25">
      <c r="J139">
        <v>120</v>
      </c>
      <c r="K139" s="48">
        <v>38033</v>
      </c>
      <c r="L139" t="s">
        <v>93</v>
      </c>
      <c r="M139" t="s">
        <v>87</v>
      </c>
      <c r="N139" t="s">
        <v>91</v>
      </c>
      <c r="O139">
        <v>174</v>
      </c>
      <c r="P139" s="49">
        <v>973878</v>
      </c>
    </row>
    <row r="140" spans="10:16" x14ac:dyDescent="0.25">
      <c r="J140">
        <v>121</v>
      </c>
      <c r="K140" s="48">
        <v>38034</v>
      </c>
      <c r="L140" t="s">
        <v>83</v>
      </c>
      <c r="M140" t="s">
        <v>87</v>
      </c>
      <c r="N140" t="s">
        <v>94</v>
      </c>
      <c r="O140">
        <v>152</v>
      </c>
      <c r="P140" s="49">
        <v>688864</v>
      </c>
    </row>
    <row r="141" spans="10:16" x14ac:dyDescent="0.25">
      <c r="J141">
        <v>122</v>
      </c>
      <c r="K141" s="48">
        <v>38034</v>
      </c>
      <c r="L141" t="s">
        <v>95</v>
      </c>
      <c r="M141" t="s">
        <v>84</v>
      </c>
      <c r="N141" t="s">
        <v>94</v>
      </c>
      <c r="O141">
        <v>270</v>
      </c>
      <c r="P141" s="49">
        <v>1385910</v>
      </c>
    </row>
    <row r="142" spans="10:16" x14ac:dyDescent="0.25">
      <c r="J142">
        <v>123</v>
      </c>
      <c r="K142" s="48">
        <v>38034</v>
      </c>
      <c r="L142" t="s">
        <v>86</v>
      </c>
      <c r="M142" t="s">
        <v>84</v>
      </c>
      <c r="N142" t="s">
        <v>88</v>
      </c>
      <c r="O142">
        <v>179</v>
      </c>
      <c r="P142" s="49">
        <v>1461356</v>
      </c>
    </row>
    <row r="143" spans="10:16" x14ac:dyDescent="0.25">
      <c r="J143">
        <v>124</v>
      </c>
      <c r="K143" s="48">
        <v>38035</v>
      </c>
      <c r="L143" t="s">
        <v>90</v>
      </c>
      <c r="M143" t="s">
        <v>84</v>
      </c>
      <c r="N143" t="s">
        <v>91</v>
      </c>
      <c r="O143">
        <v>212</v>
      </c>
      <c r="P143" s="49">
        <v>926228</v>
      </c>
    </row>
    <row r="144" spans="10:16" x14ac:dyDescent="0.25">
      <c r="J144">
        <v>125</v>
      </c>
      <c r="K144" s="48">
        <v>38036</v>
      </c>
      <c r="L144" t="s">
        <v>92</v>
      </c>
      <c r="M144" t="s">
        <v>87</v>
      </c>
      <c r="N144" t="s">
        <v>88</v>
      </c>
      <c r="O144">
        <v>118</v>
      </c>
      <c r="P144" s="49">
        <v>1067192</v>
      </c>
    </row>
    <row r="145" spans="10:16" x14ac:dyDescent="0.25">
      <c r="J145">
        <v>126</v>
      </c>
      <c r="K145" s="48">
        <v>38036</v>
      </c>
      <c r="L145" t="s">
        <v>92</v>
      </c>
      <c r="M145" t="s">
        <v>87</v>
      </c>
      <c r="N145" t="s">
        <v>91</v>
      </c>
      <c r="O145">
        <v>194</v>
      </c>
      <c r="P145" s="49">
        <v>1373132</v>
      </c>
    </row>
    <row r="146" spans="10:16" x14ac:dyDescent="0.25">
      <c r="J146">
        <v>127</v>
      </c>
      <c r="K146" s="48">
        <v>38037</v>
      </c>
      <c r="L146" t="s">
        <v>92</v>
      </c>
      <c r="M146" t="s">
        <v>87</v>
      </c>
      <c r="N146" t="s">
        <v>94</v>
      </c>
      <c r="O146">
        <v>139</v>
      </c>
      <c r="P146" s="49">
        <v>1087119</v>
      </c>
    </row>
    <row r="147" spans="10:16" x14ac:dyDescent="0.25">
      <c r="J147">
        <v>128</v>
      </c>
      <c r="K147" s="48">
        <v>38037</v>
      </c>
      <c r="L147" t="s">
        <v>95</v>
      </c>
      <c r="M147" t="s">
        <v>87</v>
      </c>
      <c r="N147" t="s">
        <v>91</v>
      </c>
      <c r="O147">
        <v>130</v>
      </c>
      <c r="P147" s="49">
        <v>1230190</v>
      </c>
    </row>
    <row r="148" spans="10:16" x14ac:dyDescent="0.25">
      <c r="J148">
        <v>129</v>
      </c>
      <c r="K148" s="48">
        <v>38038</v>
      </c>
      <c r="L148" t="s">
        <v>83</v>
      </c>
      <c r="M148" t="s">
        <v>84</v>
      </c>
      <c r="N148" t="s">
        <v>85</v>
      </c>
      <c r="O148">
        <v>206</v>
      </c>
      <c r="P148" s="49">
        <v>1363926</v>
      </c>
    </row>
    <row r="149" spans="10:16" x14ac:dyDescent="0.25">
      <c r="J149">
        <v>130</v>
      </c>
      <c r="K149" s="48">
        <v>38038</v>
      </c>
      <c r="L149" t="s">
        <v>89</v>
      </c>
      <c r="M149" t="s">
        <v>87</v>
      </c>
      <c r="N149" t="s">
        <v>91</v>
      </c>
      <c r="O149">
        <v>216</v>
      </c>
      <c r="P149" s="49">
        <v>1389096</v>
      </c>
    </row>
    <row r="150" spans="10:16" x14ac:dyDescent="0.25">
      <c r="J150">
        <v>131</v>
      </c>
      <c r="K150" s="48">
        <v>38038</v>
      </c>
      <c r="L150" t="s">
        <v>86</v>
      </c>
      <c r="M150" t="s">
        <v>87</v>
      </c>
      <c r="N150" t="s">
        <v>85</v>
      </c>
      <c r="O150">
        <v>55</v>
      </c>
      <c r="P150" s="49">
        <v>477345</v>
      </c>
    </row>
    <row r="151" spans="10:16" x14ac:dyDescent="0.25">
      <c r="J151">
        <v>132</v>
      </c>
      <c r="K151" s="48">
        <v>38038</v>
      </c>
      <c r="L151" t="s">
        <v>89</v>
      </c>
      <c r="M151" t="s">
        <v>87</v>
      </c>
      <c r="N151" t="s">
        <v>91</v>
      </c>
      <c r="O151">
        <v>190</v>
      </c>
      <c r="P151" s="49">
        <v>1268630</v>
      </c>
    </row>
    <row r="152" spans="10:16" x14ac:dyDescent="0.25">
      <c r="J152">
        <v>133</v>
      </c>
      <c r="K152" s="48">
        <v>38039</v>
      </c>
      <c r="L152" t="s">
        <v>90</v>
      </c>
      <c r="M152" t="s">
        <v>84</v>
      </c>
      <c r="N152" t="s">
        <v>91</v>
      </c>
      <c r="O152">
        <v>62</v>
      </c>
      <c r="P152" s="49">
        <v>391964</v>
      </c>
    </row>
    <row r="153" spans="10:16" x14ac:dyDescent="0.25">
      <c r="J153">
        <v>134</v>
      </c>
      <c r="K153" s="48">
        <v>38039</v>
      </c>
      <c r="L153" t="s">
        <v>89</v>
      </c>
      <c r="M153" t="s">
        <v>84</v>
      </c>
      <c r="N153" t="s">
        <v>91</v>
      </c>
      <c r="O153">
        <v>275</v>
      </c>
      <c r="P153" s="49">
        <v>1765225</v>
      </c>
    </row>
    <row r="154" spans="10:16" x14ac:dyDescent="0.25">
      <c r="J154">
        <v>135</v>
      </c>
      <c r="K154" s="48">
        <v>38039</v>
      </c>
      <c r="L154" t="s">
        <v>86</v>
      </c>
      <c r="M154" t="s">
        <v>87</v>
      </c>
      <c r="N154" t="s">
        <v>85</v>
      </c>
      <c r="O154">
        <v>45</v>
      </c>
      <c r="P154" s="49">
        <v>229455</v>
      </c>
    </row>
    <row r="155" spans="10:16" x14ac:dyDescent="0.25">
      <c r="J155">
        <v>136</v>
      </c>
      <c r="K155" s="48">
        <v>38040</v>
      </c>
      <c r="L155" t="s">
        <v>89</v>
      </c>
      <c r="M155" t="s">
        <v>84</v>
      </c>
      <c r="N155" t="s">
        <v>85</v>
      </c>
      <c r="O155">
        <v>105</v>
      </c>
      <c r="P155" s="49">
        <v>624435</v>
      </c>
    </row>
    <row r="156" spans="10:16" x14ac:dyDescent="0.25">
      <c r="J156">
        <v>137</v>
      </c>
      <c r="K156" s="48">
        <v>38040</v>
      </c>
      <c r="L156" t="s">
        <v>95</v>
      </c>
      <c r="M156" t="s">
        <v>87</v>
      </c>
      <c r="N156" t="s">
        <v>94</v>
      </c>
      <c r="O156">
        <v>119</v>
      </c>
      <c r="P156" s="49">
        <v>686154</v>
      </c>
    </row>
    <row r="157" spans="10:16" x14ac:dyDescent="0.25">
      <c r="J157">
        <v>138</v>
      </c>
      <c r="K157" s="48">
        <v>38041</v>
      </c>
      <c r="L157" t="s">
        <v>92</v>
      </c>
      <c r="M157" t="s">
        <v>87</v>
      </c>
      <c r="N157" t="s">
        <v>88</v>
      </c>
      <c r="O157">
        <v>88</v>
      </c>
      <c r="P157" s="49">
        <v>678480</v>
      </c>
    </row>
    <row r="158" spans="10:16" x14ac:dyDescent="0.25">
      <c r="J158">
        <v>139</v>
      </c>
      <c r="K158" s="48">
        <v>38043</v>
      </c>
      <c r="L158" t="s">
        <v>86</v>
      </c>
      <c r="M158" t="s">
        <v>84</v>
      </c>
      <c r="N158" t="s">
        <v>91</v>
      </c>
      <c r="O158">
        <v>63</v>
      </c>
      <c r="P158" s="49">
        <v>533925</v>
      </c>
    </row>
    <row r="159" spans="10:16" x14ac:dyDescent="0.25">
      <c r="J159">
        <v>140</v>
      </c>
      <c r="K159" s="48">
        <v>38043</v>
      </c>
      <c r="L159" t="s">
        <v>93</v>
      </c>
      <c r="M159" t="s">
        <v>87</v>
      </c>
      <c r="N159" t="s">
        <v>94</v>
      </c>
      <c r="O159">
        <v>222</v>
      </c>
      <c r="P159" s="49">
        <v>1076034</v>
      </c>
    </row>
    <row r="160" spans="10:16" x14ac:dyDescent="0.25">
      <c r="J160">
        <v>141</v>
      </c>
      <c r="K160" s="48">
        <v>38044</v>
      </c>
      <c r="L160" t="s">
        <v>90</v>
      </c>
      <c r="M160" t="s">
        <v>87</v>
      </c>
      <c r="N160" t="s">
        <v>94</v>
      </c>
      <c r="O160">
        <v>47</v>
      </c>
      <c r="P160" s="49">
        <v>455477</v>
      </c>
    </row>
    <row r="161" spans="10:16" x14ac:dyDescent="0.25">
      <c r="J161">
        <v>142</v>
      </c>
      <c r="K161" s="48">
        <v>38044</v>
      </c>
      <c r="L161" t="s">
        <v>89</v>
      </c>
      <c r="M161" t="s">
        <v>87</v>
      </c>
      <c r="N161" t="s">
        <v>91</v>
      </c>
      <c r="O161">
        <v>123</v>
      </c>
      <c r="P161" s="49">
        <v>1128156</v>
      </c>
    </row>
    <row r="162" spans="10:16" x14ac:dyDescent="0.25">
      <c r="J162">
        <v>143</v>
      </c>
      <c r="K162" s="48">
        <v>38044</v>
      </c>
      <c r="L162" t="s">
        <v>89</v>
      </c>
      <c r="M162" t="s">
        <v>84</v>
      </c>
      <c r="N162" t="s">
        <v>91</v>
      </c>
      <c r="O162">
        <v>134</v>
      </c>
      <c r="P162" s="49">
        <v>1310520</v>
      </c>
    </row>
    <row r="163" spans="10:16" x14ac:dyDescent="0.25">
      <c r="J163">
        <v>144</v>
      </c>
      <c r="K163" s="48">
        <v>38045</v>
      </c>
      <c r="L163" t="s">
        <v>83</v>
      </c>
      <c r="M163" t="s">
        <v>84</v>
      </c>
      <c r="N163" t="s">
        <v>94</v>
      </c>
      <c r="O163">
        <v>121</v>
      </c>
      <c r="P163" s="49">
        <v>782870</v>
      </c>
    </row>
    <row r="164" spans="10:16" x14ac:dyDescent="0.25">
      <c r="J164">
        <v>145</v>
      </c>
      <c r="K164" s="48">
        <v>38045</v>
      </c>
      <c r="L164" t="s">
        <v>93</v>
      </c>
      <c r="M164" t="s">
        <v>87</v>
      </c>
      <c r="N164" t="s">
        <v>88</v>
      </c>
      <c r="O164">
        <v>50</v>
      </c>
      <c r="P164" s="49">
        <v>315550</v>
      </c>
    </row>
    <row r="165" spans="10:16" x14ac:dyDescent="0.25">
      <c r="J165">
        <v>146</v>
      </c>
      <c r="K165" s="48">
        <v>38045</v>
      </c>
      <c r="L165" t="s">
        <v>83</v>
      </c>
      <c r="M165" t="s">
        <v>87</v>
      </c>
      <c r="N165" t="s">
        <v>88</v>
      </c>
      <c r="O165">
        <v>274</v>
      </c>
      <c r="P165" s="49">
        <v>2028970</v>
      </c>
    </row>
    <row r="166" spans="10:16" x14ac:dyDescent="0.25">
      <c r="J166">
        <v>147</v>
      </c>
      <c r="K166" s="48">
        <v>38045</v>
      </c>
      <c r="L166" t="s">
        <v>83</v>
      </c>
      <c r="M166" t="s">
        <v>84</v>
      </c>
      <c r="N166" t="s">
        <v>94</v>
      </c>
      <c r="O166">
        <v>76</v>
      </c>
      <c r="P166" s="49">
        <v>734388</v>
      </c>
    </row>
    <row r="167" spans="10:16" x14ac:dyDescent="0.25">
      <c r="J167">
        <v>148</v>
      </c>
      <c r="K167" s="48">
        <v>38045</v>
      </c>
      <c r="L167" t="s">
        <v>86</v>
      </c>
      <c r="M167" t="s">
        <v>87</v>
      </c>
      <c r="N167" t="s">
        <v>94</v>
      </c>
      <c r="O167">
        <v>109</v>
      </c>
      <c r="P167" s="49">
        <v>779241</v>
      </c>
    </row>
    <row r="168" spans="10:16" x14ac:dyDescent="0.25">
      <c r="J168">
        <v>149</v>
      </c>
      <c r="K168" s="48">
        <v>38046</v>
      </c>
      <c r="L168" t="s">
        <v>93</v>
      </c>
      <c r="M168" t="s">
        <v>87</v>
      </c>
      <c r="N168" t="s">
        <v>85</v>
      </c>
      <c r="O168">
        <v>249</v>
      </c>
      <c r="P168" s="49">
        <v>1492506</v>
      </c>
    </row>
    <row r="169" spans="10:16" x14ac:dyDescent="0.25">
      <c r="J169">
        <v>150</v>
      </c>
      <c r="K169" s="48">
        <v>38047</v>
      </c>
      <c r="L169" t="s">
        <v>95</v>
      </c>
      <c r="M169" t="s">
        <v>84</v>
      </c>
      <c r="N169" t="s">
        <v>85</v>
      </c>
      <c r="O169">
        <v>212</v>
      </c>
      <c r="P169" s="49">
        <v>1800516</v>
      </c>
    </row>
    <row r="170" spans="10:16" x14ac:dyDescent="0.25">
      <c r="J170">
        <v>151</v>
      </c>
      <c r="K170" s="48">
        <v>38047</v>
      </c>
      <c r="L170" t="s">
        <v>89</v>
      </c>
      <c r="M170" t="s">
        <v>84</v>
      </c>
      <c r="N170" t="s">
        <v>85</v>
      </c>
      <c r="O170">
        <v>128</v>
      </c>
      <c r="P170" s="49">
        <v>1259904</v>
      </c>
    </row>
    <row r="171" spans="10:16" x14ac:dyDescent="0.25">
      <c r="J171">
        <v>152</v>
      </c>
      <c r="K171" s="48">
        <v>38048</v>
      </c>
      <c r="L171" t="s">
        <v>89</v>
      </c>
      <c r="M171" t="s">
        <v>87</v>
      </c>
      <c r="N171" t="s">
        <v>91</v>
      </c>
      <c r="O171">
        <v>172</v>
      </c>
      <c r="P171" s="49">
        <v>1063648</v>
      </c>
    </row>
    <row r="172" spans="10:16" x14ac:dyDescent="0.25">
      <c r="J172">
        <v>153</v>
      </c>
      <c r="K172" s="48">
        <v>38048</v>
      </c>
      <c r="L172" t="s">
        <v>93</v>
      </c>
      <c r="M172" t="s">
        <v>87</v>
      </c>
      <c r="N172" t="s">
        <v>85</v>
      </c>
      <c r="O172">
        <v>68</v>
      </c>
      <c r="P172" s="49">
        <v>434656</v>
      </c>
    </row>
    <row r="173" spans="10:16" x14ac:dyDescent="0.25">
      <c r="J173">
        <v>154</v>
      </c>
      <c r="K173" s="48">
        <v>38048</v>
      </c>
      <c r="L173" t="s">
        <v>92</v>
      </c>
      <c r="M173" t="s">
        <v>84</v>
      </c>
      <c r="N173" t="s">
        <v>85</v>
      </c>
      <c r="O173">
        <v>52</v>
      </c>
      <c r="P173" s="49">
        <v>508924</v>
      </c>
    </row>
    <row r="174" spans="10:16" x14ac:dyDescent="0.25">
      <c r="J174">
        <v>155</v>
      </c>
      <c r="K174" s="48">
        <v>38049</v>
      </c>
      <c r="L174" t="s">
        <v>90</v>
      </c>
      <c r="M174" t="s">
        <v>84</v>
      </c>
      <c r="N174" t="s">
        <v>88</v>
      </c>
      <c r="O174">
        <v>185</v>
      </c>
      <c r="P174" s="49">
        <v>1403595</v>
      </c>
    </row>
    <row r="175" spans="10:16" x14ac:dyDescent="0.25">
      <c r="J175">
        <v>156</v>
      </c>
      <c r="K175" s="48">
        <v>38049</v>
      </c>
      <c r="L175" t="s">
        <v>95</v>
      </c>
      <c r="M175" t="s">
        <v>87</v>
      </c>
      <c r="N175" t="s">
        <v>88</v>
      </c>
      <c r="O175">
        <v>284</v>
      </c>
      <c r="P175" s="49">
        <v>1561432</v>
      </c>
    </row>
    <row r="176" spans="10:16" x14ac:dyDescent="0.25">
      <c r="J176">
        <v>157</v>
      </c>
      <c r="K176" s="48">
        <v>38049</v>
      </c>
      <c r="L176" t="s">
        <v>89</v>
      </c>
      <c r="M176" t="s">
        <v>87</v>
      </c>
      <c r="N176" t="s">
        <v>91</v>
      </c>
      <c r="O176">
        <v>202</v>
      </c>
      <c r="P176" s="49">
        <v>1891932</v>
      </c>
    </row>
    <row r="177" spans="10:16" x14ac:dyDescent="0.25">
      <c r="J177">
        <v>158</v>
      </c>
      <c r="K177" s="48">
        <v>38049</v>
      </c>
      <c r="L177" t="s">
        <v>95</v>
      </c>
      <c r="M177" t="s">
        <v>84</v>
      </c>
      <c r="N177" t="s">
        <v>85</v>
      </c>
      <c r="O177">
        <v>100</v>
      </c>
      <c r="P177" s="49">
        <v>731700</v>
      </c>
    </row>
    <row r="178" spans="10:16" x14ac:dyDescent="0.25">
      <c r="J178">
        <v>159</v>
      </c>
      <c r="K178" s="48">
        <v>38050</v>
      </c>
      <c r="L178" t="s">
        <v>86</v>
      </c>
      <c r="M178" t="s">
        <v>87</v>
      </c>
      <c r="N178" t="s">
        <v>85</v>
      </c>
      <c r="O178">
        <v>106</v>
      </c>
      <c r="P178" s="49">
        <v>563178</v>
      </c>
    </row>
    <row r="179" spans="10:16" x14ac:dyDescent="0.25">
      <c r="J179">
        <v>160</v>
      </c>
      <c r="K179" s="48">
        <v>38050</v>
      </c>
      <c r="L179" t="s">
        <v>95</v>
      </c>
      <c r="M179" t="s">
        <v>87</v>
      </c>
      <c r="N179" t="s">
        <v>91</v>
      </c>
      <c r="O179">
        <v>211</v>
      </c>
      <c r="P179" s="49">
        <v>875228</v>
      </c>
    </row>
    <row r="180" spans="10:16" x14ac:dyDescent="0.25">
      <c r="J180">
        <v>161</v>
      </c>
      <c r="K180" s="48">
        <v>38050</v>
      </c>
      <c r="L180" t="s">
        <v>90</v>
      </c>
      <c r="M180" t="s">
        <v>87</v>
      </c>
      <c r="N180" t="s">
        <v>91</v>
      </c>
      <c r="O180">
        <v>165</v>
      </c>
      <c r="P180" s="49">
        <v>1305480</v>
      </c>
    </row>
    <row r="181" spans="10:16" x14ac:dyDescent="0.25">
      <c r="J181">
        <v>162</v>
      </c>
      <c r="K181" s="48">
        <v>38051</v>
      </c>
      <c r="L181" t="s">
        <v>93</v>
      </c>
      <c r="M181" t="s">
        <v>84</v>
      </c>
      <c r="N181" t="s">
        <v>85</v>
      </c>
      <c r="O181">
        <v>251</v>
      </c>
      <c r="P181" s="49">
        <v>1361675</v>
      </c>
    </row>
    <row r="182" spans="10:16" x14ac:dyDescent="0.25">
      <c r="J182">
        <v>163</v>
      </c>
      <c r="K182" s="48">
        <v>38051</v>
      </c>
      <c r="L182" t="s">
        <v>86</v>
      </c>
      <c r="M182" t="s">
        <v>87</v>
      </c>
      <c r="N182" t="s">
        <v>91</v>
      </c>
      <c r="O182">
        <v>266</v>
      </c>
      <c r="P182" s="49">
        <v>1161090</v>
      </c>
    </row>
    <row r="183" spans="10:16" x14ac:dyDescent="0.25">
      <c r="J183">
        <v>164</v>
      </c>
      <c r="K183" s="48">
        <v>38051</v>
      </c>
      <c r="L183" t="s">
        <v>89</v>
      </c>
      <c r="M183" t="s">
        <v>84</v>
      </c>
      <c r="N183" t="s">
        <v>88</v>
      </c>
      <c r="O183">
        <v>287</v>
      </c>
      <c r="P183" s="49">
        <v>1395681</v>
      </c>
    </row>
    <row r="184" spans="10:16" x14ac:dyDescent="0.25">
      <c r="J184">
        <v>165</v>
      </c>
      <c r="K184" s="48">
        <v>38051</v>
      </c>
      <c r="L184" t="s">
        <v>92</v>
      </c>
      <c r="M184" t="s">
        <v>87</v>
      </c>
      <c r="N184" t="s">
        <v>91</v>
      </c>
      <c r="O184">
        <v>104</v>
      </c>
      <c r="P184" s="49">
        <v>1001104</v>
      </c>
    </row>
    <row r="185" spans="10:16" x14ac:dyDescent="0.25">
      <c r="J185">
        <v>166</v>
      </c>
      <c r="K185" s="48">
        <v>38052</v>
      </c>
      <c r="L185" t="s">
        <v>89</v>
      </c>
      <c r="M185" t="s">
        <v>87</v>
      </c>
      <c r="N185" t="s">
        <v>91</v>
      </c>
      <c r="O185">
        <v>250</v>
      </c>
      <c r="P185" s="49">
        <v>2275500</v>
      </c>
    </row>
    <row r="186" spans="10:16" x14ac:dyDescent="0.25">
      <c r="J186">
        <v>167</v>
      </c>
      <c r="K186" s="48">
        <v>38052</v>
      </c>
      <c r="L186" t="s">
        <v>83</v>
      </c>
      <c r="M186" t="s">
        <v>87</v>
      </c>
      <c r="N186" t="s">
        <v>88</v>
      </c>
      <c r="O186">
        <v>169</v>
      </c>
      <c r="P186" s="49">
        <v>1370759</v>
      </c>
    </row>
    <row r="187" spans="10:16" x14ac:dyDescent="0.25">
      <c r="J187">
        <v>168</v>
      </c>
      <c r="K187" s="48">
        <v>38052</v>
      </c>
      <c r="L187" t="s">
        <v>90</v>
      </c>
      <c r="M187" t="s">
        <v>87</v>
      </c>
      <c r="N187" t="s">
        <v>85</v>
      </c>
      <c r="O187">
        <v>221</v>
      </c>
      <c r="P187" s="49">
        <v>1842035</v>
      </c>
    </row>
    <row r="188" spans="10:16" x14ac:dyDescent="0.25">
      <c r="J188">
        <v>169</v>
      </c>
      <c r="K188" s="48">
        <v>38053</v>
      </c>
      <c r="L188" t="s">
        <v>92</v>
      </c>
      <c r="M188" t="s">
        <v>84</v>
      </c>
      <c r="N188" t="s">
        <v>94</v>
      </c>
      <c r="O188">
        <v>286</v>
      </c>
      <c r="P188" s="49">
        <v>2080078</v>
      </c>
    </row>
    <row r="189" spans="10:16" x14ac:dyDescent="0.25">
      <c r="J189">
        <v>170</v>
      </c>
      <c r="K189" s="48">
        <v>38054</v>
      </c>
      <c r="L189" t="s">
        <v>90</v>
      </c>
      <c r="M189" t="s">
        <v>84</v>
      </c>
      <c r="N189" t="s">
        <v>85</v>
      </c>
      <c r="O189">
        <v>73</v>
      </c>
      <c r="P189" s="49">
        <v>597286</v>
      </c>
    </row>
    <row r="190" spans="10:16" x14ac:dyDescent="0.25">
      <c r="J190">
        <v>171</v>
      </c>
      <c r="K190" s="48">
        <v>38054</v>
      </c>
      <c r="L190" t="s">
        <v>90</v>
      </c>
      <c r="M190" t="s">
        <v>87</v>
      </c>
      <c r="N190" t="s">
        <v>88</v>
      </c>
      <c r="O190">
        <v>144</v>
      </c>
      <c r="P190" s="49">
        <v>1358640</v>
      </c>
    </row>
    <row r="191" spans="10:16" x14ac:dyDescent="0.25">
      <c r="J191">
        <v>172</v>
      </c>
      <c r="K191" s="48">
        <v>38054</v>
      </c>
      <c r="L191" t="s">
        <v>93</v>
      </c>
      <c r="M191" t="s">
        <v>84</v>
      </c>
      <c r="N191" t="s">
        <v>91</v>
      </c>
      <c r="O191">
        <v>108</v>
      </c>
      <c r="P191" s="49">
        <v>558252</v>
      </c>
    </row>
    <row r="192" spans="10:16" x14ac:dyDescent="0.25">
      <c r="J192">
        <v>173</v>
      </c>
      <c r="K192" s="48">
        <v>38055</v>
      </c>
      <c r="L192" t="s">
        <v>89</v>
      </c>
      <c r="M192" t="s">
        <v>87</v>
      </c>
      <c r="N192" t="s">
        <v>88</v>
      </c>
      <c r="O192">
        <v>268</v>
      </c>
      <c r="P192" s="49">
        <v>2400476</v>
      </c>
    </row>
    <row r="193" spans="10:16" x14ac:dyDescent="0.25">
      <c r="J193">
        <v>174</v>
      </c>
      <c r="K193" s="48">
        <v>38055</v>
      </c>
      <c r="L193" t="s">
        <v>93</v>
      </c>
      <c r="M193" t="s">
        <v>84</v>
      </c>
      <c r="N193" t="s">
        <v>85</v>
      </c>
      <c r="O193">
        <v>143</v>
      </c>
      <c r="P193" s="49">
        <v>1131416</v>
      </c>
    </row>
    <row r="194" spans="10:16" x14ac:dyDescent="0.25">
      <c r="J194">
        <v>175</v>
      </c>
      <c r="K194" s="48">
        <v>38056</v>
      </c>
      <c r="L194" t="s">
        <v>86</v>
      </c>
      <c r="M194" t="s">
        <v>87</v>
      </c>
      <c r="N194" t="s">
        <v>94</v>
      </c>
      <c r="O194">
        <v>52</v>
      </c>
      <c r="P194" s="49">
        <v>416936</v>
      </c>
    </row>
    <row r="195" spans="10:16" x14ac:dyDescent="0.25">
      <c r="J195">
        <v>176</v>
      </c>
      <c r="K195" s="48">
        <v>38056</v>
      </c>
      <c r="L195" t="s">
        <v>92</v>
      </c>
      <c r="M195" t="s">
        <v>84</v>
      </c>
      <c r="N195" t="s">
        <v>85</v>
      </c>
      <c r="O195">
        <v>193</v>
      </c>
      <c r="P195" s="49">
        <v>1658835</v>
      </c>
    </row>
    <row r="196" spans="10:16" x14ac:dyDescent="0.25">
      <c r="J196">
        <v>177</v>
      </c>
      <c r="K196" s="48">
        <v>38057</v>
      </c>
      <c r="L196" t="s">
        <v>90</v>
      </c>
      <c r="M196" t="s">
        <v>87</v>
      </c>
      <c r="N196" t="s">
        <v>91</v>
      </c>
      <c r="O196">
        <v>148</v>
      </c>
      <c r="P196" s="49">
        <v>1431012</v>
      </c>
    </row>
    <row r="197" spans="10:16" x14ac:dyDescent="0.25">
      <c r="J197">
        <v>178</v>
      </c>
      <c r="K197" s="48">
        <v>38057</v>
      </c>
      <c r="L197" t="s">
        <v>86</v>
      </c>
      <c r="M197" t="s">
        <v>87</v>
      </c>
      <c r="N197" t="s">
        <v>91</v>
      </c>
      <c r="O197">
        <v>118</v>
      </c>
      <c r="P197" s="49">
        <v>513300</v>
      </c>
    </row>
    <row r="198" spans="10:16" x14ac:dyDescent="0.25">
      <c r="J198">
        <v>179</v>
      </c>
      <c r="K198" s="48">
        <v>38058</v>
      </c>
      <c r="L198" t="s">
        <v>92</v>
      </c>
      <c r="M198" t="s">
        <v>87</v>
      </c>
      <c r="N198" t="s">
        <v>94</v>
      </c>
      <c r="O198">
        <v>156</v>
      </c>
      <c r="P198" s="49">
        <v>848328</v>
      </c>
    </row>
    <row r="199" spans="10:16" x14ac:dyDescent="0.25">
      <c r="J199">
        <v>180</v>
      </c>
      <c r="K199" s="48">
        <v>38058</v>
      </c>
      <c r="L199" t="s">
        <v>90</v>
      </c>
      <c r="M199" t="s">
        <v>84</v>
      </c>
      <c r="N199" t="s">
        <v>91</v>
      </c>
      <c r="O199">
        <v>201</v>
      </c>
      <c r="P199" s="49">
        <v>1874928</v>
      </c>
    </row>
    <row r="200" spans="10:16" x14ac:dyDescent="0.25">
      <c r="J200">
        <v>181</v>
      </c>
      <c r="K200" s="48">
        <v>38058</v>
      </c>
      <c r="L200" t="s">
        <v>89</v>
      </c>
      <c r="M200" t="s">
        <v>87</v>
      </c>
      <c r="N200" t="s">
        <v>91</v>
      </c>
      <c r="O200">
        <v>42</v>
      </c>
      <c r="P200" s="49">
        <v>367584</v>
      </c>
    </row>
    <row r="201" spans="10:16" x14ac:dyDescent="0.25">
      <c r="J201">
        <v>182</v>
      </c>
      <c r="K201" s="48">
        <v>38059</v>
      </c>
      <c r="L201" t="s">
        <v>86</v>
      </c>
      <c r="M201" t="s">
        <v>84</v>
      </c>
      <c r="N201" t="s">
        <v>91</v>
      </c>
      <c r="O201">
        <v>162</v>
      </c>
      <c r="P201" s="49">
        <v>1323054</v>
      </c>
    </row>
    <row r="202" spans="10:16" x14ac:dyDescent="0.25">
      <c r="J202">
        <v>183</v>
      </c>
      <c r="K202" s="48">
        <v>38060</v>
      </c>
      <c r="L202" t="s">
        <v>86</v>
      </c>
      <c r="M202" t="s">
        <v>84</v>
      </c>
      <c r="N202" t="s">
        <v>88</v>
      </c>
      <c r="O202">
        <v>231</v>
      </c>
      <c r="P202" s="49">
        <v>1446522</v>
      </c>
    </row>
    <row r="203" spans="10:16" x14ac:dyDescent="0.25">
      <c r="J203">
        <v>184</v>
      </c>
      <c r="K203" s="48">
        <v>38060</v>
      </c>
      <c r="L203" t="s">
        <v>90</v>
      </c>
      <c r="M203" t="s">
        <v>87</v>
      </c>
      <c r="N203" t="s">
        <v>91</v>
      </c>
      <c r="O203">
        <v>273</v>
      </c>
      <c r="P203" s="49">
        <v>1447992</v>
      </c>
    </row>
    <row r="204" spans="10:16" x14ac:dyDescent="0.25">
      <c r="J204">
        <v>185</v>
      </c>
      <c r="K204" s="48">
        <v>38061</v>
      </c>
      <c r="L204" t="s">
        <v>92</v>
      </c>
      <c r="M204" t="s">
        <v>87</v>
      </c>
      <c r="N204" t="s">
        <v>94</v>
      </c>
      <c r="O204">
        <v>265</v>
      </c>
      <c r="P204" s="49">
        <v>2109930</v>
      </c>
    </row>
    <row r="205" spans="10:16" x14ac:dyDescent="0.25">
      <c r="J205">
        <v>186</v>
      </c>
      <c r="K205" s="48">
        <v>38062</v>
      </c>
      <c r="L205" t="s">
        <v>95</v>
      </c>
      <c r="M205" t="s">
        <v>84</v>
      </c>
      <c r="N205" t="s">
        <v>88</v>
      </c>
      <c r="O205">
        <v>87</v>
      </c>
      <c r="P205" s="49">
        <v>779868</v>
      </c>
    </row>
    <row r="206" spans="10:16" x14ac:dyDescent="0.25">
      <c r="J206">
        <v>187</v>
      </c>
      <c r="K206" s="48">
        <v>38062</v>
      </c>
      <c r="L206" t="s">
        <v>86</v>
      </c>
      <c r="M206" t="s">
        <v>84</v>
      </c>
      <c r="N206" t="s">
        <v>94</v>
      </c>
      <c r="O206">
        <v>95</v>
      </c>
      <c r="P206" s="49">
        <v>919030</v>
      </c>
    </row>
    <row r="207" spans="10:16" x14ac:dyDescent="0.25">
      <c r="J207">
        <v>188</v>
      </c>
      <c r="K207" s="48">
        <v>38062</v>
      </c>
      <c r="L207" t="s">
        <v>95</v>
      </c>
      <c r="M207" t="s">
        <v>87</v>
      </c>
      <c r="N207" t="s">
        <v>85</v>
      </c>
      <c r="O207">
        <v>63</v>
      </c>
      <c r="P207" s="49">
        <v>537264</v>
      </c>
    </row>
    <row r="208" spans="10:16" x14ac:dyDescent="0.25">
      <c r="J208">
        <v>189</v>
      </c>
      <c r="K208" s="48">
        <v>38063</v>
      </c>
      <c r="L208" t="s">
        <v>83</v>
      </c>
      <c r="M208" t="s">
        <v>87</v>
      </c>
      <c r="N208" t="s">
        <v>88</v>
      </c>
      <c r="O208">
        <v>160</v>
      </c>
      <c r="P208" s="49">
        <v>1261600</v>
      </c>
    </row>
    <row r="209" spans="10:16" x14ac:dyDescent="0.25">
      <c r="J209">
        <v>190</v>
      </c>
      <c r="K209" s="48">
        <v>38063</v>
      </c>
      <c r="L209" t="s">
        <v>83</v>
      </c>
      <c r="M209" t="s">
        <v>84</v>
      </c>
      <c r="N209" t="s">
        <v>85</v>
      </c>
      <c r="O209">
        <v>95</v>
      </c>
      <c r="P209" s="49">
        <v>448210</v>
      </c>
    </row>
    <row r="210" spans="10:16" x14ac:dyDescent="0.25">
      <c r="J210">
        <v>191</v>
      </c>
      <c r="K210" s="48">
        <v>38064</v>
      </c>
      <c r="L210" t="s">
        <v>90</v>
      </c>
      <c r="M210" t="s">
        <v>84</v>
      </c>
      <c r="N210" t="s">
        <v>91</v>
      </c>
      <c r="O210">
        <v>71</v>
      </c>
      <c r="P210" s="49">
        <v>431325</v>
      </c>
    </row>
    <row r="211" spans="10:16" x14ac:dyDescent="0.25">
      <c r="J211">
        <v>192</v>
      </c>
      <c r="K211" s="48">
        <v>38064</v>
      </c>
      <c r="L211" t="s">
        <v>86</v>
      </c>
      <c r="M211" t="s">
        <v>87</v>
      </c>
      <c r="N211" t="s">
        <v>88</v>
      </c>
      <c r="O211">
        <v>56</v>
      </c>
      <c r="P211" s="49">
        <v>553616</v>
      </c>
    </row>
    <row r="212" spans="10:16" x14ac:dyDescent="0.25">
      <c r="J212">
        <v>193</v>
      </c>
      <c r="K212" s="48">
        <v>38064</v>
      </c>
      <c r="L212" t="s">
        <v>90</v>
      </c>
      <c r="M212" t="s">
        <v>87</v>
      </c>
      <c r="N212" t="s">
        <v>91</v>
      </c>
      <c r="O212">
        <v>59</v>
      </c>
      <c r="P212" s="49">
        <v>453651</v>
      </c>
    </row>
    <row r="213" spans="10:16" x14ac:dyDescent="0.25">
      <c r="J213">
        <v>194</v>
      </c>
      <c r="K213" s="48">
        <v>38065</v>
      </c>
      <c r="L213" t="s">
        <v>86</v>
      </c>
      <c r="M213" t="s">
        <v>84</v>
      </c>
      <c r="N213" t="s">
        <v>88</v>
      </c>
      <c r="O213">
        <v>117</v>
      </c>
      <c r="P213" s="49">
        <v>986895</v>
      </c>
    </row>
    <row r="214" spans="10:16" x14ac:dyDescent="0.25">
      <c r="J214">
        <v>195</v>
      </c>
      <c r="K214" s="48">
        <v>38065</v>
      </c>
      <c r="L214" t="s">
        <v>93</v>
      </c>
      <c r="M214" t="s">
        <v>87</v>
      </c>
      <c r="N214" t="s">
        <v>88</v>
      </c>
      <c r="O214">
        <v>62</v>
      </c>
      <c r="P214" s="49">
        <v>250852</v>
      </c>
    </row>
    <row r="215" spans="10:16" x14ac:dyDescent="0.25">
      <c r="J215">
        <v>196</v>
      </c>
      <c r="K215" s="48">
        <v>38066</v>
      </c>
      <c r="L215" t="s">
        <v>93</v>
      </c>
      <c r="M215" t="s">
        <v>84</v>
      </c>
      <c r="N215" t="s">
        <v>94</v>
      </c>
      <c r="O215">
        <v>281</v>
      </c>
      <c r="P215" s="49">
        <v>1336717</v>
      </c>
    </row>
    <row r="216" spans="10:16" x14ac:dyDescent="0.25">
      <c r="J216">
        <v>197</v>
      </c>
      <c r="K216" s="48">
        <v>38066</v>
      </c>
      <c r="L216" t="s">
        <v>93</v>
      </c>
      <c r="M216" t="s">
        <v>87</v>
      </c>
      <c r="N216" t="s">
        <v>91</v>
      </c>
      <c r="O216">
        <v>87</v>
      </c>
      <c r="P216" s="49">
        <v>519738</v>
      </c>
    </row>
    <row r="217" spans="10:16" x14ac:dyDescent="0.25">
      <c r="J217">
        <v>198</v>
      </c>
      <c r="K217" s="48">
        <v>38067</v>
      </c>
      <c r="L217" t="s">
        <v>89</v>
      </c>
      <c r="M217" t="s">
        <v>84</v>
      </c>
      <c r="N217" t="s">
        <v>88</v>
      </c>
      <c r="O217">
        <v>174</v>
      </c>
      <c r="P217" s="49">
        <v>720882</v>
      </c>
    </row>
    <row r="218" spans="10:16" x14ac:dyDescent="0.25">
      <c r="J218">
        <v>199</v>
      </c>
      <c r="K218" s="48">
        <v>38067</v>
      </c>
      <c r="L218" t="s">
        <v>89</v>
      </c>
      <c r="M218" t="s">
        <v>87</v>
      </c>
      <c r="N218" t="s">
        <v>85</v>
      </c>
      <c r="O218">
        <v>177</v>
      </c>
      <c r="P218" s="49">
        <v>842343</v>
      </c>
    </row>
    <row r="219" spans="10:16" x14ac:dyDescent="0.25">
      <c r="J219">
        <v>200</v>
      </c>
      <c r="K219" s="48">
        <v>38068</v>
      </c>
      <c r="L219" t="s">
        <v>83</v>
      </c>
      <c r="M219" t="s">
        <v>87</v>
      </c>
      <c r="N219" t="s">
        <v>91</v>
      </c>
      <c r="O219">
        <v>281</v>
      </c>
      <c r="P219" s="49">
        <v>2108343</v>
      </c>
    </row>
    <row r="220" spans="10:16" x14ac:dyDescent="0.25">
      <c r="J220">
        <v>201</v>
      </c>
      <c r="K220" s="48">
        <v>38068</v>
      </c>
      <c r="L220" t="s">
        <v>83</v>
      </c>
      <c r="M220" t="s">
        <v>87</v>
      </c>
      <c r="N220" t="s">
        <v>88</v>
      </c>
      <c r="O220">
        <v>247</v>
      </c>
      <c r="P220" s="49">
        <v>1050985</v>
      </c>
    </row>
    <row r="221" spans="10:16" x14ac:dyDescent="0.25">
      <c r="J221">
        <v>202</v>
      </c>
      <c r="K221" s="48">
        <v>38068</v>
      </c>
      <c r="L221" t="s">
        <v>93</v>
      </c>
      <c r="M221" t="s">
        <v>84</v>
      </c>
      <c r="N221" t="s">
        <v>88</v>
      </c>
      <c r="O221">
        <v>52</v>
      </c>
      <c r="P221" s="49">
        <v>298272</v>
      </c>
    </row>
    <row r="222" spans="10:16" x14ac:dyDescent="0.25">
      <c r="J222">
        <v>203</v>
      </c>
      <c r="K222" s="48">
        <v>38068</v>
      </c>
      <c r="L222" t="s">
        <v>86</v>
      </c>
      <c r="M222" t="s">
        <v>84</v>
      </c>
      <c r="N222" t="s">
        <v>88</v>
      </c>
      <c r="O222">
        <v>169</v>
      </c>
      <c r="P222" s="49">
        <v>902798</v>
      </c>
    </row>
    <row r="223" spans="10:16" x14ac:dyDescent="0.25">
      <c r="J223">
        <v>204</v>
      </c>
      <c r="K223" s="48">
        <v>38069</v>
      </c>
      <c r="L223" t="s">
        <v>86</v>
      </c>
      <c r="M223" t="s">
        <v>84</v>
      </c>
      <c r="N223" t="s">
        <v>94</v>
      </c>
      <c r="O223">
        <v>106</v>
      </c>
      <c r="P223" s="49">
        <v>692180</v>
      </c>
    </row>
    <row r="224" spans="10:16" x14ac:dyDescent="0.25">
      <c r="J224">
        <v>205</v>
      </c>
      <c r="K224" s="48">
        <v>38069</v>
      </c>
      <c r="L224" t="s">
        <v>86</v>
      </c>
      <c r="M224" t="s">
        <v>87</v>
      </c>
      <c r="N224" t="s">
        <v>88</v>
      </c>
      <c r="O224">
        <v>274</v>
      </c>
      <c r="P224" s="49">
        <v>2002392</v>
      </c>
    </row>
    <row r="225" spans="10:16" x14ac:dyDescent="0.25">
      <c r="J225">
        <v>206</v>
      </c>
      <c r="K225" s="48">
        <v>38069</v>
      </c>
      <c r="L225" t="s">
        <v>93</v>
      </c>
      <c r="M225" t="s">
        <v>84</v>
      </c>
      <c r="N225" t="s">
        <v>85</v>
      </c>
      <c r="O225">
        <v>250</v>
      </c>
      <c r="P225" s="49">
        <v>2253500</v>
      </c>
    </row>
    <row r="226" spans="10:16" x14ac:dyDescent="0.25">
      <c r="J226">
        <v>207</v>
      </c>
      <c r="K226" s="48">
        <v>38069</v>
      </c>
      <c r="L226" t="s">
        <v>93</v>
      </c>
      <c r="M226" t="s">
        <v>84</v>
      </c>
      <c r="N226" t="s">
        <v>85</v>
      </c>
      <c r="O226">
        <v>134</v>
      </c>
      <c r="P226" s="49">
        <v>1338124</v>
      </c>
    </row>
    <row r="227" spans="10:16" x14ac:dyDescent="0.25">
      <c r="J227">
        <v>208</v>
      </c>
      <c r="K227" s="48">
        <v>38069</v>
      </c>
      <c r="L227" t="s">
        <v>95</v>
      </c>
      <c r="M227" t="s">
        <v>87</v>
      </c>
      <c r="N227" t="s">
        <v>85</v>
      </c>
      <c r="O227">
        <v>156</v>
      </c>
      <c r="P227" s="49">
        <v>1369680</v>
      </c>
    </row>
    <row r="228" spans="10:16" x14ac:dyDescent="0.25">
      <c r="J228">
        <v>209</v>
      </c>
      <c r="K228" s="48">
        <v>38070</v>
      </c>
      <c r="L228" t="s">
        <v>83</v>
      </c>
      <c r="M228" t="s">
        <v>87</v>
      </c>
      <c r="N228" t="s">
        <v>85</v>
      </c>
      <c r="O228">
        <v>167</v>
      </c>
      <c r="P228" s="49">
        <v>1643948</v>
      </c>
    </row>
    <row r="229" spans="10:16" x14ac:dyDescent="0.25">
      <c r="J229">
        <v>210</v>
      </c>
      <c r="K229" s="48">
        <v>38070</v>
      </c>
      <c r="L229" t="s">
        <v>89</v>
      </c>
      <c r="M229" t="s">
        <v>84</v>
      </c>
      <c r="N229" t="s">
        <v>85</v>
      </c>
      <c r="O229">
        <v>206</v>
      </c>
      <c r="P229" s="49">
        <v>1297594</v>
      </c>
    </row>
    <row r="230" spans="10:16" x14ac:dyDescent="0.25">
      <c r="J230">
        <v>211</v>
      </c>
      <c r="K230" s="48">
        <v>38071</v>
      </c>
      <c r="L230" t="s">
        <v>83</v>
      </c>
      <c r="M230" t="s">
        <v>84</v>
      </c>
      <c r="N230" t="s">
        <v>94</v>
      </c>
      <c r="O230">
        <v>269</v>
      </c>
      <c r="P230" s="49">
        <v>2134246</v>
      </c>
    </row>
    <row r="231" spans="10:16" x14ac:dyDescent="0.25">
      <c r="J231">
        <v>212</v>
      </c>
      <c r="K231" s="48">
        <v>38071</v>
      </c>
      <c r="L231" t="s">
        <v>95</v>
      </c>
      <c r="M231" t="s">
        <v>84</v>
      </c>
      <c r="N231" t="s">
        <v>94</v>
      </c>
      <c r="O231">
        <v>63</v>
      </c>
      <c r="P231" s="49">
        <v>492156</v>
      </c>
    </row>
    <row r="232" spans="10:16" x14ac:dyDescent="0.25">
      <c r="J232">
        <v>213</v>
      </c>
      <c r="K232" s="48">
        <v>38072</v>
      </c>
      <c r="L232" t="s">
        <v>90</v>
      </c>
      <c r="M232" t="s">
        <v>84</v>
      </c>
      <c r="N232" t="s">
        <v>85</v>
      </c>
      <c r="O232">
        <v>223</v>
      </c>
      <c r="P232" s="49">
        <v>1932518</v>
      </c>
    </row>
    <row r="233" spans="10:16" x14ac:dyDescent="0.25">
      <c r="J233">
        <v>214</v>
      </c>
      <c r="K233" s="48">
        <v>38072</v>
      </c>
      <c r="L233" t="s">
        <v>92</v>
      </c>
      <c r="M233" t="s">
        <v>87</v>
      </c>
      <c r="N233" t="s">
        <v>88</v>
      </c>
      <c r="O233">
        <v>163</v>
      </c>
      <c r="P233" s="49">
        <v>1385011</v>
      </c>
    </row>
    <row r="234" spans="10:16" x14ac:dyDescent="0.25">
      <c r="J234">
        <v>215</v>
      </c>
      <c r="K234" s="48">
        <v>38073</v>
      </c>
      <c r="L234" t="s">
        <v>83</v>
      </c>
      <c r="M234" t="s">
        <v>84</v>
      </c>
      <c r="N234" t="s">
        <v>88</v>
      </c>
      <c r="O234">
        <v>214</v>
      </c>
      <c r="P234" s="49">
        <v>1219158</v>
      </c>
    </row>
    <row r="235" spans="10:16" x14ac:dyDescent="0.25">
      <c r="J235">
        <v>216</v>
      </c>
      <c r="K235" s="48">
        <v>38073</v>
      </c>
      <c r="L235" t="s">
        <v>92</v>
      </c>
      <c r="M235" t="s">
        <v>87</v>
      </c>
      <c r="N235" t="s">
        <v>91</v>
      </c>
      <c r="O235">
        <v>263</v>
      </c>
      <c r="P235" s="49">
        <v>1494892</v>
      </c>
    </row>
    <row r="236" spans="10:16" x14ac:dyDescent="0.25">
      <c r="J236">
        <v>217</v>
      </c>
      <c r="K236" s="48">
        <v>38074</v>
      </c>
      <c r="L236" t="s">
        <v>92</v>
      </c>
      <c r="M236" t="s">
        <v>84</v>
      </c>
      <c r="N236" t="s">
        <v>85</v>
      </c>
      <c r="O236">
        <v>216</v>
      </c>
      <c r="P236" s="49">
        <v>1398600</v>
      </c>
    </row>
    <row r="237" spans="10:16" x14ac:dyDescent="0.25">
      <c r="J237">
        <v>218</v>
      </c>
      <c r="K237" s="48">
        <v>38075</v>
      </c>
      <c r="L237" t="s">
        <v>90</v>
      </c>
      <c r="M237" t="s">
        <v>84</v>
      </c>
      <c r="N237" t="s">
        <v>91</v>
      </c>
      <c r="O237">
        <v>65</v>
      </c>
      <c r="P237" s="49">
        <v>461435</v>
      </c>
    </row>
    <row r="238" spans="10:16" x14ac:dyDescent="0.25">
      <c r="J238">
        <v>219</v>
      </c>
      <c r="K238" s="48">
        <v>38075</v>
      </c>
      <c r="L238" t="s">
        <v>92</v>
      </c>
      <c r="M238" t="s">
        <v>84</v>
      </c>
      <c r="N238" t="s">
        <v>88</v>
      </c>
      <c r="O238">
        <v>46</v>
      </c>
      <c r="P238" s="49">
        <v>351256</v>
      </c>
    </row>
    <row r="239" spans="10:16" x14ac:dyDescent="0.25">
      <c r="J239">
        <v>220</v>
      </c>
      <c r="K239" s="48">
        <v>38076</v>
      </c>
      <c r="L239" t="s">
        <v>92</v>
      </c>
      <c r="M239" t="s">
        <v>84</v>
      </c>
      <c r="N239" t="s">
        <v>85</v>
      </c>
      <c r="O239">
        <v>209</v>
      </c>
      <c r="P239" s="49">
        <v>1042283</v>
      </c>
    </row>
    <row r="240" spans="10:16" x14ac:dyDescent="0.25">
      <c r="J240">
        <v>221</v>
      </c>
      <c r="K240" s="48">
        <v>38076</v>
      </c>
      <c r="L240" t="s">
        <v>95</v>
      </c>
      <c r="M240" t="s">
        <v>84</v>
      </c>
      <c r="N240" t="s">
        <v>94</v>
      </c>
      <c r="O240">
        <v>56</v>
      </c>
      <c r="P240" s="49">
        <v>474600</v>
      </c>
    </row>
    <row r="241" spans="10:16" x14ac:dyDescent="0.25">
      <c r="J241">
        <v>222</v>
      </c>
      <c r="K241" s="48">
        <v>38076</v>
      </c>
      <c r="L241" t="s">
        <v>86</v>
      </c>
      <c r="M241" t="s">
        <v>84</v>
      </c>
      <c r="N241" t="s">
        <v>88</v>
      </c>
      <c r="O241">
        <v>82</v>
      </c>
      <c r="P241" s="49">
        <v>420660</v>
      </c>
    </row>
    <row r="242" spans="10:16" x14ac:dyDescent="0.25">
      <c r="J242">
        <v>223</v>
      </c>
      <c r="K242" s="48">
        <v>38077</v>
      </c>
      <c r="L242" t="s">
        <v>90</v>
      </c>
      <c r="M242" t="s">
        <v>84</v>
      </c>
      <c r="N242" t="s">
        <v>88</v>
      </c>
      <c r="O242">
        <v>62</v>
      </c>
      <c r="P242" s="49">
        <v>489924</v>
      </c>
    </row>
    <row r="243" spans="10:16" x14ac:dyDescent="0.25">
      <c r="J243">
        <v>224</v>
      </c>
      <c r="K243" s="48">
        <v>38077</v>
      </c>
      <c r="L243" t="s">
        <v>89</v>
      </c>
      <c r="M243" t="s">
        <v>87</v>
      </c>
      <c r="N243" t="s">
        <v>91</v>
      </c>
      <c r="O243">
        <v>192</v>
      </c>
      <c r="P243" s="49">
        <v>1032000</v>
      </c>
    </row>
    <row r="244" spans="10:16" x14ac:dyDescent="0.25">
      <c r="J244">
        <v>225</v>
      </c>
      <c r="K244" s="48">
        <v>38078</v>
      </c>
      <c r="L244" t="s">
        <v>83</v>
      </c>
      <c r="M244" t="s">
        <v>84</v>
      </c>
      <c r="N244" t="s">
        <v>94</v>
      </c>
      <c r="O244">
        <v>152</v>
      </c>
      <c r="P244" s="49">
        <v>1069320</v>
      </c>
    </row>
    <row r="245" spans="10:16" x14ac:dyDescent="0.25">
      <c r="J245">
        <v>226</v>
      </c>
      <c r="K245" s="48">
        <v>38078</v>
      </c>
      <c r="L245" t="s">
        <v>86</v>
      </c>
      <c r="M245" t="s">
        <v>84</v>
      </c>
      <c r="N245" t="s">
        <v>91</v>
      </c>
      <c r="O245">
        <v>182</v>
      </c>
      <c r="P245" s="49">
        <v>1133132</v>
      </c>
    </row>
    <row r="246" spans="10:16" x14ac:dyDescent="0.25">
      <c r="J246">
        <v>227</v>
      </c>
      <c r="K246" s="48">
        <v>38078</v>
      </c>
      <c r="L246" t="s">
        <v>95</v>
      </c>
      <c r="M246" t="s">
        <v>87</v>
      </c>
      <c r="N246" t="s">
        <v>85</v>
      </c>
      <c r="O246">
        <v>179</v>
      </c>
      <c r="P246" s="49">
        <v>1670965</v>
      </c>
    </row>
    <row r="247" spans="10:16" x14ac:dyDescent="0.25">
      <c r="J247">
        <v>228</v>
      </c>
      <c r="K247" s="48">
        <v>38078</v>
      </c>
      <c r="L247" t="s">
        <v>86</v>
      </c>
      <c r="M247" t="s">
        <v>87</v>
      </c>
      <c r="N247" t="s">
        <v>88</v>
      </c>
      <c r="O247">
        <v>211</v>
      </c>
      <c r="P247" s="49">
        <v>2010619</v>
      </c>
    </row>
    <row r="248" spans="10:16" x14ac:dyDescent="0.25">
      <c r="J248">
        <v>229</v>
      </c>
      <c r="K248" s="48">
        <v>38078</v>
      </c>
      <c r="L248" t="s">
        <v>89</v>
      </c>
      <c r="M248" t="s">
        <v>87</v>
      </c>
      <c r="N248" t="s">
        <v>91</v>
      </c>
      <c r="O248">
        <v>117</v>
      </c>
      <c r="P248" s="49">
        <v>739206</v>
      </c>
    </row>
    <row r="249" spans="10:16" x14ac:dyDescent="0.25">
      <c r="J249">
        <v>230</v>
      </c>
      <c r="K249" s="48">
        <v>38079</v>
      </c>
      <c r="L249" t="s">
        <v>89</v>
      </c>
      <c r="M249" t="s">
        <v>84</v>
      </c>
      <c r="N249" t="s">
        <v>91</v>
      </c>
      <c r="O249">
        <v>186</v>
      </c>
      <c r="P249" s="49">
        <v>1382166</v>
      </c>
    </row>
    <row r="250" spans="10:16" x14ac:dyDescent="0.25">
      <c r="J250">
        <v>231</v>
      </c>
      <c r="K250" s="48">
        <v>38080</v>
      </c>
      <c r="L250" t="s">
        <v>86</v>
      </c>
      <c r="M250" t="s">
        <v>84</v>
      </c>
      <c r="N250" t="s">
        <v>94</v>
      </c>
      <c r="O250">
        <v>143</v>
      </c>
      <c r="P250" s="49">
        <v>665951</v>
      </c>
    </row>
    <row r="251" spans="10:16" x14ac:dyDescent="0.25">
      <c r="J251">
        <v>232</v>
      </c>
      <c r="K251" s="48">
        <v>38080</v>
      </c>
      <c r="L251" t="s">
        <v>89</v>
      </c>
      <c r="M251" t="s">
        <v>87</v>
      </c>
      <c r="N251" t="s">
        <v>91</v>
      </c>
      <c r="O251">
        <v>212</v>
      </c>
      <c r="P251" s="49">
        <v>1479548</v>
      </c>
    </row>
    <row r="252" spans="10:16" x14ac:dyDescent="0.25">
      <c r="J252">
        <v>233</v>
      </c>
      <c r="K252" s="48">
        <v>38080</v>
      </c>
      <c r="L252" t="s">
        <v>86</v>
      </c>
      <c r="M252" t="s">
        <v>84</v>
      </c>
      <c r="N252" t="s">
        <v>88</v>
      </c>
      <c r="O252">
        <v>246</v>
      </c>
      <c r="P252" s="49">
        <v>1362348</v>
      </c>
    </row>
    <row r="253" spans="10:16" x14ac:dyDescent="0.25">
      <c r="J253">
        <v>234</v>
      </c>
      <c r="K253" s="48">
        <v>38080</v>
      </c>
      <c r="L253" t="s">
        <v>90</v>
      </c>
      <c r="M253" t="s">
        <v>87</v>
      </c>
      <c r="N253" t="s">
        <v>88</v>
      </c>
      <c r="O253">
        <v>230</v>
      </c>
      <c r="P253" s="49">
        <v>1722700</v>
      </c>
    </row>
    <row r="254" spans="10:16" x14ac:dyDescent="0.25">
      <c r="J254">
        <v>235</v>
      </c>
      <c r="K254" s="48">
        <v>38080</v>
      </c>
      <c r="L254" t="s">
        <v>90</v>
      </c>
      <c r="M254" t="s">
        <v>87</v>
      </c>
      <c r="N254" t="s">
        <v>85</v>
      </c>
      <c r="O254">
        <v>126</v>
      </c>
      <c r="P254" s="49">
        <v>848358</v>
      </c>
    </row>
    <row r="255" spans="10:16" x14ac:dyDescent="0.25">
      <c r="J255">
        <v>236</v>
      </c>
      <c r="K255" s="48">
        <v>38080</v>
      </c>
      <c r="L255" t="s">
        <v>92</v>
      </c>
      <c r="M255" t="s">
        <v>87</v>
      </c>
      <c r="N255" t="s">
        <v>88</v>
      </c>
      <c r="O255">
        <v>226</v>
      </c>
      <c r="P255" s="49">
        <v>2104286</v>
      </c>
    </row>
    <row r="256" spans="10:16" x14ac:dyDescent="0.25">
      <c r="J256">
        <v>237</v>
      </c>
      <c r="K256" s="48">
        <v>38082</v>
      </c>
      <c r="L256" t="s">
        <v>93</v>
      </c>
      <c r="M256" t="s">
        <v>87</v>
      </c>
      <c r="N256" t="s">
        <v>91</v>
      </c>
      <c r="O256">
        <v>262</v>
      </c>
      <c r="P256" s="49">
        <v>1748850</v>
      </c>
    </row>
    <row r="257" spans="10:16" x14ac:dyDescent="0.25">
      <c r="J257">
        <v>238</v>
      </c>
      <c r="K257" s="48">
        <v>38082</v>
      </c>
      <c r="L257" t="s">
        <v>95</v>
      </c>
      <c r="M257" t="s">
        <v>84</v>
      </c>
      <c r="N257" t="s">
        <v>94</v>
      </c>
      <c r="O257">
        <v>170</v>
      </c>
      <c r="P257" s="49">
        <v>995520</v>
      </c>
    </row>
    <row r="258" spans="10:16" x14ac:dyDescent="0.25">
      <c r="J258">
        <v>239</v>
      </c>
      <c r="K258" s="48">
        <v>38082</v>
      </c>
      <c r="L258" t="s">
        <v>93</v>
      </c>
      <c r="M258" t="s">
        <v>84</v>
      </c>
      <c r="N258" t="s">
        <v>85</v>
      </c>
      <c r="O258">
        <v>268</v>
      </c>
      <c r="P258" s="49">
        <v>2338032</v>
      </c>
    </row>
    <row r="259" spans="10:16" x14ac:dyDescent="0.25">
      <c r="J259">
        <v>240</v>
      </c>
      <c r="K259" s="48">
        <v>38083</v>
      </c>
      <c r="L259" t="s">
        <v>83</v>
      </c>
      <c r="M259" t="s">
        <v>87</v>
      </c>
      <c r="N259" t="s">
        <v>94</v>
      </c>
      <c r="O259">
        <v>164</v>
      </c>
      <c r="P259" s="49">
        <v>1298716</v>
      </c>
    </row>
    <row r="260" spans="10:16" x14ac:dyDescent="0.25">
      <c r="J260">
        <v>241</v>
      </c>
      <c r="K260" s="48">
        <v>38083</v>
      </c>
      <c r="L260" t="s">
        <v>86</v>
      </c>
      <c r="M260" t="s">
        <v>87</v>
      </c>
      <c r="N260" t="s">
        <v>85</v>
      </c>
      <c r="O260">
        <v>260</v>
      </c>
      <c r="P260" s="49">
        <v>2038660</v>
      </c>
    </row>
    <row r="261" spans="10:16" x14ac:dyDescent="0.25">
      <c r="J261">
        <v>242</v>
      </c>
      <c r="K261" s="48">
        <v>38084</v>
      </c>
      <c r="L261" t="s">
        <v>90</v>
      </c>
      <c r="M261" t="s">
        <v>87</v>
      </c>
      <c r="N261" t="s">
        <v>94</v>
      </c>
      <c r="O261">
        <v>69</v>
      </c>
      <c r="P261" s="49">
        <v>656535</v>
      </c>
    </row>
    <row r="262" spans="10:16" x14ac:dyDescent="0.25">
      <c r="J262">
        <v>243</v>
      </c>
      <c r="K262" s="48">
        <v>38084</v>
      </c>
      <c r="L262" t="s">
        <v>86</v>
      </c>
      <c r="M262" t="s">
        <v>87</v>
      </c>
      <c r="N262" t="s">
        <v>85</v>
      </c>
      <c r="O262">
        <v>298</v>
      </c>
      <c r="P262" s="49">
        <v>1870546</v>
      </c>
    </row>
    <row r="263" spans="10:16" x14ac:dyDescent="0.25">
      <c r="J263">
        <v>244</v>
      </c>
      <c r="K263" s="48">
        <v>38084</v>
      </c>
      <c r="L263" t="s">
        <v>86</v>
      </c>
      <c r="M263" t="s">
        <v>84</v>
      </c>
      <c r="N263" t="s">
        <v>91</v>
      </c>
      <c r="O263">
        <v>284</v>
      </c>
      <c r="P263" s="49">
        <v>1431076</v>
      </c>
    </row>
    <row r="264" spans="10:16" x14ac:dyDescent="0.25">
      <c r="J264">
        <v>245</v>
      </c>
      <c r="K264" s="48">
        <v>38085</v>
      </c>
      <c r="L264" t="s">
        <v>95</v>
      </c>
      <c r="M264" t="s">
        <v>87</v>
      </c>
      <c r="N264" t="s">
        <v>94</v>
      </c>
      <c r="O264">
        <v>239</v>
      </c>
      <c r="P264" s="49">
        <v>1176597</v>
      </c>
    </row>
    <row r="265" spans="10:16" x14ac:dyDescent="0.25">
      <c r="J265">
        <v>246</v>
      </c>
      <c r="K265" s="48">
        <v>38086</v>
      </c>
      <c r="L265" t="s">
        <v>86</v>
      </c>
      <c r="M265" t="s">
        <v>87</v>
      </c>
      <c r="N265" t="s">
        <v>88</v>
      </c>
      <c r="O265">
        <v>287</v>
      </c>
      <c r="P265" s="49">
        <v>1936102</v>
      </c>
    </row>
    <row r="266" spans="10:16" x14ac:dyDescent="0.25">
      <c r="J266">
        <v>247</v>
      </c>
      <c r="K266" s="48">
        <v>38086</v>
      </c>
      <c r="L266" t="s">
        <v>92</v>
      </c>
      <c r="M266" t="s">
        <v>84</v>
      </c>
      <c r="N266" t="s">
        <v>94</v>
      </c>
      <c r="O266">
        <v>159</v>
      </c>
      <c r="P266" s="49">
        <v>1582527</v>
      </c>
    </row>
    <row r="267" spans="10:16" x14ac:dyDescent="0.25">
      <c r="J267">
        <v>248</v>
      </c>
      <c r="K267" s="48">
        <v>38086</v>
      </c>
      <c r="L267" t="s">
        <v>90</v>
      </c>
      <c r="M267" t="s">
        <v>84</v>
      </c>
      <c r="N267" t="s">
        <v>88</v>
      </c>
      <c r="O267">
        <v>136</v>
      </c>
      <c r="P267" s="49">
        <v>873120</v>
      </c>
    </row>
    <row r="268" spans="10:16" x14ac:dyDescent="0.25">
      <c r="J268">
        <v>249</v>
      </c>
      <c r="K268" s="48">
        <v>38086</v>
      </c>
      <c r="L268" t="s">
        <v>92</v>
      </c>
      <c r="M268" t="s">
        <v>87</v>
      </c>
      <c r="N268" t="s">
        <v>91</v>
      </c>
      <c r="O268">
        <v>223</v>
      </c>
      <c r="P268" s="49">
        <v>2026401</v>
      </c>
    </row>
    <row r="269" spans="10:16" x14ac:dyDescent="0.25">
      <c r="J269">
        <v>250</v>
      </c>
      <c r="K269" s="48">
        <v>38086</v>
      </c>
      <c r="L269" t="s">
        <v>93</v>
      </c>
      <c r="M269" t="s">
        <v>84</v>
      </c>
      <c r="N269" t="s">
        <v>85</v>
      </c>
      <c r="O269">
        <v>175</v>
      </c>
      <c r="P269" s="49">
        <v>747075</v>
      </c>
    </row>
    <row r="270" spans="10:16" x14ac:dyDescent="0.25">
      <c r="J270">
        <v>251</v>
      </c>
      <c r="K270" s="48">
        <v>38086</v>
      </c>
      <c r="L270" t="s">
        <v>90</v>
      </c>
      <c r="M270" t="s">
        <v>87</v>
      </c>
      <c r="N270" t="s">
        <v>85</v>
      </c>
      <c r="O270">
        <v>124</v>
      </c>
      <c r="P270" s="49">
        <v>1130632</v>
      </c>
    </row>
    <row r="271" spans="10:16" x14ac:dyDescent="0.25">
      <c r="J271">
        <v>252</v>
      </c>
      <c r="K271" s="48">
        <v>38086</v>
      </c>
      <c r="L271" t="s">
        <v>83</v>
      </c>
      <c r="M271" t="s">
        <v>84</v>
      </c>
      <c r="N271" t="s">
        <v>85</v>
      </c>
      <c r="O271">
        <v>168</v>
      </c>
      <c r="P271" s="49">
        <v>1622040</v>
      </c>
    </row>
    <row r="272" spans="10:16" x14ac:dyDescent="0.25">
      <c r="J272">
        <v>253</v>
      </c>
      <c r="K272" s="48">
        <v>38087</v>
      </c>
      <c r="L272" t="s">
        <v>83</v>
      </c>
      <c r="M272" t="s">
        <v>87</v>
      </c>
      <c r="N272" t="s">
        <v>91</v>
      </c>
      <c r="O272">
        <v>106</v>
      </c>
      <c r="P272" s="49">
        <v>567206</v>
      </c>
    </row>
    <row r="273" spans="10:16" x14ac:dyDescent="0.25">
      <c r="J273">
        <v>254</v>
      </c>
      <c r="K273" s="48">
        <v>38087</v>
      </c>
      <c r="L273" t="s">
        <v>93</v>
      </c>
      <c r="M273" t="s">
        <v>87</v>
      </c>
      <c r="N273" t="s">
        <v>88</v>
      </c>
      <c r="O273">
        <v>67</v>
      </c>
      <c r="P273" s="49">
        <v>379689</v>
      </c>
    </row>
    <row r="274" spans="10:16" x14ac:dyDescent="0.25">
      <c r="J274">
        <v>255</v>
      </c>
      <c r="K274" s="48">
        <v>38087</v>
      </c>
      <c r="L274" t="s">
        <v>86</v>
      </c>
      <c r="M274" t="s">
        <v>84</v>
      </c>
      <c r="N274" t="s">
        <v>94</v>
      </c>
      <c r="O274">
        <v>49</v>
      </c>
      <c r="P274" s="49">
        <v>424536</v>
      </c>
    </row>
    <row r="275" spans="10:16" x14ac:dyDescent="0.25">
      <c r="J275">
        <v>256</v>
      </c>
      <c r="K275" s="48">
        <v>38087</v>
      </c>
      <c r="L275" t="s">
        <v>92</v>
      </c>
      <c r="M275" t="s">
        <v>87</v>
      </c>
      <c r="N275" t="s">
        <v>88</v>
      </c>
      <c r="O275">
        <v>238</v>
      </c>
      <c r="P275" s="49">
        <v>1620304</v>
      </c>
    </row>
    <row r="276" spans="10:16" x14ac:dyDescent="0.25">
      <c r="J276">
        <v>257</v>
      </c>
      <c r="K276" s="48">
        <v>38088</v>
      </c>
      <c r="L276" t="s">
        <v>90</v>
      </c>
      <c r="M276" t="s">
        <v>84</v>
      </c>
      <c r="N276" t="s">
        <v>85</v>
      </c>
      <c r="O276">
        <v>261</v>
      </c>
      <c r="P276" s="49">
        <v>1220697</v>
      </c>
    </row>
    <row r="277" spans="10:16" x14ac:dyDescent="0.25">
      <c r="J277">
        <v>258</v>
      </c>
      <c r="K277" s="48">
        <v>38088</v>
      </c>
      <c r="L277" t="s">
        <v>90</v>
      </c>
      <c r="M277" t="s">
        <v>84</v>
      </c>
      <c r="N277" t="s">
        <v>94</v>
      </c>
      <c r="O277">
        <v>242</v>
      </c>
      <c r="P277" s="49">
        <v>1099648</v>
      </c>
    </row>
    <row r="278" spans="10:16" x14ac:dyDescent="0.25">
      <c r="J278">
        <v>259</v>
      </c>
      <c r="K278" s="48">
        <v>38088</v>
      </c>
      <c r="L278" t="s">
        <v>83</v>
      </c>
      <c r="M278" t="s">
        <v>87</v>
      </c>
      <c r="N278" t="s">
        <v>91</v>
      </c>
      <c r="O278">
        <v>138</v>
      </c>
      <c r="P278" s="49">
        <v>1183212</v>
      </c>
    </row>
    <row r="279" spans="10:16" x14ac:dyDescent="0.25">
      <c r="J279">
        <v>260</v>
      </c>
      <c r="K279" s="48">
        <v>38089</v>
      </c>
      <c r="L279" t="s">
        <v>93</v>
      </c>
      <c r="M279" t="s">
        <v>84</v>
      </c>
      <c r="N279" t="s">
        <v>91</v>
      </c>
      <c r="O279">
        <v>258</v>
      </c>
      <c r="P279" s="49">
        <v>1750014</v>
      </c>
    </row>
    <row r="280" spans="10:16" x14ac:dyDescent="0.25">
      <c r="J280">
        <v>261</v>
      </c>
      <c r="K280" s="48">
        <v>38089</v>
      </c>
      <c r="L280" t="s">
        <v>95</v>
      </c>
      <c r="M280" t="s">
        <v>84</v>
      </c>
      <c r="N280" t="s">
        <v>85</v>
      </c>
      <c r="O280">
        <v>201</v>
      </c>
      <c r="P280" s="49">
        <v>1107108</v>
      </c>
    </row>
    <row r="281" spans="10:16" x14ac:dyDescent="0.25">
      <c r="J281">
        <v>262</v>
      </c>
      <c r="K281" s="48">
        <v>38089</v>
      </c>
      <c r="L281" t="s">
        <v>95</v>
      </c>
      <c r="M281" t="s">
        <v>84</v>
      </c>
      <c r="N281" t="s">
        <v>94</v>
      </c>
      <c r="O281">
        <v>181</v>
      </c>
      <c r="P281" s="49">
        <v>1449629</v>
      </c>
    </row>
    <row r="282" spans="10:16" x14ac:dyDescent="0.25">
      <c r="J282">
        <v>263</v>
      </c>
      <c r="K282" s="48">
        <v>38090</v>
      </c>
      <c r="L282" t="s">
        <v>89</v>
      </c>
      <c r="M282" t="s">
        <v>84</v>
      </c>
      <c r="N282" t="s">
        <v>94</v>
      </c>
      <c r="O282">
        <v>244</v>
      </c>
      <c r="P282" s="49">
        <v>1006988</v>
      </c>
    </row>
    <row r="283" spans="10:16" x14ac:dyDescent="0.25">
      <c r="J283">
        <v>264</v>
      </c>
      <c r="K283" s="48">
        <v>38091</v>
      </c>
      <c r="L283" t="s">
        <v>83</v>
      </c>
      <c r="M283" t="s">
        <v>84</v>
      </c>
      <c r="N283" t="s">
        <v>91</v>
      </c>
      <c r="O283">
        <v>258</v>
      </c>
      <c r="P283" s="49">
        <v>1770912</v>
      </c>
    </row>
    <row r="284" spans="10:16" x14ac:dyDescent="0.25">
      <c r="J284">
        <v>265</v>
      </c>
      <c r="K284" s="48">
        <v>38091</v>
      </c>
      <c r="L284" t="s">
        <v>83</v>
      </c>
      <c r="M284" t="s">
        <v>87</v>
      </c>
      <c r="N284" t="s">
        <v>94</v>
      </c>
      <c r="O284">
        <v>105</v>
      </c>
      <c r="P284" s="49">
        <v>927255</v>
      </c>
    </row>
    <row r="285" spans="10:16" x14ac:dyDescent="0.25">
      <c r="J285">
        <v>266</v>
      </c>
      <c r="K285" s="48">
        <v>38091</v>
      </c>
      <c r="L285" t="s">
        <v>83</v>
      </c>
      <c r="M285" t="s">
        <v>84</v>
      </c>
      <c r="N285" t="s">
        <v>91</v>
      </c>
      <c r="O285">
        <v>216</v>
      </c>
      <c r="P285" s="49">
        <v>1125792</v>
      </c>
    </row>
    <row r="286" spans="10:16" x14ac:dyDescent="0.25">
      <c r="J286">
        <v>267</v>
      </c>
      <c r="K286" s="48">
        <v>38091</v>
      </c>
      <c r="L286" t="s">
        <v>95</v>
      </c>
      <c r="M286" t="s">
        <v>87</v>
      </c>
      <c r="N286" t="s">
        <v>88</v>
      </c>
      <c r="O286">
        <v>204</v>
      </c>
      <c r="P286" s="49">
        <v>1291116</v>
      </c>
    </row>
    <row r="287" spans="10:16" x14ac:dyDescent="0.25">
      <c r="J287">
        <v>268</v>
      </c>
      <c r="K287" s="48">
        <v>38092</v>
      </c>
      <c r="L287" t="s">
        <v>92</v>
      </c>
      <c r="M287" t="s">
        <v>84</v>
      </c>
      <c r="N287" t="s">
        <v>88</v>
      </c>
      <c r="O287">
        <v>150</v>
      </c>
      <c r="P287" s="49">
        <v>968250</v>
      </c>
    </row>
    <row r="288" spans="10:16" x14ac:dyDescent="0.25">
      <c r="J288">
        <v>269</v>
      </c>
      <c r="K288" s="48">
        <v>38092</v>
      </c>
      <c r="L288" t="s">
        <v>83</v>
      </c>
      <c r="M288" t="s">
        <v>87</v>
      </c>
      <c r="N288" t="s">
        <v>85</v>
      </c>
      <c r="O288">
        <v>52</v>
      </c>
      <c r="P288" s="49">
        <v>446888</v>
      </c>
    </row>
    <row r="289" spans="10:16" x14ac:dyDescent="0.25">
      <c r="J289">
        <v>270</v>
      </c>
      <c r="K289" s="48">
        <v>38092</v>
      </c>
      <c r="L289" t="s">
        <v>83</v>
      </c>
      <c r="M289" t="s">
        <v>84</v>
      </c>
      <c r="N289" t="s">
        <v>91</v>
      </c>
      <c r="O289">
        <v>223</v>
      </c>
      <c r="P289" s="49">
        <v>1342906</v>
      </c>
    </row>
    <row r="290" spans="10:16" x14ac:dyDescent="0.25">
      <c r="J290">
        <v>271</v>
      </c>
      <c r="K290" s="48">
        <v>38092</v>
      </c>
      <c r="L290" t="s">
        <v>86</v>
      </c>
      <c r="M290" t="s">
        <v>84</v>
      </c>
      <c r="N290" t="s">
        <v>85</v>
      </c>
      <c r="O290">
        <v>237</v>
      </c>
      <c r="P290" s="49">
        <v>1093281</v>
      </c>
    </row>
    <row r="291" spans="10:16" x14ac:dyDescent="0.25">
      <c r="J291">
        <v>272</v>
      </c>
      <c r="K291" s="48">
        <v>38092</v>
      </c>
      <c r="L291" t="s">
        <v>90</v>
      </c>
      <c r="M291" t="s">
        <v>87</v>
      </c>
      <c r="N291" t="s">
        <v>85</v>
      </c>
      <c r="O291">
        <v>270</v>
      </c>
      <c r="P291" s="49">
        <v>2409210</v>
      </c>
    </row>
    <row r="292" spans="10:16" x14ac:dyDescent="0.25">
      <c r="J292">
        <v>273</v>
      </c>
      <c r="K292" s="48">
        <v>38092</v>
      </c>
      <c r="L292" t="s">
        <v>93</v>
      </c>
      <c r="M292" t="s">
        <v>84</v>
      </c>
      <c r="N292" t="s">
        <v>85</v>
      </c>
      <c r="O292">
        <v>120</v>
      </c>
      <c r="P292" s="49">
        <v>722880</v>
      </c>
    </row>
    <row r="293" spans="10:16" x14ac:dyDescent="0.25">
      <c r="J293">
        <v>274</v>
      </c>
      <c r="K293" s="48">
        <v>38092</v>
      </c>
      <c r="L293" t="s">
        <v>93</v>
      </c>
      <c r="M293" t="s">
        <v>84</v>
      </c>
      <c r="N293" t="s">
        <v>85</v>
      </c>
      <c r="O293">
        <v>113</v>
      </c>
      <c r="P293" s="49">
        <v>1102880</v>
      </c>
    </row>
    <row r="294" spans="10:16" x14ac:dyDescent="0.25">
      <c r="J294">
        <v>275</v>
      </c>
      <c r="K294" s="48">
        <v>38093</v>
      </c>
      <c r="L294" t="s">
        <v>86</v>
      </c>
      <c r="M294" t="s">
        <v>84</v>
      </c>
      <c r="N294" t="s">
        <v>88</v>
      </c>
      <c r="O294">
        <v>193</v>
      </c>
      <c r="P294" s="49">
        <v>1079449</v>
      </c>
    </row>
    <row r="295" spans="10:16" x14ac:dyDescent="0.25">
      <c r="J295">
        <v>276</v>
      </c>
      <c r="K295" s="48">
        <v>38094</v>
      </c>
      <c r="L295" t="s">
        <v>89</v>
      </c>
      <c r="M295" t="s">
        <v>84</v>
      </c>
      <c r="N295" t="s">
        <v>88</v>
      </c>
      <c r="O295">
        <v>110</v>
      </c>
      <c r="P295" s="49">
        <v>1039500</v>
      </c>
    </row>
    <row r="296" spans="10:16" x14ac:dyDescent="0.25">
      <c r="J296">
        <v>277</v>
      </c>
      <c r="K296" s="48">
        <v>38094</v>
      </c>
      <c r="L296" t="s">
        <v>83</v>
      </c>
      <c r="M296" t="s">
        <v>87</v>
      </c>
      <c r="N296" t="s">
        <v>94</v>
      </c>
      <c r="O296">
        <v>209</v>
      </c>
      <c r="P296" s="49">
        <v>2038586</v>
      </c>
    </row>
    <row r="297" spans="10:16" x14ac:dyDescent="0.25">
      <c r="J297">
        <v>278</v>
      </c>
      <c r="K297" s="48">
        <v>38094</v>
      </c>
      <c r="L297" t="s">
        <v>90</v>
      </c>
      <c r="M297" t="s">
        <v>84</v>
      </c>
      <c r="N297" t="s">
        <v>88</v>
      </c>
      <c r="O297">
        <v>125</v>
      </c>
      <c r="P297" s="49">
        <v>853750</v>
      </c>
    </row>
    <row r="298" spans="10:16" x14ac:dyDescent="0.25">
      <c r="J298">
        <v>279</v>
      </c>
      <c r="K298" s="48">
        <v>38095</v>
      </c>
      <c r="L298" t="s">
        <v>90</v>
      </c>
      <c r="M298" t="s">
        <v>87</v>
      </c>
      <c r="N298" t="s">
        <v>88</v>
      </c>
      <c r="O298">
        <v>244</v>
      </c>
      <c r="P298" s="49">
        <v>1414956</v>
      </c>
    </row>
    <row r="299" spans="10:16" x14ac:dyDescent="0.25">
      <c r="J299">
        <v>280</v>
      </c>
      <c r="K299" s="48">
        <v>38095</v>
      </c>
      <c r="L299" t="s">
        <v>89</v>
      </c>
      <c r="M299" t="s">
        <v>87</v>
      </c>
      <c r="N299" t="s">
        <v>94</v>
      </c>
      <c r="O299">
        <v>154</v>
      </c>
      <c r="P299" s="49">
        <v>881804</v>
      </c>
    </row>
    <row r="300" spans="10:16" x14ac:dyDescent="0.25">
      <c r="J300">
        <v>281</v>
      </c>
      <c r="K300" s="48">
        <v>38095</v>
      </c>
      <c r="L300" t="s">
        <v>89</v>
      </c>
      <c r="M300" t="s">
        <v>87</v>
      </c>
      <c r="N300" t="s">
        <v>88</v>
      </c>
      <c r="O300">
        <v>258</v>
      </c>
      <c r="P300" s="49">
        <v>1081278</v>
      </c>
    </row>
    <row r="301" spans="10:16" x14ac:dyDescent="0.25">
      <c r="J301">
        <v>282</v>
      </c>
      <c r="K301" s="48">
        <v>38095</v>
      </c>
      <c r="L301" t="s">
        <v>95</v>
      </c>
      <c r="M301" t="s">
        <v>87</v>
      </c>
      <c r="N301" t="s">
        <v>88</v>
      </c>
      <c r="O301">
        <v>285</v>
      </c>
      <c r="P301" s="49">
        <v>2534505</v>
      </c>
    </row>
    <row r="302" spans="10:16" x14ac:dyDescent="0.25">
      <c r="J302">
        <v>283</v>
      </c>
      <c r="K302" s="48">
        <v>38095</v>
      </c>
      <c r="L302" t="s">
        <v>89</v>
      </c>
      <c r="M302" t="s">
        <v>84</v>
      </c>
      <c r="N302" t="s">
        <v>91</v>
      </c>
      <c r="O302">
        <v>137</v>
      </c>
      <c r="P302" s="49">
        <v>1336298</v>
      </c>
    </row>
    <row r="303" spans="10:16" x14ac:dyDescent="0.25">
      <c r="J303">
        <v>284</v>
      </c>
      <c r="K303" s="48">
        <v>38096</v>
      </c>
      <c r="L303" t="s">
        <v>90</v>
      </c>
      <c r="M303" t="s">
        <v>84</v>
      </c>
      <c r="N303" t="s">
        <v>88</v>
      </c>
      <c r="O303">
        <v>262</v>
      </c>
      <c r="P303" s="49">
        <v>2404898</v>
      </c>
    </row>
    <row r="304" spans="10:16" x14ac:dyDescent="0.25">
      <c r="J304">
        <v>285</v>
      </c>
      <c r="K304" s="48">
        <v>38096</v>
      </c>
      <c r="L304" t="s">
        <v>92</v>
      </c>
      <c r="M304" t="s">
        <v>84</v>
      </c>
      <c r="N304" t="s">
        <v>91</v>
      </c>
      <c r="O304">
        <v>143</v>
      </c>
      <c r="P304" s="49">
        <v>712712</v>
      </c>
    </row>
    <row r="305" spans="10:16" x14ac:dyDescent="0.25">
      <c r="J305">
        <v>286</v>
      </c>
      <c r="K305" s="48">
        <v>38096</v>
      </c>
      <c r="L305" t="s">
        <v>92</v>
      </c>
      <c r="M305" t="s">
        <v>87</v>
      </c>
      <c r="N305" t="s">
        <v>94</v>
      </c>
      <c r="O305">
        <v>65</v>
      </c>
      <c r="P305" s="49">
        <v>523770</v>
      </c>
    </row>
    <row r="306" spans="10:16" x14ac:dyDescent="0.25">
      <c r="J306">
        <v>287</v>
      </c>
      <c r="K306" s="48">
        <v>38096</v>
      </c>
      <c r="L306" t="s">
        <v>92</v>
      </c>
      <c r="M306" t="s">
        <v>84</v>
      </c>
      <c r="N306" t="s">
        <v>94</v>
      </c>
      <c r="O306">
        <v>225</v>
      </c>
      <c r="P306" s="49">
        <v>1360800</v>
      </c>
    </row>
    <row r="307" spans="10:16" x14ac:dyDescent="0.25">
      <c r="J307">
        <v>288</v>
      </c>
      <c r="K307" s="48">
        <v>38096</v>
      </c>
      <c r="L307" t="s">
        <v>95</v>
      </c>
      <c r="M307" t="s">
        <v>84</v>
      </c>
      <c r="N307" t="s">
        <v>85</v>
      </c>
      <c r="O307">
        <v>177</v>
      </c>
      <c r="P307" s="49">
        <v>924294</v>
      </c>
    </row>
    <row r="308" spans="10:16" x14ac:dyDescent="0.25">
      <c r="J308">
        <v>289</v>
      </c>
      <c r="K308" s="48">
        <v>38097</v>
      </c>
      <c r="L308" t="s">
        <v>90</v>
      </c>
      <c r="M308" t="s">
        <v>87</v>
      </c>
      <c r="N308" t="s">
        <v>85</v>
      </c>
      <c r="O308">
        <v>163</v>
      </c>
      <c r="P308" s="49">
        <v>895359</v>
      </c>
    </row>
    <row r="309" spans="10:16" x14ac:dyDescent="0.25">
      <c r="J309">
        <v>290</v>
      </c>
      <c r="K309" s="48">
        <v>38097</v>
      </c>
      <c r="L309" t="s">
        <v>89</v>
      </c>
      <c r="M309" t="s">
        <v>84</v>
      </c>
      <c r="N309" t="s">
        <v>88</v>
      </c>
      <c r="O309">
        <v>227</v>
      </c>
      <c r="P309" s="49">
        <v>1437818</v>
      </c>
    </row>
    <row r="310" spans="10:16" x14ac:dyDescent="0.25">
      <c r="J310">
        <v>291</v>
      </c>
      <c r="K310" s="48">
        <v>38098</v>
      </c>
      <c r="L310" t="s">
        <v>95</v>
      </c>
      <c r="M310" t="s">
        <v>84</v>
      </c>
      <c r="N310" t="s">
        <v>91</v>
      </c>
      <c r="O310">
        <v>295</v>
      </c>
      <c r="P310" s="49">
        <v>1877675</v>
      </c>
    </row>
    <row r="311" spans="10:16" x14ac:dyDescent="0.25">
      <c r="J311">
        <v>292</v>
      </c>
      <c r="K311" s="48">
        <v>38098</v>
      </c>
      <c r="L311" t="s">
        <v>83</v>
      </c>
      <c r="M311" t="s">
        <v>87</v>
      </c>
      <c r="N311" t="s">
        <v>94</v>
      </c>
      <c r="O311">
        <v>54</v>
      </c>
      <c r="P311" s="49">
        <v>258444</v>
      </c>
    </row>
    <row r="312" spans="10:16" x14ac:dyDescent="0.25">
      <c r="J312">
        <v>293</v>
      </c>
      <c r="K312" s="48">
        <v>38099</v>
      </c>
      <c r="L312" t="s">
        <v>83</v>
      </c>
      <c r="M312" t="s">
        <v>87</v>
      </c>
      <c r="N312" t="s">
        <v>88</v>
      </c>
      <c r="O312">
        <v>82</v>
      </c>
      <c r="P312" s="49">
        <v>430418</v>
      </c>
    </row>
    <row r="313" spans="10:16" x14ac:dyDescent="0.25">
      <c r="J313">
        <v>294</v>
      </c>
      <c r="K313" s="48">
        <v>38099</v>
      </c>
      <c r="L313" t="s">
        <v>89</v>
      </c>
      <c r="M313" t="s">
        <v>87</v>
      </c>
      <c r="N313" t="s">
        <v>88</v>
      </c>
      <c r="O313">
        <v>86</v>
      </c>
      <c r="P313" s="49">
        <v>589960</v>
      </c>
    </row>
    <row r="314" spans="10:16" x14ac:dyDescent="0.25">
      <c r="J314">
        <v>295</v>
      </c>
      <c r="K314" s="48">
        <v>38099</v>
      </c>
      <c r="L314" t="s">
        <v>89</v>
      </c>
      <c r="M314" t="s">
        <v>87</v>
      </c>
      <c r="N314" t="s">
        <v>88</v>
      </c>
      <c r="O314">
        <v>133</v>
      </c>
      <c r="P314" s="49">
        <v>786695</v>
      </c>
    </row>
    <row r="315" spans="10:16" x14ac:dyDescent="0.25">
      <c r="J315">
        <v>296</v>
      </c>
      <c r="K315" s="48">
        <v>38099</v>
      </c>
      <c r="L315" t="s">
        <v>83</v>
      </c>
      <c r="M315" t="s">
        <v>84</v>
      </c>
      <c r="N315" t="s">
        <v>94</v>
      </c>
      <c r="O315">
        <v>235</v>
      </c>
      <c r="P315" s="49">
        <v>1773780</v>
      </c>
    </row>
    <row r="316" spans="10:16" x14ac:dyDescent="0.25">
      <c r="J316">
        <v>297</v>
      </c>
      <c r="K316" s="48">
        <v>38100</v>
      </c>
      <c r="L316" t="s">
        <v>90</v>
      </c>
      <c r="M316" t="s">
        <v>84</v>
      </c>
      <c r="N316" t="s">
        <v>88</v>
      </c>
      <c r="O316">
        <v>288</v>
      </c>
      <c r="P316" s="49">
        <v>2699136</v>
      </c>
    </row>
    <row r="317" spans="10:16" x14ac:dyDescent="0.25">
      <c r="J317">
        <v>298</v>
      </c>
      <c r="K317" s="48">
        <v>38100</v>
      </c>
      <c r="L317" t="s">
        <v>92</v>
      </c>
      <c r="M317" t="s">
        <v>87</v>
      </c>
      <c r="N317" t="s">
        <v>94</v>
      </c>
      <c r="O317">
        <v>106</v>
      </c>
      <c r="P317" s="49">
        <v>600596</v>
      </c>
    </row>
    <row r="318" spans="10:16" x14ac:dyDescent="0.25">
      <c r="J318">
        <v>299</v>
      </c>
      <c r="K318" s="48">
        <v>38100</v>
      </c>
      <c r="L318" t="s">
        <v>92</v>
      </c>
      <c r="M318" t="s">
        <v>87</v>
      </c>
      <c r="N318" t="s">
        <v>88</v>
      </c>
      <c r="O318">
        <v>45</v>
      </c>
      <c r="P318" s="49">
        <v>307170</v>
      </c>
    </row>
    <row r="319" spans="10:16" x14ac:dyDescent="0.25">
      <c r="J319">
        <v>300</v>
      </c>
      <c r="K319" s="48">
        <v>38100</v>
      </c>
      <c r="L319" t="s">
        <v>90</v>
      </c>
      <c r="M319" t="s">
        <v>84</v>
      </c>
      <c r="N319" t="s">
        <v>91</v>
      </c>
      <c r="O319">
        <v>85</v>
      </c>
      <c r="P319" s="49">
        <v>683230</v>
      </c>
    </row>
    <row r="320" spans="10:16" x14ac:dyDescent="0.25">
      <c r="J320">
        <v>301</v>
      </c>
      <c r="K320" s="48">
        <v>38101</v>
      </c>
      <c r="L320" t="s">
        <v>95</v>
      </c>
      <c r="M320" t="s">
        <v>84</v>
      </c>
      <c r="N320" t="s">
        <v>91</v>
      </c>
      <c r="O320">
        <v>178</v>
      </c>
      <c r="P320" s="49">
        <v>1458176</v>
      </c>
    </row>
    <row r="321" spans="10:16" x14ac:dyDescent="0.25">
      <c r="J321">
        <v>302</v>
      </c>
      <c r="K321" s="48">
        <v>38101</v>
      </c>
      <c r="L321" t="s">
        <v>92</v>
      </c>
      <c r="M321" t="s">
        <v>84</v>
      </c>
      <c r="N321" t="s">
        <v>88</v>
      </c>
      <c r="O321">
        <v>211</v>
      </c>
      <c r="P321" s="49">
        <v>1171894</v>
      </c>
    </row>
    <row r="322" spans="10:16" x14ac:dyDescent="0.25">
      <c r="J322">
        <v>303</v>
      </c>
      <c r="K322" s="48">
        <v>38102</v>
      </c>
      <c r="L322" t="s">
        <v>89</v>
      </c>
      <c r="M322" t="s">
        <v>87</v>
      </c>
      <c r="N322" t="s">
        <v>88</v>
      </c>
      <c r="O322">
        <v>209</v>
      </c>
      <c r="P322" s="49">
        <v>1728221</v>
      </c>
    </row>
    <row r="323" spans="10:16" x14ac:dyDescent="0.25">
      <c r="J323">
        <v>304</v>
      </c>
      <c r="K323" s="48">
        <v>38103</v>
      </c>
      <c r="L323" t="s">
        <v>95</v>
      </c>
      <c r="M323" t="s">
        <v>84</v>
      </c>
      <c r="N323" t="s">
        <v>94</v>
      </c>
      <c r="O323">
        <v>298</v>
      </c>
      <c r="P323" s="49">
        <v>2612566</v>
      </c>
    </row>
    <row r="324" spans="10:16" x14ac:dyDescent="0.25">
      <c r="J324">
        <v>305</v>
      </c>
      <c r="K324" s="48">
        <v>38104</v>
      </c>
      <c r="L324" t="s">
        <v>89</v>
      </c>
      <c r="M324" t="s">
        <v>87</v>
      </c>
      <c r="N324" t="s">
        <v>88</v>
      </c>
      <c r="O324">
        <v>249</v>
      </c>
      <c r="P324" s="49">
        <v>1150380</v>
      </c>
    </row>
    <row r="325" spans="10:16" x14ac:dyDescent="0.25">
      <c r="J325">
        <v>306</v>
      </c>
      <c r="K325" s="48">
        <v>38104</v>
      </c>
      <c r="L325" t="s">
        <v>93</v>
      </c>
      <c r="M325" t="s">
        <v>87</v>
      </c>
      <c r="N325" t="s">
        <v>85</v>
      </c>
      <c r="O325">
        <v>142</v>
      </c>
      <c r="P325" s="49">
        <v>1055912</v>
      </c>
    </row>
    <row r="326" spans="10:16" x14ac:dyDescent="0.25">
      <c r="J326">
        <v>307</v>
      </c>
      <c r="K326" s="48">
        <v>38104</v>
      </c>
      <c r="L326" t="s">
        <v>92</v>
      </c>
      <c r="M326" t="s">
        <v>87</v>
      </c>
      <c r="N326" t="s">
        <v>85</v>
      </c>
      <c r="O326">
        <v>196</v>
      </c>
      <c r="P326" s="49">
        <v>1645616</v>
      </c>
    </row>
    <row r="327" spans="10:16" x14ac:dyDescent="0.25">
      <c r="J327">
        <v>308</v>
      </c>
      <c r="K327" s="48">
        <v>38105</v>
      </c>
      <c r="L327" t="s">
        <v>90</v>
      </c>
      <c r="M327" t="s">
        <v>84</v>
      </c>
      <c r="N327" t="s">
        <v>94</v>
      </c>
      <c r="O327">
        <v>228</v>
      </c>
      <c r="P327" s="49">
        <v>1521216</v>
      </c>
    </row>
    <row r="328" spans="10:16" x14ac:dyDescent="0.25">
      <c r="J328">
        <v>309</v>
      </c>
      <c r="K328" s="48">
        <v>38105</v>
      </c>
      <c r="L328" t="s">
        <v>93</v>
      </c>
      <c r="M328" t="s">
        <v>84</v>
      </c>
      <c r="N328" t="s">
        <v>85</v>
      </c>
      <c r="O328">
        <v>237</v>
      </c>
      <c r="P328" s="49">
        <v>1763517</v>
      </c>
    </row>
    <row r="329" spans="10:16" x14ac:dyDescent="0.25">
      <c r="J329">
        <v>310</v>
      </c>
      <c r="K329" s="48">
        <v>38105</v>
      </c>
      <c r="L329" t="s">
        <v>92</v>
      </c>
      <c r="M329" t="s">
        <v>87</v>
      </c>
      <c r="N329" t="s">
        <v>85</v>
      </c>
      <c r="O329">
        <v>121</v>
      </c>
      <c r="P329" s="49">
        <v>792792</v>
      </c>
    </row>
    <row r="330" spans="10:16" x14ac:dyDescent="0.25">
      <c r="J330">
        <v>311</v>
      </c>
      <c r="K330" s="48">
        <v>38105</v>
      </c>
      <c r="L330" t="s">
        <v>90</v>
      </c>
      <c r="M330" t="s">
        <v>87</v>
      </c>
      <c r="N330" t="s">
        <v>85</v>
      </c>
      <c r="O330">
        <v>61</v>
      </c>
      <c r="P330" s="49">
        <v>605425</v>
      </c>
    </row>
    <row r="331" spans="10:16" x14ac:dyDescent="0.25">
      <c r="J331">
        <v>312</v>
      </c>
      <c r="K331" s="48">
        <v>38106</v>
      </c>
      <c r="L331" t="s">
        <v>92</v>
      </c>
      <c r="M331" t="s">
        <v>87</v>
      </c>
      <c r="N331" t="s">
        <v>88</v>
      </c>
      <c r="O331">
        <v>189</v>
      </c>
      <c r="P331" s="49">
        <v>1579284</v>
      </c>
    </row>
    <row r="332" spans="10:16" x14ac:dyDescent="0.25">
      <c r="J332">
        <v>313</v>
      </c>
      <c r="K332" s="48">
        <v>38107</v>
      </c>
      <c r="L332" t="s">
        <v>86</v>
      </c>
      <c r="M332" t="s">
        <v>84</v>
      </c>
      <c r="N332" t="s">
        <v>94</v>
      </c>
      <c r="O332">
        <v>91</v>
      </c>
      <c r="P332" s="49">
        <v>391391</v>
      </c>
    </row>
    <row r="333" spans="10:16" x14ac:dyDescent="0.25">
      <c r="J333">
        <v>314</v>
      </c>
      <c r="K333" s="48">
        <v>38107</v>
      </c>
      <c r="L333" t="s">
        <v>90</v>
      </c>
      <c r="M333" t="s">
        <v>84</v>
      </c>
      <c r="N333" t="s">
        <v>91</v>
      </c>
      <c r="O333">
        <v>230</v>
      </c>
      <c r="P333" s="49">
        <v>1386900</v>
      </c>
    </row>
    <row r="334" spans="10:16" x14ac:dyDescent="0.25">
      <c r="J334">
        <v>315</v>
      </c>
      <c r="K334" s="48">
        <v>38108</v>
      </c>
      <c r="L334" t="s">
        <v>95</v>
      </c>
      <c r="M334" t="s">
        <v>84</v>
      </c>
      <c r="N334" t="s">
        <v>94</v>
      </c>
      <c r="O334">
        <v>251</v>
      </c>
      <c r="P334" s="49">
        <v>2439971</v>
      </c>
    </row>
    <row r="335" spans="10:16" x14ac:dyDescent="0.25">
      <c r="J335">
        <v>316</v>
      </c>
      <c r="K335" s="48">
        <v>38109</v>
      </c>
      <c r="L335" t="s">
        <v>92</v>
      </c>
      <c r="M335" t="s">
        <v>84</v>
      </c>
      <c r="N335" t="s">
        <v>94</v>
      </c>
      <c r="O335">
        <v>261</v>
      </c>
      <c r="P335" s="49">
        <v>2571111</v>
      </c>
    </row>
    <row r="336" spans="10:16" x14ac:dyDescent="0.25">
      <c r="J336">
        <v>317</v>
      </c>
      <c r="K336" s="48">
        <v>38109</v>
      </c>
      <c r="L336" t="s">
        <v>83</v>
      </c>
      <c r="M336" t="s">
        <v>84</v>
      </c>
      <c r="N336" t="s">
        <v>94</v>
      </c>
      <c r="O336">
        <v>251</v>
      </c>
      <c r="P336" s="49">
        <v>1754992</v>
      </c>
    </row>
    <row r="337" spans="10:16" x14ac:dyDescent="0.25">
      <c r="J337">
        <v>318</v>
      </c>
      <c r="K337" s="48">
        <v>38109</v>
      </c>
      <c r="L337" t="s">
        <v>90</v>
      </c>
      <c r="M337" t="s">
        <v>84</v>
      </c>
      <c r="N337" t="s">
        <v>85</v>
      </c>
      <c r="O337">
        <v>46</v>
      </c>
      <c r="P337" s="49">
        <v>440772</v>
      </c>
    </row>
    <row r="338" spans="10:16" x14ac:dyDescent="0.25">
      <c r="J338">
        <v>319</v>
      </c>
      <c r="K338" s="48">
        <v>38109</v>
      </c>
      <c r="L338" t="s">
        <v>93</v>
      </c>
      <c r="M338" t="s">
        <v>87</v>
      </c>
      <c r="N338" t="s">
        <v>91</v>
      </c>
      <c r="O338">
        <v>123</v>
      </c>
      <c r="P338" s="49">
        <v>961368</v>
      </c>
    </row>
    <row r="339" spans="10:16" x14ac:dyDescent="0.25">
      <c r="J339">
        <v>320</v>
      </c>
      <c r="K339" s="48">
        <v>38109</v>
      </c>
      <c r="L339" t="s">
        <v>92</v>
      </c>
      <c r="M339" t="s">
        <v>84</v>
      </c>
      <c r="N339" t="s">
        <v>88</v>
      </c>
      <c r="O339">
        <v>277</v>
      </c>
      <c r="P339" s="49">
        <v>2456159</v>
      </c>
    </row>
    <row r="340" spans="10:16" x14ac:dyDescent="0.25">
      <c r="J340">
        <v>321</v>
      </c>
      <c r="K340" s="48">
        <v>38110</v>
      </c>
      <c r="L340" t="s">
        <v>92</v>
      </c>
      <c r="M340" t="s">
        <v>84</v>
      </c>
      <c r="N340" t="s">
        <v>88</v>
      </c>
      <c r="O340">
        <v>190</v>
      </c>
      <c r="P340" s="49">
        <v>977740</v>
      </c>
    </row>
    <row r="341" spans="10:16" x14ac:dyDescent="0.25">
      <c r="J341">
        <v>322</v>
      </c>
      <c r="K341" s="48">
        <v>38110</v>
      </c>
      <c r="L341" t="s">
        <v>90</v>
      </c>
      <c r="M341" t="s">
        <v>87</v>
      </c>
      <c r="N341" t="s">
        <v>94</v>
      </c>
      <c r="O341">
        <v>42</v>
      </c>
      <c r="P341" s="49">
        <v>255906</v>
      </c>
    </row>
    <row r="342" spans="10:16" x14ac:dyDescent="0.25">
      <c r="J342">
        <v>323</v>
      </c>
      <c r="K342" s="48">
        <v>38110</v>
      </c>
      <c r="L342" t="s">
        <v>83</v>
      </c>
      <c r="M342" t="s">
        <v>87</v>
      </c>
      <c r="N342" t="s">
        <v>94</v>
      </c>
      <c r="O342">
        <v>237</v>
      </c>
      <c r="P342" s="49">
        <v>1592166</v>
      </c>
    </row>
    <row r="343" spans="10:16" x14ac:dyDescent="0.25">
      <c r="J343">
        <v>324</v>
      </c>
      <c r="K343" s="48">
        <v>38111</v>
      </c>
      <c r="L343" t="s">
        <v>90</v>
      </c>
      <c r="M343" t="s">
        <v>84</v>
      </c>
      <c r="N343" t="s">
        <v>94</v>
      </c>
      <c r="O343">
        <v>155</v>
      </c>
      <c r="P343" s="49">
        <v>876060</v>
      </c>
    </row>
    <row r="344" spans="10:16" x14ac:dyDescent="0.25">
      <c r="J344">
        <v>325</v>
      </c>
      <c r="K344" s="48">
        <v>38111</v>
      </c>
      <c r="L344" t="s">
        <v>93</v>
      </c>
      <c r="M344" t="s">
        <v>87</v>
      </c>
      <c r="N344" t="s">
        <v>88</v>
      </c>
      <c r="O344">
        <v>60</v>
      </c>
      <c r="P344" s="49">
        <v>332400</v>
      </c>
    </row>
    <row r="345" spans="10:16" x14ac:dyDescent="0.25">
      <c r="J345">
        <v>326</v>
      </c>
      <c r="K345" s="48">
        <v>38111</v>
      </c>
      <c r="L345" t="s">
        <v>92</v>
      </c>
      <c r="M345" t="s">
        <v>84</v>
      </c>
      <c r="N345" t="s">
        <v>94</v>
      </c>
      <c r="O345">
        <v>179</v>
      </c>
      <c r="P345" s="49">
        <v>1227224</v>
      </c>
    </row>
    <row r="346" spans="10:16" x14ac:dyDescent="0.25">
      <c r="J346">
        <v>327</v>
      </c>
      <c r="K346" s="48">
        <v>38111</v>
      </c>
      <c r="L346" t="s">
        <v>90</v>
      </c>
      <c r="M346" t="s">
        <v>87</v>
      </c>
      <c r="N346" t="s">
        <v>91</v>
      </c>
      <c r="O346">
        <v>180</v>
      </c>
      <c r="P346" s="49">
        <v>1022040</v>
      </c>
    </row>
    <row r="347" spans="10:16" x14ac:dyDescent="0.25">
      <c r="J347">
        <v>328</v>
      </c>
      <c r="K347" s="48">
        <v>38111</v>
      </c>
      <c r="L347" t="s">
        <v>90</v>
      </c>
      <c r="M347" t="s">
        <v>87</v>
      </c>
      <c r="N347" t="s">
        <v>94</v>
      </c>
      <c r="O347">
        <v>273</v>
      </c>
      <c r="P347" s="49">
        <v>1369368</v>
      </c>
    </row>
    <row r="348" spans="10:16" x14ac:dyDescent="0.25">
      <c r="J348">
        <v>329</v>
      </c>
      <c r="K348" s="48">
        <v>38111</v>
      </c>
      <c r="L348" t="s">
        <v>92</v>
      </c>
      <c r="M348" t="s">
        <v>87</v>
      </c>
      <c r="N348" t="s">
        <v>85</v>
      </c>
      <c r="O348">
        <v>285</v>
      </c>
      <c r="P348" s="49">
        <v>1922325</v>
      </c>
    </row>
    <row r="349" spans="10:16" x14ac:dyDescent="0.25">
      <c r="J349">
        <v>330</v>
      </c>
      <c r="K349" s="48">
        <v>38112</v>
      </c>
      <c r="L349" t="s">
        <v>83</v>
      </c>
      <c r="M349" t="s">
        <v>84</v>
      </c>
      <c r="N349" t="s">
        <v>88</v>
      </c>
      <c r="O349">
        <v>125</v>
      </c>
      <c r="P349" s="49">
        <v>1189250</v>
      </c>
    </row>
    <row r="350" spans="10:16" x14ac:dyDescent="0.25">
      <c r="J350">
        <v>331</v>
      </c>
      <c r="K350" s="48">
        <v>38112</v>
      </c>
      <c r="L350" t="s">
        <v>83</v>
      </c>
      <c r="M350" t="s">
        <v>84</v>
      </c>
      <c r="N350" t="s">
        <v>94</v>
      </c>
      <c r="O350">
        <v>205</v>
      </c>
      <c r="P350" s="49">
        <v>990355</v>
      </c>
    </row>
    <row r="351" spans="10:16" x14ac:dyDescent="0.25">
      <c r="J351">
        <v>332</v>
      </c>
      <c r="K351" s="48">
        <v>38113</v>
      </c>
      <c r="L351" t="s">
        <v>86</v>
      </c>
      <c r="M351" t="s">
        <v>84</v>
      </c>
      <c r="N351" t="s">
        <v>88</v>
      </c>
      <c r="O351">
        <v>138</v>
      </c>
      <c r="P351" s="49">
        <v>877680</v>
      </c>
    </row>
    <row r="352" spans="10:16" x14ac:dyDescent="0.25">
      <c r="J352">
        <v>333</v>
      </c>
      <c r="K352" s="48">
        <v>38113</v>
      </c>
      <c r="L352" t="s">
        <v>93</v>
      </c>
      <c r="M352" t="s">
        <v>87</v>
      </c>
      <c r="N352" t="s">
        <v>94</v>
      </c>
      <c r="O352">
        <v>110</v>
      </c>
      <c r="P352" s="49">
        <v>803000</v>
      </c>
    </row>
    <row r="353" spans="10:16" x14ac:dyDescent="0.25">
      <c r="J353">
        <v>334</v>
      </c>
      <c r="K353" s="48">
        <v>38114</v>
      </c>
      <c r="L353" t="s">
        <v>92</v>
      </c>
      <c r="M353" t="s">
        <v>84</v>
      </c>
      <c r="N353" t="s">
        <v>91</v>
      </c>
      <c r="O353">
        <v>242</v>
      </c>
      <c r="P353" s="49">
        <v>2110966</v>
      </c>
    </row>
    <row r="354" spans="10:16" x14ac:dyDescent="0.25">
      <c r="J354">
        <v>335</v>
      </c>
      <c r="K354" s="48">
        <v>38114</v>
      </c>
      <c r="L354" t="s">
        <v>93</v>
      </c>
      <c r="M354" t="s">
        <v>87</v>
      </c>
      <c r="N354" t="s">
        <v>85</v>
      </c>
      <c r="O354">
        <v>148</v>
      </c>
      <c r="P354" s="49">
        <v>634920</v>
      </c>
    </row>
    <row r="355" spans="10:16" x14ac:dyDescent="0.25">
      <c r="J355">
        <v>336</v>
      </c>
      <c r="K355" s="48">
        <v>38114</v>
      </c>
      <c r="L355" t="s">
        <v>86</v>
      </c>
      <c r="M355" t="s">
        <v>84</v>
      </c>
      <c r="N355" t="s">
        <v>91</v>
      </c>
      <c r="O355">
        <v>227</v>
      </c>
      <c r="P355" s="49">
        <v>1394461</v>
      </c>
    </row>
    <row r="356" spans="10:16" x14ac:dyDescent="0.25">
      <c r="J356">
        <v>337</v>
      </c>
      <c r="K356" s="48">
        <v>38115</v>
      </c>
      <c r="L356" t="s">
        <v>89</v>
      </c>
      <c r="M356" t="s">
        <v>87</v>
      </c>
      <c r="N356" t="s">
        <v>88</v>
      </c>
      <c r="O356">
        <v>102</v>
      </c>
      <c r="P356" s="49">
        <v>413610</v>
      </c>
    </row>
    <row r="357" spans="10:16" x14ac:dyDescent="0.25">
      <c r="J357">
        <v>338</v>
      </c>
      <c r="K357" s="48">
        <v>38115</v>
      </c>
      <c r="L357" t="s">
        <v>89</v>
      </c>
      <c r="M357" t="s">
        <v>84</v>
      </c>
      <c r="N357" t="s">
        <v>94</v>
      </c>
      <c r="O357">
        <v>41</v>
      </c>
      <c r="P357" s="49">
        <v>361661</v>
      </c>
    </row>
    <row r="358" spans="10:16" x14ac:dyDescent="0.25">
      <c r="J358">
        <v>339</v>
      </c>
      <c r="K358" s="48">
        <v>38116</v>
      </c>
      <c r="L358" t="s">
        <v>90</v>
      </c>
      <c r="M358" t="s">
        <v>84</v>
      </c>
      <c r="N358" t="s">
        <v>88</v>
      </c>
      <c r="O358">
        <v>75</v>
      </c>
      <c r="P358" s="49">
        <v>683175</v>
      </c>
    </row>
    <row r="359" spans="10:16" x14ac:dyDescent="0.25">
      <c r="J359">
        <v>340</v>
      </c>
      <c r="K359" s="48">
        <v>38117</v>
      </c>
      <c r="L359" t="s">
        <v>90</v>
      </c>
      <c r="M359" t="s">
        <v>87</v>
      </c>
      <c r="N359" t="s">
        <v>85</v>
      </c>
      <c r="O359">
        <v>99</v>
      </c>
      <c r="P359" s="49">
        <v>783783</v>
      </c>
    </row>
    <row r="360" spans="10:16" x14ac:dyDescent="0.25">
      <c r="J360">
        <v>341</v>
      </c>
      <c r="K360" s="48">
        <v>38117</v>
      </c>
      <c r="L360" t="s">
        <v>95</v>
      </c>
      <c r="M360" t="s">
        <v>87</v>
      </c>
      <c r="N360" t="s">
        <v>91</v>
      </c>
      <c r="O360">
        <v>229</v>
      </c>
      <c r="P360" s="49">
        <v>1990697</v>
      </c>
    </row>
    <row r="361" spans="10:16" x14ac:dyDescent="0.25">
      <c r="J361">
        <v>342</v>
      </c>
      <c r="K361" s="48">
        <v>38117</v>
      </c>
      <c r="L361" t="s">
        <v>86</v>
      </c>
      <c r="M361" t="s">
        <v>84</v>
      </c>
      <c r="N361" t="s">
        <v>85</v>
      </c>
      <c r="O361">
        <v>259</v>
      </c>
      <c r="P361" s="49">
        <v>1992228</v>
      </c>
    </row>
    <row r="362" spans="10:16" x14ac:dyDescent="0.25">
      <c r="J362">
        <v>343</v>
      </c>
      <c r="K362" s="48">
        <v>38117</v>
      </c>
      <c r="L362" t="s">
        <v>83</v>
      </c>
      <c r="M362" t="s">
        <v>87</v>
      </c>
      <c r="N362" t="s">
        <v>94</v>
      </c>
      <c r="O362">
        <v>175</v>
      </c>
      <c r="P362" s="49">
        <v>1178100</v>
      </c>
    </row>
    <row r="363" spans="10:16" x14ac:dyDescent="0.25">
      <c r="J363">
        <v>344</v>
      </c>
      <c r="K363" s="48">
        <v>38117</v>
      </c>
      <c r="L363" t="s">
        <v>95</v>
      </c>
      <c r="M363" t="s">
        <v>87</v>
      </c>
      <c r="N363" t="s">
        <v>94</v>
      </c>
      <c r="O363">
        <v>146</v>
      </c>
      <c r="P363" s="49">
        <v>1083466</v>
      </c>
    </row>
    <row r="364" spans="10:16" x14ac:dyDescent="0.25">
      <c r="J364">
        <v>345</v>
      </c>
      <c r="K364" s="48">
        <v>38118</v>
      </c>
      <c r="L364" t="s">
        <v>92</v>
      </c>
      <c r="M364" t="s">
        <v>84</v>
      </c>
      <c r="N364" t="s">
        <v>91</v>
      </c>
      <c r="O364">
        <v>131</v>
      </c>
      <c r="P364" s="49">
        <v>1263495</v>
      </c>
    </row>
    <row r="365" spans="10:16" x14ac:dyDescent="0.25">
      <c r="J365">
        <v>346</v>
      </c>
      <c r="K365" s="48">
        <v>38118</v>
      </c>
      <c r="L365" t="s">
        <v>86</v>
      </c>
      <c r="M365" t="s">
        <v>87</v>
      </c>
      <c r="N365" t="s">
        <v>91</v>
      </c>
      <c r="O365">
        <v>202</v>
      </c>
      <c r="P365" s="49">
        <v>1320676</v>
      </c>
    </row>
    <row r="366" spans="10:16" x14ac:dyDescent="0.25">
      <c r="J366">
        <v>347</v>
      </c>
      <c r="K366" s="48">
        <v>38118</v>
      </c>
      <c r="L366" t="s">
        <v>92</v>
      </c>
      <c r="M366" t="s">
        <v>87</v>
      </c>
      <c r="N366" t="s">
        <v>94</v>
      </c>
      <c r="O366">
        <v>173</v>
      </c>
      <c r="P366" s="49">
        <v>851852</v>
      </c>
    </row>
    <row r="367" spans="10:16" x14ac:dyDescent="0.25">
      <c r="J367">
        <v>348</v>
      </c>
      <c r="K367" s="48">
        <v>38118</v>
      </c>
      <c r="L367" t="s">
        <v>89</v>
      </c>
      <c r="M367" t="s">
        <v>84</v>
      </c>
      <c r="N367" t="s">
        <v>88</v>
      </c>
      <c r="O367">
        <v>187</v>
      </c>
      <c r="P367" s="49">
        <v>1560889</v>
      </c>
    </row>
    <row r="368" spans="10:16" x14ac:dyDescent="0.25">
      <c r="J368">
        <v>349</v>
      </c>
      <c r="K368" s="48">
        <v>38119</v>
      </c>
      <c r="L368" t="s">
        <v>83</v>
      </c>
      <c r="M368" t="s">
        <v>87</v>
      </c>
      <c r="N368" t="s">
        <v>91</v>
      </c>
      <c r="O368">
        <v>234</v>
      </c>
      <c r="P368" s="49">
        <v>1398852</v>
      </c>
    </row>
    <row r="369" spans="10:16" x14ac:dyDescent="0.25">
      <c r="J369">
        <v>350</v>
      </c>
      <c r="K369" s="48">
        <v>38120</v>
      </c>
      <c r="L369" t="s">
        <v>89</v>
      </c>
      <c r="M369" t="s">
        <v>87</v>
      </c>
      <c r="N369" t="s">
        <v>88</v>
      </c>
      <c r="O369">
        <v>103</v>
      </c>
      <c r="P369" s="49">
        <v>680830</v>
      </c>
    </row>
    <row r="370" spans="10:16" x14ac:dyDescent="0.25">
      <c r="J370">
        <v>351</v>
      </c>
      <c r="K370" s="48">
        <v>38120</v>
      </c>
      <c r="L370" t="s">
        <v>93</v>
      </c>
      <c r="M370" t="s">
        <v>84</v>
      </c>
      <c r="N370" t="s">
        <v>88</v>
      </c>
      <c r="O370">
        <v>75</v>
      </c>
      <c r="P370" s="49">
        <v>418725</v>
      </c>
    </row>
    <row r="371" spans="10:16" x14ac:dyDescent="0.25">
      <c r="J371">
        <v>352</v>
      </c>
      <c r="K371" s="48">
        <v>38121</v>
      </c>
      <c r="L371" t="s">
        <v>95</v>
      </c>
      <c r="M371" t="s">
        <v>87</v>
      </c>
      <c r="N371" t="s">
        <v>91</v>
      </c>
      <c r="O371">
        <v>241</v>
      </c>
      <c r="P371" s="49">
        <v>2060550</v>
      </c>
    </row>
    <row r="372" spans="10:16" x14ac:dyDescent="0.25">
      <c r="J372">
        <v>353</v>
      </c>
      <c r="K372" s="48">
        <v>38121</v>
      </c>
      <c r="L372" t="s">
        <v>93</v>
      </c>
      <c r="M372" t="s">
        <v>84</v>
      </c>
      <c r="N372" t="s">
        <v>91</v>
      </c>
      <c r="O372">
        <v>257</v>
      </c>
      <c r="P372" s="49">
        <v>1980185</v>
      </c>
    </row>
    <row r="373" spans="10:16" x14ac:dyDescent="0.25">
      <c r="J373">
        <v>354</v>
      </c>
      <c r="K373" s="48">
        <v>38121</v>
      </c>
      <c r="L373" t="s">
        <v>93</v>
      </c>
      <c r="M373" t="s">
        <v>87</v>
      </c>
      <c r="N373" t="s">
        <v>88</v>
      </c>
      <c r="O373">
        <v>122</v>
      </c>
      <c r="P373" s="49">
        <v>885476</v>
      </c>
    </row>
    <row r="374" spans="10:16" x14ac:dyDescent="0.25">
      <c r="J374">
        <v>355</v>
      </c>
      <c r="K374" s="48">
        <v>38121</v>
      </c>
      <c r="L374" t="s">
        <v>89</v>
      </c>
      <c r="M374" t="s">
        <v>84</v>
      </c>
      <c r="N374" t="s">
        <v>91</v>
      </c>
      <c r="O374">
        <v>209</v>
      </c>
      <c r="P374" s="49">
        <v>1181686</v>
      </c>
    </row>
    <row r="375" spans="10:16" x14ac:dyDescent="0.25">
      <c r="J375">
        <v>356</v>
      </c>
      <c r="K375" s="48">
        <v>38121</v>
      </c>
      <c r="L375" t="s">
        <v>83</v>
      </c>
      <c r="M375" t="s">
        <v>84</v>
      </c>
      <c r="N375" t="s">
        <v>85</v>
      </c>
      <c r="O375">
        <v>154</v>
      </c>
      <c r="P375" s="49">
        <v>830830</v>
      </c>
    </row>
    <row r="376" spans="10:16" x14ac:dyDescent="0.25">
      <c r="J376">
        <v>357</v>
      </c>
      <c r="K376" s="48">
        <v>38122</v>
      </c>
      <c r="L376" t="s">
        <v>90</v>
      </c>
      <c r="M376" t="s">
        <v>87</v>
      </c>
      <c r="N376" t="s">
        <v>88</v>
      </c>
      <c r="O376">
        <v>196</v>
      </c>
      <c r="P376" s="49">
        <v>1707944</v>
      </c>
    </row>
    <row r="377" spans="10:16" x14ac:dyDescent="0.25">
      <c r="J377">
        <v>358</v>
      </c>
      <c r="K377" s="48">
        <v>38122</v>
      </c>
      <c r="L377" t="s">
        <v>93</v>
      </c>
      <c r="M377" t="s">
        <v>87</v>
      </c>
      <c r="N377" t="s">
        <v>94</v>
      </c>
      <c r="O377">
        <v>131</v>
      </c>
      <c r="P377" s="49">
        <v>1180048</v>
      </c>
    </row>
    <row r="378" spans="10:16" x14ac:dyDescent="0.25">
      <c r="J378">
        <v>359</v>
      </c>
      <c r="K378" s="48">
        <v>38122</v>
      </c>
      <c r="L378" t="s">
        <v>83</v>
      </c>
      <c r="M378" t="s">
        <v>87</v>
      </c>
      <c r="N378" t="s">
        <v>85</v>
      </c>
      <c r="O378">
        <v>130</v>
      </c>
      <c r="P378" s="49">
        <v>1176630</v>
      </c>
    </row>
    <row r="379" spans="10:16" x14ac:dyDescent="0.25">
      <c r="J379">
        <v>360</v>
      </c>
      <c r="K379" s="48">
        <v>38123</v>
      </c>
      <c r="L379" t="s">
        <v>86</v>
      </c>
      <c r="M379" t="s">
        <v>87</v>
      </c>
      <c r="N379" t="s">
        <v>94</v>
      </c>
      <c r="O379">
        <v>156</v>
      </c>
      <c r="P379" s="49">
        <v>896220</v>
      </c>
    </row>
    <row r="380" spans="10:16" x14ac:dyDescent="0.25">
      <c r="J380">
        <v>361</v>
      </c>
      <c r="K380" s="48">
        <v>38124</v>
      </c>
      <c r="L380" t="s">
        <v>86</v>
      </c>
      <c r="M380" t="s">
        <v>87</v>
      </c>
      <c r="N380" t="s">
        <v>85</v>
      </c>
      <c r="O380">
        <v>291</v>
      </c>
      <c r="P380" s="49">
        <v>1505925</v>
      </c>
    </row>
    <row r="381" spans="10:16" x14ac:dyDescent="0.25">
      <c r="J381">
        <v>362</v>
      </c>
      <c r="K381" s="48">
        <v>38125</v>
      </c>
      <c r="L381" t="s">
        <v>95</v>
      </c>
      <c r="M381" t="s">
        <v>87</v>
      </c>
      <c r="N381" t="s">
        <v>85</v>
      </c>
      <c r="O381">
        <v>141</v>
      </c>
      <c r="P381" s="49">
        <v>732495</v>
      </c>
    </row>
    <row r="382" spans="10:16" x14ac:dyDescent="0.25">
      <c r="J382">
        <v>363</v>
      </c>
      <c r="K382" s="48">
        <v>38125</v>
      </c>
      <c r="L382" t="s">
        <v>90</v>
      </c>
      <c r="M382" t="s">
        <v>84</v>
      </c>
      <c r="N382" t="s">
        <v>88</v>
      </c>
      <c r="O382">
        <v>68</v>
      </c>
      <c r="P382" s="49">
        <v>378624</v>
      </c>
    </row>
    <row r="383" spans="10:16" x14ac:dyDescent="0.25">
      <c r="J383">
        <v>364</v>
      </c>
      <c r="K383" s="48">
        <v>38125</v>
      </c>
      <c r="L383" t="s">
        <v>86</v>
      </c>
      <c r="M383" t="s">
        <v>87</v>
      </c>
      <c r="N383" t="s">
        <v>85</v>
      </c>
      <c r="O383">
        <v>267</v>
      </c>
      <c r="P383" s="49">
        <v>1257036</v>
      </c>
    </row>
    <row r="384" spans="10:16" x14ac:dyDescent="0.25">
      <c r="J384">
        <v>365</v>
      </c>
      <c r="K384" s="48">
        <v>38125</v>
      </c>
      <c r="L384" t="s">
        <v>86</v>
      </c>
      <c r="M384" t="s">
        <v>84</v>
      </c>
      <c r="N384" t="s">
        <v>91</v>
      </c>
      <c r="O384">
        <v>137</v>
      </c>
      <c r="P384" s="49">
        <v>673355</v>
      </c>
    </row>
    <row r="385" spans="10:16" x14ac:dyDescent="0.25">
      <c r="J385">
        <v>366</v>
      </c>
      <c r="K385" s="48">
        <v>38125</v>
      </c>
      <c r="L385" t="s">
        <v>89</v>
      </c>
      <c r="M385" t="s">
        <v>87</v>
      </c>
      <c r="N385" t="s">
        <v>85</v>
      </c>
      <c r="O385">
        <v>137</v>
      </c>
      <c r="P385" s="49">
        <v>961192</v>
      </c>
    </row>
    <row r="386" spans="10:16" x14ac:dyDescent="0.25">
      <c r="J386">
        <v>367</v>
      </c>
      <c r="K386" s="48">
        <v>38125</v>
      </c>
      <c r="L386" t="s">
        <v>92</v>
      </c>
      <c r="M386" t="s">
        <v>84</v>
      </c>
      <c r="N386" t="s">
        <v>85</v>
      </c>
      <c r="O386">
        <v>76</v>
      </c>
      <c r="P386" s="49">
        <v>501220</v>
      </c>
    </row>
    <row r="387" spans="10:16" x14ac:dyDescent="0.25">
      <c r="J387">
        <v>368</v>
      </c>
      <c r="K387" s="48">
        <v>38125</v>
      </c>
      <c r="L387" t="s">
        <v>95</v>
      </c>
      <c r="M387" t="s">
        <v>87</v>
      </c>
      <c r="N387" t="s">
        <v>88</v>
      </c>
      <c r="O387">
        <v>80</v>
      </c>
      <c r="P387" s="49">
        <v>354320</v>
      </c>
    </row>
    <row r="388" spans="10:16" x14ac:dyDescent="0.25">
      <c r="J388">
        <v>369</v>
      </c>
      <c r="K388" s="48">
        <v>38126</v>
      </c>
      <c r="L388" t="s">
        <v>95</v>
      </c>
      <c r="M388" t="s">
        <v>84</v>
      </c>
      <c r="N388" t="s">
        <v>94</v>
      </c>
      <c r="O388">
        <v>149</v>
      </c>
      <c r="P388" s="49">
        <v>1238339</v>
      </c>
    </row>
    <row r="389" spans="10:16" x14ac:dyDescent="0.25">
      <c r="J389">
        <v>370</v>
      </c>
      <c r="K389" s="48">
        <v>38126</v>
      </c>
      <c r="L389" t="s">
        <v>90</v>
      </c>
      <c r="M389" t="s">
        <v>84</v>
      </c>
      <c r="N389" t="s">
        <v>91</v>
      </c>
      <c r="O389">
        <v>285</v>
      </c>
      <c r="P389" s="49">
        <v>1377975</v>
      </c>
    </row>
    <row r="390" spans="10:16" x14ac:dyDescent="0.25">
      <c r="J390">
        <v>371</v>
      </c>
      <c r="K390" s="48">
        <v>38127</v>
      </c>
      <c r="L390" t="s">
        <v>89</v>
      </c>
      <c r="M390" t="s">
        <v>87</v>
      </c>
      <c r="N390" t="s">
        <v>94</v>
      </c>
      <c r="O390">
        <v>230</v>
      </c>
      <c r="P390" s="49">
        <v>1109980</v>
      </c>
    </row>
    <row r="391" spans="10:16" x14ac:dyDescent="0.25">
      <c r="J391">
        <v>372</v>
      </c>
      <c r="K391" s="48">
        <v>38127</v>
      </c>
      <c r="L391" t="s">
        <v>83</v>
      </c>
      <c r="M391" t="s">
        <v>84</v>
      </c>
      <c r="N391" t="s">
        <v>85</v>
      </c>
      <c r="O391">
        <v>163</v>
      </c>
      <c r="P391" s="49">
        <v>1317529</v>
      </c>
    </row>
    <row r="392" spans="10:16" x14ac:dyDescent="0.25">
      <c r="J392">
        <v>373</v>
      </c>
      <c r="K392" s="48">
        <v>38128</v>
      </c>
      <c r="L392" t="s">
        <v>90</v>
      </c>
      <c r="M392" t="s">
        <v>84</v>
      </c>
      <c r="N392" t="s">
        <v>94</v>
      </c>
      <c r="O392">
        <v>131</v>
      </c>
      <c r="P392" s="49">
        <v>822811</v>
      </c>
    </row>
    <row r="393" spans="10:16" x14ac:dyDescent="0.25">
      <c r="J393">
        <v>374</v>
      </c>
      <c r="K393" s="48">
        <v>38128</v>
      </c>
      <c r="L393" t="s">
        <v>93</v>
      </c>
      <c r="M393" t="s">
        <v>84</v>
      </c>
      <c r="N393" t="s">
        <v>91</v>
      </c>
      <c r="O393">
        <v>167</v>
      </c>
      <c r="P393" s="49">
        <v>895287</v>
      </c>
    </row>
    <row r="394" spans="10:16" x14ac:dyDescent="0.25">
      <c r="J394">
        <v>375</v>
      </c>
      <c r="K394" s="48">
        <v>38129</v>
      </c>
      <c r="L394" t="s">
        <v>86</v>
      </c>
      <c r="M394" t="s">
        <v>87</v>
      </c>
      <c r="N394" t="s">
        <v>91</v>
      </c>
      <c r="O394">
        <v>230</v>
      </c>
      <c r="P394" s="49">
        <v>1398630</v>
      </c>
    </row>
    <row r="395" spans="10:16" x14ac:dyDescent="0.25">
      <c r="J395">
        <v>376</v>
      </c>
      <c r="K395" s="48">
        <v>38130</v>
      </c>
      <c r="L395" t="s">
        <v>92</v>
      </c>
      <c r="M395" t="s">
        <v>84</v>
      </c>
      <c r="N395" t="s">
        <v>85</v>
      </c>
      <c r="O395">
        <v>247</v>
      </c>
      <c r="P395" s="49">
        <v>1210053</v>
      </c>
    </row>
    <row r="396" spans="10:16" x14ac:dyDescent="0.25">
      <c r="J396">
        <v>377</v>
      </c>
      <c r="K396" s="48">
        <v>38131</v>
      </c>
      <c r="L396" t="s">
        <v>89</v>
      </c>
      <c r="M396" t="s">
        <v>84</v>
      </c>
      <c r="N396" t="s">
        <v>94</v>
      </c>
      <c r="O396">
        <v>105</v>
      </c>
      <c r="P396" s="49">
        <v>525210</v>
      </c>
    </row>
    <row r="397" spans="10:16" x14ac:dyDescent="0.25">
      <c r="J397">
        <v>378</v>
      </c>
      <c r="K397" s="48">
        <v>38131</v>
      </c>
      <c r="L397" t="s">
        <v>90</v>
      </c>
      <c r="M397" t="s">
        <v>84</v>
      </c>
      <c r="N397" t="s">
        <v>88</v>
      </c>
      <c r="O397">
        <v>280</v>
      </c>
      <c r="P397" s="49">
        <v>1680000</v>
      </c>
    </row>
    <row r="398" spans="10:16" x14ac:dyDescent="0.25">
      <c r="J398">
        <v>379</v>
      </c>
      <c r="K398" s="48">
        <v>38131</v>
      </c>
      <c r="L398" t="s">
        <v>93</v>
      </c>
      <c r="M398" t="s">
        <v>87</v>
      </c>
      <c r="N398" t="s">
        <v>88</v>
      </c>
      <c r="O398">
        <v>108</v>
      </c>
      <c r="P398" s="49">
        <v>812808</v>
      </c>
    </row>
    <row r="399" spans="10:16" x14ac:dyDescent="0.25">
      <c r="J399">
        <v>380</v>
      </c>
      <c r="K399" s="48">
        <v>38132</v>
      </c>
      <c r="L399" t="s">
        <v>86</v>
      </c>
      <c r="M399" t="s">
        <v>87</v>
      </c>
      <c r="N399" t="s">
        <v>85</v>
      </c>
      <c r="O399">
        <v>269</v>
      </c>
      <c r="P399" s="49">
        <v>2586704</v>
      </c>
    </row>
    <row r="400" spans="10:16" x14ac:dyDescent="0.25">
      <c r="J400">
        <v>381</v>
      </c>
      <c r="K400" s="48">
        <v>38132</v>
      </c>
      <c r="L400" t="s">
        <v>95</v>
      </c>
      <c r="M400" t="s">
        <v>87</v>
      </c>
      <c r="N400" t="s">
        <v>88</v>
      </c>
      <c r="O400">
        <v>123</v>
      </c>
      <c r="P400" s="49">
        <v>775884</v>
      </c>
    </row>
    <row r="401" spans="10:16" x14ac:dyDescent="0.25">
      <c r="J401">
        <v>382</v>
      </c>
      <c r="K401" s="48">
        <v>38133</v>
      </c>
      <c r="L401" t="s">
        <v>90</v>
      </c>
      <c r="M401" t="s">
        <v>84</v>
      </c>
      <c r="N401" t="s">
        <v>85</v>
      </c>
      <c r="O401">
        <v>264</v>
      </c>
      <c r="P401" s="49">
        <v>2582184</v>
      </c>
    </row>
    <row r="402" spans="10:16" x14ac:dyDescent="0.25">
      <c r="J402">
        <v>383</v>
      </c>
      <c r="K402" s="48">
        <v>38133</v>
      </c>
      <c r="L402" t="s">
        <v>92</v>
      </c>
      <c r="M402" t="s">
        <v>84</v>
      </c>
      <c r="N402" t="s">
        <v>85</v>
      </c>
      <c r="O402">
        <v>298</v>
      </c>
      <c r="P402" s="49">
        <v>1331166</v>
      </c>
    </row>
    <row r="403" spans="10:16" x14ac:dyDescent="0.25">
      <c r="J403">
        <v>384</v>
      </c>
      <c r="K403" s="48">
        <v>38133</v>
      </c>
      <c r="L403" t="s">
        <v>83</v>
      </c>
      <c r="M403" t="s">
        <v>87</v>
      </c>
      <c r="N403" t="s">
        <v>94</v>
      </c>
      <c r="O403">
        <v>200</v>
      </c>
      <c r="P403" s="49">
        <v>1823400</v>
      </c>
    </row>
    <row r="404" spans="10:16" x14ac:dyDescent="0.25">
      <c r="J404">
        <v>385</v>
      </c>
      <c r="K404" s="48">
        <v>38133</v>
      </c>
      <c r="L404" t="s">
        <v>83</v>
      </c>
      <c r="M404" t="s">
        <v>87</v>
      </c>
      <c r="N404" t="s">
        <v>94</v>
      </c>
      <c r="O404">
        <v>197</v>
      </c>
      <c r="P404" s="49">
        <v>1746405</v>
      </c>
    </row>
    <row r="405" spans="10:16" x14ac:dyDescent="0.25">
      <c r="J405">
        <v>386</v>
      </c>
      <c r="K405" s="48">
        <v>38133</v>
      </c>
      <c r="L405" t="s">
        <v>83</v>
      </c>
      <c r="M405" t="s">
        <v>84</v>
      </c>
      <c r="N405" t="s">
        <v>88</v>
      </c>
      <c r="O405">
        <v>184</v>
      </c>
      <c r="P405" s="49">
        <v>830760</v>
      </c>
    </row>
    <row r="406" spans="10:16" x14ac:dyDescent="0.25">
      <c r="J406">
        <v>387</v>
      </c>
      <c r="K406" s="48">
        <v>38134</v>
      </c>
      <c r="L406" t="s">
        <v>89</v>
      </c>
      <c r="M406" t="s">
        <v>87</v>
      </c>
      <c r="N406" t="s">
        <v>94</v>
      </c>
      <c r="O406">
        <v>119</v>
      </c>
      <c r="P406" s="49">
        <v>486472</v>
      </c>
    </row>
    <row r="407" spans="10:16" x14ac:dyDescent="0.25">
      <c r="J407">
        <v>388</v>
      </c>
      <c r="K407" s="48">
        <v>38135</v>
      </c>
      <c r="L407" t="s">
        <v>83</v>
      </c>
      <c r="M407" t="s">
        <v>84</v>
      </c>
      <c r="N407" t="s">
        <v>88</v>
      </c>
      <c r="O407">
        <v>137</v>
      </c>
      <c r="P407" s="49">
        <v>835152</v>
      </c>
    </row>
    <row r="408" spans="10:16" x14ac:dyDescent="0.25">
      <c r="J408">
        <v>389</v>
      </c>
      <c r="K408" s="48">
        <v>38136</v>
      </c>
      <c r="L408" t="s">
        <v>89</v>
      </c>
      <c r="M408" t="s">
        <v>84</v>
      </c>
      <c r="N408" t="s">
        <v>91</v>
      </c>
      <c r="O408">
        <v>196</v>
      </c>
      <c r="P408" s="49">
        <v>882784</v>
      </c>
    </row>
    <row r="409" spans="10:16" x14ac:dyDescent="0.25">
      <c r="J409">
        <v>390</v>
      </c>
      <c r="K409" s="48">
        <v>38137</v>
      </c>
      <c r="L409" t="s">
        <v>83</v>
      </c>
      <c r="M409" t="s">
        <v>84</v>
      </c>
      <c r="N409" t="s">
        <v>91</v>
      </c>
      <c r="O409">
        <v>65</v>
      </c>
      <c r="P409" s="49">
        <v>389350</v>
      </c>
    </row>
    <row r="410" spans="10:16" x14ac:dyDescent="0.25">
      <c r="J410">
        <v>391</v>
      </c>
      <c r="K410" s="48">
        <v>38137</v>
      </c>
      <c r="L410" t="s">
        <v>90</v>
      </c>
      <c r="M410" t="s">
        <v>87</v>
      </c>
      <c r="N410" t="s">
        <v>88</v>
      </c>
      <c r="O410">
        <v>300</v>
      </c>
      <c r="P410" s="49">
        <v>1483500</v>
      </c>
    </row>
    <row r="411" spans="10:16" x14ac:dyDescent="0.25">
      <c r="J411">
        <v>392</v>
      </c>
      <c r="K411" s="48">
        <v>38137</v>
      </c>
      <c r="L411" t="s">
        <v>93</v>
      </c>
      <c r="M411" t="s">
        <v>84</v>
      </c>
      <c r="N411" t="s">
        <v>94</v>
      </c>
      <c r="O411">
        <v>202</v>
      </c>
      <c r="P411" s="49">
        <v>1560450</v>
      </c>
    </row>
    <row r="412" spans="10:16" x14ac:dyDescent="0.25">
      <c r="J412">
        <v>393</v>
      </c>
      <c r="K412" s="48">
        <v>38138</v>
      </c>
      <c r="L412" t="s">
        <v>93</v>
      </c>
      <c r="M412" t="s">
        <v>87</v>
      </c>
      <c r="N412" t="s">
        <v>88</v>
      </c>
      <c r="O412">
        <v>225</v>
      </c>
      <c r="P412" s="49">
        <v>1164375</v>
      </c>
    </row>
    <row r="413" spans="10:16" x14ac:dyDescent="0.25">
      <c r="J413">
        <v>394</v>
      </c>
      <c r="K413" s="48">
        <v>38138</v>
      </c>
      <c r="L413" t="s">
        <v>86</v>
      </c>
      <c r="M413" t="s">
        <v>84</v>
      </c>
      <c r="N413" t="s">
        <v>94</v>
      </c>
      <c r="O413">
        <v>203</v>
      </c>
      <c r="P413" s="49">
        <v>946792</v>
      </c>
    </row>
    <row r="414" spans="10:16" x14ac:dyDescent="0.25">
      <c r="J414">
        <v>395</v>
      </c>
      <c r="K414" s="48">
        <v>38138</v>
      </c>
      <c r="L414" t="s">
        <v>95</v>
      </c>
      <c r="M414" t="s">
        <v>84</v>
      </c>
      <c r="N414" t="s">
        <v>88</v>
      </c>
      <c r="O414">
        <v>192</v>
      </c>
      <c r="P414" s="49">
        <v>1159296</v>
      </c>
    </row>
    <row r="415" spans="10:16" x14ac:dyDescent="0.25">
      <c r="J415">
        <v>396</v>
      </c>
      <c r="K415" s="48">
        <v>38138</v>
      </c>
      <c r="L415" t="s">
        <v>83</v>
      </c>
      <c r="M415" t="s">
        <v>84</v>
      </c>
      <c r="N415" t="s">
        <v>85</v>
      </c>
      <c r="O415">
        <v>296</v>
      </c>
      <c r="P415" s="49">
        <v>1602544</v>
      </c>
    </row>
    <row r="416" spans="10:16" x14ac:dyDescent="0.25">
      <c r="J416">
        <v>397</v>
      </c>
      <c r="K416" s="48">
        <v>38139</v>
      </c>
      <c r="L416" t="s">
        <v>83</v>
      </c>
      <c r="M416" t="s">
        <v>87</v>
      </c>
      <c r="N416" t="s">
        <v>94</v>
      </c>
      <c r="O416">
        <v>177</v>
      </c>
      <c r="P416" s="49">
        <v>933321</v>
      </c>
    </row>
    <row r="417" spans="10:16" x14ac:dyDescent="0.25">
      <c r="J417">
        <v>398</v>
      </c>
      <c r="K417" s="48">
        <v>38139</v>
      </c>
      <c r="L417" t="s">
        <v>92</v>
      </c>
      <c r="M417" t="s">
        <v>87</v>
      </c>
      <c r="N417" t="s">
        <v>88</v>
      </c>
      <c r="O417">
        <v>72</v>
      </c>
      <c r="P417" s="49">
        <v>427824</v>
      </c>
    </row>
    <row r="418" spans="10:16" x14ac:dyDescent="0.25">
      <c r="J418">
        <v>399</v>
      </c>
      <c r="K418" s="48">
        <v>38139</v>
      </c>
      <c r="L418" t="s">
        <v>92</v>
      </c>
      <c r="M418" t="s">
        <v>87</v>
      </c>
      <c r="N418" t="s">
        <v>91</v>
      </c>
      <c r="O418">
        <v>65</v>
      </c>
      <c r="P418" s="49">
        <v>483860</v>
      </c>
    </row>
    <row r="419" spans="10:16" x14ac:dyDescent="0.25">
      <c r="J419">
        <v>400</v>
      </c>
      <c r="K419" s="48">
        <v>38139</v>
      </c>
      <c r="L419" t="s">
        <v>83</v>
      </c>
      <c r="M419" t="s">
        <v>87</v>
      </c>
      <c r="N419" t="s">
        <v>91</v>
      </c>
      <c r="O419">
        <v>208</v>
      </c>
      <c r="P419" s="49">
        <v>1225120</v>
      </c>
    </row>
    <row r="420" spans="10:16" x14ac:dyDescent="0.25">
      <c r="J420">
        <v>401</v>
      </c>
      <c r="K420" s="48">
        <v>38140</v>
      </c>
      <c r="L420" t="s">
        <v>93</v>
      </c>
      <c r="M420" t="s">
        <v>84</v>
      </c>
      <c r="N420" t="s">
        <v>94</v>
      </c>
      <c r="O420">
        <v>271</v>
      </c>
      <c r="P420" s="49">
        <v>2682900</v>
      </c>
    </row>
    <row r="421" spans="10:16" x14ac:dyDescent="0.25">
      <c r="J421">
        <v>402</v>
      </c>
      <c r="K421" s="48">
        <v>38140</v>
      </c>
      <c r="L421" t="s">
        <v>92</v>
      </c>
      <c r="M421" t="s">
        <v>84</v>
      </c>
      <c r="N421" t="s">
        <v>85</v>
      </c>
      <c r="O421">
        <v>278</v>
      </c>
      <c r="P421" s="49">
        <v>2188138</v>
      </c>
    </row>
    <row r="422" spans="10:16" x14ac:dyDescent="0.25">
      <c r="J422">
        <v>403</v>
      </c>
      <c r="K422" s="48">
        <v>38140</v>
      </c>
      <c r="L422" t="s">
        <v>93</v>
      </c>
      <c r="M422" t="s">
        <v>87</v>
      </c>
      <c r="N422" t="s">
        <v>88</v>
      </c>
      <c r="O422">
        <v>90</v>
      </c>
      <c r="P422" s="49">
        <v>770040</v>
      </c>
    </row>
    <row r="423" spans="10:16" x14ac:dyDescent="0.25">
      <c r="J423">
        <v>404</v>
      </c>
      <c r="K423" s="48">
        <v>38141</v>
      </c>
      <c r="L423" t="s">
        <v>95</v>
      </c>
      <c r="M423" t="s">
        <v>84</v>
      </c>
      <c r="N423" t="s">
        <v>85</v>
      </c>
      <c r="O423">
        <v>72</v>
      </c>
      <c r="P423" s="49">
        <v>702576</v>
      </c>
    </row>
    <row r="424" spans="10:16" x14ac:dyDescent="0.25">
      <c r="J424">
        <v>405</v>
      </c>
      <c r="K424" s="48">
        <v>38141</v>
      </c>
      <c r="L424" t="s">
        <v>86</v>
      </c>
      <c r="M424" t="s">
        <v>87</v>
      </c>
      <c r="N424" t="s">
        <v>91</v>
      </c>
      <c r="O424">
        <v>224</v>
      </c>
      <c r="P424" s="49">
        <v>1804992</v>
      </c>
    </row>
    <row r="425" spans="10:16" x14ac:dyDescent="0.25">
      <c r="J425">
        <v>406</v>
      </c>
      <c r="K425" s="48">
        <v>38141</v>
      </c>
      <c r="L425" t="s">
        <v>89</v>
      </c>
      <c r="M425" t="s">
        <v>87</v>
      </c>
      <c r="N425" t="s">
        <v>94</v>
      </c>
      <c r="O425">
        <v>207</v>
      </c>
      <c r="P425" s="49">
        <v>1883700</v>
      </c>
    </row>
    <row r="426" spans="10:16" x14ac:dyDescent="0.25">
      <c r="J426">
        <v>407</v>
      </c>
      <c r="K426" s="48">
        <v>38141</v>
      </c>
      <c r="L426" t="s">
        <v>92</v>
      </c>
      <c r="M426" t="s">
        <v>87</v>
      </c>
      <c r="N426" t="s">
        <v>94</v>
      </c>
      <c r="O426">
        <v>162</v>
      </c>
      <c r="P426" s="49">
        <v>1383480</v>
      </c>
    </row>
    <row r="427" spans="10:16" x14ac:dyDescent="0.25">
      <c r="J427">
        <v>408</v>
      </c>
      <c r="K427" s="48">
        <v>38142</v>
      </c>
      <c r="L427" t="s">
        <v>92</v>
      </c>
      <c r="M427" t="s">
        <v>84</v>
      </c>
      <c r="N427" t="s">
        <v>94</v>
      </c>
      <c r="O427">
        <v>74</v>
      </c>
      <c r="P427" s="49">
        <v>729788</v>
      </c>
    </row>
    <row r="428" spans="10:16" x14ac:dyDescent="0.25">
      <c r="J428">
        <v>409</v>
      </c>
      <c r="K428" s="48">
        <v>38142</v>
      </c>
      <c r="L428" t="s">
        <v>83</v>
      </c>
      <c r="M428" t="s">
        <v>87</v>
      </c>
      <c r="N428" t="s">
        <v>88</v>
      </c>
      <c r="O428">
        <v>293</v>
      </c>
      <c r="P428" s="49">
        <v>1750089</v>
      </c>
    </row>
    <row r="429" spans="10:16" x14ac:dyDescent="0.25">
      <c r="J429">
        <v>410</v>
      </c>
      <c r="K429" s="48">
        <v>38142</v>
      </c>
      <c r="L429" t="s">
        <v>93</v>
      </c>
      <c r="M429" t="s">
        <v>84</v>
      </c>
      <c r="N429" t="s">
        <v>85</v>
      </c>
      <c r="O429">
        <v>46</v>
      </c>
      <c r="P429" s="49">
        <v>435252</v>
      </c>
    </row>
    <row r="430" spans="10:16" x14ac:dyDescent="0.25">
      <c r="J430">
        <v>411</v>
      </c>
      <c r="K430" s="48">
        <v>38143</v>
      </c>
      <c r="L430" t="s">
        <v>86</v>
      </c>
      <c r="M430" t="s">
        <v>87</v>
      </c>
      <c r="N430" t="s">
        <v>88</v>
      </c>
      <c r="O430">
        <v>90</v>
      </c>
      <c r="P430" s="49">
        <v>742770</v>
      </c>
    </row>
    <row r="431" spans="10:16" x14ac:dyDescent="0.25">
      <c r="J431">
        <v>412</v>
      </c>
      <c r="K431" s="48">
        <v>38143</v>
      </c>
      <c r="L431" t="s">
        <v>86</v>
      </c>
      <c r="M431" t="s">
        <v>87</v>
      </c>
      <c r="N431" t="s">
        <v>88</v>
      </c>
      <c r="O431">
        <v>148</v>
      </c>
      <c r="P431" s="49">
        <v>1268952</v>
      </c>
    </row>
    <row r="432" spans="10:16" x14ac:dyDescent="0.25">
      <c r="J432">
        <v>413</v>
      </c>
      <c r="K432" s="48">
        <v>38143</v>
      </c>
      <c r="L432" t="s">
        <v>93</v>
      </c>
      <c r="M432" t="s">
        <v>84</v>
      </c>
      <c r="N432" t="s">
        <v>91</v>
      </c>
      <c r="O432">
        <v>189</v>
      </c>
      <c r="P432" s="49">
        <v>1527498</v>
      </c>
    </row>
    <row r="433" spans="10:16" x14ac:dyDescent="0.25">
      <c r="J433">
        <v>414</v>
      </c>
      <c r="K433" s="48">
        <v>38144</v>
      </c>
      <c r="L433" t="s">
        <v>90</v>
      </c>
      <c r="M433" t="s">
        <v>87</v>
      </c>
      <c r="N433" t="s">
        <v>85</v>
      </c>
      <c r="O433">
        <v>56</v>
      </c>
      <c r="P433" s="49">
        <v>425432</v>
      </c>
    </row>
    <row r="434" spans="10:16" x14ac:dyDescent="0.25">
      <c r="J434">
        <v>415</v>
      </c>
      <c r="K434" s="48">
        <v>38144</v>
      </c>
      <c r="L434" t="s">
        <v>83</v>
      </c>
      <c r="M434" t="s">
        <v>87</v>
      </c>
      <c r="N434" t="s">
        <v>94</v>
      </c>
      <c r="O434">
        <v>46</v>
      </c>
      <c r="P434" s="49">
        <v>386584</v>
      </c>
    </row>
    <row r="435" spans="10:16" x14ac:dyDescent="0.25">
      <c r="J435">
        <v>416</v>
      </c>
      <c r="K435" s="48">
        <v>38145</v>
      </c>
      <c r="L435" t="s">
        <v>89</v>
      </c>
      <c r="M435" t="s">
        <v>84</v>
      </c>
      <c r="N435" t="s">
        <v>85</v>
      </c>
      <c r="O435">
        <v>201</v>
      </c>
      <c r="P435" s="49">
        <v>1287807</v>
      </c>
    </row>
    <row r="436" spans="10:16" x14ac:dyDescent="0.25">
      <c r="J436">
        <v>417</v>
      </c>
      <c r="K436" s="48">
        <v>38145</v>
      </c>
      <c r="L436" t="s">
        <v>90</v>
      </c>
      <c r="M436" t="s">
        <v>87</v>
      </c>
      <c r="N436" t="s">
        <v>94</v>
      </c>
      <c r="O436">
        <v>254</v>
      </c>
      <c r="P436" s="49">
        <v>1381506</v>
      </c>
    </row>
    <row r="437" spans="10:16" x14ac:dyDescent="0.25">
      <c r="J437">
        <v>418</v>
      </c>
      <c r="K437" s="48">
        <v>38145</v>
      </c>
      <c r="L437" t="s">
        <v>92</v>
      </c>
      <c r="M437" t="s">
        <v>84</v>
      </c>
      <c r="N437" t="s">
        <v>88</v>
      </c>
      <c r="O437">
        <v>287</v>
      </c>
      <c r="P437" s="49">
        <v>2452989</v>
      </c>
    </row>
    <row r="438" spans="10:16" x14ac:dyDescent="0.25">
      <c r="J438">
        <v>419</v>
      </c>
      <c r="K438" s="48">
        <v>38145</v>
      </c>
      <c r="L438" t="s">
        <v>83</v>
      </c>
      <c r="M438" t="s">
        <v>87</v>
      </c>
      <c r="N438" t="s">
        <v>88</v>
      </c>
      <c r="O438">
        <v>174</v>
      </c>
      <c r="P438" s="49">
        <v>952302</v>
      </c>
    </row>
    <row r="439" spans="10:16" x14ac:dyDescent="0.25">
      <c r="J439">
        <v>420</v>
      </c>
      <c r="K439" s="48">
        <v>38146</v>
      </c>
      <c r="L439" t="s">
        <v>93</v>
      </c>
      <c r="M439" t="s">
        <v>84</v>
      </c>
      <c r="N439" t="s">
        <v>85</v>
      </c>
      <c r="O439">
        <v>114</v>
      </c>
      <c r="P439" s="49">
        <v>1019160</v>
      </c>
    </row>
    <row r="440" spans="10:16" x14ac:dyDescent="0.25">
      <c r="J440">
        <v>421</v>
      </c>
      <c r="K440" s="48">
        <v>38147</v>
      </c>
      <c r="L440" t="s">
        <v>90</v>
      </c>
      <c r="M440" t="s">
        <v>87</v>
      </c>
      <c r="N440" t="s">
        <v>94</v>
      </c>
      <c r="O440">
        <v>135</v>
      </c>
      <c r="P440" s="49">
        <v>1209735</v>
      </c>
    </row>
    <row r="441" spans="10:16" x14ac:dyDescent="0.25">
      <c r="J441">
        <v>422</v>
      </c>
      <c r="K441" s="48">
        <v>38147</v>
      </c>
      <c r="L441" t="s">
        <v>93</v>
      </c>
      <c r="M441" t="s">
        <v>84</v>
      </c>
      <c r="N441" t="s">
        <v>94</v>
      </c>
      <c r="O441">
        <v>126</v>
      </c>
      <c r="P441" s="49">
        <v>637308</v>
      </c>
    </row>
    <row r="442" spans="10:16" x14ac:dyDescent="0.25">
      <c r="J442">
        <v>423</v>
      </c>
      <c r="K442" s="48">
        <v>38147</v>
      </c>
      <c r="L442" t="s">
        <v>86</v>
      </c>
      <c r="M442" t="s">
        <v>84</v>
      </c>
      <c r="N442" t="s">
        <v>94</v>
      </c>
      <c r="O442">
        <v>260</v>
      </c>
      <c r="P442" s="49">
        <v>1090180</v>
      </c>
    </row>
    <row r="443" spans="10:16" x14ac:dyDescent="0.25">
      <c r="J443">
        <v>424</v>
      </c>
      <c r="K443" s="48">
        <v>38147</v>
      </c>
      <c r="L443" t="s">
        <v>83</v>
      </c>
      <c r="M443" t="s">
        <v>87</v>
      </c>
      <c r="N443" t="s">
        <v>94</v>
      </c>
      <c r="O443">
        <v>261</v>
      </c>
      <c r="P443" s="49">
        <v>1945755</v>
      </c>
    </row>
    <row r="444" spans="10:16" x14ac:dyDescent="0.25">
      <c r="J444">
        <v>425</v>
      </c>
      <c r="K444" s="48">
        <v>38147</v>
      </c>
      <c r="L444" t="s">
        <v>95</v>
      </c>
      <c r="M444" t="s">
        <v>87</v>
      </c>
      <c r="N444" t="s">
        <v>88</v>
      </c>
      <c r="O444">
        <v>173</v>
      </c>
      <c r="P444" s="49">
        <v>1117753</v>
      </c>
    </row>
    <row r="445" spans="10:16" x14ac:dyDescent="0.25">
      <c r="J445">
        <v>426</v>
      </c>
      <c r="K445" s="48">
        <v>38147</v>
      </c>
      <c r="L445" t="s">
        <v>89</v>
      </c>
      <c r="M445" t="s">
        <v>84</v>
      </c>
      <c r="N445" t="s">
        <v>85</v>
      </c>
      <c r="O445">
        <v>207</v>
      </c>
      <c r="P445" s="49">
        <v>1042659</v>
      </c>
    </row>
    <row r="446" spans="10:16" x14ac:dyDescent="0.25">
      <c r="J446">
        <v>427</v>
      </c>
      <c r="K446" s="48">
        <v>38148</v>
      </c>
      <c r="L446" t="s">
        <v>93</v>
      </c>
      <c r="M446" t="s">
        <v>87</v>
      </c>
      <c r="N446" t="s">
        <v>94</v>
      </c>
      <c r="O446">
        <v>81</v>
      </c>
      <c r="P446" s="49">
        <v>583362</v>
      </c>
    </row>
    <row r="447" spans="10:16" x14ac:dyDescent="0.25">
      <c r="J447">
        <v>428</v>
      </c>
      <c r="K447" s="48">
        <v>38148</v>
      </c>
      <c r="L447" t="s">
        <v>93</v>
      </c>
      <c r="M447" t="s">
        <v>84</v>
      </c>
      <c r="N447" t="s">
        <v>85</v>
      </c>
      <c r="O447">
        <v>52</v>
      </c>
      <c r="P447" s="49">
        <v>338364</v>
      </c>
    </row>
    <row r="448" spans="10:16" x14ac:dyDescent="0.25">
      <c r="J448">
        <v>429</v>
      </c>
      <c r="K448" s="48">
        <v>38149</v>
      </c>
      <c r="L448" t="s">
        <v>83</v>
      </c>
      <c r="M448" t="s">
        <v>84</v>
      </c>
      <c r="N448" t="s">
        <v>91</v>
      </c>
      <c r="O448">
        <v>271</v>
      </c>
      <c r="P448" s="49">
        <v>2190493</v>
      </c>
    </row>
    <row r="449" spans="10:16" x14ac:dyDescent="0.25">
      <c r="J449">
        <v>430</v>
      </c>
      <c r="K449" s="48">
        <v>38149</v>
      </c>
      <c r="L449" t="s">
        <v>89</v>
      </c>
      <c r="M449" t="s">
        <v>87</v>
      </c>
      <c r="N449" t="s">
        <v>91</v>
      </c>
      <c r="O449">
        <v>249</v>
      </c>
      <c r="P449" s="49">
        <v>1388175</v>
      </c>
    </row>
    <row r="450" spans="10:16" x14ac:dyDescent="0.25">
      <c r="J450">
        <v>431</v>
      </c>
      <c r="K450" s="48">
        <v>38149</v>
      </c>
      <c r="L450" t="s">
        <v>90</v>
      </c>
      <c r="M450" t="s">
        <v>84</v>
      </c>
      <c r="N450" t="s">
        <v>91</v>
      </c>
      <c r="O450">
        <v>153</v>
      </c>
      <c r="P450" s="49">
        <v>1116441</v>
      </c>
    </row>
    <row r="451" spans="10:16" x14ac:dyDescent="0.25">
      <c r="J451">
        <v>432</v>
      </c>
      <c r="K451" s="48">
        <v>38150</v>
      </c>
      <c r="L451" t="s">
        <v>89</v>
      </c>
      <c r="M451" t="s">
        <v>84</v>
      </c>
      <c r="N451" t="s">
        <v>85</v>
      </c>
      <c r="O451">
        <v>205</v>
      </c>
      <c r="P451" s="49">
        <v>1980300</v>
      </c>
    </row>
    <row r="452" spans="10:16" x14ac:dyDescent="0.25">
      <c r="J452">
        <v>433</v>
      </c>
      <c r="K452" s="48">
        <v>38151</v>
      </c>
      <c r="L452" t="s">
        <v>90</v>
      </c>
      <c r="M452" t="s">
        <v>87</v>
      </c>
      <c r="N452" t="s">
        <v>91</v>
      </c>
      <c r="O452">
        <v>144</v>
      </c>
      <c r="P452" s="49">
        <v>852480</v>
      </c>
    </row>
    <row r="453" spans="10:16" x14ac:dyDescent="0.25">
      <c r="J453">
        <v>434</v>
      </c>
      <c r="K453" s="48">
        <v>38151</v>
      </c>
      <c r="L453" t="s">
        <v>86</v>
      </c>
      <c r="M453" t="s">
        <v>84</v>
      </c>
      <c r="N453" t="s">
        <v>91</v>
      </c>
      <c r="O453">
        <v>246</v>
      </c>
      <c r="P453" s="49">
        <v>1898628</v>
      </c>
    </row>
    <row r="454" spans="10:16" x14ac:dyDescent="0.25">
      <c r="J454">
        <v>435</v>
      </c>
      <c r="K454" s="48">
        <v>38151</v>
      </c>
      <c r="L454" t="s">
        <v>92</v>
      </c>
      <c r="M454" t="s">
        <v>84</v>
      </c>
      <c r="N454" t="s">
        <v>88</v>
      </c>
      <c r="O454">
        <v>233</v>
      </c>
      <c r="P454" s="49">
        <v>1541528</v>
      </c>
    </row>
    <row r="455" spans="10:16" x14ac:dyDescent="0.25">
      <c r="J455">
        <v>436</v>
      </c>
      <c r="K455" s="48">
        <v>38151</v>
      </c>
      <c r="L455" t="s">
        <v>90</v>
      </c>
      <c r="M455" t="s">
        <v>87</v>
      </c>
      <c r="N455" t="s">
        <v>91</v>
      </c>
      <c r="O455">
        <v>105</v>
      </c>
      <c r="P455" s="49">
        <v>783195</v>
      </c>
    </row>
    <row r="456" spans="10:16" x14ac:dyDescent="0.25">
      <c r="J456">
        <v>437</v>
      </c>
      <c r="K456" s="48">
        <v>38152</v>
      </c>
      <c r="L456" t="s">
        <v>83</v>
      </c>
      <c r="M456" t="s">
        <v>87</v>
      </c>
      <c r="N456" t="s">
        <v>88</v>
      </c>
      <c r="O456">
        <v>107</v>
      </c>
      <c r="P456" s="49">
        <v>909821</v>
      </c>
    </row>
    <row r="457" spans="10:16" x14ac:dyDescent="0.25">
      <c r="J457">
        <v>438</v>
      </c>
      <c r="K457" s="48">
        <v>38152</v>
      </c>
      <c r="L457" t="s">
        <v>89</v>
      </c>
      <c r="M457" t="s">
        <v>87</v>
      </c>
      <c r="N457" t="s">
        <v>94</v>
      </c>
      <c r="O457">
        <v>158</v>
      </c>
      <c r="P457" s="49">
        <v>1543344</v>
      </c>
    </row>
    <row r="458" spans="10:16" x14ac:dyDescent="0.25">
      <c r="J458">
        <v>439</v>
      </c>
      <c r="K458" s="48">
        <v>38153</v>
      </c>
      <c r="L458" t="s">
        <v>89</v>
      </c>
      <c r="M458" t="s">
        <v>84</v>
      </c>
      <c r="N458" t="s">
        <v>88</v>
      </c>
      <c r="O458">
        <v>298</v>
      </c>
      <c r="P458" s="49">
        <v>2524358</v>
      </c>
    </row>
    <row r="459" spans="10:16" x14ac:dyDescent="0.25">
      <c r="J459">
        <v>440</v>
      </c>
      <c r="K459" s="48">
        <v>38153</v>
      </c>
      <c r="L459" t="s">
        <v>83</v>
      </c>
      <c r="M459" t="s">
        <v>87</v>
      </c>
      <c r="N459" t="s">
        <v>94</v>
      </c>
      <c r="O459">
        <v>115</v>
      </c>
      <c r="P459" s="49">
        <v>1077665</v>
      </c>
    </row>
    <row r="460" spans="10:16" x14ac:dyDescent="0.25">
      <c r="J460">
        <v>441</v>
      </c>
      <c r="K460" s="48">
        <v>38154</v>
      </c>
      <c r="L460" t="s">
        <v>83</v>
      </c>
      <c r="M460" t="s">
        <v>87</v>
      </c>
      <c r="N460" t="s">
        <v>94</v>
      </c>
      <c r="O460">
        <v>102</v>
      </c>
      <c r="P460" s="49">
        <v>790602</v>
      </c>
    </row>
    <row r="461" spans="10:16" x14ac:dyDescent="0.25">
      <c r="J461">
        <v>442</v>
      </c>
      <c r="K461" s="48">
        <v>38154</v>
      </c>
      <c r="L461" t="s">
        <v>83</v>
      </c>
      <c r="M461" t="s">
        <v>87</v>
      </c>
      <c r="N461" t="s">
        <v>91</v>
      </c>
      <c r="O461">
        <v>211</v>
      </c>
      <c r="P461" s="49">
        <v>872063</v>
      </c>
    </row>
    <row r="462" spans="10:16" x14ac:dyDescent="0.25">
      <c r="J462">
        <v>443</v>
      </c>
      <c r="K462" s="48">
        <v>38155</v>
      </c>
      <c r="L462" t="s">
        <v>93</v>
      </c>
      <c r="M462" t="s">
        <v>84</v>
      </c>
      <c r="N462" t="s">
        <v>88</v>
      </c>
      <c r="O462">
        <v>245</v>
      </c>
      <c r="P462" s="49">
        <v>1001070</v>
      </c>
    </row>
    <row r="463" spans="10:16" x14ac:dyDescent="0.25">
      <c r="J463">
        <v>444</v>
      </c>
      <c r="K463" s="48">
        <v>38155</v>
      </c>
      <c r="L463" t="s">
        <v>83</v>
      </c>
      <c r="M463" t="s">
        <v>87</v>
      </c>
      <c r="N463" t="s">
        <v>94</v>
      </c>
      <c r="O463">
        <v>102</v>
      </c>
      <c r="P463" s="49">
        <v>1005312</v>
      </c>
    </row>
    <row r="464" spans="10:16" x14ac:dyDescent="0.25">
      <c r="J464">
        <v>445</v>
      </c>
      <c r="K464" s="48">
        <v>38155</v>
      </c>
      <c r="L464" t="s">
        <v>86</v>
      </c>
      <c r="M464" t="s">
        <v>84</v>
      </c>
      <c r="N464" t="s">
        <v>88</v>
      </c>
      <c r="O464">
        <v>44</v>
      </c>
      <c r="P464" s="49">
        <v>189156</v>
      </c>
    </row>
    <row r="465" spans="10:16" x14ac:dyDescent="0.25">
      <c r="J465">
        <v>446</v>
      </c>
      <c r="K465" s="48">
        <v>38155</v>
      </c>
      <c r="L465" t="s">
        <v>95</v>
      </c>
      <c r="M465" t="s">
        <v>84</v>
      </c>
      <c r="N465" t="s">
        <v>91</v>
      </c>
      <c r="O465">
        <v>57</v>
      </c>
      <c r="P465" s="49">
        <v>419178</v>
      </c>
    </row>
    <row r="466" spans="10:16" x14ac:dyDescent="0.25">
      <c r="J466">
        <v>447</v>
      </c>
      <c r="K466" s="48">
        <v>38155</v>
      </c>
      <c r="L466" t="s">
        <v>83</v>
      </c>
      <c r="M466" t="s">
        <v>84</v>
      </c>
      <c r="N466" t="s">
        <v>85</v>
      </c>
      <c r="O466">
        <v>263</v>
      </c>
      <c r="P466" s="49">
        <v>1779458</v>
      </c>
    </row>
    <row r="467" spans="10:16" x14ac:dyDescent="0.25">
      <c r="J467">
        <v>448</v>
      </c>
      <c r="K467" s="48">
        <v>38155</v>
      </c>
      <c r="L467" t="s">
        <v>86</v>
      </c>
      <c r="M467" t="s">
        <v>84</v>
      </c>
      <c r="N467" t="s">
        <v>88</v>
      </c>
      <c r="O467">
        <v>234</v>
      </c>
      <c r="P467" s="49">
        <v>1159470</v>
      </c>
    </row>
    <row r="468" spans="10:16" x14ac:dyDescent="0.25">
      <c r="J468">
        <v>449</v>
      </c>
      <c r="K468" s="48">
        <v>38155</v>
      </c>
      <c r="L468" t="s">
        <v>86</v>
      </c>
      <c r="M468" t="s">
        <v>87</v>
      </c>
      <c r="N468" t="s">
        <v>88</v>
      </c>
      <c r="O468">
        <v>118</v>
      </c>
      <c r="P468" s="49">
        <v>788948</v>
      </c>
    </row>
    <row r="469" spans="10:16" x14ac:dyDescent="0.25">
      <c r="J469">
        <v>450</v>
      </c>
      <c r="K469" s="48">
        <v>38156</v>
      </c>
      <c r="L469" t="s">
        <v>92</v>
      </c>
      <c r="M469" t="s">
        <v>84</v>
      </c>
      <c r="N469" t="s">
        <v>85</v>
      </c>
      <c r="O469">
        <v>248</v>
      </c>
      <c r="P469" s="49">
        <v>1674744</v>
      </c>
    </row>
    <row r="470" spans="10:16" x14ac:dyDescent="0.25">
      <c r="J470">
        <v>451</v>
      </c>
      <c r="K470" s="48">
        <v>38156</v>
      </c>
      <c r="L470" t="s">
        <v>89</v>
      </c>
      <c r="M470" t="s">
        <v>87</v>
      </c>
      <c r="N470" t="s">
        <v>94</v>
      </c>
      <c r="O470">
        <v>54</v>
      </c>
      <c r="P470" s="49">
        <v>406998</v>
      </c>
    </row>
    <row r="471" spans="10:16" x14ac:dyDescent="0.25">
      <c r="J471">
        <v>452</v>
      </c>
      <c r="K471" s="48">
        <v>38157</v>
      </c>
      <c r="L471" t="s">
        <v>90</v>
      </c>
      <c r="M471" t="s">
        <v>87</v>
      </c>
      <c r="N471" t="s">
        <v>85</v>
      </c>
      <c r="O471">
        <v>215</v>
      </c>
      <c r="P471" s="49">
        <v>2097970</v>
      </c>
    </row>
    <row r="472" spans="10:16" x14ac:dyDescent="0.25">
      <c r="J472">
        <v>453</v>
      </c>
      <c r="K472" s="48">
        <v>38157</v>
      </c>
      <c r="L472" t="s">
        <v>90</v>
      </c>
      <c r="M472" t="s">
        <v>87</v>
      </c>
      <c r="N472" t="s">
        <v>88</v>
      </c>
      <c r="O472">
        <v>185</v>
      </c>
      <c r="P472" s="49">
        <v>1616900</v>
      </c>
    </row>
    <row r="473" spans="10:16" x14ac:dyDescent="0.25">
      <c r="J473">
        <v>454</v>
      </c>
      <c r="K473" s="48">
        <v>38157</v>
      </c>
      <c r="L473" t="s">
        <v>89</v>
      </c>
      <c r="M473" t="s">
        <v>84</v>
      </c>
      <c r="N473" t="s">
        <v>94</v>
      </c>
      <c r="O473">
        <v>72</v>
      </c>
      <c r="P473" s="49">
        <v>458568</v>
      </c>
    </row>
    <row r="474" spans="10:16" x14ac:dyDescent="0.25">
      <c r="J474">
        <v>455</v>
      </c>
      <c r="K474" s="48">
        <v>38158</v>
      </c>
      <c r="L474" t="s">
        <v>83</v>
      </c>
      <c r="M474" t="s">
        <v>84</v>
      </c>
      <c r="N474" t="s">
        <v>94</v>
      </c>
      <c r="O474">
        <v>244</v>
      </c>
      <c r="P474" s="49">
        <v>2439512</v>
      </c>
    </row>
    <row r="475" spans="10:16" x14ac:dyDescent="0.25">
      <c r="J475">
        <v>456</v>
      </c>
      <c r="K475" s="48">
        <v>38158</v>
      </c>
      <c r="L475" t="s">
        <v>93</v>
      </c>
      <c r="M475" t="s">
        <v>87</v>
      </c>
      <c r="N475" t="s">
        <v>85</v>
      </c>
      <c r="O475">
        <v>195</v>
      </c>
      <c r="P475" s="49">
        <v>1797120</v>
      </c>
    </row>
    <row r="476" spans="10:16" x14ac:dyDescent="0.25">
      <c r="J476">
        <v>457</v>
      </c>
      <c r="K476" s="48">
        <v>38158</v>
      </c>
      <c r="L476" t="s">
        <v>90</v>
      </c>
      <c r="M476" t="s">
        <v>84</v>
      </c>
      <c r="N476" t="s">
        <v>85</v>
      </c>
      <c r="O476">
        <v>104</v>
      </c>
      <c r="P476" s="49">
        <v>511680</v>
      </c>
    </row>
    <row r="477" spans="10:16" x14ac:dyDescent="0.25">
      <c r="J477">
        <v>458</v>
      </c>
      <c r="K477" s="48">
        <v>38158</v>
      </c>
      <c r="L477" t="s">
        <v>93</v>
      </c>
      <c r="M477" t="s">
        <v>84</v>
      </c>
      <c r="N477" t="s">
        <v>94</v>
      </c>
      <c r="O477">
        <v>71</v>
      </c>
      <c r="P477" s="49">
        <v>587880</v>
      </c>
    </row>
    <row r="478" spans="10:16" x14ac:dyDescent="0.25">
      <c r="J478">
        <v>459</v>
      </c>
      <c r="K478" s="48">
        <v>38159</v>
      </c>
      <c r="L478" t="s">
        <v>89</v>
      </c>
      <c r="M478" t="s">
        <v>87</v>
      </c>
      <c r="N478" t="s">
        <v>88</v>
      </c>
      <c r="O478">
        <v>107</v>
      </c>
      <c r="P478" s="49">
        <v>590426</v>
      </c>
    </row>
    <row r="479" spans="10:16" x14ac:dyDescent="0.25">
      <c r="J479">
        <v>460</v>
      </c>
      <c r="K479" s="48">
        <v>38160</v>
      </c>
      <c r="L479" t="s">
        <v>89</v>
      </c>
      <c r="M479" t="s">
        <v>84</v>
      </c>
      <c r="N479" t="s">
        <v>94</v>
      </c>
      <c r="O479">
        <v>77</v>
      </c>
      <c r="P479" s="49">
        <v>322322</v>
      </c>
    </row>
    <row r="480" spans="10:16" x14ac:dyDescent="0.25">
      <c r="J480">
        <v>461</v>
      </c>
      <c r="K480" s="48">
        <v>38160</v>
      </c>
      <c r="L480" t="s">
        <v>95</v>
      </c>
      <c r="M480" t="s">
        <v>87</v>
      </c>
      <c r="N480" t="s">
        <v>88</v>
      </c>
      <c r="O480">
        <v>90</v>
      </c>
      <c r="P480" s="49">
        <v>412740</v>
      </c>
    </row>
    <row r="481" spans="10:16" x14ac:dyDescent="0.25">
      <c r="J481">
        <v>462</v>
      </c>
      <c r="K481" s="48">
        <v>38160</v>
      </c>
      <c r="L481" t="s">
        <v>89</v>
      </c>
      <c r="M481" t="s">
        <v>84</v>
      </c>
      <c r="N481" t="s">
        <v>85</v>
      </c>
      <c r="O481">
        <v>204</v>
      </c>
      <c r="P481" s="49">
        <v>924732</v>
      </c>
    </row>
    <row r="482" spans="10:16" x14ac:dyDescent="0.25">
      <c r="J482">
        <v>463</v>
      </c>
      <c r="K482" s="48">
        <v>38161</v>
      </c>
      <c r="L482" t="s">
        <v>95</v>
      </c>
      <c r="M482" t="s">
        <v>87</v>
      </c>
      <c r="N482" t="s">
        <v>88</v>
      </c>
      <c r="O482">
        <v>214</v>
      </c>
      <c r="P482" s="49">
        <v>1962380</v>
      </c>
    </row>
    <row r="483" spans="10:16" x14ac:dyDescent="0.25">
      <c r="J483">
        <v>464</v>
      </c>
      <c r="K483" s="48">
        <v>38162</v>
      </c>
      <c r="L483" t="s">
        <v>95</v>
      </c>
      <c r="M483" t="s">
        <v>84</v>
      </c>
      <c r="N483" t="s">
        <v>88</v>
      </c>
      <c r="O483">
        <v>143</v>
      </c>
      <c r="P483" s="49">
        <v>836836</v>
      </c>
    </row>
    <row r="484" spans="10:16" x14ac:dyDescent="0.25">
      <c r="J484">
        <v>465</v>
      </c>
      <c r="K484" s="48">
        <v>38162</v>
      </c>
      <c r="L484" t="s">
        <v>92</v>
      </c>
      <c r="M484" t="s">
        <v>84</v>
      </c>
      <c r="N484" t="s">
        <v>85</v>
      </c>
      <c r="O484">
        <v>268</v>
      </c>
      <c r="P484" s="49">
        <v>2628812</v>
      </c>
    </row>
    <row r="485" spans="10:16" x14ac:dyDescent="0.25">
      <c r="J485">
        <v>466</v>
      </c>
      <c r="K485" s="48">
        <v>38162</v>
      </c>
      <c r="L485" t="s">
        <v>86</v>
      </c>
      <c r="M485" t="s">
        <v>84</v>
      </c>
      <c r="N485" t="s">
        <v>91</v>
      </c>
      <c r="O485">
        <v>44</v>
      </c>
      <c r="P485" s="49">
        <v>242704</v>
      </c>
    </row>
    <row r="486" spans="10:16" x14ac:dyDescent="0.25">
      <c r="J486">
        <v>467</v>
      </c>
      <c r="K486" s="48">
        <v>38162</v>
      </c>
      <c r="L486" t="s">
        <v>86</v>
      </c>
      <c r="M486" t="s">
        <v>87</v>
      </c>
      <c r="N486" t="s">
        <v>88</v>
      </c>
      <c r="O486">
        <v>126</v>
      </c>
      <c r="P486" s="49">
        <v>520758</v>
      </c>
    </row>
    <row r="487" spans="10:16" x14ac:dyDescent="0.25">
      <c r="J487">
        <v>468</v>
      </c>
      <c r="K487" s="48">
        <v>38162</v>
      </c>
      <c r="L487" t="s">
        <v>86</v>
      </c>
      <c r="M487" t="s">
        <v>87</v>
      </c>
      <c r="N487" t="s">
        <v>91</v>
      </c>
      <c r="O487">
        <v>215</v>
      </c>
      <c r="P487" s="49">
        <v>870105</v>
      </c>
    </row>
    <row r="488" spans="10:16" x14ac:dyDescent="0.25">
      <c r="J488">
        <v>469</v>
      </c>
      <c r="K488" s="48">
        <v>38162</v>
      </c>
      <c r="L488" t="s">
        <v>95</v>
      </c>
      <c r="M488" t="s">
        <v>84</v>
      </c>
      <c r="N488" t="s">
        <v>94</v>
      </c>
      <c r="O488">
        <v>65</v>
      </c>
      <c r="P488" s="49">
        <v>546780</v>
      </c>
    </row>
    <row r="489" spans="10:16" x14ac:dyDescent="0.25">
      <c r="J489">
        <v>470</v>
      </c>
      <c r="K489" s="48">
        <v>38163</v>
      </c>
      <c r="L489" t="s">
        <v>83</v>
      </c>
      <c r="M489" t="s">
        <v>87</v>
      </c>
      <c r="N489" t="s">
        <v>91</v>
      </c>
      <c r="O489">
        <v>191</v>
      </c>
      <c r="P489" s="49">
        <v>875544</v>
      </c>
    </row>
    <row r="490" spans="10:16" x14ac:dyDescent="0.25">
      <c r="J490">
        <v>471</v>
      </c>
      <c r="K490" s="48">
        <v>38163</v>
      </c>
      <c r="L490" t="s">
        <v>95</v>
      </c>
      <c r="M490" t="s">
        <v>87</v>
      </c>
      <c r="N490" t="s">
        <v>85</v>
      </c>
      <c r="O490">
        <v>155</v>
      </c>
      <c r="P490" s="49">
        <v>801350</v>
      </c>
    </row>
    <row r="491" spans="10:16" x14ac:dyDescent="0.25">
      <c r="J491">
        <v>472</v>
      </c>
      <c r="K491" s="48">
        <v>38163</v>
      </c>
      <c r="L491" t="s">
        <v>90</v>
      </c>
      <c r="M491" t="s">
        <v>87</v>
      </c>
      <c r="N491" t="s">
        <v>91</v>
      </c>
      <c r="O491">
        <v>297</v>
      </c>
      <c r="P491" s="49">
        <v>1820016</v>
      </c>
    </row>
    <row r="492" spans="10:16" x14ac:dyDescent="0.25">
      <c r="J492">
        <v>473</v>
      </c>
      <c r="K492" s="48">
        <v>38163</v>
      </c>
      <c r="L492" t="s">
        <v>83</v>
      </c>
      <c r="M492" t="s">
        <v>84</v>
      </c>
      <c r="N492" t="s">
        <v>85</v>
      </c>
      <c r="O492">
        <v>105</v>
      </c>
      <c r="P492" s="49">
        <v>872760</v>
      </c>
    </row>
    <row r="493" spans="10:16" x14ac:dyDescent="0.25">
      <c r="J493">
        <v>474</v>
      </c>
      <c r="K493" s="48">
        <v>38163</v>
      </c>
      <c r="L493" t="s">
        <v>90</v>
      </c>
      <c r="M493" t="s">
        <v>87</v>
      </c>
      <c r="N493" t="s">
        <v>88</v>
      </c>
      <c r="O493">
        <v>199</v>
      </c>
      <c r="P493" s="49">
        <v>1622646</v>
      </c>
    </row>
    <row r="494" spans="10:16" x14ac:dyDescent="0.25">
      <c r="J494">
        <v>475</v>
      </c>
      <c r="K494" s="48">
        <v>38163</v>
      </c>
      <c r="L494" t="s">
        <v>90</v>
      </c>
      <c r="M494" t="s">
        <v>84</v>
      </c>
      <c r="N494" t="s">
        <v>91</v>
      </c>
      <c r="O494">
        <v>136</v>
      </c>
      <c r="P494" s="49">
        <v>568480</v>
      </c>
    </row>
    <row r="495" spans="10:16" x14ac:dyDescent="0.25">
      <c r="J495">
        <v>476</v>
      </c>
      <c r="K495" s="48">
        <v>38164</v>
      </c>
      <c r="L495" t="s">
        <v>89</v>
      </c>
      <c r="M495" t="s">
        <v>84</v>
      </c>
      <c r="N495" t="s">
        <v>85</v>
      </c>
      <c r="O495">
        <v>88</v>
      </c>
      <c r="P495" s="49">
        <v>851488</v>
      </c>
    </row>
    <row r="496" spans="10:16" x14ac:dyDescent="0.25">
      <c r="J496">
        <v>477</v>
      </c>
      <c r="K496" s="48">
        <v>38166</v>
      </c>
      <c r="L496" t="s">
        <v>90</v>
      </c>
      <c r="M496" t="s">
        <v>84</v>
      </c>
      <c r="N496" t="s">
        <v>85</v>
      </c>
      <c r="O496">
        <v>86</v>
      </c>
      <c r="P496" s="49">
        <v>855442</v>
      </c>
    </row>
    <row r="497" spans="10:16" x14ac:dyDescent="0.25">
      <c r="J497">
        <v>478</v>
      </c>
      <c r="K497" s="48">
        <v>38166</v>
      </c>
      <c r="L497" t="s">
        <v>90</v>
      </c>
      <c r="M497" t="s">
        <v>84</v>
      </c>
      <c r="N497" t="s">
        <v>85</v>
      </c>
      <c r="O497">
        <v>189</v>
      </c>
      <c r="P497" s="49">
        <v>913248</v>
      </c>
    </row>
    <row r="498" spans="10:16" x14ac:dyDescent="0.25">
      <c r="J498">
        <v>479</v>
      </c>
      <c r="K498" s="48">
        <v>38166</v>
      </c>
      <c r="L498" t="s">
        <v>89</v>
      </c>
      <c r="M498" t="s">
        <v>87</v>
      </c>
      <c r="N498" t="s">
        <v>88</v>
      </c>
      <c r="O498">
        <v>232</v>
      </c>
      <c r="P498" s="49">
        <v>1028224</v>
      </c>
    </row>
    <row r="499" spans="10:16" x14ac:dyDescent="0.25">
      <c r="J499">
        <v>480</v>
      </c>
      <c r="K499" s="48">
        <v>38166</v>
      </c>
      <c r="L499" t="s">
        <v>90</v>
      </c>
      <c r="M499" t="s">
        <v>87</v>
      </c>
      <c r="N499" t="s">
        <v>85</v>
      </c>
      <c r="O499">
        <v>58</v>
      </c>
      <c r="P499" s="49">
        <v>530816</v>
      </c>
    </row>
    <row r="500" spans="10:16" x14ac:dyDescent="0.25">
      <c r="J500">
        <v>481</v>
      </c>
      <c r="K500" s="48">
        <v>38167</v>
      </c>
      <c r="L500" t="s">
        <v>89</v>
      </c>
      <c r="M500" t="s">
        <v>84</v>
      </c>
      <c r="N500" t="s">
        <v>94</v>
      </c>
      <c r="O500">
        <v>257</v>
      </c>
      <c r="P500" s="49">
        <v>1166780</v>
      </c>
    </row>
    <row r="501" spans="10:16" x14ac:dyDescent="0.25">
      <c r="J501">
        <v>482</v>
      </c>
      <c r="K501" s="48">
        <v>38167</v>
      </c>
      <c r="L501" t="s">
        <v>92</v>
      </c>
      <c r="M501" t="s">
        <v>87</v>
      </c>
      <c r="N501" t="s">
        <v>91</v>
      </c>
      <c r="O501">
        <v>243</v>
      </c>
      <c r="P501" s="49">
        <v>1983123</v>
      </c>
    </row>
    <row r="502" spans="10:16" x14ac:dyDescent="0.25">
      <c r="J502">
        <v>483</v>
      </c>
      <c r="K502" s="48">
        <v>38167</v>
      </c>
      <c r="L502" t="s">
        <v>89</v>
      </c>
      <c r="M502" t="s">
        <v>87</v>
      </c>
      <c r="N502" t="s">
        <v>85</v>
      </c>
      <c r="O502">
        <v>134</v>
      </c>
      <c r="P502" s="49">
        <v>946710</v>
      </c>
    </row>
    <row r="503" spans="10:16" x14ac:dyDescent="0.25">
      <c r="J503">
        <v>484</v>
      </c>
      <c r="K503" s="48">
        <v>38168</v>
      </c>
      <c r="L503" t="s">
        <v>95</v>
      </c>
      <c r="M503" t="s">
        <v>87</v>
      </c>
      <c r="N503" t="s">
        <v>88</v>
      </c>
      <c r="O503">
        <v>153</v>
      </c>
      <c r="P503" s="49">
        <v>1506438</v>
      </c>
    </row>
    <row r="504" spans="10:16" x14ac:dyDescent="0.25">
      <c r="J504">
        <v>485</v>
      </c>
      <c r="K504" s="48">
        <v>38168</v>
      </c>
      <c r="L504" t="s">
        <v>93</v>
      </c>
      <c r="M504" t="s">
        <v>84</v>
      </c>
      <c r="N504" t="s">
        <v>91</v>
      </c>
      <c r="O504">
        <v>122</v>
      </c>
      <c r="P504" s="49">
        <v>1093608</v>
      </c>
    </row>
    <row r="505" spans="10:16" x14ac:dyDescent="0.25">
      <c r="J505">
        <v>486</v>
      </c>
      <c r="K505" s="48">
        <v>38168</v>
      </c>
      <c r="L505" t="s">
        <v>93</v>
      </c>
      <c r="M505" t="s">
        <v>87</v>
      </c>
      <c r="N505" t="s">
        <v>88</v>
      </c>
      <c r="O505">
        <v>283</v>
      </c>
      <c r="P505" s="49">
        <v>2199476</v>
      </c>
    </row>
    <row r="506" spans="10:16" x14ac:dyDescent="0.25">
      <c r="J506">
        <v>487</v>
      </c>
      <c r="K506" s="48">
        <v>38168</v>
      </c>
      <c r="L506" t="s">
        <v>95</v>
      </c>
      <c r="M506" t="s">
        <v>87</v>
      </c>
      <c r="N506" t="s">
        <v>85</v>
      </c>
      <c r="O506">
        <v>261</v>
      </c>
      <c r="P506" s="49">
        <v>2475063</v>
      </c>
    </row>
    <row r="507" spans="10:16" x14ac:dyDescent="0.25">
      <c r="J507">
        <v>488</v>
      </c>
      <c r="K507" s="48">
        <v>38169</v>
      </c>
      <c r="L507" t="s">
        <v>93</v>
      </c>
      <c r="M507" t="s">
        <v>84</v>
      </c>
      <c r="N507" t="s">
        <v>85</v>
      </c>
      <c r="O507">
        <v>185</v>
      </c>
      <c r="P507" s="49">
        <v>1306840</v>
      </c>
    </row>
    <row r="508" spans="10:16" x14ac:dyDescent="0.25">
      <c r="J508">
        <v>489</v>
      </c>
      <c r="K508" s="48">
        <v>38169</v>
      </c>
      <c r="L508" t="s">
        <v>95</v>
      </c>
      <c r="M508" t="s">
        <v>87</v>
      </c>
      <c r="N508" t="s">
        <v>91</v>
      </c>
      <c r="O508">
        <v>60</v>
      </c>
      <c r="P508" s="49">
        <v>253920</v>
      </c>
    </row>
    <row r="509" spans="10:16" x14ac:dyDescent="0.25">
      <c r="J509">
        <v>490</v>
      </c>
      <c r="K509" s="48">
        <v>38170</v>
      </c>
      <c r="L509" t="s">
        <v>83</v>
      </c>
      <c r="M509" t="s">
        <v>84</v>
      </c>
      <c r="N509" t="s">
        <v>94</v>
      </c>
      <c r="O509">
        <v>234</v>
      </c>
      <c r="P509" s="49">
        <v>1911312</v>
      </c>
    </row>
    <row r="510" spans="10:16" x14ac:dyDescent="0.25">
      <c r="J510">
        <v>491</v>
      </c>
      <c r="K510" s="48">
        <v>38170</v>
      </c>
      <c r="L510" t="s">
        <v>93</v>
      </c>
      <c r="M510" t="s">
        <v>84</v>
      </c>
      <c r="N510" t="s">
        <v>88</v>
      </c>
      <c r="O510">
        <v>62</v>
      </c>
      <c r="P510" s="49">
        <v>358670</v>
      </c>
    </row>
    <row r="511" spans="10:16" x14ac:dyDescent="0.25">
      <c r="J511">
        <v>492</v>
      </c>
      <c r="K511" s="48">
        <v>38171</v>
      </c>
      <c r="L511" t="s">
        <v>86</v>
      </c>
      <c r="M511" t="s">
        <v>87</v>
      </c>
      <c r="N511" t="s">
        <v>85</v>
      </c>
      <c r="O511">
        <v>282</v>
      </c>
      <c r="P511" s="49">
        <v>1298328</v>
      </c>
    </row>
    <row r="512" spans="10:16" x14ac:dyDescent="0.25">
      <c r="J512">
        <v>493</v>
      </c>
      <c r="K512" s="48">
        <v>38171</v>
      </c>
      <c r="L512" t="s">
        <v>83</v>
      </c>
      <c r="M512" t="s">
        <v>84</v>
      </c>
      <c r="N512" t="s">
        <v>85</v>
      </c>
      <c r="O512">
        <v>299</v>
      </c>
      <c r="P512" s="49">
        <v>1948583</v>
      </c>
    </row>
    <row r="513" spans="10:16" x14ac:dyDescent="0.25">
      <c r="J513">
        <v>494</v>
      </c>
      <c r="K513" s="48">
        <v>38171</v>
      </c>
      <c r="L513" t="s">
        <v>93</v>
      </c>
      <c r="M513" t="s">
        <v>87</v>
      </c>
      <c r="N513" t="s">
        <v>94</v>
      </c>
      <c r="O513">
        <v>274</v>
      </c>
      <c r="P513" s="49">
        <v>1729762</v>
      </c>
    </row>
    <row r="514" spans="10:16" x14ac:dyDescent="0.25">
      <c r="J514">
        <v>495</v>
      </c>
      <c r="K514" s="48">
        <v>38171</v>
      </c>
      <c r="L514" t="s">
        <v>89</v>
      </c>
      <c r="M514" t="s">
        <v>87</v>
      </c>
      <c r="N514" t="s">
        <v>94</v>
      </c>
      <c r="O514">
        <v>268</v>
      </c>
      <c r="P514" s="49">
        <v>2578696</v>
      </c>
    </row>
    <row r="515" spans="10:16" x14ac:dyDescent="0.25">
      <c r="J515">
        <v>496</v>
      </c>
      <c r="K515" s="48">
        <v>38171</v>
      </c>
      <c r="L515" t="s">
        <v>93</v>
      </c>
      <c r="M515" t="s">
        <v>84</v>
      </c>
      <c r="N515" t="s">
        <v>85</v>
      </c>
      <c r="O515">
        <v>155</v>
      </c>
      <c r="P515" s="49">
        <v>1166065</v>
      </c>
    </row>
    <row r="516" spans="10:16" x14ac:dyDescent="0.25">
      <c r="J516">
        <v>497</v>
      </c>
      <c r="K516" s="48">
        <v>38171</v>
      </c>
      <c r="L516" t="s">
        <v>89</v>
      </c>
      <c r="M516" t="s">
        <v>87</v>
      </c>
      <c r="N516" t="s">
        <v>88</v>
      </c>
      <c r="O516">
        <v>209</v>
      </c>
      <c r="P516" s="49">
        <v>1316073</v>
      </c>
    </row>
    <row r="517" spans="10:16" x14ac:dyDescent="0.25">
      <c r="J517">
        <v>498</v>
      </c>
      <c r="K517" s="48">
        <v>38171</v>
      </c>
      <c r="L517" t="s">
        <v>90</v>
      </c>
      <c r="M517" t="s">
        <v>84</v>
      </c>
      <c r="N517" t="s">
        <v>91</v>
      </c>
      <c r="O517">
        <v>110</v>
      </c>
      <c r="P517" s="49">
        <v>1004740</v>
      </c>
    </row>
    <row r="518" spans="10:16" x14ac:dyDescent="0.25">
      <c r="J518">
        <v>499</v>
      </c>
      <c r="K518" s="48">
        <v>38172</v>
      </c>
      <c r="L518" t="s">
        <v>95</v>
      </c>
      <c r="M518" t="s">
        <v>87</v>
      </c>
      <c r="N518" t="s">
        <v>94</v>
      </c>
      <c r="O518">
        <v>61</v>
      </c>
      <c r="P518" s="49">
        <v>531432</v>
      </c>
    </row>
    <row r="519" spans="10:16" x14ac:dyDescent="0.25">
      <c r="J519">
        <v>500</v>
      </c>
      <c r="K519" s="48">
        <v>38172</v>
      </c>
      <c r="L519" t="s">
        <v>92</v>
      </c>
      <c r="M519" t="s">
        <v>84</v>
      </c>
      <c r="N519" t="s">
        <v>85</v>
      </c>
      <c r="O519">
        <v>240</v>
      </c>
      <c r="P519" s="49">
        <v>2238000</v>
      </c>
    </row>
    <row r="520" spans="10:16" x14ac:dyDescent="0.25">
      <c r="J520">
        <v>501</v>
      </c>
      <c r="K520" s="48">
        <v>38173</v>
      </c>
      <c r="L520" t="s">
        <v>95</v>
      </c>
      <c r="M520" t="s">
        <v>87</v>
      </c>
      <c r="N520" t="s">
        <v>85</v>
      </c>
      <c r="O520">
        <v>229</v>
      </c>
      <c r="P520" s="49">
        <v>965006</v>
      </c>
    </row>
    <row r="521" spans="10:16" x14ac:dyDescent="0.25">
      <c r="J521">
        <v>502</v>
      </c>
      <c r="K521" s="48">
        <v>38173</v>
      </c>
      <c r="L521" t="s">
        <v>93</v>
      </c>
      <c r="M521" t="s">
        <v>84</v>
      </c>
      <c r="N521" t="s">
        <v>85</v>
      </c>
      <c r="O521">
        <v>224</v>
      </c>
      <c r="P521" s="49">
        <v>2087904</v>
      </c>
    </row>
    <row r="522" spans="10:16" x14ac:dyDescent="0.25">
      <c r="J522">
        <v>503</v>
      </c>
      <c r="K522" s="48">
        <v>38173</v>
      </c>
      <c r="L522" t="s">
        <v>93</v>
      </c>
      <c r="M522" t="s">
        <v>87</v>
      </c>
      <c r="N522" t="s">
        <v>94</v>
      </c>
      <c r="O522">
        <v>72</v>
      </c>
      <c r="P522" s="49">
        <v>647352</v>
      </c>
    </row>
    <row r="523" spans="10:16" x14ac:dyDescent="0.25">
      <c r="J523">
        <v>504</v>
      </c>
      <c r="K523" s="48">
        <v>38173</v>
      </c>
      <c r="L523" t="s">
        <v>89</v>
      </c>
      <c r="M523" t="s">
        <v>87</v>
      </c>
      <c r="N523" t="s">
        <v>85</v>
      </c>
      <c r="O523">
        <v>186</v>
      </c>
      <c r="P523" s="49">
        <v>1216254</v>
      </c>
    </row>
    <row r="524" spans="10:16" x14ac:dyDescent="0.25">
      <c r="J524">
        <v>505</v>
      </c>
      <c r="K524" s="48">
        <v>38173</v>
      </c>
      <c r="L524" t="s">
        <v>92</v>
      </c>
      <c r="M524" t="s">
        <v>87</v>
      </c>
      <c r="N524" t="s">
        <v>91</v>
      </c>
      <c r="O524">
        <v>172</v>
      </c>
      <c r="P524" s="49">
        <v>860172</v>
      </c>
    </row>
    <row r="525" spans="10:16" x14ac:dyDescent="0.25">
      <c r="J525">
        <v>506</v>
      </c>
      <c r="K525" s="48">
        <v>38173</v>
      </c>
      <c r="L525" t="s">
        <v>92</v>
      </c>
      <c r="M525" t="s">
        <v>84</v>
      </c>
      <c r="N525" t="s">
        <v>91</v>
      </c>
      <c r="O525">
        <v>235</v>
      </c>
      <c r="P525" s="49">
        <v>1207195</v>
      </c>
    </row>
    <row r="526" spans="10:16" x14ac:dyDescent="0.25">
      <c r="J526">
        <v>507</v>
      </c>
      <c r="K526" s="48">
        <v>38173</v>
      </c>
      <c r="L526" t="s">
        <v>92</v>
      </c>
      <c r="M526" t="s">
        <v>84</v>
      </c>
      <c r="N526" t="s">
        <v>91</v>
      </c>
      <c r="O526">
        <v>159</v>
      </c>
      <c r="P526" s="49">
        <v>1032546</v>
      </c>
    </row>
    <row r="527" spans="10:16" x14ac:dyDescent="0.25">
      <c r="J527">
        <v>508</v>
      </c>
      <c r="K527" s="48">
        <v>38173</v>
      </c>
      <c r="L527" t="s">
        <v>86</v>
      </c>
      <c r="M527" t="s">
        <v>87</v>
      </c>
      <c r="N527" t="s">
        <v>94</v>
      </c>
      <c r="O527">
        <v>271</v>
      </c>
      <c r="P527" s="49">
        <v>2297538</v>
      </c>
    </row>
    <row r="528" spans="10:16" x14ac:dyDescent="0.25">
      <c r="J528">
        <v>509</v>
      </c>
      <c r="K528" s="48">
        <v>38174</v>
      </c>
      <c r="L528" t="s">
        <v>83</v>
      </c>
      <c r="M528" t="s">
        <v>87</v>
      </c>
      <c r="N528" t="s">
        <v>91</v>
      </c>
      <c r="O528">
        <v>80</v>
      </c>
      <c r="P528" s="49">
        <v>428240</v>
      </c>
    </row>
    <row r="529" spans="10:16" x14ac:dyDescent="0.25">
      <c r="J529">
        <v>510</v>
      </c>
      <c r="K529" s="48">
        <v>38174</v>
      </c>
      <c r="L529" t="s">
        <v>92</v>
      </c>
      <c r="M529" t="s">
        <v>84</v>
      </c>
      <c r="N529" t="s">
        <v>94</v>
      </c>
      <c r="O529">
        <v>227</v>
      </c>
      <c r="P529" s="49">
        <v>1175860</v>
      </c>
    </row>
    <row r="530" spans="10:16" x14ac:dyDescent="0.25">
      <c r="J530">
        <v>511</v>
      </c>
      <c r="K530" s="48">
        <v>38174</v>
      </c>
      <c r="L530" t="s">
        <v>92</v>
      </c>
      <c r="M530" t="s">
        <v>87</v>
      </c>
      <c r="N530" t="s">
        <v>85</v>
      </c>
      <c r="O530">
        <v>40</v>
      </c>
      <c r="P530" s="49">
        <v>258560</v>
      </c>
    </row>
    <row r="531" spans="10:16" x14ac:dyDescent="0.25">
      <c r="J531">
        <v>512</v>
      </c>
      <c r="K531" s="48">
        <v>38174</v>
      </c>
      <c r="L531" t="s">
        <v>83</v>
      </c>
      <c r="M531" t="s">
        <v>84</v>
      </c>
      <c r="N531" t="s">
        <v>91</v>
      </c>
      <c r="O531">
        <v>239</v>
      </c>
      <c r="P531" s="49">
        <v>1782940</v>
      </c>
    </row>
    <row r="532" spans="10:16" x14ac:dyDescent="0.25">
      <c r="J532">
        <v>513</v>
      </c>
      <c r="K532" s="48">
        <v>38174</v>
      </c>
      <c r="L532" t="s">
        <v>95</v>
      </c>
      <c r="M532" t="s">
        <v>84</v>
      </c>
      <c r="N532" t="s">
        <v>94</v>
      </c>
      <c r="O532">
        <v>191</v>
      </c>
      <c r="P532" s="49">
        <v>1841622</v>
      </c>
    </row>
    <row r="533" spans="10:16" x14ac:dyDescent="0.25">
      <c r="J533">
        <v>514</v>
      </c>
      <c r="K533" s="48">
        <v>38175</v>
      </c>
      <c r="L533" t="s">
        <v>95</v>
      </c>
      <c r="M533" t="s">
        <v>87</v>
      </c>
      <c r="N533" t="s">
        <v>91</v>
      </c>
      <c r="O533">
        <v>76</v>
      </c>
      <c r="P533" s="49">
        <v>741228</v>
      </c>
    </row>
    <row r="534" spans="10:16" x14ac:dyDescent="0.25">
      <c r="J534">
        <v>515</v>
      </c>
      <c r="K534" s="48">
        <v>38176</v>
      </c>
      <c r="L534" t="s">
        <v>89</v>
      </c>
      <c r="M534" t="s">
        <v>84</v>
      </c>
      <c r="N534" t="s">
        <v>94</v>
      </c>
      <c r="O534">
        <v>47</v>
      </c>
      <c r="P534" s="49">
        <v>262777</v>
      </c>
    </row>
    <row r="535" spans="10:16" x14ac:dyDescent="0.25">
      <c r="J535">
        <v>516</v>
      </c>
      <c r="K535" s="48">
        <v>38176</v>
      </c>
      <c r="L535" t="s">
        <v>89</v>
      </c>
      <c r="M535" t="s">
        <v>84</v>
      </c>
      <c r="N535" t="s">
        <v>94</v>
      </c>
      <c r="O535">
        <v>119</v>
      </c>
      <c r="P535" s="49">
        <v>720902</v>
      </c>
    </row>
    <row r="536" spans="10:16" x14ac:dyDescent="0.25">
      <c r="J536">
        <v>517</v>
      </c>
      <c r="K536" s="48">
        <v>38176</v>
      </c>
      <c r="L536" t="s">
        <v>92</v>
      </c>
      <c r="M536" t="s">
        <v>87</v>
      </c>
      <c r="N536" t="s">
        <v>88</v>
      </c>
      <c r="O536">
        <v>174</v>
      </c>
      <c r="P536" s="49">
        <v>1313526</v>
      </c>
    </row>
    <row r="537" spans="10:16" x14ac:dyDescent="0.25">
      <c r="J537">
        <v>518</v>
      </c>
      <c r="K537" s="48">
        <v>38176</v>
      </c>
      <c r="L537" t="s">
        <v>95</v>
      </c>
      <c r="M537" t="s">
        <v>87</v>
      </c>
      <c r="N537" t="s">
        <v>88</v>
      </c>
      <c r="O537">
        <v>108</v>
      </c>
      <c r="P537" s="49">
        <v>638064</v>
      </c>
    </row>
    <row r="538" spans="10:16" x14ac:dyDescent="0.25">
      <c r="J538">
        <v>519</v>
      </c>
      <c r="K538" s="48">
        <v>38177</v>
      </c>
      <c r="L538" t="s">
        <v>93</v>
      </c>
      <c r="M538" t="s">
        <v>84</v>
      </c>
      <c r="N538" t="s">
        <v>94</v>
      </c>
      <c r="O538">
        <v>123</v>
      </c>
      <c r="P538" s="49">
        <v>682773</v>
      </c>
    </row>
    <row r="539" spans="10:16" x14ac:dyDescent="0.25">
      <c r="J539">
        <v>520</v>
      </c>
      <c r="K539" s="48">
        <v>38177</v>
      </c>
      <c r="L539" t="s">
        <v>90</v>
      </c>
      <c r="M539" t="s">
        <v>84</v>
      </c>
      <c r="N539" t="s">
        <v>85</v>
      </c>
      <c r="O539">
        <v>42</v>
      </c>
      <c r="P539" s="49">
        <v>279342</v>
      </c>
    </row>
    <row r="540" spans="10:16" x14ac:dyDescent="0.25">
      <c r="J540">
        <v>521</v>
      </c>
      <c r="K540" s="48">
        <v>38177</v>
      </c>
      <c r="L540" t="s">
        <v>83</v>
      </c>
      <c r="M540" t="s">
        <v>87</v>
      </c>
      <c r="N540" t="s">
        <v>94</v>
      </c>
      <c r="O540">
        <v>105</v>
      </c>
      <c r="P540" s="49">
        <v>740355</v>
      </c>
    </row>
    <row r="541" spans="10:16" x14ac:dyDescent="0.25">
      <c r="J541">
        <v>522</v>
      </c>
      <c r="K541" s="48">
        <v>38177</v>
      </c>
      <c r="L541" t="s">
        <v>95</v>
      </c>
      <c r="M541" t="s">
        <v>87</v>
      </c>
      <c r="N541" t="s">
        <v>85</v>
      </c>
      <c r="O541">
        <v>223</v>
      </c>
      <c r="P541" s="49">
        <v>1293400</v>
      </c>
    </row>
    <row r="542" spans="10:16" x14ac:dyDescent="0.25">
      <c r="J542">
        <v>523</v>
      </c>
      <c r="K542" s="48">
        <v>38177</v>
      </c>
      <c r="L542" t="s">
        <v>90</v>
      </c>
      <c r="M542" t="s">
        <v>84</v>
      </c>
      <c r="N542" t="s">
        <v>88</v>
      </c>
      <c r="O542">
        <v>270</v>
      </c>
      <c r="P542" s="49">
        <v>1429380</v>
      </c>
    </row>
    <row r="543" spans="10:16" x14ac:dyDescent="0.25">
      <c r="J543">
        <v>524</v>
      </c>
      <c r="K543" s="48">
        <v>38178</v>
      </c>
      <c r="L543" t="s">
        <v>93</v>
      </c>
      <c r="M543" t="s">
        <v>84</v>
      </c>
      <c r="N543" t="s">
        <v>94</v>
      </c>
      <c r="O543">
        <v>159</v>
      </c>
      <c r="P543" s="49">
        <v>1536576</v>
      </c>
    </row>
    <row r="544" spans="10:16" x14ac:dyDescent="0.25">
      <c r="J544">
        <v>525</v>
      </c>
      <c r="K544" s="48">
        <v>38178</v>
      </c>
      <c r="L544" t="s">
        <v>83</v>
      </c>
      <c r="M544" t="s">
        <v>87</v>
      </c>
      <c r="N544" t="s">
        <v>85</v>
      </c>
      <c r="O544">
        <v>280</v>
      </c>
      <c r="P544" s="49">
        <v>1249360</v>
      </c>
    </row>
    <row r="545" spans="10:16" x14ac:dyDescent="0.25">
      <c r="J545">
        <v>526</v>
      </c>
      <c r="K545" s="48">
        <v>38179</v>
      </c>
      <c r="L545" t="s">
        <v>83</v>
      </c>
      <c r="M545" t="s">
        <v>87</v>
      </c>
      <c r="N545" t="s">
        <v>88</v>
      </c>
      <c r="O545">
        <v>162</v>
      </c>
      <c r="P545" s="49">
        <v>1594404</v>
      </c>
    </row>
    <row r="546" spans="10:16" x14ac:dyDescent="0.25">
      <c r="J546">
        <v>527</v>
      </c>
      <c r="K546" s="48">
        <v>38179</v>
      </c>
      <c r="L546" t="s">
        <v>92</v>
      </c>
      <c r="M546" t="s">
        <v>84</v>
      </c>
      <c r="N546" t="s">
        <v>94</v>
      </c>
      <c r="O546">
        <v>231</v>
      </c>
      <c r="P546" s="49">
        <v>935781</v>
      </c>
    </row>
    <row r="547" spans="10:16" x14ac:dyDescent="0.25">
      <c r="J547">
        <v>528</v>
      </c>
      <c r="K547" s="48">
        <v>38180</v>
      </c>
      <c r="L547" t="s">
        <v>95</v>
      </c>
      <c r="M547" t="s">
        <v>84</v>
      </c>
      <c r="N547" t="s">
        <v>85</v>
      </c>
      <c r="O547">
        <v>231</v>
      </c>
      <c r="P547" s="49">
        <v>2273040</v>
      </c>
    </row>
    <row r="548" spans="10:16" x14ac:dyDescent="0.25">
      <c r="J548">
        <v>529</v>
      </c>
      <c r="K548" s="48">
        <v>38180</v>
      </c>
      <c r="L548" t="s">
        <v>92</v>
      </c>
      <c r="M548" t="s">
        <v>84</v>
      </c>
      <c r="N548" t="s">
        <v>85</v>
      </c>
      <c r="O548">
        <v>206</v>
      </c>
      <c r="P548" s="49">
        <v>1414602</v>
      </c>
    </row>
    <row r="549" spans="10:16" x14ac:dyDescent="0.25">
      <c r="J549">
        <v>530</v>
      </c>
      <c r="K549" s="48">
        <v>38180</v>
      </c>
      <c r="L549" t="s">
        <v>86</v>
      </c>
      <c r="M549" t="s">
        <v>87</v>
      </c>
      <c r="N549" t="s">
        <v>85</v>
      </c>
      <c r="O549">
        <v>86</v>
      </c>
      <c r="P549" s="49">
        <v>446856</v>
      </c>
    </row>
    <row r="550" spans="10:16" x14ac:dyDescent="0.25">
      <c r="J550">
        <v>531</v>
      </c>
      <c r="K550" s="48">
        <v>38180</v>
      </c>
      <c r="L550" t="s">
        <v>92</v>
      </c>
      <c r="M550" t="s">
        <v>84</v>
      </c>
      <c r="N550" t="s">
        <v>94</v>
      </c>
      <c r="O550">
        <v>112</v>
      </c>
      <c r="P550" s="49">
        <v>712768</v>
      </c>
    </row>
    <row r="551" spans="10:16" x14ac:dyDescent="0.25">
      <c r="J551">
        <v>532</v>
      </c>
      <c r="K551" s="48">
        <v>38180</v>
      </c>
      <c r="L551" t="s">
        <v>86</v>
      </c>
      <c r="M551" t="s">
        <v>84</v>
      </c>
      <c r="N551" t="s">
        <v>85</v>
      </c>
      <c r="O551">
        <v>182</v>
      </c>
      <c r="P551" s="49">
        <v>999726</v>
      </c>
    </row>
    <row r="552" spans="10:16" x14ac:dyDescent="0.25">
      <c r="J552">
        <v>533</v>
      </c>
      <c r="K552" s="48">
        <v>38181</v>
      </c>
      <c r="L552" t="s">
        <v>83</v>
      </c>
      <c r="M552" t="s">
        <v>87</v>
      </c>
      <c r="N552" t="s">
        <v>91</v>
      </c>
      <c r="O552">
        <v>72</v>
      </c>
      <c r="P552" s="49">
        <v>606024</v>
      </c>
    </row>
    <row r="553" spans="10:16" x14ac:dyDescent="0.25">
      <c r="J553">
        <v>534</v>
      </c>
      <c r="K553" s="48">
        <v>38182</v>
      </c>
      <c r="L553" t="s">
        <v>89</v>
      </c>
      <c r="M553" t="s">
        <v>87</v>
      </c>
      <c r="N553" t="s">
        <v>88</v>
      </c>
      <c r="O553">
        <v>62</v>
      </c>
      <c r="P553" s="49">
        <v>410316</v>
      </c>
    </row>
    <row r="554" spans="10:16" x14ac:dyDescent="0.25">
      <c r="J554">
        <v>535</v>
      </c>
      <c r="K554" s="48">
        <v>38182</v>
      </c>
      <c r="L554" t="s">
        <v>92</v>
      </c>
      <c r="M554" t="s">
        <v>84</v>
      </c>
      <c r="N554" t="s">
        <v>85</v>
      </c>
      <c r="O554">
        <v>280</v>
      </c>
      <c r="P554" s="49">
        <v>1730680</v>
      </c>
    </row>
    <row r="555" spans="10:16" x14ac:dyDescent="0.25">
      <c r="J555">
        <v>536</v>
      </c>
      <c r="K555" s="48">
        <v>38182</v>
      </c>
      <c r="L555" t="s">
        <v>95</v>
      </c>
      <c r="M555" t="s">
        <v>87</v>
      </c>
      <c r="N555" t="s">
        <v>88</v>
      </c>
      <c r="O555">
        <v>197</v>
      </c>
      <c r="P555" s="49">
        <v>1292123</v>
      </c>
    </row>
    <row r="556" spans="10:16" x14ac:dyDescent="0.25">
      <c r="J556">
        <v>537</v>
      </c>
      <c r="K556" s="48">
        <v>38182</v>
      </c>
      <c r="L556" t="s">
        <v>86</v>
      </c>
      <c r="M556" t="s">
        <v>84</v>
      </c>
      <c r="N556" t="s">
        <v>88</v>
      </c>
      <c r="O556">
        <v>117</v>
      </c>
      <c r="P556" s="49">
        <v>1031121</v>
      </c>
    </row>
    <row r="557" spans="10:16" x14ac:dyDescent="0.25">
      <c r="J557">
        <v>538</v>
      </c>
      <c r="K557" s="48">
        <v>38183</v>
      </c>
      <c r="L557" t="s">
        <v>92</v>
      </c>
      <c r="M557" t="s">
        <v>84</v>
      </c>
      <c r="N557" t="s">
        <v>88</v>
      </c>
      <c r="O557">
        <v>279</v>
      </c>
      <c r="P557" s="49">
        <v>2161134</v>
      </c>
    </row>
    <row r="558" spans="10:16" x14ac:dyDescent="0.25">
      <c r="J558">
        <v>539</v>
      </c>
      <c r="K558" s="48">
        <v>38184</v>
      </c>
      <c r="L558" t="s">
        <v>83</v>
      </c>
      <c r="M558" t="s">
        <v>84</v>
      </c>
      <c r="N558" t="s">
        <v>94</v>
      </c>
      <c r="O558">
        <v>111</v>
      </c>
      <c r="P558" s="49">
        <v>761793</v>
      </c>
    </row>
    <row r="559" spans="10:16" x14ac:dyDescent="0.25">
      <c r="J559">
        <v>540</v>
      </c>
      <c r="K559" s="48">
        <v>38184</v>
      </c>
      <c r="L559" t="s">
        <v>83</v>
      </c>
      <c r="M559" t="s">
        <v>84</v>
      </c>
      <c r="N559" t="s">
        <v>91</v>
      </c>
      <c r="O559">
        <v>87</v>
      </c>
      <c r="P559" s="49">
        <v>565587</v>
      </c>
    </row>
    <row r="560" spans="10:16" x14ac:dyDescent="0.25">
      <c r="J560">
        <v>541</v>
      </c>
      <c r="K560" s="48">
        <v>38184</v>
      </c>
      <c r="L560" t="s">
        <v>95</v>
      </c>
      <c r="M560" t="s">
        <v>84</v>
      </c>
      <c r="N560" t="s">
        <v>88</v>
      </c>
      <c r="O560">
        <v>62</v>
      </c>
      <c r="P560" s="49">
        <v>251596</v>
      </c>
    </row>
    <row r="561" spans="10:16" x14ac:dyDescent="0.25">
      <c r="J561">
        <v>542</v>
      </c>
      <c r="K561" s="48">
        <v>38184</v>
      </c>
      <c r="L561" t="s">
        <v>89</v>
      </c>
      <c r="M561" t="s">
        <v>87</v>
      </c>
      <c r="N561" t="s">
        <v>94</v>
      </c>
      <c r="O561">
        <v>182</v>
      </c>
      <c r="P561" s="49">
        <v>1514968</v>
      </c>
    </row>
    <row r="562" spans="10:16" x14ac:dyDescent="0.25">
      <c r="J562">
        <v>543</v>
      </c>
      <c r="K562" s="48">
        <v>38184</v>
      </c>
      <c r="L562" t="s">
        <v>92</v>
      </c>
      <c r="M562" t="s">
        <v>87</v>
      </c>
      <c r="N562" t="s">
        <v>91</v>
      </c>
      <c r="O562">
        <v>101</v>
      </c>
      <c r="P562" s="49">
        <v>564186</v>
      </c>
    </row>
    <row r="563" spans="10:16" x14ac:dyDescent="0.25">
      <c r="J563">
        <v>544</v>
      </c>
      <c r="K563" s="48">
        <v>38185</v>
      </c>
      <c r="L563" t="s">
        <v>89</v>
      </c>
      <c r="M563" t="s">
        <v>87</v>
      </c>
      <c r="N563" t="s">
        <v>91</v>
      </c>
      <c r="O563">
        <v>79</v>
      </c>
      <c r="P563" s="49">
        <v>694331</v>
      </c>
    </row>
    <row r="564" spans="10:16" x14ac:dyDescent="0.25">
      <c r="J564">
        <v>545</v>
      </c>
      <c r="K564" s="48">
        <v>38186</v>
      </c>
      <c r="L564" t="s">
        <v>86</v>
      </c>
      <c r="M564" t="s">
        <v>87</v>
      </c>
      <c r="N564" t="s">
        <v>85</v>
      </c>
      <c r="O564">
        <v>82</v>
      </c>
      <c r="P564" s="49">
        <v>419348</v>
      </c>
    </row>
    <row r="565" spans="10:16" x14ac:dyDescent="0.25">
      <c r="J565">
        <v>546</v>
      </c>
      <c r="K565" s="48">
        <v>38188</v>
      </c>
      <c r="L565" t="s">
        <v>92</v>
      </c>
      <c r="M565" t="s">
        <v>87</v>
      </c>
      <c r="N565" t="s">
        <v>85</v>
      </c>
      <c r="O565">
        <v>65</v>
      </c>
      <c r="P565" s="49">
        <v>628095</v>
      </c>
    </row>
    <row r="566" spans="10:16" x14ac:dyDescent="0.25">
      <c r="J566">
        <v>547</v>
      </c>
      <c r="K566" s="48">
        <v>38188</v>
      </c>
      <c r="L566" t="s">
        <v>95</v>
      </c>
      <c r="M566" t="s">
        <v>84</v>
      </c>
      <c r="N566" t="s">
        <v>88</v>
      </c>
      <c r="O566">
        <v>200</v>
      </c>
      <c r="P566" s="49">
        <v>1000000</v>
      </c>
    </row>
    <row r="567" spans="10:16" x14ac:dyDescent="0.25">
      <c r="J567">
        <v>548</v>
      </c>
      <c r="K567" s="48">
        <v>38188</v>
      </c>
      <c r="L567" t="s">
        <v>83</v>
      </c>
      <c r="M567" t="s">
        <v>87</v>
      </c>
      <c r="N567" t="s">
        <v>94</v>
      </c>
      <c r="O567">
        <v>286</v>
      </c>
      <c r="P567" s="49">
        <v>2330042</v>
      </c>
    </row>
    <row r="568" spans="10:16" x14ac:dyDescent="0.25">
      <c r="J568">
        <v>549</v>
      </c>
      <c r="K568" s="48">
        <v>38188</v>
      </c>
      <c r="L568" t="s">
        <v>86</v>
      </c>
      <c r="M568" t="s">
        <v>87</v>
      </c>
      <c r="N568" t="s">
        <v>88</v>
      </c>
      <c r="O568">
        <v>237</v>
      </c>
      <c r="P568" s="49">
        <v>1403988</v>
      </c>
    </row>
    <row r="569" spans="10:16" x14ac:dyDescent="0.25">
      <c r="J569">
        <v>550</v>
      </c>
      <c r="K569" s="48">
        <v>38189</v>
      </c>
      <c r="L569" t="s">
        <v>95</v>
      </c>
      <c r="M569" t="s">
        <v>84</v>
      </c>
      <c r="N569" t="s">
        <v>85</v>
      </c>
      <c r="O569">
        <v>275</v>
      </c>
      <c r="P569" s="49">
        <v>1711325</v>
      </c>
    </row>
    <row r="570" spans="10:16" x14ac:dyDescent="0.25">
      <c r="J570">
        <v>551</v>
      </c>
      <c r="K570" s="48">
        <v>38189</v>
      </c>
      <c r="L570" t="s">
        <v>93</v>
      </c>
      <c r="M570" t="s">
        <v>84</v>
      </c>
      <c r="N570" t="s">
        <v>88</v>
      </c>
      <c r="O570">
        <v>237</v>
      </c>
      <c r="P570" s="49">
        <v>2215002</v>
      </c>
    </row>
    <row r="571" spans="10:16" x14ac:dyDescent="0.25">
      <c r="J571">
        <v>552</v>
      </c>
      <c r="K571" s="48">
        <v>38189</v>
      </c>
      <c r="L571" t="s">
        <v>86</v>
      </c>
      <c r="M571" t="s">
        <v>87</v>
      </c>
      <c r="N571" t="s">
        <v>94</v>
      </c>
      <c r="O571">
        <v>125</v>
      </c>
      <c r="P571" s="49">
        <v>804625</v>
      </c>
    </row>
    <row r="572" spans="10:16" x14ac:dyDescent="0.25">
      <c r="J572">
        <v>553</v>
      </c>
      <c r="K572" s="48">
        <v>38189</v>
      </c>
      <c r="L572" t="s">
        <v>89</v>
      </c>
      <c r="M572" t="s">
        <v>87</v>
      </c>
      <c r="N572" t="s">
        <v>94</v>
      </c>
      <c r="O572">
        <v>209</v>
      </c>
      <c r="P572" s="49">
        <v>1568754</v>
      </c>
    </row>
    <row r="573" spans="10:16" x14ac:dyDescent="0.25">
      <c r="J573">
        <v>554</v>
      </c>
      <c r="K573" s="48">
        <v>38189</v>
      </c>
      <c r="L573" t="s">
        <v>83</v>
      </c>
      <c r="M573" t="s">
        <v>87</v>
      </c>
      <c r="N573" t="s">
        <v>94</v>
      </c>
      <c r="O573">
        <v>141</v>
      </c>
      <c r="P573" s="49">
        <v>867009</v>
      </c>
    </row>
    <row r="574" spans="10:16" x14ac:dyDescent="0.25">
      <c r="J574">
        <v>555</v>
      </c>
      <c r="K574" s="48">
        <v>38190</v>
      </c>
      <c r="L574" t="s">
        <v>93</v>
      </c>
      <c r="M574" t="s">
        <v>87</v>
      </c>
      <c r="N574" t="s">
        <v>88</v>
      </c>
      <c r="O574">
        <v>138</v>
      </c>
      <c r="P574" s="49">
        <v>1289748</v>
      </c>
    </row>
    <row r="575" spans="10:16" x14ac:dyDescent="0.25">
      <c r="J575">
        <v>556</v>
      </c>
      <c r="K575" s="48">
        <v>38190</v>
      </c>
      <c r="L575" t="s">
        <v>90</v>
      </c>
      <c r="M575" t="s">
        <v>87</v>
      </c>
      <c r="N575" t="s">
        <v>85</v>
      </c>
      <c r="O575">
        <v>57</v>
      </c>
      <c r="P575" s="49">
        <v>567492</v>
      </c>
    </row>
    <row r="576" spans="10:16" x14ac:dyDescent="0.25">
      <c r="J576">
        <v>557</v>
      </c>
      <c r="K576" s="48">
        <v>38191</v>
      </c>
      <c r="L576" t="s">
        <v>93</v>
      </c>
      <c r="M576" t="s">
        <v>84</v>
      </c>
      <c r="N576" t="s">
        <v>88</v>
      </c>
      <c r="O576">
        <v>198</v>
      </c>
      <c r="P576" s="49">
        <v>1916442</v>
      </c>
    </row>
    <row r="577" spans="10:16" x14ac:dyDescent="0.25">
      <c r="J577">
        <v>558</v>
      </c>
      <c r="K577" s="48">
        <v>38192</v>
      </c>
      <c r="L577" t="s">
        <v>93</v>
      </c>
      <c r="M577" t="s">
        <v>84</v>
      </c>
      <c r="N577" t="s">
        <v>88</v>
      </c>
      <c r="O577">
        <v>246</v>
      </c>
      <c r="P577" s="49">
        <v>1875012</v>
      </c>
    </row>
    <row r="578" spans="10:16" x14ac:dyDescent="0.25">
      <c r="J578">
        <v>559</v>
      </c>
      <c r="K578" s="48">
        <v>38192</v>
      </c>
      <c r="L578" t="s">
        <v>86</v>
      </c>
      <c r="M578" t="s">
        <v>84</v>
      </c>
      <c r="N578" t="s">
        <v>91</v>
      </c>
      <c r="O578">
        <v>188</v>
      </c>
      <c r="P578" s="49">
        <v>1590104</v>
      </c>
    </row>
    <row r="579" spans="10:16" x14ac:dyDescent="0.25">
      <c r="J579">
        <v>560</v>
      </c>
      <c r="K579" s="48">
        <v>38193</v>
      </c>
      <c r="L579" t="s">
        <v>92</v>
      </c>
      <c r="M579" t="s">
        <v>84</v>
      </c>
      <c r="N579" t="s">
        <v>91</v>
      </c>
      <c r="O579">
        <v>285</v>
      </c>
      <c r="P579" s="49">
        <v>1412175</v>
      </c>
    </row>
    <row r="580" spans="10:16" x14ac:dyDescent="0.25">
      <c r="J580">
        <v>561</v>
      </c>
      <c r="K580" s="48">
        <v>38193</v>
      </c>
      <c r="L580" t="s">
        <v>83</v>
      </c>
      <c r="M580" t="s">
        <v>84</v>
      </c>
      <c r="N580" t="s">
        <v>85</v>
      </c>
      <c r="O580">
        <v>53</v>
      </c>
      <c r="P580" s="49">
        <v>280741</v>
      </c>
    </row>
    <row r="581" spans="10:16" x14ac:dyDescent="0.25">
      <c r="J581">
        <v>562</v>
      </c>
      <c r="K581" s="48">
        <v>38193</v>
      </c>
      <c r="L581" t="s">
        <v>93</v>
      </c>
      <c r="M581" t="s">
        <v>84</v>
      </c>
      <c r="N581" t="s">
        <v>88</v>
      </c>
      <c r="O581">
        <v>161</v>
      </c>
      <c r="P581" s="49">
        <v>960526</v>
      </c>
    </row>
    <row r="582" spans="10:16" x14ac:dyDescent="0.25">
      <c r="J582">
        <v>563</v>
      </c>
      <c r="K582" s="48">
        <v>38193</v>
      </c>
      <c r="L582" t="s">
        <v>93</v>
      </c>
      <c r="M582" t="s">
        <v>87</v>
      </c>
      <c r="N582" t="s">
        <v>94</v>
      </c>
      <c r="O582">
        <v>237</v>
      </c>
      <c r="P582" s="49">
        <v>1272216</v>
      </c>
    </row>
    <row r="583" spans="10:16" x14ac:dyDescent="0.25">
      <c r="J583">
        <v>564</v>
      </c>
      <c r="K583" s="48">
        <v>38193</v>
      </c>
      <c r="L583" t="s">
        <v>95</v>
      </c>
      <c r="M583" t="s">
        <v>84</v>
      </c>
      <c r="N583" t="s">
        <v>85</v>
      </c>
      <c r="O583">
        <v>112</v>
      </c>
      <c r="P583" s="49">
        <v>513968</v>
      </c>
    </row>
    <row r="584" spans="10:16" x14ac:dyDescent="0.25">
      <c r="J584">
        <v>565</v>
      </c>
      <c r="K584" s="48">
        <v>38193</v>
      </c>
      <c r="L584" t="s">
        <v>90</v>
      </c>
      <c r="M584" t="s">
        <v>87</v>
      </c>
      <c r="N584" t="s">
        <v>94</v>
      </c>
      <c r="O584">
        <v>147</v>
      </c>
      <c r="P584" s="49">
        <v>917868</v>
      </c>
    </row>
    <row r="585" spans="10:16" x14ac:dyDescent="0.25">
      <c r="J585">
        <v>566</v>
      </c>
      <c r="K585" s="48">
        <v>38194</v>
      </c>
      <c r="L585" t="s">
        <v>86</v>
      </c>
      <c r="M585" t="s">
        <v>84</v>
      </c>
      <c r="N585" t="s">
        <v>88</v>
      </c>
      <c r="O585">
        <v>266</v>
      </c>
      <c r="P585" s="49">
        <v>1881950</v>
      </c>
    </row>
    <row r="586" spans="10:16" x14ac:dyDescent="0.25">
      <c r="J586">
        <v>567</v>
      </c>
      <c r="K586" s="48">
        <v>38194</v>
      </c>
      <c r="L586" t="s">
        <v>86</v>
      </c>
      <c r="M586" t="s">
        <v>87</v>
      </c>
      <c r="N586" t="s">
        <v>94</v>
      </c>
      <c r="O586">
        <v>98</v>
      </c>
      <c r="P586" s="49">
        <v>469910</v>
      </c>
    </row>
    <row r="587" spans="10:16" x14ac:dyDescent="0.25">
      <c r="J587">
        <v>568</v>
      </c>
      <c r="K587" s="48">
        <v>38194</v>
      </c>
      <c r="L587" t="s">
        <v>86</v>
      </c>
      <c r="M587" t="s">
        <v>87</v>
      </c>
      <c r="N587" t="s">
        <v>85</v>
      </c>
      <c r="O587">
        <v>153</v>
      </c>
      <c r="P587" s="49">
        <v>639999</v>
      </c>
    </row>
    <row r="588" spans="10:16" x14ac:dyDescent="0.25">
      <c r="J588">
        <v>569</v>
      </c>
      <c r="K588" s="48">
        <v>38194</v>
      </c>
      <c r="L588" t="s">
        <v>86</v>
      </c>
      <c r="M588" t="s">
        <v>84</v>
      </c>
      <c r="N588" t="s">
        <v>91</v>
      </c>
      <c r="O588">
        <v>167</v>
      </c>
      <c r="P588" s="49">
        <v>700398</v>
      </c>
    </row>
    <row r="589" spans="10:16" x14ac:dyDescent="0.25">
      <c r="J589">
        <v>570</v>
      </c>
      <c r="K589" s="48">
        <v>38195</v>
      </c>
      <c r="L589" t="s">
        <v>90</v>
      </c>
      <c r="M589" t="s">
        <v>84</v>
      </c>
      <c r="N589" t="s">
        <v>85</v>
      </c>
      <c r="O589">
        <v>79</v>
      </c>
      <c r="P589" s="49">
        <v>659808</v>
      </c>
    </row>
    <row r="590" spans="10:16" x14ac:dyDescent="0.25">
      <c r="J590">
        <v>571</v>
      </c>
      <c r="K590" s="48">
        <v>38195</v>
      </c>
      <c r="L590" t="s">
        <v>92</v>
      </c>
      <c r="M590" t="s">
        <v>84</v>
      </c>
      <c r="N590" t="s">
        <v>91</v>
      </c>
      <c r="O590">
        <v>44</v>
      </c>
      <c r="P590" s="49">
        <v>322036</v>
      </c>
    </row>
    <row r="591" spans="10:16" x14ac:dyDescent="0.25">
      <c r="J591">
        <v>572</v>
      </c>
      <c r="K591" s="48">
        <v>38196</v>
      </c>
      <c r="L591" t="s">
        <v>86</v>
      </c>
      <c r="M591" t="s">
        <v>84</v>
      </c>
      <c r="N591" t="s">
        <v>91</v>
      </c>
      <c r="O591">
        <v>235</v>
      </c>
      <c r="P591" s="49">
        <v>1897155</v>
      </c>
    </row>
    <row r="592" spans="10:16" x14ac:dyDescent="0.25">
      <c r="J592">
        <v>573</v>
      </c>
      <c r="K592" s="48">
        <v>38196</v>
      </c>
      <c r="L592" t="s">
        <v>83</v>
      </c>
      <c r="M592" t="s">
        <v>87</v>
      </c>
      <c r="N592" t="s">
        <v>91</v>
      </c>
      <c r="O592">
        <v>243</v>
      </c>
      <c r="P592" s="49">
        <v>1038825</v>
      </c>
    </row>
    <row r="593" spans="10:16" x14ac:dyDescent="0.25">
      <c r="J593">
        <v>574</v>
      </c>
      <c r="K593" s="48">
        <v>38196</v>
      </c>
      <c r="L593" t="s">
        <v>86</v>
      </c>
      <c r="M593" t="s">
        <v>84</v>
      </c>
      <c r="N593" t="s">
        <v>85</v>
      </c>
      <c r="O593">
        <v>58</v>
      </c>
      <c r="P593" s="49">
        <v>251430</v>
      </c>
    </row>
    <row r="594" spans="10:16" x14ac:dyDescent="0.25">
      <c r="J594">
        <v>575</v>
      </c>
      <c r="K594" s="48">
        <v>38196</v>
      </c>
      <c r="L594" t="s">
        <v>83</v>
      </c>
      <c r="M594" t="s">
        <v>84</v>
      </c>
      <c r="N594" t="s">
        <v>94</v>
      </c>
      <c r="O594">
        <v>280</v>
      </c>
      <c r="P594" s="49">
        <v>1877400</v>
      </c>
    </row>
    <row r="595" spans="10:16" x14ac:dyDescent="0.25">
      <c r="J595">
        <v>576</v>
      </c>
      <c r="K595" s="48">
        <v>38197</v>
      </c>
      <c r="L595" t="s">
        <v>95</v>
      </c>
      <c r="M595" t="s">
        <v>87</v>
      </c>
      <c r="N595" t="s">
        <v>94</v>
      </c>
      <c r="O595">
        <v>54</v>
      </c>
      <c r="P595" s="49">
        <v>435348</v>
      </c>
    </row>
    <row r="596" spans="10:16" x14ac:dyDescent="0.25">
      <c r="J596">
        <v>577</v>
      </c>
      <c r="K596" s="48">
        <v>38197</v>
      </c>
      <c r="L596" t="s">
        <v>89</v>
      </c>
      <c r="M596" t="s">
        <v>87</v>
      </c>
      <c r="N596" t="s">
        <v>94</v>
      </c>
      <c r="O596">
        <v>154</v>
      </c>
      <c r="P596" s="49">
        <v>889658</v>
      </c>
    </row>
    <row r="597" spans="10:16" x14ac:dyDescent="0.25">
      <c r="J597">
        <v>578</v>
      </c>
      <c r="K597" s="48">
        <v>38197</v>
      </c>
      <c r="L597" t="s">
        <v>89</v>
      </c>
      <c r="M597" t="s">
        <v>87</v>
      </c>
      <c r="N597" t="s">
        <v>88</v>
      </c>
      <c r="O597">
        <v>221</v>
      </c>
      <c r="P597" s="49">
        <v>1571973</v>
      </c>
    </row>
    <row r="598" spans="10:16" x14ac:dyDescent="0.25">
      <c r="J598">
        <v>579</v>
      </c>
      <c r="K598" s="48">
        <v>38197</v>
      </c>
      <c r="L598" t="s">
        <v>92</v>
      </c>
      <c r="M598" t="s">
        <v>87</v>
      </c>
      <c r="N598" t="s">
        <v>88</v>
      </c>
      <c r="O598">
        <v>148</v>
      </c>
      <c r="P598" s="49">
        <v>811780</v>
      </c>
    </row>
    <row r="599" spans="10:16" x14ac:dyDescent="0.25">
      <c r="J599">
        <v>580</v>
      </c>
      <c r="K599" s="48">
        <v>38198</v>
      </c>
      <c r="L599" t="s">
        <v>83</v>
      </c>
      <c r="M599" t="s">
        <v>87</v>
      </c>
      <c r="N599" t="s">
        <v>91</v>
      </c>
      <c r="O599">
        <v>226</v>
      </c>
      <c r="P599" s="49">
        <v>1634884</v>
      </c>
    </row>
    <row r="600" spans="10:16" x14ac:dyDescent="0.25">
      <c r="J600">
        <v>581</v>
      </c>
      <c r="K600" s="48">
        <v>38198</v>
      </c>
      <c r="L600" t="s">
        <v>95</v>
      </c>
      <c r="M600" t="s">
        <v>87</v>
      </c>
      <c r="N600" t="s">
        <v>91</v>
      </c>
      <c r="O600">
        <v>230</v>
      </c>
      <c r="P600" s="49">
        <v>1742020</v>
      </c>
    </row>
    <row r="601" spans="10:16" x14ac:dyDescent="0.25">
      <c r="J601">
        <v>582</v>
      </c>
      <c r="K601" s="48">
        <v>38199</v>
      </c>
      <c r="L601" t="s">
        <v>92</v>
      </c>
      <c r="M601" t="s">
        <v>87</v>
      </c>
      <c r="N601" t="s">
        <v>85</v>
      </c>
      <c r="O601">
        <v>290</v>
      </c>
      <c r="P601" s="49">
        <v>2584480</v>
      </c>
    </row>
    <row r="602" spans="10:16" x14ac:dyDescent="0.25">
      <c r="J602">
        <v>583</v>
      </c>
      <c r="K602" s="48">
        <v>38199</v>
      </c>
      <c r="L602" t="s">
        <v>86</v>
      </c>
      <c r="M602" t="s">
        <v>87</v>
      </c>
      <c r="N602" t="s">
        <v>91</v>
      </c>
      <c r="O602">
        <v>297</v>
      </c>
      <c r="P602" s="49">
        <v>1767744</v>
      </c>
    </row>
    <row r="603" spans="10:16" x14ac:dyDescent="0.25">
      <c r="J603">
        <v>584</v>
      </c>
      <c r="K603" s="48">
        <v>38200</v>
      </c>
      <c r="L603" t="s">
        <v>95</v>
      </c>
      <c r="M603" t="s">
        <v>84</v>
      </c>
      <c r="N603" t="s">
        <v>88</v>
      </c>
      <c r="O603">
        <v>257</v>
      </c>
      <c r="P603" s="49">
        <v>1077601</v>
      </c>
    </row>
    <row r="604" spans="10:16" x14ac:dyDescent="0.25">
      <c r="J604">
        <v>585</v>
      </c>
      <c r="K604" s="48">
        <v>38200</v>
      </c>
      <c r="L604" t="s">
        <v>83</v>
      </c>
      <c r="M604" t="s">
        <v>84</v>
      </c>
      <c r="N604" t="s">
        <v>88</v>
      </c>
      <c r="O604">
        <v>161</v>
      </c>
      <c r="P604" s="49">
        <v>1050203</v>
      </c>
    </row>
    <row r="605" spans="10:16" x14ac:dyDescent="0.25">
      <c r="J605">
        <v>586</v>
      </c>
      <c r="K605" s="48">
        <v>38200</v>
      </c>
      <c r="L605" t="s">
        <v>89</v>
      </c>
      <c r="M605" t="s">
        <v>84</v>
      </c>
      <c r="N605" t="s">
        <v>85</v>
      </c>
      <c r="O605">
        <v>77</v>
      </c>
      <c r="P605" s="49">
        <v>613921</v>
      </c>
    </row>
    <row r="606" spans="10:16" x14ac:dyDescent="0.25">
      <c r="J606">
        <v>587</v>
      </c>
      <c r="K606" s="48">
        <v>38201</v>
      </c>
      <c r="L606" t="s">
        <v>93</v>
      </c>
      <c r="M606" t="s">
        <v>84</v>
      </c>
      <c r="N606" t="s">
        <v>94</v>
      </c>
      <c r="O606">
        <v>184</v>
      </c>
      <c r="P606" s="49">
        <v>1286344</v>
      </c>
    </row>
    <row r="607" spans="10:16" x14ac:dyDescent="0.25">
      <c r="J607">
        <v>588</v>
      </c>
      <c r="K607" s="48">
        <v>38201</v>
      </c>
      <c r="L607" t="s">
        <v>86</v>
      </c>
      <c r="M607" t="s">
        <v>84</v>
      </c>
      <c r="N607" t="s">
        <v>91</v>
      </c>
      <c r="O607">
        <v>56</v>
      </c>
      <c r="P607" s="49">
        <v>469168</v>
      </c>
    </row>
    <row r="608" spans="10:16" x14ac:dyDescent="0.25">
      <c r="J608">
        <v>589</v>
      </c>
      <c r="K608" s="48">
        <v>38201</v>
      </c>
      <c r="L608" t="s">
        <v>89</v>
      </c>
      <c r="M608" t="s">
        <v>87</v>
      </c>
      <c r="N608" t="s">
        <v>91</v>
      </c>
      <c r="O608">
        <v>138</v>
      </c>
      <c r="P608" s="49">
        <v>1372686</v>
      </c>
    </row>
    <row r="609" spans="10:16" x14ac:dyDescent="0.25">
      <c r="J609">
        <v>590</v>
      </c>
      <c r="K609" s="48">
        <v>38202</v>
      </c>
      <c r="L609" t="s">
        <v>90</v>
      </c>
      <c r="M609" t="s">
        <v>87</v>
      </c>
      <c r="N609" t="s">
        <v>91</v>
      </c>
      <c r="O609">
        <v>95</v>
      </c>
      <c r="P609" s="49">
        <v>627570</v>
      </c>
    </row>
    <row r="610" spans="10:16" x14ac:dyDescent="0.25">
      <c r="J610">
        <v>591</v>
      </c>
      <c r="K610" s="48">
        <v>38202</v>
      </c>
      <c r="L610" t="s">
        <v>90</v>
      </c>
      <c r="M610" t="s">
        <v>84</v>
      </c>
      <c r="N610" t="s">
        <v>88</v>
      </c>
      <c r="O610">
        <v>46</v>
      </c>
      <c r="P610" s="49">
        <v>435712</v>
      </c>
    </row>
    <row r="611" spans="10:16" x14ac:dyDescent="0.25">
      <c r="J611">
        <v>592</v>
      </c>
      <c r="K611" s="48">
        <v>38202</v>
      </c>
      <c r="L611" t="s">
        <v>83</v>
      </c>
      <c r="M611" t="s">
        <v>84</v>
      </c>
      <c r="N611" t="s">
        <v>88</v>
      </c>
      <c r="O611">
        <v>145</v>
      </c>
      <c r="P611" s="49">
        <v>999630</v>
      </c>
    </row>
    <row r="612" spans="10:16" x14ac:dyDescent="0.25">
      <c r="J612">
        <v>593</v>
      </c>
      <c r="K612" s="48">
        <v>38203</v>
      </c>
      <c r="L612" t="s">
        <v>90</v>
      </c>
      <c r="M612" t="s">
        <v>87</v>
      </c>
      <c r="N612" t="s">
        <v>91</v>
      </c>
      <c r="O612">
        <v>213</v>
      </c>
      <c r="P612" s="49">
        <v>1234974</v>
      </c>
    </row>
    <row r="613" spans="10:16" x14ac:dyDescent="0.25">
      <c r="J613">
        <v>594</v>
      </c>
      <c r="K613" s="48">
        <v>38203</v>
      </c>
      <c r="L613" t="s">
        <v>92</v>
      </c>
      <c r="M613" t="s">
        <v>84</v>
      </c>
      <c r="N613" t="s">
        <v>91</v>
      </c>
      <c r="O613">
        <v>171</v>
      </c>
      <c r="P613" s="49">
        <v>1148436</v>
      </c>
    </row>
    <row r="614" spans="10:16" x14ac:dyDescent="0.25">
      <c r="J614">
        <v>595</v>
      </c>
      <c r="K614" s="48">
        <v>38203</v>
      </c>
      <c r="L614" t="s">
        <v>92</v>
      </c>
      <c r="M614" t="s">
        <v>87</v>
      </c>
      <c r="N614" t="s">
        <v>94</v>
      </c>
      <c r="O614">
        <v>262</v>
      </c>
      <c r="P614" s="49">
        <v>1343798</v>
      </c>
    </row>
    <row r="615" spans="10:16" x14ac:dyDescent="0.25">
      <c r="J615">
        <v>596</v>
      </c>
      <c r="K615" s="48">
        <v>38203</v>
      </c>
      <c r="L615" t="s">
        <v>83</v>
      </c>
      <c r="M615" t="s">
        <v>87</v>
      </c>
      <c r="N615" t="s">
        <v>85</v>
      </c>
      <c r="O615">
        <v>62</v>
      </c>
      <c r="P615" s="49">
        <v>358360</v>
      </c>
    </row>
    <row r="616" spans="10:16" x14ac:dyDescent="0.25">
      <c r="J616">
        <v>597</v>
      </c>
      <c r="K616" s="48">
        <v>38204</v>
      </c>
      <c r="L616" t="s">
        <v>95</v>
      </c>
      <c r="M616" t="s">
        <v>87</v>
      </c>
      <c r="N616" t="s">
        <v>85</v>
      </c>
      <c r="O616">
        <v>71</v>
      </c>
      <c r="P616" s="49">
        <v>323760</v>
      </c>
    </row>
    <row r="617" spans="10:16" x14ac:dyDescent="0.25">
      <c r="J617">
        <v>598</v>
      </c>
      <c r="K617" s="48">
        <v>38205</v>
      </c>
      <c r="L617" t="s">
        <v>95</v>
      </c>
      <c r="M617" t="s">
        <v>87</v>
      </c>
      <c r="N617" t="s">
        <v>85</v>
      </c>
      <c r="O617">
        <v>94</v>
      </c>
      <c r="P617" s="49">
        <v>735456</v>
      </c>
    </row>
    <row r="618" spans="10:16" x14ac:dyDescent="0.25">
      <c r="J618">
        <v>599</v>
      </c>
      <c r="K618" s="48">
        <v>38207</v>
      </c>
      <c r="L618" t="s">
        <v>86</v>
      </c>
      <c r="M618" t="s">
        <v>84</v>
      </c>
      <c r="N618" t="s">
        <v>85</v>
      </c>
      <c r="O618">
        <v>76</v>
      </c>
      <c r="P618" s="49">
        <v>738568</v>
      </c>
    </row>
    <row r="619" spans="10:16" x14ac:dyDescent="0.25">
      <c r="J619">
        <v>600</v>
      </c>
      <c r="K619" s="48">
        <v>38207</v>
      </c>
      <c r="L619" t="s">
        <v>89</v>
      </c>
      <c r="M619" t="s">
        <v>84</v>
      </c>
      <c r="N619" t="s">
        <v>94</v>
      </c>
      <c r="O619">
        <v>289</v>
      </c>
      <c r="P619" s="49">
        <v>1275646</v>
      </c>
    </row>
    <row r="620" spans="10:16" x14ac:dyDescent="0.25">
      <c r="J620">
        <v>601</v>
      </c>
      <c r="K620" s="48">
        <v>38207</v>
      </c>
      <c r="L620" t="s">
        <v>95</v>
      </c>
      <c r="M620" t="s">
        <v>84</v>
      </c>
      <c r="N620" t="s">
        <v>88</v>
      </c>
      <c r="O620">
        <v>147</v>
      </c>
      <c r="P620" s="49">
        <v>919632</v>
      </c>
    </row>
    <row r="621" spans="10:16" x14ac:dyDescent="0.25">
      <c r="J621">
        <v>602</v>
      </c>
      <c r="K621" s="48">
        <v>38208</v>
      </c>
      <c r="L621" t="s">
        <v>92</v>
      </c>
      <c r="M621" t="s">
        <v>87</v>
      </c>
      <c r="N621" t="s">
        <v>88</v>
      </c>
      <c r="O621">
        <v>227</v>
      </c>
      <c r="P621" s="49">
        <v>1218763</v>
      </c>
    </row>
    <row r="622" spans="10:16" x14ac:dyDescent="0.25">
      <c r="J622">
        <v>603</v>
      </c>
      <c r="K622" s="48">
        <v>38208</v>
      </c>
      <c r="L622" t="s">
        <v>95</v>
      </c>
      <c r="M622" t="s">
        <v>84</v>
      </c>
      <c r="N622" t="s">
        <v>94</v>
      </c>
      <c r="O622">
        <v>174</v>
      </c>
      <c r="P622" s="49">
        <v>1408182</v>
      </c>
    </row>
    <row r="623" spans="10:16" x14ac:dyDescent="0.25">
      <c r="J623">
        <v>604</v>
      </c>
      <c r="K623" s="48">
        <v>38209</v>
      </c>
      <c r="L623" t="s">
        <v>86</v>
      </c>
      <c r="M623" t="s">
        <v>84</v>
      </c>
      <c r="N623" t="s">
        <v>85</v>
      </c>
      <c r="O623">
        <v>149</v>
      </c>
      <c r="P623" s="49">
        <v>704323</v>
      </c>
    </row>
    <row r="624" spans="10:16" x14ac:dyDescent="0.25">
      <c r="J624">
        <v>605</v>
      </c>
      <c r="K624" s="48">
        <v>38209</v>
      </c>
      <c r="L624" t="s">
        <v>93</v>
      </c>
      <c r="M624" t="s">
        <v>84</v>
      </c>
      <c r="N624" t="s">
        <v>85</v>
      </c>
      <c r="O624">
        <v>212</v>
      </c>
      <c r="P624" s="49">
        <v>1817264</v>
      </c>
    </row>
    <row r="625" spans="10:16" x14ac:dyDescent="0.25">
      <c r="J625">
        <v>606</v>
      </c>
      <c r="K625" s="48">
        <v>38209</v>
      </c>
      <c r="L625" t="s">
        <v>83</v>
      </c>
      <c r="M625" t="s">
        <v>84</v>
      </c>
      <c r="N625" t="s">
        <v>85</v>
      </c>
      <c r="O625">
        <v>45</v>
      </c>
      <c r="P625" s="49">
        <v>360765</v>
      </c>
    </row>
    <row r="626" spans="10:16" x14ac:dyDescent="0.25">
      <c r="J626">
        <v>607</v>
      </c>
      <c r="K626" s="48">
        <v>38209</v>
      </c>
      <c r="L626" t="s">
        <v>83</v>
      </c>
      <c r="M626" t="s">
        <v>87</v>
      </c>
      <c r="N626" t="s">
        <v>94</v>
      </c>
      <c r="O626">
        <v>49</v>
      </c>
      <c r="P626" s="49">
        <v>418019</v>
      </c>
    </row>
    <row r="627" spans="10:16" x14ac:dyDescent="0.25">
      <c r="J627">
        <v>608</v>
      </c>
      <c r="K627" s="48">
        <v>38210</v>
      </c>
      <c r="L627" t="s">
        <v>90</v>
      </c>
      <c r="M627" t="s">
        <v>87</v>
      </c>
      <c r="N627" t="s">
        <v>85</v>
      </c>
      <c r="O627">
        <v>210</v>
      </c>
      <c r="P627" s="49">
        <v>1117620</v>
      </c>
    </row>
    <row r="628" spans="10:16" x14ac:dyDescent="0.25">
      <c r="J628">
        <v>609</v>
      </c>
      <c r="K628" s="48">
        <v>38210</v>
      </c>
      <c r="L628" t="s">
        <v>90</v>
      </c>
      <c r="M628" t="s">
        <v>87</v>
      </c>
      <c r="N628" t="s">
        <v>85</v>
      </c>
      <c r="O628">
        <v>287</v>
      </c>
      <c r="P628" s="49">
        <v>1790880</v>
      </c>
    </row>
    <row r="629" spans="10:16" x14ac:dyDescent="0.25">
      <c r="J629">
        <v>610</v>
      </c>
      <c r="K629" s="48">
        <v>38210</v>
      </c>
      <c r="L629" t="s">
        <v>86</v>
      </c>
      <c r="M629" t="s">
        <v>87</v>
      </c>
      <c r="N629" t="s">
        <v>94</v>
      </c>
      <c r="O629">
        <v>127</v>
      </c>
      <c r="P629" s="49">
        <v>1058545</v>
      </c>
    </row>
    <row r="630" spans="10:16" x14ac:dyDescent="0.25">
      <c r="J630">
        <v>611</v>
      </c>
      <c r="K630" s="48">
        <v>38210</v>
      </c>
      <c r="L630" t="s">
        <v>95</v>
      </c>
      <c r="M630" t="s">
        <v>87</v>
      </c>
      <c r="N630" t="s">
        <v>94</v>
      </c>
      <c r="O630">
        <v>294</v>
      </c>
      <c r="P630" s="49">
        <v>2658936</v>
      </c>
    </row>
    <row r="631" spans="10:16" x14ac:dyDescent="0.25">
      <c r="J631">
        <v>612</v>
      </c>
      <c r="K631" s="48">
        <v>38210</v>
      </c>
      <c r="L631" t="s">
        <v>95</v>
      </c>
      <c r="M631" t="s">
        <v>84</v>
      </c>
      <c r="N631" t="s">
        <v>88</v>
      </c>
      <c r="O631">
        <v>92</v>
      </c>
      <c r="P631" s="49">
        <v>879244</v>
      </c>
    </row>
    <row r="632" spans="10:16" x14ac:dyDescent="0.25">
      <c r="J632">
        <v>613</v>
      </c>
      <c r="K632" s="48">
        <v>38210</v>
      </c>
      <c r="L632" t="s">
        <v>92</v>
      </c>
      <c r="M632" t="s">
        <v>87</v>
      </c>
      <c r="N632" t="s">
        <v>94</v>
      </c>
      <c r="O632">
        <v>225</v>
      </c>
      <c r="P632" s="49">
        <v>1879200</v>
      </c>
    </row>
    <row r="633" spans="10:16" x14ac:dyDescent="0.25">
      <c r="J633">
        <v>614</v>
      </c>
      <c r="K633" s="48">
        <v>38211</v>
      </c>
      <c r="L633" t="s">
        <v>95</v>
      </c>
      <c r="M633" t="s">
        <v>84</v>
      </c>
      <c r="N633" t="s">
        <v>94</v>
      </c>
      <c r="O633">
        <v>241</v>
      </c>
      <c r="P633" s="49">
        <v>1085705</v>
      </c>
    </row>
    <row r="634" spans="10:16" x14ac:dyDescent="0.25">
      <c r="J634">
        <v>615</v>
      </c>
      <c r="K634" s="48">
        <v>38211</v>
      </c>
      <c r="L634" t="s">
        <v>86</v>
      </c>
      <c r="M634" t="s">
        <v>87</v>
      </c>
      <c r="N634" t="s">
        <v>85</v>
      </c>
      <c r="O634">
        <v>283</v>
      </c>
      <c r="P634" s="49">
        <v>1992320</v>
      </c>
    </row>
    <row r="635" spans="10:16" x14ac:dyDescent="0.25">
      <c r="J635">
        <v>616</v>
      </c>
      <c r="K635" s="48">
        <v>38211</v>
      </c>
      <c r="L635" t="s">
        <v>93</v>
      </c>
      <c r="M635" t="s">
        <v>84</v>
      </c>
      <c r="N635" t="s">
        <v>94</v>
      </c>
      <c r="O635">
        <v>231</v>
      </c>
      <c r="P635" s="49">
        <v>1237929</v>
      </c>
    </row>
    <row r="636" spans="10:16" x14ac:dyDescent="0.25">
      <c r="J636">
        <v>617</v>
      </c>
      <c r="K636" s="48">
        <v>38212</v>
      </c>
      <c r="L636" t="s">
        <v>93</v>
      </c>
      <c r="M636" t="s">
        <v>87</v>
      </c>
      <c r="N636" t="s">
        <v>85</v>
      </c>
      <c r="O636">
        <v>172</v>
      </c>
      <c r="P636" s="49">
        <v>1283980</v>
      </c>
    </row>
    <row r="637" spans="10:16" x14ac:dyDescent="0.25">
      <c r="J637">
        <v>618</v>
      </c>
      <c r="K637" s="48">
        <v>38212</v>
      </c>
      <c r="L637" t="s">
        <v>89</v>
      </c>
      <c r="M637" t="s">
        <v>84</v>
      </c>
      <c r="N637" t="s">
        <v>85</v>
      </c>
      <c r="O637">
        <v>78</v>
      </c>
      <c r="P637" s="49">
        <v>391560</v>
      </c>
    </row>
    <row r="638" spans="10:16" x14ac:dyDescent="0.25">
      <c r="J638">
        <v>619</v>
      </c>
      <c r="K638" s="48">
        <v>38212</v>
      </c>
      <c r="L638" t="s">
        <v>90</v>
      </c>
      <c r="M638" t="s">
        <v>84</v>
      </c>
      <c r="N638" t="s">
        <v>94</v>
      </c>
      <c r="O638">
        <v>93</v>
      </c>
      <c r="P638" s="49">
        <v>705963</v>
      </c>
    </row>
    <row r="639" spans="10:16" x14ac:dyDescent="0.25">
      <c r="J639">
        <v>620</v>
      </c>
      <c r="K639" s="48">
        <v>38213</v>
      </c>
      <c r="L639" t="s">
        <v>90</v>
      </c>
      <c r="M639" t="s">
        <v>84</v>
      </c>
      <c r="N639" t="s">
        <v>94</v>
      </c>
      <c r="O639">
        <v>58</v>
      </c>
      <c r="P639" s="49">
        <v>406290</v>
      </c>
    </row>
    <row r="640" spans="10:16" x14ac:dyDescent="0.25">
      <c r="J640">
        <v>621</v>
      </c>
      <c r="K640" s="48">
        <v>38213</v>
      </c>
      <c r="L640" t="s">
        <v>92</v>
      </c>
      <c r="M640" t="s">
        <v>87</v>
      </c>
      <c r="N640" t="s">
        <v>91</v>
      </c>
      <c r="O640">
        <v>223</v>
      </c>
      <c r="P640" s="49">
        <v>2171128</v>
      </c>
    </row>
    <row r="641" spans="10:16" x14ac:dyDescent="0.25">
      <c r="J641">
        <v>622</v>
      </c>
      <c r="K641" s="48">
        <v>38213</v>
      </c>
      <c r="L641" t="s">
        <v>93</v>
      </c>
      <c r="M641" t="s">
        <v>87</v>
      </c>
      <c r="N641" t="s">
        <v>94</v>
      </c>
      <c r="O641">
        <v>123</v>
      </c>
      <c r="P641" s="49">
        <v>1116348</v>
      </c>
    </row>
    <row r="642" spans="10:16" x14ac:dyDescent="0.25">
      <c r="J642">
        <v>623</v>
      </c>
      <c r="K642" s="48">
        <v>38214</v>
      </c>
      <c r="L642" t="s">
        <v>86</v>
      </c>
      <c r="M642" t="s">
        <v>87</v>
      </c>
      <c r="N642" t="s">
        <v>91</v>
      </c>
      <c r="O642">
        <v>72</v>
      </c>
      <c r="P642" s="49">
        <v>577656</v>
      </c>
    </row>
    <row r="643" spans="10:16" x14ac:dyDescent="0.25">
      <c r="J643">
        <v>624</v>
      </c>
      <c r="K643" s="48">
        <v>38214</v>
      </c>
      <c r="L643" t="s">
        <v>92</v>
      </c>
      <c r="M643" t="s">
        <v>87</v>
      </c>
      <c r="N643" t="s">
        <v>91</v>
      </c>
      <c r="O643">
        <v>154</v>
      </c>
      <c r="P643" s="49">
        <v>1122352</v>
      </c>
    </row>
    <row r="644" spans="10:16" x14ac:dyDescent="0.25">
      <c r="J644">
        <v>625</v>
      </c>
      <c r="K644" s="48">
        <v>38214</v>
      </c>
      <c r="L644" t="s">
        <v>92</v>
      </c>
      <c r="M644" t="s">
        <v>84</v>
      </c>
      <c r="N644" t="s">
        <v>88</v>
      </c>
      <c r="O644">
        <v>222</v>
      </c>
      <c r="P644" s="49">
        <v>2171826</v>
      </c>
    </row>
    <row r="645" spans="10:16" x14ac:dyDescent="0.25">
      <c r="J645">
        <v>626</v>
      </c>
      <c r="K645" s="48">
        <v>38215</v>
      </c>
      <c r="L645" t="s">
        <v>93</v>
      </c>
      <c r="M645" t="s">
        <v>84</v>
      </c>
      <c r="N645" t="s">
        <v>91</v>
      </c>
      <c r="O645">
        <v>263</v>
      </c>
      <c r="P645" s="49">
        <v>2061131</v>
      </c>
    </row>
    <row r="646" spans="10:16" x14ac:dyDescent="0.25">
      <c r="J646">
        <v>627</v>
      </c>
      <c r="K646" s="48">
        <v>38215</v>
      </c>
      <c r="L646" t="s">
        <v>83</v>
      </c>
      <c r="M646" t="s">
        <v>84</v>
      </c>
      <c r="N646" t="s">
        <v>85</v>
      </c>
      <c r="O646">
        <v>86</v>
      </c>
      <c r="P646" s="49">
        <v>494758</v>
      </c>
    </row>
    <row r="647" spans="10:16" x14ac:dyDescent="0.25">
      <c r="J647">
        <v>628</v>
      </c>
      <c r="K647" s="48">
        <v>38215</v>
      </c>
      <c r="L647" t="s">
        <v>95</v>
      </c>
      <c r="M647" t="s">
        <v>84</v>
      </c>
      <c r="N647" t="s">
        <v>91</v>
      </c>
      <c r="O647">
        <v>212</v>
      </c>
      <c r="P647" s="49">
        <v>1360828</v>
      </c>
    </row>
    <row r="648" spans="10:16" x14ac:dyDescent="0.25">
      <c r="J648">
        <v>629</v>
      </c>
      <c r="K648" s="48">
        <v>38216</v>
      </c>
      <c r="L648" t="s">
        <v>93</v>
      </c>
      <c r="M648" t="s">
        <v>87</v>
      </c>
      <c r="N648" t="s">
        <v>88</v>
      </c>
      <c r="O648">
        <v>249</v>
      </c>
      <c r="P648" s="49">
        <v>1427019</v>
      </c>
    </row>
    <row r="649" spans="10:16" x14ac:dyDescent="0.25">
      <c r="J649">
        <v>630</v>
      </c>
      <c r="K649" s="48">
        <v>38216</v>
      </c>
      <c r="L649" t="s">
        <v>83</v>
      </c>
      <c r="M649" t="s">
        <v>84</v>
      </c>
      <c r="N649" t="s">
        <v>88</v>
      </c>
      <c r="O649">
        <v>170</v>
      </c>
      <c r="P649" s="49">
        <v>1567060</v>
      </c>
    </row>
    <row r="650" spans="10:16" x14ac:dyDescent="0.25">
      <c r="J650">
        <v>631</v>
      </c>
      <c r="K650" s="48">
        <v>38216</v>
      </c>
      <c r="L650" t="s">
        <v>83</v>
      </c>
      <c r="M650" t="s">
        <v>84</v>
      </c>
      <c r="N650" t="s">
        <v>94</v>
      </c>
      <c r="O650">
        <v>272</v>
      </c>
      <c r="P650" s="49">
        <v>1972816</v>
      </c>
    </row>
    <row r="651" spans="10:16" x14ac:dyDescent="0.25">
      <c r="J651">
        <v>632</v>
      </c>
      <c r="K651" s="48">
        <v>38216</v>
      </c>
      <c r="L651" t="s">
        <v>93</v>
      </c>
      <c r="M651" t="s">
        <v>87</v>
      </c>
      <c r="N651" t="s">
        <v>88</v>
      </c>
      <c r="O651">
        <v>201</v>
      </c>
      <c r="P651" s="49">
        <v>1816437</v>
      </c>
    </row>
    <row r="652" spans="10:16" x14ac:dyDescent="0.25">
      <c r="J652">
        <v>633</v>
      </c>
      <c r="K652" s="48">
        <v>38216</v>
      </c>
      <c r="L652" t="s">
        <v>83</v>
      </c>
      <c r="M652" t="s">
        <v>84</v>
      </c>
      <c r="N652" t="s">
        <v>88</v>
      </c>
      <c r="O652">
        <v>167</v>
      </c>
      <c r="P652" s="49">
        <v>1191044</v>
      </c>
    </row>
    <row r="653" spans="10:16" x14ac:dyDescent="0.25">
      <c r="J653">
        <v>634</v>
      </c>
      <c r="K653" s="48">
        <v>38217</v>
      </c>
      <c r="L653" t="s">
        <v>93</v>
      </c>
      <c r="M653" t="s">
        <v>84</v>
      </c>
      <c r="N653" t="s">
        <v>91</v>
      </c>
      <c r="O653">
        <v>283</v>
      </c>
      <c r="P653" s="49">
        <v>2576432</v>
      </c>
    </row>
    <row r="654" spans="10:16" x14ac:dyDescent="0.25">
      <c r="J654">
        <v>635</v>
      </c>
      <c r="K654" s="48">
        <v>38217</v>
      </c>
      <c r="L654" t="s">
        <v>86</v>
      </c>
      <c r="M654" t="s">
        <v>84</v>
      </c>
      <c r="N654" t="s">
        <v>88</v>
      </c>
      <c r="O654">
        <v>197</v>
      </c>
      <c r="P654" s="49">
        <v>981651</v>
      </c>
    </row>
    <row r="655" spans="10:16" x14ac:dyDescent="0.25">
      <c r="J655">
        <v>636</v>
      </c>
      <c r="K655" s="48">
        <v>38217</v>
      </c>
      <c r="L655" t="s">
        <v>93</v>
      </c>
      <c r="M655" t="s">
        <v>84</v>
      </c>
      <c r="N655" t="s">
        <v>91</v>
      </c>
      <c r="O655">
        <v>181</v>
      </c>
      <c r="P655" s="49">
        <v>1161477</v>
      </c>
    </row>
    <row r="656" spans="10:16" x14ac:dyDescent="0.25">
      <c r="J656">
        <v>637</v>
      </c>
      <c r="K656" s="48">
        <v>38217</v>
      </c>
      <c r="L656" t="s">
        <v>83</v>
      </c>
      <c r="M656" t="s">
        <v>84</v>
      </c>
      <c r="N656" t="s">
        <v>94</v>
      </c>
      <c r="O656">
        <v>95</v>
      </c>
      <c r="P656" s="49">
        <v>938030</v>
      </c>
    </row>
    <row r="657" spans="10:16" x14ac:dyDescent="0.25">
      <c r="J657">
        <v>638</v>
      </c>
      <c r="K657" s="48">
        <v>38217</v>
      </c>
      <c r="L657" t="s">
        <v>95</v>
      </c>
      <c r="M657" t="s">
        <v>87</v>
      </c>
      <c r="N657" t="s">
        <v>91</v>
      </c>
      <c r="O657">
        <v>116</v>
      </c>
      <c r="P657" s="49">
        <v>915704</v>
      </c>
    </row>
    <row r="658" spans="10:16" x14ac:dyDescent="0.25">
      <c r="J658">
        <v>639</v>
      </c>
      <c r="K658" s="48">
        <v>38218</v>
      </c>
      <c r="L658" t="s">
        <v>93</v>
      </c>
      <c r="M658" t="s">
        <v>84</v>
      </c>
      <c r="N658" t="s">
        <v>88</v>
      </c>
      <c r="O658">
        <v>277</v>
      </c>
      <c r="P658" s="49">
        <v>2646181</v>
      </c>
    </row>
    <row r="659" spans="10:16" x14ac:dyDescent="0.25">
      <c r="J659">
        <v>640</v>
      </c>
      <c r="K659" s="48">
        <v>38218</v>
      </c>
      <c r="L659" t="s">
        <v>92</v>
      </c>
      <c r="M659" t="s">
        <v>84</v>
      </c>
      <c r="N659" t="s">
        <v>91</v>
      </c>
      <c r="O659">
        <v>182</v>
      </c>
      <c r="P659" s="49">
        <v>1243060</v>
      </c>
    </row>
    <row r="660" spans="10:16" x14ac:dyDescent="0.25">
      <c r="J660">
        <v>641</v>
      </c>
      <c r="K660" s="48">
        <v>38218</v>
      </c>
      <c r="L660" t="s">
        <v>89</v>
      </c>
      <c r="M660" t="s">
        <v>87</v>
      </c>
      <c r="N660" t="s">
        <v>88</v>
      </c>
      <c r="O660">
        <v>249</v>
      </c>
      <c r="P660" s="49">
        <v>2306238</v>
      </c>
    </row>
    <row r="661" spans="10:16" x14ac:dyDescent="0.25">
      <c r="J661">
        <v>642</v>
      </c>
      <c r="K661" s="48">
        <v>38219</v>
      </c>
      <c r="L661" t="s">
        <v>92</v>
      </c>
      <c r="M661" t="s">
        <v>87</v>
      </c>
      <c r="N661" t="s">
        <v>88</v>
      </c>
      <c r="O661">
        <v>119</v>
      </c>
      <c r="P661" s="49">
        <v>711382</v>
      </c>
    </row>
    <row r="662" spans="10:16" x14ac:dyDescent="0.25">
      <c r="J662">
        <v>643</v>
      </c>
      <c r="K662" s="48">
        <v>38219</v>
      </c>
      <c r="L662" t="s">
        <v>92</v>
      </c>
      <c r="M662" t="s">
        <v>84</v>
      </c>
      <c r="N662" t="s">
        <v>85</v>
      </c>
      <c r="O662">
        <v>255</v>
      </c>
      <c r="P662" s="49">
        <v>2338095</v>
      </c>
    </row>
    <row r="663" spans="10:16" x14ac:dyDescent="0.25">
      <c r="J663">
        <v>644</v>
      </c>
      <c r="K663" s="48">
        <v>38219</v>
      </c>
      <c r="L663" t="s">
        <v>92</v>
      </c>
      <c r="M663" t="s">
        <v>84</v>
      </c>
      <c r="N663" t="s">
        <v>91</v>
      </c>
      <c r="O663">
        <v>164</v>
      </c>
      <c r="P663" s="49">
        <v>1162104</v>
      </c>
    </row>
    <row r="664" spans="10:16" x14ac:dyDescent="0.25">
      <c r="J664">
        <v>645</v>
      </c>
      <c r="K664" s="48">
        <v>38219</v>
      </c>
      <c r="L664" t="s">
        <v>92</v>
      </c>
      <c r="M664" t="s">
        <v>87</v>
      </c>
      <c r="N664" t="s">
        <v>91</v>
      </c>
      <c r="O664">
        <v>227</v>
      </c>
      <c r="P664" s="49">
        <v>1917696</v>
      </c>
    </row>
  </sheetData>
  <mergeCells count="13">
    <mergeCell ref="C12:E15"/>
    <mergeCell ref="C17:E18"/>
    <mergeCell ref="C28:E29"/>
    <mergeCell ref="C30:E31"/>
    <mergeCell ref="C33:C34"/>
    <mergeCell ref="D33:E34"/>
    <mergeCell ref="C36:C37"/>
    <mergeCell ref="D36:E37"/>
    <mergeCell ref="C39:C40"/>
    <mergeCell ref="C49:C50"/>
    <mergeCell ref="C19:F19"/>
    <mergeCell ref="C20:F20"/>
    <mergeCell ref="C21:F2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01231-0961-4DE1-84AB-E8B95311AC05}">
  <sheetPr>
    <tabColor theme="7"/>
  </sheetPr>
  <dimension ref="A10:P664"/>
  <sheetViews>
    <sheetView showGridLines="0" zoomScale="85" zoomScaleNormal="85" workbookViewId="0">
      <selection activeCell="D4" sqref="D4"/>
    </sheetView>
  </sheetViews>
  <sheetFormatPr baseColWidth="10" defaultColWidth="9.140625" defaultRowHeight="15" x14ac:dyDescent="0.25"/>
  <cols>
    <col min="1" max="1" width="3.28515625" style="1" customWidth="1"/>
    <col min="2" max="2" width="3.28515625" style="2" customWidth="1"/>
    <col min="3" max="3" width="7.5703125" style="2" customWidth="1"/>
    <col min="4" max="4" width="16" style="2" customWidth="1"/>
    <col min="5" max="5" width="56.5703125" style="2" customWidth="1"/>
    <col min="6" max="6" width="6" style="2" customWidth="1"/>
    <col min="7" max="7" width="8.85546875" style="8" customWidth="1"/>
    <col min="8" max="9" width="9.140625" style="8"/>
    <col min="10" max="10" width="11" style="8" bestFit="1" customWidth="1"/>
    <col min="11" max="11" width="10.7109375" style="8" bestFit="1" customWidth="1"/>
    <col min="12" max="12" width="9.140625" style="8"/>
    <col min="13" max="13" width="10.5703125" style="8" bestFit="1" customWidth="1"/>
    <col min="14" max="14" width="9.140625" style="8"/>
    <col min="15" max="15" width="10.5703125" style="8" bestFit="1" customWidth="1"/>
    <col min="16" max="16" width="14.5703125" style="8" bestFit="1" customWidth="1"/>
    <col min="17" max="16384" width="9.140625" style="8"/>
  </cols>
  <sheetData>
    <row r="10" spans="2:6" ht="15.75" customHeight="1" x14ac:dyDescent="0.25"/>
    <row r="11" spans="2:6" x14ac:dyDescent="0.25">
      <c r="B11" s="3"/>
      <c r="C11" s="3"/>
      <c r="D11" s="3"/>
      <c r="E11" s="3"/>
      <c r="F11" s="3"/>
    </row>
    <row r="12" spans="2:6" ht="33" customHeight="1" x14ac:dyDescent="0.25">
      <c r="B12" s="3"/>
      <c r="C12" s="109" t="s">
        <v>96</v>
      </c>
      <c r="D12" s="109"/>
      <c r="E12" s="109"/>
      <c r="F12" s="3"/>
    </row>
    <row r="13" spans="2:6" ht="15" customHeight="1" x14ac:dyDescent="0.25">
      <c r="B13" s="3"/>
      <c r="C13" s="109"/>
      <c r="D13" s="109"/>
      <c r="E13" s="109"/>
      <c r="F13" s="3"/>
    </row>
    <row r="14" spans="2:6" x14ac:dyDescent="0.25">
      <c r="B14" s="3"/>
      <c r="C14" s="109"/>
      <c r="D14" s="109"/>
      <c r="E14" s="109"/>
      <c r="F14" s="3"/>
    </row>
    <row r="15" spans="2:6" x14ac:dyDescent="0.25">
      <c r="B15" s="3"/>
      <c r="C15" s="109"/>
      <c r="D15" s="109"/>
      <c r="E15" s="109"/>
      <c r="F15" s="3"/>
    </row>
    <row r="16" spans="2:6" ht="15" customHeight="1" x14ac:dyDescent="0.25">
      <c r="B16" s="3"/>
      <c r="C16" s="3"/>
      <c r="D16" s="3"/>
      <c r="E16" s="3"/>
      <c r="F16" s="3"/>
    </row>
    <row r="17" spans="1:16" ht="17.25" customHeight="1" x14ac:dyDescent="0.25">
      <c r="B17" s="3"/>
      <c r="C17" s="110" t="s">
        <v>0</v>
      </c>
      <c r="D17" s="110"/>
      <c r="E17" s="110"/>
      <c r="F17" s="3"/>
    </row>
    <row r="18" spans="1:16" ht="15" customHeight="1" x14ac:dyDescent="0.25">
      <c r="B18" s="3"/>
      <c r="C18" s="110"/>
      <c r="D18" s="110"/>
      <c r="E18" s="110"/>
      <c r="F18" s="3"/>
    </row>
    <row r="19" spans="1:16" ht="30" customHeight="1" x14ac:dyDescent="0.25">
      <c r="B19" s="3"/>
      <c r="C19" s="121" t="s">
        <v>97</v>
      </c>
      <c r="D19" s="121"/>
      <c r="E19" s="121"/>
      <c r="F19" s="121"/>
      <c r="J19" s="50" t="s">
        <v>76</v>
      </c>
      <c r="K19" s="50" t="s">
        <v>77</v>
      </c>
      <c r="L19" s="50" t="s">
        <v>78</v>
      </c>
      <c r="M19" s="50" t="s">
        <v>79</v>
      </c>
      <c r="N19" s="50" t="s">
        <v>80</v>
      </c>
      <c r="O19" s="50" t="s">
        <v>81</v>
      </c>
      <c r="P19" s="50" t="s">
        <v>82</v>
      </c>
    </row>
    <row r="20" spans="1:16" ht="30.75" customHeight="1" x14ac:dyDescent="0.25">
      <c r="B20" s="3"/>
      <c r="C20" s="121" t="s">
        <v>98</v>
      </c>
      <c r="D20" s="121"/>
      <c r="E20" s="121"/>
      <c r="F20" s="121"/>
      <c r="J20">
        <v>1</v>
      </c>
      <c r="K20" s="48">
        <v>37987</v>
      </c>
      <c r="L20" t="s">
        <v>83</v>
      </c>
      <c r="M20" t="s">
        <v>84</v>
      </c>
      <c r="N20" t="s">
        <v>85</v>
      </c>
      <c r="O20">
        <v>291</v>
      </c>
      <c r="P20" s="49">
        <v>2133903</v>
      </c>
    </row>
    <row r="21" spans="1:16" x14ac:dyDescent="0.25">
      <c r="B21" s="3"/>
      <c r="C21" s="10"/>
      <c r="D21" s="4"/>
      <c r="E21" s="4"/>
      <c r="F21" s="3"/>
      <c r="J21">
        <v>2</v>
      </c>
      <c r="K21" s="48">
        <v>37987</v>
      </c>
      <c r="L21" t="s">
        <v>86</v>
      </c>
      <c r="M21" t="s">
        <v>87</v>
      </c>
      <c r="N21" t="s">
        <v>88</v>
      </c>
      <c r="O21">
        <v>199</v>
      </c>
      <c r="P21" s="49">
        <v>1945424</v>
      </c>
    </row>
    <row r="22" spans="1:16" x14ac:dyDescent="0.25">
      <c r="B22" s="3"/>
      <c r="C22" s="10"/>
      <c r="D22" s="4"/>
      <c r="E22" s="4"/>
      <c r="F22" s="3"/>
      <c r="J22">
        <v>3</v>
      </c>
      <c r="K22" s="48">
        <v>37987</v>
      </c>
      <c r="L22" t="s">
        <v>89</v>
      </c>
      <c r="M22" t="s">
        <v>84</v>
      </c>
      <c r="N22" t="s">
        <v>88</v>
      </c>
      <c r="O22">
        <v>82</v>
      </c>
      <c r="P22" s="49">
        <v>712416</v>
      </c>
    </row>
    <row r="23" spans="1:16" x14ac:dyDescent="0.25">
      <c r="B23" s="3"/>
      <c r="C23" s="4"/>
      <c r="D23" s="4"/>
      <c r="E23" s="4"/>
      <c r="F23" s="3"/>
      <c r="J23">
        <v>4</v>
      </c>
      <c r="K23" s="48">
        <v>37988</v>
      </c>
      <c r="L23" t="s">
        <v>83</v>
      </c>
      <c r="M23" t="s">
        <v>84</v>
      </c>
      <c r="N23" t="s">
        <v>88</v>
      </c>
      <c r="O23">
        <v>285</v>
      </c>
      <c r="P23" s="49">
        <v>1815450</v>
      </c>
    </row>
    <row r="24" spans="1:16" x14ac:dyDescent="0.25">
      <c r="B24" s="3"/>
      <c r="C24" s="4"/>
      <c r="D24" s="4"/>
      <c r="E24" s="4"/>
      <c r="F24" s="3"/>
      <c r="J24">
        <v>5</v>
      </c>
      <c r="K24" s="48">
        <v>37988</v>
      </c>
      <c r="L24" t="s">
        <v>90</v>
      </c>
      <c r="M24" t="s">
        <v>87</v>
      </c>
      <c r="N24" t="s">
        <v>91</v>
      </c>
      <c r="O24">
        <v>152</v>
      </c>
      <c r="P24" s="49">
        <v>1138024</v>
      </c>
    </row>
    <row r="25" spans="1:16" x14ac:dyDescent="0.25">
      <c r="B25" s="3"/>
      <c r="C25" s="4"/>
      <c r="D25" s="4"/>
      <c r="E25" s="4"/>
      <c r="F25" s="3"/>
      <c r="J25">
        <v>6</v>
      </c>
      <c r="K25" s="48">
        <v>37989</v>
      </c>
      <c r="L25" t="s">
        <v>92</v>
      </c>
      <c r="M25" t="s">
        <v>84</v>
      </c>
      <c r="N25" t="s">
        <v>88</v>
      </c>
      <c r="O25">
        <v>131</v>
      </c>
      <c r="P25" s="49">
        <v>953156</v>
      </c>
    </row>
    <row r="26" spans="1:16" x14ac:dyDescent="0.25">
      <c r="B26" s="3"/>
      <c r="C26" s="4"/>
      <c r="D26" s="4"/>
      <c r="E26" s="4"/>
      <c r="F26" s="3"/>
      <c r="J26">
        <v>7</v>
      </c>
      <c r="K26" s="48">
        <v>37989</v>
      </c>
      <c r="L26" t="s">
        <v>83</v>
      </c>
      <c r="M26" t="s">
        <v>84</v>
      </c>
      <c r="N26" t="s">
        <v>91</v>
      </c>
      <c r="O26">
        <v>69</v>
      </c>
      <c r="P26" s="49">
        <v>406686</v>
      </c>
    </row>
    <row r="27" spans="1:16" x14ac:dyDescent="0.25">
      <c r="B27" s="3"/>
      <c r="C27" s="4"/>
      <c r="D27" s="4"/>
      <c r="E27" s="4"/>
      <c r="F27" s="3"/>
      <c r="J27">
        <v>8</v>
      </c>
      <c r="K27" s="48">
        <v>37989</v>
      </c>
      <c r="L27" t="s">
        <v>89</v>
      </c>
      <c r="M27" t="s">
        <v>87</v>
      </c>
      <c r="N27" t="s">
        <v>88</v>
      </c>
      <c r="O27">
        <v>235</v>
      </c>
      <c r="P27" s="49">
        <v>2158475</v>
      </c>
    </row>
    <row r="28" spans="1:16" ht="15" customHeight="1" x14ac:dyDescent="0.25">
      <c r="B28" s="3"/>
      <c r="C28" s="110"/>
      <c r="D28" s="110"/>
      <c r="E28" s="110"/>
      <c r="F28" s="3"/>
      <c r="J28">
        <v>9</v>
      </c>
      <c r="K28" s="48">
        <v>37990</v>
      </c>
      <c r="L28" t="s">
        <v>93</v>
      </c>
      <c r="M28" t="s">
        <v>84</v>
      </c>
      <c r="N28" t="s">
        <v>85</v>
      </c>
      <c r="O28">
        <v>108</v>
      </c>
      <c r="P28" s="49">
        <v>1024380</v>
      </c>
    </row>
    <row r="29" spans="1:16" ht="15" customHeight="1" x14ac:dyDescent="0.25">
      <c r="A29" s="5"/>
      <c r="B29" s="3"/>
      <c r="C29" s="110"/>
      <c r="D29" s="110"/>
      <c r="E29" s="110"/>
      <c r="F29" s="3"/>
      <c r="J29">
        <v>10</v>
      </c>
      <c r="K29" s="48">
        <v>37990</v>
      </c>
      <c r="L29" t="s">
        <v>83</v>
      </c>
      <c r="M29" t="s">
        <v>87</v>
      </c>
      <c r="N29" t="s">
        <v>85</v>
      </c>
      <c r="O29">
        <v>299</v>
      </c>
      <c r="P29" s="49">
        <v>2042768</v>
      </c>
    </row>
    <row r="30" spans="1:16" ht="15" customHeight="1" x14ac:dyDescent="0.25">
      <c r="B30" s="3"/>
      <c r="C30" s="112"/>
      <c r="D30" s="112"/>
      <c r="E30" s="112"/>
      <c r="F30" s="3"/>
      <c r="J30">
        <v>11</v>
      </c>
      <c r="K30" s="48">
        <v>37990</v>
      </c>
      <c r="L30" t="s">
        <v>89</v>
      </c>
      <c r="M30" t="s">
        <v>84</v>
      </c>
      <c r="N30" t="s">
        <v>88</v>
      </c>
      <c r="O30">
        <v>124</v>
      </c>
      <c r="P30" s="49">
        <v>627068</v>
      </c>
    </row>
    <row r="31" spans="1:16" x14ac:dyDescent="0.25">
      <c r="B31" s="3"/>
      <c r="C31" s="112"/>
      <c r="D31" s="112"/>
      <c r="E31" s="112"/>
      <c r="F31" s="3"/>
      <c r="J31">
        <v>12</v>
      </c>
      <c r="K31" s="48">
        <v>37990</v>
      </c>
      <c r="L31" t="s">
        <v>92</v>
      </c>
      <c r="M31" t="s">
        <v>87</v>
      </c>
      <c r="N31" t="s">
        <v>88</v>
      </c>
      <c r="O31">
        <v>187</v>
      </c>
      <c r="P31" s="49">
        <v>999328</v>
      </c>
    </row>
    <row r="32" spans="1:16" x14ac:dyDescent="0.25">
      <c r="B32" s="3"/>
      <c r="C32" s="3"/>
      <c r="D32" s="3"/>
      <c r="E32" s="3"/>
      <c r="F32" s="3"/>
      <c r="J32">
        <v>13</v>
      </c>
      <c r="K32" s="48">
        <v>37990</v>
      </c>
      <c r="L32" t="s">
        <v>83</v>
      </c>
      <c r="M32" t="s">
        <v>87</v>
      </c>
      <c r="N32" t="s">
        <v>94</v>
      </c>
      <c r="O32">
        <v>300</v>
      </c>
      <c r="P32" s="49">
        <v>2937300</v>
      </c>
    </row>
    <row r="33" spans="1:16" x14ac:dyDescent="0.25">
      <c r="A33" s="6"/>
      <c r="B33" s="3"/>
      <c r="C33" s="111"/>
      <c r="D33" s="113"/>
      <c r="E33" s="113"/>
      <c r="F33" s="3"/>
      <c r="J33">
        <v>14</v>
      </c>
      <c r="K33" s="48">
        <v>37990</v>
      </c>
      <c r="L33" t="s">
        <v>86</v>
      </c>
      <c r="M33" t="s">
        <v>87</v>
      </c>
      <c r="N33" t="s">
        <v>91</v>
      </c>
      <c r="O33">
        <v>68</v>
      </c>
      <c r="P33" s="49">
        <v>664700</v>
      </c>
    </row>
    <row r="34" spans="1:16" x14ac:dyDescent="0.25">
      <c r="B34" s="3"/>
      <c r="C34" s="111"/>
      <c r="D34" s="113"/>
      <c r="E34" s="113"/>
      <c r="F34" s="3"/>
      <c r="J34">
        <v>15</v>
      </c>
      <c r="K34" s="48">
        <v>37990</v>
      </c>
      <c r="L34" t="s">
        <v>92</v>
      </c>
      <c r="M34" t="s">
        <v>84</v>
      </c>
      <c r="N34" t="s">
        <v>88</v>
      </c>
      <c r="O34">
        <v>176</v>
      </c>
      <c r="P34" s="49">
        <v>820336</v>
      </c>
    </row>
    <row r="35" spans="1:16" ht="15" customHeight="1" x14ac:dyDescent="0.25">
      <c r="A35" s="5"/>
      <c r="B35" s="3"/>
      <c r="C35" s="3"/>
      <c r="D35" s="3"/>
      <c r="E35" s="3"/>
      <c r="F35" s="3"/>
      <c r="J35">
        <v>16</v>
      </c>
      <c r="K35" s="48">
        <v>37991</v>
      </c>
      <c r="L35" t="s">
        <v>95</v>
      </c>
      <c r="M35" t="s">
        <v>84</v>
      </c>
      <c r="N35" t="s">
        <v>88</v>
      </c>
      <c r="O35">
        <v>179</v>
      </c>
      <c r="P35" s="49">
        <v>937960</v>
      </c>
    </row>
    <row r="36" spans="1:16" x14ac:dyDescent="0.25">
      <c r="B36" s="3"/>
      <c r="C36" s="111"/>
      <c r="D36" s="114"/>
      <c r="E36" s="115"/>
      <c r="F36" s="3"/>
      <c r="J36">
        <v>17</v>
      </c>
      <c r="K36" s="48">
        <v>37991</v>
      </c>
      <c r="L36" t="s">
        <v>95</v>
      </c>
      <c r="M36" t="s">
        <v>84</v>
      </c>
      <c r="N36" t="s">
        <v>91</v>
      </c>
      <c r="O36">
        <v>58</v>
      </c>
      <c r="P36" s="49">
        <v>358846</v>
      </c>
    </row>
    <row r="37" spans="1:16" x14ac:dyDescent="0.25">
      <c r="B37" s="3"/>
      <c r="C37" s="111"/>
      <c r="D37" s="115"/>
      <c r="E37" s="115"/>
      <c r="F37" s="3"/>
      <c r="J37">
        <v>18</v>
      </c>
      <c r="K37" s="48">
        <v>37992</v>
      </c>
      <c r="L37" t="s">
        <v>90</v>
      </c>
      <c r="M37" t="s">
        <v>87</v>
      </c>
      <c r="N37" t="s">
        <v>94</v>
      </c>
      <c r="O37">
        <v>283</v>
      </c>
      <c r="P37" s="49">
        <v>1679605</v>
      </c>
    </row>
    <row r="38" spans="1:16" ht="18.75" x14ac:dyDescent="0.25">
      <c r="B38" s="3"/>
      <c r="C38" s="14"/>
      <c r="D38" s="16"/>
      <c r="E38" s="16"/>
      <c r="F38" s="3"/>
      <c r="J38">
        <v>19</v>
      </c>
      <c r="K38" s="48">
        <v>37993</v>
      </c>
      <c r="L38" t="s">
        <v>93</v>
      </c>
      <c r="M38" t="s">
        <v>84</v>
      </c>
      <c r="N38" t="s">
        <v>88</v>
      </c>
      <c r="O38">
        <v>55</v>
      </c>
      <c r="P38" s="49">
        <v>472615</v>
      </c>
    </row>
    <row r="39" spans="1:16" x14ac:dyDescent="0.25">
      <c r="B39" s="3"/>
      <c r="C39" s="111"/>
      <c r="D39" s="16"/>
      <c r="E39" s="16"/>
      <c r="F39" s="3"/>
      <c r="J39">
        <v>20</v>
      </c>
      <c r="K39" s="48">
        <v>37994</v>
      </c>
      <c r="L39" t="s">
        <v>89</v>
      </c>
      <c r="M39" t="s">
        <v>84</v>
      </c>
      <c r="N39" t="s">
        <v>94</v>
      </c>
      <c r="O39">
        <v>148</v>
      </c>
      <c r="P39" s="49">
        <v>1169496</v>
      </c>
    </row>
    <row r="40" spans="1:16" x14ac:dyDescent="0.25">
      <c r="B40" s="3"/>
      <c r="C40" s="111"/>
      <c r="D40" s="16"/>
      <c r="E40" s="16"/>
      <c r="F40" s="3"/>
      <c r="J40">
        <v>21</v>
      </c>
      <c r="K40" s="48">
        <v>37995</v>
      </c>
      <c r="L40" t="s">
        <v>92</v>
      </c>
      <c r="M40" t="s">
        <v>87</v>
      </c>
      <c r="N40" t="s">
        <v>94</v>
      </c>
      <c r="O40">
        <v>228</v>
      </c>
      <c r="P40" s="49">
        <v>2020992</v>
      </c>
    </row>
    <row r="41" spans="1:16" ht="18.75" x14ac:dyDescent="0.25">
      <c r="B41" s="3"/>
      <c r="C41" s="14"/>
      <c r="D41" s="16"/>
      <c r="E41" s="16"/>
      <c r="F41" s="3"/>
      <c r="J41">
        <v>22</v>
      </c>
      <c r="K41" s="48">
        <v>37995</v>
      </c>
      <c r="L41" t="s">
        <v>89</v>
      </c>
      <c r="M41" t="s">
        <v>84</v>
      </c>
      <c r="N41" t="s">
        <v>85</v>
      </c>
      <c r="O41">
        <v>116</v>
      </c>
      <c r="P41" s="49">
        <v>727552</v>
      </c>
    </row>
    <row r="42" spans="1:16" ht="18.75" x14ac:dyDescent="0.25">
      <c r="B42" s="3"/>
      <c r="C42" s="14"/>
      <c r="D42" s="16"/>
      <c r="E42" s="16"/>
      <c r="F42" s="3"/>
      <c r="J42">
        <v>23</v>
      </c>
      <c r="K42" s="48">
        <v>37996</v>
      </c>
      <c r="L42" t="s">
        <v>95</v>
      </c>
      <c r="M42" t="s">
        <v>84</v>
      </c>
      <c r="N42" t="s">
        <v>88</v>
      </c>
      <c r="O42">
        <v>183</v>
      </c>
      <c r="P42" s="49">
        <v>1438929</v>
      </c>
    </row>
    <row r="43" spans="1:16" ht="18.75" x14ac:dyDescent="0.25">
      <c r="B43" s="3"/>
      <c r="C43" s="14"/>
      <c r="D43" s="16"/>
      <c r="E43" s="16"/>
      <c r="F43" s="3"/>
      <c r="J43">
        <v>24</v>
      </c>
      <c r="K43" s="48">
        <v>37996</v>
      </c>
      <c r="L43" t="s">
        <v>89</v>
      </c>
      <c r="M43" t="s">
        <v>84</v>
      </c>
      <c r="N43" t="s">
        <v>91</v>
      </c>
      <c r="O43">
        <v>79</v>
      </c>
      <c r="P43" s="49">
        <v>427390</v>
      </c>
    </row>
    <row r="44" spans="1:16" ht="18.75" x14ac:dyDescent="0.25">
      <c r="B44" s="3"/>
      <c r="C44" s="14"/>
      <c r="D44" s="16"/>
      <c r="E44" s="16"/>
      <c r="F44" s="3"/>
      <c r="J44">
        <v>25</v>
      </c>
      <c r="K44" s="48">
        <v>37996</v>
      </c>
      <c r="L44" t="s">
        <v>89</v>
      </c>
      <c r="M44" t="s">
        <v>84</v>
      </c>
      <c r="N44" t="s">
        <v>94</v>
      </c>
      <c r="O44">
        <v>124</v>
      </c>
      <c r="P44" s="49">
        <v>1170684</v>
      </c>
    </row>
    <row r="45" spans="1:16" ht="18.75" x14ac:dyDescent="0.25">
      <c r="B45" s="3"/>
      <c r="C45" s="14"/>
      <c r="D45" s="16"/>
      <c r="E45" s="16"/>
      <c r="F45" s="3"/>
      <c r="J45">
        <v>26</v>
      </c>
      <c r="K45" s="48">
        <v>37996</v>
      </c>
      <c r="L45" t="s">
        <v>86</v>
      </c>
      <c r="M45" t="s">
        <v>84</v>
      </c>
      <c r="N45" t="s">
        <v>91</v>
      </c>
      <c r="O45">
        <v>70</v>
      </c>
      <c r="P45" s="49">
        <v>549780</v>
      </c>
    </row>
    <row r="46" spans="1:16" ht="18.75" x14ac:dyDescent="0.25">
      <c r="B46" s="3"/>
      <c r="C46" s="14"/>
      <c r="D46" s="16"/>
      <c r="E46" s="16"/>
      <c r="F46" s="3"/>
      <c r="J46">
        <v>27</v>
      </c>
      <c r="K46" s="48">
        <v>37997</v>
      </c>
      <c r="L46" t="s">
        <v>86</v>
      </c>
      <c r="M46" t="s">
        <v>84</v>
      </c>
      <c r="N46" t="s">
        <v>91</v>
      </c>
      <c r="O46">
        <v>70</v>
      </c>
      <c r="P46" s="49">
        <v>659330</v>
      </c>
    </row>
    <row r="47" spans="1:16" ht="18.75" x14ac:dyDescent="0.25">
      <c r="B47" s="3"/>
      <c r="C47" s="14"/>
      <c r="D47" s="16"/>
      <c r="E47" s="16"/>
      <c r="F47" s="3"/>
      <c r="J47">
        <v>28</v>
      </c>
      <c r="K47" s="48">
        <v>37998</v>
      </c>
      <c r="L47" t="s">
        <v>95</v>
      </c>
      <c r="M47" t="s">
        <v>84</v>
      </c>
      <c r="N47" t="s">
        <v>94</v>
      </c>
      <c r="O47">
        <v>187</v>
      </c>
      <c r="P47" s="49">
        <v>1660560</v>
      </c>
    </row>
    <row r="48" spans="1:16" ht="15" customHeight="1" x14ac:dyDescent="0.25">
      <c r="B48" s="3"/>
      <c r="C48" s="12"/>
      <c r="D48" s="3"/>
      <c r="E48" s="3"/>
      <c r="F48" s="3"/>
      <c r="J48">
        <v>29</v>
      </c>
      <c r="K48" s="48">
        <v>37998</v>
      </c>
      <c r="L48" t="s">
        <v>95</v>
      </c>
      <c r="M48" t="s">
        <v>84</v>
      </c>
      <c r="N48" t="s">
        <v>91</v>
      </c>
      <c r="O48">
        <v>91</v>
      </c>
      <c r="P48" s="49">
        <v>753571</v>
      </c>
    </row>
    <row r="49" spans="2:16" ht="15" customHeight="1" x14ac:dyDescent="0.25">
      <c r="B49" s="3"/>
      <c r="C49" s="111"/>
      <c r="D49" s="3"/>
      <c r="E49" s="3"/>
      <c r="F49" s="3"/>
      <c r="J49">
        <v>30</v>
      </c>
      <c r="K49" s="48">
        <v>37998</v>
      </c>
      <c r="L49" t="s">
        <v>86</v>
      </c>
      <c r="M49" t="s">
        <v>84</v>
      </c>
      <c r="N49" t="s">
        <v>91</v>
      </c>
      <c r="O49">
        <v>201</v>
      </c>
      <c r="P49" s="49">
        <v>939072</v>
      </c>
    </row>
    <row r="50" spans="2:16" x14ac:dyDescent="0.25">
      <c r="B50" s="3"/>
      <c r="C50" s="111"/>
      <c r="D50" s="3"/>
      <c r="E50" s="3"/>
      <c r="F50" s="3"/>
      <c r="J50">
        <v>31</v>
      </c>
      <c r="K50" s="48">
        <v>37999</v>
      </c>
      <c r="L50" t="s">
        <v>92</v>
      </c>
      <c r="M50" t="s">
        <v>84</v>
      </c>
      <c r="N50" t="s">
        <v>94</v>
      </c>
      <c r="O50">
        <v>142</v>
      </c>
      <c r="P50" s="49">
        <v>1405374</v>
      </c>
    </row>
    <row r="51" spans="2:16" x14ac:dyDescent="0.25">
      <c r="J51">
        <v>32</v>
      </c>
      <c r="K51" s="48">
        <v>37999</v>
      </c>
      <c r="L51" t="s">
        <v>95</v>
      </c>
      <c r="M51" t="s">
        <v>84</v>
      </c>
      <c r="N51" t="s">
        <v>88</v>
      </c>
      <c r="O51">
        <v>92</v>
      </c>
      <c r="P51" s="49">
        <v>627348</v>
      </c>
    </row>
    <row r="52" spans="2:16" x14ac:dyDescent="0.25">
      <c r="J52">
        <v>33</v>
      </c>
      <c r="K52" s="48">
        <v>38001</v>
      </c>
      <c r="L52" t="s">
        <v>86</v>
      </c>
      <c r="M52" t="s">
        <v>84</v>
      </c>
      <c r="N52" t="s">
        <v>94</v>
      </c>
      <c r="O52">
        <v>181</v>
      </c>
      <c r="P52" s="49">
        <v>1504110</v>
      </c>
    </row>
    <row r="53" spans="2:16" x14ac:dyDescent="0.25">
      <c r="J53">
        <v>34</v>
      </c>
      <c r="K53" s="48">
        <v>38001</v>
      </c>
      <c r="L53" t="s">
        <v>95</v>
      </c>
      <c r="M53" t="s">
        <v>87</v>
      </c>
      <c r="N53" t="s">
        <v>94</v>
      </c>
      <c r="O53">
        <v>281</v>
      </c>
      <c r="P53" s="49">
        <v>2483197</v>
      </c>
    </row>
    <row r="54" spans="2:16" x14ac:dyDescent="0.25">
      <c r="J54">
        <v>35</v>
      </c>
      <c r="K54" s="48">
        <v>38001</v>
      </c>
      <c r="L54" t="s">
        <v>92</v>
      </c>
      <c r="M54" t="s">
        <v>84</v>
      </c>
      <c r="N54" t="s">
        <v>91</v>
      </c>
      <c r="O54">
        <v>257</v>
      </c>
      <c r="P54" s="49">
        <v>1799771</v>
      </c>
    </row>
    <row r="55" spans="2:16" x14ac:dyDescent="0.25">
      <c r="J55">
        <v>36</v>
      </c>
      <c r="K55" s="48">
        <v>38002</v>
      </c>
      <c r="L55" t="s">
        <v>92</v>
      </c>
      <c r="M55" t="s">
        <v>84</v>
      </c>
      <c r="N55" t="s">
        <v>91</v>
      </c>
      <c r="O55">
        <v>140</v>
      </c>
      <c r="P55" s="49">
        <v>1054340</v>
      </c>
    </row>
    <row r="56" spans="2:16" x14ac:dyDescent="0.25">
      <c r="J56">
        <v>37</v>
      </c>
      <c r="K56" s="48">
        <v>38002</v>
      </c>
      <c r="L56" t="s">
        <v>86</v>
      </c>
      <c r="M56" t="s">
        <v>87</v>
      </c>
      <c r="N56" t="s">
        <v>88</v>
      </c>
      <c r="O56">
        <v>229</v>
      </c>
      <c r="P56" s="49">
        <v>1160572</v>
      </c>
    </row>
    <row r="57" spans="2:16" x14ac:dyDescent="0.25">
      <c r="J57">
        <v>38</v>
      </c>
      <c r="K57" s="48">
        <v>38003</v>
      </c>
      <c r="L57" t="s">
        <v>90</v>
      </c>
      <c r="M57" t="s">
        <v>84</v>
      </c>
      <c r="N57" t="s">
        <v>91</v>
      </c>
      <c r="O57">
        <v>300</v>
      </c>
      <c r="P57" s="49">
        <v>1492800</v>
      </c>
    </row>
    <row r="58" spans="2:16" x14ac:dyDescent="0.25">
      <c r="J58">
        <v>39</v>
      </c>
      <c r="K58" s="48">
        <v>38004</v>
      </c>
      <c r="L58" t="s">
        <v>83</v>
      </c>
      <c r="M58" t="s">
        <v>84</v>
      </c>
      <c r="N58" t="s">
        <v>91</v>
      </c>
      <c r="O58">
        <v>215</v>
      </c>
      <c r="P58" s="49">
        <v>1154980</v>
      </c>
    </row>
    <row r="59" spans="2:16" x14ac:dyDescent="0.25">
      <c r="J59">
        <v>40</v>
      </c>
      <c r="K59" s="48">
        <v>38004</v>
      </c>
      <c r="L59" t="s">
        <v>89</v>
      </c>
      <c r="M59" t="s">
        <v>87</v>
      </c>
      <c r="N59" t="s">
        <v>88</v>
      </c>
      <c r="O59">
        <v>182</v>
      </c>
      <c r="P59" s="49">
        <v>1057784</v>
      </c>
    </row>
    <row r="60" spans="2:16" x14ac:dyDescent="0.25">
      <c r="J60">
        <v>41</v>
      </c>
      <c r="K60" s="48">
        <v>38004</v>
      </c>
      <c r="L60" t="s">
        <v>93</v>
      </c>
      <c r="M60" t="s">
        <v>87</v>
      </c>
      <c r="N60" t="s">
        <v>94</v>
      </c>
      <c r="O60">
        <v>230</v>
      </c>
      <c r="P60" s="49">
        <v>1421860</v>
      </c>
    </row>
    <row r="61" spans="2:16" x14ac:dyDescent="0.25">
      <c r="J61">
        <v>42</v>
      </c>
      <c r="K61" s="48">
        <v>38005</v>
      </c>
      <c r="L61" t="s">
        <v>89</v>
      </c>
      <c r="M61" t="s">
        <v>87</v>
      </c>
      <c r="N61" t="s">
        <v>91</v>
      </c>
      <c r="O61">
        <v>168</v>
      </c>
      <c r="P61" s="49">
        <v>1426992</v>
      </c>
    </row>
    <row r="62" spans="2:16" x14ac:dyDescent="0.25">
      <c r="J62">
        <v>43</v>
      </c>
      <c r="K62" s="48">
        <v>38005</v>
      </c>
      <c r="L62" t="s">
        <v>89</v>
      </c>
      <c r="M62" t="s">
        <v>84</v>
      </c>
      <c r="N62" t="s">
        <v>88</v>
      </c>
      <c r="O62">
        <v>74</v>
      </c>
      <c r="P62" s="49">
        <v>579716</v>
      </c>
    </row>
    <row r="63" spans="2:16" x14ac:dyDescent="0.25">
      <c r="J63">
        <v>44</v>
      </c>
      <c r="K63" s="48">
        <v>38005</v>
      </c>
      <c r="L63" t="s">
        <v>95</v>
      </c>
      <c r="M63" t="s">
        <v>87</v>
      </c>
      <c r="N63" t="s">
        <v>88</v>
      </c>
      <c r="O63">
        <v>278</v>
      </c>
      <c r="P63" s="49">
        <v>1537062</v>
      </c>
    </row>
    <row r="64" spans="2:16" x14ac:dyDescent="0.25">
      <c r="J64">
        <v>45</v>
      </c>
      <c r="K64" s="48">
        <v>38006</v>
      </c>
      <c r="L64" t="s">
        <v>89</v>
      </c>
      <c r="M64" t="s">
        <v>84</v>
      </c>
      <c r="N64" t="s">
        <v>94</v>
      </c>
      <c r="O64">
        <v>287</v>
      </c>
      <c r="P64" s="49">
        <v>2851058</v>
      </c>
    </row>
    <row r="65" spans="10:16" x14ac:dyDescent="0.25">
      <c r="J65">
        <v>46</v>
      </c>
      <c r="K65" s="48">
        <v>38006</v>
      </c>
      <c r="L65" t="s">
        <v>89</v>
      </c>
      <c r="M65" t="s">
        <v>84</v>
      </c>
      <c r="N65" t="s">
        <v>85</v>
      </c>
      <c r="O65">
        <v>224</v>
      </c>
      <c r="P65" s="49">
        <v>1294048</v>
      </c>
    </row>
    <row r="66" spans="10:16" x14ac:dyDescent="0.25">
      <c r="J66">
        <v>47</v>
      </c>
      <c r="K66" s="48">
        <v>38006</v>
      </c>
      <c r="L66" t="s">
        <v>93</v>
      </c>
      <c r="M66" t="s">
        <v>84</v>
      </c>
      <c r="N66" t="s">
        <v>94</v>
      </c>
      <c r="O66">
        <v>53</v>
      </c>
      <c r="P66" s="49">
        <v>249418</v>
      </c>
    </row>
    <row r="67" spans="10:16" x14ac:dyDescent="0.25">
      <c r="J67">
        <v>48</v>
      </c>
      <c r="K67" s="48">
        <v>38006</v>
      </c>
      <c r="L67" t="s">
        <v>92</v>
      </c>
      <c r="M67" t="s">
        <v>87</v>
      </c>
      <c r="N67" t="s">
        <v>94</v>
      </c>
      <c r="O67">
        <v>284</v>
      </c>
      <c r="P67" s="49">
        <v>1457488</v>
      </c>
    </row>
    <row r="68" spans="10:16" x14ac:dyDescent="0.25">
      <c r="J68">
        <v>49</v>
      </c>
      <c r="K68" s="48">
        <v>38006</v>
      </c>
      <c r="L68" t="s">
        <v>86</v>
      </c>
      <c r="M68" t="s">
        <v>87</v>
      </c>
      <c r="N68" t="s">
        <v>88</v>
      </c>
      <c r="O68">
        <v>40</v>
      </c>
      <c r="P68" s="49">
        <v>321680</v>
      </c>
    </row>
    <row r="69" spans="10:16" x14ac:dyDescent="0.25">
      <c r="J69">
        <v>50</v>
      </c>
      <c r="K69" s="48">
        <v>38006</v>
      </c>
      <c r="L69" t="s">
        <v>86</v>
      </c>
      <c r="M69" t="s">
        <v>84</v>
      </c>
      <c r="N69" t="s">
        <v>91</v>
      </c>
      <c r="O69">
        <v>235</v>
      </c>
      <c r="P69" s="49">
        <v>957625</v>
      </c>
    </row>
    <row r="70" spans="10:16" x14ac:dyDescent="0.25">
      <c r="J70">
        <v>51</v>
      </c>
      <c r="K70" s="48">
        <v>38006</v>
      </c>
      <c r="L70" t="s">
        <v>92</v>
      </c>
      <c r="M70" t="s">
        <v>87</v>
      </c>
      <c r="N70" t="s">
        <v>85</v>
      </c>
      <c r="O70">
        <v>90</v>
      </c>
      <c r="P70" s="49">
        <v>568620</v>
      </c>
    </row>
    <row r="71" spans="10:16" x14ac:dyDescent="0.25">
      <c r="J71">
        <v>52</v>
      </c>
      <c r="K71" s="48">
        <v>38008</v>
      </c>
      <c r="L71" t="s">
        <v>86</v>
      </c>
      <c r="M71" t="s">
        <v>84</v>
      </c>
      <c r="N71" t="s">
        <v>85</v>
      </c>
      <c r="O71">
        <v>206</v>
      </c>
      <c r="P71" s="49">
        <v>1605564</v>
      </c>
    </row>
    <row r="72" spans="10:16" x14ac:dyDescent="0.25">
      <c r="J72">
        <v>53</v>
      </c>
      <c r="K72" s="48">
        <v>38008</v>
      </c>
      <c r="L72" t="s">
        <v>90</v>
      </c>
      <c r="M72" t="s">
        <v>84</v>
      </c>
      <c r="N72" t="s">
        <v>91</v>
      </c>
      <c r="O72">
        <v>158</v>
      </c>
      <c r="P72" s="49">
        <v>1438748</v>
      </c>
    </row>
    <row r="73" spans="10:16" x14ac:dyDescent="0.25">
      <c r="J73">
        <v>54</v>
      </c>
      <c r="K73" s="48">
        <v>38008</v>
      </c>
      <c r="L73" t="s">
        <v>90</v>
      </c>
      <c r="M73" t="s">
        <v>84</v>
      </c>
      <c r="N73" t="s">
        <v>94</v>
      </c>
      <c r="O73">
        <v>71</v>
      </c>
      <c r="P73" s="49">
        <v>686996</v>
      </c>
    </row>
    <row r="74" spans="10:16" x14ac:dyDescent="0.25">
      <c r="J74">
        <v>55</v>
      </c>
      <c r="K74" s="48">
        <v>38008</v>
      </c>
      <c r="L74" t="s">
        <v>86</v>
      </c>
      <c r="M74" t="s">
        <v>87</v>
      </c>
      <c r="N74" t="s">
        <v>88</v>
      </c>
      <c r="O74">
        <v>127</v>
      </c>
      <c r="P74" s="49">
        <v>983234</v>
      </c>
    </row>
    <row r="75" spans="10:16" x14ac:dyDescent="0.25">
      <c r="J75">
        <v>56</v>
      </c>
      <c r="K75" s="48">
        <v>38009</v>
      </c>
      <c r="L75" t="s">
        <v>93</v>
      </c>
      <c r="M75" t="s">
        <v>87</v>
      </c>
      <c r="N75" t="s">
        <v>85</v>
      </c>
      <c r="O75">
        <v>54</v>
      </c>
      <c r="P75" s="49">
        <v>239220</v>
      </c>
    </row>
    <row r="76" spans="10:16" x14ac:dyDescent="0.25">
      <c r="J76">
        <v>57</v>
      </c>
      <c r="K76" s="48">
        <v>38009</v>
      </c>
      <c r="L76" t="s">
        <v>89</v>
      </c>
      <c r="M76" t="s">
        <v>84</v>
      </c>
      <c r="N76" t="s">
        <v>85</v>
      </c>
      <c r="O76">
        <v>54</v>
      </c>
      <c r="P76" s="49">
        <v>512730</v>
      </c>
    </row>
    <row r="77" spans="10:16" x14ac:dyDescent="0.25">
      <c r="J77">
        <v>58</v>
      </c>
      <c r="K77" s="48">
        <v>38010</v>
      </c>
      <c r="L77" t="s">
        <v>86</v>
      </c>
      <c r="M77" t="s">
        <v>84</v>
      </c>
      <c r="N77" t="s">
        <v>88</v>
      </c>
      <c r="O77">
        <v>274</v>
      </c>
      <c r="P77" s="49">
        <v>2287626</v>
      </c>
    </row>
    <row r="78" spans="10:16" x14ac:dyDescent="0.25">
      <c r="J78">
        <v>59</v>
      </c>
      <c r="K78" s="48">
        <v>38010</v>
      </c>
      <c r="L78" t="s">
        <v>92</v>
      </c>
      <c r="M78" t="s">
        <v>87</v>
      </c>
      <c r="N78" t="s">
        <v>91</v>
      </c>
      <c r="O78">
        <v>166</v>
      </c>
      <c r="P78" s="49">
        <v>1373816</v>
      </c>
    </row>
    <row r="79" spans="10:16" x14ac:dyDescent="0.25">
      <c r="J79">
        <v>60</v>
      </c>
      <c r="K79" s="48">
        <v>38010</v>
      </c>
      <c r="L79" t="s">
        <v>89</v>
      </c>
      <c r="M79" t="s">
        <v>84</v>
      </c>
      <c r="N79" t="s">
        <v>85</v>
      </c>
      <c r="O79">
        <v>270</v>
      </c>
      <c r="P79" s="49">
        <v>1920240</v>
      </c>
    </row>
    <row r="80" spans="10:16" x14ac:dyDescent="0.25">
      <c r="J80">
        <v>61</v>
      </c>
      <c r="K80" s="48">
        <v>38010</v>
      </c>
      <c r="L80" t="s">
        <v>95</v>
      </c>
      <c r="M80" t="s">
        <v>87</v>
      </c>
      <c r="N80" t="s">
        <v>91</v>
      </c>
      <c r="O80">
        <v>120</v>
      </c>
      <c r="P80" s="49">
        <v>1140840</v>
      </c>
    </row>
    <row r="81" spans="10:16" x14ac:dyDescent="0.25">
      <c r="J81">
        <v>62</v>
      </c>
      <c r="K81" s="48">
        <v>38010</v>
      </c>
      <c r="L81" t="s">
        <v>92</v>
      </c>
      <c r="M81" t="s">
        <v>87</v>
      </c>
      <c r="N81" t="s">
        <v>91</v>
      </c>
      <c r="O81">
        <v>178</v>
      </c>
      <c r="P81" s="49">
        <v>1142938</v>
      </c>
    </row>
    <row r="82" spans="10:16" x14ac:dyDescent="0.25">
      <c r="J82">
        <v>63</v>
      </c>
      <c r="K82" s="48">
        <v>38011</v>
      </c>
      <c r="L82" t="s">
        <v>93</v>
      </c>
      <c r="M82" t="s">
        <v>87</v>
      </c>
      <c r="N82" t="s">
        <v>94</v>
      </c>
      <c r="O82">
        <v>144</v>
      </c>
      <c r="P82" s="49">
        <v>738144</v>
      </c>
    </row>
    <row r="83" spans="10:16" x14ac:dyDescent="0.25">
      <c r="J83">
        <v>64</v>
      </c>
      <c r="K83" s="48">
        <v>38012</v>
      </c>
      <c r="L83" t="s">
        <v>92</v>
      </c>
      <c r="M83" t="s">
        <v>87</v>
      </c>
      <c r="N83" t="s">
        <v>85</v>
      </c>
      <c r="O83">
        <v>57</v>
      </c>
      <c r="P83" s="49">
        <v>509010</v>
      </c>
    </row>
    <row r="84" spans="10:16" x14ac:dyDescent="0.25">
      <c r="J84">
        <v>65</v>
      </c>
      <c r="K84" s="48">
        <v>38012</v>
      </c>
      <c r="L84" t="s">
        <v>89</v>
      </c>
      <c r="M84" t="s">
        <v>87</v>
      </c>
      <c r="N84" t="s">
        <v>91</v>
      </c>
      <c r="O84">
        <v>144</v>
      </c>
      <c r="P84" s="49">
        <v>1436832</v>
      </c>
    </row>
    <row r="85" spans="10:16" x14ac:dyDescent="0.25">
      <c r="J85">
        <v>66</v>
      </c>
      <c r="K85" s="48">
        <v>38013</v>
      </c>
      <c r="L85" t="s">
        <v>90</v>
      </c>
      <c r="M85" t="s">
        <v>87</v>
      </c>
      <c r="N85" t="s">
        <v>85</v>
      </c>
      <c r="O85">
        <v>272</v>
      </c>
      <c r="P85" s="49">
        <v>2119424</v>
      </c>
    </row>
    <row r="86" spans="10:16" x14ac:dyDescent="0.25">
      <c r="J86">
        <v>67</v>
      </c>
      <c r="K86" s="48">
        <v>38013</v>
      </c>
      <c r="L86" t="s">
        <v>92</v>
      </c>
      <c r="M86" t="s">
        <v>84</v>
      </c>
      <c r="N86" t="s">
        <v>94</v>
      </c>
      <c r="O86">
        <v>219</v>
      </c>
      <c r="P86" s="49">
        <v>948927</v>
      </c>
    </row>
    <row r="87" spans="10:16" x14ac:dyDescent="0.25">
      <c r="J87">
        <v>68</v>
      </c>
      <c r="K87" s="48">
        <v>38013</v>
      </c>
      <c r="L87" t="s">
        <v>86</v>
      </c>
      <c r="M87" t="s">
        <v>84</v>
      </c>
      <c r="N87" t="s">
        <v>94</v>
      </c>
      <c r="O87">
        <v>68</v>
      </c>
      <c r="P87" s="49">
        <v>376992</v>
      </c>
    </row>
    <row r="88" spans="10:16" x14ac:dyDescent="0.25">
      <c r="J88">
        <v>69</v>
      </c>
      <c r="K88" s="48">
        <v>38013</v>
      </c>
      <c r="L88" t="s">
        <v>86</v>
      </c>
      <c r="M88" t="s">
        <v>87</v>
      </c>
      <c r="N88" t="s">
        <v>88</v>
      </c>
      <c r="O88">
        <v>248</v>
      </c>
      <c r="P88" s="49">
        <v>2212408</v>
      </c>
    </row>
    <row r="89" spans="10:16" x14ac:dyDescent="0.25">
      <c r="J89">
        <v>70</v>
      </c>
      <c r="K89" s="48">
        <v>38014</v>
      </c>
      <c r="L89" t="s">
        <v>95</v>
      </c>
      <c r="M89" t="s">
        <v>84</v>
      </c>
      <c r="N89" t="s">
        <v>91</v>
      </c>
      <c r="O89">
        <v>179</v>
      </c>
      <c r="P89" s="49">
        <v>1647695</v>
      </c>
    </row>
    <row r="90" spans="10:16" x14ac:dyDescent="0.25">
      <c r="J90">
        <v>71</v>
      </c>
      <c r="K90" s="48">
        <v>38014</v>
      </c>
      <c r="L90" t="s">
        <v>95</v>
      </c>
      <c r="M90" t="s">
        <v>87</v>
      </c>
      <c r="N90" t="s">
        <v>88</v>
      </c>
      <c r="O90">
        <v>235</v>
      </c>
      <c r="P90" s="49">
        <v>1939925</v>
      </c>
    </row>
    <row r="91" spans="10:16" x14ac:dyDescent="0.25">
      <c r="J91">
        <v>72</v>
      </c>
      <c r="K91" s="48">
        <v>38014</v>
      </c>
      <c r="L91" t="s">
        <v>90</v>
      </c>
      <c r="M91" t="s">
        <v>87</v>
      </c>
      <c r="N91" t="s">
        <v>91</v>
      </c>
      <c r="O91">
        <v>216</v>
      </c>
      <c r="P91" s="49">
        <v>1478952</v>
      </c>
    </row>
    <row r="92" spans="10:16" x14ac:dyDescent="0.25">
      <c r="J92">
        <v>73</v>
      </c>
      <c r="K92" s="48">
        <v>38014</v>
      </c>
      <c r="L92" t="s">
        <v>83</v>
      </c>
      <c r="M92" t="s">
        <v>84</v>
      </c>
      <c r="N92" t="s">
        <v>94</v>
      </c>
      <c r="O92">
        <v>62</v>
      </c>
      <c r="P92" s="49">
        <v>320044</v>
      </c>
    </row>
    <row r="93" spans="10:16" x14ac:dyDescent="0.25">
      <c r="J93">
        <v>74</v>
      </c>
      <c r="K93" s="48">
        <v>38015</v>
      </c>
      <c r="L93" t="s">
        <v>92</v>
      </c>
      <c r="M93" t="s">
        <v>87</v>
      </c>
      <c r="N93" t="s">
        <v>88</v>
      </c>
      <c r="O93">
        <v>229</v>
      </c>
      <c r="P93" s="49">
        <v>1098055</v>
      </c>
    </row>
    <row r="94" spans="10:16" x14ac:dyDescent="0.25">
      <c r="J94">
        <v>75</v>
      </c>
      <c r="K94" s="48">
        <v>38015</v>
      </c>
      <c r="L94" t="s">
        <v>90</v>
      </c>
      <c r="M94" t="s">
        <v>87</v>
      </c>
      <c r="N94" t="s">
        <v>91</v>
      </c>
      <c r="O94">
        <v>41</v>
      </c>
      <c r="P94" s="49">
        <v>187862</v>
      </c>
    </row>
    <row r="95" spans="10:16" x14ac:dyDescent="0.25">
      <c r="J95">
        <v>76</v>
      </c>
      <c r="K95" s="48">
        <v>38015</v>
      </c>
      <c r="L95" t="s">
        <v>90</v>
      </c>
      <c r="M95" t="s">
        <v>84</v>
      </c>
      <c r="N95" t="s">
        <v>91</v>
      </c>
      <c r="O95">
        <v>234</v>
      </c>
      <c r="P95" s="49">
        <v>1757106</v>
      </c>
    </row>
    <row r="96" spans="10:16" x14ac:dyDescent="0.25">
      <c r="J96">
        <v>77</v>
      </c>
      <c r="K96" s="48">
        <v>38016</v>
      </c>
      <c r="L96" t="s">
        <v>92</v>
      </c>
      <c r="M96" t="s">
        <v>84</v>
      </c>
      <c r="N96" t="s">
        <v>91</v>
      </c>
      <c r="O96">
        <v>112</v>
      </c>
      <c r="P96" s="49">
        <v>1104992</v>
      </c>
    </row>
    <row r="97" spans="1:16" x14ac:dyDescent="0.25">
      <c r="J97">
        <v>78</v>
      </c>
      <c r="K97" s="48">
        <v>38017</v>
      </c>
      <c r="L97" t="s">
        <v>93</v>
      </c>
      <c r="M97" t="s">
        <v>87</v>
      </c>
      <c r="N97" t="s">
        <v>85</v>
      </c>
      <c r="O97">
        <v>87</v>
      </c>
      <c r="P97" s="49">
        <v>448485</v>
      </c>
    </row>
    <row r="98" spans="1:16" x14ac:dyDescent="0.25">
      <c r="J98">
        <v>79</v>
      </c>
      <c r="K98" s="48">
        <v>38017</v>
      </c>
      <c r="L98" t="s">
        <v>83</v>
      </c>
      <c r="M98" t="s">
        <v>87</v>
      </c>
      <c r="N98" t="s">
        <v>94</v>
      </c>
      <c r="O98">
        <v>298</v>
      </c>
      <c r="P98" s="49">
        <v>2520484</v>
      </c>
    </row>
    <row r="99" spans="1:16" x14ac:dyDescent="0.25">
      <c r="J99">
        <v>80</v>
      </c>
      <c r="K99" s="48">
        <v>38017</v>
      </c>
      <c r="L99" t="s">
        <v>83</v>
      </c>
      <c r="M99" t="s">
        <v>84</v>
      </c>
      <c r="N99" t="s">
        <v>94</v>
      </c>
      <c r="O99">
        <v>217</v>
      </c>
      <c r="P99" s="49">
        <v>1339107</v>
      </c>
    </row>
    <row r="100" spans="1:16" x14ac:dyDescent="0.25">
      <c r="J100">
        <v>81</v>
      </c>
      <c r="K100" s="48">
        <v>38018</v>
      </c>
      <c r="L100" t="s">
        <v>92</v>
      </c>
      <c r="M100" t="s">
        <v>84</v>
      </c>
      <c r="N100" t="s">
        <v>94</v>
      </c>
      <c r="O100">
        <v>236</v>
      </c>
      <c r="P100" s="49">
        <v>1812244</v>
      </c>
    </row>
    <row r="101" spans="1:16" x14ac:dyDescent="0.25">
      <c r="J101">
        <v>82</v>
      </c>
      <c r="K101" s="48">
        <v>38019</v>
      </c>
      <c r="L101" t="s">
        <v>83</v>
      </c>
      <c r="M101" t="s">
        <v>87</v>
      </c>
      <c r="N101" t="s">
        <v>88</v>
      </c>
      <c r="O101">
        <v>117</v>
      </c>
      <c r="P101" s="49">
        <v>1069731</v>
      </c>
    </row>
    <row r="102" spans="1:16" x14ac:dyDescent="0.25">
      <c r="J102">
        <v>83</v>
      </c>
      <c r="K102" s="48">
        <v>38019</v>
      </c>
      <c r="L102" t="s">
        <v>90</v>
      </c>
      <c r="M102" t="s">
        <v>87</v>
      </c>
      <c r="N102" t="s">
        <v>85</v>
      </c>
      <c r="O102">
        <v>56</v>
      </c>
      <c r="P102" s="49">
        <v>471072</v>
      </c>
    </row>
    <row r="103" spans="1:16" x14ac:dyDescent="0.25">
      <c r="J103">
        <v>84</v>
      </c>
      <c r="K103" s="48">
        <v>38019</v>
      </c>
      <c r="L103" t="s">
        <v>93</v>
      </c>
      <c r="M103" t="s">
        <v>87</v>
      </c>
      <c r="N103" t="s">
        <v>94</v>
      </c>
      <c r="O103">
        <v>94</v>
      </c>
      <c r="P103" s="49">
        <v>470940</v>
      </c>
    </row>
    <row r="104" spans="1:16" x14ac:dyDescent="0.25">
      <c r="J104">
        <v>85</v>
      </c>
      <c r="K104" s="48">
        <v>38019</v>
      </c>
      <c r="L104" t="s">
        <v>86</v>
      </c>
      <c r="M104" t="s">
        <v>84</v>
      </c>
      <c r="N104" t="s">
        <v>94</v>
      </c>
      <c r="O104">
        <v>127</v>
      </c>
      <c r="P104" s="49">
        <v>925322</v>
      </c>
    </row>
    <row r="105" spans="1:16" x14ac:dyDescent="0.25">
      <c r="J105">
        <v>86</v>
      </c>
      <c r="K105" s="48">
        <v>38020</v>
      </c>
      <c r="L105" t="s">
        <v>93</v>
      </c>
      <c r="M105" t="s">
        <v>87</v>
      </c>
      <c r="N105" t="s">
        <v>88</v>
      </c>
      <c r="O105">
        <v>275</v>
      </c>
      <c r="P105" s="49">
        <v>2141700</v>
      </c>
    </row>
    <row r="106" spans="1:16" x14ac:dyDescent="0.25">
      <c r="J106">
        <v>87</v>
      </c>
      <c r="K106" s="48">
        <v>38020</v>
      </c>
      <c r="L106" t="s">
        <v>92</v>
      </c>
      <c r="M106" t="s">
        <v>84</v>
      </c>
      <c r="N106" t="s">
        <v>94</v>
      </c>
      <c r="O106">
        <v>93</v>
      </c>
      <c r="P106" s="49">
        <v>778875</v>
      </c>
    </row>
    <row r="107" spans="1:16" x14ac:dyDescent="0.25">
      <c r="J107">
        <v>88</v>
      </c>
      <c r="K107" s="48">
        <v>38020</v>
      </c>
      <c r="L107" t="s">
        <v>83</v>
      </c>
      <c r="M107" t="s">
        <v>84</v>
      </c>
      <c r="N107" t="s">
        <v>91</v>
      </c>
      <c r="O107">
        <v>58</v>
      </c>
      <c r="P107" s="49">
        <v>421196</v>
      </c>
    </row>
    <row r="108" spans="1:16" x14ac:dyDescent="0.25">
      <c r="J108">
        <v>89</v>
      </c>
      <c r="K108" s="48">
        <v>38021</v>
      </c>
      <c r="L108" t="s">
        <v>86</v>
      </c>
      <c r="M108" t="s">
        <v>84</v>
      </c>
      <c r="N108" t="s">
        <v>94</v>
      </c>
      <c r="O108">
        <v>49</v>
      </c>
      <c r="P108" s="49">
        <v>219716</v>
      </c>
    </row>
    <row r="109" spans="1:16" x14ac:dyDescent="0.25">
      <c r="J109">
        <v>90</v>
      </c>
      <c r="K109" s="48">
        <v>38021</v>
      </c>
      <c r="L109" t="s">
        <v>90</v>
      </c>
      <c r="M109" t="s">
        <v>87</v>
      </c>
      <c r="N109" t="s">
        <v>88</v>
      </c>
      <c r="O109">
        <v>292</v>
      </c>
      <c r="P109" s="49">
        <v>2685816</v>
      </c>
    </row>
    <row r="110" spans="1:16" s="7" customFormat="1" ht="17.45" customHeight="1" x14ac:dyDescent="0.25">
      <c r="A110" s="1"/>
      <c r="B110" s="2"/>
      <c r="C110" s="2"/>
      <c r="D110" s="2"/>
      <c r="E110" s="2"/>
      <c r="F110" s="2"/>
      <c r="G110" s="8"/>
      <c r="J110">
        <v>91</v>
      </c>
      <c r="K110" s="48">
        <v>38021</v>
      </c>
      <c r="L110" t="s">
        <v>92</v>
      </c>
      <c r="M110" t="s">
        <v>84</v>
      </c>
      <c r="N110" t="s">
        <v>94</v>
      </c>
      <c r="O110">
        <v>123</v>
      </c>
      <c r="P110" s="49">
        <v>723609</v>
      </c>
    </row>
    <row r="111" spans="1:16" x14ac:dyDescent="0.25">
      <c r="J111">
        <v>92</v>
      </c>
      <c r="K111" s="48">
        <v>38022</v>
      </c>
      <c r="L111" t="s">
        <v>93</v>
      </c>
      <c r="M111" t="s">
        <v>84</v>
      </c>
      <c r="N111" t="s">
        <v>94</v>
      </c>
      <c r="O111">
        <v>48</v>
      </c>
      <c r="P111" s="49">
        <v>388032</v>
      </c>
    </row>
    <row r="112" spans="1:16" x14ac:dyDescent="0.25">
      <c r="J112">
        <v>93</v>
      </c>
      <c r="K112" s="48">
        <v>38022</v>
      </c>
      <c r="L112" t="s">
        <v>92</v>
      </c>
      <c r="M112" t="s">
        <v>84</v>
      </c>
      <c r="N112" t="s">
        <v>91</v>
      </c>
      <c r="O112">
        <v>132</v>
      </c>
      <c r="P112" s="49">
        <v>922020</v>
      </c>
    </row>
    <row r="113" spans="10:16" x14ac:dyDescent="0.25">
      <c r="J113">
        <v>94</v>
      </c>
      <c r="K113" s="48">
        <v>38023</v>
      </c>
      <c r="L113" t="s">
        <v>92</v>
      </c>
      <c r="M113" t="s">
        <v>84</v>
      </c>
      <c r="N113" t="s">
        <v>94</v>
      </c>
      <c r="O113">
        <v>177</v>
      </c>
      <c r="P113" s="49">
        <v>965358</v>
      </c>
    </row>
    <row r="114" spans="10:16" x14ac:dyDescent="0.25">
      <c r="J114">
        <v>95</v>
      </c>
      <c r="K114" s="48">
        <v>38023</v>
      </c>
      <c r="L114" t="s">
        <v>86</v>
      </c>
      <c r="M114" t="s">
        <v>87</v>
      </c>
      <c r="N114" t="s">
        <v>94</v>
      </c>
      <c r="O114">
        <v>68</v>
      </c>
      <c r="P114" s="49">
        <v>663816</v>
      </c>
    </row>
    <row r="115" spans="10:16" x14ac:dyDescent="0.25">
      <c r="J115">
        <v>96</v>
      </c>
      <c r="K115" s="48">
        <v>38024</v>
      </c>
      <c r="L115" t="s">
        <v>92</v>
      </c>
      <c r="M115" t="s">
        <v>84</v>
      </c>
      <c r="N115" t="s">
        <v>91</v>
      </c>
      <c r="O115">
        <v>103</v>
      </c>
      <c r="P115" s="49">
        <v>728931</v>
      </c>
    </row>
    <row r="116" spans="10:16" x14ac:dyDescent="0.25">
      <c r="J116">
        <v>97</v>
      </c>
      <c r="K116" s="48">
        <v>38024</v>
      </c>
      <c r="L116" t="s">
        <v>90</v>
      </c>
      <c r="M116" t="s">
        <v>87</v>
      </c>
      <c r="N116" t="s">
        <v>91</v>
      </c>
      <c r="O116">
        <v>96</v>
      </c>
      <c r="P116" s="49">
        <v>625536</v>
      </c>
    </row>
    <row r="117" spans="10:16" x14ac:dyDescent="0.25">
      <c r="J117">
        <v>98</v>
      </c>
      <c r="K117" s="48">
        <v>38024</v>
      </c>
      <c r="L117" t="s">
        <v>95</v>
      </c>
      <c r="M117" t="s">
        <v>87</v>
      </c>
      <c r="N117" t="s">
        <v>85</v>
      </c>
      <c r="O117">
        <v>227</v>
      </c>
      <c r="P117" s="49">
        <v>1467782</v>
      </c>
    </row>
    <row r="118" spans="10:16" x14ac:dyDescent="0.25">
      <c r="J118">
        <v>99</v>
      </c>
      <c r="K118" s="48">
        <v>38024</v>
      </c>
      <c r="L118" t="s">
        <v>92</v>
      </c>
      <c r="M118" t="s">
        <v>84</v>
      </c>
      <c r="N118" t="s">
        <v>88</v>
      </c>
      <c r="O118">
        <v>251</v>
      </c>
      <c r="P118" s="49">
        <v>2067236</v>
      </c>
    </row>
    <row r="119" spans="10:16" x14ac:dyDescent="0.25">
      <c r="J119">
        <v>100</v>
      </c>
      <c r="K119" s="48">
        <v>38025</v>
      </c>
      <c r="L119" t="s">
        <v>86</v>
      </c>
      <c r="M119" t="s">
        <v>84</v>
      </c>
      <c r="N119" t="s">
        <v>91</v>
      </c>
      <c r="O119">
        <v>125</v>
      </c>
      <c r="P119" s="49">
        <v>531375</v>
      </c>
    </row>
    <row r="120" spans="10:16" x14ac:dyDescent="0.25">
      <c r="J120">
        <v>101</v>
      </c>
      <c r="K120" s="48">
        <v>38025</v>
      </c>
      <c r="L120" t="s">
        <v>90</v>
      </c>
      <c r="M120" t="s">
        <v>84</v>
      </c>
      <c r="N120" t="s">
        <v>88</v>
      </c>
      <c r="O120">
        <v>162</v>
      </c>
      <c r="P120" s="49">
        <v>710694</v>
      </c>
    </row>
    <row r="121" spans="10:16" x14ac:dyDescent="0.25">
      <c r="J121">
        <v>102</v>
      </c>
      <c r="K121" s="48">
        <v>38025</v>
      </c>
      <c r="L121" t="s">
        <v>86</v>
      </c>
      <c r="M121" t="s">
        <v>87</v>
      </c>
      <c r="N121" t="s">
        <v>94</v>
      </c>
      <c r="O121">
        <v>45</v>
      </c>
      <c r="P121" s="49">
        <v>438435</v>
      </c>
    </row>
    <row r="122" spans="10:16" x14ac:dyDescent="0.25">
      <c r="J122">
        <v>103</v>
      </c>
      <c r="K122" s="48">
        <v>38025</v>
      </c>
      <c r="L122" t="s">
        <v>95</v>
      </c>
      <c r="M122" t="s">
        <v>84</v>
      </c>
      <c r="N122" t="s">
        <v>88</v>
      </c>
      <c r="O122">
        <v>258</v>
      </c>
      <c r="P122" s="49">
        <v>1188090</v>
      </c>
    </row>
    <row r="123" spans="10:16" x14ac:dyDescent="0.25">
      <c r="J123">
        <v>104</v>
      </c>
      <c r="K123" s="48">
        <v>38026</v>
      </c>
      <c r="L123" t="s">
        <v>89</v>
      </c>
      <c r="M123" t="s">
        <v>87</v>
      </c>
      <c r="N123" t="s">
        <v>91</v>
      </c>
      <c r="O123">
        <v>104</v>
      </c>
      <c r="P123" s="49">
        <v>699400</v>
      </c>
    </row>
    <row r="124" spans="10:16" x14ac:dyDescent="0.25">
      <c r="J124">
        <v>105</v>
      </c>
      <c r="K124" s="48">
        <v>38027</v>
      </c>
      <c r="L124" t="s">
        <v>93</v>
      </c>
      <c r="M124" t="s">
        <v>84</v>
      </c>
      <c r="N124" t="s">
        <v>88</v>
      </c>
      <c r="O124">
        <v>238</v>
      </c>
      <c r="P124" s="49">
        <v>1854496</v>
      </c>
    </row>
    <row r="125" spans="10:16" x14ac:dyDescent="0.25">
      <c r="J125">
        <v>106</v>
      </c>
      <c r="K125" s="48">
        <v>38027</v>
      </c>
      <c r="L125" t="s">
        <v>93</v>
      </c>
      <c r="M125" t="s">
        <v>84</v>
      </c>
      <c r="N125" t="s">
        <v>85</v>
      </c>
      <c r="O125">
        <v>300</v>
      </c>
      <c r="P125" s="49">
        <v>2105700</v>
      </c>
    </row>
    <row r="126" spans="10:16" x14ac:dyDescent="0.25">
      <c r="J126">
        <v>107</v>
      </c>
      <c r="K126" s="48">
        <v>38027</v>
      </c>
      <c r="L126" t="s">
        <v>90</v>
      </c>
      <c r="M126" t="s">
        <v>84</v>
      </c>
      <c r="N126" t="s">
        <v>88</v>
      </c>
      <c r="O126">
        <v>222</v>
      </c>
      <c r="P126" s="49">
        <v>1791318</v>
      </c>
    </row>
    <row r="127" spans="10:16" x14ac:dyDescent="0.25">
      <c r="J127">
        <v>108</v>
      </c>
      <c r="K127" s="48">
        <v>38029</v>
      </c>
      <c r="L127" t="s">
        <v>90</v>
      </c>
      <c r="M127" t="s">
        <v>84</v>
      </c>
      <c r="N127" t="s">
        <v>91</v>
      </c>
      <c r="O127">
        <v>187</v>
      </c>
      <c r="P127" s="49">
        <v>1782297</v>
      </c>
    </row>
    <row r="128" spans="10:16" x14ac:dyDescent="0.25">
      <c r="J128">
        <v>109</v>
      </c>
      <c r="K128" s="48">
        <v>38029</v>
      </c>
      <c r="L128" t="s">
        <v>90</v>
      </c>
      <c r="M128" t="s">
        <v>84</v>
      </c>
      <c r="N128" t="s">
        <v>94</v>
      </c>
      <c r="O128">
        <v>300</v>
      </c>
      <c r="P128" s="49">
        <v>1528200</v>
      </c>
    </row>
    <row r="129" spans="10:16" x14ac:dyDescent="0.25">
      <c r="J129">
        <v>110</v>
      </c>
      <c r="K129" s="48">
        <v>38029</v>
      </c>
      <c r="L129" t="s">
        <v>83</v>
      </c>
      <c r="M129" t="s">
        <v>87</v>
      </c>
      <c r="N129" t="s">
        <v>94</v>
      </c>
      <c r="O129">
        <v>206</v>
      </c>
      <c r="P129" s="49">
        <v>1587642</v>
      </c>
    </row>
    <row r="130" spans="10:16" x14ac:dyDescent="0.25">
      <c r="J130">
        <v>111</v>
      </c>
      <c r="K130" s="48">
        <v>38030</v>
      </c>
      <c r="L130" t="s">
        <v>90</v>
      </c>
      <c r="M130" t="s">
        <v>84</v>
      </c>
      <c r="N130" t="s">
        <v>91</v>
      </c>
      <c r="O130">
        <v>162</v>
      </c>
      <c r="P130" s="49">
        <v>954666</v>
      </c>
    </row>
    <row r="131" spans="10:16" x14ac:dyDescent="0.25">
      <c r="J131">
        <v>112</v>
      </c>
      <c r="K131" s="48">
        <v>38030</v>
      </c>
      <c r="L131" t="s">
        <v>86</v>
      </c>
      <c r="M131" t="s">
        <v>84</v>
      </c>
      <c r="N131" t="s">
        <v>85</v>
      </c>
      <c r="O131">
        <v>160</v>
      </c>
      <c r="P131" s="49">
        <v>1064800</v>
      </c>
    </row>
    <row r="132" spans="10:16" x14ac:dyDescent="0.25">
      <c r="J132">
        <v>113</v>
      </c>
      <c r="K132" s="48">
        <v>38030</v>
      </c>
      <c r="L132" t="s">
        <v>90</v>
      </c>
      <c r="M132" t="s">
        <v>84</v>
      </c>
      <c r="N132" t="s">
        <v>94</v>
      </c>
      <c r="O132">
        <v>89</v>
      </c>
      <c r="P132" s="49">
        <v>887241</v>
      </c>
    </row>
    <row r="133" spans="10:16" x14ac:dyDescent="0.25">
      <c r="J133">
        <v>114</v>
      </c>
      <c r="K133" s="48">
        <v>38031</v>
      </c>
      <c r="L133" t="s">
        <v>90</v>
      </c>
      <c r="M133" t="s">
        <v>87</v>
      </c>
      <c r="N133" t="s">
        <v>88</v>
      </c>
      <c r="O133">
        <v>103</v>
      </c>
      <c r="P133" s="49">
        <v>806799</v>
      </c>
    </row>
    <row r="134" spans="10:16" x14ac:dyDescent="0.25">
      <c r="J134">
        <v>115</v>
      </c>
      <c r="K134" s="48">
        <v>38031</v>
      </c>
      <c r="L134" t="s">
        <v>92</v>
      </c>
      <c r="M134" t="s">
        <v>87</v>
      </c>
      <c r="N134" t="s">
        <v>91</v>
      </c>
      <c r="O134">
        <v>54</v>
      </c>
      <c r="P134" s="49">
        <v>438750</v>
      </c>
    </row>
    <row r="135" spans="10:16" x14ac:dyDescent="0.25">
      <c r="J135">
        <v>116</v>
      </c>
      <c r="K135" s="48">
        <v>38032</v>
      </c>
      <c r="L135" t="s">
        <v>83</v>
      </c>
      <c r="M135" t="s">
        <v>87</v>
      </c>
      <c r="N135" t="s">
        <v>88</v>
      </c>
      <c r="O135">
        <v>103</v>
      </c>
      <c r="P135" s="49">
        <v>973659</v>
      </c>
    </row>
    <row r="136" spans="10:16" x14ac:dyDescent="0.25">
      <c r="J136">
        <v>117</v>
      </c>
      <c r="K136" s="48">
        <v>38032</v>
      </c>
      <c r="L136" t="s">
        <v>89</v>
      </c>
      <c r="M136" t="s">
        <v>87</v>
      </c>
      <c r="N136" t="s">
        <v>88</v>
      </c>
      <c r="O136">
        <v>274</v>
      </c>
      <c r="P136" s="49">
        <v>1724008</v>
      </c>
    </row>
    <row r="137" spans="10:16" x14ac:dyDescent="0.25">
      <c r="J137">
        <v>118</v>
      </c>
      <c r="K137" s="48">
        <v>38032</v>
      </c>
      <c r="L137" t="s">
        <v>89</v>
      </c>
      <c r="M137" t="s">
        <v>87</v>
      </c>
      <c r="N137" t="s">
        <v>88</v>
      </c>
      <c r="O137">
        <v>253</v>
      </c>
      <c r="P137" s="49">
        <v>2047276</v>
      </c>
    </row>
    <row r="138" spans="10:16" x14ac:dyDescent="0.25">
      <c r="J138">
        <v>119</v>
      </c>
      <c r="K138" s="48">
        <v>38033</v>
      </c>
      <c r="L138" t="s">
        <v>83</v>
      </c>
      <c r="M138" t="s">
        <v>87</v>
      </c>
      <c r="N138" t="s">
        <v>85</v>
      </c>
      <c r="O138">
        <v>51</v>
      </c>
      <c r="P138" s="49">
        <v>307989</v>
      </c>
    </row>
    <row r="139" spans="10:16" x14ac:dyDescent="0.25">
      <c r="J139">
        <v>120</v>
      </c>
      <c r="K139" s="48">
        <v>38033</v>
      </c>
      <c r="L139" t="s">
        <v>93</v>
      </c>
      <c r="M139" t="s">
        <v>87</v>
      </c>
      <c r="N139" t="s">
        <v>91</v>
      </c>
      <c r="O139">
        <v>174</v>
      </c>
      <c r="P139" s="49">
        <v>973878</v>
      </c>
    </row>
    <row r="140" spans="10:16" x14ac:dyDescent="0.25">
      <c r="J140">
        <v>121</v>
      </c>
      <c r="K140" s="48">
        <v>38034</v>
      </c>
      <c r="L140" t="s">
        <v>83</v>
      </c>
      <c r="M140" t="s">
        <v>87</v>
      </c>
      <c r="N140" t="s">
        <v>94</v>
      </c>
      <c r="O140">
        <v>152</v>
      </c>
      <c r="P140" s="49">
        <v>688864</v>
      </c>
    </row>
    <row r="141" spans="10:16" x14ac:dyDescent="0.25">
      <c r="J141">
        <v>122</v>
      </c>
      <c r="K141" s="48">
        <v>38034</v>
      </c>
      <c r="L141" t="s">
        <v>95</v>
      </c>
      <c r="M141" t="s">
        <v>84</v>
      </c>
      <c r="N141" t="s">
        <v>94</v>
      </c>
      <c r="O141">
        <v>270</v>
      </c>
      <c r="P141" s="49">
        <v>1385910</v>
      </c>
    </row>
    <row r="142" spans="10:16" x14ac:dyDescent="0.25">
      <c r="J142">
        <v>123</v>
      </c>
      <c r="K142" s="48">
        <v>38034</v>
      </c>
      <c r="L142" t="s">
        <v>86</v>
      </c>
      <c r="M142" t="s">
        <v>84</v>
      </c>
      <c r="N142" t="s">
        <v>88</v>
      </c>
      <c r="O142">
        <v>179</v>
      </c>
      <c r="P142" s="49">
        <v>1461356</v>
      </c>
    </row>
    <row r="143" spans="10:16" x14ac:dyDescent="0.25">
      <c r="J143">
        <v>124</v>
      </c>
      <c r="K143" s="48">
        <v>38035</v>
      </c>
      <c r="L143" t="s">
        <v>90</v>
      </c>
      <c r="M143" t="s">
        <v>84</v>
      </c>
      <c r="N143" t="s">
        <v>91</v>
      </c>
      <c r="O143">
        <v>212</v>
      </c>
      <c r="P143" s="49">
        <v>926228</v>
      </c>
    </row>
    <row r="144" spans="10:16" x14ac:dyDescent="0.25">
      <c r="J144">
        <v>125</v>
      </c>
      <c r="K144" s="48">
        <v>38036</v>
      </c>
      <c r="L144" t="s">
        <v>92</v>
      </c>
      <c r="M144" t="s">
        <v>87</v>
      </c>
      <c r="N144" t="s">
        <v>88</v>
      </c>
      <c r="O144">
        <v>118</v>
      </c>
      <c r="P144" s="49">
        <v>1067192</v>
      </c>
    </row>
    <row r="145" spans="10:16" x14ac:dyDescent="0.25">
      <c r="J145">
        <v>126</v>
      </c>
      <c r="K145" s="48">
        <v>38036</v>
      </c>
      <c r="L145" t="s">
        <v>92</v>
      </c>
      <c r="M145" t="s">
        <v>87</v>
      </c>
      <c r="N145" t="s">
        <v>91</v>
      </c>
      <c r="O145">
        <v>194</v>
      </c>
      <c r="P145" s="49">
        <v>1373132</v>
      </c>
    </row>
    <row r="146" spans="10:16" x14ac:dyDescent="0.25">
      <c r="J146">
        <v>127</v>
      </c>
      <c r="K146" s="48">
        <v>38037</v>
      </c>
      <c r="L146" t="s">
        <v>92</v>
      </c>
      <c r="M146" t="s">
        <v>87</v>
      </c>
      <c r="N146" t="s">
        <v>94</v>
      </c>
      <c r="O146">
        <v>139</v>
      </c>
      <c r="P146" s="49">
        <v>1087119</v>
      </c>
    </row>
    <row r="147" spans="10:16" x14ac:dyDescent="0.25">
      <c r="J147">
        <v>128</v>
      </c>
      <c r="K147" s="48">
        <v>38037</v>
      </c>
      <c r="L147" t="s">
        <v>95</v>
      </c>
      <c r="M147" t="s">
        <v>87</v>
      </c>
      <c r="N147" t="s">
        <v>91</v>
      </c>
      <c r="O147">
        <v>130</v>
      </c>
      <c r="P147" s="49">
        <v>1230190</v>
      </c>
    </row>
    <row r="148" spans="10:16" x14ac:dyDescent="0.25">
      <c r="J148">
        <v>129</v>
      </c>
      <c r="K148" s="48">
        <v>38038</v>
      </c>
      <c r="L148" t="s">
        <v>83</v>
      </c>
      <c r="M148" t="s">
        <v>84</v>
      </c>
      <c r="N148" t="s">
        <v>85</v>
      </c>
      <c r="O148">
        <v>206</v>
      </c>
      <c r="P148" s="49">
        <v>1363926</v>
      </c>
    </row>
    <row r="149" spans="10:16" x14ac:dyDescent="0.25">
      <c r="J149">
        <v>130</v>
      </c>
      <c r="K149" s="48">
        <v>38038</v>
      </c>
      <c r="L149" t="s">
        <v>89</v>
      </c>
      <c r="M149" t="s">
        <v>87</v>
      </c>
      <c r="N149" t="s">
        <v>91</v>
      </c>
      <c r="O149">
        <v>216</v>
      </c>
      <c r="P149" s="49">
        <v>1389096</v>
      </c>
    </row>
    <row r="150" spans="10:16" x14ac:dyDescent="0.25">
      <c r="J150">
        <v>131</v>
      </c>
      <c r="K150" s="48">
        <v>38038</v>
      </c>
      <c r="L150" t="s">
        <v>86</v>
      </c>
      <c r="M150" t="s">
        <v>87</v>
      </c>
      <c r="N150" t="s">
        <v>85</v>
      </c>
      <c r="O150">
        <v>55</v>
      </c>
      <c r="P150" s="49">
        <v>477345</v>
      </c>
    </row>
    <row r="151" spans="10:16" x14ac:dyDescent="0.25">
      <c r="J151">
        <v>132</v>
      </c>
      <c r="K151" s="48">
        <v>38038</v>
      </c>
      <c r="L151" t="s">
        <v>89</v>
      </c>
      <c r="M151" t="s">
        <v>87</v>
      </c>
      <c r="N151" t="s">
        <v>91</v>
      </c>
      <c r="O151">
        <v>190</v>
      </c>
      <c r="P151" s="49">
        <v>1268630</v>
      </c>
    </row>
    <row r="152" spans="10:16" x14ac:dyDescent="0.25">
      <c r="J152">
        <v>133</v>
      </c>
      <c r="K152" s="48">
        <v>38039</v>
      </c>
      <c r="L152" t="s">
        <v>90</v>
      </c>
      <c r="M152" t="s">
        <v>84</v>
      </c>
      <c r="N152" t="s">
        <v>91</v>
      </c>
      <c r="O152">
        <v>62</v>
      </c>
      <c r="P152" s="49">
        <v>391964</v>
      </c>
    </row>
    <row r="153" spans="10:16" x14ac:dyDescent="0.25">
      <c r="J153">
        <v>134</v>
      </c>
      <c r="K153" s="48">
        <v>38039</v>
      </c>
      <c r="L153" t="s">
        <v>89</v>
      </c>
      <c r="M153" t="s">
        <v>84</v>
      </c>
      <c r="N153" t="s">
        <v>91</v>
      </c>
      <c r="O153">
        <v>275</v>
      </c>
      <c r="P153" s="49">
        <v>1765225</v>
      </c>
    </row>
    <row r="154" spans="10:16" x14ac:dyDescent="0.25">
      <c r="J154">
        <v>135</v>
      </c>
      <c r="K154" s="48">
        <v>38039</v>
      </c>
      <c r="L154" t="s">
        <v>86</v>
      </c>
      <c r="M154" t="s">
        <v>87</v>
      </c>
      <c r="N154" t="s">
        <v>85</v>
      </c>
      <c r="O154">
        <v>45</v>
      </c>
      <c r="P154" s="49">
        <v>229455</v>
      </c>
    </row>
    <row r="155" spans="10:16" x14ac:dyDescent="0.25">
      <c r="J155">
        <v>136</v>
      </c>
      <c r="K155" s="48">
        <v>38040</v>
      </c>
      <c r="L155" t="s">
        <v>89</v>
      </c>
      <c r="M155" t="s">
        <v>84</v>
      </c>
      <c r="N155" t="s">
        <v>85</v>
      </c>
      <c r="O155">
        <v>105</v>
      </c>
      <c r="P155" s="49">
        <v>624435</v>
      </c>
    </row>
    <row r="156" spans="10:16" x14ac:dyDescent="0.25">
      <c r="J156">
        <v>137</v>
      </c>
      <c r="K156" s="48">
        <v>38040</v>
      </c>
      <c r="L156" t="s">
        <v>95</v>
      </c>
      <c r="M156" t="s">
        <v>87</v>
      </c>
      <c r="N156" t="s">
        <v>94</v>
      </c>
      <c r="O156">
        <v>119</v>
      </c>
      <c r="P156" s="49">
        <v>686154</v>
      </c>
    </row>
    <row r="157" spans="10:16" x14ac:dyDescent="0.25">
      <c r="J157">
        <v>138</v>
      </c>
      <c r="K157" s="48">
        <v>38041</v>
      </c>
      <c r="L157" t="s">
        <v>92</v>
      </c>
      <c r="M157" t="s">
        <v>87</v>
      </c>
      <c r="N157" t="s">
        <v>88</v>
      </c>
      <c r="O157">
        <v>88</v>
      </c>
      <c r="P157" s="49">
        <v>678480</v>
      </c>
    </row>
    <row r="158" spans="10:16" x14ac:dyDescent="0.25">
      <c r="J158">
        <v>139</v>
      </c>
      <c r="K158" s="48">
        <v>38043</v>
      </c>
      <c r="L158" t="s">
        <v>86</v>
      </c>
      <c r="M158" t="s">
        <v>84</v>
      </c>
      <c r="N158" t="s">
        <v>91</v>
      </c>
      <c r="O158">
        <v>63</v>
      </c>
      <c r="P158" s="49">
        <v>533925</v>
      </c>
    </row>
    <row r="159" spans="10:16" x14ac:dyDescent="0.25">
      <c r="J159">
        <v>140</v>
      </c>
      <c r="K159" s="48">
        <v>38043</v>
      </c>
      <c r="L159" t="s">
        <v>93</v>
      </c>
      <c r="M159" t="s">
        <v>87</v>
      </c>
      <c r="N159" t="s">
        <v>94</v>
      </c>
      <c r="O159">
        <v>222</v>
      </c>
      <c r="P159" s="49">
        <v>1076034</v>
      </c>
    </row>
    <row r="160" spans="10:16" x14ac:dyDescent="0.25">
      <c r="J160">
        <v>141</v>
      </c>
      <c r="K160" s="48">
        <v>38044</v>
      </c>
      <c r="L160" t="s">
        <v>90</v>
      </c>
      <c r="M160" t="s">
        <v>87</v>
      </c>
      <c r="N160" t="s">
        <v>94</v>
      </c>
      <c r="O160">
        <v>47</v>
      </c>
      <c r="P160" s="49">
        <v>455477</v>
      </c>
    </row>
    <row r="161" spans="10:16" x14ac:dyDescent="0.25">
      <c r="J161">
        <v>142</v>
      </c>
      <c r="K161" s="48">
        <v>38044</v>
      </c>
      <c r="L161" t="s">
        <v>89</v>
      </c>
      <c r="M161" t="s">
        <v>87</v>
      </c>
      <c r="N161" t="s">
        <v>91</v>
      </c>
      <c r="O161">
        <v>123</v>
      </c>
      <c r="P161" s="49">
        <v>1128156</v>
      </c>
    </row>
    <row r="162" spans="10:16" x14ac:dyDescent="0.25">
      <c r="J162">
        <v>143</v>
      </c>
      <c r="K162" s="48">
        <v>38044</v>
      </c>
      <c r="L162" t="s">
        <v>89</v>
      </c>
      <c r="M162" t="s">
        <v>84</v>
      </c>
      <c r="N162" t="s">
        <v>91</v>
      </c>
      <c r="O162">
        <v>134</v>
      </c>
      <c r="P162" s="49">
        <v>1310520</v>
      </c>
    </row>
    <row r="163" spans="10:16" x14ac:dyDescent="0.25">
      <c r="J163">
        <v>144</v>
      </c>
      <c r="K163" s="48">
        <v>38045</v>
      </c>
      <c r="L163" t="s">
        <v>83</v>
      </c>
      <c r="M163" t="s">
        <v>84</v>
      </c>
      <c r="N163" t="s">
        <v>94</v>
      </c>
      <c r="O163">
        <v>121</v>
      </c>
      <c r="P163" s="49">
        <v>782870</v>
      </c>
    </row>
    <row r="164" spans="10:16" x14ac:dyDescent="0.25">
      <c r="J164">
        <v>145</v>
      </c>
      <c r="K164" s="48">
        <v>38045</v>
      </c>
      <c r="L164" t="s">
        <v>93</v>
      </c>
      <c r="M164" t="s">
        <v>87</v>
      </c>
      <c r="N164" t="s">
        <v>88</v>
      </c>
      <c r="O164">
        <v>50</v>
      </c>
      <c r="P164" s="49">
        <v>315550</v>
      </c>
    </row>
    <row r="165" spans="10:16" x14ac:dyDescent="0.25">
      <c r="J165">
        <v>146</v>
      </c>
      <c r="K165" s="48">
        <v>38045</v>
      </c>
      <c r="L165" t="s">
        <v>83</v>
      </c>
      <c r="M165" t="s">
        <v>87</v>
      </c>
      <c r="N165" t="s">
        <v>88</v>
      </c>
      <c r="O165">
        <v>274</v>
      </c>
      <c r="P165" s="49">
        <v>2028970</v>
      </c>
    </row>
    <row r="166" spans="10:16" x14ac:dyDescent="0.25">
      <c r="J166">
        <v>147</v>
      </c>
      <c r="K166" s="48">
        <v>38045</v>
      </c>
      <c r="L166" t="s">
        <v>83</v>
      </c>
      <c r="M166" t="s">
        <v>84</v>
      </c>
      <c r="N166" t="s">
        <v>94</v>
      </c>
      <c r="O166">
        <v>76</v>
      </c>
      <c r="P166" s="49">
        <v>734388</v>
      </c>
    </row>
    <row r="167" spans="10:16" x14ac:dyDescent="0.25">
      <c r="J167">
        <v>148</v>
      </c>
      <c r="K167" s="48">
        <v>38045</v>
      </c>
      <c r="L167" t="s">
        <v>86</v>
      </c>
      <c r="M167" t="s">
        <v>87</v>
      </c>
      <c r="N167" t="s">
        <v>94</v>
      </c>
      <c r="O167">
        <v>109</v>
      </c>
      <c r="P167" s="49">
        <v>779241</v>
      </c>
    </row>
    <row r="168" spans="10:16" x14ac:dyDescent="0.25">
      <c r="J168">
        <v>149</v>
      </c>
      <c r="K168" s="48">
        <v>38046</v>
      </c>
      <c r="L168" t="s">
        <v>93</v>
      </c>
      <c r="M168" t="s">
        <v>87</v>
      </c>
      <c r="N168" t="s">
        <v>85</v>
      </c>
      <c r="O168">
        <v>249</v>
      </c>
      <c r="P168" s="49">
        <v>1492506</v>
      </c>
    </row>
    <row r="169" spans="10:16" x14ac:dyDescent="0.25">
      <c r="J169">
        <v>150</v>
      </c>
      <c r="K169" s="48">
        <v>38047</v>
      </c>
      <c r="L169" t="s">
        <v>95</v>
      </c>
      <c r="M169" t="s">
        <v>84</v>
      </c>
      <c r="N169" t="s">
        <v>85</v>
      </c>
      <c r="O169">
        <v>212</v>
      </c>
      <c r="P169" s="49">
        <v>1800516</v>
      </c>
    </row>
    <row r="170" spans="10:16" x14ac:dyDescent="0.25">
      <c r="J170">
        <v>151</v>
      </c>
      <c r="K170" s="48">
        <v>38047</v>
      </c>
      <c r="L170" t="s">
        <v>89</v>
      </c>
      <c r="M170" t="s">
        <v>84</v>
      </c>
      <c r="N170" t="s">
        <v>85</v>
      </c>
      <c r="O170">
        <v>128</v>
      </c>
      <c r="P170" s="49">
        <v>1259904</v>
      </c>
    </row>
    <row r="171" spans="10:16" x14ac:dyDescent="0.25">
      <c r="J171">
        <v>152</v>
      </c>
      <c r="K171" s="48">
        <v>38048</v>
      </c>
      <c r="L171" t="s">
        <v>89</v>
      </c>
      <c r="M171" t="s">
        <v>87</v>
      </c>
      <c r="N171" t="s">
        <v>91</v>
      </c>
      <c r="O171">
        <v>172</v>
      </c>
      <c r="P171" s="49">
        <v>1063648</v>
      </c>
    </row>
    <row r="172" spans="10:16" x14ac:dyDescent="0.25">
      <c r="J172">
        <v>153</v>
      </c>
      <c r="K172" s="48">
        <v>38048</v>
      </c>
      <c r="L172" t="s">
        <v>93</v>
      </c>
      <c r="M172" t="s">
        <v>87</v>
      </c>
      <c r="N172" t="s">
        <v>85</v>
      </c>
      <c r="O172">
        <v>68</v>
      </c>
      <c r="P172" s="49">
        <v>434656</v>
      </c>
    </row>
    <row r="173" spans="10:16" x14ac:dyDescent="0.25">
      <c r="J173">
        <v>154</v>
      </c>
      <c r="K173" s="48">
        <v>38048</v>
      </c>
      <c r="L173" t="s">
        <v>92</v>
      </c>
      <c r="M173" t="s">
        <v>84</v>
      </c>
      <c r="N173" t="s">
        <v>85</v>
      </c>
      <c r="O173">
        <v>52</v>
      </c>
      <c r="P173" s="49">
        <v>508924</v>
      </c>
    </row>
    <row r="174" spans="10:16" x14ac:dyDescent="0.25">
      <c r="J174">
        <v>155</v>
      </c>
      <c r="K174" s="48">
        <v>38049</v>
      </c>
      <c r="L174" t="s">
        <v>90</v>
      </c>
      <c r="M174" t="s">
        <v>84</v>
      </c>
      <c r="N174" t="s">
        <v>88</v>
      </c>
      <c r="O174">
        <v>185</v>
      </c>
      <c r="P174" s="49">
        <v>1403595</v>
      </c>
    </row>
    <row r="175" spans="10:16" x14ac:dyDescent="0.25">
      <c r="J175">
        <v>156</v>
      </c>
      <c r="K175" s="48">
        <v>38049</v>
      </c>
      <c r="L175" t="s">
        <v>95</v>
      </c>
      <c r="M175" t="s">
        <v>87</v>
      </c>
      <c r="N175" t="s">
        <v>88</v>
      </c>
      <c r="O175">
        <v>284</v>
      </c>
      <c r="P175" s="49">
        <v>1561432</v>
      </c>
    </row>
    <row r="176" spans="10:16" x14ac:dyDescent="0.25">
      <c r="J176">
        <v>157</v>
      </c>
      <c r="K176" s="48">
        <v>38049</v>
      </c>
      <c r="L176" t="s">
        <v>89</v>
      </c>
      <c r="M176" t="s">
        <v>87</v>
      </c>
      <c r="N176" t="s">
        <v>91</v>
      </c>
      <c r="O176">
        <v>202</v>
      </c>
      <c r="P176" s="49">
        <v>1891932</v>
      </c>
    </row>
    <row r="177" spans="10:16" x14ac:dyDescent="0.25">
      <c r="J177">
        <v>158</v>
      </c>
      <c r="K177" s="48">
        <v>38049</v>
      </c>
      <c r="L177" t="s">
        <v>95</v>
      </c>
      <c r="M177" t="s">
        <v>84</v>
      </c>
      <c r="N177" t="s">
        <v>85</v>
      </c>
      <c r="O177">
        <v>100</v>
      </c>
      <c r="P177" s="49">
        <v>731700</v>
      </c>
    </row>
    <row r="178" spans="10:16" x14ac:dyDescent="0.25">
      <c r="J178">
        <v>159</v>
      </c>
      <c r="K178" s="48">
        <v>38050</v>
      </c>
      <c r="L178" t="s">
        <v>86</v>
      </c>
      <c r="M178" t="s">
        <v>87</v>
      </c>
      <c r="N178" t="s">
        <v>85</v>
      </c>
      <c r="O178">
        <v>106</v>
      </c>
      <c r="P178" s="49">
        <v>563178</v>
      </c>
    </row>
    <row r="179" spans="10:16" x14ac:dyDescent="0.25">
      <c r="J179">
        <v>160</v>
      </c>
      <c r="K179" s="48">
        <v>38050</v>
      </c>
      <c r="L179" t="s">
        <v>95</v>
      </c>
      <c r="M179" t="s">
        <v>87</v>
      </c>
      <c r="N179" t="s">
        <v>91</v>
      </c>
      <c r="O179">
        <v>211</v>
      </c>
      <c r="P179" s="49">
        <v>875228</v>
      </c>
    </row>
    <row r="180" spans="10:16" x14ac:dyDescent="0.25">
      <c r="J180">
        <v>161</v>
      </c>
      <c r="K180" s="48">
        <v>38050</v>
      </c>
      <c r="L180" t="s">
        <v>90</v>
      </c>
      <c r="M180" t="s">
        <v>87</v>
      </c>
      <c r="N180" t="s">
        <v>91</v>
      </c>
      <c r="O180">
        <v>165</v>
      </c>
      <c r="P180" s="49">
        <v>1305480</v>
      </c>
    </row>
    <row r="181" spans="10:16" x14ac:dyDescent="0.25">
      <c r="J181">
        <v>162</v>
      </c>
      <c r="K181" s="48">
        <v>38051</v>
      </c>
      <c r="L181" t="s">
        <v>93</v>
      </c>
      <c r="M181" t="s">
        <v>84</v>
      </c>
      <c r="N181" t="s">
        <v>85</v>
      </c>
      <c r="O181">
        <v>251</v>
      </c>
      <c r="P181" s="49">
        <v>1361675</v>
      </c>
    </row>
    <row r="182" spans="10:16" x14ac:dyDescent="0.25">
      <c r="J182">
        <v>163</v>
      </c>
      <c r="K182" s="48">
        <v>38051</v>
      </c>
      <c r="L182" t="s">
        <v>86</v>
      </c>
      <c r="M182" t="s">
        <v>87</v>
      </c>
      <c r="N182" t="s">
        <v>91</v>
      </c>
      <c r="O182">
        <v>266</v>
      </c>
      <c r="P182" s="49">
        <v>1161090</v>
      </c>
    </row>
    <row r="183" spans="10:16" x14ac:dyDescent="0.25">
      <c r="J183">
        <v>164</v>
      </c>
      <c r="K183" s="48">
        <v>38051</v>
      </c>
      <c r="L183" t="s">
        <v>89</v>
      </c>
      <c r="M183" t="s">
        <v>84</v>
      </c>
      <c r="N183" t="s">
        <v>88</v>
      </c>
      <c r="O183">
        <v>287</v>
      </c>
      <c r="P183" s="49">
        <v>1395681</v>
      </c>
    </row>
    <row r="184" spans="10:16" x14ac:dyDescent="0.25">
      <c r="J184">
        <v>165</v>
      </c>
      <c r="K184" s="48">
        <v>38051</v>
      </c>
      <c r="L184" t="s">
        <v>92</v>
      </c>
      <c r="M184" t="s">
        <v>87</v>
      </c>
      <c r="N184" t="s">
        <v>91</v>
      </c>
      <c r="O184">
        <v>104</v>
      </c>
      <c r="P184" s="49">
        <v>1001104</v>
      </c>
    </row>
    <row r="185" spans="10:16" x14ac:dyDescent="0.25">
      <c r="J185">
        <v>166</v>
      </c>
      <c r="K185" s="48">
        <v>38052</v>
      </c>
      <c r="L185" t="s">
        <v>89</v>
      </c>
      <c r="M185" t="s">
        <v>87</v>
      </c>
      <c r="N185" t="s">
        <v>91</v>
      </c>
      <c r="O185">
        <v>250</v>
      </c>
      <c r="P185" s="49">
        <v>2275500</v>
      </c>
    </row>
    <row r="186" spans="10:16" x14ac:dyDescent="0.25">
      <c r="J186">
        <v>167</v>
      </c>
      <c r="K186" s="48">
        <v>38052</v>
      </c>
      <c r="L186" t="s">
        <v>83</v>
      </c>
      <c r="M186" t="s">
        <v>87</v>
      </c>
      <c r="N186" t="s">
        <v>88</v>
      </c>
      <c r="O186">
        <v>169</v>
      </c>
      <c r="P186" s="49">
        <v>1370759</v>
      </c>
    </row>
    <row r="187" spans="10:16" x14ac:dyDescent="0.25">
      <c r="J187">
        <v>168</v>
      </c>
      <c r="K187" s="48">
        <v>38052</v>
      </c>
      <c r="L187" t="s">
        <v>90</v>
      </c>
      <c r="M187" t="s">
        <v>87</v>
      </c>
      <c r="N187" t="s">
        <v>85</v>
      </c>
      <c r="O187">
        <v>221</v>
      </c>
      <c r="P187" s="49">
        <v>1842035</v>
      </c>
    </row>
    <row r="188" spans="10:16" x14ac:dyDescent="0.25">
      <c r="J188">
        <v>169</v>
      </c>
      <c r="K188" s="48">
        <v>38053</v>
      </c>
      <c r="L188" t="s">
        <v>92</v>
      </c>
      <c r="M188" t="s">
        <v>84</v>
      </c>
      <c r="N188" t="s">
        <v>94</v>
      </c>
      <c r="O188">
        <v>286</v>
      </c>
      <c r="P188" s="49">
        <v>2080078</v>
      </c>
    </row>
    <row r="189" spans="10:16" x14ac:dyDescent="0.25">
      <c r="J189">
        <v>170</v>
      </c>
      <c r="K189" s="48">
        <v>38054</v>
      </c>
      <c r="L189" t="s">
        <v>90</v>
      </c>
      <c r="M189" t="s">
        <v>84</v>
      </c>
      <c r="N189" t="s">
        <v>85</v>
      </c>
      <c r="O189">
        <v>73</v>
      </c>
      <c r="P189" s="49">
        <v>597286</v>
      </c>
    </row>
    <row r="190" spans="10:16" x14ac:dyDescent="0.25">
      <c r="J190">
        <v>171</v>
      </c>
      <c r="K190" s="48">
        <v>38054</v>
      </c>
      <c r="L190" t="s">
        <v>90</v>
      </c>
      <c r="M190" t="s">
        <v>87</v>
      </c>
      <c r="N190" t="s">
        <v>88</v>
      </c>
      <c r="O190">
        <v>144</v>
      </c>
      <c r="P190" s="49">
        <v>1358640</v>
      </c>
    </row>
    <row r="191" spans="10:16" x14ac:dyDescent="0.25">
      <c r="J191">
        <v>172</v>
      </c>
      <c r="K191" s="48">
        <v>38054</v>
      </c>
      <c r="L191" t="s">
        <v>93</v>
      </c>
      <c r="M191" t="s">
        <v>84</v>
      </c>
      <c r="N191" t="s">
        <v>91</v>
      </c>
      <c r="O191">
        <v>108</v>
      </c>
      <c r="P191" s="49">
        <v>558252</v>
      </c>
    </row>
    <row r="192" spans="10:16" x14ac:dyDescent="0.25">
      <c r="J192">
        <v>173</v>
      </c>
      <c r="K192" s="48">
        <v>38055</v>
      </c>
      <c r="L192" t="s">
        <v>89</v>
      </c>
      <c r="M192" t="s">
        <v>87</v>
      </c>
      <c r="N192" t="s">
        <v>88</v>
      </c>
      <c r="O192">
        <v>268</v>
      </c>
      <c r="P192" s="49">
        <v>2400476</v>
      </c>
    </row>
    <row r="193" spans="10:16" x14ac:dyDescent="0.25">
      <c r="J193">
        <v>174</v>
      </c>
      <c r="K193" s="48">
        <v>38055</v>
      </c>
      <c r="L193" t="s">
        <v>93</v>
      </c>
      <c r="M193" t="s">
        <v>84</v>
      </c>
      <c r="N193" t="s">
        <v>85</v>
      </c>
      <c r="O193">
        <v>143</v>
      </c>
      <c r="P193" s="49">
        <v>1131416</v>
      </c>
    </row>
    <row r="194" spans="10:16" x14ac:dyDescent="0.25">
      <c r="J194">
        <v>175</v>
      </c>
      <c r="K194" s="48">
        <v>38056</v>
      </c>
      <c r="L194" t="s">
        <v>86</v>
      </c>
      <c r="M194" t="s">
        <v>87</v>
      </c>
      <c r="N194" t="s">
        <v>94</v>
      </c>
      <c r="O194">
        <v>52</v>
      </c>
      <c r="P194" s="49">
        <v>416936</v>
      </c>
    </row>
    <row r="195" spans="10:16" x14ac:dyDescent="0.25">
      <c r="J195">
        <v>176</v>
      </c>
      <c r="K195" s="48">
        <v>38056</v>
      </c>
      <c r="L195" t="s">
        <v>92</v>
      </c>
      <c r="M195" t="s">
        <v>84</v>
      </c>
      <c r="N195" t="s">
        <v>85</v>
      </c>
      <c r="O195">
        <v>193</v>
      </c>
      <c r="P195" s="49">
        <v>1658835</v>
      </c>
    </row>
    <row r="196" spans="10:16" x14ac:dyDescent="0.25">
      <c r="J196">
        <v>177</v>
      </c>
      <c r="K196" s="48">
        <v>38057</v>
      </c>
      <c r="L196" t="s">
        <v>90</v>
      </c>
      <c r="M196" t="s">
        <v>87</v>
      </c>
      <c r="N196" t="s">
        <v>91</v>
      </c>
      <c r="O196">
        <v>148</v>
      </c>
      <c r="P196" s="49">
        <v>1431012</v>
      </c>
    </row>
    <row r="197" spans="10:16" x14ac:dyDescent="0.25">
      <c r="J197">
        <v>178</v>
      </c>
      <c r="K197" s="48">
        <v>38057</v>
      </c>
      <c r="L197" t="s">
        <v>86</v>
      </c>
      <c r="M197" t="s">
        <v>87</v>
      </c>
      <c r="N197" t="s">
        <v>91</v>
      </c>
      <c r="O197">
        <v>118</v>
      </c>
      <c r="P197" s="49">
        <v>513300</v>
      </c>
    </row>
    <row r="198" spans="10:16" x14ac:dyDescent="0.25">
      <c r="J198">
        <v>179</v>
      </c>
      <c r="K198" s="48">
        <v>38058</v>
      </c>
      <c r="L198" t="s">
        <v>92</v>
      </c>
      <c r="M198" t="s">
        <v>87</v>
      </c>
      <c r="N198" t="s">
        <v>94</v>
      </c>
      <c r="O198">
        <v>156</v>
      </c>
      <c r="P198" s="49">
        <v>848328</v>
      </c>
    </row>
    <row r="199" spans="10:16" x14ac:dyDescent="0.25">
      <c r="J199">
        <v>180</v>
      </c>
      <c r="K199" s="48">
        <v>38058</v>
      </c>
      <c r="L199" t="s">
        <v>90</v>
      </c>
      <c r="M199" t="s">
        <v>84</v>
      </c>
      <c r="N199" t="s">
        <v>91</v>
      </c>
      <c r="O199">
        <v>201</v>
      </c>
      <c r="P199" s="49">
        <v>1874928</v>
      </c>
    </row>
    <row r="200" spans="10:16" x14ac:dyDescent="0.25">
      <c r="J200">
        <v>181</v>
      </c>
      <c r="K200" s="48">
        <v>38058</v>
      </c>
      <c r="L200" t="s">
        <v>89</v>
      </c>
      <c r="M200" t="s">
        <v>87</v>
      </c>
      <c r="N200" t="s">
        <v>91</v>
      </c>
      <c r="O200">
        <v>42</v>
      </c>
      <c r="P200" s="49">
        <v>367584</v>
      </c>
    </row>
    <row r="201" spans="10:16" x14ac:dyDescent="0.25">
      <c r="J201">
        <v>182</v>
      </c>
      <c r="K201" s="48">
        <v>38059</v>
      </c>
      <c r="L201" t="s">
        <v>86</v>
      </c>
      <c r="M201" t="s">
        <v>84</v>
      </c>
      <c r="N201" t="s">
        <v>91</v>
      </c>
      <c r="O201">
        <v>162</v>
      </c>
      <c r="P201" s="49">
        <v>1323054</v>
      </c>
    </row>
    <row r="202" spans="10:16" x14ac:dyDescent="0.25">
      <c r="J202">
        <v>183</v>
      </c>
      <c r="K202" s="48">
        <v>38060</v>
      </c>
      <c r="L202" t="s">
        <v>86</v>
      </c>
      <c r="M202" t="s">
        <v>84</v>
      </c>
      <c r="N202" t="s">
        <v>88</v>
      </c>
      <c r="O202">
        <v>231</v>
      </c>
      <c r="P202" s="49">
        <v>1446522</v>
      </c>
    </row>
    <row r="203" spans="10:16" x14ac:dyDescent="0.25">
      <c r="J203">
        <v>184</v>
      </c>
      <c r="K203" s="48">
        <v>38060</v>
      </c>
      <c r="L203" t="s">
        <v>90</v>
      </c>
      <c r="M203" t="s">
        <v>87</v>
      </c>
      <c r="N203" t="s">
        <v>91</v>
      </c>
      <c r="O203">
        <v>273</v>
      </c>
      <c r="P203" s="49">
        <v>1447992</v>
      </c>
    </row>
    <row r="204" spans="10:16" x14ac:dyDescent="0.25">
      <c r="J204">
        <v>185</v>
      </c>
      <c r="K204" s="48">
        <v>38061</v>
      </c>
      <c r="L204" t="s">
        <v>92</v>
      </c>
      <c r="M204" t="s">
        <v>87</v>
      </c>
      <c r="N204" t="s">
        <v>94</v>
      </c>
      <c r="O204">
        <v>265</v>
      </c>
      <c r="P204" s="49">
        <v>2109930</v>
      </c>
    </row>
    <row r="205" spans="10:16" x14ac:dyDescent="0.25">
      <c r="J205">
        <v>186</v>
      </c>
      <c r="K205" s="48">
        <v>38062</v>
      </c>
      <c r="L205" t="s">
        <v>95</v>
      </c>
      <c r="M205" t="s">
        <v>84</v>
      </c>
      <c r="N205" t="s">
        <v>88</v>
      </c>
      <c r="O205">
        <v>87</v>
      </c>
      <c r="P205" s="49">
        <v>779868</v>
      </c>
    </row>
    <row r="206" spans="10:16" x14ac:dyDescent="0.25">
      <c r="J206">
        <v>187</v>
      </c>
      <c r="K206" s="48">
        <v>38062</v>
      </c>
      <c r="L206" t="s">
        <v>86</v>
      </c>
      <c r="M206" t="s">
        <v>84</v>
      </c>
      <c r="N206" t="s">
        <v>94</v>
      </c>
      <c r="O206">
        <v>95</v>
      </c>
      <c r="P206" s="49">
        <v>919030</v>
      </c>
    </row>
    <row r="207" spans="10:16" x14ac:dyDescent="0.25">
      <c r="J207">
        <v>188</v>
      </c>
      <c r="K207" s="48">
        <v>38062</v>
      </c>
      <c r="L207" t="s">
        <v>95</v>
      </c>
      <c r="M207" t="s">
        <v>87</v>
      </c>
      <c r="N207" t="s">
        <v>85</v>
      </c>
      <c r="O207">
        <v>63</v>
      </c>
      <c r="P207" s="49">
        <v>537264</v>
      </c>
    </row>
    <row r="208" spans="10:16" x14ac:dyDescent="0.25">
      <c r="J208">
        <v>189</v>
      </c>
      <c r="K208" s="48">
        <v>38063</v>
      </c>
      <c r="L208" t="s">
        <v>83</v>
      </c>
      <c r="M208" t="s">
        <v>87</v>
      </c>
      <c r="N208" t="s">
        <v>88</v>
      </c>
      <c r="O208">
        <v>160</v>
      </c>
      <c r="P208" s="49">
        <v>1261600</v>
      </c>
    </row>
    <row r="209" spans="10:16" x14ac:dyDescent="0.25">
      <c r="J209">
        <v>190</v>
      </c>
      <c r="K209" s="48">
        <v>38063</v>
      </c>
      <c r="L209" t="s">
        <v>83</v>
      </c>
      <c r="M209" t="s">
        <v>84</v>
      </c>
      <c r="N209" t="s">
        <v>85</v>
      </c>
      <c r="O209">
        <v>95</v>
      </c>
      <c r="P209" s="49">
        <v>448210</v>
      </c>
    </row>
    <row r="210" spans="10:16" x14ac:dyDescent="0.25">
      <c r="J210">
        <v>191</v>
      </c>
      <c r="K210" s="48">
        <v>38064</v>
      </c>
      <c r="L210" t="s">
        <v>90</v>
      </c>
      <c r="M210" t="s">
        <v>84</v>
      </c>
      <c r="N210" t="s">
        <v>91</v>
      </c>
      <c r="O210">
        <v>71</v>
      </c>
      <c r="P210" s="49">
        <v>431325</v>
      </c>
    </row>
    <row r="211" spans="10:16" x14ac:dyDescent="0.25">
      <c r="J211">
        <v>192</v>
      </c>
      <c r="K211" s="48">
        <v>38064</v>
      </c>
      <c r="L211" t="s">
        <v>86</v>
      </c>
      <c r="M211" t="s">
        <v>87</v>
      </c>
      <c r="N211" t="s">
        <v>88</v>
      </c>
      <c r="O211">
        <v>56</v>
      </c>
      <c r="P211" s="49">
        <v>553616</v>
      </c>
    </row>
    <row r="212" spans="10:16" x14ac:dyDescent="0.25">
      <c r="J212">
        <v>193</v>
      </c>
      <c r="K212" s="48">
        <v>38064</v>
      </c>
      <c r="L212" t="s">
        <v>90</v>
      </c>
      <c r="M212" t="s">
        <v>87</v>
      </c>
      <c r="N212" t="s">
        <v>91</v>
      </c>
      <c r="O212">
        <v>59</v>
      </c>
      <c r="P212" s="49">
        <v>453651</v>
      </c>
    </row>
    <row r="213" spans="10:16" x14ac:dyDescent="0.25">
      <c r="J213">
        <v>194</v>
      </c>
      <c r="K213" s="48">
        <v>38065</v>
      </c>
      <c r="L213" t="s">
        <v>86</v>
      </c>
      <c r="M213" t="s">
        <v>84</v>
      </c>
      <c r="N213" t="s">
        <v>88</v>
      </c>
      <c r="O213">
        <v>117</v>
      </c>
      <c r="P213" s="49">
        <v>986895</v>
      </c>
    </row>
    <row r="214" spans="10:16" x14ac:dyDescent="0.25">
      <c r="J214">
        <v>195</v>
      </c>
      <c r="K214" s="48">
        <v>38065</v>
      </c>
      <c r="L214" t="s">
        <v>93</v>
      </c>
      <c r="M214" t="s">
        <v>87</v>
      </c>
      <c r="N214" t="s">
        <v>88</v>
      </c>
      <c r="O214">
        <v>62</v>
      </c>
      <c r="P214" s="49">
        <v>250852</v>
      </c>
    </row>
    <row r="215" spans="10:16" x14ac:dyDescent="0.25">
      <c r="J215">
        <v>196</v>
      </c>
      <c r="K215" s="48">
        <v>38066</v>
      </c>
      <c r="L215" t="s">
        <v>93</v>
      </c>
      <c r="M215" t="s">
        <v>84</v>
      </c>
      <c r="N215" t="s">
        <v>94</v>
      </c>
      <c r="O215">
        <v>281</v>
      </c>
      <c r="P215" s="49">
        <v>1336717</v>
      </c>
    </row>
    <row r="216" spans="10:16" x14ac:dyDescent="0.25">
      <c r="J216">
        <v>197</v>
      </c>
      <c r="K216" s="48">
        <v>38066</v>
      </c>
      <c r="L216" t="s">
        <v>93</v>
      </c>
      <c r="M216" t="s">
        <v>87</v>
      </c>
      <c r="N216" t="s">
        <v>91</v>
      </c>
      <c r="O216">
        <v>87</v>
      </c>
      <c r="P216" s="49">
        <v>519738</v>
      </c>
    </row>
    <row r="217" spans="10:16" x14ac:dyDescent="0.25">
      <c r="J217">
        <v>198</v>
      </c>
      <c r="K217" s="48">
        <v>38067</v>
      </c>
      <c r="L217" t="s">
        <v>89</v>
      </c>
      <c r="M217" t="s">
        <v>84</v>
      </c>
      <c r="N217" t="s">
        <v>88</v>
      </c>
      <c r="O217">
        <v>174</v>
      </c>
      <c r="P217" s="49">
        <v>720882</v>
      </c>
    </row>
    <row r="218" spans="10:16" x14ac:dyDescent="0.25">
      <c r="J218">
        <v>199</v>
      </c>
      <c r="K218" s="48">
        <v>38067</v>
      </c>
      <c r="L218" t="s">
        <v>89</v>
      </c>
      <c r="M218" t="s">
        <v>87</v>
      </c>
      <c r="N218" t="s">
        <v>85</v>
      </c>
      <c r="O218">
        <v>177</v>
      </c>
      <c r="P218" s="49">
        <v>842343</v>
      </c>
    </row>
    <row r="219" spans="10:16" x14ac:dyDescent="0.25">
      <c r="J219">
        <v>200</v>
      </c>
      <c r="K219" s="48">
        <v>38068</v>
      </c>
      <c r="L219" t="s">
        <v>83</v>
      </c>
      <c r="M219" t="s">
        <v>87</v>
      </c>
      <c r="N219" t="s">
        <v>91</v>
      </c>
      <c r="O219">
        <v>281</v>
      </c>
      <c r="P219" s="49">
        <v>2108343</v>
      </c>
    </row>
    <row r="220" spans="10:16" x14ac:dyDescent="0.25">
      <c r="J220">
        <v>201</v>
      </c>
      <c r="K220" s="48">
        <v>38068</v>
      </c>
      <c r="L220" t="s">
        <v>83</v>
      </c>
      <c r="M220" t="s">
        <v>87</v>
      </c>
      <c r="N220" t="s">
        <v>88</v>
      </c>
      <c r="O220">
        <v>247</v>
      </c>
      <c r="P220" s="49">
        <v>1050985</v>
      </c>
    </row>
    <row r="221" spans="10:16" x14ac:dyDescent="0.25">
      <c r="J221">
        <v>202</v>
      </c>
      <c r="K221" s="48">
        <v>38068</v>
      </c>
      <c r="L221" t="s">
        <v>93</v>
      </c>
      <c r="M221" t="s">
        <v>84</v>
      </c>
      <c r="N221" t="s">
        <v>88</v>
      </c>
      <c r="O221">
        <v>52</v>
      </c>
      <c r="P221" s="49">
        <v>298272</v>
      </c>
    </row>
    <row r="222" spans="10:16" x14ac:dyDescent="0.25">
      <c r="J222">
        <v>203</v>
      </c>
      <c r="K222" s="48">
        <v>38068</v>
      </c>
      <c r="L222" t="s">
        <v>86</v>
      </c>
      <c r="M222" t="s">
        <v>84</v>
      </c>
      <c r="N222" t="s">
        <v>88</v>
      </c>
      <c r="O222">
        <v>169</v>
      </c>
      <c r="P222" s="49">
        <v>902798</v>
      </c>
    </row>
    <row r="223" spans="10:16" x14ac:dyDescent="0.25">
      <c r="J223">
        <v>204</v>
      </c>
      <c r="K223" s="48">
        <v>38069</v>
      </c>
      <c r="L223" t="s">
        <v>86</v>
      </c>
      <c r="M223" t="s">
        <v>84</v>
      </c>
      <c r="N223" t="s">
        <v>94</v>
      </c>
      <c r="O223">
        <v>106</v>
      </c>
      <c r="P223" s="49">
        <v>692180</v>
      </c>
    </row>
    <row r="224" spans="10:16" x14ac:dyDescent="0.25">
      <c r="J224">
        <v>205</v>
      </c>
      <c r="K224" s="48">
        <v>38069</v>
      </c>
      <c r="L224" t="s">
        <v>86</v>
      </c>
      <c r="M224" t="s">
        <v>87</v>
      </c>
      <c r="N224" t="s">
        <v>88</v>
      </c>
      <c r="O224">
        <v>274</v>
      </c>
      <c r="P224" s="49">
        <v>2002392</v>
      </c>
    </row>
    <row r="225" spans="10:16" x14ac:dyDescent="0.25">
      <c r="J225">
        <v>206</v>
      </c>
      <c r="K225" s="48">
        <v>38069</v>
      </c>
      <c r="L225" t="s">
        <v>93</v>
      </c>
      <c r="M225" t="s">
        <v>84</v>
      </c>
      <c r="N225" t="s">
        <v>85</v>
      </c>
      <c r="O225">
        <v>250</v>
      </c>
      <c r="P225" s="49">
        <v>2253500</v>
      </c>
    </row>
    <row r="226" spans="10:16" x14ac:dyDescent="0.25">
      <c r="J226">
        <v>207</v>
      </c>
      <c r="K226" s="48">
        <v>38069</v>
      </c>
      <c r="L226" t="s">
        <v>93</v>
      </c>
      <c r="M226" t="s">
        <v>84</v>
      </c>
      <c r="N226" t="s">
        <v>85</v>
      </c>
      <c r="O226">
        <v>134</v>
      </c>
      <c r="P226" s="49">
        <v>1338124</v>
      </c>
    </row>
    <row r="227" spans="10:16" x14ac:dyDescent="0.25">
      <c r="J227">
        <v>208</v>
      </c>
      <c r="K227" s="48">
        <v>38069</v>
      </c>
      <c r="L227" t="s">
        <v>95</v>
      </c>
      <c r="M227" t="s">
        <v>87</v>
      </c>
      <c r="N227" t="s">
        <v>85</v>
      </c>
      <c r="O227">
        <v>156</v>
      </c>
      <c r="P227" s="49">
        <v>1369680</v>
      </c>
    </row>
    <row r="228" spans="10:16" x14ac:dyDescent="0.25">
      <c r="J228">
        <v>209</v>
      </c>
      <c r="K228" s="48">
        <v>38070</v>
      </c>
      <c r="L228" t="s">
        <v>83</v>
      </c>
      <c r="M228" t="s">
        <v>87</v>
      </c>
      <c r="N228" t="s">
        <v>85</v>
      </c>
      <c r="O228">
        <v>167</v>
      </c>
      <c r="P228" s="49">
        <v>1643948</v>
      </c>
    </row>
    <row r="229" spans="10:16" x14ac:dyDescent="0.25">
      <c r="J229">
        <v>210</v>
      </c>
      <c r="K229" s="48">
        <v>38070</v>
      </c>
      <c r="L229" t="s">
        <v>89</v>
      </c>
      <c r="M229" t="s">
        <v>84</v>
      </c>
      <c r="N229" t="s">
        <v>85</v>
      </c>
      <c r="O229">
        <v>206</v>
      </c>
      <c r="P229" s="49">
        <v>1297594</v>
      </c>
    </row>
    <row r="230" spans="10:16" x14ac:dyDescent="0.25">
      <c r="J230">
        <v>211</v>
      </c>
      <c r="K230" s="48">
        <v>38071</v>
      </c>
      <c r="L230" t="s">
        <v>83</v>
      </c>
      <c r="M230" t="s">
        <v>84</v>
      </c>
      <c r="N230" t="s">
        <v>94</v>
      </c>
      <c r="O230">
        <v>269</v>
      </c>
      <c r="P230" s="49">
        <v>2134246</v>
      </c>
    </row>
    <row r="231" spans="10:16" x14ac:dyDescent="0.25">
      <c r="J231">
        <v>212</v>
      </c>
      <c r="K231" s="48">
        <v>38071</v>
      </c>
      <c r="L231" t="s">
        <v>95</v>
      </c>
      <c r="M231" t="s">
        <v>84</v>
      </c>
      <c r="N231" t="s">
        <v>94</v>
      </c>
      <c r="O231">
        <v>63</v>
      </c>
      <c r="P231" s="49">
        <v>492156</v>
      </c>
    </row>
    <row r="232" spans="10:16" x14ac:dyDescent="0.25">
      <c r="J232">
        <v>213</v>
      </c>
      <c r="K232" s="48">
        <v>38072</v>
      </c>
      <c r="L232" t="s">
        <v>90</v>
      </c>
      <c r="M232" t="s">
        <v>84</v>
      </c>
      <c r="N232" t="s">
        <v>85</v>
      </c>
      <c r="O232">
        <v>223</v>
      </c>
      <c r="P232" s="49">
        <v>1932518</v>
      </c>
    </row>
    <row r="233" spans="10:16" x14ac:dyDescent="0.25">
      <c r="J233">
        <v>214</v>
      </c>
      <c r="K233" s="48">
        <v>38072</v>
      </c>
      <c r="L233" t="s">
        <v>92</v>
      </c>
      <c r="M233" t="s">
        <v>87</v>
      </c>
      <c r="N233" t="s">
        <v>88</v>
      </c>
      <c r="O233">
        <v>163</v>
      </c>
      <c r="P233" s="49">
        <v>1385011</v>
      </c>
    </row>
    <row r="234" spans="10:16" x14ac:dyDescent="0.25">
      <c r="J234">
        <v>215</v>
      </c>
      <c r="K234" s="48">
        <v>38073</v>
      </c>
      <c r="L234" t="s">
        <v>83</v>
      </c>
      <c r="M234" t="s">
        <v>84</v>
      </c>
      <c r="N234" t="s">
        <v>88</v>
      </c>
      <c r="O234">
        <v>214</v>
      </c>
      <c r="P234" s="49">
        <v>1219158</v>
      </c>
    </row>
    <row r="235" spans="10:16" x14ac:dyDescent="0.25">
      <c r="J235">
        <v>216</v>
      </c>
      <c r="K235" s="48">
        <v>38073</v>
      </c>
      <c r="L235" t="s">
        <v>92</v>
      </c>
      <c r="M235" t="s">
        <v>87</v>
      </c>
      <c r="N235" t="s">
        <v>91</v>
      </c>
      <c r="O235">
        <v>263</v>
      </c>
      <c r="P235" s="49">
        <v>1494892</v>
      </c>
    </row>
    <row r="236" spans="10:16" x14ac:dyDescent="0.25">
      <c r="J236">
        <v>217</v>
      </c>
      <c r="K236" s="48">
        <v>38074</v>
      </c>
      <c r="L236" t="s">
        <v>92</v>
      </c>
      <c r="M236" t="s">
        <v>84</v>
      </c>
      <c r="N236" t="s">
        <v>85</v>
      </c>
      <c r="O236">
        <v>216</v>
      </c>
      <c r="P236" s="49">
        <v>1398600</v>
      </c>
    </row>
    <row r="237" spans="10:16" x14ac:dyDescent="0.25">
      <c r="J237">
        <v>218</v>
      </c>
      <c r="K237" s="48">
        <v>38075</v>
      </c>
      <c r="L237" t="s">
        <v>90</v>
      </c>
      <c r="M237" t="s">
        <v>84</v>
      </c>
      <c r="N237" t="s">
        <v>91</v>
      </c>
      <c r="O237">
        <v>65</v>
      </c>
      <c r="P237" s="49">
        <v>461435</v>
      </c>
    </row>
    <row r="238" spans="10:16" x14ac:dyDescent="0.25">
      <c r="J238">
        <v>219</v>
      </c>
      <c r="K238" s="48">
        <v>38075</v>
      </c>
      <c r="L238" t="s">
        <v>92</v>
      </c>
      <c r="M238" t="s">
        <v>84</v>
      </c>
      <c r="N238" t="s">
        <v>88</v>
      </c>
      <c r="O238">
        <v>46</v>
      </c>
      <c r="P238" s="49">
        <v>351256</v>
      </c>
    </row>
    <row r="239" spans="10:16" x14ac:dyDescent="0.25">
      <c r="J239">
        <v>220</v>
      </c>
      <c r="K239" s="48">
        <v>38076</v>
      </c>
      <c r="L239" t="s">
        <v>92</v>
      </c>
      <c r="M239" t="s">
        <v>84</v>
      </c>
      <c r="N239" t="s">
        <v>85</v>
      </c>
      <c r="O239">
        <v>209</v>
      </c>
      <c r="P239" s="49">
        <v>1042283</v>
      </c>
    </row>
    <row r="240" spans="10:16" x14ac:dyDescent="0.25">
      <c r="J240">
        <v>221</v>
      </c>
      <c r="K240" s="48">
        <v>38076</v>
      </c>
      <c r="L240" t="s">
        <v>95</v>
      </c>
      <c r="M240" t="s">
        <v>84</v>
      </c>
      <c r="N240" t="s">
        <v>94</v>
      </c>
      <c r="O240">
        <v>56</v>
      </c>
      <c r="P240" s="49">
        <v>474600</v>
      </c>
    </row>
    <row r="241" spans="10:16" x14ac:dyDescent="0.25">
      <c r="J241">
        <v>222</v>
      </c>
      <c r="K241" s="48">
        <v>38076</v>
      </c>
      <c r="L241" t="s">
        <v>86</v>
      </c>
      <c r="M241" t="s">
        <v>84</v>
      </c>
      <c r="N241" t="s">
        <v>88</v>
      </c>
      <c r="O241">
        <v>82</v>
      </c>
      <c r="P241" s="49">
        <v>420660</v>
      </c>
    </row>
    <row r="242" spans="10:16" x14ac:dyDescent="0.25">
      <c r="J242">
        <v>223</v>
      </c>
      <c r="K242" s="48">
        <v>38077</v>
      </c>
      <c r="L242" t="s">
        <v>90</v>
      </c>
      <c r="M242" t="s">
        <v>84</v>
      </c>
      <c r="N242" t="s">
        <v>88</v>
      </c>
      <c r="O242">
        <v>62</v>
      </c>
      <c r="P242" s="49">
        <v>489924</v>
      </c>
    </row>
    <row r="243" spans="10:16" x14ac:dyDescent="0.25">
      <c r="J243">
        <v>224</v>
      </c>
      <c r="K243" s="48">
        <v>38077</v>
      </c>
      <c r="L243" t="s">
        <v>89</v>
      </c>
      <c r="M243" t="s">
        <v>87</v>
      </c>
      <c r="N243" t="s">
        <v>91</v>
      </c>
      <c r="O243">
        <v>192</v>
      </c>
      <c r="P243" s="49">
        <v>1032000</v>
      </c>
    </row>
    <row r="244" spans="10:16" x14ac:dyDescent="0.25">
      <c r="J244">
        <v>225</v>
      </c>
      <c r="K244" s="48">
        <v>38078</v>
      </c>
      <c r="L244" t="s">
        <v>83</v>
      </c>
      <c r="M244" t="s">
        <v>84</v>
      </c>
      <c r="N244" t="s">
        <v>94</v>
      </c>
      <c r="O244">
        <v>152</v>
      </c>
      <c r="P244" s="49">
        <v>1069320</v>
      </c>
    </row>
    <row r="245" spans="10:16" x14ac:dyDescent="0.25">
      <c r="J245">
        <v>226</v>
      </c>
      <c r="K245" s="48">
        <v>38078</v>
      </c>
      <c r="L245" t="s">
        <v>86</v>
      </c>
      <c r="M245" t="s">
        <v>84</v>
      </c>
      <c r="N245" t="s">
        <v>91</v>
      </c>
      <c r="O245">
        <v>182</v>
      </c>
      <c r="P245" s="49">
        <v>1133132</v>
      </c>
    </row>
    <row r="246" spans="10:16" x14ac:dyDescent="0.25">
      <c r="J246">
        <v>227</v>
      </c>
      <c r="K246" s="48">
        <v>38078</v>
      </c>
      <c r="L246" t="s">
        <v>95</v>
      </c>
      <c r="M246" t="s">
        <v>87</v>
      </c>
      <c r="N246" t="s">
        <v>85</v>
      </c>
      <c r="O246">
        <v>179</v>
      </c>
      <c r="P246" s="49">
        <v>1670965</v>
      </c>
    </row>
    <row r="247" spans="10:16" x14ac:dyDescent="0.25">
      <c r="J247">
        <v>228</v>
      </c>
      <c r="K247" s="48">
        <v>38078</v>
      </c>
      <c r="L247" t="s">
        <v>86</v>
      </c>
      <c r="M247" t="s">
        <v>87</v>
      </c>
      <c r="N247" t="s">
        <v>88</v>
      </c>
      <c r="O247">
        <v>211</v>
      </c>
      <c r="P247" s="49">
        <v>2010619</v>
      </c>
    </row>
    <row r="248" spans="10:16" x14ac:dyDescent="0.25">
      <c r="J248">
        <v>229</v>
      </c>
      <c r="K248" s="48">
        <v>38078</v>
      </c>
      <c r="L248" t="s">
        <v>89</v>
      </c>
      <c r="M248" t="s">
        <v>87</v>
      </c>
      <c r="N248" t="s">
        <v>91</v>
      </c>
      <c r="O248">
        <v>117</v>
      </c>
      <c r="P248" s="49">
        <v>739206</v>
      </c>
    </row>
    <row r="249" spans="10:16" x14ac:dyDescent="0.25">
      <c r="J249">
        <v>230</v>
      </c>
      <c r="K249" s="48">
        <v>38079</v>
      </c>
      <c r="L249" t="s">
        <v>89</v>
      </c>
      <c r="M249" t="s">
        <v>84</v>
      </c>
      <c r="N249" t="s">
        <v>91</v>
      </c>
      <c r="O249">
        <v>186</v>
      </c>
      <c r="P249" s="49">
        <v>1382166</v>
      </c>
    </row>
    <row r="250" spans="10:16" x14ac:dyDescent="0.25">
      <c r="J250">
        <v>231</v>
      </c>
      <c r="K250" s="48">
        <v>38080</v>
      </c>
      <c r="L250" t="s">
        <v>86</v>
      </c>
      <c r="M250" t="s">
        <v>84</v>
      </c>
      <c r="N250" t="s">
        <v>94</v>
      </c>
      <c r="O250">
        <v>143</v>
      </c>
      <c r="P250" s="49">
        <v>665951</v>
      </c>
    </row>
    <row r="251" spans="10:16" x14ac:dyDescent="0.25">
      <c r="J251">
        <v>232</v>
      </c>
      <c r="K251" s="48">
        <v>38080</v>
      </c>
      <c r="L251" t="s">
        <v>89</v>
      </c>
      <c r="M251" t="s">
        <v>87</v>
      </c>
      <c r="N251" t="s">
        <v>91</v>
      </c>
      <c r="O251">
        <v>212</v>
      </c>
      <c r="P251" s="49">
        <v>1479548</v>
      </c>
    </row>
    <row r="252" spans="10:16" x14ac:dyDescent="0.25">
      <c r="J252">
        <v>233</v>
      </c>
      <c r="K252" s="48">
        <v>38080</v>
      </c>
      <c r="L252" t="s">
        <v>86</v>
      </c>
      <c r="M252" t="s">
        <v>84</v>
      </c>
      <c r="N252" t="s">
        <v>88</v>
      </c>
      <c r="O252">
        <v>246</v>
      </c>
      <c r="P252" s="49">
        <v>1362348</v>
      </c>
    </row>
    <row r="253" spans="10:16" x14ac:dyDescent="0.25">
      <c r="J253">
        <v>234</v>
      </c>
      <c r="K253" s="48">
        <v>38080</v>
      </c>
      <c r="L253" t="s">
        <v>90</v>
      </c>
      <c r="M253" t="s">
        <v>87</v>
      </c>
      <c r="N253" t="s">
        <v>88</v>
      </c>
      <c r="O253">
        <v>230</v>
      </c>
      <c r="P253" s="49">
        <v>1722700</v>
      </c>
    </row>
    <row r="254" spans="10:16" x14ac:dyDescent="0.25">
      <c r="J254">
        <v>235</v>
      </c>
      <c r="K254" s="48">
        <v>38080</v>
      </c>
      <c r="L254" t="s">
        <v>90</v>
      </c>
      <c r="M254" t="s">
        <v>87</v>
      </c>
      <c r="N254" t="s">
        <v>85</v>
      </c>
      <c r="O254">
        <v>126</v>
      </c>
      <c r="P254" s="49">
        <v>848358</v>
      </c>
    </row>
    <row r="255" spans="10:16" x14ac:dyDescent="0.25">
      <c r="J255">
        <v>236</v>
      </c>
      <c r="K255" s="48">
        <v>38080</v>
      </c>
      <c r="L255" t="s">
        <v>92</v>
      </c>
      <c r="M255" t="s">
        <v>87</v>
      </c>
      <c r="N255" t="s">
        <v>88</v>
      </c>
      <c r="O255">
        <v>226</v>
      </c>
      <c r="P255" s="49">
        <v>2104286</v>
      </c>
    </row>
    <row r="256" spans="10:16" x14ac:dyDescent="0.25">
      <c r="J256">
        <v>237</v>
      </c>
      <c r="K256" s="48">
        <v>38082</v>
      </c>
      <c r="L256" t="s">
        <v>93</v>
      </c>
      <c r="M256" t="s">
        <v>87</v>
      </c>
      <c r="N256" t="s">
        <v>91</v>
      </c>
      <c r="O256">
        <v>262</v>
      </c>
      <c r="P256" s="49">
        <v>1748850</v>
      </c>
    </row>
    <row r="257" spans="10:16" x14ac:dyDescent="0.25">
      <c r="J257">
        <v>238</v>
      </c>
      <c r="K257" s="48">
        <v>38082</v>
      </c>
      <c r="L257" t="s">
        <v>95</v>
      </c>
      <c r="M257" t="s">
        <v>84</v>
      </c>
      <c r="N257" t="s">
        <v>94</v>
      </c>
      <c r="O257">
        <v>170</v>
      </c>
      <c r="P257" s="49">
        <v>995520</v>
      </c>
    </row>
    <row r="258" spans="10:16" x14ac:dyDescent="0.25">
      <c r="J258">
        <v>239</v>
      </c>
      <c r="K258" s="48">
        <v>38082</v>
      </c>
      <c r="L258" t="s">
        <v>93</v>
      </c>
      <c r="M258" t="s">
        <v>84</v>
      </c>
      <c r="N258" t="s">
        <v>85</v>
      </c>
      <c r="O258">
        <v>268</v>
      </c>
      <c r="P258" s="49">
        <v>2338032</v>
      </c>
    </row>
    <row r="259" spans="10:16" x14ac:dyDescent="0.25">
      <c r="J259">
        <v>240</v>
      </c>
      <c r="K259" s="48">
        <v>38083</v>
      </c>
      <c r="L259" t="s">
        <v>83</v>
      </c>
      <c r="M259" t="s">
        <v>87</v>
      </c>
      <c r="N259" t="s">
        <v>94</v>
      </c>
      <c r="O259">
        <v>164</v>
      </c>
      <c r="P259" s="49">
        <v>1298716</v>
      </c>
    </row>
    <row r="260" spans="10:16" x14ac:dyDescent="0.25">
      <c r="J260">
        <v>241</v>
      </c>
      <c r="K260" s="48">
        <v>38083</v>
      </c>
      <c r="L260" t="s">
        <v>86</v>
      </c>
      <c r="M260" t="s">
        <v>87</v>
      </c>
      <c r="N260" t="s">
        <v>85</v>
      </c>
      <c r="O260">
        <v>260</v>
      </c>
      <c r="P260" s="49">
        <v>2038660</v>
      </c>
    </row>
    <row r="261" spans="10:16" x14ac:dyDescent="0.25">
      <c r="J261">
        <v>242</v>
      </c>
      <c r="K261" s="48">
        <v>38084</v>
      </c>
      <c r="L261" t="s">
        <v>90</v>
      </c>
      <c r="M261" t="s">
        <v>87</v>
      </c>
      <c r="N261" t="s">
        <v>94</v>
      </c>
      <c r="O261">
        <v>69</v>
      </c>
      <c r="P261" s="49">
        <v>656535</v>
      </c>
    </row>
    <row r="262" spans="10:16" x14ac:dyDescent="0.25">
      <c r="J262">
        <v>243</v>
      </c>
      <c r="K262" s="48">
        <v>38084</v>
      </c>
      <c r="L262" t="s">
        <v>86</v>
      </c>
      <c r="M262" t="s">
        <v>87</v>
      </c>
      <c r="N262" t="s">
        <v>85</v>
      </c>
      <c r="O262">
        <v>298</v>
      </c>
      <c r="P262" s="49">
        <v>1870546</v>
      </c>
    </row>
    <row r="263" spans="10:16" x14ac:dyDescent="0.25">
      <c r="J263">
        <v>244</v>
      </c>
      <c r="K263" s="48">
        <v>38084</v>
      </c>
      <c r="L263" t="s">
        <v>86</v>
      </c>
      <c r="M263" t="s">
        <v>84</v>
      </c>
      <c r="N263" t="s">
        <v>91</v>
      </c>
      <c r="O263">
        <v>284</v>
      </c>
      <c r="P263" s="49">
        <v>1431076</v>
      </c>
    </row>
    <row r="264" spans="10:16" x14ac:dyDescent="0.25">
      <c r="J264">
        <v>245</v>
      </c>
      <c r="K264" s="48">
        <v>38085</v>
      </c>
      <c r="L264" t="s">
        <v>95</v>
      </c>
      <c r="M264" t="s">
        <v>87</v>
      </c>
      <c r="N264" t="s">
        <v>94</v>
      </c>
      <c r="O264">
        <v>239</v>
      </c>
      <c r="P264" s="49">
        <v>1176597</v>
      </c>
    </row>
    <row r="265" spans="10:16" x14ac:dyDescent="0.25">
      <c r="J265">
        <v>246</v>
      </c>
      <c r="K265" s="48">
        <v>38086</v>
      </c>
      <c r="L265" t="s">
        <v>86</v>
      </c>
      <c r="M265" t="s">
        <v>87</v>
      </c>
      <c r="N265" t="s">
        <v>88</v>
      </c>
      <c r="O265">
        <v>287</v>
      </c>
      <c r="P265" s="49">
        <v>1936102</v>
      </c>
    </row>
    <row r="266" spans="10:16" x14ac:dyDescent="0.25">
      <c r="J266">
        <v>247</v>
      </c>
      <c r="K266" s="48">
        <v>38086</v>
      </c>
      <c r="L266" t="s">
        <v>92</v>
      </c>
      <c r="M266" t="s">
        <v>84</v>
      </c>
      <c r="N266" t="s">
        <v>94</v>
      </c>
      <c r="O266">
        <v>159</v>
      </c>
      <c r="P266" s="49">
        <v>1582527</v>
      </c>
    </row>
    <row r="267" spans="10:16" x14ac:dyDescent="0.25">
      <c r="J267">
        <v>248</v>
      </c>
      <c r="K267" s="48">
        <v>38086</v>
      </c>
      <c r="L267" t="s">
        <v>90</v>
      </c>
      <c r="M267" t="s">
        <v>84</v>
      </c>
      <c r="N267" t="s">
        <v>88</v>
      </c>
      <c r="O267">
        <v>136</v>
      </c>
      <c r="P267" s="49">
        <v>873120</v>
      </c>
    </row>
    <row r="268" spans="10:16" x14ac:dyDescent="0.25">
      <c r="J268">
        <v>249</v>
      </c>
      <c r="K268" s="48">
        <v>38086</v>
      </c>
      <c r="L268" t="s">
        <v>92</v>
      </c>
      <c r="M268" t="s">
        <v>87</v>
      </c>
      <c r="N268" t="s">
        <v>91</v>
      </c>
      <c r="O268">
        <v>223</v>
      </c>
      <c r="P268" s="49">
        <v>2026401</v>
      </c>
    </row>
    <row r="269" spans="10:16" x14ac:dyDescent="0.25">
      <c r="J269">
        <v>250</v>
      </c>
      <c r="K269" s="48">
        <v>38086</v>
      </c>
      <c r="L269" t="s">
        <v>93</v>
      </c>
      <c r="M269" t="s">
        <v>84</v>
      </c>
      <c r="N269" t="s">
        <v>85</v>
      </c>
      <c r="O269">
        <v>175</v>
      </c>
      <c r="P269" s="49">
        <v>747075</v>
      </c>
    </row>
    <row r="270" spans="10:16" x14ac:dyDescent="0.25">
      <c r="J270">
        <v>251</v>
      </c>
      <c r="K270" s="48">
        <v>38086</v>
      </c>
      <c r="L270" t="s">
        <v>90</v>
      </c>
      <c r="M270" t="s">
        <v>87</v>
      </c>
      <c r="N270" t="s">
        <v>85</v>
      </c>
      <c r="O270">
        <v>124</v>
      </c>
      <c r="P270" s="49">
        <v>1130632</v>
      </c>
    </row>
    <row r="271" spans="10:16" x14ac:dyDescent="0.25">
      <c r="J271">
        <v>252</v>
      </c>
      <c r="K271" s="48">
        <v>38086</v>
      </c>
      <c r="L271" t="s">
        <v>83</v>
      </c>
      <c r="M271" t="s">
        <v>84</v>
      </c>
      <c r="N271" t="s">
        <v>85</v>
      </c>
      <c r="O271">
        <v>168</v>
      </c>
      <c r="P271" s="49">
        <v>1622040</v>
      </c>
    </row>
    <row r="272" spans="10:16" x14ac:dyDescent="0.25">
      <c r="J272">
        <v>253</v>
      </c>
      <c r="K272" s="48">
        <v>38087</v>
      </c>
      <c r="L272" t="s">
        <v>83</v>
      </c>
      <c r="M272" t="s">
        <v>87</v>
      </c>
      <c r="N272" t="s">
        <v>91</v>
      </c>
      <c r="O272">
        <v>106</v>
      </c>
      <c r="P272" s="49">
        <v>567206</v>
      </c>
    </row>
    <row r="273" spans="10:16" x14ac:dyDescent="0.25">
      <c r="J273">
        <v>254</v>
      </c>
      <c r="K273" s="48">
        <v>38087</v>
      </c>
      <c r="L273" t="s">
        <v>93</v>
      </c>
      <c r="M273" t="s">
        <v>87</v>
      </c>
      <c r="N273" t="s">
        <v>88</v>
      </c>
      <c r="O273">
        <v>67</v>
      </c>
      <c r="P273" s="49">
        <v>379689</v>
      </c>
    </row>
    <row r="274" spans="10:16" x14ac:dyDescent="0.25">
      <c r="J274">
        <v>255</v>
      </c>
      <c r="K274" s="48">
        <v>38087</v>
      </c>
      <c r="L274" t="s">
        <v>86</v>
      </c>
      <c r="M274" t="s">
        <v>84</v>
      </c>
      <c r="N274" t="s">
        <v>94</v>
      </c>
      <c r="O274">
        <v>49</v>
      </c>
      <c r="P274" s="49">
        <v>424536</v>
      </c>
    </row>
    <row r="275" spans="10:16" x14ac:dyDescent="0.25">
      <c r="J275">
        <v>256</v>
      </c>
      <c r="K275" s="48">
        <v>38087</v>
      </c>
      <c r="L275" t="s">
        <v>92</v>
      </c>
      <c r="M275" t="s">
        <v>87</v>
      </c>
      <c r="N275" t="s">
        <v>88</v>
      </c>
      <c r="O275">
        <v>238</v>
      </c>
      <c r="P275" s="49">
        <v>1620304</v>
      </c>
    </row>
    <row r="276" spans="10:16" x14ac:dyDescent="0.25">
      <c r="J276">
        <v>257</v>
      </c>
      <c r="K276" s="48">
        <v>38088</v>
      </c>
      <c r="L276" t="s">
        <v>90</v>
      </c>
      <c r="M276" t="s">
        <v>84</v>
      </c>
      <c r="N276" t="s">
        <v>85</v>
      </c>
      <c r="O276">
        <v>261</v>
      </c>
      <c r="P276" s="49">
        <v>1220697</v>
      </c>
    </row>
    <row r="277" spans="10:16" x14ac:dyDescent="0.25">
      <c r="J277">
        <v>258</v>
      </c>
      <c r="K277" s="48">
        <v>38088</v>
      </c>
      <c r="L277" t="s">
        <v>90</v>
      </c>
      <c r="M277" t="s">
        <v>84</v>
      </c>
      <c r="N277" t="s">
        <v>94</v>
      </c>
      <c r="O277">
        <v>242</v>
      </c>
      <c r="P277" s="49">
        <v>1099648</v>
      </c>
    </row>
    <row r="278" spans="10:16" x14ac:dyDescent="0.25">
      <c r="J278">
        <v>259</v>
      </c>
      <c r="K278" s="48">
        <v>38088</v>
      </c>
      <c r="L278" t="s">
        <v>83</v>
      </c>
      <c r="M278" t="s">
        <v>87</v>
      </c>
      <c r="N278" t="s">
        <v>91</v>
      </c>
      <c r="O278">
        <v>138</v>
      </c>
      <c r="P278" s="49">
        <v>1183212</v>
      </c>
    </row>
    <row r="279" spans="10:16" x14ac:dyDescent="0.25">
      <c r="J279">
        <v>260</v>
      </c>
      <c r="K279" s="48">
        <v>38089</v>
      </c>
      <c r="L279" t="s">
        <v>93</v>
      </c>
      <c r="M279" t="s">
        <v>84</v>
      </c>
      <c r="N279" t="s">
        <v>91</v>
      </c>
      <c r="O279">
        <v>258</v>
      </c>
      <c r="P279" s="49">
        <v>1750014</v>
      </c>
    </row>
    <row r="280" spans="10:16" x14ac:dyDescent="0.25">
      <c r="J280">
        <v>261</v>
      </c>
      <c r="K280" s="48">
        <v>38089</v>
      </c>
      <c r="L280" t="s">
        <v>95</v>
      </c>
      <c r="M280" t="s">
        <v>84</v>
      </c>
      <c r="N280" t="s">
        <v>85</v>
      </c>
      <c r="O280">
        <v>201</v>
      </c>
      <c r="P280" s="49">
        <v>1107108</v>
      </c>
    </row>
    <row r="281" spans="10:16" x14ac:dyDescent="0.25">
      <c r="J281">
        <v>262</v>
      </c>
      <c r="K281" s="48">
        <v>38089</v>
      </c>
      <c r="L281" t="s">
        <v>95</v>
      </c>
      <c r="M281" t="s">
        <v>84</v>
      </c>
      <c r="N281" t="s">
        <v>94</v>
      </c>
      <c r="O281">
        <v>181</v>
      </c>
      <c r="P281" s="49">
        <v>1449629</v>
      </c>
    </row>
    <row r="282" spans="10:16" x14ac:dyDescent="0.25">
      <c r="J282">
        <v>263</v>
      </c>
      <c r="K282" s="48">
        <v>38090</v>
      </c>
      <c r="L282" t="s">
        <v>89</v>
      </c>
      <c r="M282" t="s">
        <v>84</v>
      </c>
      <c r="N282" t="s">
        <v>94</v>
      </c>
      <c r="O282">
        <v>244</v>
      </c>
      <c r="P282" s="49">
        <v>1006988</v>
      </c>
    </row>
    <row r="283" spans="10:16" x14ac:dyDescent="0.25">
      <c r="J283">
        <v>264</v>
      </c>
      <c r="K283" s="48">
        <v>38091</v>
      </c>
      <c r="L283" t="s">
        <v>83</v>
      </c>
      <c r="M283" t="s">
        <v>84</v>
      </c>
      <c r="N283" t="s">
        <v>91</v>
      </c>
      <c r="O283">
        <v>258</v>
      </c>
      <c r="P283" s="49">
        <v>1770912</v>
      </c>
    </row>
    <row r="284" spans="10:16" x14ac:dyDescent="0.25">
      <c r="J284">
        <v>265</v>
      </c>
      <c r="K284" s="48">
        <v>38091</v>
      </c>
      <c r="L284" t="s">
        <v>83</v>
      </c>
      <c r="M284" t="s">
        <v>87</v>
      </c>
      <c r="N284" t="s">
        <v>94</v>
      </c>
      <c r="O284">
        <v>105</v>
      </c>
      <c r="P284" s="49">
        <v>927255</v>
      </c>
    </row>
    <row r="285" spans="10:16" x14ac:dyDescent="0.25">
      <c r="J285">
        <v>266</v>
      </c>
      <c r="K285" s="48">
        <v>38091</v>
      </c>
      <c r="L285" t="s">
        <v>83</v>
      </c>
      <c r="M285" t="s">
        <v>84</v>
      </c>
      <c r="N285" t="s">
        <v>91</v>
      </c>
      <c r="O285">
        <v>216</v>
      </c>
      <c r="P285" s="49">
        <v>1125792</v>
      </c>
    </row>
    <row r="286" spans="10:16" x14ac:dyDescent="0.25">
      <c r="J286">
        <v>267</v>
      </c>
      <c r="K286" s="48">
        <v>38091</v>
      </c>
      <c r="L286" t="s">
        <v>95</v>
      </c>
      <c r="M286" t="s">
        <v>87</v>
      </c>
      <c r="N286" t="s">
        <v>88</v>
      </c>
      <c r="O286">
        <v>204</v>
      </c>
      <c r="P286" s="49">
        <v>1291116</v>
      </c>
    </row>
    <row r="287" spans="10:16" x14ac:dyDescent="0.25">
      <c r="J287">
        <v>268</v>
      </c>
      <c r="K287" s="48">
        <v>38092</v>
      </c>
      <c r="L287" t="s">
        <v>92</v>
      </c>
      <c r="M287" t="s">
        <v>84</v>
      </c>
      <c r="N287" t="s">
        <v>88</v>
      </c>
      <c r="O287">
        <v>150</v>
      </c>
      <c r="P287" s="49">
        <v>968250</v>
      </c>
    </row>
    <row r="288" spans="10:16" x14ac:dyDescent="0.25">
      <c r="J288">
        <v>269</v>
      </c>
      <c r="K288" s="48">
        <v>38092</v>
      </c>
      <c r="L288" t="s">
        <v>83</v>
      </c>
      <c r="M288" t="s">
        <v>87</v>
      </c>
      <c r="N288" t="s">
        <v>85</v>
      </c>
      <c r="O288">
        <v>52</v>
      </c>
      <c r="P288" s="49">
        <v>446888</v>
      </c>
    </row>
    <row r="289" spans="10:16" x14ac:dyDescent="0.25">
      <c r="J289">
        <v>270</v>
      </c>
      <c r="K289" s="48">
        <v>38092</v>
      </c>
      <c r="L289" t="s">
        <v>83</v>
      </c>
      <c r="M289" t="s">
        <v>84</v>
      </c>
      <c r="N289" t="s">
        <v>91</v>
      </c>
      <c r="O289">
        <v>223</v>
      </c>
      <c r="P289" s="49">
        <v>1342906</v>
      </c>
    </row>
    <row r="290" spans="10:16" x14ac:dyDescent="0.25">
      <c r="J290">
        <v>271</v>
      </c>
      <c r="K290" s="48">
        <v>38092</v>
      </c>
      <c r="L290" t="s">
        <v>86</v>
      </c>
      <c r="M290" t="s">
        <v>84</v>
      </c>
      <c r="N290" t="s">
        <v>85</v>
      </c>
      <c r="O290">
        <v>237</v>
      </c>
      <c r="P290" s="49">
        <v>1093281</v>
      </c>
    </row>
    <row r="291" spans="10:16" x14ac:dyDescent="0.25">
      <c r="J291">
        <v>272</v>
      </c>
      <c r="K291" s="48">
        <v>38092</v>
      </c>
      <c r="L291" t="s">
        <v>90</v>
      </c>
      <c r="M291" t="s">
        <v>87</v>
      </c>
      <c r="N291" t="s">
        <v>85</v>
      </c>
      <c r="O291">
        <v>270</v>
      </c>
      <c r="P291" s="49">
        <v>2409210</v>
      </c>
    </row>
    <row r="292" spans="10:16" x14ac:dyDescent="0.25">
      <c r="J292">
        <v>273</v>
      </c>
      <c r="K292" s="48">
        <v>38092</v>
      </c>
      <c r="L292" t="s">
        <v>93</v>
      </c>
      <c r="M292" t="s">
        <v>84</v>
      </c>
      <c r="N292" t="s">
        <v>85</v>
      </c>
      <c r="O292">
        <v>120</v>
      </c>
      <c r="P292" s="49">
        <v>722880</v>
      </c>
    </row>
    <row r="293" spans="10:16" x14ac:dyDescent="0.25">
      <c r="J293">
        <v>274</v>
      </c>
      <c r="K293" s="48">
        <v>38092</v>
      </c>
      <c r="L293" t="s">
        <v>93</v>
      </c>
      <c r="M293" t="s">
        <v>84</v>
      </c>
      <c r="N293" t="s">
        <v>85</v>
      </c>
      <c r="O293">
        <v>113</v>
      </c>
      <c r="P293" s="49">
        <v>1102880</v>
      </c>
    </row>
    <row r="294" spans="10:16" x14ac:dyDescent="0.25">
      <c r="J294">
        <v>275</v>
      </c>
      <c r="K294" s="48">
        <v>38093</v>
      </c>
      <c r="L294" t="s">
        <v>86</v>
      </c>
      <c r="M294" t="s">
        <v>84</v>
      </c>
      <c r="N294" t="s">
        <v>88</v>
      </c>
      <c r="O294">
        <v>193</v>
      </c>
      <c r="P294" s="49">
        <v>1079449</v>
      </c>
    </row>
    <row r="295" spans="10:16" x14ac:dyDescent="0.25">
      <c r="J295">
        <v>276</v>
      </c>
      <c r="K295" s="48">
        <v>38094</v>
      </c>
      <c r="L295" t="s">
        <v>89</v>
      </c>
      <c r="M295" t="s">
        <v>84</v>
      </c>
      <c r="N295" t="s">
        <v>88</v>
      </c>
      <c r="O295">
        <v>110</v>
      </c>
      <c r="P295" s="49">
        <v>1039500</v>
      </c>
    </row>
    <row r="296" spans="10:16" x14ac:dyDescent="0.25">
      <c r="J296">
        <v>277</v>
      </c>
      <c r="K296" s="48">
        <v>38094</v>
      </c>
      <c r="L296" t="s">
        <v>83</v>
      </c>
      <c r="M296" t="s">
        <v>87</v>
      </c>
      <c r="N296" t="s">
        <v>94</v>
      </c>
      <c r="O296">
        <v>209</v>
      </c>
      <c r="P296" s="49">
        <v>2038586</v>
      </c>
    </row>
    <row r="297" spans="10:16" x14ac:dyDescent="0.25">
      <c r="J297">
        <v>278</v>
      </c>
      <c r="K297" s="48">
        <v>38094</v>
      </c>
      <c r="L297" t="s">
        <v>90</v>
      </c>
      <c r="M297" t="s">
        <v>84</v>
      </c>
      <c r="N297" t="s">
        <v>88</v>
      </c>
      <c r="O297">
        <v>125</v>
      </c>
      <c r="P297" s="49">
        <v>853750</v>
      </c>
    </row>
    <row r="298" spans="10:16" x14ac:dyDescent="0.25">
      <c r="J298">
        <v>279</v>
      </c>
      <c r="K298" s="48">
        <v>38095</v>
      </c>
      <c r="L298" t="s">
        <v>90</v>
      </c>
      <c r="M298" t="s">
        <v>87</v>
      </c>
      <c r="N298" t="s">
        <v>88</v>
      </c>
      <c r="O298">
        <v>244</v>
      </c>
      <c r="P298" s="49">
        <v>1414956</v>
      </c>
    </row>
    <row r="299" spans="10:16" x14ac:dyDescent="0.25">
      <c r="J299">
        <v>280</v>
      </c>
      <c r="K299" s="48">
        <v>38095</v>
      </c>
      <c r="L299" t="s">
        <v>89</v>
      </c>
      <c r="M299" t="s">
        <v>87</v>
      </c>
      <c r="N299" t="s">
        <v>94</v>
      </c>
      <c r="O299">
        <v>154</v>
      </c>
      <c r="P299" s="49">
        <v>881804</v>
      </c>
    </row>
    <row r="300" spans="10:16" x14ac:dyDescent="0.25">
      <c r="J300">
        <v>281</v>
      </c>
      <c r="K300" s="48">
        <v>38095</v>
      </c>
      <c r="L300" t="s">
        <v>89</v>
      </c>
      <c r="M300" t="s">
        <v>87</v>
      </c>
      <c r="N300" t="s">
        <v>88</v>
      </c>
      <c r="O300">
        <v>258</v>
      </c>
      <c r="P300" s="49">
        <v>1081278</v>
      </c>
    </row>
    <row r="301" spans="10:16" x14ac:dyDescent="0.25">
      <c r="J301">
        <v>282</v>
      </c>
      <c r="K301" s="48">
        <v>38095</v>
      </c>
      <c r="L301" t="s">
        <v>95</v>
      </c>
      <c r="M301" t="s">
        <v>87</v>
      </c>
      <c r="N301" t="s">
        <v>88</v>
      </c>
      <c r="O301">
        <v>285</v>
      </c>
      <c r="P301" s="49">
        <v>2534505</v>
      </c>
    </row>
    <row r="302" spans="10:16" x14ac:dyDescent="0.25">
      <c r="J302">
        <v>283</v>
      </c>
      <c r="K302" s="48">
        <v>38095</v>
      </c>
      <c r="L302" t="s">
        <v>89</v>
      </c>
      <c r="M302" t="s">
        <v>84</v>
      </c>
      <c r="N302" t="s">
        <v>91</v>
      </c>
      <c r="O302">
        <v>137</v>
      </c>
      <c r="P302" s="49">
        <v>1336298</v>
      </c>
    </row>
    <row r="303" spans="10:16" x14ac:dyDescent="0.25">
      <c r="J303">
        <v>284</v>
      </c>
      <c r="K303" s="48">
        <v>38096</v>
      </c>
      <c r="L303" t="s">
        <v>90</v>
      </c>
      <c r="M303" t="s">
        <v>84</v>
      </c>
      <c r="N303" t="s">
        <v>88</v>
      </c>
      <c r="O303">
        <v>262</v>
      </c>
      <c r="P303" s="49">
        <v>2404898</v>
      </c>
    </row>
    <row r="304" spans="10:16" x14ac:dyDescent="0.25">
      <c r="J304">
        <v>285</v>
      </c>
      <c r="K304" s="48">
        <v>38096</v>
      </c>
      <c r="L304" t="s">
        <v>92</v>
      </c>
      <c r="M304" t="s">
        <v>84</v>
      </c>
      <c r="N304" t="s">
        <v>91</v>
      </c>
      <c r="O304">
        <v>143</v>
      </c>
      <c r="P304" s="49">
        <v>712712</v>
      </c>
    </row>
    <row r="305" spans="10:16" x14ac:dyDescent="0.25">
      <c r="J305">
        <v>286</v>
      </c>
      <c r="K305" s="48">
        <v>38096</v>
      </c>
      <c r="L305" t="s">
        <v>92</v>
      </c>
      <c r="M305" t="s">
        <v>87</v>
      </c>
      <c r="N305" t="s">
        <v>94</v>
      </c>
      <c r="O305">
        <v>65</v>
      </c>
      <c r="P305" s="49">
        <v>523770</v>
      </c>
    </row>
    <row r="306" spans="10:16" x14ac:dyDescent="0.25">
      <c r="J306">
        <v>287</v>
      </c>
      <c r="K306" s="48">
        <v>38096</v>
      </c>
      <c r="L306" t="s">
        <v>92</v>
      </c>
      <c r="M306" t="s">
        <v>84</v>
      </c>
      <c r="N306" t="s">
        <v>94</v>
      </c>
      <c r="O306">
        <v>225</v>
      </c>
      <c r="P306" s="49">
        <v>1360800</v>
      </c>
    </row>
    <row r="307" spans="10:16" x14ac:dyDescent="0.25">
      <c r="J307">
        <v>288</v>
      </c>
      <c r="K307" s="48">
        <v>38096</v>
      </c>
      <c r="L307" t="s">
        <v>95</v>
      </c>
      <c r="M307" t="s">
        <v>84</v>
      </c>
      <c r="N307" t="s">
        <v>85</v>
      </c>
      <c r="O307">
        <v>177</v>
      </c>
      <c r="P307" s="49">
        <v>924294</v>
      </c>
    </row>
    <row r="308" spans="10:16" x14ac:dyDescent="0.25">
      <c r="J308">
        <v>289</v>
      </c>
      <c r="K308" s="48">
        <v>38097</v>
      </c>
      <c r="L308" t="s">
        <v>90</v>
      </c>
      <c r="M308" t="s">
        <v>87</v>
      </c>
      <c r="N308" t="s">
        <v>85</v>
      </c>
      <c r="O308">
        <v>163</v>
      </c>
      <c r="P308" s="49">
        <v>895359</v>
      </c>
    </row>
    <row r="309" spans="10:16" x14ac:dyDescent="0.25">
      <c r="J309">
        <v>290</v>
      </c>
      <c r="K309" s="48">
        <v>38097</v>
      </c>
      <c r="L309" t="s">
        <v>89</v>
      </c>
      <c r="M309" t="s">
        <v>84</v>
      </c>
      <c r="N309" t="s">
        <v>88</v>
      </c>
      <c r="O309">
        <v>227</v>
      </c>
      <c r="P309" s="49">
        <v>1437818</v>
      </c>
    </row>
    <row r="310" spans="10:16" x14ac:dyDescent="0.25">
      <c r="J310">
        <v>291</v>
      </c>
      <c r="K310" s="48">
        <v>38098</v>
      </c>
      <c r="L310" t="s">
        <v>95</v>
      </c>
      <c r="M310" t="s">
        <v>84</v>
      </c>
      <c r="N310" t="s">
        <v>91</v>
      </c>
      <c r="O310">
        <v>295</v>
      </c>
      <c r="P310" s="49">
        <v>1877675</v>
      </c>
    </row>
    <row r="311" spans="10:16" x14ac:dyDescent="0.25">
      <c r="J311">
        <v>292</v>
      </c>
      <c r="K311" s="48">
        <v>38098</v>
      </c>
      <c r="L311" t="s">
        <v>83</v>
      </c>
      <c r="M311" t="s">
        <v>87</v>
      </c>
      <c r="N311" t="s">
        <v>94</v>
      </c>
      <c r="O311">
        <v>54</v>
      </c>
      <c r="P311" s="49">
        <v>258444</v>
      </c>
    </row>
    <row r="312" spans="10:16" x14ac:dyDescent="0.25">
      <c r="J312">
        <v>293</v>
      </c>
      <c r="K312" s="48">
        <v>38099</v>
      </c>
      <c r="L312" t="s">
        <v>83</v>
      </c>
      <c r="M312" t="s">
        <v>87</v>
      </c>
      <c r="N312" t="s">
        <v>88</v>
      </c>
      <c r="O312">
        <v>82</v>
      </c>
      <c r="P312" s="49">
        <v>430418</v>
      </c>
    </row>
    <row r="313" spans="10:16" x14ac:dyDescent="0.25">
      <c r="J313">
        <v>294</v>
      </c>
      <c r="K313" s="48">
        <v>38099</v>
      </c>
      <c r="L313" t="s">
        <v>89</v>
      </c>
      <c r="M313" t="s">
        <v>87</v>
      </c>
      <c r="N313" t="s">
        <v>88</v>
      </c>
      <c r="O313">
        <v>86</v>
      </c>
      <c r="P313" s="49">
        <v>589960</v>
      </c>
    </row>
    <row r="314" spans="10:16" x14ac:dyDescent="0.25">
      <c r="J314">
        <v>295</v>
      </c>
      <c r="K314" s="48">
        <v>38099</v>
      </c>
      <c r="L314" t="s">
        <v>89</v>
      </c>
      <c r="M314" t="s">
        <v>87</v>
      </c>
      <c r="N314" t="s">
        <v>88</v>
      </c>
      <c r="O314">
        <v>133</v>
      </c>
      <c r="P314" s="49">
        <v>786695</v>
      </c>
    </row>
    <row r="315" spans="10:16" x14ac:dyDescent="0.25">
      <c r="J315">
        <v>296</v>
      </c>
      <c r="K315" s="48">
        <v>38099</v>
      </c>
      <c r="L315" t="s">
        <v>83</v>
      </c>
      <c r="M315" t="s">
        <v>84</v>
      </c>
      <c r="N315" t="s">
        <v>94</v>
      </c>
      <c r="O315">
        <v>235</v>
      </c>
      <c r="P315" s="49">
        <v>1773780</v>
      </c>
    </row>
    <row r="316" spans="10:16" x14ac:dyDescent="0.25">
      <c r="J316">
        <v>297</v>
      </c>
      <c r="K316" s="48">
        <v>38100</v>
      </c>
      <c r="L316" t="s">
        <v>90</v>
      </c>
      <c r="M316" t="s">
        <v>84</v>
      </c>
      <c r="N316" t="s">
        <v>88</v>
      </c>
      <c r="O316">
        <v>288</v>
      </c>
      <c r="P316" s="49">
        <v>2699136</v>
      </c>
    </row>
    <row r="317" spans="10:16" x14ac:dyDescent="0.25">
      <c r="J317">
        <v>298</v>
      </c>
      <c r="K317" s="48">
        <v>38100</v>
      </c>
      <c r="L317" t="s">
        <v>92</v>
      </c>
      <c r="M317" t="s">
        <v>87</v>
      </c>
      <c r="N317" t="s">
        <v>94</v>
      </c>
      <c r="O317">
        <v>106</v>
      </c>
      <c r="P317" s="49">
        <v>600596</v>
      </c>
    </row>
    <row r="318" spans="10:16" x14ac:dyDescent="0.25">
      <c r="J318">
        <v>299</v>
      </c>
      <c r="K318" s="48">
        <v>38100</v>
      </c>
      <c r="L318" t="s">
        <v>92</v>
      </c>
      <c r="M318" t="s">
        <v>87</v>
      </c>
      <c r="N318" t="s">
        <v>88</v>
      </c>
      <c r="O318">
        <v>45</v>
      </c>
      <c r="P318" s="49">
        <v>307170</v>
      </c>
    </row>
    <row r="319" spans="10:16" x14ac:dyDescent="0.25">
      <c r="J319">
        <v>300</v>
      </c>
      <c r="K319" s="48">
        <v>38100</v>
      </c>
      <c r="L319" t="s">
        <v>90</v>
      </c>
      <c r="M319" t="s">
        <v>84</v>
      </c>
      <c r="N319" t="s">
        <v>91</v>
      </c>
      <c r="O319">
        <v>85</v>
      </c>
      <c r="P319" s="49">
        <v>683230</v>
      </c>
    </row>
    <row r="320" spans="10:16" x14ac:dyDescent="0.25">
      <c r="J320">
        <v>301</v>
      </c>
      <c r="K320" s="48">
        <v>38101</v>
      </c>
      <c r="L320" t="s">
        <v>95</v>
      </c>
      <c r="M320" t="s">
        <v>84</v>
      </c>
      <c r="N320" t="s">
        <v>91</v>
      </c>
      <c r="O320">
        <v>178</v>
      </c>
      <c r="P320" s="49">
        <v>1458176</v>
      </c>
    </row>
    <row r="321" spans="10:16" x14ac:dyDescent="0.25">
      <c r="J321">
        <v>302</v>
      </c>
      <c r="K321" s="48">
        <v>38101</v>
      </c>
      <c r="L321" t="s">
        <v>92</v>
      </c>
      <c r="M321" t="s">
        <v>84</v>
      </c>
      <c r="N321" t="s">
        <v>88</v>
      </c>
      <c r="O321">
        <v>211</v>
      </c>
      <c r="P321" s="49">
        <v>1171894</v>
      </c>
    </row>
    <row r="322" spans="10:16" x14ac:dyDescent="0.25">
      <c r="J322">
        <v>303</v>
      </c>
      <c r="K322" s="48">
        <v>38102</v>
      </c>
      <c r="L322" t="s">
        <v>89</v>
      </c>
      <c r="M322" t="s">
        <v>87</v>
      </c>
      <c r="N322" t="s">
        <v>88</v>
      </c>
      <c r="O322">
        <v>209</v>
      </c>
      <c r="P322" s="49">
        <v>1728221</v>
      </c>
    </row>
    <row r="323" spans="10:16" x14ac:dyDescent="0.25">
      <c r="J323">
        <v>304</v>
      </c>
      <c r="K323" s="48">
        <v>38103</v>
      </c>
      <c r="L323" t="s">
        <v>95</v>
      </c>
      <c r="M323" t="s">
        <v>84</v>
      </c>
      <c r="N323" t="s">
        <v>94</v>
      </c>
      <c r="O323">
        <v>298</v>
      </c>
      <c r="P323" s="49">
        <v>2612566</v>
      </c>
    </row>
    <row r="324" spans="10:16" x14ac:dyDescent="0.25">
      <c r="J324">
        <v>305</v>
      </c>
      <c r="K324" s="48">
        <v>38104</v>
      </c>
      <c r="L324" t="s">
        <v>89</v>
      </c>
      <c r="M324" t="s">
        <v>87</v>
      </c>
      <c r="N324" t="s">
        <v>88</v>
      </c>
      <c r="O324">
        <v>249</v>
      </c>
      <c r="P324" s="49">
        <v>1150380</v>
      </c>
    </row>
    <row r="325" spans="10:16" x14ac:dyDescent="0.25">
      <c r="J325">
        <v>306</v>
      </c>
      <c r="K325" s="48">
        <v>38104</v>
      </c>
      <c r="L325" t="s">
        <v>93</v>
      </c>
      <c r="M325" t="s">
        <v>87</v>
      </c>
      <c r="N325" t="s">
        <v>85</v>
      </c>
      <c r="O325">
        <v>142</v>
      </c>
      <c r="P325" s="49">
        <v>1055912</v>
      </c>
    </row>
    <row r="326" spans="10:16" x14ac:dyDescent="0.25">
      <c r="J326">
        <v>307</v>
      </c>
      <c r="K326" s="48">
        <v>38104</v>
      </c>
      <c r="L326" t="s">
        <v>92</v>
      </c>
      <c r="M326" t="s">
        <v>87</v>
      </c>
      <c r="N326" t="s">
        <v>85</v>
      </c>
      <c r="O326">
        <v>196</v>
      </c>
      <c r="P326" s="49">
        <v>1645616</v>
      </c>
    </row>
    <row r="327" spans="10:16" x14ac:dyDescent="0.25">
      <c r="J327">
        <v>308</v>
      </c>
      <c r="K327" s="48">
        <v>38105</v>
      </c>
      <c r="L327" t="s">
        <v>90</v>
      </c>
      <c r="M327" t="s">
        <v>84</v>
      </c>
      <c r="N327" t="s">
        <v>94</v>
      </c>
      <c r="O327">
        <v>228</v>
      </c>
      <c r="P327" s="49">
        <v>1521216</v>
      </c>
    </row>
    <row r="328" spans="10:16" x14ac:dyDescent="0.25">
      <c r="J328">
        <v>309</v>
      </c>
      <c r="K328" s="48">
        <v>38105</v>
      </c>
      <c r="L328" t="s">
        <v>93</v>
      </c>
      <c r="M328" t="s">
        <v>84</v>
      </c>
      <c r="N328" t="s">
        <v>85</v>
      </c>
      <c r="O328">
        <v>237</v>
      </c>
      <c r="P328" s="49">
        <v>1763517</v>
      </c>
    </row>
    <row r="329" spans="10:16" x14ac:dyDescent="0.25">
      <c r="J329">
        <v>310</v>
      </c>
      <c r="K329" s="48">
        <v>38105</v>
      </c>
      <c r="L329" t="s">
        <v>92</v>
      </c>
      <c r="M329" t="s">
        <v>87</v>
      </c>
      <c r="N329" t="s">
        <v>85</v>
      </c>
      <c r="O329">
        <v>121</v>
      </c>
      <c r="P329" s="49">
        <v>792792</v>
      </c>
    </row>
    <row r="330" spans="10:16" x14ac:dyDescent="0.25">
      <c r="J330">
        <v>311</v>
      </c>
      <c r="K330" s="48">
        <v>38105</v>
      </c>
      <c r="L330" t="s">
        <v>90</v>
      </c>
      <c r="M330" t="s">
        <v>87</v>
      </c>
      <c r="N330" t="s">
        <v>85</v>
      </c>
      <c r="O330">
        <v>61</v>
      </c>
      <c r="P330" s="49">
        <v>605425</v>
      </c>
    </row>
    <row r="331" spans="10:16" x14ac:dyDescent="0.25">
      <c r="J331">
        <v>312</v>
      </c>
      <c r="K331" s="48">
        <v>38106</v>
      </c>
      <c r="L331" t="s">
        <v>92</v>
      </c>
      <c r="M331" t="s">
        <v>87</v>
      </c>
      <c r="N331" t="s">
        <v>88</v>
      </c>
      <c r="O331">
        <v>189</v>
      </c>
      <c r="P331" s="49">
        <v>1579284</v>
      </c>
    </row>
    <row r="332" spans="10:16" x14ac:dyDescent="0.25">
      <c r="J332">
        <v>313</v>
      </c>
      <c r="K332" s="48">
        <v>38107</v>
      </c>
      <c r="L332" t="s">
        <v>86</v>
      </c>
      <c r="M332" t="s">
        <v>84</v>
      </c>
      <c r="N332" t="s">
        <v>94</v>
      </c>
      <c r="O332">
        <v>91</v>
      </c>
      <c r="P332" s="49">
        <v>391391</v>
      </c>
    </row>
    <row r="333" spans="10:16" x14ac:dyDescent="0.25">
      <c r="J333">
        <v>314</v>
      </c>
      <c r="K333" s="48">
        <v>38107</v>
      </c>
      <c r="L333" t="s">
        <v>90</v>
      </c>
      <c r="M333" t="s">
        <v>84</v>
      </c>
      <c r="N333" t="s">
        <v>91</v>
      </c>
      <c r="O333">
        <v>230</v>
      </c>
      <c r="P333" s="49">
        <v>1386900</v>
      </c>
    </row>
    <row r="334" spans="10:16" x14ac:dyDescent="0.25">
      <c r="J334">
        <v>315</v>
      </c>
      <c r="K334" s="48">
        <v>38108</v>
      </c>
      <c r="L334" t="s">
        <v>95</v>
      </c>
      <c r="M334" t="s">
        <v>84</v>
      </c>
      <c r="N334" t="s">
        <v>94</v>
      </c>
      <c r="O334">
        <v>251</v>
      </c>
      <c r="P334" s="49">
        <v>2439971</v>
      </c>
    </row>
    <row r="335" spans="10:16" x14ac:dyDescent="0.25">
      <c r="J335">
        <v>316</v>
      </c>
      <c r="K335" s="48">
        <v>38109</v>
      </c>
      <c r="L335" t="s">
        <v>92</v>
      </c>
      <c r="M335" t="s">
        <v>84</v>
      </c>
      <c r="N335" t="s">
        <v>94</v>
      </c>
      <c r="O335">
        <v>261</v>
      </c>
      <c r="P335" s="49">
        <v>2571111</v>
      </c>
    </row>
    <row r="336" spans="10:16" x14ac:dyDescent="0.25">
      <c r="J336">
        <v>317</v>
      </c>
      <c r="K336" s="48">
        <v>38109</v>
      </c>
      <c r="L336" t="s">
        <v>83</v>
      </c>
      <c r="M336" t="s">
        <v>84</v>
      </c>
      <c r="N336" t="s">
        <v>94</v>
      </c>
      <c r="O336">
        <v>251</v>
      </c>
      <c r="P336" s="49">
        <v>1754992</v>
      </c>
    </row>
    <row r="337" spans="10:16" x14ac:dyDescent="0.25">
      <c r="J337">
        <v>318</v>
      </c>
      <c r="K337" s="48">
        <v>38109</v>
      </c>
      <c r="L337" t="s">
        <v>90</v>
      </c>
      <c r="M337" t="s">
        <v>84</v>
      </c>
      <c r="N337" t="s">
        <v>85</v>
      </c>
      <c r="O337">
        <v>46</v>
      </c>
      <c r="P337" s="49">
        <v>440772</v>
      </c>
    </row>
    <row r="338" spans="10:16" x14ac:dyDescent="0.25">
      <c r="J338">
        <v>319</v>
      </c>
      <c r="K338" s="48">
        <v>38109</v>
      </c>
      <c r="L338" t="s">
        <v>93</v>
      </c>
      <c r="M338" t="s">
        <v>87</v>
      </c>
      <c r="N338" t="s">
        <v>91</v>
      </c>
      <c r="O338">
        <v>123</v>
      </c>
      <c r="P338" s="49">
        <v>961368</v>
      </c>
    </row>
    <row r="339" spans="10:16" x14ac:dyDescent="0.25">
      <c r="J339">
        <v>320</v>
      </c>
      <c r="K339" s="48">
        <v>38109</v>
      </c>
      <c r="L339" t="s">
        <v>92</v>
      </c>
      <c r="M339" t="s">
        <v>84</v>
      </c>
      <c r="N339" t="s">
        <v>88</v>
      </c>
      <c r="O339">
        <v>277</v>
      </c>
      <c r="P339" s="49">
        <v>2456159</v>
      </c>
    </row>
    <row r="340" spans="10:16" x14ac:dyDescent="0.25">
      <c r="J340">
        <v>321</v>
      </c>
      <c r="K340" s="48">
        <v>38110</v>
      </c>
      <c r="L340" t="s">
        <v>92</v>
      </c>
      <c r="M340" t="s">
        <v>84</v>
      </c>
      <c r="N340" t="s">
        <v>88</v>
      </c>
      <c r="O340">
        <v>190</v>
      </c>
      <c r="P340" s="49">
        <v>977740</v>
      </c>
    </row>
    <row r="341" spans="10:16" x14ac:dyDescent="0.25">
      <c r="J341">
        <v>322</v>
      </c>
      <c r="K341" s="48">
        <v>38110</v>
      </c>
      <c r="L341" t="s">
        <v>90</v>
      </c>
      <c r="M341" t="s">
        <v>87</v>
      </c>
      <c r="N341" t="s">
        <v>94</v>
      </c>
      <c r="O341">
        <v>42</v>
      </c>
      <c r="P341" s="49">
        <v>255906</v>
      </c>
    </row>
    <row r="342" spans="10:16" x14ac:dyDescent="0.25">
      <c r="J342">
        <v>323</v>
      </c>
      <c r="K342" s="48">
        <v>38110</v>
      </c>
      <c r="L342" t="s">
        <v>83</v>
      </c>
      <c r="M342" t="s">
        <v>87</v>
      </c>
      <c r="N342" t="s">
        <v>94</v>
      </c>
      <c r="O342">
        <v>237</v>
      </c>
      <c r="P342" s="49">
        <v>1592166</v>
      </c>
    </row>
    <row r="343" spans="10:16" x14ac:dyDescent="0.25">
      <c r="J343">
        <v>324</v>
      </c>
      <c r="K343" s="48">
        <v>38111</v>
      </c>
      <c r="L343" t="s">
        <v>90</v>
      </c>
      <c r="M343" t="s">
        <v>84</v>
      </c>
      <c r="N343" t="s">
        <v>94</v>
      </c>
      <c r="O343">
        <v>155</v>
      </c>
      <c r="P343" s="49">
        <v>876060</v>
      </c>
    </row>
    <row r="344" spans="10:16" x14ac:dyDescent="0.25">
      <c r="J344">
        <v>325</v>
      </c>
      <c r="K344" s="48">
        <v>38111</v>
      </c>
      <c r="L344" t="s">
        <v>93</v>
      </c>
      <c r="M344" t="s">
        <v>87</v>
      </c>
      <c r="N344" t="s">
        <v>88</v>
      </c>
      <c r="O344">
        <v>60</v>
      </c>
      <c r="P344" s="49">
        <v>332400</v>
      </c>
    </row>
    <row r="345" spans="10:16" x14ac:dyDescent="0.25">
      <c r="J345">
        <v>326</v>
      </c>
      <c r="K345" s="48">
        <v>38111</v>
      </c>
      <c r="L345" t="s">
        <v>92</v>
      </c>
      <c r="M345" t="s">
        <v>84</v>
      </c>
      <c r="N345" t="s">
        <v>94</v>
      </c>
      <c r="O345">
        <v>179</v>
      </c>
      <c r="P345" s="49">
        <v>1227224</v>
      </c>
    </row>
    <row r="346" spans="10:16" x14ac:dyDescent="0.25">
      <c r="J346">
        <v>327</v>
      </c>
      <c r="K346" s="48">
        <v>38111</v>
      </c>
      <c r="L346" t="s">
        <v>90</v>
      </c>
      <c r="M346" t="s">
        <v>87</v>
      </c>
      <c r="N346" t="s">
        <v>91</v>
      </c>
      <c r="O346">
        <v>180</v>
      </c>
      <c r="P346" s="49">
        <v>1022040</v>
      </c>
    </row>
    <row r="347" spans="10:16" x14ac:dyDescent="0.25">
      <c r="J347">
        <v>328</v>
      </c>
      <c r="K347" s="48">
        <v>38111</v>
      </c>
      <c r="L347" t="s">
        <v>90</v>
      </c>
      <c r="M347" t="s">
        <v>87</v>
      </c>
      <c r="N347" t="s">
        <v>94</v>
      </c>
      <c r="O347">
        <v>273</v>
      </c>
      <c r="P347" s="49">
        <v>1369368</v>
      </c>
    </row>
    <row r="348" spans="10:16" x14ac:dyDescent="0.25">
      <c r="J348">
        <v>329</v>
      </c>
      <c r="K348" s="48">
        <v>38111</v>
      </c>
      <c r="L348" t="s">
        <v>92</v>
      </c>
      <c r="M348" t="s">
        <v>87</v>
      </c>
      <c r="N348" t="s">
        <v>85</v>
      </c>
      <c r="O348">
        <v>285</v>
      </c>
      <c r="P348" s="49">
        <v>1922325</v>
      </c>
    </row>
    <row r="349" spans="10:16" x14ac:dyDescent="0.25">
      <c r="J349">
        <v>330</v>
      </c>
      <c r="K349" s="48">
        <v>38112</v>
      </c>
      <c r="L349" t="s">
        <v>83</v>
      </c>
      <c r="M349" t="s">
        <v>84</v>
      </c>
      <c r="N349" t="s">
        <v>88</v>
      </c>
      <c r="O349">
        <v>125</v>
      </c>
      <c r="P349" s="49">
        <v>1189250</v>
      </c>
    </row>
    <row r="350" spans="10:16" x14ac:dyDescent="0.25">
      <c r="J350">
        <v>331</v>
      </c>
      <c r="K350" s="48">
        <v>38112</v>
      </c>
      <c r="L350" t="s">
        <v>83</v>
      </c>
      <c r="M350" t="s">
        <v>84</v>
      </c>
      <c r="N350" t="s">
        <v>94</v>
      </c>
      <c r="O350">
        <v>205</v>
      </c>
      <c r="P350" s="49">
        <v>990355</v>
      </c>
    </row>
    <row r="351" spans="10:16" x14ac:dyDescent="0.25">
      <c r="J351">
        <v>332</v>
      </c>
      <c r="K351" s="48">
        <v>38113</v>
      </c>
      <c r="L351" t="s">
        <v>86</v>
      </c>
      <c r="M351" t="s">
        <v>84</v>
      </c>
      <c r="N351" t="s">
        <v>88</v>
      </c>
      <c r="O351">
        <v>138</v>
      </c>
      <c r="P351" s="49">
        <v>877680</v>
      </c>
    </row>
    <row r="352" spans="10:16" x14ac:dyDescent="0.25">
      <c r="J352">
        <v>333</v>
      </c>
      <c r="K352" s="48">
        <v>38113</v>
      </c>
      <c r="L352" t="s">
        <v>93</v>
      </c>
      <c r="M352" t="s">
        <v>87</v>
      </c>
      <c r="N352" t="s">
        <v>94</v>
      </c>
      <c r="O352">
        <v>110</v>
      </c>
      <c r="P352" s="49">
        <v>803000</v>
      </c>
    </row>
    <row r="353" spans="10:16" x14ac:dyDescent="0.25">
      <c r="J353">
        <v>334</v>
      </c>
      <c r="K353" s="48">
        <v>38114</v>
      </c>
      <c r="L353" t="s">
        <v>92</v>
      </c>
      <c r="M353" t="s">
        <v>84</v>
      </c>
      <c r="N353" t="s">
        <v>91</v>
      </c>
      <c r="O353">
        <v>242</v>
      </c>
      <c r="P353" s="49">
        <v>2110966</v>
      </c>
    </row>
    <row r="354" spans="10:16" x14ac:dyDescent="0.25">
      <c r="J354">
        <v>335</v>
      </c>
      <c r="K354" s="48">
        <v>38114</v>
      </c>
      <c r="L354" t="s">
        <v>93</v>
      </c>
      <c r="M354" t="s">
        <v>87</v>
      </c>
      <c r="N354" t="s">
        <v>85</v>
      </c>
      <c r="O354">
        <v>148</v>
      </c>
      <c r="P354" s="49">
        <v>634920</v>
      </c>
    </row>
    <row r="355" spans="10:16" x14ac:dyDescent="0.25">
      <c r="J355">
        <v>336</v>
      </c>
      <c r="K355" s="48">
        <v>38114</v>
      </c>
      <c r="L355" t="s">
        <v>86</v>
      </c>
      <c r="M355" t="s">
        <v>84</v>
      </c>
      <c r="N355" t="s">
        <v>91</v>
      </c>
      <c r="O355">
        <v>227</v>
      </c>
      <c r="P355" s="49">
        <v>1394461</v>
      </c>
    </row>
    <row r="356" spans="10:16" x14ac:dyDescent="0.25">
      <c r="J356">
        <v>337</v>
      </c>
      <c r="K356" s="48">
        <v>38115</v>
      </c>
      <c r="L356" t="s">
        <v>89</v>
      </c>
      <c r="M356" t="s">
        <v>87</v>
      </c>
      <c r="N356" t="s">
        <v>88</v>
      </c>
      <c r="O356">
        <v>102</v>
      </c>
      <c r="P356" s="49">
        <v>413610</v>
      </c>
    </row>
    <row r="357" spans="10:16" x14ac:dyDescent="0.25">
      <c r="J357">
        <v>338</v>
      </c>
      <c r="K357" s="48">
        <v>38115</v>
      </c>
      <c r="L357" t="s">
        <v>89</v>
      </c>
      <c r="M357" t="s">
        <v>84</v>
      </c>
      <c r="N357" t="s">
        <v>94</v>
      </c>
      <c r="O357">
        <v>41</v>
      </c>
      <c r="P357" s="49">
        <v>361661</v>
      </c>
    </row>
    <row r="358" spans="10:16" x14ac:dyDescent="0.25">
      <c r="J358">
        <v>339</v>
      </c>
      <c r="K358" s="48">
        <v>38116</v>
      </c>
      <c r="L358" t="s">
        <v>90</v>
      </c>
      <c r="M358" t="s">
        <v>84</v>
      </c>
      <c r="N358" t="s">
        <v>88</v>
      </c>
      <c r="O358">
        <v>75</v>
      </c>
      <c r="P358" s="49">
        <v>683175</v>
      </c>
    </row>
    <row r="359" spans="10:16" x14ac:dyDescent="0.25">
      <c r="J359">
        <v>340</v>
      </c>
      <c r="K359" s="48">
        <v>38117</v>
      </c>
      <c r="L359" t="s">
        <v>90</v>
      </c>
      <c r="M359" t="s">
        <v>87</v>
      </c>
      <c r="N359" t="s">
        <v>85</v>
      </c>
      <c r="O359">
        <v>99</v>
      </c>
      <c r="P359" s="49">
        <v>783783</v>
      </c>
    </row>
    <row r="360" spans="10:16" x14ac:dyDescent="0.25">
      <c r="J360">
        <v>341</v>
      </c>
      <c r="K360" s="48">
        <v>38117</v>
      </c>
      <c r="L360" t="s">
        <v>95</v>
      </c>
      <c r="M360" t="s">
        <v>87</v>
      </c>
      <c r="N360" t="s">
        <v>91</v>
      </c>
      <c r="O360">
        <v>229</v>
      </c>
      <c r="P360" s="49">
        <v>1990697</v>
      </c>
    </row>
    <row r="361" spans="10:16" x14ac:dyDescent="0.25">
      <c r="J361">
        <v>342</v>
      </c>
      <c r="K361" s="48">
        <v>38117</v>
      </c>
      <c r="L361" t="s">
        <v>86</v>
      </c>
      <c r="M361" t="s">
        <v>84</v>
      </c>
      <c r="N361" t="s">
        <v>85</v>
      </c>
      <c r="O361">
        <v>259</v>
      </c>
      <c r="P361" s="49">
        <v>1992228</v>
      </c>
    </row>
    <row r="362" spans="10:16" x14ac:dyDescent="0.25">
      <c r="J362">
        <v>343</v>
      </c>
      <c r="K362" s="48">
        <v>38117</v>
      </c>
      <c r="L362" t="s">
        <v>83</v>
      </c>
      <c r="M362" t="s">
        <v>87</v>
      </c>
      <c r="N362" t="s">
        <v>94</v>
      </c>
      <c r="O362">
        <v>175</v>
      </c>
      <c r="P362" s="49">
        <v>1178100</v>
      </c>
    </row>
    <row r="363" spans="10:16" x14ac:dyDescent="0.25">
      <c r="J363">
        <v>344</v>
      </c>
      <c r="K363" s="48">
        <v>38117</v>
      </c>
      <c r="L363" t="s">
        <v>95</v>
      </c>
      <c r="M363" t="s">
        <v>87</v>
      </c>
      <c r="N363" t="s">
        <v>94</v>
      </c>
      <c r="O363">
        <v>146</v>
      </c>
      <c r="P363" s="49">
        <v>1083466</v>
      </c>
    </row>
    <row r="364" spans="10:16" x14ac:dyDescent="0.25">
      <c r="J364">
        <v>345</v>
      </c>
      <c r="K364" s="48">
        <v>38118</v>
      </c>
      <c r="L364" t="s">
        <v>92</v>
      </c>
      <c r="M364" t="s">
        <v>84</v>
      </c>
      <c r="N364" t="s">
        <v>91</v>
      </c>
      <c r="O364">
        <v>131</v>
      </c>
      <c r="P364" s="49">
        <v>1263495</v>
      </c>
    </row>
    <row r="365" spans="10:16" x14ac:dyDescent="0.25">
      <c r="J365">
        <v>346</v>
      </c>
      <c r="K365" s="48">
        <v>38118</v>
      </c>
      <c r="L365" t="s">
        <v>86</v>
      </c>
      <c r="M365" t="s">
        <v>87</v>
      </c>
      <c r="N365" t="s">
        <v>91</v>
      </c>
      <c r="O365">
        <v>202</v>
      </c>
      <c r="P365" s="49">
        <v>1320676</v>
      </c>
    </row>
    <row r="366" spans="10:16" x14ac:dyDescent="0.25">
      <c r="J366">
        <v>347</v>
      </c>
      <c r="K366" s="48">
        <v>38118</v>
      </c>
      <c r="L366" t="s">
        <v>92</v>
      </c>
      <c r="M366" t="s">
        <v>87</v>
      </c>
      <c r="N366" t="s">
        <v>94</v>
      </c>
      <c r="O366">
        <v>173</v>
      </c>
      <c r="P366" s="49">
        <v>851852</v>
      </c>
    </row>
    <row r="367" spans="10:16" x14ac:dyDescent="0.25">
      <c r="J367">
        <v>348</v>
      </c>
      <c r="K367" s="48">
        <v>38118</v>
      </c>
      <c r="L367" t="s">
        <v>89</v>
      </c>
      <c r="M367" t="s">
        <v>84</v>
      </c>
      <c r="N367" t="s">
        <v>88</v>
      </c>
      <c r="O367">
        <v>187</v>
      </c>
      <c r="P367" s="49">
        <v>1560889</v>
      </c>
    </row>
    <row r="368" spans="10:16" x14ac:dyDescent="0.25">
      <c r="J368">
        <v>349</v>
      </c>
      <c r="K368" s="48">
        <v>38119</v>
      </c>
      <c r="L368" t="s">
        <v>83</v>
      </c>
      <c r="M368" t="s">
        <v>87</v>
      </c>
      <c r="N368" t="s">
        <v>91</v>
      </c>
      <c r="O368">
        <v>234</v>
      </c>
      <c r="P368" s="49">
        <v>1398852</v>
      </c>
    </row>
    <row r="369" spans="10:16" x14ac:dyDescent="0.25">
      <c r="J369">
        <v>350</v>
      </c>
      <c r="K369" s="48">
        <v>38120</v>
      </c>
      <c r="L369" t="s">
        <v>89</v>
      </c>
      <c r="M369" t="s">
        <v>87</v>
      </c>
      <c r="N369" t="s">
        <v>88</v>
      </c>
      <c r="O369">
        <v>103</v>
      </c>
      <c r="P369" s="49">
        <v>680830</v>
      </c>
    </row>
    <row r="370" spans="10:16" x14ac:dyDescent="0.25">
      <c r="J370">
        <v>351</v>
      </c>
      <c r="K370" s="48">
        <v>38120</v>
      </c>
      <c r="L370" t="s">
        <v>93</v>
      </c>
      <c r="M370" t="s">
        <v>84</v>
      </c>
      <c r="N370" t="s">
        <v>88</v>
      </c>
      <c r="O370">
        <v>75</v>
      </c>
      <c r="P370" s="49">
        <v>418725</v>
      </c>
    </row>
    <row r="371" spans="10:16" x14ac:dyDescent="0.25">
      <c r="J371">
        <v>352</v>
      </c>
      <c r="K371" s="48">
        <v>38121</v>
      </c>
      <c r="L371" t="s">
        <v>95</v>
      </c>
      <c r="M371" t="s">
        <v>87</v>
      </c>
      <c r="N371" t="s">
        <v>91</v>
      </c>
      <c r="O371">
        <v>241</v>
      </c>
      <c r="P371" s="49">
        <v>2060550</v>
      </c>
    </row>
    <row r="372" spans="10:16" x14ac:dyDescent="0.25">
      <c r="J372">
        <v>353</v>
      </c>
      <c r="K372" s="48">
        <v>38121</v>
      </c>
      <c r="L372" t="s">
        <v>93</v>
      </c>
      <c r="M372" t="s">
        <v>84</v>
      </c>
      <c r="N372" t="s">
        <v>91</v>
      </c>
      <c r="O372">
        <v>257</v>
      </c>
      <c r="P372" s="49">
        <v>1980185</v>
      </c>
    </row>
    <row r="373" spans="10:16" x14ac:dyDescent="0.25">
      <c r="J373">
        <v>354</v>
      </c>
      <c r="K373" s="48">
        <v>38121</v>
      </c>
      <c r="L373" t="s">
        <v>93</v>
      </c>
      <c r="M373" t="s">
        <v>87</v>
      </c>
      <c r="N373" t="s">
        <v>88</v>
      </c>
      <c r="O373">
        <v>122</v>
      </c>
      <c r="P373" s="49">
        <v>885476</v>
      </c>
    </row>
    <row r="374" spans="10:16" x14ac:dyDescent="0.25">
      <c r="J374">
        <v>355</v>
      </c>
      <c r="K374" s="48">
        <v>38121</v>
      </c>
      <c r="L374" t="s">
        <v>89</v>
      </c>
      <c r="M374" t="s">
        <v>84</v>
      </c>
      <c r="N374" t="s">
        <v>91</v>
      </c>
      <c r="O374">
        <v>209</v>
      </c>
      <c r="P374" s="49">
        <v>1181686</v>
      </c>
    </row>
    <row r="375" spans="10:16" x14ac:dyDescent="0.25">
      <c r="J375">
        <v>356</v>
      </c>
      <c r="K375" s="48">
        <v>38121</v>
      </c>
      <c r="L375" t="s">
        <v>83</v>
      </c>
      <c r="M375" t="s">
        <v>84</v>
      </c>
      <c r="N375" t="s">
        <v>85</v>
      </c>
      <c r="O375">
        <v>154</v>
      </c>
      <c r="P375" s="49">
        <v>830830</v>
      </c>
    </row>
    <row r="376" spans="10:16" x14ac:dyDescent="0.25">
      <c r="J376">
        <v>357</v>
      </c>
      <c r="K376" s="48">
        <v>38122</v>
      </c>
      <c r="L376" t="s">
        <v>90</v>
      </c>
      <c r="M376" t="s">
        <v>87</v>
      </c>
      <c r="N376" t="s">
        <v>88</v>
      </c>
      <c r="O376">
        <v>196</v>
      </c>
      <c r="P376" s="49">
        <v>1707944</v>
      </c>
    </row>
    <row r="377" spans="10:16" x14ac:dyDescent="0.25">
      <c r="J377">
        <v>358</v>
      </c>
      <c r="K377" s="48">
        <v>38122</v>
      </c>
      <c r="L377" t="s">
        <v>93</v>
      </c>
      <c r="M377" t="s">
        <v>87</v>
      </c>
      <c r="N377" t="s">
        <v>94</v>
      </c>
      <c r="O377">
        <v>131</v>
      </c>
      <c r="P377" s="49">
        <v>1180048</v>
      </c>
    </row>
    <row r="378" spans="10:16" x14ac:dyDescent="0.25">
      <c r="J378">
        <v>359</v>
      </c>
      <c r="K378" s="48">
        <v>38122</v>
      </c>
      <c r="L378" t="s">
        <v>83</v>
      </c>
      <c r="M378" t="s">
        <v>87</v>
      </c>
      <c r="N378" t="s">
        <v>85</v>
      </c>
      <c r="O378">
        <v>130</v>
      </c>
      <c r="P378" s="49">
        <v>1176630</v>
      </c>
    </row>
    <row r="379" spans="10:16" x14ac:dyDescent="0.25">
      <c r="J379">
        <v>360</v>
      </c>
      <c r="K379" s="48">
        <v>38123</v>
      </c>
      <c r="L379" t="s">
        <v>86</v>
      </c>
      <c r="M379" t="s">
        <v>87</v>
      </c>
      <c r="N379" t="s">
        <v>94</v>
      </c>
      <c r="O379">
        <v>156</v>
      </c>
      <c r="P379" s="49">
        <v>896220</v>
      </c>
    </row>
    <row r="380" spans="10:16" x14ac:dyDescent="0.25">
      <c r="J380">
        <v>361</v>
      </c>
      <c r="K380" s="48">
        <v>38124</v>
      </c>
      <c r="L380" t="s">
        <v>86</v>
      </c>
      <c r="M380" t="s">
        <v>87</v>
      </c>
      <c r="N380" t="s">
        <v>85</v>
      </c>
      <c r="O380">
        <v>291</v>
      </c>
      <c r="P380" s="49">
        <v>1505925</v>
      </c>
    </row>
    <row r="381" spans="10:16" x14ac:dyDescent="0.25">
      <c r="J381">
        <v>362</v>
      </c>
      <c r="K381" s="48">
        <v>38125</v>
      </c>
      <c r="L381" t="s">
        <v>95</v>
      </c>
      <c r="M381" t="s">
        <v>87</v>
      </c>
      <c r="N381" t="s">
        <v>85</v>
      </c>
      <c r="O381">
        <v>141</v>
      </c>
      <c r="P381" s="49">
        <v>732495</v>
      </c>
    </row>
    <row r="382" spans="10:16" x14ac:dyDescent="0.25">
      <c r="J382">
        <v>363</v>
      </c>
      <c r="K382" s="48">
        <v>38125</v>
      </c>
      <c r="L382" t="s">
        <v>90</v>
      </c>
      <c r="M382" t="s">
        <v>84</v>
      </c>
      <c r="N382" t="s">
        <v>88</v>
      </c>
      <c r="O382">
        <v>68</v>
      </c>
      <c r="P382" s="49">
        <v>378624</v>
      </c>
    </row>
    <row r="383" spans="10:16" x14ac:dyDescent="0.25">
      <c r="J383">
        <v>364</v>
      </c>
      <c r="K383" s="48">
        <v>38125</v>
      </c>
      <c r="L383" t="s">
        <v>86</v>
      </c>
      <c r="M383" t="s">
        <v>87</v>
      </c>
      <c r="N383" t="s">
        <v>85</v>
      </c>
      <c r="O383">
        <v>267</v>
      </c>
      <c r="P383" s="49">
        <v>1257036</v>
      </c>
    </row>
    <row r="384" spans="10:16" x14ac:dyDescent="0.25">
      <c r="J384">
        <v>365</v>
      </c>
      <c r="K384" s="48">
        <v>38125</v>
      </c>
      <c r="L384" t="s">
        <v>86</v>
      </c>
      <c r="M384" t="s">
        <v>84</v>
      </c>
      <c r="N384" t="s">
        <v>91</v>
      </c>
      <c r="O384">
        <v>137</v>
      </c>
      <c r="P384" s="49">
        <v>673355</v>
      </c>
    </row>
    <row r="385" spans="10:16" x14ac:dyDescent="0.25">
      <c r="J385">
        <v>366</v>
      </c>
      <c r="K385" s="48">
        <v>38125</v>
      </c>
      <c r="L385" t="s">
        <v>89</v>
      </c>
      <c r="M385" t="s">
        <v>87</v>
      </c>
      <c r="N385" t="s">
        <v>85</v>
      </c>
      <c r="O385">
        <v>137</v>
      </c>
      <c r="P385" s="49">
        <v>961192</v>
      </c>
    </row>
    <row r="386" spans="10:16" x14ac:dyDescent="0.25">
      <c r="J386">
        <v>367</v>
      </c>
      <c r="K386" s="48">
        <v>38125</v>
      </c>
      <c r="L386" t="s">
        <v>92</v>
      </c>
      <c r="M386" t="s">
        <v>84</v>
      </c>
      <c r="N386" t="s">
        <v>85</v>
      </c>
      <c r="O386">
        <v>76</v>
      </c>
      <c r="P386" s="49">
        <v>501220</v>
      </c>
    </row>
    <row r="387" spans="10:16" x14ac:dyDescent="0.25">
      <c r="J387">
        <v>368</v>
      </c>
      <c r="K387" s="48">
        <v>38125</v>
      </c>
      <c r="L387" t="s">
        <v>95</v>
      </c>
      <c r="M387" t="s">
        <v>87</v>
      </c>
      <c r="N387" t="s">
        <v>88</v>
      </c>
      <c r="O387">
        <v>80</v>
      </c>
      <c r="P387" s="49">
        <v>354320</v>
      </c>
    </row>
    <row r="388" spans="10:16" x14ac:dyDescent="0.25">
      <c r="J388">
        <v>369</v>
      </c>
      <c r="K388" s="48">
        <v>38126</v>
      </c>
      <c r="L388" t="s">
        <v>95</v>
      </c>
      <c r="M388" t="s">
        <v>84</v>
      </c>
      <c r="N388" t="s">
        <v>94</v>
      </c>
      <c r="O388">
        <v>149</v>
      </c>
      <c r="P388" s="49">
        <v>1238339</v>
      </c>
    </row>
    <row r="389" spans="10:16" x14ac:dyDescent="0.25">
      <c r="J389">
        <v>370</v>
      </c>
      <c r="K389" s="48">
        <v>38126</v>
      </c>
      <c r="L389" t="s">
        <v>90</v>
      </c>
      <c r="M389" t="s">
        <v>84</v>
      </c>
      <c r="N389" t="s">
        <v>91</v>
      </c>
      <c r="O389">
        <v>285</v>
      </c>
      <c r="P389" s="49">
        <v>1377975</v>
      </c>
    </row>
    <row r="390" spans="10:16" x14ac:dyDescent="0.25">
      <c r="J390">
        <v>371</v>
      </c>
      <c r="K390" s="48">
        <v>38127</v>
      </c>
      <c r="L390" t="s">
        <v>89</v>
      </c>
      <c r="M390" t="s">
        <v>87</v>
      </c>
      <c r="N390" t="s">
        <v>94</v>
      </c>
      <c r="O390">
        <v>230</v>
      </c>
      <c r="P390" s="49">
        <v>1109980</v>
      </c>
    </row>
    <row r="391" spans="10:16" x14ac:dyDescent="0.25">
      <c r="J391">
        <v>372</v>
      </c>
      <c r="K391" s="48">
        <v>38127</v>
      </c>
      <c r="L391" t="s">
        <v>83</v>
      </c>
      <c r="M391" t="s">
        <v>84</v>
      </c>
      <c r="N391" t="s">
        <v>85</v>
      </c>
      <c r="O391">
        <v>163</v>
      </c>
      <c r="P391" s="49">
        <v>1317529</v>
      </c>
    </row>
    <row r="392" spans="10:16" x14ac:dyDescent="0.25">
      <c r="J392">
        <v>373</v>
      </c>
      <c r="K392" s="48">
        <v>38128</v>
      </c>
      <c r="L392" t="s">
        <v>90</v>
      </c>
      <c r="M392" t="s">
        <v>84</v>
      </c>
      <c r="N392" t="s">
        <v>94</v>
      </c>
      <c r="O392">
        <v>131</v>
      </c>
      <c r="P392" s="49">
        <v>822811</v>
      </c>
    </row>
    <row r="393" spans="10:16" x14ac:dyDescent="0.25">
      <c r="J393">
        <v>374</v>
      </c>
      <c r="K393" s="48">
        <v>38128</v>
      </c>
      <c r="L393" t="s">
        <v>93</v>
      </c>
      <c r="M393" t="s">
        <v>84</v>
      </c>
      <c r="N393" t="s">
        <v>91</v>
      </c>
      <c r="O393">
        <v>167</v>
      </c>
      <c r="P393" s="49">
        <v>895287</v>
      </c>
    </row>
    <row r="394" spans="10:16" x14ac:dyDescent="0.25">
      <c r="J394">
        <v>375</v>
      </c>
      <c r="K394" s="48">
        <v>38129</v>
      </c>
      <c r="L394" t="s">
        <v>86</v>
      </c>
      <c r="M394" t="s">
        <v>87</v>
      </c>
      <c r="N394" t="s">
        <v>91</v>
      </c>
      <c r="O394">
        <v>230</v>
      </c>
      <c r="P394" s="49">
        <v>1398630</v>
      </c>
    </row>
    <row r="395" spans="10:16" x14ac:dyDescent="0.25">
      <c r="J395">
        <v>376</v>
      </c>
      <c r="K395" s="48">
        <v>38130</v>
      </c>
      <c r="L395" t="s">
        <v>92</v>
      </c>
      <c r="M395" t="s">
        <v>84</v>
      </c>
      <c r="N395" t="s">
        <v>85</v>
      </c>
      <c r="O395">
        <v>247</v>
      </c>
      <c r="P395" s="49">
        <v>1210053</v>
      </c>
    </row>
    <row r="396" spans="10:16" x14ac:dyDescent="0.25">
      <c r="J396">
        <v>377</v>
      </c>
      <c r="K396" s="48">
        <v>38131</v>
      </c>
      <c r="L396" t="s">
        <v>89</v>
      </c>
      <c r="M396" t="s">
        <v>84</v>
      </c>
      <c r="N396" t="s">
        <v>94</v>
      </c>
      <c r="O396">
        <v>105</v>
      </c>
      <c r="P396" s="49">
        <v>525210</v>
      </c>
    </row>
    <row r="397" spans="10:16" x14ac:dyDescent="0.25">
      <c r="J397">
        <v>378</v>
      </c>
      <c r="K397" s="48">
        <v>38131</v>
      </c>
      <c r="L397" t="s">
        <v>90</v>
      </c>
      <c r="M397" t="s">
        <v>84</v>
      </c>
      <c r="N397" t="s">
        <v>88</v>
      </c>
      <c r="O397">
        <v>280</v>
      </c>
      <c r="P397" s="49">
        <v>1680000</v>
      </c>
    </row>
    <row r="398" spans="10:16" x14ac:dyDescent="0.25">
      <c r="J398">
        <v>379</v>
      </c>
      <c r="K398" s="48">
        <v>38131</v>
      </c>
      <c r="L398" t="s">
        <v>93</v>
      </c>
      <c r="M398" t="s">
        <v>87</v>
      </c>
      <c r="N398" t="s">
        <v>88</v>
      </c>
      <c r="O398">
        <v>108</v>
      </c>
      <c r="P398" s="49">
        <v>812808</v>
      </c>
    </row>
    <row r="399" spans="10:16" x14ac:dyDescent="0.25">
      <c r="J399">
        <v>380</v>
      </c>
      <c r="K399" s="48">
        <v>38132</v>
      </c>
      <c r="L399" t="s">
        <v>86</v>
      </c>
      <c r="M399" t="s">
        <v>87</v>
      </c>
      <c r="N399" t="s">
        <v>85</v>
      </c>
      <c r="O399">
        <v>269</v>
      </c>
      <c r="P399" s="49">
        <v>2586704</v>
      </c>
    </row>
    <row r="400" spans="10:16" x14ac:dyDescent="0.25">
      <c r="J400">
        <v>381</v>
      </c>
      <c r="K400" s="48">
        <v>38132</v>
      </c>
      <c r="L400" t="s">
        <v>95</v>
      </c>
      <c r="M400" t="s">
        <v>87</v>
      </c>
      <c r="N400" t="s">
        <v>88</v>
      </c>
      <c r="O400">
        <v>123</v>
      </c>
      <c r="P400" s="49">
        <v>775884</v>
      </c>
    </row>
    <row r="401" spans="10:16" x14ac:dyDescent="0.25">
      <c r="J401">
        <v>382</v>
      </c>
      <c r="K401" s="48">
        <v>38133</v>
      </c>
      <c r="L401" t="s">
        <v>90</v>
      </c>
      <c r="M401" t="s">
        <v>84</v>
      </c>
      <c r="N401" t="s">
        <v>85</v>
      </c>
      <c r="O401">
        <v>264</v>
      </c>
      <c r="P401" s="49">
        <v>2582184</v>
      </c>
    </row>
    <row r="402" spans="10:16" x14ac:dyDescent="0.25">
      <c r="J402">
        <v>383</v>
      </c>
      <c r="K402" s="48">
        <v>38133</v>
      </c>
      <c r="L402" t="s">
        <v>92</v>
      </c>
      <c r="M402" t="s">
        <v>84</v>
      </c>
      <c r="N402" t="s">
        <v>85</v>
      </c>
      <c r="O402">
        <v>298</v>
      </c>
      <c r="P402" s="49">
        <v>1331166</v>
      </c>
    </row>
    <row r="403" spans="10:16" x14ac:dyDescent="0.25">
      <c r="J403">
        <v>384</v>
      </c>
      <c r="K403" s="48">
        <v>38133</v>
      </c>
      <c r="L403" t="s">
        <v>83</v>
      </c>
      <c r="M403" t="s">
        <v>87</v>
      </c>
      <c r="N403" t="s">
        <v>94</v>
      </c>
      <c r="O403">
        <v>200</v>
      </c>
      <c r="P403" s="49">
        <v>1823400</v>
      </c>
    </row>
    <row r="404" spans="10:16" x14ac:dyDescent="0.25">
      <c r="J404">
        <v>385</v>
      </c>
      <c r="K404" s="48">
        <v>38133</v>
      </c>
      <c r="L404" t="s">
        <v>83</v>
      </c>
      <c r="M404" t="s">
        <v>87</v>
      </c>
      <c r="N404" t="s">
        <v>94</v>
      </c>
      <c r="O404">
        <v>197</v>
      </c>
      <c r="P404" s="49">
        <v>1746405</v>
      </c>
    </row>
    <row r="405" spans="10:16" x14ac:dyDescent="0.25">
      <c r="J405">
        <v>386</v>
      </c>
      <c r="K405" s="48">
        <v>38133</v>
      </c>
      <c r="L405" t="s">
        <v>83</v>
      </c>
      <c r="M405" t="s">
        <v>84</v>
      </c>
      <c r="N405" t="s">
        <v>88</v>
      </c>
      <c r="O405">
        <v>184</v>
      </c>
      <c r="P405" s="49">
        <v>830760</v>
      </c>
    </row>
    <row r="406" spans="10:16" x14ac:dyDescent="0.25">
      <c r="J406">
        <v>387</v>
      </c>
      <c r="K406" s="48">
        <v>38134</v>
      </c>
      <c r="L406" t="s">
        <v>89</v>
      </c>
      <c r="M406" t="s">
        <v>87</v>
      </c>
      <c r="N406" t="s">
        <v>94</v>
      </c>
      <c r="O406">
        <v>119</v>
      </c>
      <c r="P406" s="49">
        <v>486472</v>
      </c>
    </row>
    <row r="407" spans="10:16" x14ac:dyDescent="0.25">
      <c r="J407">
        <v>388</v>
      </c>
      <c r="K407" s="48">
        <v>38135</v>
      </c>
      <c r="L407" t="s">
        <v>83</v>
      </c>
      <c r="M407" t="s">
        <v>84</v>
      </c>
      <c r="N407" t="s">
        <v>88</v>
      </c>
      <c r="O407">
        <v>137</v>
      </c>
      <c r="P407" s="49">
        <v>835152</v>
      </c>
    </row>
    <row r="408" spans="10:16" x14ac:dyDescent="0.25">
      <c r="J408">
        <v>389</v>
      </c>
      <c r="K408" s="48">
        <v>38136</v>
      </c>
      <c r="L408" t="s">
        <v>89</v>
      </c>
      <c r="M408" t="s">
        <v>84</v>
      </c>
      <c r="N408" t="s">
        <v>91</v>
      </c>
      <c r="O408">
        <v>196</v>
      </c>
      <c r="P408" s="49">
        <v>882784</v>
      </c>
    </row>
    <row r="409" spans="10:16" x14ac:dyDescent="0.25">
      <c r="J409">
        <v>390</v>
      </c>
      <c r="K409" s="48">
        <v>38137</v>
      </c>
      <c r="L409" t="s">
        <v>83</v>
      </c>
      <c r="M409" t="s">
        <v>84</v>
      </c>
      <c r="N409" t="s">
        <v>91</v>
      </c>
      <c r="O409">
        <v>65</v>
      </c>
      <c r="P409" s="49">
        <v>389350</v>
      </c>
    </row>
    <row r="410" spans="10:16" x14ac:dyDescent="0.25">
      <c r="J410">
        <v>391</v>
      </c>
      <c r="K410" s="48">
        <v>38137</v>
      </c>
      <c r="L410" t="s">
        <v>90</v>
      </c>
      <c r="M410" t="s">
        <v>87</v>
      </c>
      <c r="N410" t="s">
        <v>88</v>
      </c>
      <c r="O410">
        <v>300</v>
      </c>
      <c r="P410" s="49">
        <v>1483500</v>
      </c>
    </row>
    <row r="411" spans="10:16" x14ac:dyDescent="0.25">
      <c r="J411">
        <v>392</v>
      </c>
      <c r="K411" s="48">
        <v>38137</v>
      </c>
      <c r="L411" t="s">
        <v>93</v>
      </c>
      <c r="M411" t="s">
        <v>84</v>
      </c>
      <c r="N411" t="s">
        <v>94</v>
      </c>
      <c r="O411">
        <v>202</v>
      </c>
      <c r="P411" s="49">
        <v>1560450</v>
      </c>
    </row>
    <row r="412" spans="10:16" x14ac:dyDescent="0.25">
      <c r="J412">
        <v>393</v>
      </c>
      <c r="K412" s="48">
        <v>38138</v>
      </c>
      <c r="L412" t="s">
        <v>93</v>
      </c>
      <c r="M412" t="s">
        <v>87</v>
      </c>
      <c r="N412" t="s">
        <v>88</v>
      </c>
      <c r="O412">
        <v>225</v>
      </c>
      <c r="P412" s="49">
        <v>1164375</v>
      </c>
    </row>
    <row r="413" spans="10:16" x14ac:dyDescent="0.25">
      <c r="J413">
        <v>394</v>
      </c>
      <c r="K413" s="48">
        <v>38138</v>
      </c>
      <c r="L413" t="s">
        <v>86</v>
      </c>
      <c r="M413" t="s">
        <v>84</v>
      </c>
      <c r="N413" t="s">
        <v>94</v>
      </c>
      <c r="O413">
        <v>203</v>
      </c>
      <c r="P413" s="49">
        <v>946792</v>
      </c>
    </row>
    <row r="414" spans="10:16" x14ac:dyDescent="0.25">
      <c r="J414">
        <v>395</v>
      </c>
      <c r="K414" s="48">
        <v>38138</v>
      </c>
      <c r="L414" t="s">
        <v>95</v>
      </c>
      <c r="M414" t="s">
        <v>84</v>
      </c>
      <c r="N414" t="s">
        <v>88</v>
      </c>
      <c r="O414">
        <v>192</v>
      </c>
      <c r="P414" s="49">
        <v>1159296</v>
      </c>
    </row>
    <row r="415" spans="10:16" x14ac:dyDescent="0.25">
      <c r="J415">
        <v>396</v>
      </c>
      <c r="K415" s="48">
        <v>38138</v>
      </c>
      <c r="L415" t="s">
        <v>83</v>
      </c>
      <c r="M415" t="s">
        <v>84</v>
      </c>
      <c r="N415" t="s">
        <v>85</v>
      </c>
      <c r="O415">
        <v>296</v>
      </c>
      <c r="P415" s="49">
        <v>1602544</v>
      </c>
    </row>
    <row r="416" spans="10:16" x14ac:dyDescent="0.25">
      <c r="J416">
        <v>397</v>
      </c>
      <c r="K416" s="48">
        <v>38139</v>
      </c>
      <c r="L416" t="s">
        <v>83</v>
      </c>
      <c r="M416" t="s">
        <v>87</v>
      </c>
      <c r="N416" t="s">
        <v>94</v>
      </c>
      <c r="O416">
        <v>177</v>
      </c>
      <c r="P416" s="49">
        <v>933321</v>
      </c>
    </row>
    <row r="417" spans="10:16" x14ac:dyDescent="0.25">
      <c r="J417">
        <v>398</v>
      </c>
      <c r="K417" s="48">
        <v>38139</v>
      </c>
      <c r="L417" t="s">
        <v>92</v>
      </c>
      <c r="M417" t="s">
        <v>87</v>
      </c>
      <c r="N417" t="s">
        <v>88</v>
      </c>
      <c r="O417">
        <v>72</v>
      </c>
      <c r="P417" s="49">
        <v>427824</v>
      </c>
    </row>
    <row r="418" spans="10:16" x14ac:dyDescent="0.25">
      <c r="J418">
        <v>399</v>
      </c>
      <c r="K418" s="48">
        <v>38139</v>
      </c>
      <c r="L418" t="s">
        <v>92</v>
      </c>
      <c r="M418" t="s">
        <v>87</v>
      </c>
      <c r="N418" t="s">
        <v>91</v>
      </c>
      <c r="O418">
        <v>65</v>
      </c>
      <c r="P418" s="49">
        <v>483860</v>
      </c>
    </row>
    <row r="419" spans="10:16" x14ac:dyDescent="0.25">
      <c r="J419">
        <v>400</v>
      </c>
      <c r="K419" s="48">
        <v>38139</v>
      </c>
      <c r="L419" t="s">
        <v>83</v>
      </c>
      <c r="M419" t="s">
        <v>87</v>
      </c>
      <c r="N419" t="s">
        <v>91</v>
      </c>
      <c r="O419">
        <v>208</v>
      </c>
      <c r="P419" s="49">
        <v>1225120</v>
      </c>
    </row>
    <row r="420" spans="10:16" x14ac:dyDescent="0.25">
      <c r="J420">
        <v>401</v>
      </c>
      <c r="K420" s="48">
        <v>38140</v>
      </c>
      <c r="L420" t="s">
        <v>93</v>
      </c>
      <c r="M420" t="s">
        <v>84</v>
      </c>
      <c r="N420" t="s">
        <v>94</v>
      </c>
      <c r="O420">
        <v>271</v>
      </c>
      <c r="P420" s="49">
        <v>2682900</v>
      </c>
    </row>
    <row r="421" spans="10:16" x14ac:dyDescent="0.25">
      <c r="J421">
        <v>402</v>
      </c>
      <c r="K421" s="48">
        <v>38140</v>
      </c>
      <c r="L421" t="s">
        <v>92</v>
      </c>
      <c r="M421" t="s">
        <v>84</v>
      </c>
      <c r="N421" t="s">
        <v>85</v>
      </c>
      <c r="O421">
        <v>278</v>
      </c>
      <c r="P421" s="49">
        <v>2188138</v>
      </c>
    </row>
    <row r="422" spans="10:16" x14ac:dyDescent="0.25">
      <c r="J422">
        <v>403</v>
      </c>
      <c r="K422" s="48">
        <v>38140</v>
      </c>
      <c r="L422" t="s">
        <v>93</v>
      </c>
      <c r="M422" t="s">
        <v>87</v>
      </c>
      <c r="N422" t="s">
        <v>88</v>
      </c>
      <c r="O422">
        <v>90</v>
      </c>
      <c r="P422" s="49">
        <v>770040</v>
      </c>
    </row>
    <row r="423" spans="10:16" x14ac:dyDescent="0.25">
      <c r="J423">
        <v>404</v>
      </c>
      <c r="K423" s="48">
        <v>38141</v>
      </c>
      <c r="L423" t="s">
        <v>95</v>
      </c>
      <c r="M423" t="s">
        <v>84</v>
      </c>
      <c r="N423" t="s">
        <v>85</v>
      </c>
      <c r="O423">
        <v>72</v>
      </c>
      <c r="P423" s="49">
        <v>702576</v>
      </c>
    </row>
    <row r="424" spans="10:16" x14ac:dyDescent="0.25">
      <c r="J424">
        <v>405</v>
      </c>
      <c r="K424" s="48">
        <v>38141</v>
      </c>
      <c r="L424" t="s">
        <v>86</v>
      </c>
      <c r="M424" t="s">
        <v>87</v>
      </c>
      <c r="N424" t="s">
        <v>91</v>
      </c>
      <c r="O424">
        <v>224</v>
      </c>
      <c r="P424" s="49">
        <v>1804992</v>
      </c>
    </row>
    <row r="425" spans="10:16" x14ac:dyDescent="0.25">
      <c r="J425">
        <v>406</v>
      </c>
      <c r="K425" s="48">
        <v>38141</v>
      </c>
      <c r="L425" t="s">
        <v>89</v>
      </c>
      <c r="M425" t="s">
        <v>87</v>
      </c>
      <c r="N425" t="s">
        <v>94</v>
      </c>
      <c r="O425">
        <v>207</v>
      </c>
      <c r="P425" s="49">
        <v>1883700</v>
      </c>
    </row>
    <row r="426" spans="10:16" x14ac:dyDescent="0.25">
      <c r="J426">
        <v>407</v>
      </c>
      <c r="K426" s="48">
        <v>38141</v>
      </c>
      <c r="L426" t="s">
        <v>92</v>
      </c>
      <c r="M426" t="s">
        <v>87</v>
      </c>
      <c r="N426" t="s">
        <v>94</v>
      </c>
      <c r="O426">
        <v>162</v>
      </c>
      <c r="P426" s="49">
        <v>1383480</v>
      </c>
    </row>
    <row r="427" spans="10:16" x14ac:dyDescent="0.25">
      <c r="J427">
        <v>408</v>
      </c>
      <c r="K427" s="48">
        <v>38142</v>
      </c>
      <c r="L427" t="s">
        <v>92</v>
      </c>
      <c r="M427" t="s">
        <v>84</v>
      </c>
      <c r="N427" t="s">
        <v>94</v>
      </c>
      <c r="O427">
        <v>74</v>
      </c>
      <c r="P427" s="49">
        <v>729788</v>
      </c>
    </row>
    <row r="428" spans="10:16" x14ac:dyDescent="0.25">
      <c r="J428">
        <v>409</v>
      </c>
      <c r="K428" s="48">
        <v>38142</v>
      </c>
      <c r="L428" t="s">
        <v>83</v>
      </c>
      <c r="M428" t="s">
        <v>87</v>
      </c>
      <c r="N428" t="s">
        <v>88</v>
      </c>
      <c r="O428">
        <v>293</v>
      </c>
      <c r="P428" s="49">
        <v>1750089</v>
      </c>
    </row>
    <row r="429" spans="10:16" x14ac:dyDescent="0.25">
      <c r="J429">
        <v>410</v>
      </c>
      <c r="K429" s="48">
        <v>38142</v>
      </c>
      <c r="L429" t="s">
        <v>93</v>
      </c>
      <c r="M429" t="s">
        <v>84</v>
      </c>
      <c r="N429" t="s">
        <v>85</v>
      </c>
      <c r="O429">
        <v>46</v>
      </c>
      <c r="P429" s="49">
        <v>435252</v>
      </c>
    </row>
    <row r="430" spans="10:16" x14ac:dyDescent="0.25">
      <c r="J430">
        <v>411</v>
      </c>
      <c r="K430" s="48">
        <v>38143</v>
      </c>
      <c r="L430" t="s">
        <v>86</v>
      </c>
      <c r="M430" t="s">
        <v>87</v>
      </c>
      <c r="N430" t="s">
        <v>88</v>
      </c>
      <c r="O430">
        <v>90</v>
      </c>
      <c r="P430" s="49">
        <v>742770</v>
      </c>
    </row>
    <row r="431" spans="10:16" x14ac:dyDescent="0.25">
      <c r="J431">
        <v>412</v>
      </c>
      <c r="K431" s="48">
        <v>38143</v>
      </c>
      <c r="L431" t="s">
        <v>86</v>
      </c>
      <c r="M431" t="s">
        <v>87</v>
      </c>
      <c r="N431" t="s">
        <v>88</v>
      </c>
      <c r="O431">
        <v>148</v>
      </c>
      <c r="P431" s="49">
        <v>1268952</v>
      </c>
    </row>
    <row r="432" spans="10:16" x14ac:dyDescent="0.25">
      <c r="J432">
        <v>413</v>
      </c>
      <c r="K432" s="48">
        <v>38143</v>
      </c>
      <c r="L432" t="s">
        <v>93</v>
      </c>
      <c r="M432" t="s">
        <v>84</v>
      </c>
      <c r="N432" t="s">
        <v>91</v>
      </c>
      <c r="O432">
        <v>189</v>
      </c>
      <c r="P432" s="49">
        <v>1527498</v>
      </c>
    </row>
    <row r="433" spans="10:16" x14ac:dyDescent="0.25">
      <c r="J433">
        <v>414</v>
      </c>
      <c r="K433" s="48">
        <v>38144</v>
      </c>
      <c r="L433" t="s">
        <v>90</v>
      </c>
      <c r="M433" t="s">
        <v>87</v>
      </c>
      <c r="N433" t="s">
        <v>85</v>
      </c>
      <c r="O433">
        <v>56</v>
      </c>
      <c r="P433" s="49">
        <v>425432</v>
      </c>
    </row>
    <row r="434" spans="10:16" x14ac:dyDescent="0.25">
      <c r="J434">
        <v>415</v>
      </c>
      <c r="K434" s="48">
        <v>38144</v>
      </c>
      <c r="L434" t="s">
        <v>83</v>
      </c>
      <c r="M434" t="s">
        <v>87</v>
      </c>
      <c r="N434" t="s">
        <v>94</v>
      </c>
      <c r="O434">
        <v>46</v>
      </c>
      <c r="P434" s="49">
        <v>386584</v>
      </c>
    </row>
    <row r="435" spans="10:16" x14ac:dyDescent="0.25">
      <c r="J435">
        <v>416</v>
      </c>
      <c r="K435" s="48">
        <v>38145</v>
      </c>
      <c r="L435" t="s">
        <v>89</v>
      </c>
      <c r="M435" t="s">
        <v>84</v>
      </c>
      <c r="N435" t="s">
        <v>85</v>
      </c>
      <c r="O435">
        <v>201</v>
      </c>
      <c r="P435" s="49">
        <v>1287807</v>
      </c>
    </row>
    <row r="436" spans="10:16" x14ac:dyDescent="0.25">
      <c r="J436">
        <v>417</v>
      </c>
      <c r="K436" s="48">
        <v>38145</v>
      </c>
      <c r="L436" t="s">
        <v>90</v>
      </c>
      <c r="M436" t="s">
        <v>87</v>
      </c>
      <c r="N436" t="s">
        <v>94</v>
      </c>
      <c r="O436">
        <v>254</v>
      </c>
      <c r="P436" s="49">
        <v>1381506</v>
      </c>
    </row>
    <row r="437" spans="10:16" x14ac:dyDescent="0.25">
      <c r="J437">
        <v>418</v>
      </c>
      <c r="K437" s="48">
        <v>38145</v>
      </c>
      <c r="L437" t="s">
        <v>92</v>
      </c>
      <c r="M437" t="s">
        <v>84</v>
      </c>
      <c r="N437" t="s">
        <v>88</v>
      </c>
      <c r="O437">
        <v>287</v>
      </c>
      <c r="P437" s="49">
        <v>2452989</v>
      </c>
    </row>
    <row r="438" spans="10:16" x14ac:dyDescent="0.25">
      <c r="J438">
        <v>419</v>
      </c>
      <c r="K438" s="48">
        <v>38145</v>
      </c>
      <c r="L438" t="s">
        <v>83</v>
      </c>
      <c r="M438" t="s">
        <v>87</v>
      </c>
      <c r="N438" t="s">
        <v>88</v>
      </c>
      <c r="O438">
        <v>174</v>
      </c>
      <c r="P438" s="49">
        <v>952302</v>
      </c>
    </row>
    <row r="439" spans="10:16" x14ac:dyDescent="0.25">
      <c r="J439">
        <v>420</v>
      </c>
      <c r="K439" s="48">
        <v>38146</v>
      </c>
      <c r="L439" t="s">
        <v>93</v>
      </c>
      <c r="M439" t="s">
        <v>84</v>
      </c>
      <c r="N439" t="s">
        <v>85</v>
      </c>
      <c r="O439">
        <v>114</v>
      </c>
      <c r="P439" s="49">
        <v>1019160</v>
      </c>
    </row>
    <row r="440" spans="10:16" x14ac:dyDescent="0.25">
      <c r="J440">
        <v>421</v>
      </c>
      <c r="K440" s="48">
        <v>38147</v>
      </c>
      <c r="L440" t="s">
        <v>90</v>
      </c>
      <c r="M440" t="s">
        <v>87</v>
      </c>
      <c r="N440" t="s">
        <v>94</v>
      </c>
      <c r="O440">
        <v>135</v>
      </c>
      <c r="P440" s="49">
        <v>1209735</v>
      </c>
    </row>
    <row r="441" spans="10:16" x14ac:dyDescent="0.25">
      <c r="J441">
        <v>422</v>
      </c>
      <c r="K441" s="48">
        <v>38147</v>
      </c>
      <c r="L441" t="s">
        <v>93</v>
      </c>
      <c r="M441" t="s">
        <v>84</v>
      </c>
      <c r="N441" t="s">
        <v>94</v>
      </c>
      <c r="O441">
        <v>126</v>
      </c>
      <c r="P441" s="49">
        <v>637308</v>
      </c>
    </row>
    <row r="442" spans="10:16" x14ac:dyDescent="0.25">
      <c r="J442">
        <v>423</v>
      </c>
      <c r="K442" s="48">
        <v>38147</v>
      </c>
      <c r="L442" t="s">
        <v>86</v>
      </c>
      <c r="M442" t="s">
        <v>84</v>
      </c>
      <c r="N442" t="s">
        <v>94</v>
      </c>
      <c r="O442">
        <v>260</v>
      </c>
      <c r="P442" s="49">
        <v>1090180</v>
      </c>
    </row>
    <row r="443" spans="10:16" x14ac:dyDescent="0.25">
      <c r="J443">
        <v>424</v>
      </c>
      <c r="K443" s="48">
        <v>38147</v>
      </c>
      <c r="L443" t="s">
        <v>83</v>
      </c>
      <c r="M443" t="s">
        <v>87</v>
      </c>
      <c r="N443" t="s">
        <v>94</v>
      </c>
      <c r="O443">
        <v>261</v>
      </c>
      <c r="P443" s="49">
        <v>1945755</v>
      </c>
    </row>
    <row r="444" spans="10:16" x14ac:dyDescent="0.25">
      <c r="J444">
        <v>425</v>
      </c>
      <c r="K444" s="48">
        <v>38147</v>
      </c>
      <c r="L444" t="s">
        <v>95</v>
      </c>
      <c r="M444" t="s">
        <v>87</v>
      </c>
      <c r="N444" t="s">
        <v>88</v>
      </c>
      <c r="O444">
        <v>173</v>
      </c>
      <c r="P444" s="49">
        <v>1117753</v>
      </c>
    </row>
    <row r="445" spans="10:16" x14ac:dyDescent="0.25">
      <c r="J445">
        <v>426</v>
      </c>
      <c r="K445" s="48">
        <v>38147</v>
      </c>
      <c r="L445" t="s">
        <v>89</v>
      </c>
      <c r="M445" t="s">
        <v>84</v>
      </c>
      <c r="N445" t="s">
        <v>85</v>
      </c>
      <c r="O445">
        <v>207</v>
      </c>
      <c r="P445" s="49">
        <v>1042659</v>
      </c>
    </row>
    <row r="446" spans="10:16" x14ac:dyDescent="0.25">
      <c r="J446">
        <v>427</v>
      </c>
      <c r="K446" s="48">
        <v>38148</v>
      </c>
      <c r="L446" t="s">
        <v>93</v>
      </c>
      <c r="M446" t="s">
        <v>87</v>
      </c>
      <c r="N446" t="s">
        <v>94</v>
      </c>
      <c r="O446">
        <v>81</v>
      </c>
      <c r="P446" s="49">
        <v>583362</v>
      </c>
    </row>
    <row r="447" spans="10:16" x14ac:dyDescent="0.25">
      <c r="J447">
        <v>428</v>
      </c>
      <c r="K447" s="48">
        <v>38148</v>
      </c>
      <c r="L447" t="s">
        <v>93</v>
      </c>
      <c r="M447" t="s">
        <v>84</v>
      </c>
      <c r="N447" t="s">
        <v>85</v>
      </c>
      <c r="O447">
        <v>52</v>
      </c>
      <c r="P447" s="49">
        <v>338364</v>
      </c>
    </row>
    <row r="448" spans="10:16" x14ac:dyDescent="0.25">
      <c r="J448">
        <v>429</v>
      </c>
      <c r="K448" s="48">
        <v>38149</v>
      </c>
      <c r="L448" t="s">
        <v>83</v>
      </c>
      <c r="M448" t="s">
        <v>84</v>
      </c>
      <c r="N448" t="s">
        <v>91</v>
      </c>
      <c r="O448">
        <v>271</v>
      </c>
      <c r="P448" s="49">
        <v>2190493</v>
      </c>
    </row>
    <row r="449" spans="10:16" x14ac:dyDescent="0.25">
      <c r="J449">
        <v>430</v>
      </c>
      <c r="K449" s="48">
        <v>38149</v>
      </c>
      <c r="L449" t="s">
        <v>89</v>
      </c>
      <c r="M449" t="s">
        <v>87</v>
      </c>
      <c r="N449" t="s">
        <v>91</v>
      </c>
      <c r="O449">
        <v>249</v>
      </c>
      <c r="P449" s="49">
        <v>1388175</v>
      </c>
    </row>
    <row r="450" spans="10:16" x14ac:dyDescent="0.25">
      <c r="J450">
        <v>431</v>
      </c>
      <c r="K450" s="48">
        <v>38149</v>
      </c>
      <c r="L450" t="s">
        <v>90</v>
      </c>
      <c r="M450" t="s">
        <v>84</v>
      </c>
      <c r="N450" t="s">
        <v>91</v>
      </c>
      <c r="O450">
        <v>153</v>
      </c>
      <c r="P450" s="49">
        <v>1116441</v>
      </c>
    </row>
    <row r="451" spans="10:16" x14ac:dyDescent="0.25">
      <c r="J451">
        <v>432</v>
      </c>
      <c r="K451" s="48">
        <v>38150</v>
      </c>
      <c r="L451" t="s">
        <v>89</v>
      </c>
      <c r="M451" t="s">
        <v>84</v>
      </c>
      <c r="N451" t="s">
        <v>85</v>
      </c>
      <c r="O451">
        <v>205</v>
      </c>
      <c r="P451" s="49">
        <v>1980300</v>
      </c>
    </row>
    <row r="452" spans="10:16" x14ac:dyDescent="0.25">
      <c r="J452">
        <v>433</v>
      </c>
      <c r="K452" s="48">
        <v>38151</v>
      </c>
      <c r="L452" t="s">
        <v>90</v>
      </c>
      <c r="M452" t="s">
        <v>87</v>
      </c>
      <c r="N452" t="s">
        <v>91</v>
      </c>
      <c r="O452">
        <v>144</v>
      </c>
      <c r="P452" s="49">
        <v>852480</v>
      </c>
    </row>
    <row r="453" spans="10:16" x14ac:dyDescent="0.25">
      <c r="J453">
        <v>434</v>
      </c>
      <c r="K453" s="48">
        <v>38151</v>
      </c>
      <c r="L453" t="s">
        <v>86</v>
      </c>
      <c r="M453" t="s">
        <v>84</v>
      </c>
      <c r="N453" t="s">
        <v>91</v>
      </c>
      <c r="O453">
        <v>246</v>
      </c>
      <c r="P453" s="49">
        <v>1898628</v>
      </c>
    </row>
    <row r="454" spans="10:16" x14ac:dyDescent="0.25">
      <c r="J454">
        <v>435</v>
      </c>
      <c r="K454" s="48">
        <v>38151</v>
      </c>
      <c r="L454" t="s">
        <v>92</v>
      </c>
      <c r="M454" t="s">
        <v>84</v>
      </c>
      <c r="N454" t="s">
        <v>88</v>
      </c>
      <c r="O454">
        <v>233</v>
      </c>
      <c r="P454" s="49">
        <v>1541528</v>
      </c>
    </row>
    <row r="455" spans="10:16" x14ac:dyDescent="0.25">
      <c r="J455">
        <v>436</v>
      </c>
      <c r="K455" s="48">
        <v>38151</v>
      </c>
      <c r="L455" t="s">
        <v>90</v>
      </c>
      <c r="M455" t="s">
        <v>87</v>
      </c>
      <c r="N455" t="s">
        <v>91</v>
      </c>
      <c r="O455">
        <v>105</v>
      </c>
      <c r="P455" s="49">
        <v>783195</v>
      </c>
    </row>
    <row r="456" spans="10:16" x14ac:dyDescent="0.25">
      <c r="J456">
        <v>437</v>
      </c>
      <c r="K456" s="48">
        <v>38152</v>
      </c>
      <c r="L456" t="s">
        <v>83</v>
      </c>
      <c r="M456" t="s">
        <v>87</v>
      </c>
      <c r="N456" t="s">
        <v>88</v>
      </c>
      <c r="O456">
        <v>107</v>
      </c>
      <c r="P456" s="49">
        <v>909821</v>
      </c>
    </row>
    <row r="457" spans="10:16" x14ac:dyDescent="0.25">
      <c r="J457">
        <v>438</v>
      </c>
      <c r="K457" s="48">
        <v>38152</v>
      </c>
      <c r="L457" t="s">
        <v>89</v>
      </c>
      <c r="M457" t="s">
        <v>87</v>
      </c>
      <c r="N457" t="s">
        <v>94</v>
      </c>
      <c r="O457">
        <v>158</v>
      </c>
      <c r="P457" s="49">
        <v>1543344</v>
      </c>
    </row>
    <row r="458" spans="10:16" x14ac:dyDescent="0.25">
      <c r="J458">
        <v>439</v>
      </c>
      <c r="K458" s="48">
        <v>38153</v>
      </c>
      <c r="L458" t="s">
        <v>89</v>
      </c>
      <c r="M458" t="s">
        <v>84</v>
      </c>
      <c r="N458" t="s">
        <v>88</v>
      </c>
      <c r="O458">
        <v>298</v>
      </c>
      <c r="P458" s="49">
        <v>2524358</v>
      </c>
    </row>
    <row r="459" spans="10:16" x14ac:dyDescent="0.25">
      <c r="J459">
        <v>440</v>
      </c>
      <c r="K459" s="48">
        <v>38153</v>
      </c>
      <c r="L459" t="s">
        <v>83</v>
      </c>
      <c r="M459" t="s">
        <v>87</v>
      </c>
      <c r="N459" t="s">
        <v>94</v>
      </c>
      <c r="O459">
        <v>115</v>
      </c>
      <c r="P459" s="49">
        <v>1077665</v>
      </c>
    </row>
    <row r="460" spans="10:16" x14ac:dyDescent="0.25">
      <c r="J460">
        <v>441</v>
      </c>
      <c r="K460" s="48">
        <v>38154</v>
      </c>
      <c r="L460" t="s">
        <v>83</v>
      </c>
      <c r="M460" t="s">
        <v>87</v>
      </c>
      <c r="N460" t="s">
        <v>94</v>
      </c>
      <c r="O460">
        <v>102</v>
      </c>
      <c r="P460" s="49">
        <v>790602</v>
      </c>
    </row>
    <row r="461" spans="10:16" x14ac:dyDescent="0.25">
      <c r="J461">
        <v>442</v>
      </c>
      <c r="K461" s="48">
        <v>38154</v>
      </c>
      <c r="L461" t="s">
        <v>83</v>
      </c>
      <c r="M461" t="s">
        <v>87</v>
      </c>
      <c r="N461" t="s">
        <v>91</v>
      </c>
      <c r="O461">
        <v>211</v>
      </c>
      <c r="P461" s="49">
        <v>872063</v>
      </c>
    </row>
    <row r="462" spans="10:16" x14ac:dyDescent="0.25">
      <c r="J462">
        <v>443</v>
      </c>
      <c r="K462" s="48">
        <v>38155</v>
      </c>
      <c r="L462" t="s">
        <v>93</v>
      </c>
      <c r="M462" t="s">
        <v>84</v>
      </c>
      <c r="N462" t="s">
        <v>88</v>
      </c>
      <c r="O462">
        <v>245</v>
      </c>
      <c r="P462" s="49">
        <v>1001070</v>
      </c>
    </row>
    <row r="463" spans="10:16" x14ac:dyDescent="0.25">
      <c r="J463">
        <v>444</v>
      </c>
      <c r="K463" s="48">
        <v>38155</v>
      </c>
      <c r="L463" t="s">
        <v>83</v>
      </c>
      <c r="M463" t="s">
        <v>87</v>
      </c>
      <c r="N463" t="s">
        <v>94</v>
      </c>
      <c r="O463">
        <v>102</v>
      </c>
      <c r="P463" s="49">
        <v>1005312</v>
      </c>
    </row>
    <row r="464" spans="10:16" x14ac:dyDescent="0.25">
      <c r="J464">
        <v>445</v>
      </c>
      <c r="K464" s="48">
        <v>38155</v>
      </c>
      <c r="L464" t="s">
        <v>86</v>
      </c>
      <c r="M464" t="s">
        <v>84</v>
      </c>
      <c r="N464" t="s">
        <v>88</v>
      </c>
      <c r="O464">
        <v>44</v>
      </c>
      <c r="P464" s="49">
        <v>189156</v>
      </c>
    </row>
    <row r="465" spans="10:16" x14ac:dyDescent="0.25">
      <c r="J465">
        <v>446</v>
      </c>
      <c r="K465" s="48">
        <v>38155</v>
      </c>
      <c r="L465" t="s">
        <v>95</v>
      </c>
      <c r="M465" t="s">
        <v>84</v>
      </c>
      <c r="N465" t="s">
        <v>91</v>
      </c>
      <c r="O465">
        <v>57</v>
      </c>
      <c r="P465" s="49">
        <v>419178</v>
      </c>
    </row>
    <row r="466" spans="10:16" x14ac:dyDescent="0.25">
      <c r="J466">
        <v>447</v>
      </c>
      <c r="K466" s="48">
        <v>38155</v>
      </c>
      <c r="L466" t="s">
        <v>83</v>
      </c>
      <c r="M466" t="s">
        <v>84</v>
      </c>
      <c r="N466" t="s">
        <v>85</v>
      </c>
      <c r="O466">
        <v>263</v>
      </c>
      <c r="P466" s="49">
        <v>1779458</v>
      </c>
    </row>
    <row r="467" spans="10:16" x14ac:dyDescent="0.25">
      <c r="J467">
        <v>448</v>
      </c>
      <c r="K467" s="48">
        <v>38155</v>
      </c>
      <c r="L467" t="s">
        <v>86</v>
      </c>
      <c r="M467" t="s">
        <v>84</v>
      </c>
      <c r="N467" t="s">
        <v>88</v>
      </c>
      <c r="O467">
        <v>234</v>
      </c>
      <c r="P467" s="49">
        <v>1159470</v>
      </c>
    </row>
    <row r="468" spans="10:16" x14ac:dyDescent="0.25">
      <c r="J468">
        <v>449</v>
      </c>
      <c r="K468" s="48">
        <v>38155</v>
      </c>
      <c r="L468" t="s">
        <v>86</v>
      </c>
      <c r="M468" t="s">
        <v>87</v>
      </c>
      <c r="N468" t="s">
        <v>88</v>
      </c>
      <c r="O468">
        <v>118</v>
      </c>
      <c r="P468" s="49">
        <v>788948</v>
      </c>
    </row>
    <row r="469" spans="10:16" x14ac:dyDescent="0.25">
      <c r="J469">
        <v>450</v>
      </c>
      <c r="K469" s="48">
        <v>38156</v>
      </c>
      <c r="L469" t="s">
        <v>92</v>
      </c>
      <c r="M469" t="s">
        <v>84</v>
      </c>
      <c r="N469" t="s">
        <v>85</v>
      </c>
      <c r="O469">
        <v>248</v>
      </c>
      <c r="P469" s="49">
        <v>1674744</v>
      </c>
    </row>
    <row r="470" spans="10:16" x14ac:dyDescent="0.25">
      <c r="J470">
        <v>451</v>
      </c>
      <c r="K470" s="48">
        <v>38156</v>
      </c>
      <c r="L470" t="s">
        <v>89</v>
      </c>
      <c r="M470" t="s">
        <v>87</v>
      </c>
      <c r="N470" t="s">
        <v>94</v>
      </c>
      <c r="O470">
        <v>54</v>
      </c>
      <c r="P470" s="49">
        <v>406998</v>
      </c>
    </row>
    <row r="471" spans="10:16" x14ac:dyDescent="0.25">
      <c r="J471">
        <v>452</v>
      </c>
      <c r="K471" s="48">
        <v>38157</v>
      </c>
      <c r="L471" t="s">
        <v>90</v>
      </c>
      <c r="M471" t="s">
        <v>87</v>
      </c>
      <c r="N471" t="s">
        <v>85</v>
      </c>
      <c r="O471">
        <v>215</v>
      </c>
      <c r="P471" s="49">
        <v>2097970</v>
      </c>
    </row>
    <row r="472" spans="10:16" x14ac:dyDescent="0.25">
      <c r="J472">
        <v>453</v>
      </c>
      <c r="K472" s="48">
        <v>38157</v>
      </c>
      <c r="L472" t="s">
        <v>90</v>
      </c>
      <c r="M472" t="s">
        <v>87</v>
      </c>
      <c r="N472" t="s">
        <v>88</v>
      </c>
      <c r="O472">
        <v>185</v>
      </c>
      <c r="P472" s="49">
        <v>1616900</v>
      </c>
    </row>
    <row r="473" spans="10:16" x14ac:dyDescent="0.25">
      <c r="J473">
        <v>454</v>
      </c>
      <c r="K473" s="48">
        <v>38157</v>
      </c>
      <c r="L473" t="s">
        <v>89</v>
      </c>
      <c r="M473" t="s">
        <v>84</v>
      </c>
      <c r="N473" t="s">
        <v>94</v>
      </c>
      <c r="O473">
        <v>72</v>
      </c>
      <c r="P473" s="49">
        <v>458568</v>
      </c>
    </row>
    <row r="474" spans="10:16" x14ac:dyDescent="0.25">
      <c r="J474">
        <v>455</v>
      </c>
      <c r="K474" s="48">
        <v>38158</v>
      </c>
      <c r="L474" t="s">
        <v>83</v>
      </c>
      <c r="M474" t="s">
        <v>84</v>
      </c>
      <c r="N474" t="s">
        <v>94</v>
      </c>
      <c r="O474">
        <v>244</v>
      </c>
      <c r="P474" s="49">
        <v>2439512</v>
      </c>
    </row>
    <row r="475" spans="10:16" x14ac:dyDescent="0.25">
      <c r="J475">
        <v>456</v>
      </c>
      <c r="K475" s="48">
        <v>38158</v>
      </c>
      <c r="L475" t="s">
        <v>93</v>
      </c>
      <c r="M475" t="s">
        <v>87</v>
      </c>
      <c r="N475" t="s">
        <v>85</v>
      </c>
      <c r="O475">
        <v>195</v>
      </c>
      <c r="P475" s="49">
        <v>1797120</v>
      </c>
    </row>
    <row r="476" spans="10:16" x14ac:dyDescent="0.25">
      <c r="J476">
        <v>457</v>
      </c>
      <c r="K476" s="48">
        <v>38158</v>
      </c>
      <c r="L476" t="s">
        <v>90</v>
      </c>
      <c r="M476" t="s">
        <v>84</v>
      </c>
      <c r="N476" t="s">
        <v>85</v>
      </c>
      <c r="O476">
        <v>104</v>
      </c>
      <c r="P476" s="49">
        <v>511680</v>
      </c>
    </row>
    <row r="477" spans="10:16" x14ac:dyDescent="0.25">
      <c r="J477">
        <v>458</v>
      </c>
      <c r="K477" s="48">
        <v>38158</v>
      </c>
      <c r="L477" t="s">
        <v>93</v>
      </c>
      <c r="M477" t="s">
        <v>84</v>
      </c>
      <c r="N477" t="s">
        <v>94</v>
      </c>
      <c r="O477">
        <v>71</v>
      </c>
      <c r="P477" s="49">
        <v>587880</v>
      </c>
    </row>
    <row r="478" spans="10:16" x14ac:dyDescent="0.25">
      <c r="J478">
        <v>459</v>
      </c>
      <c r="K478" s="48">
        <v>38159</v>
      </c>
      <c r="L478" t="s">
        <v>89</v>
      </c>
      <c r="M478" t="s">
        <v>87</v>
      </c>
      <c r="N478" t="s">
        <v>88</v>
      </c>
      <c r="O478">
        <v>107</v>
      </c>
      <c r="P478" s="49">
        <v>590426</v>
      </c>
    </row>
    <row r="479" spans="10:16" x14ac:dyDescent="0.25">
      <c r="J479">
        <v>460</v>
      </c>
      <c r="K479" s="48">
        <v>38160</v>
      </c>
      <c r="L479" t="s">
        <v>89</v>
      </c>
      <c r="M479" t="s">
        <v>84</v>
      </c>
      <c r="N479" t="s">
        <v>94</v>
      </c>
      <c r="O479">
        <v>77</v>
      </c>
      <c r="P479" s="49">
        <v>322322</v>
      </c>
    </row>
    <row r="480" spans="10:16" x14ac:dyDescent="0.25">
      <c r="J480">
        <v>461</v>
      </c>
      <c r="K480" s="48">
        <v>38160</v>
      </c>
      <c r="L480" t="s">
        <v>95</v>
      </c>
      <c r="M480" t="s">
        <v>87</v>
      </c>
      <c r="N480" t="s">
        <v>88</v>
      </c>
      <c r="O480">
        <v>90</v>
      </c>
      <c r="P480" s="49">
        <v>412740</v>
      </c>
    </row>
    <row r="481" spans="10:16" x14ac:dyDescent="0.25">
      <c r="J481">
        <v>462</v>
      </c>
      <c r="K481" s="48">
        <v>38160</v>
      </c>
      <c r="L481" t="s">
        <v>89</v>
      </c>
      <c r="M481" t="s">
        <v>84</v>
      </c>
      <c r="N481" t="s">
        <v>85</v>
      </c>
      <c r="O481">
        <v>204</v>
      </c>
      <c r="P481" s="49">
        <v>924732</v>
      </c>
    </row>
    <row r="482" spans="10:16" x14ac:dyDescent="0.25">
      <c r="J482">
        <v>463</v>
      </c>
      <c r="K482" s="48">
        <v>38161</v>
      </c>
      <c r="L482" t="s">
        <v>95</v>
      </c>
      <c r="M482" t="s">
        <v>87</v>
      </c>
      <c r="N482" t="s">
        <v>88</v>
      </c>
      <c r="O482">
        <v>214</v>
      </c>
      <c r="P482" s="49">
        <v>1962380</v>
      </c>
    </row>
    <row r="483" spans="10:16" x14ac:dyDescent="0.25">
      <c r="J483">
        <v>464</v>
      </c>
      <c r="K483" s="48">
        <v>38162</v>
      </c>
      <c r="L483" t="s">
        <v>95</v>
      </c>
      <c r="M483" t="s">
        <v>84</v>
      </c>
      <c r="N483" t="s">
        <v>88</v>
      </c>
      <c r="O483">
        <v>143</v>
      </c>
      <c r="P483" s="49">
        <v>836836</v>
      </c>
    </row>
    <row r="484" spans="10:16" x14ac:dyDescent="0.25">
      <c r="J484">
        <v>465</v>
      </c>
      <c r="K484" s="48">
        <v>38162</v>
      </c>
      <c r="L484" t="s">
        <v>92</v>
      </c>
      <c r="M484" t="s">
        <v>84</v>
      </c>
      <c r="N484" t="s">
        <v>85</v>
      </c>
      <c r="O484">
        <v>268</v>
      </c>
      <c r="P484" s="49">
        <v>2628812</v>
      </c>
    </row>
    <row r="485" spans="10:16" x14ac:dyDescent="0.25">
      <c r="J485">
        <v>466</v>
      </c>
      <c r="K485" s="48">
        <v>38162</v>
      </c>
      <c r="L485" t="s">
        <v>86</v>
      </c>
      <c r="M485" t="s">
        <v>84</v>
      </c>
      <c r="N485" t="s">
        <v>91</v>
      </c>
      <c r="O485">
        <v>44</v>
      </c>
      <c r="P485" s="49">
        <v>242704</v>
      </c>
    </row>
    <row r="486" spans="10:16" x14ac:dyDescent="0.25">
      <c r="J486">
        <v>467</v>
      </c>
      <c r="K486" s="48">
        <v>38162</v>
      </c>
      <c r="L486" t="s">
        <v>86</v>
      </c>
      <c r="M486" t="s">
        <v>87</v>
      </c>
      <c r="N486" t="s">
        <v>88</v>
      </c>
      <c r="O486">
        <v>126</v>
      </c>
      <c r="P486" s="49">
        <v>520758</v>
      </c>
    </row>
    <row r="487" spans="10:16" x14ac:dyDescent="0.25">
      <c r="J487">
        <v>468</v>
      </c>
      <c r="K487" s="48">
        <v>38162</v>
      </c>
      <c r="L487" t="s">
        <v>86</v>
      </c>
      <c r="M487" t="s">
        <v>87</v>
      </c>
      <c r="N487" t="s">
        <v>91</v>
      </c>
      <c r="O487">
        <v>215</v>
      </c>
      <c r="P487" s="49">
        <v>870105</v>
      </c>
    </row>
    <row r="488" spans="10:16" x14ac:dyDescent="0.25">
      <c r="J488">
        <v>469</v>
      </c>
      <c r="K488" s="48">
        <v>38162</v>
      </c>
      <c r="L488" t="s">
        <v>95</v>
      </c>
      <c r="M488" t="s">
        <v>84</v>
      </c>
      <c r="N488" t="s">
        <v>94</v>
      </c>
      <c r="O488">
        <v>65</v>
      </c>
      <c r="P488" s="49">
        <v>546780</v>
      </c>
    </row>
    <row r="489" spans="10:16" x14ac:dyDescent="0.25">
      <c r="J489">
        <v>470</v>
      </c>
      <c r="K489" s="48">
        <v>38163</v>
      </c>
      <c r="L489" t="s">
        <v>83</v>
      </c>
      <c r="M489" t="s">
        <v>87</v>
      </c>
      <c r="N489" t="s">
        <v>91</v>
      </c>
      <c r="O489">
        <v>191</v>
      </c>
      <c r="P489" s="49">
        <v>875544</v>
      </c>
    </row>
    <row r="490" spans="10:16" x14ac:dyDescent="0.25">
      <c r="J490">
        <v>471</v>
      </c>
      <c r="K490" s="48">
        <v>38163</v>
      </c>
      <c r="L490" t="s">
        <v>95</v>
      </c>
      <c r="M490" t="s">
        <v>87</v>
      </c>
      <c r="N490" t="s">
        <v>85</v>
      </c>
      <c r="O490">
        <v>155</v>
      </c>
      <c r="P490" s="49">
        <v>801350</v>
      </c>
    </row>
    <row r="491" spans="10:16" x14ac:dyDescent="0.25">
      <c r="J491">
        <v>472</v>
      </c>
      <c r="K491" s="48">
        <v>38163</v>
      </c>
      <c r="L491" t="s">
        <v>90</v>
      </c>
      <c r="M491" t="s">
        <v>87</v>
      </c>
      <c r="N491" t="s">
        <v>91</v>
      </c>
      <c r="O491">
        <v>297</v>
      </c>
      <c r="P491" s="49">
        <v>1820016</v>
      </c>
    </row>
    <row r="492" spans="10:16" x14ac:dyDescent="0.25">
      <c r="J492">
        <v>473</v>
      </c>
      <c r="K492" s="48">
        <v>38163</v>
      </c>
      <c r="L492" t="s">
        <v>83</v>
      </c>
      <c r="M492" t="s">
        <v>84</v>
      </c>
      <c r="N492" t="s">
        <v>85</v>
      </c>
      <c r="O492">
        <v>105</v>
      </c>
      <c r="P492" s="49">
        <v>872760</v>
      </c>
    </row>
    <row r="493" spans="10:16" x14ac:dyDescent="0.25">
      <c r="J493">
        <v>474</v>
      </c>
      <c r="K493" s="48">
        <v>38163</v>
      </c>
      <c r="L493" t="s">
        <v>90</v>
      </c>
      <c r="M493" t="s">
        <v>87</v>
      </c>
      <c r="N493" t="s">
        <v>88</v>
      </c>
      <c r="O493">
        <v>199</v>
      </c>
      <c r="P493" s="49">
        <v>1622646</v>
      </c>
    </row>
    <row r="494" spans="10:16" x14ac:dyDescent="0.25">
      <c r="J494">
        <v>475</v>
      </c>
      <c r="K494" s="48">
        <v>38163</v>
      </c>
      <c r="L494" t="s">
        <v>90</v>
      </c>
      <c r="M494" t="s">
        <v>84</v>
      </c>
      <c r="N494" t="s">
        <v>91</v>
      </c>
      <c r="O494">
        <v>136</v>
      </c>
      <c r="P494" s="49">
        <v>568480</v>
      </c>
    </row>
    <row r="495" spans="10:16" x14ac:dyDescent="0.25">
      <c r="J495">
        <v>476</v>
      </c>
      <c r="K495" s="48">
        <v>38164</v>
      </c>
      <c r="L495" t="s">
        <v>89</v>
      </c>
      <c r="M495" t="s">
        <v>84</v>
      </c>
      <c r="N495" t="s">
        <v>85</v>
      </c>
      <c r="O495">
        <v>88</v>
      </c>
      <c r="P495" s="49">
        <v>851488</v>
      </c>
    </row>
    <row r="496" spans="10:16" x14ac:dyDescent="0.25">
      <c r="J496">
        <v>477</v>
      </c>
      <c r="K496" s="48">
        <v>38166</v>
      </c>
      <c r="L496" t="s">
        <v>90</v>
      </c>
      <c r="M496" t="s">
        <v>84</v>
      </c>
      <c r="N496" t="s">
        <v>85</v>
      </c>
      <c r="O496">
        <v>86</v>
      </c>
      <c r="P496" s="49">
        <v>855442</v>
      </c>
    </row>
    <row r="497" spans="10:16" x14ac:dyDescent="0.25">
      <c r="J497">
        <v>478</v>
      </c>
      <c r="K497" s="48">
        <v>38166</v>
      </c>
      <c r="L497" t="s">
        <v>90</v>
      </c>
      <c r="M497" t="s">
        <v>84</v>
      </c>
      <c r="N497" t="s">
        <v>85</v>
      </c>
      <c r="O497">
        <v>189</v>
      </c>
      <c r="P497" s="49">
        <v>913248</v>
      </c>
    </row>
    <row r="498" spans="10:16" x14ac:dyDescent="0.25">
      <c r="J498">
        <v>479</v>
      </c>
      <c r="K498" s="48">
        <v>38166</v>
      </c>
      <c r="L498" t="s">
        <v>89</v>
      </c>
      <c r="M498" t="s">
        <v>87</v>
      </c>
      <c r="N498" t="s">
        <v>88</v>
      </c>
      <c r="O498">
        <v>232</v>
      </c>
      <c r="P498" s="49">
        <v>1028224</v>
      </c>
    </row>
    <row r="499" spans="10:16" x14ac:dyDescent="0.25">
      <c r="J499">
        <v>480</v>
      </c>
      <c r="K499" s="48">
        <v>38166</v>
      </c>
      <c r="L499" t="s">
        <v>90</v>
      </c>
      <c r="M499" t="s">
        <v>87</v>
      </c>
      <c r="N499" t="s">
        <v>85</v>
      </c>
      <c r="O499">
        <v>58</v>
      </c>
      <c r="P499" s="49">
        <v>530816</v>
      </c>
    </row>
    <row r="500" spans="10:16" x14ac:dyDescent="0.25">
      <c r="J500">
        <v>481</v>
      </c>
      <c r="K500" s="48">
        <v>38167</v>
      </c>
      <c r="L500" t="s">
        <v>89</v>
      </c>
      <c r="M500" t="s">
        <v>84</v>
      </c>
      <c r="N500" t="s">
        <v>94</v>
      </c>
      <c r="O500">
        <v>257</v>
      </c>
      <c r="P500" s="49">
        <v>1166780</v>
      </c>
    </row>
    <row r="501" spans="10:16" x14ac:dyDescent="0.25">
      <c r="J501">
        <v>482</v>
      </c>
      <c r="K501" s="48">
        <v>38167</v>
      </c>
      <c r="L501" t="s">
        <v>92</v>
      </c>
      <c r="M501" t="s">
        <v>87</v>
      </c>
      <c r="N501" t="s">
        <v>91</v>
      </c>
      <c r="O501">
        <v>243</v>
      </c>
      <c r="P501" s="49">
        <v>1983123</v>
      </c>
    </row>
    <row r="502" spans="10:16" x14ac:dyDescent="0.25">
      <c r="J502">
        <v>483</v>
      </c>
      <c r="K502" s="48">
        <v>38167</v>
      </c>
      <c r="L502" t="s">
        <v>89</v>
      </c>
      <c r="M502" t="s">
        <v>87</v>
      </c>
      <c r="N502" t="s">
        <v>85</v>
      </c>
      <c r="O502">
        <v>134</v>
      </c>
      <c r="P502" s="49">
        <v>946710</v>
      </c>
    </row>
    <row r="503" spans="10:16" x14ac:dyDescent="0.25">
      <c r="J503">
        <v>484</v>
      </c>
      <c r="K503" s="48">
        <v>38168</v>
      </c>
      <c r="L503" t="s">
        <v>95</v>
      </c>
      <c r="M503" t="s">
        <v>87</v>
      </c>
      <c r="N503" t="s">
        <v>88</v>
      </c>
      <c r="O503">
        <v>153</v>
      </c>
      <c r="P503" s="49">
        <v>1506438</v>
      </c>
    </row>
    <row r="504" spans="10:16" x14ac:dyDescent="0.25">
      <c r="J504">
        <v>485</v>
      </c>
      <c r="K504" s="48">
        <v>38168</v>
      </c>
      <c r="L504" t="s">
        <v>93</v>
      </c>
      <c r="M504" t="s">
        <v>84</v>
      </c>
      <c r="N504" t="s">
        <v>91</v>
      </c>
      <c r="O504">
        <v>122</v>
      </c>
      <c r="P504" s="49">
        <v>1093608</v>
      </c>
    </row>
    <row r="505" spans="10:16" x14ac:dyDescent="0.25">
      <c r="J505">
        <v>486</v>
      </c>
      <c r="K505" s="48">
        <v>38168</v>
      </c>
      <c r="L505" t="s">
        <v>93</v>
      </c>
      <c r="M505" t="s">
        <v>87</v>
      </c>
      <c r="N505" t="s">
        <v>88</v>
      </c>
      <c r="O505">
        <v>283</v>
      </c>
      <c r="P505" s="49">
        <v>2199476</v>
      </c>
    </row>
    <row r="506" spans="10:16" x14ac:dyDescent="0.25">
      <c r="J506">
        <v>487</v>
      </c>
      <c r="K506" s="48">
        <v>38168</v>
      </c>
      <c r="L506" t="s">
        <v>95</v>
      </c>
      <c r="M506" t="s">
        <v>87</v>
      </c>
      <c r="N506" t="s">
        <v>85</v>
      </c>
      <c r="O506">
        <v>261</v>
      </c>
      <c r="P506" s="49">
        <v>2475063</v>
      </c>
    </row>
    <row r="507" spans="10:16" x14ac:dyDescent="0.25">
      <c r="J507">
        <v>488</v>
      </c>
      <c r="K507" s="48">
        <v>38169</v>
      </c>
      <c r="L507" t="s">
        <v>93</v>
      </c>
      <c r="M507" t="s">
        <v>84</v>
      </c>
      <c r="N507" t="s">
        <v>85</v>
      </c>
      <c r="O507">
        <v>185</v>
      </c>
      <c r="P507" s="49">
        <v>1306840</v>
      </c>
    </row>
    <row r="508" spans="10:16" x14ac:dyDescent="0.25">
      <c r="J508">
        <v>489</v>
      </c>
      <c r="K508" s="48">
        <v>38169</v>
      </c>
      <c r="L508" t="s">
        <v>95</v>
      </c>
      <c r="M508" t="s">
        <v>87</v>
      </c>
      <c r="N508" t="s">
        <v>91</v>
      </c>
      <c r="O508">
        <v>60</v>
      </c>
      <c r="P508" s="49">
        <v>253920</v>
      </c>
    </row>
    <row r="509" spans="10:16" x14ac:dyDescent="0.25">
      <c r="J509">
        <v>490</v>
      </c>
      <c r="K509" s="48">
        <v>38170</v>
      </c>
      <c r="L509" t="s">
        <v>83</v>
      </c>
      <c r="M509" t="s">
        <v>84</v>
      </c>
      <c r="N509" t="s">
        <v>94</v>
      </c>
      <c r="O509">
        <v>234</v>
      </c>
      <c r="P509" s="49">
        <v>1911312</v>
      </c>
    </row>
    <row r="510" spans="10:16" x14ac:dyDescent="0.25">
      <c r="J510">
        <v>491</v>
      </c>
      <c r="K510" s="48">
        <v>38170</v>
      </c>
      <c r="L510" t="s">
        <v>93</v>
      </c>
      <c r="M510" t="s">
        <v>84</v>
      </c>
      <c r="N510" t="s">
        <v>88</v>
      </c>
      <c r="O510">
        <v>62</v>
      </c>
      <c r="P510" s="49">
        <v>358670</v>
      </c>
    </row>
    <row r="511" spans="10:16" x14ac:dyDescent="0.25">
      <c r="J511">
        <v>492</v>
      </c>
      <c r="K511" s="48">
        <v>38171</v>
      </c>
      <c r="L511" t="s">
        <v>86</v>
      </c>
      <c r="M511" t="s">
        <v>87</v>
      </c>
      <c r="N511" t="s">
        <v>85</v>
      </c>
      <c r="O511">
        <v>282</v>
      </c>
      <c r="P511" s="49">
        <v>1298328</v>
      </c>
    </row>
    <row r="512" spans="10:16" x14ac:dyDescent="0.25">
      <c r="J512">
        <v>493</v>
      </c>
      <c r="K512" s="48">
        <v>38171</v>
      </c>
      <c r="L512" t="s">
        <v>83</v>
      </c>
      <c r="M512" t="s">
        <v>84</v>
      </c>
      <c r="N512" t="s">
        <v>85</v>
      </c>
      <c r="O512">
        <v>299</v>
      </c>
      <c r="P512" s="49">
        <v>1948583</v>
      </c>
    </row>
    <row r="513" spans="10:16" x14ac:dyDescent="0.25">
      <c r="J513">
        <v>494</v>
      </c>
      <c r="K513" s="48">
        <v>38171</v>
      </c>
      <c r="L513" t="s">
        <v>93</v>
      </c>
      <c r="M513" t="s">
        <v>87</v>
      </c>
      <c r="N513" t="s">
        <v>94</v>
      </c>
      <c r="O513">
        <v>274</v>
      </c>
      <c r="P513" s="49">
        <v>1729762</v>
      </c>
    </row>
    <row r="514" spans="10:16" x14ac:dyDescent="0.25">
      <c r="J514">
        <v>495</v>
      </c>
      <c r="K514" s="48">
        <v>38171</v>
      </c>
      <c r="L514" t="s">
        <v>89</v>
      </c>
      <c r="M514" t="s">
        <v>87</v>
      </c>
      <c r="N514" t="s">
        <v>94</v>
      </c>
      <c r="O514">
        <v>268</v>
      </c>
      <c r="P514" s="49">
        <v>2578696</v>
      </c>
    </row>
    <row r="515" spans="10:16" x14ac:dyDescent="0.25">
      <c r="J515">
        <v>496</v>
      </c>
      <c r="K515" s="48">
        <v>38171</v>
      </c>
      <c r="L515" t="s">
        <v>93</v>
      </c>
      <c r="M515" t="s">
        <v>84</v>
      </c>
      <c r="N515" t="s">
        <v>85</v>
      </c>
      <c r="O515">
        <v>155</v>
      </c>
      <c r="P515" s="49">
        <v>1166065</v>
      </c>
    </row>
    <row r="516" spans="10:16" x14ac:dyDescent="0.25">
      <c r="J516">
        <v>497</v>
      </c>
      <c r="K516" s="48">
        <v>38171</v>
      </c>
      <c r="L516" t="s">
        <v>89</v>
      </c>
      <c r="M516" t="s">
        <v>87</v>
      </c>
      <c r="N516" t="s">
        <v>88</v>
      </c>
      <c r="O516">
        <v>209</v>
      </c>
      <c r="P516" s="49">
        <v>1316073</v>
      </c>
    </row>
    <row r="517" spans="10:16" x14ac:dyDescent="0.25">
      <c r="J517">
        <v>498</v>
      </c>
      <c r="K517" s="48">
        <v>38171</v>
      </c>
      <c r="L517" t="s">
        <v>90</v>
      </c>
      <c r="M517" t="s">
        <v>84</v>
      </c>
      <c r="N517" t="s">
        <v>91</v>
      </c>
      <c r="O517">
        <v>110</v>
      </c>
      <c r="P517" s="49">
        <v>1004740</v>
      </c>
    </row>
    <row r="518" spans="10:16" x14ac:dyDescent="0.25">
      <c r="J518">
        <v>499</v>
      </c>
      <c r="K518" s="48">
        <v>38172</v>
      </c>
      <c r="L518" t="s">
        <v>95</v>
      </c>
      <c r="M518" t="s">
        <v>87</v>
      </c>
      <c r="N518" t="s">
        <v>94</v>
      </c>
      <c r="O518">
        <v>61</v>
      </c>
      <c r="P518" s="49">
        <v>531432</v>
      </c>
    </row>
    <row r="519" spans="10:16" x14ac:dyDescent="0.25">
      <c r="J519">
        <v>500</v>
      </c>
      <c r="K519" s="48">
        <v>38172</v>
      </c>
      <c r="L519" t="s">
        <v>92</v>
      </c>
      <c r="M519" t="s">
        <v>84</v>
      </c>
      <c r="N519" t="s">
        <v>85</v>
      </c>
      <c r="O519">
        <v>240</v>
      </c>
      <c r="P519" s="49">
        <v>2238000</v>
      </c>
    </row>
    <row r="520" spans="10:16" x14ac:dyDescent="0.25">
      <c r="J520">
        <v>501</v>
      </c>
      <c r="K520" s="48">
        <v>38173</v>
      </c>
      <c r="L520" t="s">
        <v>95</v>
      </c>
      <c r="M520" t="s">
        <v>87</v>
      </c>
      <c r="N520" t="s">
        <v>85</v>
      </c>
      <c r="O520">
        <v>229</v>
      </c>
      <c r="P520" s="49">
        <v>965006</v>
      </c>
    </row>
    <row r="521" spans="10:16" x14ac:dyDescent="0.25">
      <c r="J521">
        <v>502</v>
      </c>
      <c r="K521" s="48">
        <v>38173</v>
      </c>
      <c r="L521" t="s">
        <v>93</v>
      </c>
      <c r="M521" t="s">
        <v>84</v>
      </c>
      <c r="N521" t="s">
        <v>85</v>
      </c>
      <c r="O521">
        <v>224</v>
      </c>
      <c r="P521" s="49">
        <v>2087904</v>
      </c>
    </row>
    <row r="522" spans="10:16" x14ac:dyDescent="0.25">
      <c r="J522">
        <v>503</v>
      </c>
      <c r="K522" s="48">
        <v>38173</v>
      </c>
      <c r="L522" t="s">
        <v>93</v>
      </c>
      <c r="M522" t="s">
        <v>87</v>
      </c>
      <c r="N522" t="s">
        <v>94</v>
      </c>
      <c r="O522">
        <v>72</v>
      </c>
      <c r="P522" s="49">
        <v>647352</v>
      </c>
    </row>
    <row r="523" spans="10:16" x14ac:dyDescent="0.25">
      <c r="J523">
        <v>504</v>
      </c>
      <c r="K523" s="48">
        <v>38173</v>
      </c>
      <c r="L523" t="s">
        <v>89</v>
      </c>
      <c r="M523" t="s">
        <v>87</v>
      </c>
      <c r="N523" t="s">
        <v>85</v>
      </c>
      <c r="O523">
        <v>186</v>
      </c>
      <c r="P523" s="49">
        <v>1216254</v>
      </c>
    </row>
    <row r="524" spans="10:16" x14ac:dyDescent="0.25">
      <c r="J524">
        <v>505</v>
      </c>
      <c r="K524" s="48">
        <v>38173</v>
      </c>
      <c r="L524" t="s">
        <v>92</v>
      </c>
      <c r="M524" t="s">
        <v>87</v>
      </c>
      <c r="N524" t="s">
        <v>91</v>
      </c>
      <c r="O524">
        <v>172</v>
      </c>
      <c r="P524" s="49">
        <v>860172</v>
      </c>
    </row>
    <row r="525" spans="10:16" x14ac:dyDescent="0.25">
      <c r="J525">
        <v>506</v>
      </c>
      <c r="K525" s="48">
        <v>38173</v>
      </c>
      <c r="L525" t="s">
        <v>92</v>
      </c>
      <c r="M525" t="s">
        <v>84</v>
      </c>
      <c r="N525" t="s">
        <v>91</v>
      </c>
      <c r="O525">
        <v>235</v>
      </c>
      <c r="P525" s="49">
        <v>1207195</v>
      </c>
    </row>
    <row r="526" spans="10:16" x14ac:dyDescent="0.25">
      <c r="J526">
        <v>507</v>
      </c>
      <c r="K526" s="48">
        <v>38173</v>
      </c>
      <c r="L526" t="s">
        <v>92</v>
      </c>
      <c r="M526" t="s">
        <v>84</v>
      </c>
      <c r="N526" t="s">
        <v>91</v>
      </c>
      <c r="O526">
        <v>159</v>
      </c>
      <c r="P526" s="49">
        <v>1032546</v>
      </c>
    </row>
    <row r="527" spans="10:16" x14ac:dyDescent="0.25">
      <c r="J527">
        <v>508</v>
      </c>
      <c r="K527" s="48">
        <v>38173</v>
      </c>
      <c r="L527" t="s">
        <v>86</v>
      </c>
      <c r="M527" t="s">
        <v>87</v>
      </c>
      <c r="N527" t="s">
        <v>94</v>
      </c>
      <c r="O527">
        <v>271</v>
      </c>
      <c r="P527" s="49">
        <v>2297538</v>
      </c>
    </row>
    <row r="528" spans="10:16" x14ac:dyDescent="0.25">
      <c r="J528">
        <v>509</v>
      </c>
      <c r="K528" s="48">
        <v>38174</v>
      </c>
      <c r="L528" t="s">
        <v>83</v>
      </c>
      <c r="M528" t="s">
        <v>87</v>
      </c>
      <c r="N528" t="s">
        <v>91</v>
      </c>
      <c r="O528">
        <v>80</v>
      </c>
      <c r="P528" s="49">
        <v>428240</v>
      </c>
    </row>
    <row r="529" spans="10:16" x14ac:dyDescent="0.25">
      <c r="J529">
        <v>510</v>
      </c>
      <c r="K529" s="48">
        <v>38174</v>
      </c>
      <c r="L529" t="s">
        <v>92</v>
      </c>
      <c r="M529" t="s">
        <v>84</v>
      </c>
      <c r="N529" t="s">
        <v>94</v>
      </c>
      <c r="O529">
        <v>227</v>
      </c>
      <c r="P529" s="49">
        <v>1175860</v>
      </c>
    </row>
    <row r="530" spans="10:16" x14ac:dyDescent="0.25">
      <c r="J530">
        <v>511</v>
      </c>
      <c r="K530" s="48">
        <v>38174</v>
      </c>
      <c r="L530" t="s">
        <v>92</v>
      </c>
      <c r="M530" t="s">
        <v>87</v>
      </c>
      <c r="N530" t="s">
        <v>85</v>
      </c>
      <c r="O530">
        <v>40</v>
      </c>
      <c r="P530" s="49">
        <v>258560</v>
      </c>
    </row>
    <row r="531" spans="10:16" x14ac:dyDescent="0.25">
      <c r="J531">
        <v>512</v>
      </c>
      <c r="K531" s="48">
        <v>38174</v>
      </c>
      <c r="L531" t="s">
        <v>83</v>
      </c>
      <c r="M531" t="s">
        <v>84</v>
      </c>
      <c r="N531" t="s">
        <v>91</v>
      </c>
      <c r="O531">
        <v>239</v>
      </c>
      <c r="P531" s="49">
        <v>1782940</v>
      </c>
    </row>
    <row r="532" spans="10:16" x14ac:dyDescent="0.25">
      <c r="J532">
        <v>513</v>
      </c>
      <c r="K532" s="48">
        <v>38174</v>
      </c>
      <c r="L532" t="s">
        <v>95</v>
      </c>
      <c r="M532" t="s">
        <v>84</v>
      </c>
      <c r="N532" t="s">
        <v>94</v>
      </c>
      <c r="O532">
        <v>191</v>
      </c>
      <c r="P532" s="49">
        <v>1841622</v>
      </c>
    </row>
    <row r="533" spans="10:16" x14ac:dyDescent="0.25">
      <c r="J533">
        <v>514</v>
      </c>
      <c r="K533" s="48">
        <v>38175</v>
      </c>
      <c r="L533" t="s">
        <v>95</v>
      </c>
      <c r="M533" t="s">
        <v>87</v>
      </c>
      <c r="N533" t="s">
        <v>91</v>
      </c>
      <c r="O533">
        <v>76</v>
      </c>
      <c r="P533" s="49">
        <v>741228</v>
      </c>
    </row>
    <row r="534" spans="10:16" x14ac:dyDescent="0.25">
      <c r="J534">
        <v>515</v>
      </c>
      <c r="K534" s="48">
        <v>38176</v>
      </c>
      <c r="L534" t="s">
        <v>89</v>
      </c>
      <c r="M534" t="s">
        <v>84</v>
      </c>
      <c r="N534" t="s">
        <v>94</v>
      </c>
      <c r="O534">
        <v>47</v>
      </c>
      <c r="P534" s="49">
        <v>262777</v>
      </c>
    </row>
    <row r="535" spans="10:16" x14ac:dyDescent="0.25">
      <c r="J535">
        <v>516</v>
      </c>
      <c r="K535" s="48">
        <v>38176</v>
      </c>
      <c r="L535" t="s">
        <v>89</v>
      </c>
      <c r="M535" t="s">
        <v>84</v>
      </c>
      <c r="N535" t="s">
        <v>94</v>
      </c>
      <c r="O535">
        <v>119</v>
      </c>
      <c r="P535" s="49">
        <v>720902</v>
      </c>
    </row>
    <row r="536" spans="10:16" x14ac:dyDescent="0.25">
      <c r="J536">
        <v>517</v>
      </c>
      <c r="K536" s="48">
        <v>38176</v>
      </c>
      <c r="L536" t="s">
        <v>92</v>
      </c>
      <c r="M536" t="s">
        <v>87</v>
      </c>
      <c r="N536" t="s">
        <v>88</v>
      </c>
      <c r="O536">
        <v>174</v>
      </c>
      <c r="P536" s="49">
        <v>1313526</v>
      </c>
    </row>
    <row r="537" spans="10:16" x14ac:dyDescent="0.25">
      <c r="J537">
        <v>518</v>
      </c>
      <c r="K537" s="48">
        <v>38176</v>
      </c>
      <c r="L537" t="s">
        <v>95</v>
      </c>
      <c r="M537" t="s">
        <v>87</v>
      </c>
      <c r="N537" t="s">
        <v>88</v>
      </c>
      <c r="O537">
        <v>108</v>
      </c>
      <c r="P537" s="49">
        <v>638064</v>
      </c>
    </row>
    <row r="538" spans="10:16" x14ac:dyDescent="0.25">
      <c r="J538">
        <v>519</v>
      </c>
      <c r="K538" s="48">
        <v>38177</v>
      </c>
      <c r="L538" t="s">
        <v>93</v>
      </c>
      <c r="M538" t="s">
        <v>84</v>
      </c>
      <c r="N538" t="s">
        <v>94</v>
      </c>
      <c r="O538">
        <v>123</v>
      </c>
      <c r="P538" s="49">
        <v>682773</v>
      </c>
    </row>
    <row r="539" spans="10:16" x14ac:dyDescent="0.25">
      <c r="J539">
        <v>520</v>
      </c>
      <c r="K539" s="48">
        <v>38177</v>
      </c>
      <c r="L539" t="s">
        <v>90</v>
      </c>
      <c r="M539" t="s">
        <v>84</v>
      </c>
      <c r="N539" t="s">
        <v>85</v>
      </c>
      <c r="O539">
        <v>42</v>
      </c>
      <c r="P539" s="49">
        <v>279342</v>
      </c>
    </row>
    <row r="540" spans="10:16" x14ac:dyDescent="0.25">
      <c r="J540">
        <v>521</v>
      </c>
      <c r="K540" s="48">
        <v>38177</v>
      </c>
      <c r="L540" t="s">
        <v>83</v>
      </c>
      <c r="M540" t="s">
        <v>87</v>
      </c>
      <c r="N540" t="s">
        <v>94</v>
      </c>
      <c r="O540">
        <v>105</v>
      </c>
      <c r="P540" s="49">
        <v>740355</v>
      </c>
    </row>
    <row r="541" spans="10:16" x14ac:dyDescent="0.25">
      <c r="J541">
        <v>522</v>
      </c>
      <c r="K541" s="48">
        <v>38177</v>
      </c>
      <c r="L541" t="s">
        <v>95</v>
      </c>
      <c r="M541" t="s">
        <v>87</v>
      </c>
      <c r="N541" t="s">
        <v>85</v>
      </c>
      <c r="O541">
        <v>223</v>
      </c>
      <c r="P541" s="49">
        <v>1293400</v>
      </c>
    </row>
    <row r="542" spans="10:16" x14ac:dyDescent="0.25">
      <c r="J542">
        <v>523</v>
      </c>
      <c r="K542" s="48">
        <v>38177</v>
      </c>
      <c r="L542" t="s">
        <v>90</v>
      </c>
      <c r="M542" t="s">
        <v>84</v>
      </c>
      <c r="N542" t="s">
        <v>88</v>
      </c>
      <c r="O542">
        <v>270</v>
      </c>
      <c r="P542" s="49">
        <v>1429380</v>
      </c>
    </row>
    <row r="543" spans="10:16" x14ac:dyDescent="0.25">
      <c r="J543">
        <v>524</v>
      </c>
      <c r="K543" s="48">
        <v>38178</v>
      </c>
      <c r="L543" t="s">
        <v>93</v>
      </c>
      <c r="M543" t="s">
        <v>84</v>
      </c>
      <c r="N543" t="s">
        <v>94</v>
      </c>
      <c r="O543">
        <v>159</v>
      </c>
      <c r="P543" s="49">
        <v>1536576</v>
      </c>
    </row>
    <row r="544" spans="10:16" x14ac:dyDescent="0.25">
      <c r="J544">
        <v>525</v>
      </c>
      <c r="K544" s="48">
        <v>38178</v>
      </c>
      <c r="L544" t="s">
        <v>83</v>
      </c>
      <c r="M544" t="s">
        <v>87</v>
      </c>
      <c r="N544" t="s">
        <v>85</v>
      </c>
      <c r="O544">
        <v>280</v>
      </c>
      <c r="P544" s="49">
        <v>1249360</v>
      </c>
    </row>
    <row r="545" spans="10:16" x14ac:dyDescent="0.25">
      <c r="J545">
        <v>526</v>
      </c>
      <c r="K545" s="48">
        <v>38179</v>
      </c>
      <c r="L545" t="s">
        <v>83</v>
      </c>
      <c r="M545" t="s">
        <v>87</v>
      </c>
      <c r="N545" t="s">
        <v>88</v>
      </c>
      <c r="O545">
        <v>162</v>
      </c>
      <c r="P545" s="49">
        <v>1594404</v>
      </c>
    </row>
    <row r="546" spans="10:16" x14ac:dyDescent="0.25">
      <c r="J546">
        <v>527</v>
      </c>
      <c r="K546" s="48">
        <v>38179</v>
      </c>
      <c r="L546" t="s">
        <v>92</v>
      </c>
      <c r="M546" t="s">
        <v>84</v>
      </c>
      <c r="N546" t="s">
        <v>94</v>
      </c>
      <c r="O546">
        <v>231</v>
      </c>
      <c r="P546" s="49">
        <v>935781</v>
      </c>
    </row>
    <row r="547" spans="10:16" x14ac:dyDescent="0.25">
      <c r="J547">
        <v>528</v>
      </c>
      <c r="K547" s="48">
        <v>38180</v>
      </c>
      <c r="L547" t="s">
        <v>95</v>
      </c>
      <c r="M547" t="s">
        <v>84</v>
      </c>
      <c r="N547" t="s">
        <v>85</v>
      </c>
      <c r="O547">
        <v>231</v>
      </c>
      <c r="P547" s="49">
        <v>2273040</v>
      </c>
    </row>
    <row r="548" spans="10:16" x14ac:dyDescent="0.25">
      <c r="J548">
        <v>529</v>
      </c>
      <c r="K548" s="48">
        <v>38180</v>
      </c>
      <c r="L548" t="s">
        <v>92</v>
      </c>
      <c r="M548" t="s">
        <v>84</v>
      </c>
      <c r="N548" t="s">
        <v>85</v>
      </c>
      <c r="O548">
        <v>206</v>
      </c>
      <c r="P548" s="49">
        <v>1414602</v>
      </c>
    </row>
    <row r="549" spans="10:16" x14ac:dyDescent="0.25">
      <c r="J549">
        <v>530</v>
      </c>
      <c r="K549" s="48">
        <v>38180</v>
      </c>
      <c r="L549" t="s">
        <v>86</v>
      </c>
      <c r="M549" t="s">
        <v>87</v>
      </c>
      <c r="N549" t="s">
        <v>85</v>
      </c>
      <c r="O549">
        <v>86</v>
      </c>
      <c r="P549" s="49">
        <v>446856</v>
      </c>
    </row>
    <row r="550" spans="10:16" x14ac:dyDescent="0.25">
      <c r="J550">
        <v>531</v>
      </c>
      <c r="K550" s="48">
        <v>38180</v>
      </c>
      <c r="L550" t="s">
        <v>92</v>
      </c>
      <c r="M550" t="s">
        <v>84</v>
      </c>
      <c r="N550" t="s">
        <v>94</v>
      </c>
      <c r="O550">
        <v>112</v>
      </c>
      <c r="P550" s="49">
        <v>712768</v>
      </c>
    </row>
    <row r="551" spans="10:16" x14ac:dyDescent="0.25">
      <c r="J551">
        <v>532</v>
      </c>
      <c r="K551" s="48">
        <v>38180</v>
      </c>
      <c r="L551" t="s">
        <v>86</v>
      </c>
      <c r="M551" t="s">
        <v>84</v>
      </c>
      <c r="N551" t="s">
        <v>85</v>
      </c>
      <c r="O551">
        <v>182</v>
      </c>
      <c r="P551" s="49">
        <v>999726</v>
      </c>
    </row>
    <row r="552" spans="10:16" x14ac:dyDescent="0.25">
      <c r="J552">
        <v>533</v>
      </c>
      <c r="K552" s="48">
        <v>38181</v>
      </c>
      <c r="L552" t="s">
        <v>83</v>
      </c>
      <c r="M552" t="s">
        <v>87</v>
      </c>
      <c r="N552" t="s">
        <v>91</v>
      </c>
      <c r="O552">
        <v>72</v>
      </c>
      <c r="P552" s="49">
        <v>606024</v>
      </c>
    </row>
    <row r="553" spans="10:16" x14ac:dyDescent="0.25">
      <c r="J553">
        <v>534</v>
      </c>
      <c r="K553" s="48">
        <v>38182</v>
      </c>
      <c r="L553" t="s">
        <v>89</v>
      </c>
      <c r="M553" t="s">
        <v>87</v>
      </c>
      <c r="N553" t="s">
        <v>88</v>
      </c>
      <c r="O553">
        <v>62</v>
      </c>
      <c r="P553" s="49">
        <v>410316</v>
      </c>
    </row>
    <row r="554" spans="10:16" x14ac:dyDescent="0.25">
      <c r="J554">
        <v>535</v>
      </c>
      <c r="K554" s="48">
        <v>38182</v>
      </c>
      <c r="L554" t="s">
        <v>92</v>
      </c>
      <c r="M554" t="s">
        <v>84</v>
      </c>
      <c r="N554" t="s">
        <v>85</v>
      </c>
      <c r="O554">
        <v>280</v>
      </c>
      <c r="P554" s="49">
        <v>1730680</v>
      </c>
    </row>
    <row r="555" spans="10:16" x14ac:dyDescent="0.25">
      <c r="J555">
        <v>536</v>
      </c>
      <c r="K555" s="48">
        <v>38182</v>
      </c>
      <c r="L555" t="s">
        <v>95</v>
      </c>
      <c r="M555" t="s">
        <v>87</v>
      </c>
      <c r="N555" t="s">
        <v>88</v>
      </c>
      <c r="O555">
        <v>197</v>
      </c>
      <c r="P555" s="49">
        <v>1292123</v>
      </c>
    </row>
    <row r="556" spans="10:16" x14ac:dyDescent="0.25">
      <c r="J556">
        <v>537</v>
      </c>
      <c r="K556" s="48">
        <v>38182</v>
      </c>
      <c r="L556" t="s">
        <v>86</v>
      </c>
      <c r="M556" t="s">
        <v>84</v>
      </c>
      <c r="N556" t="s">
        <v>88</v>
      </c>
      <c r="O556">
        <v>117</v>
      </c>
      <c r="P556" s="49">
        <v>1031121</v>
      </c>
    </row>
    <row r="557" spans="10:16" x14ac:dyDescent="0.25">
      <c r="J557">
        <v>538</v>
      </c>
      <c r="K557" s="48">
        <v>38183</v>
      </c>
      <c r="L557" t="s">
        <v>92</v>
      </c>
      <c r="M557" t="s">
        <v>84</v>
      </c>
      <c r="N557" t="s">
        <v>88</v>
      </c>
      <c r="O557">
        <v>279</v>
      </c>
      <c r="P557" s="49">
        <v>2161134</v>
      </c>
    </row>
    <row r="558" spans="10:16" x14ac:dyDescent="0.25">
      <c r="J558">
        <v>539</v>
      </c>
      <c r="K558" s="48">
        <v>38184</v>
      </c>
      <c r="L558" t="s">
        <v>83</v>
      </c>
      <c r="M558" t="s">
        <v>84</v>
      </c>
      <c r="N558" t="s">
        <v>94</v>
      </c>
      <c r="O558">
        <v>111</v>
      </c>
      <c r="P558" s="49">
        <v>761793</v>
      </c>
    </row>
    <row r="559" spans="10:16" x14ac:dyDescent="0.25">
      <c r="J559">
        <v>540</v>
      </c>
      <c r="K559" s="48">
        <v>38184</v>
      </c>
      <c r="L559" t="s">
        <v>83</v>
      </c>
      <c r="M559" t="s">
        <v>84</v>
      </c>
      <c r="N559" t="s">
        <v>91</v>
      </c>
      <c r="O559">
        <v>87</v>
      </c>
      <c r="P559" s="49">
        <v>565587</v>
      </c>
    </row>
    <row r="560" spans="10:16" x14ac:dyDescent="0.25">
      <c r="J560">
        <v>541</v>
      </c>
      <c r="K560" s="48">
        <v>38184</v>
      </c>
      <c r="L560" t="s">
        <v>95</v>
      </c>
      <c r="M560" t="s">
        <v>84</v>
      </c>
      <c r="N560" t="s">
        <v>88</v>
      </c>
      <c r="O560">
        <v>62</v>
      </c>
      <c r="P560" s="49">
        <v>251596</v>
      </c>
    </row>
    <row r="561" spans="10:16" x14ac:dyDescent="0.25">
      <c r="J561">
        <v>542</v>
      </c>
      <c r="K561" s="48">
        <v>38184</v>
      </c>
      <c r="L561" t="s">
        <v>89</v>
      </c>
      <c r="M561" t="s">
        <v>87</v>
      </c>
      <c r="N561" t="s">
        <v>94</v>
      </c>
      <c r="O561">
        <v>182</v>
      </c>
      <c r="P561" s="49">
        <v>1514968</v>
      </c>
    </row>
    <row r="562" spans="10:16" x14ac:dyDescent="0.25">
      <c r="J562">
        <v>543</v>
      </c>
      <c r="K562" s="48">
        <v>38184</v>
      </c>
      <c r="L562" t="s">
        <v>92</v>
      </c>
      <c r="M562" t="s">
        <v>87</v>
      </c>
      <c r="N562" t="s">
        <v>91</v>
      </c>
      <c r="O562">
        <v>101</v>
      </c>
      <c r="P562" s="49">
        <v>564186</v>
      </c>
    </row>
    <row r="563" spans="10:16" x14ac:dyDescent="0.25">
      <c r="J563">
        <v>544</v>
      </c>
      <c r="K563" s="48">
        <v>38185</v>
      </c>
      <c r="L563" t="s">
        <v>89</v>
      </c>
      <c r="M563" t="s">
        <v>87</v>
      </c>
      <c r="N563" t="s">
        <v>91</v>
      </c>
      <c r="O563">
        <v>79</v>
      </c>
      <c r="P563" s="49">
        <v>694331</v>
      </c>
    </row>
    <row r="564" spans="10:16" x14ac:dyDescent="0.25">
      <c r="J564">
        <v>545</v>
      </c>
      <c r="K564" s="48">
        <v>38186</v>
      </c>
      <c r="L564" t="s">
        <v>86</v>
      </c>
      <c r="M564" t="s">
        <v>87</v>
      </c>
      <c r="N564" t="s">
        <v>85</v>
      </c>
      <c r="O564">
        <v>82</v>
      </c>
      <c r="P564" s="49">
        <v>419348</v>
      </c>
    </row>
    <row r="565" spans="10:16" x14ac:dyDescent="0.25">
      <c r="J565">
        <v>546</v>
      </c>
      <c r="K565" s="48">
        <v>38188</v>
      </c>
      <c r="L565" t="s">
        <v>92</v>
      </c>
      <c r="M565" t="s">
        <v>87</v>
      </c>
      <c r="N565" t="s">
        <v>85</v>
      </c>
      <c r="O565">
        <v>65</v>
      </c>
      <c r="P565" s="49">
        <v>628095</v>
      </c>
    </row>
    <row r="566" spans="10:16" x14ac:dyDescent="0.25">
      <c r="J566">
        <v>547</v>
      </c>
      <c r="K566" s="48">
        <v>38188</v>
      </c>
      <c r="L566" t="s">
        <v>95</v>
      </c>
      <c r="M566" t="s">
        <v>84</v>
      </c>
      <c r="N566" t="s">
        <v>88</v>
      </c>
      <c r="O566">
        <v>200</v>
      </c>
      <c r="P566" s="49">
        <v>1000000</v>
      </c>
    </row>
    <row r="567" spans="10:16" x14ac:dyDescent="0.25">
      <c r="J567">
        <v>548</v>
      </c>
      <c r="K567" s="48">
        <v>38188</v>
      </c>
      <c r="L567" t="s">
        <v>83</v>
      </c>
      <c r="M567" t="s">
        <v>87</v>
      </c>
      <c r="N567" t="s">
        <v>94</v>
      </c>
      <c r="O567">
        <v>286</v>
      </c>
      <c r="P567" s="49">
        <v>2330042</v>
      </c>
    </row>
    <row r="568" spans="10:16" x14ac:dyDescent="0.25">
      <c r="J568">
        <v>549</v>
      </c>
      <c r="K568" s="48">
        <v>38188</v>
      </c>
      <c r="L568" t="s">
        <v>86</v>
      </c>
      <c r="M568" t="s">
        <v>87</v>
      </c>
      <c r="N568" t="s">
        <v>88</v>
      </c>
      <c r="O568">
        <v>237</v>
      </c>
      <c r="P568" s="49">
        <v>1403988</v>
      </c>
    </row>
    <row r="569" spans="10:16" x14ac:dyDescent="0.25">
      <c r="J569">
        <v>550</v>
      </c>
      <c r="K569" s="48">
        <v>38189</v>
      </c>
      <c r="L569" t="s">
        <v>95</v>
      </c>
      <c r="M569" t="s">
        <v>84</v>
      </c>
      <c r="N569" t="s">
        <v>85</v>
      </c>
      <c r="O569">
        <v>275</v>
      </c>
      <c r="P569" s="49">
        <v>1711325</v>
      </c>
    </row>
    <row r="570" spans="10:16" x14ac:dyDescent="0.25">
      <c r="J570">
        <v>551</v>
      </c>
      <c r="K570" s="48">
        <v>38189</v>
      </c>
      <c r="L570" t="s">
        <v>93</v>
      </c>
      <c r="M570" t="s">
        <v>84</v>
      </c>
      <c r="N570" t="s">
        <v>88</v>
      </c>
      <c r="O570">
        <v>237</v>
      </c>
      <c r="P570" s="49">
        <v>2215002</v>
      </c>
    </row>
    <row r="571" spans="10:16" x14ac:dyDescent="0.25">
      <c r="J571">
        <v>552</v>
      </c>
      <c r="K571" s="48">
        <v>38189</v>
      </c>
      <c r="L571" t="s">
        <v>86</v>
      </c>
      <c r="M571" t="s">
        <v>87</v>
      </c>
      <c r="N571" t="s">
        <v>94</v>
      </c>
      <c r="O571">
        <v>125</v>
      </c>
      <c r="P571" s="49">
        <v>804625</v>
      </c>
    </row>
    <row r="572" spans="10:16" x14ac:dyDescent="0.25">
      <c r="J572">
        <v>553</v>
      </c>
      <c r="K572" s="48">
        <v>38189</v>
      </c>
      <c r="L572" t="s">
        <v>89</v>
      </c>
      <c r="M572" t="s">
        <v>87</v>
      </c>
      <c r="N572" t="s">
        <v>94</v>
      </c>
      <c r="O572">
        <v>209</v>
      </c>
      <c r="P572" s="49">
        <v>1568754</v>
      </c>
    </row>
    <row r="573" spans="10:16" x14ac:dyDescent="0.25">
      <c r="J573">
        <v>554</v>
      </c>
      <c r="K573" s="48">
        <v>38189</v>
      </c>
      <c r="L573" t="s">
        <v>83</v>
      </c>
      <c r="M573" t="s">
        <v>87</v>
      </c>
      <c r="N573" t="s">
        <v>94</v>
      </c>
      <c r="O573">
        <v>141</v>
      </c>
      <c r="P573" s="49">
        <v>867009</v>
      </c>
    </row>
    <row r="574" spans="10:16" x14ac:dyDescent="0.25">
      <c r="J574">
        <v>555</v>
      </c>
      <c r="K574" s="48">
        <v>38190</v>
      </c>
      <c r="L574" t="s">
        <v>93</v>
      </c>
      <c r="M574" t="s">
        <v>87</v>
      </c>
      <c r="N574" t="s">
        <v>88</v>
      </c>
      <c r="O574">
        <v>138</v>
      </c>
      <c r="P574" s="49">
        <v>1289748</v>
      </c>
    </row>
    <row r="575" spans="10:16" x14ac:dyDescent="0.25">
      <c r="J575">
        <v>556</v>
      </c>
      <c r="K575" s="48">
        <v>38190</v>
      </c>
      <c r="L575" t="s">
        <v>90</v>
      </c>
      <c r="M575" t="s">
        <v>87</v>
      </c>
      <c r="N575" t="s">
        <v>85</v>
      </c>
      <c r="O575">
        <v>57</v>
      </c>
      <c r="P575" s="49">
        <v>567492</v>
      </c>
    </row>
    <row r="576" spans="10:16" x14ac:dyDescent="0.25">
      <c r="J576">
        <v>557</v>
      </c>
      <c r="K576" s="48">
        <v>38191</v>
      </c>
      <c r="L576" t="s">
        <v>93</v>
      </c>
      <c r="M576" t="s">
        <v>84</v>
      </c>
      <c r="N576" t="s">
        <v>88</v>
      </c>
      <c r="O576">
        <v>198</v>
      </c>
      <c r="P576" s="49">
        <v>1916442</v>
      </c>
    </row>
    <row r="577" spans="10:16" x14ac:dyDescent="0.25">
      <c r="J577">
        <v>558</v>
      </c>
      <c r="K577" s="48">
        <v>38192</v>
      </c>
      <c r="L577" t="s">
        <v>93</v>
      </c>
      <c r="M577" t="s">
        <v>84</v>
      </c>
      <c r="N577" t="s">
        <v>88</v>
      </c>
      <c r="O577">
        <v>246</v>
      </c>
      <c r="P577" s="49">
        <v>1875012</v>
      </c>
    </row>
    <row r="578" spans="10:16" x14ac:dyDescent="0.25">
      <c r="J578">
        <v>559</v>
      </c>
      <c r="K578" s="48">
        <v>38192</v>
      </c>
      <c r="L578" t="s">
        <v>86</v>
      </c>
      <c r="M578" t="s">
        <v>84</v>
      </c>
      <c r="N578" t="s">
        <v>91</v>
      </c>
      <c r="O578">
        <v>188</v>
      </c>
      <c r="P578" s="49">
        <v>1590104</v>
      </c>
    </row>
    <row r="579" spans="10:16" x14ac:dyDescent="0.25">
      <c r="J579">
        <v>560</v>
      </c>
      <c r="K579" s="48">
        <v>38193</v>
      </c>
      <c r="L579" t="s">
        <v>92</v>
      </c>
      <c r="M579" t="s">
        <v>84</v>
      </c>
      <c r="N579" t="s">
        <v>91</v>
      </c>
      <c r="O579">
        <v>285</v>
      </c>
      <c r="P579" s="49">
        <v>1412175</v>
      </c>
    </row>
    <row r="580" spans="10:16" x14ac:dyDescent="0.25">
      <c r="J580">
        <v>561</v>
      </c>
      <c r="K580" s="48">
        <v>38193</v>
      </c>
      <c r="L580" t="s">
        <v>83</v>
      </c>
      <c r="M580" t="s">
        <v>84</v>
      </c>
      <c r="N580" t="s">
        <v>85</v>
      </c>
      <c r="O580">
        <v>53</v>
      </c>
      <c r="P580" s="49">
        <v>280741</v>
      </c>
    </row>
    <row r="581" spans="10:16" x14ac:dyDescent="0.25">
      <c r="J581">
        <v>562</v>
      </c>
      <c r="K581" s="48">
        <v>38193</v>
      </c>
      <c r="L581" t="s">
        <v>93</v>
      </c>
      <c r="M581" t="s">
        <v>84</v>
      </c>
      <c r="N581" t="s">
        <v>88</v>
      </c>
      <c r="O581">
        <v>161</v>
      </c>
      <c r="P581" s="49">
        <v>960526</v>
      </c>
    </row>
    <row r="582" spans="10:16" x14ac:dyDescent="0.25">
      <c r="J582">
        <v>563</v>
      </c>
      <c r="K582" s="48">
        <v>38193</v>
      </c>
      <c r="L582" t="s">
        <v>93</v>
      </c>
      <c r="M582" t="s">
        <v>87</v>
      </c>
      <c r="N582" t="s">
        <v>94</v>
      </c>
      <c r="O582">
        <v>237</v>
      </c>
      <c r="P582" s="49">
        <v>1272216</v>
      </c>
    </row>
    <row r="583" spans="10:16" x14ac:dyDescent="0.25">
      <c r="J583">
        <v>564</v>
      </c>
      <c r="K583" s="48">
        <v>38193</v>
      </c>
      <c r="L583" t="s">
        <v>95</v>
      </c>
      <c r="M583" t="s">
        <v>84</v>
      </c>
      <c r="N583" t="s">
        <v>85</v>
      </c>
      <c r="O583">
        <v>112</v>
      </c>
      <c r="P583" s="49">
        <v>513968</v>
      </c>
    </row>
    <row r="584" spans="10:16" x14ac:dyDescent="0.25">
      <c r="J584">
        <v>565</v>
      </c>
      <c r="K584" s="48">
        <v>38193</v>
      </c>
      <c r="L584" t="s">
        <v>90</v>
      </c>
      <c r="M584" t="s">
        <v>87</v>
      </c>
      <c r="N584" t="s">
        <v>94</v>
      </c>
      <c r="O584">
        <v>147</v>
      </c>
      <c r="P584" s="49">
        <v>917868</v>
      </c>
    </row>
    <row r="585" spans="10:16" x14ac:dyDescent="0.25">
      <c r="J585">
        <v>566</v>
      </c>
      <c r="K585" s="48">
        <v>38194</v>
      </c>
      <c r="L585" t="s">
        <v>86</v>
      </c>
      <c r="M585" t="s">
        <v>84</v>
      </c>
      <c r="N585" t="s">
        <v>88</v>
      </c>
      <c r="O585">
        <v>266</v>
      </c>
      <c r="P585" s="49">
        <v>1881950</v>
      </c>
    </row>
    <row r="586" spans="10:16" x14ac:dyDescent="0.25">
      <c r="J586">
        <v>567</v>
      </c>
      <c r="K586" s="48">
        <v>38194</v>
      </c>
      <c r="L586" t="s">
        <v>86</v>
      </c>
      <c r="M586" t="s">
        <v>87</v>
      </c>
      <c r="N586" t="s">
        <v>94</v>
      </c>
      <c r="O586">
        <v>98</v>
      </c>
      <c r="P586" s="49">
        <v>469910</v>
      </c>
    </row>
    <row r="587" spans="10:16" x14ac:dyDescent="0.25">
      <c r="J587">
        <v>568</v>
      </c>
      <c r="K587" s="48">
        <v>38194</v>
      </c>
      <c r="L587" t="s">
        <v>86</v>
      </c>
      <c r="M587" t="s">
        <v>87</v>
      </c>
      <c r="N587" t="s">
        <v>85</v>
      </c>
      <c r="O587">
        <v>153</v>
      </c>
      <c r="P587" s="49">
        <v>639999</v>
      </c>
    </row>
    <row r="588" spans="10:16" x14ac:dyDescent="0.25">
      <c r="J588">
        <v>569</v>
      </c>
      <c r="K588" s="48">
        <v>38194</v>
      </c>
      <c r="L588" t="s">
        <v>86</v>
      </c>
      <c r="M588" t="s">
        <v>84</v>
      </c>
      <c r="N588" t="s">
        <v>91</v>
      </c>
      <c r="O588">
        <v>167</v>
      </c>
      <c r="P588" s="49">
        <v>700398</v>
      </c>
    </row>
    <row r="589" spans="10:16" x14ac:dyDescent="0.25">
      <c r="J589">
        <v>570</v>
      </c>
      <c r="K589" s="48">
        <v>38195</v>
      </c>
      <c r="L589" t="s">
        <v>90</v>
      </c>
      <c r="M589" t="s">
        <v>84</v>
      </c>
      <c r="N589" t="s">
        <v>85</v>
      </c>
      <c r="O589">
        <v>79</v>
      </c>
      <c r="P589" s="49">
        <v>659808</v>
      </c>
    </row>
    <row r="590" spans="10:16" x14ac:dyDescent="0.25">
      <c r="J590">
        <v>571</v>
      </c>
      <c r="K590" s="48">
        <v>38195</v>
      </c>
      <c r="L590" t="s">
        <v>92</v>
      </c>
      <c r="M590" t="s">
        <v>84</v>
      </c>
      <c r="N590" t="s">
        <v>91</v>
      </c>
      <c r="O590">
        <v>44</v>
      </c>
      <c r="P590" s="49">
        <v>322036</v>
      </c>
    </row>
    <row r="591" spans="10:16" x14ac:dyDescent="0.25">
      <c r="J591">
        <v>572</v>
      </c>
      <c r="K591" s="48">
        <v>38196</v>
      </c>
      <c r="L591" t="s">
        <v>86</v>
      </c>
      <c r="M591" t="s">
        <v>84</v>
      </c>
      <c r="N591" t="s">
        <v>91</v>
      </c>
      <c r="O591">
        <v>235</v>
      </c>
      <c r="P591" s="49">
        <v>1897155</v>
      </c>
    </row>
    <row r="592" spans="10:16" x14ac:dyDescent="0.25">
      <c r="J592">
        <v>573</v>
      </c>
      <c r="K592" s="48">
        <v>38196</v>
      </c>
      <c r="L592" t="s">
        <v>83</v>
      </c>
      <c r="M592" t="s">
        <v>87</v>
      </c>
      <c r="N592" t="s">
        <v>91</v>
      </c>
      <c r="O592">
        <v>243</v>
      </c>
      <c r="P592" s="49">
        <v>1038825</v>
      </c>
    </row>
    <row r="593" spans="10:16" x14ac:dyDescent="0.25">
      <c r="J593">
        <v>574</v>
      </c>
      <c r="K593" s="48">
        <v>38196</v>
      </c>
      <c r="L593" t="s">
        <v>86</v>
      </c>
      <c r="M593" t="s">
        <v>84</v>
      </c>
      <c r="N593" t="s">
        <v>85</v>
      </c>
      <c r="O593">
        <v>58</v>
      </c>
      <c r="P593" s="49">
        <v>251430</v>
      </c>
    </row>
    <row r="594" spans="10:16" x14ac:dyDescent="0.25">
      <c r="J594">
        <v>575</v>
      </c>
      <c r="K594" s="48">
        <v>38196</v>
      </c>
      <c r="L594" t="s">
        <v>83</v>
      </c>
      <c r="M594" t="s">
        <v>84</v>
      </c>
      <c r="N594" t="s">
        <v>94</v>
      </c>
      <c r="O594">
        <v>280</v>
      </c>
      <c r="P594" s="49">
        <v>1877400</v>
      </c>
    </row>
    <row r="595" spans="10:16" x14ac:dyDescent="0.25">
      <c r="J595">
        <v>576</v>
      </c>
      <c r="K595" s="48">
        <v>38197</v>
      </c>
      <c r="L595" t="s">
        <v>95</v>
      </c>
      <c r="M595" t="s">
        <v>87</v>
      </c>
      <c r="N595" t="s">
        <v>94</v>
      </c>
      <c r="O595">
        <v>54</v>
      </c>
      <c r="P595" s="49">
        <v>435348</v>
      </c>
    </row>
    <row r="596" spans="10:16" x14ac:dyDescent="0.25">
      <c r="J596">
        <v>577</v>
      </c>
      <c r="K596" s="48">
        <v>38197</v>
      </c>
      <c r="L596" t="s">
        <v>89</v>
      </c>
      <c r="M596" t="s">
        <v>87</v>
      </c>
      <c r="N596" t="s">
        <v>94</v>
      </c>
      <c r="O596">
        <v>154</v>
      </c>
      <c r="P596" s="49">
        <v>889658</v>
      </c>
    </row>
    <row r="597" spans="10:16" x14ac:dyDescent="0.25">
      <c r="J597">
        <v>578</v>
      </c>
      <c r="K597" s="48">
        <v>38197</v>
      </c>
      <c r="L597" t="s">
        <v>89</v>
      </c>
      <c r="M597" t="s">
        <v>87</v>
      </c>
      <c r="N597" t="s">
        <v>88</v>
      </c>
      <c r="O597">
        <v>221</v>
      </c>
      <c r="P597" s="49">
        <v>1571973</v>
      </c>
    </row>
    <row r="598" spans="10:16" x14ac:dyDescent="0.25">
      <c r="J598">
        <v>579</v>
      </c>
      <c r="K598" s="48">
        <v>38197</v>
      </c>
      <c r="L598" t="s">
        <v>92</v>
      </c>
      <c r="M598" t="s">
        <v>87</v>
      </c>
      <c r="N598" t="s">
        <v>88</v>
      </c>
      <c r="O598">
        <v>148</v>
      </c>
      <c r="P598" s="49">
        <v>811780</v>
      </c>
    </row>
    <row r="599" spans="10:16" x14ac:dyDescent="0.25">
      <c r="J599">
        <v>580</v>
      </c>
      <c r="K599" s="48">
        <v>38198</v>
      </c>
      <c r="L599" t="s">
        <v>83</v>
      </c>
      <c r="M599" t="s">
        <v>87</v>
      </c>
      <c r="N599" t="s">
        <v>91</v>
      </c>
      <c r="O599">
        <v>226</v>
      </c>
      <c r="P599" s="49">
        <v>1634884</v>
      </c>
    </row>
    <row r="600" spans="10:16" x14ac:dyDescent="0.25">
      <c r="J600">
        <v>581</v>
      </c>
      <c r="K600" s="48">
        <v>38198</v>
      </c>
      <c r="L600" t="s">
        <v>95</v>
      </c>
      <c r="M600" t="s">
        <v>87</v>
      </c>
      <c r="N600" t="s">
        <v>91</v>
      </c>
      <c r="O600">
        <v>230</v>
      </c>
      <c r="P600" s="49">
        <v>1742020</v>
      </c>
    </row>
    <row r="601" spans="10:16" x14ac:dyDescent="0.25">
      <c r="J601">
        <v>582</v>
      </c>
      <c r="K601" s="48">
        <v>38199</v>
      </c>
      <c r="L601" t="s">
        <v>92</v>
      </c>
      <c r="M601" t="s">
        <v>87</v>
      </c>
      <c r="N601" t="s">
        <v>85</v>
      </c>
      <c r="O601">
        <v>290</v>
      </c>
      <c r="P601" s="49">
        <v>2584480</v>
      </c>
    </row>
    <row r="602" spans="10:16" x14ac:dyDescent="0.25">
      <c r="J602">
        <v>583</v>
      </c>
      <c r="K602" s="48">
        <v>38199</v>
      </c>
      <c r="L602" t="s">
        <v>86</v>
      </c>
      <c r="M602" t="s">
        <v>87</v>
      </c>
      <c r="N602" t="s">
        <v>91</v>
      </c>
      <c r="O602">
        <v>297</v>
      </c>
      <c r="P602" s="49">
        <v>1767744</v>
      </c>
    </row>
    <row r="603" spans="10:16" x14ac:dyDescent="0.25">
      <c r="J603">
        <v>584</v>
      </c>
      <c r="K603" s="48">
        <v>38200</v>
      </c>
      <c r="L603" t="s">
        <v>95</v>
      </c>
      <c r="M603" t="s">
        <v>84</v>
      </c>
      <c r="N603" t="s">
        <v>88</v>
      </c>
      <c r="O603">
        <v>257</v>
      </c>
      <c r="P603" s="49">
        <v>1077601</v>
      </c>
    </row>
    <row r="604" spans="10:16" x14ac:dyDescent="0.25">
      <c r="J604">
        <v>585</v>
      </c>
      <c r="K604" s="48">
        <v>38200</v>
      </c>
      <c r="L604" t="s">
        <v>83</v>
      </c>
      <c r="M604" t="s">
        <v>84</v>
      </c>
      <c r="N604" t="s">
        <v>88</v>
      </c>
      <c r="O604">
        <v>161</v>
      </c>
      <c r="P604" s="49">
        <v>1050203</v>
      </c>
    </row>
    <row r="605" spans="10:16" x14ac:dyDescent="0.25">
      <c r="J605">
        <v>586</v>
      </c>
      <c r="K605" s="48">
        <v>38200</v>
      </c>
      <c r="L605" t="s">
        <v>89</v>
      </c>
      <c r="M605" t="s">
        <v>84</v>
      </c>
      <c r="N605" t="s">
        <v>85</v>
      </c>
      <c r="O605">
        <v>77</v>
      </c>
      <c r="P605" s="49">
        <v>613921</v>
      </c>
    </row>
    <row r="606" spans="10:16" x14ac:dyDescent="0.25">
      <c r="J606">
        <v>587</v>
      </c>
      <c r="K606" s="48">
        <v>38201</v>
      </c>
      <c r="L606" t="s">
        <v>93</v>
      </c>
      <c r="M606" t="s">
        <v>84</v>
      </c>
      <c r="N606" t="s">
        <v>94</v>
      </c>
      <c r="O606">
        <v>184</v>
      </c>
      <c r="P606" s="49">
        <v>1286344</v>
      </c>
    </row>
    <row r="607" spans="10:16" x14ac:dyDescent="0.25">
      <c r="J607">
        <v>588</v>
      </c>
      <c r="K607" s="48">
        <v>38201</v>
      </c>
      <c r="L607" t="s">
        <v>86</v>
      </c>
      <c r="M607" t="s">
        <v>84</v>
      </c>
      <c r="N607" t="s">
        <v>91</v>
      </c>
      <c r="O607">
        <v>56</v>
      </c>
      <c r="P607" s="49">
        <v>469168</v>
      </c>
    </row>
    <row r="608" spans="10:16" x14ac:dyDescent="0.25">
      <c r="J608">
        <v>589</v>
      </c>
      <c r="K608" s="48">
        <v>38201</v>
      </c>
      <c r="L608" t="s">
        <v>89</v>
      </c>
      <c r="M608" t="s">
        <v>87</v>
      </c>
      <c r="N608" t="s">
        <v>91</v>
      </c>
      <c r="O608">
        <v>138</v>
      </c>
      <c r="P608" s="49">
        <v>1372686</v>
      </c>
    </row>
    <row r="609" spans="10:16" x14ac:dyDescent="0.25">
      <c r="J609">
        <v>590</v>
      </c>
      <c r="K609" s="48">
        <v>38202</v>
      </c>
      <c r="L609" t="s">
        <v>90</v>
      </c>
      <c r="M609" t="s">
        <v>87</v>
      </c>
      <c r="N609" t="s">
        <v>91</v>
      </c>
      <c r="O609">
        <v>95</v>
      </c>
      <c r="P609" s="49">
        <v>627570</v>
      </c>
    </row>
    <row r="610" spans="10:16" x14ac:dyDescent="0.25">
      <c r="J610">
        <v>591</v>
      </c>
      <c r="K610" s="48">
        <v>38202</v>
      </c>
      <c r="L610" t="s">
        <v>90</v>
      </c>
      <c r="M610" t="s">
        <v>84</v>
      </c>
      <c r="N610" t="s">
        <v>88</v>
      </c>
      <c r="O610">
        <v>46</v>
      </c>
      <c r="P610" s="49">
        <v>435712</v>
      </c>
    </row>
    <row r="611" spans="10:16" x14ac:dyDescent="0.25">
      <c r="J611">
        <v>592</v>
      </c>
      <c r="K611" s="48">
        <v>38202</v>
      </c>
      <c r="L611" t="s">
        <v>83</v>
      </c>
      <c r="M611" t="s">
        <v>84</v>
      </c>
      <c r="N611" t="s">
        <v>88</v>
      </c>
      <c r="O611">
        <v>145</v>
      </c>
      <c r="P611" s="49">
        <v>999630</v>
      </c>
    </row>
    <row r="612" spans="10:16" x14ac:dyDescent="0.25">
      <c r="J612">
        <v>593</v>
      </c>
      <c r="K612" s="48">
        <v>38203</v>
      </c>
      <c r="L612" t="s">
        <v>90</v>
      </c>
      <c r="M612" t="s">
        <v>87</v>
      </c>
      <c r="N612" t="s">
        <v>91</v>
      </c>
      <c r="O612">
        <v>213</v>
      </c>
      <c r="P612" s="49">
        <v>1234974</v>
      </c>
    </row>
    <row r="613" spans="10:16" x14ac:dyDescent="0.25">
      <c r="J613">
        <v>594</v>
      </c>
      <c r="K613" s="48">
        <v>38203</v>
      </c>
      <c r="L613" t="s">
        <v>92</v>
      </c>
      <c r="M613" t="s">
        <v>84</v>
      </c>
      <c r="N613" t="s">
        <v>91</v>
      </c>
      <c r="O613">
        <v>171</v>
      </c>
      <c r="P613" s="49">
        <v>1148436</v>
      </c>
    </row>
    <row r="614" spans="10:16" x14ac:dyDescent="0.25">
      <c r="J614">
        <v>595</v>
      </c>
      <c r="K614" s="48">
        <v>38203</v>
      </c>
      <c r="L614" t="s">
        <v>92</v>
      </c>
      <c r="M614" t="s">
        <v>87</v>
      </c>
      <c r="N614" t="s">
        <v>94</v>
      </c>
      <c r="O614">
        <v>262</v>
      </c>
      <c r="P614" s="49">
        <v>1343798</v>
      </c>
    </row>
    <row r="615" spans="10:16" x14ac:dyDescent="0.25">
      <c r="J615">
        <v>596</v>
      </c>
      <c r="K615" s="48">
        <v>38203</v>
      </c>
      <c r="L615" t="s">
        <v>83</v>
      </c>
      <c r="M615" t="s">
        <v>87</v>
      </c>
      <c r="N615" t="s">
        <v>85</v>
      </c>
      <c r="O615">
        <v>62</v>
      </c>
      <c r="P615" s="49">
        <v>358360</v>
      </c>
    </row>
    <row r="616" spans="10:16" x14ac:dyDescent="0.25">
      <c r="J616">
        <v>597</v>
      </c>
      <c r="K616" s="48">
        <v>38204</v>
      </c>
      <c r="L616" t="s">
        <v>95</v>
      </c>
      <c r="M616" t="s">
        <v>87</v>
      </c>
      <c r="N616" t="s">
        <v>85</v>
      </c>
      <c r="O616">
        <v>71</v>
      </c>
      <c r="P616" s="49">
        <v>323760</v>
      </c>
    </row>
    <row r="617" spans="10:16" x14ac:dyDescent="0.25">
      <c r="J617">
        <v>598</v>
      </c>
      <c r="K617" s="48">
        <v>38205</v>
      </c>
      <c r="L617" t="s">
        <v>95</v>
      </c>
      <c r="M617" t="s">
        <v>87</v>
      </c>
      <c r="N617" t="s">
        <v>85</v>
      </c>
      <c r="O617">
        <v>94</v>
      </c>
      <c r="P617" s="49">
        <v>735456</v>
      </c>
    </row>
    <row r="618" spans="10:16" x14ac:dyDescent="0.25">
      <c r="J618">
        <v>599</v>
      </c>
      <c r="K618" s="48">
        <v>38207</v>
      </c>
      <c r="L618" t="s">
        <v>86</v>
      </c>
      <c r="M618" t="s">
        <v>84</v>
      </c>
      <c r="N618" t="s">
        <v>85</v>
      </c>
      <c r="O618">
        <v>76</v>
      </c>
      <c r="P618" s="49">
        <v>738568</v>
      </c>
    </row>
    <row r="619" spans="10:16" x14ac:dyDescent="0.25">
      <c r="J619">
        <v>600</v>
      </c>
      <c r="K619" s="48">
        <v>38207</v>
      </c>
      <c r="L619" t="s">
        <v>89</v>
      </c>
      <c r="M619" t="s">
        <v>84</v>
      </c>
      <c r="N619" t="s">
        <v>94</v>
      </c>
      <c r="O619">
        <v>289</v>
      </c>
      <c r="P619" s="49">
        <v>1275646</v>
      </c>
    </row>
    <row r="620" spans="10:16" x14ac:dyDescent="0.25">
      <c r="J620">
        <v>601</v>
      </c>
      <c r="K620" s="48">
        <v>38207</v>
      </c>
      <c r="L620" t="s">
        <v>95</v>
      </c>
      <c r="M620" t="s">
        <v>84</v>
      </c>
      <c r="N620" t="s">
        <v>88</v>
      </c>
      <c r="O620">
        <v>147</v>
      </c>
      <c r="P620" s="49">
        <v>919632</v>
      </c>
    </row>
    <row r="621" spans="10:16" x14ac:dyDescent="0.25">
      <c r="J621">
        <v>602</v>
      </c>
      <c r="K621" s="48">
        <v>38208</v>
      </c>
      <c r="L621" t="s">
        <v>92</v>
      </c>
      <c r="M621" t="s">
        <v>87</v>
      </c>
      <c r="N621" t="s">
        <v>88</v>
      </c>
      <c r="O621">
        <v>227</v>
      </c>
      <c r="P621" s="49">
        <v>1218763</v>
      </c>
    </row>
    <row r="622" spans="10:16" x14ac:dyDescent="0.25">
      <c r="J622">
        <v>603</v>
      </c>
      <c r="K622" s="48">
        <v>38208</v>
      </c>
      <c r="L622" t="s">
        <v>95</v>
      </c>
      <c r="M622" t="s">
        <v>84</v>
      </c>
      <c r="N622" t="s">
        <v>94</v>
      </c>
      <c r="O622">
        <v>174</v>
      </c>
      <c r="P622" s="49">
        <v>1408182</v>
      </c>
    </row>
    <row r="623" spans="10:16" x14ac:dyDescent="0.25">
      <c r="J623">
        <v>604</v>
      </c>
      <c r="K623" s="48">
        <v>38209</v>
      </c>
      <c r="L623" t="s">
        <v>86</v>
      </c>
      <c r="M623" t="s">
        <v>84</v>
      </c>
      <c r="N623" t="s">
        <v>85</v>
      </c>
      <c r="O623">
        <v>149</v>
      </c>
      <c r="P623" s="49">
        <v>704323</v>
      </c>
    </row>
    <row r="624" spans="10:16" x14ac:dyDescent="0.25">
      <c r="J624">
        <v>605</v>
      </c>
      <c r="K624" s="48">
        <v>38209</v>
      </c>
      <c r="L624" t="s">
        <v>93</v>
      </c>
      <c r="M624" t="s">
        <v>84</v>
      </c>
      <c r="N624" t="s">
        <v>85</v>
      </c>
      <c r="O624">
        <v>212</v>
      </c>
      <c r="P624" s="49">
        <v>1817264</v>
      </c>
    </row>
    <row r="625" spans="10:16" x14ac:dyDescent="0.25">
      <c r="J625">
        <v>606</v>
      </c>
      <c r="K625" s="48">
        <v>38209</v>
      </c>
      <c r="L625" t="s">
        <v>83</v>
      </c>
      <c r="M625" t="s">
        <v>84</v>
      </c>
      <c r="N625" t="s">
        <v>85</v>
      </c>
      <c r="O625">
        <v>45</v>
      </c>
      <c r="P625" s="49">
        <v>360765</v>
      </c>
    </row>
    <row r="626" spans="10:16" x14ac:dyDescent="0.25">
      <c r="J626">
        <v>607</v>
      </c>
      <c r="K626" s="48">
        <v>38209</v>
      </c>
      <c r="L626" t="s">
        <v>83</v>
      </c>
      <c r="M626" t="s">
        <v>87</v>
      </c>
      <c r="N626" t="s">
        <v>94</v>
      </c>
      <c r="O626">
        <v>49</v>
      </c>
      <c r="P626" s="49">
        <v>418019</v>
      </c>
    </row>
    <row r="627" spans="10:16" x14ac:dyDescent="0.25">
      <c r="J627">
        <v>608</v>
      </c>
      <c r="K627" s="48">
        <v>38210</v>
      </c>
      <c r="L627" t="s">
        <v>90</v>
      </c>
      <c r="M627" t="s">
        <v>87</v>
      </c>
      <c r="N627" t="s">
        <v>85</v>
      </c>
      <c r="O627">
        <v>210</v>
      </c>
      <c r="P627" s="49">
        <v>1117620</v>
      </c>
    </row>
    <row r="628" spans="10:16" x14ac:dyDescent="0.25">
      <c r="J628">
        <v>609</v>
      </c>
      <c r="K628" s="48">
        <v>38210</v>
      </c>
      <c r="L628" t="s">
        <v>90</v>
      </c>
      <c r="M628" t="s">
        <v>87</v>
      </c>
      <c r="N628" t="s">
        <v>85</v>
      </c>
      <c r="O628">
        <v>287</v>
      </c>
      <c r="P628" s="49">
        <v>1790880</v>
      </c>
    </row>
    <row r="629" spans="10:16" x14ac:dyDescent="0.25">
      <c r="J629">
        <v>610</v>
      </c>
      <c r="K629" s="48">
        <v>38210</v>
      </c>
      <c r="L629" t="s">
        <v>86</v>
      </c>
      <c r="M629" t="s">
        <v>87</v>
      </c>
      <c r="N629" t="s">
        <v>94</v>
      </c>
      <c r="O629">
        <v>127</v>
      </c>
      <c r="P629" s="49">
        <v>1058545</v>
      </c>
    </row>
    <row r="630" spans="10:16" x14ac:dyDescent="0.25">
      <c r="J630">
        <v>611</v>
      </c>
      <c r="K630" s="48">
        <v>38210</v>
      </c>
      <c r="L630" t="s">
        <v>95</v>
      </c>
      <c r="M630" t="s">
        <v>87</v>
      </c>
      <c r="N630" t="s">
        <v>94</v>
      </c>
      <c r="O630">
        <v>294</v>
      </c>
      <c r="P630" s="49">
        <v>2658936</v>
      </c>
    </row>
    <row r="631" spans="10:16" x14ac:dyDescent="0.25">
      <c r="J631">
        <v>612</v>
      </c>
      <c r="K631" s="48">
        <v>38210</v>
      </c>
      <c r="L631" t="s">
        <v>95</v>
      </c>
      <c r="M631" t="s">
        <v>84</v>
      </c>
      <c r="N631" t="s">
        <v>88</v>
      </c>
      <c r="O631">
        <v>92</v>
      </c>
      <c r="P631" s="49">
        <v>879244</v>
      </c>
    </row>
    <row r="632" spans="10:16" x14ac:dyDescent="0.25">
      <c r="J632">
        <v>613</v>
      </c>
      <c r="K632" s="48">
        <v>38210</v>
      </c>
      <c r="L632" t="s">
        <v>92</v>
      </c>
      <c r="M632" t="s">
        <v>87</v>
      </c>
      <c r="N632" t="s">
        <v>94</v>
      </c>
      <c r="O632">
        <v>225</v>
      </c>
      <c r="P632" s="49">
        <v>1879200</v>
      </c>
    </row>
    <row r="633" spans="10:16" x14ac:dyDescent="0.25">
      <c r="J633">
        <v>614</v>
      </c>
      <c r="K633" s="48">
        <v>38211</v>
      </c>
      <c r="L633" t="s">
        <v>95</v>
      </c>
      <c r="M633" t="s">
        <v>84</v>
      </c>
      <c r="N633" t="s">
        <v>94</v>
      </c>
      <c r="O633">
        <v>241</v>
      </c>
      <c r="P633" s="49">
        <v>1085705</v>
      </c>
    </row>
    <row r="634" spans="10:16" x14ac:dyDescent="0.25">
      <c r="J634">
        <v>615</v>
      </c>
      <c r="K634" s="48">
        <v>38211</v>
      </c>
      <c r="L634" t="s">
        <v>86</v>
      </c>
      <c r="M634" t="s">
        <v>87</v>
      </c>
      <c r="N634" t="s">
        <v>85</v>
      </c>
      <c r="O634">
        <v>283</v>
      </c>
      <c r="P634" s="49">
        <v>1992320</v>
      </c>
    </row>
    <row r="635" spans="10:16" x14ac:dyDescent="0.25">
      <c r="J635">
        <v>616</v>
      </c>
      <c r="K635" s="48">
        <v>38211</v>
      </c>
      <c r="L635" t="s">
        <v>93</v>
      </c>
      <c r="M635" t="s">
        <v>84</v>
      </c>
      <c r="N635" t="s">
        <v>94</v>
      </c>
      <c r="O635">
        <v>231</v>
      </c>
      <c r="P635" s="49">
        <v>1237929</v>
      </c>
    </row>
    <row r="636" spans="10:16" x14ac:dyDescent="0.25">
      <c r="J636">
        <v>617</v>
      </c>
      <c r="K636" s="48">
        <v>38212</v>
      </c>
      <c r="L636" t="s">
        <v>93</v>
      </c>
      <c r="M636" t="s">
        <v>87</v>
      </c>
      <c r="N636" t="s">
        <v>85</v>
      </c>
      <c r="O636">
        <v>172</v>
      </c>
      <c r="P636" s="49">
        <v>1283980</v>
      </c>
    </row>
    <row r="637" spans="10:16" x14ac:dyDescent="0.25">
      <c r="J637">
        <v>618</v>
      </c>
      <c r="K637" s="48">
        <v>38212</v>
      </c>
      <c r="L637" t="s">
        <v>89</v>
      </c>
      <c r="M637" t="s">
        <v>84</v>
      </c>
      <c r="N637" t="s">
        <v>85</v>
      </c>
      <c r="O637">
        <v>78</v>
      </c>
      <c r="P637" s="49">
        <v>391560</v>
      </c>
    </row>
    <row r="638" spans="10:16" x14ac:dyDescent="0.25">
      <c r="J638">
        <v>619</v>
      </c>
      <c r="K638" s="48">
        <v>38212</v>
      </c>
      <c r="L638" t="s">
        <v>90</v>
      </c>
      <c r="M638" t="s">
        <v>84</v>
      </c>
      <c r="N638" t="s">
        <v>94</v>
      </c>
      <c r="O638">
        <v>93</v>
      </c>
      <c r="P638" s="49">
        <v>705963</v>
      </c>
    </row>
    <row r="639" spans="10:16" x14ac:dyDescent="0.25">
      <c r="J639">
        <v>620</v>
      </c>
      <c r="K639" s="48">
        <v>38213</v>
      </c>
      <c r="L639" t="s">
        <v>90</v>
      </c>
      <c r="M639" t="s">
        <v>84</v>
      </c>
      <c r="N639" t="s">
        <v>94</v>
      </c>
      <c r="O639">
        <v>58</v>
      </c>
      <c r="P639" s="49">
        <v>406290</v>
      </c>
    </row>
    <row r="640" spans="10:16" x14ac:dyDescent="0.25">
      <c r="J640">
        <v>621</v>
      </c>
      <c r="K640" s="48">
        <v>38213</v>
      </c>
      <c r="L640" t="s">
        <v>92</v>
      </c>
      <c r="M640" t="s">
        <v>87</v>
      </c>
      <c r="N640" t="s">
        <v>91</v>
      </c>
      <c r="O640">
        <v>223</v>
      </c>
      <c r="P640" s="49">
        <v>2171128</v>
      </c>
    </row>
    <row r="641" spans="10:16" x14ac:dyDescent="0.25">
      <c r="J641">
        <v>622</v>
      </c>
      <c r="K641" s="48">
        <v>38213</v>
      </c>
      <c r="L641" t="s">
        <v>93</v>
      </c>
      <c r="M641" t="s">
        <v>87</v>
      </c>
      <c r="N641" t="s">
        <v>94</v>
      </c>
      <c r="O641">
        <v>123</v>
      </c>
      <c r="P641" s="49">
        <v>1116348</v>
      </c>
    </row>
    <row r="642" spans="10:16" x14ac:dyDescent="0.25">
      <c r="J642">
        <v>623</v>
      </c>
      <c r="K642" s="48">
        <v>38214</v>
      </c>
      <c r="L642" t="s">
        <v>86</v>
      </c>
      <c r="M642" t="s">
        <v>87</v>
      </c>
      <c r="N642" t="s">
        <v>91</v>
      </c>
      <c r="O642">
        <v>72</v>
      </c>
      <c r="P642" s="49">
        <v>577656</v>
      </c>
    </row>
    <row r="643" spans="10:16" x14ac:dyDescent="0.25">
      <c r="J643">
        <v>624</v>
      </c>
      <c r="K643" s="48">
        <v>38214</v>
      </c>
      <c r="L643" t="s">
        <v>92</v>
      </c>
      <c r="M643" t="s">
        <v>87</v>
      </c>
      <c r="N643" t="s">
        <v>91</v>
      </c>
      <c r="O643">
        <v>154</v>
      </c>
      <c r="P643" s="49">
        <v>1122352</v>
      </c>
    </row>
    <row r="644" spans="10:16" x14ac:dyDescent="0.25">
      <c r="J644">
        <v>625</v>
      </c>
      <c r="K644" s="48">
        <v>38214</v>
      </c>
      <c r="L644" t="s">
        <v>92</v>
      </c>
      <c r="M644" t="s">
        <v>84</v>
      </c>
      <c r="N644" t="s">
        <v>88</v>
      </c>
      <c r="O644">
        <v>222</v>
      </c>
      <c r="P644" s="49">
        <v>2171826</v>
      </c>
    </row>
    <row r="645" spans="10:16" x14ac:dyDescent="0.25">
      <c r="J645">
        <v>626</v>
      </c>
      <c r="K645" s="48">
        <v>38215</v>
      </c>
      <c r="L645" t="s">
        <v>93</v>
      </c>
      <c r="M645" t="s">
        <v>84</v>
      </c>
      <c r="N645" t="s">
        <v>91</v>
      </c>
      <c r="O645">
        <v>263</v>
      </c>
      <c r="P645" s="49">
        <v>2061131</v>
      </c>
    </row>
    <row r="646" spans="10:16" x14ac:dyDescent="0.25">
      <c r="J646">
        <v>627</v>
      </c>
      <c r="K646" s="48">
        <v>38215</v>
      </c>
      <c r="L646" t="s">
        <v>83</v>
      </c>
      <c r="M646" t="s">
        <v>84</v>
      </c>
      <c r="N646" t="s">
        <v>85</v>
      </c>
      <c r="O646">
        <v>86</v>
      </c>
      <c r="P646" s="49">
        <v>494758</v>
      </c>
    </row>
    <row r="647" spans="10:16" x14ac:dyDescent="0.25">
      <c r="J647">
        <v>628</v>
      </c>
      <c r="K647" s="48">
        <v>38215</v>
      </c>
      <c r="L647" t="s">
        <v>95</v>
      </c>
      <c r="M647" t="s">
        <v>84</v>
      </c>
      <c r="N647" t="s">
        <v>91</v>
      </c>
      <c r="O647">
        <v>212</v>
      </c>
      <c r="P647" s="49">
        <v>1360828</v>
      </c>
    </row>
    <row r="648" spans="10:16" x14ac:dyDescent="0.25">
      <c r="J648">
        <v>629</v>
      </c>
      <c r="K648" s="48">
        <v>38216</v>
      </c>
      <c r="L648" t="s">
        <v>93</v>
      </c>
      <c r="M648" t="s">
        <v>87</v>
      </c>
      <c r="N648" t="s">
        <v>88</v>
      </c>
      <c r="O648">
        <v>249</v>
      </c>
      <c r="P648" s="49">
        <v>1427019</v>
      </c>
    </row>
    <row r="649" spans="10:16" x14ac:dyDescent="0.25">
      <c r="J649">
        <v>630</v>
      </c>
      <c r="K649" s="48">
        <v>38216</v>
      </c>
      <c r="L649" t="s">
        <v>83</v>
      </c>
      <c r="M649" t="s">
        <v>84</v>
      </c>
      <c r="N649" t="s">
        <v>88</v>
      </c>
      <c r="O649">
        <v>170</v>
      </c>
      <c r="P649" s="49">
        <v>1567060</v>
      </c>
    </row>
    <row r="650" spans="10:16" x14ac:dyDescent="0.25">
      <c r="J650">
        <v>631</v>
      </c>
      <c r="K650" s="48">
        <v>38216</v>
      </c>
      <c r="L650" t="s">
        <v>83</v>
      </c>
      <c r="M650" t="s">
        <v>84</v>
      </c>
      <c r="N650" t="s">
        <v>94</v>
      </c>
      <c r="O650">
        <v>272</v>
      </c>
      <c r="P650" s="49">
        <v>1972816</v>
      </c>
    </row>
    <row r="651" spans="10:16" x14ac:dyDescent="0.25">
      <c r="J651">
        <v>632</v>
      </c>
      <c r="K651" s="48">
        <v>38216</v>
      </c>
      <c r="L651" t="s">
        <v>93</v>
      </c>
      <c r="M651" t="s">
        <v>87</v>
      </c>
      <c r="N651" t="s">
        <v>88</v>
      </c>
      <c r="O651">
        <v>201</v>
      </c>
      <c r="P651" s="49">
        <v>1816437</v>
      </c>
    </row>
    <row r="652" spans="10:16" x14ac:dyDescent="0.25">
      <c r="J652">
        <v>633</v>
      </c>
      <c r="K652" s="48">
        <v>38216</v>
      </c>
      <c r="L652" t="s">
        <v>83</v>
      </c>
      <c r="M652" t="s">
        <v>84</v>
      </c>
      <c r="N652" t="s">
        <v>88</v>
      </c>
      <c r="O652">
        <v>167</v>
      </c>
      <c r="P652" s="49">
        <v>1191044</v>
      </c>
    </row>
    <row r="653" spans="10:16" x14ac:dyDescent="0.25">
      <c r="J653">
        <v>634</v>
      </c>
      <c r="K653" s="48">
        <v>38217</v>
      </c>
      <c r="L653" t="s">
        <v>93</v>
      </c>
      <c r="M653" t="s">
        <v>84</v>
      </c>
      <c r="N653" t="s">
        <v>91</v>
      </c>
      <c r="O653">
        <v>283</v>
      </c>
      <c r="P653" s="49">
        <v>2576432</v>
      </c>
    </row>
    <row r="654" spans="10:16" x14ac:dyDescent="0.25">
      <c r="J654">
        <v>635</v>
      </c>
      <c r="K654" s="48">
        <v>38217</v>
      </c>
      <c r="L654" t="s">
        <v>86</v>
      </c>
      <c r="M654" t="s">
        <v>84</v>
      </c>
      <c r="N654" t="s">
        <v>88</v>
      </c>
      <c r="O654">
        <v>197</v>
      </c>
      <c r="P654" s="49">
        <v>981651</v>
      </c>
    </row>
    <row r="655" spans="10:16" x14ac:dyDescent="0.25">
      <c r="J655">
        <v>636</v>
      </c>
      <c r="K655" s="48">
        <v>38217</v>
      </c>
      <c r="L655" t="s">
        <v>93</v>
      </c>
      <c r="M655" t="s">
        <v>84</v>
      </c>
      <c r="N655" t="s">
        <v>91</v>
      </c>
      <c r="O655">
        <v>181</v>
      </c>
      <c r="P655" s="49">
        <v>1161477</v>
      </c>
    </row>
    <row r="656" spans="10:16" x14ac:dyDescent="0.25">
      <c r="J656">
        <v>637</v>
      </c>
      <c r="K656" s="48">
        <v>38217</v>
      </c>
      <c r="L656" t="s">
        <v>83</v>
      </c>
      <c r="M656" t="s">
        <v>84</v>
      </c>
      <c r="N656" t="s">
        <v>94</v>
      </c>
      <c r="O656">
        <v>95</v>
      </c>
      <c r="P656" s="49">
        <v>938030</v>
      </c>
    </row>
    <row r="657" spans="10:16" x14ac:dyDescent="0.25">
      <c r="J657">
        <v>638</v>
      </c>
      <c r="K657" s="48">
        <v>38217</v>
      </c>
      <c r="L657" t="s">
        <v>95</v>
      </c>
      <c r="M657" t="s">
        <v>87</v>
      </c>
      <c r="N657" t="s">
        <v>91</v>
      </c>
      <c r="O657">
        <v>116</v>
      </c>
      <c r="P657" s="49">
        <v>915704</v>
      </c>
    </row>
    <row r="658" spans="10:16" x14ac:dyDescent="0.25">
      <c r="J658">
        <v>639</v>
      </c>
      <c r="K658" s="48">
        <v>38218</v>
      </c>
      <c r="L658" t="s">
        <v>93</v>
      </c>
      <c r="M658" t="s">
        <v>84</v>
      </c>
      <c r="N658" t="s">
        <v>88</v>
      </c>
      <c r="O658">
        <v>277</v>
      </c>
      <c r="P658" s="49">
        <v>2646181</v>
      </c>
    </row>
    <row r="659" spans="10:16" x14ac:dyDescent="0.25">
      <c r="J659">
        <v>640</v>
      </c>
      <c r="K659" s="48">
        <v>38218</v>
      </c>
      <c r="L659" t="s">
        <v>92</v>
      </c>
      <c r="M659" t="s">
        <v>84</v>
      </c>
      <c r="N659" t="s">
        <v>91</v>
      </c>
      <c r="O659">
        <v>182</v>
      </c>
      <c r="P659" s="49">
        <v>1243060</v>
      </c>
    </row>
    <row r="660" spans="10:16" x14ac:dyDescent="0.25">
      <c r="J660">
        <v>641</v>
      </c>
      <c r="K660" s="48">
        <v>38218</v>
      </c>
      <c r="L660" t="s">
        <v>89</v>
      </c>
      <c r="M660" t="s">
        <v>87</v>
      </c>
      <c r="N660" t="s">
        <v>88</v>
      </c>
      <c r="O660">
        <v>249</v>
      </c>
      <c r="P660" s="49">
        <v>2306238</v>
      </c>
    </row>
    <row r="661" spans="10:16" x14ac:dyDescent="0.25">
      <c r="J661">
        <v>642</v>
      </c>
      <c r="K661" s="48">
        <v>38219</v>
      </c>
      <c r="L661" t="s">
        <v>92</v>
      </c>
      <c r="M661" t="s">
        <v>87</v>
      </c>
      <c r="N661" t="s">
        <v>88</v>
      </c>
      <c r="O661">
        <v>119</v>
      </c>
      <c r="P661" s="49">
        <v>711382</v>
      </c>
    </row>
    <row r="662" spans="10:16" x14ac:dyDescent="0.25">
      <c r="J662">
        <v>643</v>
      </c>
      <c r="K662" s="48">
        <v>38219</v>
      </c>
      <c r="L662" t="s">
        <v>92</v>
      </c>
      <c r="M662" t="s">
        <v>84</v>
      </c>
      <c r="N662" t="s">
        <v>85</v>
      </c>
      <c r="O662">
        <v>255</v>
      </c>
      <c r="P662" s="49">
        <v>2338095</v>
      </c>
    </row>
    <row r="663" spans="10:16" x14ac:dyDescent="0.25">
      <c r="J663">
        <v>644</v>
      </c>
      <c r="K663" s="48">
        <v>38219</v>
      </c>
      <c r="L663" t="s">
        <v>92</v>
      </c>
      <c r="M663" t="s">
        <v>84</v>
      </c>
      <c r="N663" t="s">
        <v>91</v>
      </c>
      <c r="O663">
        <v>164</v>
      </c>
      <c r="P663" s="49">
        <v>1162104</v>
      </c>
    </row>
    <row r="664" spans="10:16" x14ac:dyDescent="0.25">
      <c r="J664">
        <v>645</v>
      </c>
      <c r="K664" s="48">
        <v>38219</v>
      </c>
      <c r="L664" t="s">
        <v>92</v>
      </c>
      <c r="M664" t="s">
        <v>87</v>
      </c>
      <c r="N664" t="s">
        <v>91</v>
      </c>
      <c r="O664">
        <v>227</v>
      </c>
      <c r="P664" s="49">
        <v>1917696</v>
      </c>
    </row>
  </sheetData>
  <mergeCells count="12">
    <mergeCell ref="C12:E15"/>
    <mergeCell ref="C17:E18"/>
    <mergeCell ref="C28:E29"/>
    <mergeCell ref="C30:E31"/>
    <mergeCell ref="C33:C34"/>
    <mergeCell ref="D33:E34"/>
    <mergeCell ref="C36:C37"/>
    <mergeCell ref="D36:E37"/>
    <mergeCell ref="C39:C40"/>
    <mergeCell ref="C49:C50"/>
    <mergeCell ref="C19:F19"/>
    <mergeCell ref="C20:F20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5777-BB04-4E64-B597-2ECB78937D1D}">
  <sheetPr>
    <tabColor theme="7"/>
  </sheetPr>
  <dimension ref="A10:N111"/>
  <sheetViews>
    <sheetView showGridLines="0" zoomScale="85" zoomScaleNormal="85" workbookViewId="0">
      <selection activeCell="D2" sqref="D2"/>
    </sheetView>
  </sheetViews>
  <sheetFormatPr baseColWidth="10" defaultColWidth="9.140625" defaultRowHeight="15" x14ac:dyDescent="0.25"/>
  <cols>
    <col min="1" max="1" width="3.28515625" style="1" customWidth="1"/>
    <col min="2" max="2" width="3.28515625" style="2" customWidth="1"/>
    <col min="3" max="3" width="7.5703125" style="2" customWidth="1"/>
    <col min="4" max="4" width="16" style="2" customWidth="1"/>
    <col min="5" max="5" width="56.5703125" style="2" customWidth="1"/>
    <col min="6" max="6" width="9.7109375" style="2" customWidth="1"/>
    <col min="7" max="7" width="8.85546875" style="8" customWidth="1"/>
    <col min="8" max="10" width="9.140625" style="8"/>
    <col min="11" max="11" width="19.85546875" style="8" customWidth="1"/>
    <col min="12" max="12" width="17.140625" style="8" bestFit="1" customWidth="1"/>
    <col min="13" max="13" width="15.5703125" style="8" customWidth="1"/>
    <col min="14" max="14" width="16" style="8" customWidth="1"/>
    <col min="15" max="16384" width="9.140625" style="8"/>
  </cols>
  <sheetData>
    <row r="10" spans="2:6" ht="15.75" customHeight="1" x14ac:dyDescent="0.25"/>
    <row r="11" spans="2:6" x14ac:dyDescent="0.25">
      <c r="B11" s="3"/>
      <c r="C11" s="3"/>
      <c r="D11" s="3"/>
      <c r="E11" s="3"/>
      <c r="F11" s="3"/>
    </row>
    <row r="12" spans="2:6" ht="33" customHeight="1" x14ac:dyDescent="0.25">
      <c r="B12" s="3"/>
      <c r="C12" s="109" t="s">
        <v>130</v>
      </c>
      <c r="D12" s="109"/>
      <c r="E12" s="109"/>
      <c r="F12" s="3"/>
    </row>
    <row r="13" spans="2:6" ht="15" customHeight="1" x14ac:dyDescent="0.25">
      <c r="B13" s="3"/>
      <c r="C13" s="109"/>
      <c r="D13" s="109"/>
      <c r="E13" s="109"/>
      <c r="F13" s="3"/>
    </row>
    <row r="14" spans="2:6" x14ac:dyDescent="0.25">
      <c r="B14" s="3"/>
      <c r="C14" s="109"/>
      <c r="D14" s="109"/>
      <c r="E14" s="109"/>
      <c r="F14" s="3"/>
    </row>
    <row r="15" spans="2:6" x14ac:dyDescent="0.25">
      <c r="B15" s="3"/>
      <c r="C15" s="109"/>
      <c r="D15" s="109"/>
      <c r="E15" s="109"/>
      <c r="F15" s="3"/>
    </row>
    <row r="16" spans="2:6" ht="15" customHeight="1" x14ac:dyDescent="0.25">
      <c r="B16" s="3"/>
      <c r="C16" s="3"/>
      <c r="D16" s="3"/>
      <c r="E16" s="3"/>
      <c r="F16" s="3"/>
    </row>
    <row r="17" spans="1:14" ht="17.25" customHeight="1" x14ac:dyDescent="0.25">
      <c r="B17" s="3"/>
      <c r="C17" s="110" t="s">
        <v>0</v>
      </c>
      <c r="D17" s="110"/>
      <c r="E17" s="110"/>
      <c r="F17" s="3"/>
    </row>
    <row r="18" spans="1:14" ht="15" customHeight="1" x14ac:dyDescent="0.25">
      <c r="B18" s="3"/>
      <c r="C18" s="110"/>
      <c r="D18" s="110"/>
      <c r="E18" s="110"/>
      <c r="F18" s="3"/>
      <c r="J18" s="8" t="s">
        <v>58</v>
      </c>
      <c r="K18" s="51" t="s">
        <v>99</v>
      </c>
      <c r="L18" s="52" t="s">
        <v>100</v>
      </c>
      <c r="M18" s="53" t="s">
        <v>101</v>
      </c>
    </row>
    <row r="19" spans="1:14" ht="23.25" x14ac:dyDescent="0.35">
      <c r="B19" s="3"/>
      <c r="C19" s="121" t="s">
        <v>117</v>
      </c>
      <c r="D19" s="121"/>
      <c r="E19" s="121"/>
      <c r="F19" s="121"/>
      <c r="K19" s="54">
        <v>500</v>
      </c>
      <c r="L19" s="55">
        <v>100</v>
      </c>
      <c r="M19" s="56"/>
    </row>
    <row r="20" spans="1:14" x14ac:dyDescent="0.25">
      <c r="B20" s="3"/>
      <c r="C20" s="121" t="s">
        <v>118</v>
      </c>
      <c r="D20" s="121"/>
      <c r="E20" s="121"/>
      <c r="F20" s="121"/>
    </row>
    <row r="21" spans="1:14" x14ac:dyDescent="0.25">
      <c r="B21" s="3"/>
      <c r="C21" s="10" t="s">
        <v>119</v>
      </c>
      <c r="D21" s="4"/>
      <c r="E21" s="4"/>
      <c r="F21" s="3"/>
    </row>
    <row r="22" spans="1:14" ht="30" x14ac:dyDescent="0.25">
      <c r="B22" s="3"/>
      <c r="C22" s="10" t="s">
        <v>120</v>
      </c>
      <c r="D22" s="4"/>
      <c r="E22" s="4"/>
      <c r="F22" s="3"/>
      <c r="J22" s="8" t="s">
        <v>67</v>
      </c>
      <c r="K22" s="51" t="s">
        <v>102</v>
      </c>
      <c r="L22" s="51" t="s">
        <v>103</v>
      </c>
      <c r="M22" s="51" t="s">
        <v>104</v>
      </c>
      <c r="N22" s="53" t="s">
        <v>105</v>
      </c>
    </row>
    <row r="23" spans="1:14" ht="23.25" x14ac:dyDescent="0.35">
      <c r="B23" s="3"/>
      <c r="C23" s="10" t="s">
        <v>121</v>
      </c>
      <c r="D23" s="4"/>
      <c r="E23" s="4"/>
      <c r="F23" s="3"/>
      <c r="K23" s="54" t="s">
        <v>106</v>
      </c>
      <c r="L23" s="55">
        <v>4.5</v>
      </c>
      <c r="M23" s="56">
        <v>15</v>
      </c>
      <c r="N23" s="54"/>
    </row>
    <row r="24" spans="1:14" x14ac:dyDescent="0.25">
      <c r="B24" s="3"/>
      <c r="C24" s="10" t="s">
        <v>122</v>
      </c>
      <c r="D24" s="4"/>
      <c r="E24" s="4"/>
      <c r="F24" s="3"/>
    </row>
    <row r="25" spans="1:14" x14ac:dyDescent="0.25">
      <c r="B25" s="3"/>
      <c r="C25" s="10" t="s">
        <v>123</v>
      </c>
      <c r="D25" s="4"/>
      <c r="E25" s="4"/>
      <c r="F25" s="3"/>
    </row>
    <row r="26" spans="1:14" ht="30" x14ac:dyDescent="0.25">
      <c r="B26" s="3"/>
      <c r="C26" s="121" t="s">
        <v>124</v>
      </c>
      <c r="D26" s="121"/>
      <c r="E26" s="121"/>
      <c r="F26" s="121"/>
      <c r="J26" s="8" t="s">
        <v>70</v>
      </c>
      <c r="K26" s="51" t="s">
        <v>107</v>
      </c>
      <c r="L26" s="51" t="s">
        <v>108</v>
      </c>
      <c r="M26" s="53" t="s">
        <v>109</v>
      </c>
    </row>
    <row r="27" spans="1:14" ht="23.25" x14ac:dyDescent="0.35">
      <c r="B27" s="3"/>
      <c r="C27" s="121"/>
      <c r="D27" s="121"/>
      <c r="E27" s="121"/>
      <c r="F27" s="121"/>
      <c r="K27" s="54">
        <v>100</v>
      </c>
      <c r="L27" s="54">
        <v>3.61</v>
      </c>
      <c r="M27" s="57"/>
    </row>
    <row r="28" spans="1:14" ht="15" customHeight="1" x14ac:dyDescent="0.25">
      <c r="B28" s="3"/>
      <c r="C28" s="110"/>
      <c r="D28" s="110"/>
      <c r="E28" s="110"/>
      <c r="F28" s="3"/>
    </row>
    <row r="29" spans="1:14" ht="15" customHeight="1" x14ac:dyDescent="0.25">
      <c r="A29" s="5"/>
      <c r="B29" s="3"/>
      <c r="C29" s="110"/>
      <c r="D29" s="110"/>
      <c r="E29" s="110"/>
      <c r="F29" s="3"/>
    </row>
    <row r="30" spans="1:14" ht="15" customHeight="1" x14ac:dyDescent="0.25">
      <c r="B30" s="3"/>
      <c r="C30" s="112"/>
      <c r="D30" s="112"/>
      <c r="E30" s="112"/>
      <c r="F30" s="3"/>
      <c r="J30" s="8" t="s">
        <v>125</v>
      </c>
      <c r="K30" s="51" t="s">
        <v>109</v>
      </c>
      <c r="L30" s="51" t="s">
        <v>108</v>
      </c>
      <c r="M30" s="53" t="s">
        <v>107</v>
      </c>
    </row>
    <row r="31" spans="1:14" ht="23.25" x14ac:dyDescent="0.35">
      <c r="B31" s="3"/>
      <c r="C31" s="112"/>
      <c r="D31" s="112"/>
      <c r="E31" s="112"/>
      <c r="F31" s="3"/>
      <c r="K31" s="57"/>
      <c r="L31" s="54">
        <v>3.58</v>
      </c>
      <c r="M31" s="58"/>
    </row>
    <row r="32" spans="1:14" ht="23.25" x14ac:dyDescent="0.35">
      <c r="B32" s="3"/>
      <c r="C32" s="15"/>
      <c r="D32" s="15"/>
      <c r="E32" s="15"/>
      <c r="F32" s="3"/>
      <c r="K32" s="59"/>
      <c r="L32" s="60"/>
      <c r="M32" s="61"/>
    </row>
    <row r="33" spans="1:13" x14ac:dyDescent="0.25">
      <c r="B33" s="3"/>
      <c r="C33" s="3"/>
      <c r="D33" s="3"/>
      <c r="E33" s="3"/>
      <c r="F33" s="3"/>
    </row>
    <row r="34" spans="1:13" x14ac:dyDescent="0.25">
      <c r="A34" s="6"/>
      <c r="B34" s="3"/>
      <c r="C34" s="111"/>
      <c r="D34" s="113"/>
      <c r="E34" s="113"/>
      <c r="F34" s="3"/>
      <c r="J34" s="8" t="s">
        <v>126</v>
      </c>
      <c r="K34" s="51" t="s">
        <v>105</v>
      </c>
      <c r="L34" s="53" t="s">
        <v>110</v>
      </c>
    </row>
    <row r="35" spans="1:13" ht="23.25" x14ac:dyDescent="0.35">
      <c r="B35" s="3"/>
      <c r="C35" s="111"/>
      <c r="D35" s="113"/>
      <c r="E35" s="113"/>
      <c r="F35" s="3"/>
      <c r="K35" s="54">
        <v>1500</v>
      </c>
      <c r="L35" s="58"/>
    </row>
    <row r="36" spans="1:13" ht="15" customHeight="1" x14ac:dyDescent="0.25">
      <c r="A36" s="5"/>
      <c r="B36" s="3"/>
      <c r="C36" s="3"/>
      <c r="D36" s="3"/>
      <c r="E36" s="3"/>
      <c r="F36" s="3"/>
    </row>
    <row r="37" spans="1:13" ht="30" x14ac:dyDescent="0.25">
      <c r="B37" s="3"/>
      <c r="C37" s="111"/>
      <c r="D37" s="114"/>
      <c r="E37" s="115"/>
      <c r="F37" s="3"/>
      <c r="J37" s="8" t="s">
        <v>127</v>
      </c>
      <c r="K37" s="53" t="s">
        <v>111</v>
      </c>
    </row>
    <row r="38" spans="1:13" ht="23.25" x14ac:dyDescent="0.35">
      <c r="B38" s="3"/>
      <c r="C38" s="111"/>
      <c r="D38" s="115"/>
      <c r="E38" s="115"/>
      <c r="F38" s="3"/>
      <c r="K38" s="58"/>
    </row>
    <row r="39" spans="1:13" ht="18.75" x14ac:dyDescent="0.25">
      <c r="B39" s="3"/>
      <c r="C39" s="14"/>
      <c r="D39" s="16"/>
      <c r="E39" s="16"/>
      <c r="F39" s="3"/>
    </row>
    <row r="40" spans="1:13" x14ac:dyDescent="0.25">
      <c r="B40" s="3"/>
      <c r="C40" s="111"/>
      <c r="D40" s="16"/>
      <c r="E40" s="16"/>
      <c r="F40" s="3"/>
    </row>
    <row r="41" spans="1:13" x14ac:dyDescent="0.25">
      <c r="B41" s="3"/>
      <c r="C41" s="111"/>
      <c r="D41" s="16"/>
      <c r="E41" s="16"/>
      <c r="F41" s="3"/>
      <c r="J41" s="8" t="s">
        <v>128</v>
      </c>
      <c r="K41" s="51" t="s">
        <v>112</v>
      </c>
      <c r="L41" s="51" t="s">
        <v>113</v>
      </c>
      <c r="M41" s="53" t="s">
        <v>114</v>
      </c>
    </row>
    <row r="42" spans="1:13" ht="23.25" x14ac:dyDescent="0.35">
      <c r="B42" s="3"/>
      <c r="C42" s="14"/>
      <c r="D42" s="16"/>
      <c r="E42" s="16"/>
      <c r="F42" s="3"/>
      <c r="K42" s="54"/>
      <c r="L42" s="54"/>
      <c r="M42" s="56"/>
    </row>
    <row r="43" spans="1:13" ht="18.75" x14ac:dyDescent="0.25">
      <c r="B43" s="3"/>
      <c r="C43" s="14"/>
      <c r="D43" s="16"/>
      <c r="E43" s="16"/>
      <c r="F43" s="3"/>
    </row>
    <row r="44" spans="1:13" ht="18.75" x14ac:dyDescent="0.25">
      <c r="B44" s="3"/>
      <c r="C44" s="14"/>
      <c r="D44" s="16"/>
      <c r="E44" s="16"/>
      <c r="F44" s="3"/>
    </row>
    <row r="45" spans="1:13" ht="18.75" x14ac:dyDescent="0.25">
      <c r="B45" s="3"/>
      <c r="C45" s="14"/>
      <c r="D45" s="16"/>
      <c r="E45" s="16"/>
      <c r="F45" s="3"/>
      <c r="J45" s="8" t="s">
        <v>129</v>
      </c>
      <c r="K45" s="51" t="s">
        <v>114</v>
      </c>
      <c r="L45" s="51" t="s">
        <v>115</v>
      </c>
      <c r="M45" s="53" t="s">
        <v>116</v>
      </c>
    </row>
    <row r="46" spans="1:13" ht="23.25" x14ac:dyDescent="0.35">
      <c r="B46" s="3"/>
      <c r="C46" s="14"/>
      <c r="D46" s="16"/>
      <c r="E46" s="16"/>
      <c r="F46" s="3"/>
      <c r="K46" s="54"/>
      <c r="L46" s="54"/>
      <c r="M46" s="56"/>
    </row>
    <row r="47" spans="1:13" ht="18.75" x14ac:dyDescent="0.25">
      <c r="B47" s="3"/>
      <c r="C47" s="14"/>
      <c r="D47" s="16"/>
      <c r="E47" s="16"/>
      <c r="F47" s="3"/>
    </row>
    <row r="48" spans="1:13" ht="18.75" x14ac:dyDescent="0.25">
      <c r="B48" s="3"/>
      <c r="C48" s="14"/>
      <c r="D48" s="16"/>
      <c r="E48" s="16"/>
      <c r="F48" s="3"/>
    </row>
    <row r="49" spans="2:6" ht="15" customHeight="1" x14ac:dyDescent="0.25">
      <c r="B49" s="3"/>
      <c r="C49" s="12"/>
      <c r="D49" s="3"/>
      <c r="E49" s="3"/>
      <c r="F49" s="3"/>
    </row>
    <row r="50" spans="2:6" ht="15" customHeight="1" x14ac:dyDescent="0.25">
      <c r="B50" s="3"/>
      <c r="C50" s="111"/>
      <c r="D50" s="3"/>
      <c r="E50" s="3"/>
      <c r="F50" s="3"/>
    </row>
    <row r="51" spans="2:6" x14ac:dyDescent="0.25">
      <c r="B51" s="3"/>
      <c r="C51" s="111"/>
      <c r="D51" s="3"/>
      <c r="E51" s="3"/>
      <c r="F51" s="3"/>
    </row>
    <row r="111" spans="1:7" s="7" customFormat="1" ht="17.45" customHeight="1" x14ac:dyDescent="0.25">
      <c r="A111" s="1"/>
      <c r="B111" s="2"/>
      <c r="C111" s="2"/>
      <c r="D111" s="2"/>
      <c r="E111" s="2"/>
      <c r="F111" s="2"/>
      <c r="G111" s="8"/>
    </row>
  </sheetData>
  <mergeCells count="13">
    <mergeCell ref="C50:C51"/>
    <mergeCell ref="C12:E15"/>
    <mergeCell ref="C17:E18"/>
    <mergeCell ref="C19:F19"/>
    <mergeCell ref="C20:F20"/>
    <mergeCell ref="C28:E29"/>
    <mergeCell ref="C30:E31"/>
    <mergeCell ref="C26:F27"/>
    <mergeCell ref="C34:C35"/>
    <mergeCell ref="D34:E35"/>
    <mergeCell ref="C37:C38"/>
    <mergeCell ref="D37:E38"/>
    <mergeCell ref="C40:C41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9F9C7-0C80-4878-830D-81D5A4060B93}">
  <sheetPr>
    <tabColor theme="7"/>
  </sheetPr>
  <dimension ref="A10:M111"/>
  <sheetViews>
    <sheetView showGridLines="0" zoomScale="85" zoomScaleNormal="85" workbookViewId="0">
      <selection activeCell="D7" sqref="D7"/>
    </sheetView>
  </sheetViews>
  <sheetFormatPr baseColWidth="10" defaultColWidth="9.140625" defaultRowHeight="15" x14ac:dyDescent="0.25"/>
  <cols>
    <col min="1" max="1" width="3.28515625" style="1" customWidth="1"/>
    <col min="2" max="2" width="3.28515625" style="2" customWidth="1"/>
    <col min="3" max="3" width="7.5703125" style="2" customWidth="1"/>
    <col min="4" max="4" width="16" style="2" customWidth="1"/>
    <col min="5" max="5" width="56.5703125" style="2" customWidth="1"/>
    <col min="6" max="6" width="9.7109375" style="2" customWidth="1"/>
    <col min="7" max="7" width="8.85546875" style="8" customWidth="1"/>
    <col min="8" max="10" width="9.140625" style="8"/>
    <col min="11" max="11" width="13" style="8" customWidth="1"/>
    <col min="12" max="12" width="14.140625" style="8" customWidth="1"/>
    <col min="13" max="13" width="15.5703125" style="8" customWidth="1"/>
    <col min="14" max="16384" width="9.140625" style="8"/>
  </cols>
  <sheetData>
    <row r="10" spans="2:6" ht="15.75" customHeight="1" x14ac:dyDescent="0.25"/>
    <row r="11" spans="2:6" x14ac:dyDescent="0.25">
      <c r="B11" s="3"/>
      <c r="C11" s="3"/>
      <c r="D11" s="3"/>
      <c r="E11" s="3"/>
      <c r="F11" s="3"/>
    </row>
    <row r="12" spans="2:6" ht="33" customHeight="1" x14ac:dyDescent="0.25">
      <c r="B12" s="3"/>
      <c r="C12" s="109" t="s">
        <v>132</v>
      </c>
      <c r="D12" s="109"/>
      <c r="E12" s="109"/>
      <c r="F12" s="3"/>
    </row>
    <row r="13" spans="2:6" ht="15" customHeight="1" x14ac:dyDescent="0.25">
      <c r="B13" s="3"/>
      <c r="C13" s="109"/>
      <c r="D13" s="109"/>
      <c r="E13" s="109"/>
      <c r="F13" s="3"/>
    </row>
    <row r="14" spans="2:6" x14ac:dyDescent="0.25">
      <c r="B14" s="3"/>
      <c r="C14" s="109"/>
      <c r="D14" s="109"/>
      <c r="E14" s="109"/>
      <c r="F14" s="3"/>
    </row>
    <row r="15" spans="2:6" x14ac:dyDescent="0.25">
      <c r="B15" s="3"/>
      <c r="C15" s="109"/>
      <c r="D15" s="109"/>
      <c r="E15" s="109"/>
      <c r="F15" s="3"/>
    </row>
    <row r="16" spans="2:6" ht="15" customHeight="1" x14ac:dyDescent="0.25">
      <c r="B16" s="3"/>
      <c r="C16" s="3"/>
      <c r="D16" s="3"/>
      <c r="E16" s="3"/>
      <c r="F16" s="3"/>
    </row>
    <row r="17" spans="1:13" ht="17.25" customHeight="1" x14ac:dyDescent="0.25">
      <c r="B17" s="3"/>
      <c r="C17" s="110" t="s">
        <v>0</v>
      </c>
      <c r="D17" s="110"/>
      <c r="E17" s="110"/>
      <c r="F17" s="3"/>
    </row>
    <row r="18" spans="1:13" ht="15" customHeight="1" x14ac:dyDescent="0.25">
      <c r="B18" s="3"/>
      <c r="C18" s="110"/>
      <c r="D18" s="110"/>
      <c r="E18" s="110"/>
      <c r="F18" s="3"/>
      <c r="J18" s="8" t="s">
        <v>58</v>
      </c>
      <c r="K18" s="65" t="s">
        <v>133</v>
      </c>
      <c r="L18" s="65" t="s">
        <v>134</v>
      </c>
      <c r="M18" s="65" t="s">
        <v>135</v>
      </c>
    </row>
    <row r="19" spans="1:13" ht="21" x14ac:dyDescent="0.35">
      <c r="B19" s="3"/>
      <c r="C19" s="121" t="s">
        <v>131</v>
      </c>
      <c r="D19" s="121"/>
      <c r="E19" s="121"/>
      <c r="F19" s="121"/>
      <c r="K19" s="66">
        <v>300</v>
      </c>
      <c r="L19" s="66">
        <v>160</v>
      </c>
      <c r="M19" s="67"/>
    </row>
    <row r="20" spans="1:13" x14ac:dyDescent="0.25">
      <c r="B20" s="3"/>
      <c r="C20" s="121" t="s">
        <v>140</v>
      </c>
      <c r="D20" s="121"/>
      <c r="E20" s="121"/>
      <c r="F20" s="121"/>
    </row>
    <row r="21" spans="1:13" x14ac:dyDescent="0.25">
      <c r="B21" s="3"/>
      <c r="C21" s="10" t="s">
        <v>141</v>
      </c>
      <c r="D21" s="4"/>
      <c r="E21" s="4"/>
      <c r="F21" s="3"/>
    </row>
    <row r="22" spans="1:13" x14ac:dyDescent="0.25">
      <c r="B22" s="3"/>
      <c r="C22" s="10" t="s">
        <v>142</v>
      </c>
      <c r="D22" s="4"/>
      <c r="E22" s="4"/>
      <c r="F22" s="3"/>
      <c r="J22" s="8" t="s">
        <v>67</v>
      </c>
      <c r="K22" s="65" t="s">
        <v>136</v>
      </c>
    </row>
    <row r="23" spans="1:13" ht="21" x14ac:dyDescent="0.35">
      <c r="B23" s="3"/>
      <c r="C23" s="121" t="s">
        <v>143</v>
      </c>
      <c r="D23" s="121"/>
      <c r="E23" s="121"/>
      <c r="F23" s="121"/>
      <c r="K23" s="67"/>
    </row>
    <row r="24" spans="1:13" x14ac:dyDescent="0.25">
      <c r="B24" s="3"/>
      <c r="C24" s="121"/>
      <c r="D24" s="121"/>
      <c r="E24" s="121"/>
      <c r="F24" s="121"/>
    </row>
    <row r="25" spans="1:13" x14ac:dyDescent="0.25">
      <c r="B25" s="3"/>
      <c r="C25" s="10"/>
      <c r="D25" s="4"/>
      <c r="E25" s="4"/>
      <c r="F25" s="3"/>
    </row>
    <row r="26" spans="1:13" x14ac:dyDescent="0.25">
      <c r="B26" s="3"/>
      <c r="C26" s="121"/>
      <c r="D26" s="121"/>
      <c r="E26" s="121"/>
      <c r="F26" s="121"/>
      <c r="J26" s="8" t="s">
        <v>70</v>
      </c>
      <c r="K26" s="65" t="s">
        <v>137</v>
      </c>
    </row>
    <row r="27" spans="1:13" ht="21" x14ac:dyDescent="0.35">
      <c r="B27" s="3"/>
      <c r="C27" s="121"/>
      <c r="D27" s="121"/>
      <c r="E27" s="121"/>
      <c r="F27" s="121"/>
      <c r="K27" s="67"/>
    </row>
    <row r="28" spans="1:13" ht="15" customHeight="1" x14ac:dyDescent="0.25">
      <c r="B28" s="3"/>
      <c r="C28" s="110"/>
      <c r="D28" s="110"/>
      <c r="E28" s="110"/>
      <c r="F28" s="3"/>
    </row>
    <row r="29" spans="1:13" ht="15" customHeight="1" x14ac:dyDescent="0.25">
      <c r="A29" s="5"/>
      <c r="B29" s="3"/>
      <c r="C29" s="110"/>
      <c r="D29" s="110"/>
      <c r="E29" s="110"/>
      <c r="F29" s="3"/>
    </row>
    <row r="30" spans="1:13" ht="15" customHeight="1" x14ac:dyDescent="0.25">
      <c r="B30" s="3"/>
      <c r="C30" s="112"/>
      <c r="D30" s="112"/>
      <c r="E30" s="112"/>
      <c r="F30" s="3"/>
      <c r="J30" s="8" t="s">
        <v>125</v>
      </c>
      <c r="K30" s="65" t="s">
        <v>138</v>
      </c>
    </row>
    <row r="31" spans="1:13" ht="21" x14ac:dyDescent="0.35">
      <c r="B31" s="3"/>
      <c r="C31" s="112"/>
      <c r="D31" s="112"/>
      <c r="E31" s="112"/>
      <c r="F31" s="3"/>
      <c r="K31" s="67"/>
    </row>
    <row r="32" spans="1:13" x14ac:dyDescent="0.25">
      <c r="B32" s="3"/>
      <c r="C32" s="18"/>
      <c r="D32" s="18"/>
      <c r="E32" s="18"/>
      <c r="F32" s="3"/>
    </row>
    <row r="33" spans="1:11" x14ac:dyDescent="0.25">
      <c r="B33" s="3"/>
      <c r="C33" s="3"/>
      <c r="D33" s="3"/>
      <c r="E33" s="3"/>
      <c r="F33" s="3"/>
    </row>
    <row r="34" spans="1:11" x14ac:dyDescent="0.25">
      <c r="A34" s="6"/>
      <c r="B34" s="3"/>
      <c r="C34" s="111"/>
      <c r="D34" s="113"/>
      <c r="E34" s="113"/>
      <c r="F34" s="3"/>
      <c r="J34" s="8" t="s">
        <v>126</v>
      </c>
      <c r="K34" s="65" t="s">
        <v>139</v>
      </c>
    </row>
    <row r="35" spans="1:11" ht="21" x14ac:dyDescent="0.35">
      <c r="B35" s="3"/>
      <c r="C35" s="111"/>
      <c r="D35" s="113"/>
      <c r="E35" s="113"/>
      <c r="F35" s="3"/>
      <c r="K35" s="67"/>
    </row>
    <row r="36" spans="1:11" ht="15" customHeight="1" x14ac:dyDescent="0.25">
      <c r="A36" s="5"/>
      <c r="B36" s="3"/>
      <c r="C36" s="3"/>
      <c r="D36" s="3"/>
      <c r="E36" s="3"/>
      <c r="F36" s="3"/>
    </row>
    <row r="37" spans="1:11" x14ac:dyDescent="0.25">
      <c r="B37" s="3"/>
      <c r="C37" s="111"/>
      <c r="D37" s="114"/>
      <c r="E37" s="115"/>
      <c r="F37" s="3"/>
    </row>
    <row r="38" spans="1:11" x14ac:dyDescent="0.25">
      <c r="B38" s="3"/>
      <c r="C38" s="111"/>
      <c r="D38" s="115"/>
      <c r="E38" s="115"/>
      <c r="F38" s="3"/>
    </row>
    <row r="39" spans="1:11" ht="18.75" x14ac:dyDescent="0.25">
      <c r="B39" s="3"/>
      <c r="C39" s="17"/>
      <c r="D39" s="19"/>
      <c r="E39" s="19"/>
      <c r="F39" s="3"/>
    </row>
    <row r="40" spans="1:11" x14ac:dyDescent="0.25">
      <c r="B40" s="3"/>
      <c r="C40" s="111"/>
      <c r="D40" s="19"/>
      <c r="E40" s="19"/>
      <c r="F40" s="3"/>
    </row>
    <row r="41" spans="1:11" x14ac:dyDescent="0.25">
      <c r="B41" s="3"/>
      <c r="C41" s="111"/>
      <c r="D41" s="19"/>
      <c r="E41" s="19"/>
      <c r="F41" s="3"/>
    </row>
    <row r="42" spans="1:11" ht="18.75" x14ac:dyDescent="0.25">
      <c r="B42" s="3"/>
      <c r="C42" s="17"/>
      <c r="D42" s="19"/>
      <c r="E42" s="19"/>
      <c r="F42" s="3"/>
    </row>
    <row r="43" spans="1:11" ht="18.75" x14ac:dyDescent="0.25">
      <c r="B43" s="3"/>
      <c r="C43" s="17"/>
      <c r="D43" s="19"/>
      <c r="E43" s="19"/>
      <c r="F43" s="3"/>
    </row>
    <row r="44" spans="1:11" ht="18.75" x14ac:dyDescent="0.25">
      <c r="B44" s="3"/>
      <c r="C44" s="17"/>
      <c r="D44" s="19"/>
      <c r="E44" s="19"/>
      <c r="F44" s="3"/>
    </row>
    <row r="45" spans="1:11" ht="18.75" x14ac:dyDescent="0.25">
      <c r="B45" s="3"/>
      <c r="C45" s="17"/>
      <c r="D45" s="19"/>
      <c r="E45" s="19"/>
      <c r="F45" s="3"/>
    </row>
    <row r="46" spans="1:11" ht="18.75" x14ac:dyDescent="0.25">
      <c r="B46" s="3"/>
      <c r="C46" s="17"/>
      <c r="D46" s="19"/>
      <c r="E46" s="19"/>
      <c r="F46" s="3"/>
    </row>
    <row r="47" spans="1:11" ht="18.75" x14ac:dyDescent="0.25">
      <c r="B47" s="3"/>
      <c r="C47" s="17"/>
      <c r="D47" s="19"/>
      <c r="E47" s="19"/>
      <c r="F47" s="3"/>
    </row>
    <row r="48" spans="1:11" ht="18.75" x14ac:dyDescent="0.25">
      <c r="B48" s="3"/>
      <c r="C48" s="17"/>
      <c r="D48" s="19"/>
      <c r="E48" s="19"/>
      <c r="F48" s="3"/>
    </row>
    <row r="49" spans="2:6" ht="15" customHeight="1" x14ac:dyDescent="0.25">
      <c r="B49" s="3"/>
      <c r="C49" s="12"/>
      <c r="D49" s="3"/>
      <c r="E49" s="3"/>
      <c r="F49" s="3"/>
    </row>
    <row r="50" spans="2:6" ht="15" customHeight="1" x14ac:dyDescent="0.25">
      <c r="B50" s="3"/>
      <c r="C50" s="111"/>
      <c r="D50" s="3"/>
      <c r="E50" s="3"/>
      <c r="F50" s="3"/>
    </row>
    <row r="51" spans="2:6" x14ac:dyDescent="0.25">
      <c r="B51" s="3"/>
      <c r="C51" s="111"/>
      <c r="D51" s="3"/>
      <c r="E51" s="3"/>
      <c r="F51" s="3"/>
    </row>
    <row r="111" spans="1:7" s="7" customFormat="1" ht="17.45" customHeight="1" x14ac:dyDescent="0.25">
      <c r="A111" s="1"/>
      <c r="B111" s="2"/>
      <c r="C111" s="2"/>
      <c r="D111" s="2"/>
      <c r="E111" s="2"/>
      <c r="F111" s="2"/>
      <c r="G111" s="8"/>
    </row>
  </sheetData>
  <mergeCells count="14">
    <mergeCell ref="C50:C51"/>
    <mergeCell ref="C23:F24"/>
    <mergeCell ref="C30:E31"/>
    <mergeCell ref="C34:C35"/>
    <mergeCell ref="D34:E35"/>
    <mergeCell ref="C37:C38"/>
    <mergeCell ref="D37:E38"/>
    <mergeCell ref="C40:C41"/>
    <mergeCell ref="C28:E29"/>
    <mergeCell ref="C12:E15"/>
    <mergeCell ref="C17:E18"/>
    <mergeCell ref="C19:F19"/>
    <mergeCell ref="C20:F20"/>
    <mergeCell ref="C26:F27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86F81-26D4-4934-8A6C-FE7CDF986039}">
  <sheetPr>
    <tabColor theme="7"/>
  </sheetPr>
  <dimension ref="A10:N111"/>
  <sheetViews>
    <sheetView showGridLines="0" zoomScale="85" zoomScaleNormal="85" workbookViewId="0">
      <selection activeCell="C3" sqref="C3"/>
    </sheetView>
  </sheetViews>
  <sheetFormatPr baseColWidth="10" defaultColWidth="9.140625" defaultRowHeight="15" x14ac:dyDescent="0.25"/>
  <cols>
    <col min="1" max="1" width="3.28515625" style="1" customWidth="1"/>
    <col min="2" max="2" width="3.28515625" style="2" customWidth="1"/>
    <col min="3" max="3" width="7.5703125" style="2" customWidth="1"/>
    <col min="4" max="4" width="16" style="2" customWidth="1"/>
    <col min="5" max="5" width="56.5703125" style="2" customWidth="1"/>
    <col min="6" max="6" width="9.7109375" style="2" customWidth="1"/>
    <col min="7" max="7" width="8.85546875" style="8" customWidth="1"/>
    <col min="8" max="16384" width="9.140625" style="8"/>
  </cols>
  <sheetData>
    <row r="10" spans="2:6" ht="15.75" customHeight="1" x14ac:dyDescent="0.25"/>
    <row r="11" spans="2:6" x14ac:dyDescent="0.25">
      <c r="B11" s="3"/>
      <c r="C11" s="3"/>
      <c r="D11" s="3"/>
      <c r="E11" s="3"/>
      <c r="F11" s="3"/>
    </row>
    <row r="12" spans="2:6" ht="33" customHeight="1" x14ac:dyDescent="0.25">
      <c r="B12" s="3"/>
      <c r="C12" s="109" t="s">
        <v>154</v>
      </c>
      <c r="D12" s="109"/>
      <c r="E12" s="109"/>
      <c r="F12" s="3"/>
    </row>
    <row r="13" spans="2:6" ht="15" customHeight="1" x14ac:dyDescent="0.25">
      <c r="B13" s="3"/>
      <c r="C13" s="109"/>
      <c r="D13" s="109"/>
      <c r="E13" s="109"/>
      <c r="F13" s="3"/>
    </row>
    <row r="14" spans="2:6" x14ac:dyDescent="0.25">
      <c r="B14" s="3"/>
      <c r="C14" s="109"/>
      <c r="D14" s="109"/>
      <c r="E14" s="109"/>
      <c r="F14" s="3"/>
    </row>
    <row r="15" spans="2:6" x14ac:dyDescent="0.25">
      <c r="B15" s="3"/>
      <c r="C15" s="109"/>
      <c r="D15" s="109"/>
      <c r="E15" s="109"/>
      <c r="F15" s="3"/>
    </row>
    <row r="16" spans="2:6" ht="15" customHeight="1" x14ac:dyDescent="0.25">
      <c r="B16" s="3"/>
      <c r="C16" s="3"/>
      <c r="D16" s="3"/>
      <c r="E16" s="3"/>
      <c r="F16" s="3"/>
    </row>
    <row r="17" spans="1:14" ht="17.25" customHeight="1" x14ac:dyDescent="0.25">
      <c r="B17" s="3"/>
      <c r="C17" s="110" t="s">
        <v>0</v>
      </c>
      <c r="D17" s="110"/>
      <c r="E17" s="110"/>
      <c r="F17" s="3"/>
    </row>
    <row r="18" spans="1:14" ht="15" customHeight="1" x14ac:dyDescent="0.25">
      <c r="B18" s="3"/>
      <c r="C18" s="110"/>
      <c r="D18" s="110"/>
      <c r="E18" s="110"/>
      <c r="F18" s="3"/>
      <c r="J18" s="8" t="s">
        <v>58</v>
      </c>
      <c r="K18" s="68" t="s">
        <v>144</v>
      </c>
      <c r="L18" s="122" t="s">
        <v>145</v>
      </c>
      <c r="M18" s="122"/>
      <c r="N18" s="69" t="s">
        <v>146</v>
      </c>
    </row>
    <row r="19" spans="1:14" x14ac:dyDescent="0.25">
      <c r="B19" s="3"/>
      <c r="C19" s="121" t="s">
        <v>153</v>
      </c>
      <c r="D19" s="121"/>
      <c r="E19" s="121"/>
      <c r="F19" s="121"/>
      <c r="K19" s="70" t="s">
        <v>147</v>
      </c>
      <c r="L19" s="70">
        <v>15</v>
      </c>
      <c r="M19" s="71">
        <v>10</v>
      </c>
      <c r="N19" s="105"/>
    </row>
    <row r="20" spans="1:14" x14ac:dyDescent="0.25">
      <c r="B20" s="3"/>
      <c r="C20" s="121"/>
      <c r="D20" s="121"/>
      <c r="E20" s="121"/>
      <c r="F20" s="121"/>
      <c r="K20" s="70" t="s">
        <v>148</v>
      </c>
      <c r="L20" s="70">
        <v>20</v>
      </c>
      <c r="M20" s="71">
        <v>10</v>
      </c>
      <c r="N20" s="105"/>
    </row>
    <row r="21" spans="1:14" x14ac:dyDescent="0.25">
      <c r="B21" s="3"/>
      <c r="C21" s="10"/>
      <c r="D21" s="4"/>
      <c r="E21" s="4"/>
      <c r="F21" s="3"/>
      <c r="K21" s="70" t="s">
        <v>149</v>
      </c>
      <c r="L21" s="70">
        <v>14</v>
      </c>
      <c r="M21" s="71">
        <v>30</v>
      </c>
      <c r="N21" s="105"/>
    </row>
    <row r="22" spans="1:14" x14ac:dyDescent="0.25">
      <c r="B22" s="3"/>
      <c r="C22" s="10"/>
      <c r="D22" s="4"/>
      <c r="E22" s="4"/>
      <c r="F22" s="3"/>
      <c r="K22" s="70" t="s">
        <v>150</v>
      </c>
      <c r="L22" s="70">
        <v>20</v>
      </c>
      <c r="M22" s="71">
        <v>15</v>
      </c>
      <c r="N22" s="105"/>
    </row>
    <row r="23" spans="1:14" x14ac:dyDescent="0.25">
      <c r="B23" s="3"/>
      <c r="C23" s="121"/>
      <c r="D23" s="121"/>
      <c r="E23" s="121"/>
      <c r="F23" s="121"/>
      <c r="K23" s="70" t="s">
        <v>151</v>
      </c>
      <c r="L23" s="70">
        <v>50</v>
      </c>
      <c r="M23" s="71">
        <v>40</v>
      </c>
      <c r="N23" s="105"/>
    </row>
    <row r="24" spans="1:14" x14ac:dyDescent="0.25">
      <c r="B24" s="3"/>
      <c r="C24" s="121"/>
      <c r="D24" s="121"/>
      <c r="E24" s="121"/>
      <c r="F24" s="121"/>
      <c r="K24" s="70" t="s">
        <v>152</v>
      </c>
      <c r="L24" s="70">
        <v>10</v>
      </c>
      <c r="M24" s="71">
        <v>15</v>
      </c>
      <c r="N24" s="105"/>
    </row>
    <row r="25" spans="1:14" x14ac:dyDescent="0.25">
      <c r="B25" s="3"/>
      <c r="C25" s="10"/>
      <c r="D25" s="4"/>
      <c r="E25" s="4"/>
      <c r="F25" s="3"/>
    </row>
    <row r="26" spans="1:14" x14ac:dyDescent="0.25">
      <c r="B26" s="3"/>
      <c r="C26" s="121"/>
      <c r="D26" s="121"/>
      <c r="E26" s="121"/>
      <c r="F26" s="121"/>
    </row>
    <row r="27" spans="1:14" x14ac:dyDescent="0.25">
      <c r="B27" s="3"/>
      <c r="C27" s="121"/>
      <c r="D27" s="121"/>
      <c r="E27" s="121"/>
      <c r="F27" s="121"/>
    </row>
    <row r="28" spans="1:14" ht="15" customHeight="1" x14ac:dyDescent="0.25">
      <c r="B28" s="3"/>
      <c r="C28" s="110"/>
      <c r="D28" s="110"/>
      <c r="E28" s="110"/>
      <c r="F28" s="3"/>
    </row>
    <row r="29" spans="1:14" ht="15" customHeight="1" x14ac:dyDescent="0.25">
      <c r="A29" s="5"/>
      <c r="B29" s="3"/>
      <c r="C29" s="110"/>
      <c r="D29" s="110"/>
      <c r="E29" s="110"/>
      <c r="F29" s="3"/>
    </row>
    <row r="30" spans="1:14" ht="15" customHeight="1" x14ac:dyDescent="0.25">
      <c r="B30" s="3"/>
      <c r="C30" s="112"/>
      <c r="D30" s="112"/>
      <c r="E30" s="112"/>
      <c r="F30" s="3"/>
    </row>
    <row r="31" spans="1:14" x14ac:dyDescent="0.25">
      <c r="B31" s="3"/>
      <c r="C31" s="112"/>
      <c r="D31" s="112"/>
      <c r="E31" s="112"/>
      <c r="F31" s="3"/>
    </row>
    <row r="32" spans="1:14" x14ac:dyDescent="0.25">
      <c r="B32" s="3"/>
      <c r="C32" s="18"/>
      <c r="D32" s="18"/>
      <c r="E32" s="18"/>
      <c r="F32" s="3"/>
    </row>
    <row r="33" spans="1:6" x14ac:dyDescent="0.25">
      <c r="B33" s="3"/>
      <c r="C33" s="3"/>
      <c r="D33" s="3"/>
      <c r="E33" s="3"/>
      <c r="F33" s="3"/>
    </row>
    <row r="34" spans="1:6" x14ac:dyDescent="0.25">
      <c r="A34" s="6"/>
      <c r="B34" s="3"/>
      <c r="C34" s="111"/>
      <c r="D34" s="113"/>
      <c r="E34" s="113"/>
      <c r="F34" s="3"/>
    </row>
    <row r="35" spans="1:6" x14ac:dyDescent="0.25">
      <c r="B35" s="3"/>
      <c r="C35" s="111"/>
      <c r="D35" s="113"/>
      <c r="E35" s="113"/>
      <c r="F35" s="3"/>
    </row>
    <row r="36" spans="1:6" ht="15" customHeight="1" x14ac:dyDescent="0.25">
      <c r="A36" s="5"/>
      <c r="B36" s="3"/>
      <c r="C36" s="3"/>
      <c r="D36" s="3"/>
      <c r="E36" s="3"/>
      <c r="F36" s="3"/>
    </row>
    <row r="37" spans="1:6" x14ac:dyDescent="0.25">
      <c r="B37" s="3"/>
      <c r="C37" s="111"/>
      <c r="D37" s="114"/>
      <c r="E37" s="115"/>
      <c r="F37" s="3"/>
    </row>
    <row r="38" spans="1:6" x14ac:dyDescent="0.25">
      <c r="B38" s="3"/>
      <c r="C38" s="111"/>
      <c r="D38" s="115"/>
      <c r="E38" s="115"/>
      <c r="F38" s="3"/>
    </row>
    <row r="39" spans="1:6" ht="18.75" x14ac:dyDescent="0.25">
      <c r="B39" s="3"/>
      <c r="C39" s="17"/>
      <c r="D39" s="19"/>
      <c r="E39" s="19"/>
      <c r="F39" s="3"/>
    </row>
    <row r="40" spans="1:6" x14ac:dyDescent="0.25">
      <c r="B40" s="3"/>
      <c r="C40" s="111"/>
      <c r="D40" s="19"/>
      <c r="E40" s="19"/>
      <c r="F40" s="3"/>
    </row>
    <row r="41" spans="1:6" x14ac:dyDescent="0.25">
      <c r="B41" s="3"/>
      <c r="C41" s="111"/>
      <c r="D41" s="19"/>
      <c r="E41" s="19"/>
      <c r="F41" s="3"/>
    </row>
    <row r="42" spans="1:6" ht="18.75" x14ac:dyDescent="0.25">
      <c r="B42" s="3"/>
      <c r="C42" s="17"/>
      <c r="D42" s="19"/>
      <c r="E42" s="19"/>
      <c r="F42" s="3"/>
    </row>
    <row r="43" spans="1:6" ht="18.75" x14ac:dyDescent="0.25">
      <c r="B43" s="3"/>
      <c r="C43" s="17"/>
      <c r="D43" s="19"/>
      <c r="E43" s="19"/>
      <c r="F43" s="3"/>
    </row>
    <row r="44" spans="1:6" ht="18.75" x14ac:dyDescent="0.25">
      <c r="B44" s="3"/>
      <c r="C44" s="17"/>
      <c r="D44" s="19"/>
      <c r="E44" s="19"/>
      <c r="F44" s="3"/>
    </row>
    <row r="45" spans="1:6" ht="18.75" x14ac:dyDescent="0.25">
      <c r="B45" s="3"/>
      <c r="C45" s="17"/>
      <c r="D45" s="19"/>
      <c r="E45" s="19"/>
      <c r="F45" s="3"/>
    </row>
    <row r="46" spans="1:6" ht="18.75" x14ac:dyDescent="0.25">
      <c r="B46" s="3"/>
      <c r="C46" s="17"/>
      <c r="D46" s="19"/>
      <c r="E46" s="19"/>
      <c r="F46" s="3"/>
    </row>
    <row r="47" spans="1:6" ht="18.75" x14ac:dyDescent="0.25">
      <c r="B47" s="3"/>
      <c r="C47" s="17"/>
      <c r="D47" s="19"/>
      <c r="E47" s="19"/>
      <c r="F47" s="3"/>
    </row>
    <row r="48" spans="1:6" ht="18.75" x14ac:dyDescent="0.25">
      <c r="B48" s="3"/>
      <c r="C48" s="17"/>
      <c r="D48" s="19"/>
      <c r="E48" s="19"/>
      <c r="F48" s="3"/>
    </row>
    <row r="49" spans="2:6" ht="15" customHeight="1" x14ac:dyDescent="0.25">
      <c r="B49" s="3"/>
      <c r="C49" s="12"/>
      <c r="D49" s="3"/>
      <c r="E49" s="3"/>
      <c r="F49" s="3"/>
    </row>
    <row r="50" spans="2:6" ht="15" customHeight="1" x14ac:dyDescent="0.25">
      <c r="B50" s="3"/>
      <c r="C50" s="111"/>
      <c r="D50" s="3"/>
      <c r="E50" s="3"/>
      <c r="F50" s="3"/>
    </row>
    <row r="51" spans="2:6" x14ac:dyDescent="0.25">
      <c r="B51" s="3"/>
      <c r="C51" s="111"/>
      <c r="D51" s="3"/>
      <c r="E51" s="3"/>
      <c r="F51" s="3"/>
    </row>
    <row r="111" spans="1:7" s="7" customFormat="1" ht="17.45" customHeight="1" x14ac:dyDescent="0.25">
      <c r="A111" s="1"/>
      <c r="B111" s="2"/>
      <c r="C111" s="2"/>
      <c r="D111" s="2"/>
      <c r="E111" s="2"/>
      <c r="F111" s="2"/>
      <c r="G111" s="8"/>
    </row>
  </sheetData>
  <mergeCells count="15">
    <mergeCell ref="C40:C41"/>
    <mergeCell ref="C50:C51"/>
    <mergeCell ref="L18:M18"/>
    <mergeCell ref="C28:E29"/>
    <mergeCell ref="C30:E31"/>
    <mergeCell ref="C34:C35"/>
    <mergeCell ref="D34:E35"/>
    <mergeCell ref="C37:C38"/>
    <mergeCell ref="D37:E38"/>
    <mergeCell ref="C26:F27"/>
    <mergeCell ref="C12:E15"/>
    <mergeCell ref="C17:E18"/>
    <mergeCell ref="C19:F19"/>
    <mergeCell ref="C20:F20"/>
    <mergeCell ref="C23:F24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E60F5-C257-4107-BD1C-65FE36BD37FE}">
  <sheetPr>
    <tabColor theme="7"/>
  </sheetPr>
  <dimension ref="A10:M111"/>
  <sheetViews>
    <sheetView showGridLines="0" zoomScale="80" zoomScaleNormal="80" workbookViewId="0">
      <selection activeCell="D3" sqref="D3"/>
    </sheetView>
  </sheetViews>
  <sheetFormatPr baseColWidth="10" defaultColWidth="9.140625" defaultRowHeight="15" x14ac:dyDescent="0.25"/>
  <cols>
    <col min="1" max="1" width="3.28515625" style="1" customWidth="1"/>
    <col min="2" max="2" width="3.28515625" style="2" customWidth="1"/>
    <col min="3" max="3" width="7.5703125" style="2" customWidth="1"/>
    <col min="4" max="4" width="16" style="2" customWidth="1"/>
    <col min="5" max="5" width="56.5703125" style="2" customWidth="1"/>
    <col min="6" max="6" width="9.7109375" style="2" customWidth="1"/>
    <col min="7" max="7" width="8.85546875" style="8" customWidth="1"/>
    <col min="8" max="10" width="9.140625" style="8"/>
    <col min="11" max="11" width="15.85546875" style="8" bestFit="1" customWidth="1"/>
    <col min="12" max="12" width="21" style="8" bestFit="1" customWidth="1"/>
    <col min="13" max="13" width="18.7109375" style="8" customWidth="1"/>
    <col min="14" max="16384" width="9.140625" style="8"/>
  </cols>
  <sheetData>
    <row r="10" spans="2:6" ht="15.75" customHeight="1" x14ac:dyDescent="0.25"/>
    <row r="11" spans="2:6" x14ac:dyDescent="0.25">
      <c r="B11" s="3"/>
      <c r="C11" s="3"/>
      <c r="D11" s="3"/>
      <c r="E11" s="3"/>
      <c r="F11" s="3"/>
    </row>
    <row r="12" spans="2:6" ht="33" customHeight="1" x14ac:dyDescent="0.25">
      <c r="B12" s="3"/>
      <c r="C12" s="109" t="s">
        <v>164</v>
      </c>
      <c r="D12" s="109"/>
      <c r="E12" s="109"/>
      <c r="F12" s="3"/>
    </row>
    <row r="13" spans="2:6" ht="15" customHeight="1" x14ac:dyDescent="0.25">
      <c r="B13" s="3"/>
      <c r="C13" s="109"/>
      <c r="D13" s="109"/>
      <c r="E13" s="109"/>
      <c r="F13" s="3"/>
    </row>
    <row r="14" spans="2:6" x14ac:dyDescent="0.25">
      <c r="B14" s="3"/>
      <c r="C14" s="109"/>
      <c r="D14" s="109"/>
      <c r="E14" s="109"/>
      <c r="F14" s="3"/>
    </row>
    <row r="15" spans="2:6" x14ac:dyDescent="0.25">
      <c r="B15" s="3"/>
      <c r="C15" s="109"/>
      <c r="D15" s="109"/>
      <c r="E15" s="109"/>
      <c r="F15" s="3"/>
    </row>
    <row r="16" spans="2:6" ht="15" customHeight="1" x14ac:dyDescent="0.25">
      <c r="B16" s="3"/>
      <c r="C16" s="3"/>
      <c r="D16" s="3"/>
      <c r="E16" s="3"/>
      <c r="F16" s="3"/>
    </row>
    <row r="17" spans="1:13" ht="17.25" customHeight="1" x14ac:dyDescent="0.25">
      <c r="B17" s="3"/>
      <c r="C17" s="110" t="s">
        <v>0</v>
      </c>
      <c r="D17" s="110"/>
      <c r="E17" s="110"/>
      <c r="F17" s="3"/>
    </row>
    <row r="18" spans="1:13" ht="15" customHeight="1" x14ac:dyDescent="0.25">
      <c r="B18" s="3"/>
      <c r="C18" s="110"/>
      <c r="D18" s="110"/>
      <c r="E18" s="110"/>
      <c r="F18" s="3"/>
      <c r="J18" s="8" t="s">
        <v>58</v>
      </c>
      <c r="K18" s="72" t="s">
        <v>155</v>
      </c>
      <c r="L18" s="72" t="s">
        <v>156</v>
      </c>
      <c r="M18" s="72" t="s">
        <v>146</v>
      </c>
    </row>
    <row r="19" spans="1:13" x14ac:dyDescent="0.25">
      <c r="B19" s="3"/>
      <c r="C19" s="121" t="s">
        <v>163</v>
      </c>
      <c r="D19" s="121"/>
      <c r="E19" s="121"/>
      <c r="F19" s="121"/>
      <c r="K19" s="73" t="s">
        <v>157</v>
      </c>
      <c r="L19" s="74" t="s">
        <v>264</v>
      </c>
      <c r="M19" s="106"/>
    </row>
    <row r="20" spans="1:13" x14ac:dyDescent="0.25">
      <c r="B20" s="3"/>
      <c r="C20" s="121"/>
      <c r="D20" s="121"/>
      <c r="E20" s="121"/>
      <c r="F20" s="121"/>
      <c r="K20" s="73" t="s">
        <v>158</v>
      </c>
      <c r="L20" s="74" t="s">
        <v>264</v>
      </c>
      <c r="M20" s="106"/>
    </row>
    <row r="21" spans="1:13" x14ac:dyDescent="0.25">
      <c r="B21" s="3"/>
      <c r="C21" s="10"/>
      <c r="D21" s="4"/>
      <c r="E21" s="4"/>
      <c r="F21" s="3"/>
      <c r="K21" s="73" t="s">
        <v>159</v>
      </c>
      <c r="L21" s="74" t="s">
        <v>264</v>
      </c>
      <c r="M21" s="106"/>
    </row>
    <row r="22" spans="1:13" x14ac:dyDescent="0.25">
      <c r="B22" s="3"/>
      <c r="C22" s="10"/>
      <c r="D22" s="4"/>
      <c r="E22" s="4"/>
      <c r="F22" s="3"/>
      <c r="K22" s="73" t="s">
        <v>160</v>
      </c>
      <c r="L22" s="74" t="s">
        <v>264</v>
      </c>
      <c r="M22" s="106"/>
    </row>
    <row r="23" spans="1:13" x14ac:dyDescent="0.25">
      <c r="B23" s="3"/>
      <c r="C23" s="121"/>
      <c r="D23" s="121"/>
      <c r="E23" s="121"/>
      <c r="F23" s="121"/>
      <c r="K23" s="73" t="s">
        <v>161</v>
      </c>
      <c r="L23" s="74" t="s">
        <v>264</v>
      </c>
      <c r="M23" s="106"/>
    </row>
    <row r="24" spans="1:13" x14ac:dyDescent="0.25">
      <c r="B24" s="3"/>
      <c r="C24" s="121"/>
      <c r="D24" s="121"/>
      <c r="E24" s="121"/>
      <c r="F24" s="121"/>
      <c r="K24" s="73" t="s">
        <v>162</v>
      </c>
      <c r="L24" s="74" t="s">
        <v>264</v>
      </c>
      <c r="M24" s="106"/>
    </row>
    <row r="25" spans="1:13" x14ac:dyDescent="0.25">
      <c r="B25" s="3"/>
      <c r="C25" s="10"/>
      <c r="D25" s="4"/>
      <c r="E25" s="4"/>
      <c r="F25" s="3"/>
    </row>
    <row r="26" spans="1:13" x14ac:dyDescent="0.25">
      <c r="B26" s="3"/>
      <c r="C26" s="121"/>
      <c r="D26" s="121"/>
      <c r="E26" s="121"/>
      <c r="F26" s="121"/>
    </row>
    <row r="27" spans="1:13" x14ac:dyDescent="0.25">
      <c r="B27" s="3"/>
      <c r="C27" s="121"/>
      <c r="D27" s="121"/>
      <c r="E27" s="121"/>
      <c r="F27" s="121"/>
    </row>
    <row r="28" spans="1:13" ht="15" customHeight="1" x14ac:dyDescent="0.25">
      <c r="B28" s="3"/>
      <c r="C28" s="110"/>
      <c r="D28" s="110"/>
      <c r="E28" s="110"/>
      <c r="F28" s="3"/>
    </row>
    <row r="29" spans="1:13" ht="15" customHeight="1" x14ac:dyDescent="0.25">
      <c r="A29" s="5"/>
      <c r="B29" s="3"/>
      <c r="C29" s="110"/>
      <c r="D29" s="110"/>
      <c r="E29" s="110"/>
      <c r="F29" s="3"/>
    </row>
    <row r="30" spans="1:13" ht="15" customHeight="1" x14ac:dyDescent="0.25">
      <c r="B30" s="3"/>
      <c r="C30" s="112"/>
      <c r="D30" s="112"/>
      <c r="E30" s="112"/>
      <c r="F30" s="3"/>
    </row>
    <row r="31" spans="1:13" x14ac:dyDescent="0.25">
      <c r="B31" s="3"/>
      <c r="C31" s="112"/>
      <c r="D31" s="112"/>
      <c r="E31" s="112"/>
      <c r="F31" s="3"/>
    </row>
    <row r="32" spans="1:13" x14ac:dyDescent="0.25">
      <c r="B32" s="3"/>
      <c r="C32" s="18"/>
      <c r="D32" s="18"/>
      <c r="E32" s="18"/>
      <c r="F32" s="3"/>
    </row>
    <row r="33" spans="1:6" x14ac:dyDescent="0.25">
      <c r="B33" s="3"/>
      <c r="C33" s="3"/>
      <c r="D33" s="3"/>
      <c r="E33" s="3"/>
      <c r="F33" s="3"/>
    </row>
    <row r="34" spans="1:6" x14ac:dyDescent="0.25">
      <c r="A34" s="6"/>
      <c r="B34" s="3"/>
      <c r="C34" s="111"/>
      <c r="D34" s="113"/>
      <c r="E34" s="113"/>
      <c r="F34" s="3"/>
    </row>
    <row r="35" spans="1:6" x14ac:dyDescent="0.25">
      <c r="B35" s="3"/>
      <c r="C35" s="111"/>
      <c r="D35" s="113"/>
      <c r="E35" s="113"/>
      <c r="F35" s="3"/>
    </row>
    <row r="36" spans="1:6" ht="15" customHeight="1" x14ac:dyDescent="0.25">
      <c r="A36" s="5"/>
      <c r="B36" s="3"/>
      <c r="C36" s="3"/>
      <c r="D36" s="3"/>
      <c r="E36" s="3"/>
      <c r="F36" s="3"/>
    </row>
    <row r="37" spans="1:6" x14ac:dyDescent="0.25">
      <c r="B37" s="3"/>
      <c r="C37" s="111"/>
      <c r="D37" s="114"/>
      <c r="E37" s="115"/>
      <c r="F37" s="3"/>
    </row>
    <row r="38" spans="1:6" x14ac:dyDescent="0.25">
      <c r="B38" s="3"/>
      <c r="C38" s="111"/>
      <c r="D38" s="115"/>
      <c r="E38" s="115"/>
      <c r="F38" s="3"/>
    </row>
    <row r="39" spans="1:6" ht="18.75" x14ac:dyDescent="0.25">
      <c r="B39" s="3"/>
      <c r="C39" s="17"/>
      <c r="D39" s="19"/>
      <c r="E39" s="19"/>
      <c r="F39" s="3"/>
    </row>
    <row r="40" spans="1:6" x14ac:dyDescent="0.25">
      <c r="B40" s="3"/>
      <c r="C40" s="111"/>
      <c r="D40" s="19"/>
      <c r="E40" s="19"/>
      <c r="F40" s="3"/>
    </row>
    <row r="41" spans="1:6" x14ac:dyDescent="0.25">
      <c r="B41" s="3"/>
      <c r="C41" s="111"/>
      <c r="D41" s="19"/>
      <c r="E41" s="19"/>
      <c r="F41" s="3"/>
    </row>
    <row r="42" spans="1:6" ht="18.75" x14ac:dyDescent="0.25">
      <c r="B42" s="3"/>
      <c r="C42" s="17"/>
      <c r="D42" s="19"/>
      <c r="E42" s="19"/>
      <c r="F42" s="3"/>
    </row>
    <row r="43" spans="1:6" ht="18.75" x14ac:dyDescent="0.25">
      <c r="B43" s="3"/>
      <c r="C43" s="17"/>
      <c r="D43" s="19"/>
      <c r="E43" s="19"/>
      <c r="F43" s="3"/>
    </row>
    <row r="44" spans="1:6" ht="18.75" x14ac:dyDescent="0.25">
      <c r="B44" s="3"/>
      <c r="C44" s="17"/>
      <c r="D44" s="19"/>
      <c r="E44" s="19"/>
      <c r="F44" s="3"/>
    </row>
    <row r="45" spans="1:6" ht="18.75" x14ac:dyDescent="0.25">
      <c r="B45" s="3"/>
      <c r="C45" s="17"/>
      <c r="D45" s="19"/>
      <c r="E45" s="19"/>
      <c r="F45" s="3"/>
    </row>
    <row r="46" spans="1:6" ht="18.75" x14ac:dyDescent="0.25">
      <c r="B46" s="3"/>
      <c r="C46" s="17"/>
      <c r="D46" s="19"/>
      <c r="E46" s="19"/>
      <c r="F46" s="3"/>
    </row>
    <row r="47" spans="1:6" ht="18.75" x14ac:dyDescent="0.25">
      <c r="B47" s="3"/>
      <c r="C47" s="17"/>
      <c r="D47" s="19"/>
      <c r="E47" s="19"/>
      <c r="F47" s="3"/>
    </row>
    <row r="48" spans="1:6" ht="18.75" x14ac:dyDescent="0.25">
      <c r="B48" s="3"/>
      <c r="C48" s="17"/>
      <c r="D48" s="19"/>
      <c r="E48" s="19"/>
      <c r="F48" s="3"/>
    </row>
    <row r="49" spans="2:6" ht="15" customHeight="1" x14ac:dyDescent="0.25">
      <c r="B49" s="3"/>
      <c r="C49" s="12"/>
      <c r="D49" s="3"/>
      <c r="E49" s="3"/>
      <c r="F49" s="3"/>
    </row>
    <row r="50" spans="2:6" ht="15" customHeight="1" x14ac:dyDescent="0.25">
      <c r="B50" s="3"/>
      <c r="C50" s="111"/>
      <c r="D50" s="3"/>
      <c r="E50" s="3"/>
      <c r="F50" s="3"/>
    </row>
    <row r="51" spans="2:6" x14ac:dyDescent="0.25">
      <c r="B51" s="3"/>
      <c r="C51" s="111"/>
      <c r="D51" s="3"/>
      <c r="E51" s="3"/>
      <c r="F51" s="3"/>
    </row>
    <row r="111" spans="1:7" s="7" customFormat="1" ht="17.45" customHeight="1" x14ac:dyDescent="0.25">
      <c r="A111" s="1"/>
      <c r="B111" s="2"/>
      <c r="C111" s="2"/>
      <c r="D111" s="2"/>
      <c r="E111" s="2"/>
      <c r="F111" s="2"/>
      <c r="G111" s="8"/>
    </row>
  </sheetData>
  <mergeCells count="14">
    <mergeCell ref="C40:C41"/>
    <mergeCell ref="C50:C51"/>
    <mergeCell ref="C26:F27"/>
    <mergeCell ref="C28:E29"/>
    <mergeCell ref="C30:E31"/>
    <mergeCell ref="C34:C35"/>
    <mergeCell ref="D34:E35"/>
    <mergeCell ref="C37:C38"/>
    <mergeCell ref="D37:E38"/>
    <mergeCell ref="C12:E15"/>
    <mergeCell ref="C17:E18"/>
    <mergeCell ref="C19:F19"/>
    <mergeCell ref="C20:F20"/>
    <mergeCell ref="C23:F24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0649F-73BB-4804-B803-B647AC6D3EF6}">
  <sheetPr>
    <tabColor theme="7"/>
  </sheetPr>
  <dimension ref="A10:U111"/>
  <sheetViews>
    <sheetView showGridLines="0" zoomScale="91" zoomScaleNormal="91" workbookViewId="0">
      <selection activeCell="C3" sqref="C3"/>
    </sheetView>
  </sheetViews>
  <sheetFormatPr baseColWidth="10" defaultColWidth="9.140625" defaultRowHeight="15" x14ac:dyDescent="0.25"/>
  <cols>
    <col min="1" max="1" width="3.28515625" style="1" customWidth="1"/>
    <col min="2" max="2" width="3.28515625" style="2" customWidth="1"/>
    <col min="3" max="3" width="7.5703125" style="2" customWidth="1"/>
    <col min="4" max="4" width="16" style="2" customWidth="1"/>
    <col min="5" max="5" width="56.5703125" style="2" customWidth="1"/>
    <col min="6" max="6" width="9.7109375" style="2" customWidth="1"/>
    <col min="7" max="7" width="8.85546875" style="8" customWidth="1"/>
    <col min="8" max="10" width="9.140625" style="8"/>
    <col min="11" max="11" width="13.42578125" style="8" bestFit="1" customWidth="1"/>
    <col min="12" max="12" width="13.85546875" style="8" customWidth="1"/>
    <col min="13" max="13" width="13.5703125" style="8" customWidth="1"/>
    <col min="14" max="14" width="15.28515625" style="8" customWidth="1"/>
    <col min="15" max="15" width="15.140625" style="8" customWidth="1"/>
    <col min="16" max="16" width="14.85546875" style="8" customWidth="1"/>
    <col min="17" max="17" width="14.5703125" style="8" customWidth="1"/>
    <col min="18" max="19" width="9.140625" style="8"/>
    <col min="20" max="20" width="12.5703125" style="8" customWidth="1"/>
    <col min="21" max="21" width="12.7109375" style="8" customWidth="1"/>
    <col min="22" max="16384" width="9.140625" style="8"/>
  </cols>
  <sheetData>
    <row r="10" spans="2:6" ht="15.75" customHeight="1" x14ac:dyDescent="0.25"/>
    <row r="11" spans="2:6" x14ac:dyDescent="0.25">
      <c r="B11" s="3"/>
      <c r="C11" s="3"/>
      <c r="D11" s="3"/>
      <c r="E11" s="3"/>
      <c r="F11" s="3"/>
    </row>
    <row r="12" spans="2:6" ht="33" customHeight="1" x14ac:dyDescent="0.25">
      <c r="B12" s="3"/>
      <c r="C12" s="109" t="s">
        <v>165</v>
      </c>
      <c r="D12" s="109"/>
      <c r="E12" s="109"/>
      <c r="F12" s="3"/>
    </row>
    <row r="13" spans="2:6" ht="15" customHeight="1" x14ac:dyDescent="0.25">
      <c r="B13" s="3"/>
      <c r="C13" s="109"/>
      <c r="D13" s="109"/>
      <c r="E13" s="109"/>
      <c r="F13" s="3"/>
    </row>
    <row r="14" spans="2:6" x14ac:dyDescent="0.25">
      <c r="B14" s="3"/>
      <c r="C14" s="109"/>
      <c r="D14" s="109"/>
      <c r="E14" s="109"/>
      <c r="F14" s="3"/>
    </row>
    <row r="15" spans="2:6" x14ac:dyDescent="0.25">
      <c r="B15" s="3"/>
      <c r="C15" s="109"/>
      <c r="D15" s="109"/>
      <c r="E15" s="109"/>
      <c r="F15" s="3"/>
    </row>
    <row r="16" spans="2:6" ht="15" customHeight="1" x14ac:dyDescent="0.25">
      <c r="B16" s="3"/>
      <c r="C16" s="3"/>
      <c r="D16" s="3"/>
      <c r="E16" s="3"/>
      <c r="F16" s="3"/>
    </row>
    <row r="17" spans="1:21" ht="17.25" customHeight="1" x14ac:dyDescent="0.25">
      <c r="B17" s="3"/>
      <c r="C17" s="110" t="s">
        <v>0</v>
      </c>
      <c r="D17" s="110"/>
      <c r="E17" s="110"/>
      <c r="F17" s="3"/>
    </row>
    <row r="18" spans="1:21" ht="28.5" customHeight="1" x14ac:dyDescent="0.25">
      <c r="B18" s="3"/>
      <c r="C18" s="110"/>
      <c r="D18" s="110"/>
      <c r="E18" s="110"/>
      <c r="F18" s="3"/>
      <c r="K18" s="65" t="s">
        <v>166</v>
      </c>
      <c r="L18" s="65" t="s">
        <v>167</v>
      </c>
      <c r="M18" s="65" t="s">
        <v>168</v>
      </c>
      <c r="N18" s="65" t="s">
        <v>169</v>
      </c>
      <c r="O18" s="65" t="s">
        <v>170</v>
      </c>
      <c r="P18" s="65" t="s">
        <v>171</v>
      </c>
      <c r="Q18" s="65" t="s">
        <v>172</v>
      </c>
      <c r="R18" s="65" t="s">
        <v>173</v>
      </c>
      <c r="S18" s="65" t="s">
        <v>174</v>
      </c>
      <c r="T18" s="65" t="s">
        <v>175</v>
      </c>
      <c r="U18" s="65" t="s">
        <v>176</v>
      </c>
    </row>
    <row r="19" spans="1:21" x14ac:dyDescent="0.25">
      <c r="B19" s="3"/>
      <c r="C19" s="121" t="s">
        <v>184</v>
      </c>
      <c r="D19" s="121"/>
      <c r="E19" s="121"/>
      <c r="F19" s="121"/>
      <c r="K19" s="75" t="s">
        <v>177</v>
      </c>
      <c r="L19" s="76">
        <v>64848</v>
      </c>
      <c r="M19" s="77">
        <v>250000</v>
      </c>
      <c r="N19" s="78"/>
      <c r="O19" s="78"/>
      <c r="P19" s="78"/>
      <c r="Q19" s="78"/>
      <c r="R19" s="78"/>
      <c r="S19" s="78"/>
      <c r="T19" s="78"/>
      <c r="U19" s="78"/>
    </row>
    <row r="20" spans="1:21" x14ac:dyDescent="0.25">
      <c r="B20" s="3"/>
      <c r="C20" s="121" t="s">
        <v>185</v>
      </c>
      <c r="D20" s="121"/>
      <c r="E20" s="121"/>
      <c r="F20" s="121"/>
      <c r="K20" s="75" t="s">
        <v>178</v>
      </c>
      <c r="L20" s="76">
        <v>84620</v>
      </c>
      <c r="M20" s="77">
        <v>160000</v>
      </c>
      <c r="N20" s="78"/>
      <c r="O20" s="78"/>
      <c r="P20" s="78"/>
      <c r="Q20" s="78"/>
      <c r="R20" s="78"/>
      <c r="S20" s="78"/>
      <c r="T20" s="78"/>
      <c r="U20" s="78"/>
    </row>
    <row r="21" spans="1:21" x14ac:dyDescent="0.25">
      <c r="B21" s="3"/>
      <c r="C21" s="121" t="s">
        <v>186</v>
      </c>
      <c r="D21" s="121"/>
      <c r="E21" s="121"/>
      <c r="F21" s="121"/>
      <c r="K21" s="75" t="s">
        <v>179</v>
      </c>
      <c r="L21" s="76">
        <v>42880</v>
      </c>
      <c r="M21" s="77">
        <v>230000</v>
      </c>
      <c r="N21" s="78"/>
      <c r="O21" s="78"/>
      <c r="P21" s="78"/>
      <c r="Q21" s="78"/>
      <c r="R21" s="78"/>
      <c r="S21" s="78"/>
      <c r="T21" s="78"/>
      <c r="U21" s="78"/>
    </row>
    <row r="22" spans="1:21" x14ac:dyDescent="0.25">
      <c r="B22" s="3"/>
      <c r="C22" s="121"/>
      <c r="D22" s="121"/>
      <c r="E22" s="121"/>
      <c r="F22" s="121"/>
      <c r="K22" s="75" t="s">
        <v>180</v>
      </c>
      <c r="L22" s="76">
        <v>77217</v>
      </c>
      <c r="M22" s="77">
        <v>140000</v>
      </c>
      <c r="N22" s="78"/>
      <c r="O22" s="78"/>
      <c r="P22" s="78"/>
      <c r="Q22" s="78"/>
      <c r="R22" s="78"/>
      <c r="S22" s="78"/>
      <c r="T22" s="78"/>
      <c r="U22" s="78"/>
    </row>
    <row r="23" spans="1:21" x14ac:dyDescent="0.25">
      <c r="B23" s="3"/>
      <c r="C23" s="10" t="s">
        <v>187</v>
      </c>
      <c r="D23" s="10"/>
      <c r="E23" s="10"/>
      <c r="F23" s="10"/>
      <c r="K23" s="75" t="s">
        <v>181</v>
      </c>
      <c r="L23" s="76">
        <v>66604</v>
      </c>
      <c r="M23" s="77">
        <v>200000</v>
      </c>
      <c r="N23" s="78"/>
      <c r="O23" s="78"/>
      <c r="P23" s="78"/>
      <c r="Q23" s="78"/>
      <c r="R23" s="78"/>
      <c r="S23" s="78"/>
      <c r="T23" s="78"/>
      <c r="U23" s="78"/>
    </row>
    <row r="24" spans="1:21" x14ac:dyDescent="0.25">
      <c r="B24" s="3"/>
      <c r="C24" s="10" t="s">
        <v>188</v>
      </c>
      <c r="D24" s="10"/>
      <c r="E24" s="10"/>
      <c r="F24" s="10"/>
      <c r="K24" s="75" t="s">
        <v>182</v>
      </c>
      <c r="L24" s="76">
        <v>32990</v>
      </c>
      <c r="M24" s="77">
        <v>190000</v>
      </c>
      <c r="N24" s="78"/>
      <c r="O24" s="78"/>
      <c r="P24" s="78"/>
      <c r="Q24" s="78"/>
      <c r="R24" s="78"/>
      <c r="S24" s="78"/>
      <c r="T24" s="78"/>
      <c r="U24" s="78"/>
    </row>
    <row r="25" spans="1:21" x14ac:dyDescent="0.25">
      <c r="B25" s="3"/>
      <c r="C25" s="10" t="s">
        <v>189</v>
      </c>
      <c r="D25" s="4"/>
      <c r="E25" s="4"/>
      <c r="F25" s="3"/>
      <c r="K25" s="75" t="s">
        <v>183</v>
      </c>
      <c r="L25" s="76">
        <v>29410</v>
      </c>
      <c r="M25" s="77">
        <v>220000</v>
      </c>
      <c r="N25" s="78"/>
      <c r="O25" s="78"/>
      <c r="P25" s="78"/>
      <c r="Q25" s="78"/>
      <c r="R25" s="78"/>
      <c r="S25" s="78"/>
      <c r="T25" s="78"/>
      <c r="U25" s="78"/>
    </row>
    <row r="26" spans="1:21" x14ac:dyDescent="0.25">
      <c r="B26" s="3"/>
      <c r="C26" s="10" t="s">
        <v>190</v>
      </c>
      <c r="D26" s="10"/>
      <c r="E26" s="10"/>
      <c r="F26" s="10"/>
    </row>
    <row r="27" spans="1:21" x14ac:dyDescent="0.25">
      <c r="B27" s="3"/>
      <c r="C27" s="10" t="s">
        <v>191</v>
      </c>
      <c r="D27" s="10"/>
      <c r="E27" s="10"/>
      <c r="F27" s="10"/>
    </row>
    <row r="28" spans="1:21" ht="15" customHeight="1" x14ac:dyDescent="0.25">
      <c r="B28" s="3"/>
      <c r="C28" s="79"/>
      <c r="D28" s="79"/>
      <c r="E28" s="79"/>
      <c r="F28" s="3"/>
    </row>
    <row r="29" spans="1:21" ht="15" customHeight="1" x14ac:dyDescent="0.25">
      <c r="A29" s="5"/>
      <c r="B29" s="3"/>
      <c r="C29" s="79"/>
      <c r="D29" s="79"/>
      <c r="E29" s="79"/>
      <c r="F29" s="3"/>
    </row>
    <row r="30" spans="1:21" ht="15" customHeight="1" x14ac:dyDescent="0.25">
      <c r="B30" s="3"/>
      <c r="C30" s="112"/>
      <c r="D30" s="112"/>
      <c r="E30" s="112"/>
      <c r="F30" s="3"/>
    </row>
    <row r="31" spans="1:21" x14ac:dyDescent="0.25">
      <c r="B31" s="3"/>
      <c r="C31" s="112"/>
      <c r="D31" s="112"/>
      <c r="E31" s="112"/>
      <c r="F31" s="3"/>
    </row>
    <row r="32" spans="1:21" x14ac:dyDescent="0.25">
      <c r="B32" s="3"/>
      <c r="C32" s="18"/>
      <c r="D32" s="18"/>
      <c r="E32" s="18"/>
      <c r="F32" s="3"/>
    </row>
    <row r="33" spans="1:6" x14ac:dyDescent="0.25">
      <c r="B33" s="3"/>
      <c r="C33" s="3"/>
      <c r="D33" s="3"/>
      <c r="E33" s="3"/>
      <c r="F33" s="3"/>
    </row>
    <row r="34" spans="1:6" x14ac:dyDescent="0.25">
      <c r="A34" s="6"/>
      <c r="B34" s="3"/>
      <c r="C34" s="111"/>
      <c r="D34" s="113"/>
      <c r="E34" s="113"/>
      <c r="F34" s="3"/>
    </row>
    <row r="35" spans="1:6" x14ac:dyDescent="0.25">
      <c r="B35" s="3"/>
      <c r="C35" s="111"/>
      <c r="D35" s="113"/>
      <c r="E35" s="113"/>
      <c r="F35" s="3"/>
    </row>
    <row r="36" spans="1:6" ht="15" customHeight="1" x14ac:dyDescent="0.25">
      <c r="A36" s="5"/>
      <c r="B36" s="3"/>
      <c r="C36" s="3"/>
      <c r="D36" s="3"/>
      <c r="E36" s="3"/>
      <c r="F36" s="3"/>
    </row>
    <row r="37" spans="1:6" x14ac:dyDescent="0.25">
      <c r="B37" s="3"/>
      <c r="C37" s="111"/>
      <c r="D37" s="114"/>
      <c r="E37" s="115"/>
      <c r="F37" s="3"/>
    </row>
    <row r="38" spans="1:6" x14ac:dyDescent="0.25">
      <c r="B38" s="3"/>
      <c r="C38" s="111"/>
      <c r="D38" s="115"/>
      <c r="E38" s="115"/>
      <c r="F38" s="3"/>
    </row>
    <row r="39" spans="1:6" ht="18.75" x14ac:dyDescent="0.25">
      <c r="B39" s="3"/>
      <c r="C39" s="17"/>
      <c r="D39" s="19"/>
      <c r="E39" s="19"/>
      <c r="F39" s="3"/>
    </row>
    <row r="40" spans="1:6" x14ac:dyDescent="0.25">
      <c r="B40" s="3"/>
      <c r="C40" s="111"/>
      <c r="D40" s="19"/>
      <c r="E40" s="19"/>
      <c r="F40" s="3"/>
    </row>
    <row r="41" spans="1:6" x14ac:dyDescent="0.25">
      <c r="B41" s="3"/>
      <c r="C41" s="111"/>
      <c r="D41" s="19"/>
      <c r="E41" s="19"/>
      <c r="F41" s="3"/>
    </row>
    <row r="42" spans="1:6" ht="18.75" x14ac:dyDescent="0.25">
      <c r="B42" s="3"/>
      <c r="C42" s="17"/>
      <c r="D42" s="19"/>
      <c r="E42" s="19"/>
      <c r="F42" s="3"/>
    </row>
    <row r="43" spans="1:6" ht="18.75" x14ac:dyDescent="0.25">
      <c r="B43" s="3"/>
      <c r="C43" s="17"/>
      <c r="D43" s="19"/>
      <c r="E43" s="19"/>
      <c r="F43" s="3"/>
    </row>
    <row r="44" spans="1:6" ht="18.75" x14ac:dyDescent="0.25">
      <c r="B44" s="3"/>
      <c r="C44" s="17"/>
      <c r="D44" s="19"/>
      <c r="E44" s="19"/>
      <c r="F44" s="3"/>
    </row>
    <row r="45" spans="1:6" ht="18.75" x14ac:dyDescent="0.25">
      <c r="B45" s="3"/>
      <c r="C45" s="17"/>
      <c r="D45" s="19"/>
      <c r="E45" s="19"/>
      <c r="F45" s="3"/>
    </row>
    <row r="46" spans="1:6" ht="18.75" x14ac:dyDescent="0.25">
      <c r="B46" s="3"/>
      <c r="C46" s="17"/>
      <c r="D46" s="19"/>
      <c r="E46" s="19"/>
      <c r="F46" s="3"/>
    </row>
    <row r="47" spans="1:6" ht="18.75" x14ac:dyDescent="0.25">
      <c r="B47" s="3"/>
      <c r="C47" s="17"/>
      <c r="D47" s="19"/>
      <c r="E47" s="19"/>
      <c r="F47" s="3"/>
    </row>
    <row r="48" spans="1:6" ht="18.75" x14ac:dyDescent="0.25">
      <c r="B48" s="3"/>
      <c r="C48" s="17"/>
      <c r="D48" s="19"/>
      <c r="E48" s="19"/>
      <c r="F48" s="3"/>
    </row>
    <row r="49" spans="2:6" ht="15" customHeight="1" x14ac:dyDescent="0.25">
      <c r="B49" s="3"/>
      <c r="C49" s="12"/>
      <c r="D49" s="3"/>
      <c r="E49" s="3"/>
      <c r="F49" s="3"/>
    </row>
    <row r="50" spans="2:6" ht="15" customHeight="1" x14ac:dyDescent="0.25">
      <c r="B50" s="3"/>
      <c r="C50" s="111"/>
      <c r="D50" s="3"/>
      <c r="E50" s="3"/>
      <c r="F50" s="3"/>
    </row>
    <row r="51" spans="2:6" x14ac:dyDescent="0.25">
      <c r="B51" s="3"/>
      <c r="C51" s="111"/>
      <c r="D51" s="3"/>
      <c r="E51" s="3"/>
      <c r="F51" s="3"/>
    </row>
    <row r="111" spans="1:7" s="7" customFormat="1" ht="17.45" customHeight="1" x14ac:dyDescent="0.25">
      <c r="A111" s="1"/>
      <c r="B111" s="2"/>
      <c r="C111" s="2"/>
      <c r="D111" s="2"/>
      <c r="E111" s="2"/>
      <c r="F111" s="2"/>
      <c r="G111" s="8"/>
    </row>
  </sheetData>
  <mergeCells count="12">
    <mergeCell ref="C50:C51"/>
    <mergeCell ref="C21:F22"/>
    <mergeCell ref="C30:E31"/>
    <mergeCell ref="C34:C35"/>
    <mergeCell ref="D34:E35"/>
    <mergeCell ref="C37:C38"/>
    <mergeCell ref="D37:E38"/>
    <mergeCell ref="C12:E15"/>
    <mergeCell ref="C17:E18"/>
    <mergeCell ref="C19:F19"/>
    <mergeCell ref="C20:F20"/>
    <mergeCell ref="C40:C41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A346-F789-4894-A123-24367F3FBB8A}">
  <sheetPr>
    <tabColor theme="7"/>
  </sheetPr>
  <dimension ref="A10:U111"/>
  <sheetViews>
    <sheetView showGridLines="0" zoomScale="80" zoomScaleNormal="80" workbookViewId="0">
      <selection activeCell="C3" sqref="C3"/>
    </sheetView>
  </sheetViews>
  <sheetFormatPr baseColWidth="10" defaultColWidth="9.140625" defaultRowHeight="15" x14ac:dyDescent="0.25"/>
  <cols>
    <col min="1" max="1" width="3.28515625" style="1" customWidth="1"/>
    <col min="2" max="2" width="3.28515625" style="2" customWidth="1"/>
    <col min="3" max="3" width="7.5703125" style="2" customWidth="1"/>
    <col min="4" max="4" width="16" style="2" customWidth="1"/>
    <col min="5" max="5" width="56.5703125" style="2" customWidth="1"/>
    <col min="6" max="6" width="9.7109375" style="2" customWidth="1"/>
    <col min="7" max="7" width="8.85546875" style="8" customWidth="1"/>
    <col min="8" max="8" width="9.140625" style="8"/>
    <col min="9" max="9" width="13.7109375" style="8" customWidth="1"/>
    <col min="10" max="10" width="9.140625" style="8"/>
    <col min="11" max="11" width="12.5703125" style="8" customWidth="1"/>
    <col min="12" max="12" width="13.140625" style="8" customWidth="1"/>
    <col min="13" max="13" width="10.7109375" style="8" customWidth="1"/>
    <col min="14" max="14" width="10.5703125" style="8" customWidth="1"/>
    <col min="15" max="15" width="10.85546875" style="8" customWidth="1"/>
    <col min="16" max="17" width="11.7109375" style="8" customWidth="1"/>
    <col min="18" max="18" width="9.140625" style="8"/>
    <col min="19" max="19" width="18.5703125" style="8" customWidth="1"/>
    <col min="20" max="16384" width="9.140625" style="8"/>
  </cols>
  <sheetData>
    <row r="10" spans="2:6" ht="15.75" customHeight="1" x14ac:dyDescent="0.25"/>
    <row r="11" spans="2:6" x14ac:dyDescent="0.25">
      <c r="B11" s="3"/>
      <c r="C11" s="3"/>
      <c r="D11" s="3"/>
      <c r="E11" s="3"/>
      <c r="F11" s="3"/>
    </row>
    <row r="12" spans="2:6" ht="33" customHeight="1" x14ac:dyDescent="0.25">
      <c r="B12" s="3"/>
      <c r="C12" s="109" t="s">
        <v>219</v>
      </c>
      <c r="D12" s="109"/>
      <c r="E12" s="109"/>
      <c r="F12" s="3"/>
    </row>
    <row r="13" spans="2:6" ht="15" customHeight="1" x14ac:dyDescent="0.25">
      <c r="B13" s="3"/>
      <c r="C13" s="109"/>
      <c r="D13" s="109"/>
      <c r="E13" s="109"/>
      <c r="F13" s="3"/>
    </row>
    <row r="14" spans="2:6" x14ac:dyDescent="0.25">
      <c r="B14" s="3"/>
      <c r="C14" s="109"/>
      <c r="D14" s="109"/>
      <c r="E14" s="109"/>
      <c r="F14" s="3"/>
    </row>
    <row r="15" spans="2:6" x14ac:dyDescent="0.25">
      <c r="B15" s="3"/>
      <c r="C15" s="109"/>
      <c r="D15" s="109"/>
      <c r="E15" s="109"/>
      <c r="F15" s="3"/>
    </row>
    <row r="16" spans="2:6" ht="15" customHeight="1" x14ac:dyDescent="0.25">
      <c r="B16" s="3"/>
      <c r="C16" s="3"/>
      <c r="D16" s="3"/>
      <c r="E16" s="3"/>
      <c r="F16" s="3"/>
    </row>
    <row r="17" spans="1:21" ht="42" customHeight="1" x14ac:dyDescent="0.25">
      <c r="B17" s="3"/>
      <c r="C17" s="110" t="s">
        <v>0</v>
      </c>
      <c r="D17" s="110"/>
      <c r="E17" s="110"/>
      <c r="F17" s="3"/>
      <c r="I17" s="80" t="s">
        <v>59</v>
      </c>
      <c r="J17" s="80" t="s">
        <v>192</v>
      </c>
      <c r="K17" s="65" t="s">
        <v>193</v>
      </c>
      <c r="L17" s="65" t="s">
        <v>194</v>
      </c>
      <c r="M17" s="65" t="s">
        <v>195</v>
      </c>
      <c r="N17" s="65" t="s">
        <v>196</v>
      </c>
      <c r="O17" s="65" t="s">
        <v>197</v>
      </c>
      <c r="P17" s="65" t="s">
        <v>198</v>
      </c>
      <c r="Q17" s="65" t="s">
        <v>199</v>
      </c>
      <c r="R17" s="40"/>
      <c r="S17" s="81" t="s">
        <v>200</v>
      </c>
      <c r="T17" s="81" t="s">
        <v>201</v>
      </c>
      <c r="U17" s="40"/>
    </row>
    <row r="18" spans="1:21" ht="28.5" customHeight="1" x14ac:dyDescent="0.25">
      <c r="B18" s="3"/>
      <c r="C18" s="110"/>
      <c r="D18" s="110"/>
      <c r="E18" s="110"/>
      <c r="F18" s="3"/>
      <c r="I18" s="82" t="s">
        <v>202</v>
      </c>
      <c r="J18" s="77">
        <v>1200</v>
      </c>
      <c r="K18" s="75">
        <v>41644</v>
      </c>
      <c r="L18" s="83">
        <f>K18+21</f>
        <v>41665</v>
      </c>
      <c r="M18" s="84"/>
      <c r="N18" s="85"/>
      <c r="O18" s="78"/>
      <c r="P18" s="78"/>
      <c r="Q18" s="86"/>
      <c r="R18" s="40"/>
      <c r="S18" s="87">
        <v>1.6000000000000001E-3</v>
      </c>
      <c r="T18" s="88">
        <v>6</v>
      </c>
      <c r="U18" s="40"/>
    </row>
    <row r="19" spans="1:21" x14ac:dyDescent="0.25">
      <c r="B19" s="3"/>
      <c r="C19" s="121" t="s">
        <v>214</v>
      </c>
      <c r="D19" s="121"/>
      <c r="E19" s="121"/>
      <c r="F19" s="121"/>
      <c r="I19" s="82" t="s">
        <v>203</v>
      </c>
      <c r="J19" s="77">
        <v>780</v>
      </c>
      <c r="K19" s="75">
        <v>41649</v>
      </c>
      <c r="L19" s="83">
        <f>K19+15</f>
        <v>41664</v>
      </c>
      <c r="M19" s="84"/>
      <c r="N19" s="85"/>
      <c r="O19" s="78"/>
      <c r="P19" s="78"/>
      <c r="Q19" s="86"/>
      <c r="R19" s="40"/>
      <c r="S19" s="40"/>
      <c r="T19" s="40"/>
      <c r="U19" s="40"/>
    </row>
    <row r="20" spans="1:21" x14ac:dyDescent="0.25">
      <c r="B20" s="3"/>
      <c r="C20" s="121" t="s">
        <v>215</v>
      </c>
      <c r="D20" s="121"/>
      <c r="E20" s="121"/>
      <c r="F20" s="121"/>
      <c r="I20" s="82" t="s">
        <v>204</v>
      </c>
      <c r="J20" s="77">
        <v>345</v>
      </c>
      <c r="K20" s="75">
        <v>41691</v>
      </c>
      <c r="L20" s="83">
        <f>K20+18</f>
        <v>41709</v>
      </c>
      <c r="M20" s="84"/>
      <c r="N20" s="85"/>
      <c r="O20" s="78"/>
      <c r="P20" s="78"/>
      <c r="Q20" s="86"/>
      <c r="R20" s="40"/>
      <c r="S20" s="89" t="s">
        <v>205</v>
      </c>
      <c r="T20" s="90">
        <v>30</v>
      </c>
      <c r="U20" s="40" t="s">
        <v>206</v>
      </c>
    </row>
    <row r="21" spans="1:21" x14ac:dyDescent="0.25">
      <c r="B21" s="3"/>
      <c r="C21" s="10" t="s">
        <v>216</v>
      </c>
      <c r="D21" s="10"/>
      <c r="E21" s="10"/>
      <c r="F21" s="10"/>
      <c r="I21" s="82" t="s">
        <v>207</v>
      </c>
      <c r="J21" s="77">
        <v>500</v>
      </c>
      <c r="K21" s="75">
        <v>41655</v>
      </c>
      <c r="L21" s="83">
        <f>K21+15</f>
        <v>41670</v>
      </c>
      <c r="M21" s="84"/>
      <c r="N21" s="85"/>
      <c r="O21" s="78"/>
      <c r="P21" s="78"/>
      <c r="Q21" s="86"/>
      <c r="R21" s="40"/>
      <c r="S21" s="40"/>
      <c r="T21" s="40"/>
      <c r="U21" s="40"/>
    </row>
    <row r="22" spans="1:21" x14ac:dyDescent="0.25">
      <c r="B22" s="3"/>
      <c r="C22" s="10" t="s">
        <v>217</v>
      </c>
      <c r="D22" s="10"/>
      <c r="E22" s="10"/>
      <c r="F22" s="10"/>
      <c r="I22" s="82" t="s">
        <v>208</v>
      </c>
      <c r="J22" s="77">
        <v>190</v>
      </c>
      <c r="K22" s="75">
        <v>41677</v>
      </c>
      <c r="L22" s="83">
        <f>K22+13</f>
        <v>41690</v>
      </c>
      <c r="M22" s="84"/>
      <c r="N22" s="85"/>
      <c r="O22" s="78"/>
      <c r="P22" s="78"/>
      <c r="Q22" s="86"/>
      <c r="R22" s="40"/>
      <c r="S22" s="40"/>
      <c r="T22" s="40"/>
      <c r="U22" s="40"/>
    </row>
    <row r="23" spans="1:21" x14ac:dyDescent="0.25">
      <c r="B23" s="3"/>
      <c r="C23" s="10" t="s">
        <v>218</v>
      </c>
      <c r="D23" s="10"/>
      <c r="E23" s="10"/>
      <c r="F23" s="10"/>
      <c r="I23" s="82" t="s">
        <v>209</v>
      </c>
      <c r="J23" s="77">
        <v>680</v>
      </c>
      <c r="K23" s="75">
        <v>41654</v>
      </c>
      <c r="L23" s="83">
        <f>K23+19</f>
        <v>41673</v>
      </c>
      <c r="M23" s="84"/>
      <c r="N23" s="85"/>
      <c r="O23" s="78"/>
      <c r="P23" s="78"/>
      <c r="Q23" s="86"/>
      <c r="R23" s="40"/>
      <c r="S23" s="40"/>
      <c r="T23" s="40"/>
      <c r="U23" s="40"/>
    </row>
    <row r="24" spans="1:21" x14ac:dyDescent="0.25">
      <c r="B24" s="3"/>
      <c r="C24" s="10"/>
      <c r="D24" s="10"/>
      <c r="E24" s="10"/>
      <c r="F24" s="10"/>
      <c r="I24" s="82" t="s">
        <v>210</v>
      </c>
      <c r="J24" s="77">
        <v>1500</v>
      </c>
      <c r="K24" s="75">
        <v>41686</v>
      </c>
      <c r="L24" s="83">
        <f>K24+10</f>
        <v>41696</v>
      </c>
      <c r="M24" s="84"/>
      <c r="N24" s="85"/>
      <c r="O24" s="78"/>
      <c r="P24" s="78"/>
      <c r="Q24" s="86"/>
      <c r="R24" s="40"/>
      <c r="S24" s="40"/>
      <c r="T24" s="40"/>
      <c r="U24" s="40"/>
    </row>
    <row r="25" spans="1:21" x14ac:dyDescent="0.25">
      <c r="B25" s="3"/>
      <c r="C25" s="10"/>
      <c r="D25" s="4"/>
      <c r="E25" s="4"/>
      <c r="F25" s="3"/>
      <c r="I25" s="82" t="s">
        <v>211</v>
      </c>
      <c r="J25" s="77">
        <v>960</v>
      </c>
      <c r="K25" s="75">
        <v>41649</v>
      </c>
      <c r="L25" s="83">
        <f t="shared" ref="L25:L26" si="0">K25+11</f>
        <v>41660</v>
      </c>
      <c r="M25" s="84"/>
      <c r="N25" s="85"/>
      <c r="O25" s="78"/>
      <c r="P25" s="78"/>
      <c r="Q25" s="86"/>
      <c r="R25" s="40"/>
      <c r="S25" s="40"/>
      <c r="T25" s="40"/>
      <c r="U25" s="40"/>
    </row>
    <row r="26" spans="1:21" x14ac:dyDescent="0.25">
      <c r="B26" s="3"/>
      <c r="C26" s="10"/>
      <c r="D26" s="10"/>
      <c r="E26" s="10"/>
      <c r="F26" s="10"/>
      <c r="I26" s="82" t="s">
        <v>212</v>
      </c>
      <c r="J26" s="77">
        <v>700</v>
      </c>
      <c r="K26" s="75">
        <v>41647</v>
      </c>
      <c r="L26" s="83">
        <f t="shared" si="0"/>
        <v>41658</v>
      </c>
      <c r="M26" s="84"/>
      <c r="N26" s="85"/>
      <c r="O26" s="78"/>
      <c r="P26" s="78"/>
      <c r="Q26" s="86"/>
      <c r="R26" s="40"/>
      <c r="S26" s="40"/>
      <c r="T26" s="40"/>
      <c r="U26" s="40"/>
    </row>
    <row r="27" spans="1:21" x14ac:dyDescent="0.25">
      <c r="B27" s="3"/>
      <c r="C27" s="10"/>
      <c r="D27" s="10"/>
      <c r="E27" s="10"/>
      <c r="F27" s="10"/>
      <c r="I27" s="82" t="s">
        <v>213</v>
      </c>
      <c r="J27" s="77">
        <v>280</v>
      </c>
      <c r="K27" s="75">
        <v>41676</v>
      </c>
      <c r="L27" s="83">
        <f>K27+17</f>
        <v>41693</v>
      </c>
      <c r="M27" s="84"/>
      <c r="N27" s="85"/>
      <c r="O27" s="78"/>
      <c r="P27" s="78"/>
      <c r="Q27" s="86"/>
      <c r="R27" s="40"/>
      <c r="S27" s="40"/>
      <c r="T27" s="40"/>
      <c r="U27" s="40"/>
    </row>
    <row r="28" spans="1:21" ht="15" customHeight="1" x14ac:dyDescent="0.25">
      <c r="B28" s="3"/>
      <c r="C28" s="79"/>
      <c r="D28" s="79"/>
      <c r="E28" s="79"/>
      <c r="F28" s="3"/>
    </row>
    <row r="29" spans="1:21" ht="15" customHeight="1" x14ac:dyDescent="0.25">
      <c r="A29" s="5"/>
      <c r="B29" s="3"/>
      <c r="C29" s="79"/>
      <c r="D29" s="79"/>
      <c r="E29" s="79"/>
      <c r="F29" s="3"/>
    </row>
    <row r="30" spans="1:21" ht="15" customHeight="1" x14ac:dyDescent="0.25">
      <c r="B30" s="3"/>
      <c r="C30" s="112"/>
      <c r="D30" s="112"/>
      <c r="E30" s="112"/>
      <c r="F30" s="3"/>
    </row>
    <row r="31" spans="1:21" x14ac:dyDescent="0.25">
      <c r="B31" s="3"/>
      <c r="C31" s="112"/>
      <c r="D31" s="112"/>
      <c r="E31" s="112"/>
      <c r="F31" s="3"/>
    </row>
    <row r="32" spans="1:21" x14ac:dyDescent="0.25">
      <c r="B32" s="3"/>
      <c r="C32" s="18"/>
      <c r="D32" s="18"/>
      <c r="E32" s="18"/>
      <c r="F32" s="3"/>
    </row>
    <row r="33" spans="1:6" x14ac:dyDescent="0.25">
      <c r="B33" s="3"/>
      <c r="C33" s="3"/>
      <c r="D33" s="3"/>
      <c r="E33" s="3"/>
      <c r="F33" s="3"/>
    </row>
    <row r="34" spans="1:6" x14ac:dyDescent="0.25">
      <c r="A34" s="6"/>
      <c r="B34" s="3"/>
      <c r="C34" s="111"/>
      <c r="D34" s="113"/>
      <c r="E34" s="113"/>
      <c r="F34" s="3"/>
    </row>
    <row r="35" spans="1:6" x14ac:dyDescent="0.25">
      <c r="B35" s="3"/>
      <c r="C35" s="111"/>
      <c r="D35" s="113"/>
      <c r="E35" s="113"/>
      <c r="F35" s="3"/>
    </row>
    <row r="36" spans="1:6" ht="15" customHeight="1" x14ac:dyDescent="0.25">
      <c r="A36" s="5"/>
      <c r="B36" s="3"/>
      <c r="C36" s="3"/>
      <c r="D36" s="3"/>
      <c r="E36" s="3"/>
      <c r="F36" s="3"/>
    </row>
    <row r="37" spans="1:6" x14ac:dyDescent="0.25">
      <c r="B37" s="3"/>
      <c r="C37" s="111"/>
      <c r="D37" s="114"/>
      <c r="E37" s="115"/>
      <c r="F37" s="3"/>
    </row>
    <row r="38" spans="1:6" x14ac:dyDescent="0.25">
      <c r="B38" s="3"/>
      <c r="C38" s="111"/>
      <c r="D38" s="115"/>
      <c r="E38" s="115"/>
      <c r="F38" s="3"/>
    </row>
    <row r="39" spans="1:6" ht="18.75" x14ac:dyDescent="0.25">
      <c r="B39" s="3"/>
      <c r="C39" s="17"/>
      <c r="D39" s="19"/>
      <c r="E39" s="19"/>
      <c r="F39" s="3"/>
    </row>
    <row r="40" spans="1:6" x14ac:dyDescent="0.25">
      <c r="B40" s="3"/>
      <c r="C40" s="111"/>
      <c r="D40" s="19"/>
      <c r="E40" s="19"/>
      <c r="F40" s="3"/>
    </row>
    <row r="41" spans="1:6" x14ac:dyDescent="0.25">
      <c r="B41" s="3"/>
      <c r="C41" s="111"/>
      <c r="D41" s="19"/>
      <c r="E41" s="19"/>
      <c r="F41" s="3"/>
    </row>
    <row r="42" spans="1:6" ht="18.75" x14ac:dyDescent="0.25">
      <c r="B42" s="3"/>
      <c r="C42" s="17"/>
      <c r="D42" s="19"/>
      <c r="E42" s="19"/>
      <c r="F42" s="3"/>
    </row>
    <row r="43" spans="1:6" ht="18.75" x14ac:dyDescent="0.25">
      <c r="B43" s="3"/>
      <c r="C43" s="17"/>
      <c r="D43" s="19"/>
      <c r="E43" s="19"/>
      <c r="F43" s="3"/>
    </row>
    <row r="44" spans="1:6" ht="18.75" x14ac:dyDescent="0.25">
      <c r="B44" s="3"/>
      <c r="C44" s="17"/>
      <c r="D44" s="19"/>
      <c r="E44" s="19"/>
      <c r="F44" s="3"/>
    </row>
    <row r="45" spans="1:6" ht="18.75" x14ac:dyDescent="0.25">
      <c r="B45" s="3"/>
      <c r="C45" s="17"/>
      <c r="D45" s="19"/>
      <c r="E45" s="19"/>
      <c r="F45" s="3"/>
    </row>
    <row r="46" spans="1:6" ht="18.75" x14ac:dyDescent="0.25">
      <c r="B46" s="3"/>
      <c r="C46" s="17"/>
      <c r="D46" s="19"/>
      <c r="E46" s="19"/>
      <c r="F46" s="3"/>
    </row>
    <row r="47" spans="1:6" ht="18.75" x14ac:dyDescent="0.25">
      <c r="B47" s="3"/>
      <c r="C47" s="17"/>
      <c r="D47" s="19"/>
      <c r="E47" s="19"/>
      <c r="F47" s="3"/>
    </row>
    <row r="48" spans="1:6" ht="18.75" x14ac:dyDescent="0.25">
      <c r="B48" s="3"/>
      <c r="C48" s="17"/>
      <c r="D48" s="19"/>
      <c r="E48" s="19"/>
      <c r="F48" s="3"/>
    </row>
    <row r="49" spans="2:6" ht="15" customHeight="1" x14ac:dyDescent="0.25">
      <c r="B49" s="3"/>
      <c r="C49" s="12"/>
      <c r="D49" s="3"/>
      <c r="E49" s="3"/>
      <c r="F49" s="3"/>
    </row>
    <row r="50" spans="2:6" ht="15" customHeight="1" x14ac:dyDescent="0.25">
      <c r="B50" s="3"/>
      <c r="C50" s="111"/>
      <c r="D50" s="3"/>
      <c r="E50" s="3"/>
      <c r="F50" s="3"/>
    </row>
    <row r="51" spans="2:6" x14ac:dyDescent="0.25">
      <c r="B51" s="3"/>
      <c r="C51" s="111"/>
      <c r="D51" s="3"/>
      <c r="E51" s="3"/>
      <c r="F51" s="3"/>
    </row>
    <row r="111" spans="1:7" s="7" customFormat="1" ht="17.45" customHeight="1" x14ac:dyDescent="0.25">
      <c r="A111" s="1"/>
      <c r="B111" s="2"/>
      <c r="C111" s="2"/>
      <c r="D111" s="2"/>
      <c r="E111" s="2"/>
      <c r="F111" s="2"/>
      <c r="G111" s="8"/>
    </row>
  </sheetData>
  <mergeCells count="11">
    <mergeCell ref="C50:C51"/>
    <mergeCell ref="C12:E15"/>
    <mergeCell ref="C17:E18"/>
    <mergeCell ref="C19:F19"/>
    <mergeCell ref="C20:F20"/>
    <mergeCell ref="C30:E31"/>
    <mergeCell ref="C34:C35"/>
    <mergeCell ref="D34:E35"/>
    <mergeCell ref="C37:C38"/>
    <mergeCell ref="D37:E38"/>
    <mergeCell ref="C40:C41"/>
  </mergeCells>
  <pageMargins left="0.7" right="0.7" top="0.75" bottom="0.75" header="0.3" footer="0.3"/>
  <pageSetup paperSize="9" orientation="portrait" r:id="rId1"/>
  <ignoredErrors>
    <ignoredError sqref="L20" formula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1058-0865-44B9-A0E8-BA485933E305}">
  <sheetPr>
    <tabColor theme="7"/>
  </sheetPr>
  <dimension ref="A10:Q111"/>
  <sheetViews>
    <sheetView showGridLines="0" zoomScale="70" zoomScaleNormal="70" workbookViewId="0">
      <selection activeCell="B2" sqref="B2"/>
    </sheetView>
  </sheetViews>
  <sheetFormatPr baseColWidth="10" defaultColWidth="9.140625" defaultRowHeight="15" x14ac:dyDescent="0.25"/>
  <cols>
    <col min="1" max="1" width="3.28515625" style="1" customWidth="1"/>
    <col min="2" max="2" width="3.28515625" style="2" customWidth="1"/>
    <col min="3" max="3" width="7.5703125" style="2" customWidth="1"/>
    <col min="4" max="4" width="16" style="2" customWidth="1"/>
    <col min="5" max="5" width="56.5703125" style="2" customWidth="1"/>
    <col min="6" max="6" width="9.7109375" style="2" customWidth="1"/>
    <col min="7" max="7" width="8.85546875" style="8" customWidth="1"/>
    <col min="8" max="9" width="9.140625" style="8"/>
    <col min="10" max="10" width="8" style="8" bestFit="1" customWidth="1"/>
    <col min="11" max="11" width="18.140625" style="8" customWidth="1"/>
    <col min="12" max="12" width="13.7109375" style="8" customWidth="1"/>
    <col min="13" max="13" width="14.5703125" style="8" customWidth="1"/>
    <col min="14" max="14" width="11.140625" style="8" customWidth="1"/>
    <col min="15" max="15" width="11.42578125" style="8" customWidth="1"/>
    <col min="16" max="16" width="11" style="8" customWidth="1"/>
    <col min="17" max="17" width="12.5703125" style="8" customWidth="1"/>
    <col min="18" max="16384" width="9.140625" style="8"/>
  </cols>
  <sheetData>
    <row r="10" spans="2:6" ht="15.75" customHeight="1" x14ac:dyDescent="0.25"/>
    <row r="11" spans="2:6" x14ac:dyDescent="0.25">
      <c r="B11" s="3"/>
      <c r="C11" s="3"/>
      <c r="D11" s="3"/>
      <c r="E11" s="3"/>
      <c r="F11" s="3"/>
    </row>
    <row r="12" spans="2:6" ht="33" customHeight="1" x14ac:dyDescent="0.25">
      <c r="B12" s="3"/>
      <c r="C12" s="109" t="s">
        <v>220</v>
      </c>
      <c r="D12" s="109"/>
      <c r="E12" s="109"/>
      <c r="F12" s="3"/>
    </row>
    <row r="13" spans="2:6" ht="15" customHeight="1" x14ac:dyDescent="0.25">
      <c r="B13" s="3"/>
      <c r="C13" s="109"/>
      <c r="D13" s="109"/>
      <c r="E13" s="109"/>
      <c r="F13" s="3"/>
    </row>
    <row r="14" spans="2:6" x14ac:dyDescent="0.25">
      <c r="B14" s="3"/>
      <c r="C14" s="109"/>
      <c r="D14" s="109"/>
      <c r="E14" s="109"/>
      <c r="F14" s="3"/>
    </row>
    <row r="15" spans="2:6" x14ac:dyDescent="0.25">
      <c r="B15" s="3"/>
      <c r="C15" s="109"/>
      <c r="D15" s="109"/>
      <c r="E15" s="109"/>
      <c r="F15" s="3"/>
    </row>
    <row r="16" spans="2:6" ht="15" customHeight="1" x14ac:dyDescent="0.25">
      <c r="B16" s="3"/>
      <c r="C16" s="3"/>
      <c r="D16" s="3"/>
      <c r="E16" s="3"/>
      <c r="F16" s="3"/>
    </row>
    <row r="17" spans="1:17" ht="42" customHeight="1" x14ac:dyDescent="0.25">
      <c r="B17" s="3"/>
      <c r="C17" s="110" t="s">
        <v>0</v>
      </c>
      <c r="D17" s="110"/>
      <c r="E17" s="110"/>
      <c r="F17" s="3"/>
    </row>
    <row r="18" spans="1:17" ht="28.5" customHeight="1" x14ac:dyDescent="0.25">
      <c r="B18" s="3"/>
      <c r="C18" s="110"/>
      <c r="D18" s="110"/>
      <c r="E18" s="110"/>
      <c r="F18" s="3"/>
    </row>
    <row r="19" spans="1:17" ht="26.25" x14ac:dyDescent="0.4">
      <c r="B19" s="3"/>
      <c r="C19" s="121" t="s">
        <v>263</v>
      </c>
      <c r="D19" s="121"/>
      <c r="E19" s="121"/>
      <c r="F19" s="121"/>
      <c r="I19" s="126" t="s">
        <v>221</v>
      </c>
      <c r="J19" s="127"/>
      <c r="K19" s="127"/>
      <c r="L19" s="127"/>
      <c r="M19" s="127"/>
      <c r="N19" s="127"/>
      <c r="O19" s="127"/>
      <c r="P19" s="127"/>
      <c r="Q19" s="128"/>
    </row>
    <row r="20" spans="1:17" x14ac:dyDescent="0.25">
      <c r="B20" s="3"/>
      <c r="C20" s="121"/>
      <c r="D20" s="121"/>
      <c r="E20" s="121"/>
      <c r="F20" s="121"/>
      <c r="I20" s="91"/>
      <c r="J20" s="91"/>
      <c r="K20" s="91"/>
      <c r="L20" s="91"/>
      <c r="M20" s="91"/>
      <c r="N20" s="91"/>
      <c r="O20" s="91"/>
      <c r="P20" s="91"/>
      <c r="Q20" s="91"/>
    </row>
    <row r="21" spans="1:17" x14ac:dyDescent="0.25">
      <c r="B21" s="3"/>
      <c r="C21" s="10"/>
      <c r="D21" s="10"/>
      <c r="E21" s="10"/>
      <c r="F21" s="10"/>
      <c r="I21" s="123" t="s">
        <v>10</v>
      </c>
      <c r="J21" s="123" t="s">
        <v>222</v>
      </c>
      <c r="K21" s="123" t="s">
        <v>59</v>
      </c>
      <c r="L21" s="123" t="s">
        <v>223</v>
      </c>
      <c r="M21" s="131" t="s">
        <v>224</v>
      </c>
      <c r="N21" s="129" t="s">
        <v>225</v>
      </c>
      <c r="O21" s="130"/>
      <c r="P21" s="129" t="s">
        <v>226</v>
      </c>
      <c r="Q21" s="130"/>
    </row>
    <row r="22" spans="1:17" x14ac:dyDescent="0.25">
      <c r="B22" s="3"/>
      <c r="C22" s="10"/>
      <c r="D22" s="10"/>
      <c r="E22" s="10"/>
      <c r="F22" s="10"/>
      <c r="I22" s="124"/>
      <c r="J22" s="124"/>
      <c r="K22" s="124"/>
      <c r="L22" s="124"/>
      <c r="M22" s="132"/>
      <c r="N22" s="97" t="s">
        <v>227</v>
      </c>
      <c r="O22" s="97" t="s">
        <v>228</v>
      </c>
      <c r="P22" s="97" t="s">
        <v>227</v>
      </c>
      <c r="Q22" s="97" t="s">
        <v>228</v>
      </c>
    </row>
    <row r="23" spans="1:17" x14ac:dyDescent="0.25">
      <c r="B23" s="3"/>
      <c r="C23" s="10"/>
      <c r="D23" s="10"/>
      <c r="E23" s="10"/>
      <c r="F23" s="10"/>
      <c r="I23" s="125"/>
      <c r="J23" s="125"/>
      <c r="K23" s="125"/>
      <c r="L23" s="125"/>
      <c r="M23" s="133"/>
      <c r="N23" s="92">
        <v>0.05</v>
      </c>
      <c r="O23" s="92">
        <v>0.1</v>
      </c>
      <c r="P23" s="92">
        <v>0.02</v>
      </c>
      <c r="Q23" s="92">
        <v>0.08</v>
      </c>
    </row>
    <row r="24" spans="1:17" x14ac:dyDescent="0.25">
      <c r="B24" s="3"/>
      <c r="C24" s="10"/>
      <c r="D24" s="10"/>
      <c r="E24" s="10"/>
      <c r="F24" s="10"/>
      <c r="I24" s="93" t="s">
        <v>229</v>
      </c>
      <c r="J24" s="94" t="s">
        <v>230</v>
      </c>
      <c r="K24" s="94" t="s">
        <v>231</v>
      </c>
      <c r="L24" s="94" t="s">
        <v>232</v>
      </c>
      <c r="M24" s="95">
        <v>1760</v>
      </c>
      <c r="N24" s="96"/>
      <c r="O24" s="96"/>
      <c r="P24" s="96"/>
      <c r="Q24" s="96"/>
    </row>
    <row r="25" spans="1:17" x14ac:dyDescent="0.25">
      <c r="B25" s="3"/>
      <c r="C25" s="10"/>
      <c r="D25" s="4"/>
      <c r="E25" s="4"/>
      <c r="F25" s="3"/>
      <c r="I25" s="93" t="s">
        <v>233</v>
      </c>
      <c r="J25" s="94" t="s">
        <v>230</v>
      </c>
      <c r="K25" s="94" t="s">
        <v>234</v>
      </c>
      <c r="L25" s="94" t="s">
        <v>235</v>
      </c>
      <c r="M25" s="95">
        <v>1942</v>
      </c>
      <c r="N25" s="96"/>
      <c r="O25" s="96"/>
      <c r="P25" s="96"/>
      <c r="Q25" s="96"/>
    </row>
    <row r="26" spans="1:17" x14ac:dyDescent="0.25">
      <c r="B26" s="3"/>
      <c r="C26" s="10"/>
      <c r="D26" s="10"/>
      <c r="E26" s="10"/>
      <c r="F26" s="10"/>
      <c r="I26" s="93" t="s">
        <v>236</v>
      </c>
      <c r="J26" s="94" t="s">
        <v>237</v>
      </c>
      <c r="K26" s="94" t="s">
        <v>234</v>
      </c>
      <c r="L26" s="94" t="s">
        <v>238</v>
      </c>
      <c r="M26" s="95">
        <v>1874</v>
      </c>
      <c r="N26" s="96"/>
      <c r="O26" s="96"/>
      <c r="P26" s="96"/>
      <c r="Q26" s="96"/>
    </row>
    <row r="27" spans="1:17" x14ac:dyDescent="0.25">
      <c r="B27" s="3"/>
      <c r="C27" s="10"/>
      <c r="D27" s="10"/>
      <c r="E27" s="10"/>
      <c r="F27" s="10"/>
      <c r="I27" s="93" t="s">
        <v>239</v>
      </c>
      <c r="J27" s="94" t="s">
        <v>237</v>
      </c>
      <c r="K27" s="94" t="s">
        <v>240</v>
      </c>
      <c r="L27" s="94" t="s">
        <v>232</v>
      </c>
      <c r="M27" s="95">
        <v>2092</v>
      </c>
      <c r="N27" s="96"/>
      <c r="O27" s="96"/>
      <c r="P27" s="96"/>
      <c r="Q27" s="96"/>
    </row>
    <row r="28" spans="1:17" ht="15" customHeight="1" x14ac:dyDescent="0.25">
      <c r="B28" s="3"/>
      <c r="C28" s="79"/>
      <c r="D28" s="79"/>
      <c r="E28" s="79"/>
      <c r="F28" s="3"/>
      <c r="I28" s="93" t="s">
        <v>241</v>
      </c>
      <c r="J28" s="94" t="s">
        <v>237</v>
      </c>
      <c r="K28" s="94" t="s">
        <v>231</v>
      </c>
      <c r="L28" s="94" t="s">
        <v>227</v>
      </c>
      <c r="M28" s="95">
        <v>1159</v>
      </c>
      <c r="N28" s="96"/>
      <c r="O28" s="96"/>
      <c r="P28" s="96"/>
      <c r="Q28" s="96"/>
    </row>
    <row r="29" spans="1:17" ht="15" customHeight="1" x14ac:dyDescent="0.25">
      <c r="A29" s="5"/>
      <c r="B29" s="3"/>
      <c r="C29" s="79"/>
      <c r="D29" s="79"/>
      <c r="E29" s="79"/>
      <c r="F29" s="3"/>
      <c r="I29" s="93" t="s">
        <v>242</v>
      </c>
      <c r="J29" s="94" t="s">
        <v>230</v>
      </c>
      <c r="K29" s="94" t="s">
        <v>240</v>
      </c>
      <c r="L29" s="94" t="s">
        <v>227</v>
      </c>
      <c r="M29" s="95">
        <v>1618</v>
      </c>
      <c r="N29" s="96"/>
      <c r="O29" s="96"/>
      <c r="P29" s="96"/>
      <c r="Q29" s="96"/>
    </row>
    <row r="30" spans="1:17" ht="15" customHeight="1" x14ac:dyDescent="0.25">
      <c r="B30" s="3"/>
      <c r="C30" s="112"/>
      <c r="D30" s="112"/>
      <c r="E30" s="112"/>
      <c r="F30" s="3"/>
      <c r="I30" s="93" t="s">
        <v>243</v>
      </c>
      <c r="J30" s="94" t="s">
        <v>230</v>
      </c>
      <c r="K30" s="94" t="s">
        <v>231</v>
      </c>
      <c r="L30" s="94" t="s">
        <v>232</v>
      </c>
      <c r="M30" s="95">
        <v>1679</v>
      </c>
      <c r="N30" s="96"/>
      <c r="O30" s="96"/>
      <c r="P30" s="96"/>
      <c r="Q30" s="96"/>
    </row>
    <row r="31" spans="1:17" x14ac:dyDescent="0.25">
      <c r="B31" s="3"/>
      <c r="C31" s="112"/>
      <c r="D31" s="112"/>
      <c r="E31" s="112"/>
      <c r="F31" s="3"/>
      <c r="I31" s="93" t="s">
        <v>244</v>
      </c>
      <c r="J31" s="94" t="s">
        <v>237</v>
      </c>
      <c r="K31" s="94" t="s">
        <v>234</v>
      </c>
      <c r="L31" s="94" t="s">
        <v>235</v>
      </c>
      <c r="M31" s="95">
        <v>2376</v>
      </c>
      <c r="N31" s="96"/>
      <c r="O31" s="96"/>
      <c r="P31" s="96"/>
      <c r="Q31" s="96"/>
    </row>
    <row r="32" spans="1:17" x14ac:dyDescent="0.25">
      <c r="B32" s="3"/>
      <c r="C32" s="63"/>
      <c r="D32" s="63"/>
      <c r="E32" s="63"/>
      <c r="F32" s="3"/>
      <c r="I32" s="93" t="s">
        <v>245</v>
      </c>
      <c r="J32" s="94" t="s">
        <v>237</v>
      </c>
      <c r="K32" s="94" t="s">
        <v>240</v>
      </c>
      <c r="L32" s="94" t="s">
        <v>232</v>
      </c>
      <c r="M32" s="95">
        <v>2471</v>
      </c>
      <c r="N32" s="96"/>
      <c r="O32" s="96"/>
      <c r="P32" s="96"/>
      <c r="Q32" s="96"/>
    </row>
    <row r="33" spans="1:17" x14ac:dyDescent="0.25">
      <c r="B33" s="3"/>
      <c r="C33" s="3"/>
      <c r="D33" s="3"/>
      <c r="E33" s="3"/>
      <c r="F33" s="3"/>
      <c r="I33" s="93" t="s">
        <v>246</v>
      </c>
      <c r="J33" s="94" t="s">
        <v>230</v>
      </c>
      <c r="K33" s="94" t="s">
        <v>231</v>
      </c>
      <c r="L33" s="94" t="s">
        <v>235</v>
      </c>
      <c r="M33" s="95">
        <v>1890</v>
      </c>
      <c r="N33" s="96"/>
      <c r="O33" s="96"/>
      <c r="P33" s="96"/>
      <c r="Q33" s="96"/>
    </row>
    <row r="34" spans="1:17" x14ac:dyDescent="0.25">
      <c r="A34" s="6"/>
      <c r="B34" s="3"/>
      <c r="C34" s="111"/>
      <c r="D34" s="113"/>
      <c r="E34" s="113"/>
      <c r="F34" s="3"/>
      <c r="I34" s="93" t="s">
        <v>247</v>
      </c>
      <c r="J34" s="94" t="s">
        <v>230</v>
      </c>
      <c r="K34" s="94" t="s">
        <v>234</v>
      </c>
      <c r="L34" s="94" t="s">
        <v>227</v>
      </c>
      <c r="M34" s="95">
        <v>1723</v>
      </c>
      <c r="N34" s="96"/>
      <c r="O34" s="96"/>
      <c r="P34" s="96"/>
      <c r="Q34" s="96"/>
    </row>
    <row r="35" spans="1:17" x14ac:dyDescent="0.25">
      <c r="B35" s="3"/>
      <c r="C35" s="111"/>
      <c r="D35" s="113"/>
      <c r="E35" s="113"/>
      <c r="F35" s="3"/>
      <c r="I35" s="93" t="s">
        <v>248</v>
      </c>
      <c r="J35" s="94" t="s">
        <v>237</v>
      </c>
      <c r="K35" s="94" t="s">
        <v>231</v>
      </c>
      <c r="L35" s="94" t="s">
        <v>227</v>
      </c>
      <c r="M35" s="95">
        <v>1664</v>
      </c>
      <c r="N35" s="96"/>
      <c r="O35" s="96"/>
      <c r="P35" s="96"/>
      <c r="Q35" s="96"/>
    </row>
    <row r="36" spans="1:17" ht="15" customHeight="1" x14ac:dyDescent="0.25">
      <c r="A36" s="5"/>
      <c r="B36" s="3"/>
      <c r="C36" s="3"/>
      <c r="D36" s="3"/>
      <c r="E36" s="3"/>
      <c r="F36" s="3"/>
      <c r="I36" s="93" t="s">
        <v>249</v>
      </c>
      <c r="J36" s="94" t="s">
        <v>230</v>
      </c>
      <c r="K36" s="94" t="s">
        <v>234</v>
      </c>
      <c r="L36" s="94" t="s">
        <v>227</v>
      </c>
      <c r="M36" s="95">
        <v>2027</v>
      </c>
      <c r="N36" s="96"/>
      <c r="O36" s="96"/>
      <c r="P36" s="96"/>
      <c r="Q36" s="96"/>
    </row>
    <row r="37" spans="1:17" x14ac:dyDescent="0.25">
      <c r="B37" s="3"/>
      <c r="C37" s="111"/>
      <c r="D37" s="114"/>
      <c r="E37" s="115"/>
      <c r="F37" s="3"/>
      <c r="I37" s="93" t="s">
        <v>250</v>
      </c>
      <c r="J37" s="94" t="s">
        <v>237</v>
      </c>
      <c r="K37" s="94" t="s">
        <v>234</v>
      </c>
      <c r="L37" s="94" t="s">
        <v>232</v>
      </c>
      <c r="M37" s="95">
        <v>1905</v>
      </c>
      <c r="N37" s="96"/>
      <c r="O37" s="96"/>
      <c r="P37" s="96"/>
      <c r="Q37" s="96"/>
    </row>
    <row r="38" spans="1:17" x14ac:dyDescent="0.25">
      <c r="B38" s="3"/>
      <c r="C38" s="111"/>
      <c r="D38" s="115"/>
      <c r="E38" s="115"/>
      <c r="F38" s="3"/>
      <c r="I38" s="93" t="s">
        <v>251</v>
      </c>
      <c r="J38" s="94" t="s">
        <v>237</v>
      </c>
      <c r="K38" s="94" t="s">
        <v>240</v>
      </c>
      <c r="L38" s="94" t="s">
        <v>232</v>
      </c>
      <c r="M38" s="95">
        <v>1833</v>
      </c>
      <c r="N38" s="96"/>
      <c r="O38" s="96"/>
      <c r="P38" s="96"/>
      <c r="Q38" s="96"/>
    </row>
    <row r="39" spans="1:17" ht="18.75" x14ac:dyDescent="0.25">
      <c r="B39" s="3"/>
      <c r="C39" s="62"/>
      <c r="D39" s="64"/>
      <c r="E39" s="64"/>
      <c r="F39" s="3"/>
      <c r="I39" s="93" t="s">
        <v>252</v>
      </c>
      <c r="J39" s="94" t="s">
        <v>230</v>
      </c>
      <c r="K39" s="94" t="s">
        <v>231</v>
      </c>
      <c r="L39" s="94" t="s">
        <v>238</v>
      </c>
      <c r="M39" s="95">
        <v>1706</v>
      </c>
      <c r="N39" s="96"/>
      <c r="O39" s="96"/>
      <c r="P39" s="96"/>
      <c r="Q39" s="96"/>
    </row>
    <row r="40" spans="1:17" x14ac:dyDescent="0.25">
      <c r="B40" s="3"/>
      <c r="C40" s="111"/>
      <c r="D40" s="64"/>
      <c r="E40" s="64"/>
      <c r="F40" s="3"/>
      <c r="I40" s="93" t="s">
        <v>253</v>
      </c>
      <c r="J40" s="94" t="s">
        <v>230</v>
      </c>
      <c r="K40" s="94" t="s">
        <v>240</v>
      </c>
      <c r="L40" s="94" t="s">
        <v>227</v>
      </c>
      <c r="M40" s="95">
        <v>2394</v>
      </c>
      <c r="N40" s="96"/>
      <c r="O40" s="96"/>
      <c r="P40" s="96"/>
      <c r="Q40" s="96"/>
    </row>
    <row r="41" spans="1:17" x14ac:dyDescent="0.25">
      <c r="B41" s="3"/>
      <c r="C41" s="111"/>
      <c r="D41" s="64"/>
      <c r="E41" s="64"/>
      <c r="F41" s="3"/>
      <c r="I41" s="93" t="s">
        <v>254</v>
      </c>
      <c r="J41" s="94" t="s">
        <v>237</v>
      </c>
      <c r="K41" s="94" t="s">
        <v>240</v>
      </c>
      <c r="L41" s="94" t="s">
        <v>232</v>
      </c>
      <c r="M41" s="95">
        <v>1173</v>
      </c>
      <c r="N41" s="96"/>
      <c r="O41" s="96"/>
      <c r="P41" s="96"/>
      <c r="Q41" s="96"/>
    </row>
    <row r="42" spans="1:17" ht="18.75" x14ac:dyDescent="0.25">
      <c r="B42" s="3"/>
      <c r="C42" s="62"/>
      <c r="D42" s="64"/>
      <c r="E42" s="64"/>
      <c r="F42" s="3"/>
      <c r="I42" s="93" t="s">
        <v>255</v>
      </c>
      <c r="J42" s="94" t="s">
        <v>230</v>
      </c>
      <c r="K42" s="94" t="s">
        <v>240</v>
      </c>
      <c r="L42" s="94" t="s">
        <v>235</v>
      </c>
      <c r="M42" s="95">
        <v>2004</v>
      </c>
      <c r="N42" s="96"/>
      <c r="O42" s="96"/>
      <c r="P42" s="96"/>
      <c r="Q42" s="96"/>
    </row>
    <row r="43" spans="1:17" ht="18.75" x14ac:dyDescent="0.25">
      <c r="B43" s="3"/>
      <c r="C43" s="62"/>
      <c r="D43" s="64"/>
      <c r="E43" s="64"/>
      <c r="F43" s="3"/>
      <c r="I43" s="93" t="s">
        <v>256</v>
      </c>
      <c r="J43" s="94" t="s">
        <v>237</v>
      </c>
      <c r="K43" s="94" t="s">
        <v>231</v>
      </c>
      <c r="L43" s="94" t="s">
        <v>238</v>
      </c>
      <c r="M43" s="95">
        <v>1164</v>
      </c>
      <c r="N43" s="96"/>
      <c r="O43" s="96"/>
      <c r="P43" s="96"/>
      <c r="Q43" s="96"/>
    </row>
    <row r="44" spans="1:17" ht="18.75" x14ac:dyDescent="0.25">
      <c r="B44" s="3"/>
      <c r="C44" s="62"/>
      <c r="D44" s="64"/>
      <c r="E44" s="64"/>
      <c r="F44" s="3"/>
      <c r="I44" s="93" t="s">
        <v>257</v>
      </c>
      <c r="J44" s="94" t="s">
        <v>230</v>
      </c>
      <c r="K44" s="94" t="s">
        <v>240</v>
      </c>
      <c r="L44" s="94" t="s">
        <v>235</v>
      </c>
      <c r="M44" s="95">
        <v>1112</v>
      </c>
      <c r="N44" s="96"/>
      <c r="O44" s="96"/>
      <c r="P44" s="96"/>
      <c r="Q44" s="96"/>
    </row>
    <row r="45" spans="1:17" ht="18.75" x14ac:dyDescent="0.25">
      <c r="B45" s="3"/>
      <c r="C45" s="62"/>
      <c r="D45" s="64"/>
      <c r="E45" s="64"/>
      <c r="F45" s="3"/>
      <c r="I45" s="93" t="s">
        <v>258</v>
      </c>
      <c r="J45" s="94" t="s">
        <v>230</v>
      </c>
      <c r="K45" s="94" t="s">
        <v>240</v>
      </c>
      <c r="L45" s="94" t="s">
        <v>227</v>
      </c>
      <c r="M45" s="95">
        <v>2196</v>
      </c>
      <c r="N45" s="96"/>
      <c r="O45" s="96"/>
      <c r="P45" s="96"/>
      <c r="Q45" s="96"/>
    </row>
    <row r="46" spans="1:17" ht="18.75" x14ac:dyDescent="0.25">
      <c r="B46" s="3"/>
      <c r="C46" s="62"/>
      <c r="D46" s="64"/>
      <c r="E46" s="64"/>
      <c r="F46" s="3"/>
      <c r="I46" s="93" t="s">
        <v>259</v>
      </c>
      <c r="J46" s="94" t="s">
        <v>230</v>
      </c>
      <c r="K46" s="94" t="s">
        <v>231</v>
      </c>
      <c r="L46" s="94" t="s">
        <v>238</v>
      </c>
      <c r="M46" s="95">
        <v>2233</v>
      </c>
      <c r="N46" s="96"/>
      <c r="O46" s="96"/>
      <c r="P46" s="96"/>
      <c r="Q46" s="96"/>
    </row>
    <row r="47" spans="1:17" ht="18.75" x14ac:dyDescent="0.25">
      <c r="B47" s="3"/>
      <c r="C47" s="62"/>
      <c r="D47" s="64"/>
      <c r="E47" s="64"/>
      <c r="F47" s="3"/>
      <c r="I47" s="93" t="s">
        <v>260</v>
      </c>
      <c r="J47" s="94" t="s">
        <v>237</v>
      </c>
      <c r="K47" s="94" t="s">
        <v>234</v>
      </c>
      <c r="L47" s="94" t="s">
        <v>235</v>
      </c>
      <c r="M47" s="95">
        <v>1110</v>
      </c>
      <c r="N47" s="96"/>
      <c r="O47" s="96"/>
      <c r="P47" s="96"/>
      <c r="Q47" s="96"/>
    </row>
    <row r="48" spans="1:17" ht="18.75" x14ac:dyDescent="0.25">
      <c r="B48" s="3"/>
      <c r="C48" s="62"/>
      <c r="D48" s="64"/>
      <c r="E48" s="64"/>
      <c r="F48" s="3"/>
      <c r="I48" s="93" t="s">
        <v>261</v>
      </c>
      <c r="J48" s="94" t="s">
        <v>237</v>
      </c>
      <c r="K48" s="94" t="s">
        <v>231</v>
      </c>
      <c r="L48" s="94" t="s">
        <v>238</v>
      </c>
      <c r="M48" s="95">
        <v>1570</v>
      </c>
      <c r="N48" s="96"/>
      <c r="O48" s="96"/>
      <c r="P48" s="96"/>
      <c r="Q48" s="96"/>
    </row>
    <row r="49" spans="2:17" ht="15" customHeight="1" x14ac:dyDescent="0.25">
      <c r="B49" s="3"/>
      <c r="C49" s="12"/>
      <c r="D49" s="3"/>
      <c r="E49" s="3"/>
      <c r="F49" s="3"/>
      <c r="I49" s="93" t="s">
        <v>262</v>
      </c>
      <c r="J49" s="94" t="s">
        <v>237</v>
      </c>
      <c r="K49" s="94" t="s">
        <v>234</v>
      </c>
      <c r="L49" s="94" t="s">
        <v>238</v>
      </c>
      <c r="M49" s="95">
        <v>1055</v>
      </c>
      <c r="N49" s="96"/>
      <c r="O49" s="96"/>
      <c r="P49" s="96"/>
      <c r="Q49" s="96"/>
    </row>
    <row r="50" spans="2:17" ht="15" customHeight="1" x14ac:dyDescent="0.25">
      <c r="B50" s="3"/>
      <c r="C50" s="111"/>
      <c r="D50" s="3"/>
      <c r="E50" s="3"/>
      <c r="F50" s="3"/>
    </row>
    <row r="51" spans="2:17" x14ac:dyDescent="0.25">
      <c r="B51" s="3"/>
      <c r="C51" s="111"/>
      <c r="D51" s="3"/>
      <c r="E51" s="3"/>
      <c r="F51" s="3"/>
    </row>
    <row r="111" spans="1:7" s="7" customFormat="1" ht="17.45" customHeight="1" x14ac:dyDescent="0.25">
      <c r="A111" s="1"/>
      <c r="B111" s="2"/>
      <c r="C111" s="2"/>
      <c r="D111" s="2"/>
      <c r="E111" s="2"/>
      <c r="F111" s="2"/>
      <c r="G111" s="8"/>
    </row>
  </sheetData>
  <mergeCells count="19">
    <mergeCell ref="C12:E15"/>
    <mergeCell ref="C17:E18"/>
    <mergeCell ref="C19:F19"/>
    <mergeCell ref="C20:F20"/>
    <mergeCell ref="C30:E31"/>
    <mergeCell ref="C50:C51"/>
    <mergeCell ref="C34:C35"/>
    <mergeCell ref="D34:E35"/>
    <mergeCell ref="C37:C38"/>
    <mergeCell ref="D37:E38"/>
    <mergeCell ref="C40:C41"/>
    <mergeCell ref="J21:J23"/>
    <mergeCell ref="I21:I23"/>
    <mergeCell ref="I19:Q19"/>
    <mergeCell ref="P21:Q21"/>
    <mergeCell ref="N21:O21"/>
    <mergeCell ref="M21:M23"/>
    <mergeCell ref="L21:L23"/>
    <mergeCell ref="K21:K2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Ejercicio 1</vt:lpstr>
      <vt:lpstr>Ejercicio 2</vt:lpstr>
      <vt:lpstr>Ejercicio 3</vt:lpstr>
      <vt:lpstr>Ejercicio 4</vt:lpstr>
      <vt:lpstr>Ejercicio 5</vt:lpstr>
      <vt:lpstr>Ejercicio 6</vt:lpstr>
      <vt:lpstr>Ejercicio 7</vt:lpstr>
      <vt:lpstr>Ejercicio 8</vt:lpstr>
      <vt:lpstr>Ejercicio 9</vt:lpstr>
      <vt:lpstr>Ejercicio 10</vt:lpstr>
      <vt:lpstr>Ejercicio 11</vt:lpstr>
      <vt:lpstr>Ejercicio 12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2019-06-19T15:26:14Z</dcterms:created>
  <dcterms:modified xsi:type="dcterms:W3CDTF">2022-03-25T18:23:03Z</dcterms:modified>
</cp:coreProperties>
</file>