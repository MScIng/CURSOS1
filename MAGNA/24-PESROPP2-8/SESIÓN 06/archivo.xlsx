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024\Desktop\Clases\HUBER\"/>
    </mc:Choice>
  </mc:AlternateContent>
  <xr:revisionPtr revIDLastSave="0" documentId="8_{B3A8073C-207F-4C7C-AC09-40A3521313AF}" xr6:coauthVersionLast="47" xr6:coauthVersionMax="47" xr10:uidLastSave="{00000000-0000-0000-0000-000000000000}"/>
  <bookViews>
    <workbookView xWindow="-108" yWindow="-108" windowWidth="23256" windowHeight="12456" xr2:uid="{8314846F-A754-4C05-83B4-739B1A5ABF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I9" i="1" s="1"/>
  <c r="H10" i="1"/>
  <c r="H4" i="1"/>
  <c r="I4" i="1" s="1"/>
  <c r="J4" i="1" s="1"/>
  <c r="H5" i="1"/>
  <c r="I5" i="1" s="1"/>
  <c r="J5" i="1" s="1"/>
  <c r="H6" i="1"/>
  <c r="I6" i="1" s="1"/>
  <c r="H7" i="1"/>
  <c r="I7" i="1" s="1"/>
  <c r="H8" i="1"/>
  <c r="I8" i="1" s="1"/>
  <c r="I10" i="1"/>
  <c r="N4" i="1"/>
  <c r="O4" i="1" s="1"/>
  <c r="P4" i="1" s="1"/>
  <c r="N5" i="1"/>
  <c r="O5" i="1" s="1"/>
  <c r="P5" i="1" s="1"/>
  <c r="N6" i="1"/>
  <c r="O6" i="1" s="1"/>
  <c r="N7" i="1"/>
  <c r="O7" i="1" s="1"/>
  <c r="N8" i="1"/>
  <c r="O8" i="1" s="1"/>
  <c r="N9" i="1"/>
  <c r="O9" i="1" s="1"/>
  <c r="N10" i="1"/>
  <c r="O10" i="1" s="1"/>
  <c r="N3" i="1"/>
  <c r="O3" i="1" s="1"/>
  <c r="H3" i="1"/>
  <c r="I3" i="1" s="1"/>
  <c r="L10" i="1"/>
  <c r="L9" i="1"/>
  <c r="L8" i="1"/>
  <c r="L7" i="1"/>
  <c r="L6" i="1"/>
  <c r="L5" i="1"/>
  <c r="M5" i="1" s="1"/>
  <c r="L4" i="1"/>
  <c r="M4" i="1" s="1"/>
  <c r="L3" i="1"/>
  <c r="F10" i="1"/>
  <c r="F9" i="1"/>
  <c r="F8" i="1"/>
  <c r="F7" i="1"/>
  <c r="F6" i="1"/>
  <c r="F5" i="1"/>
  <c r="F4" i="1"/>
  <c r="F3" i="1"/>
  <c r="D4" i="1"/>
  <c r="D5" i="1"/>
  <c r="D6" i="1"/>
  <c r="D7" i="1"/>
  <c r="D8" i="1"/>
  <c r="D9" i="1"/>
  <c r="M9" i="1" s="1"/>
  <c r="D10" i="1"/>
  <c r="M10" i="1" s="1"/>
  <c r="D3" i="1"/>
  <c r="G7" i="1" l="1"/>
  <c r="G8" i="1"/>
  <c r="P9" i="1"/>
  <c r="G9" i="1"/>
  <c r="P8" i="1"/>
  <c r="G10" i="1"/>
  <c r="P7" i="1"/>
  <c r="P6" i="1"/>
  <c r="M8" i="1"/>
  <c r="M3" i="1"/>
  <c r="M7" i="1"/>
  <c r="J8" i="1"/>
  <c r="M6" i="1"/>
  <c r="J7" i="1"/>
  <c r="J6" i="1"/>
  <c r="J9" i="1"/>
  <c r="G3" i="1"/>
  <c r="G4" i="1"/>
  <c r="G5" i="1"/>
  <c r="P10" i="1"/>
  <c r="J10" i="1"/>
  <c r="G6" i="1"/>
  <c r="O11" i="1"/>
  <c r="P3" i="1"/>
  <c r="I11" i="1"/>
  <c r="J3" i="1"/>
  <c r="L11" i="1"/>
  <c r="F11" i="1"/>
  <c r="D11" i="1"/>
  <c r="I13" i="1" l="1"/>
  <c r="I21" i="1"/>
  <c r="F12" i="1"/>
  <c r="F21" i="1"/>
  <c r="L12" i="1"/>
  <c r="L21" i="1"/>
  <c r="O13" i="1"/>
  <c r="O21" i="1"/>
  <c r="I12" i="1"/>
  <c r="O12" i="1"/>
  <c r="L13" i="1"/>
  <c r="L14" i="1" s="1"/>
  <c r="F13" i="1"/>
  <c r="F14" i="1" s="1"/>
  <c r="F19" i="1" s="1"/>
  <c r="D13" i="1"/>
  <c r="D12" i="1"/>
  <c r="L15" i="1" l="1"/>
  <c r="L16" i="1" s="1"/>
  <c r="L17" i="1" s="1"/>
  <c r="L18" i="1" s="1"/>
  <c r="L19" i="1"/>
  <c r="O14" i="1"/>
  <c r="O19" i="1" s="1"/>
  <c r="I14" i="1"/>
  <c r="O16" i="1"/>
  <c r="O17" i="1" s="1"/>
  <c r="O18" i="1" s="1"/>
  <c r="F15" i="1"/>
  <c r="F16" i="1" s="1"/>
  <c r="F17" i="1" s="1"/>
  <c r="F18" i="1" s="1"/>
  <c r="D14" i="1"/>
  <c r="D19" i="1" s="1"/>
  <c r="I15" i="1" l="1"/>
  <c r="I16" i="1" s="1"/>
  <c r="I17" i="1" s="1"/>
  <c r="I18" i="1" s="1"/>
  <c r="I19" i="1"/>
  <c r="D15" i="1"/>
  <c r="D16" i="1" s="1"/>
  <c r="D17" i="1" s="1"/>
  <c r="D18" i="1" s="1"/>
</calcChain>
</file>

<file path=xl/sharedStrings.xml><?xml version="1.0" encoding="utf-8"?>
<sst xmlns="http://schemas.openxmlformats.org/spreadsheetml/2006/main" count="38" uniqueCount="26">
  <si>
    <t>ACTIVIDAD 01</t>
  </si>
  <si>
    <t>ACTIVIDAD 02</t>
  </si>
  <si>
    <t>ACTIVIDAD 03</t>
  </si>
  <si>
    <t>ACTIVIDAD 04</t>
  </si>
  <si>
    <t>ACTIVIDAD 05</t>
  </si>
  <si>
    <t>ACTIVIDAD 06</t>
  </si>
  <si>
    <t>ACTIVIDAD 07</t>
  </si>
  <si>
    <t>ACTIVIDAD 08</t>
  </si>
  <si>
    <t>GASTOS GENERALES</t>
  </si>
  <si>
    <t>UTILIDAD</t>
  </si>
  <si>
    <t>SUB TOTAL</t>
  </si>
  <si>
    <t>IGV</t>
  </si>
  <si>
    <t>METRADO</t>
  </si>
  <si>
    <t>PU</t>
  </si>
  <si>
    <t>PARCIAL</t>
  </si>
  <si>
    <t>COSTO DIRECTO</t>
  </si>
  <si>
    <t>PRESUPUESTO TOTAL</t>
  </si>
  <si>
    <t>DESCRIPCIÓN</t>
  </si>
  <si>
    <t>VALORIZACIÓN ANTERIOR</t>
  </si>
  <si>
    <t>%</t>
  </si>
  <si>
    <t>VALORIZACIÓN ACTUAL</t>
  </si>
  <si>
    <t>VALORIZACIÓN ACUMULADA</t>
  </si>
  <si>
    <t>SALDO</t>
  </si>
  <si>
    <t>AVANCE DE OBRA</t>
  </si>
  <si>
    <t>AMORTIZACIÓN</t>
  </si>
  <si>
    <t>FONDO DE 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</si>
</sst>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44" fontId="0" fillId="0" borderId="0" xfId="2" applyFont="1"/>
    <xf numFmtId="0" fontId="3" fillId="0" borderId="0" xfId="0" applyFont="1"/>
    <xf numFmtId="44" fontId="3" fillId="0" borderId="0" xfId="2" applyFont="1"/>
    <xf numFmtId="44" fontId="5" fillId="0" borderId="0" xfId="2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44" fontId="0" fillId="0" borderId="1" xfId="2" applyFont="1" applyBorder="1"/>
    <xf numFmtId="44" fontId="5" fillId="0" borderId="1" xfId="2" applyFont="1" applyBorder="1"/>
    <xf numFmtId="9" fontId="0" fillId="0" borderId="0" xfId="3" applyFont="1" applyFill="1" applyBorder="1"/>
    <xf numFmtId="44" fontId="0" fillId="0" borderId="1" xfId="0" applyNumberFormat="1" applyBorder="1"/>
    <xf numFmtId="10" fontId="0" fillId="0" borderId="1" xfId="3" applyNumberFormat="1" applyFont="1" applyBorder="1"/>
    <xf numFmtId="10" fontId="3" fillId="0" borderId="0" xfId="3" applyNumberFormat="1" applyFont="1"/>
    <xf numFmtId="9" fontId="3" fillId="0" borderId="0" xfId="3" applyFont="1" applyFill="1" applyBorder="1"/>
    <xf numFmtId="0" fontId="2" fillId="0" borderId="0" xfId="0" applyFont="1"/>
    <xf numFmtId="9" fontId="2" fillId="0" borderId="0" xfId="3" applyFont="1" applyFill="1" applyBorder="1"/>
    <xf numFmtId="44" fontId="6" fillId="0" borderId="0" xfId="2" applyFont="1"/>
    <xf numFmtId="0" fontId="7" fillId="0" borderId="0" xfId="0" applyFont="1"/>
    <xf numFmtId="9" fontId="7" fillId="0" borderId="0" xfId="3" applyFont="1" applyFill="1" applyBorder="1"/>
    <xf numFmtId="44" fontId="7" fillId="0" borderId="0" xfId="2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ABF6-6230-44EC-8112-0970ADE2638B}">
  <dimension ref="A1:P23"/>
  <sheetViews>
    <sheetView tabSelected="1" workbookViewId="0">
      <selection activeCell="K7" sqref="K7"/>
    </sheetView>
  </sheetViews>
  <sheetFormatPr baseColWidth="10" defaultRowHeight="14.4" x14ac:dyDescent="0.3"/>
  <cols>
    <col min="1" max="1" width="18.77734375" bestFit="1" customWidth="1"/>
    <col min="4" max="4" width="13.77734375" bestFit="1" customWidth="1"/>
    <col min="6" max="6" width="13.77734375" bestFit="1" customWidth="1"/>
    <col min="9" max="9" width="13.77734375" bestFit="1" customWidth="1"/>
    <col min="12" max="12" width="13.77734375" bestFit="1" customWidth="1"/>
    <col min="15" max="15" width="13.77734375" bestFit="1" customWidth="1"/>
  </cols>
  <sheetData>
    <row r="1" spans="1:16" s="6" customFormat="1" x14ac:dyDescent="0.3">
      <c r="A1" s="7" t="s">
        <v>17</v>
      </c>
      <c r="B1" s="7" t="s">
        <v>12</v>
      </c>
      <c r="C1" s="7" t="s">
        <v>13</v>
      </c>
      <c r="D1" s="7" t="s">
        <v>14</v>
      </c>
      <c r="E1" s="7" t="s">
        <v>18</v>
      </c>
      <c r="F1" s="7"/>
      <c r="G1" s="7"/>
      <c r="H1" s="7" t="s">
        <v>20</v>
      </c>
      <c r="I1" s="7"/>
      <c r="J1" s="7"/>
      <c r="K1" s="7" t="s">
        <v>21</v>
      </c>
      <c r="L1" s="7"/>
      <c r="M1" s="7"/>
      <c r="N1" s="7" t="s">
        <v>22</v>
      </c>
      <c r="O1" s="7"/>
      <c r="P1" s="7"/>
    </row>
    <row r="2" spans="1:16" s="5" customFormat="1" x14ac:dyDescent="0.3">
      <c r="A2" s="7"/>
      <c r="B2" s="7"/>
      <c r="C2" s="7"/>
      <c r="D2" s="7"/>
      <c r="E2" s="8" t="s">
        <v>12</v>
      </c>
      <c r="F2" s="8" t="s">
        <v>14</v>
      </c>
      <c r="G2" s="8" t="s">
        <v>19</v>
      </c>
      <c r="H2" s="8" t="s">
        <v>12</v>
      </c>
      <c r="I2" s="8" t="s">
        <v>14</v>
      </c>
      <c r="J2" s="8" t="s">
        <v>19</v>
      </c>
      <c r="K2" s="8" t="s">
        <v>12</v>
      </c>
      <c r="L2" s="8" t="s">
        <v>14</v>
      </c>
      <c r="M2" s="8" t="s">
        <v>19</v>
      </c>
      <c r="N2" s="8" t="s">
        <v>12</v>
      </c>
      <c r="O2" s="8" t="s">
        <v>14</v>
      </c>
      <c r="P2" s="8" t="s">
        <v>19</v>
      </c>
    </row>
    <row r="3" spans="1:16" x14ac:dyDescent="0.3">
      <c r="A3" s="9" t="s">
        <v>0</v>
      </c>
      <c r="B3" s="10">
        <v>150</v>
      </c>
      <c r="C3" s="11">
        <v>50</v>
      </c>
      <c r="D3" s="11">
        <f>+B3*C3</f>
        <v>7500</v>
      </c>
      <c r="E3" s="10">
        <v>150</v>
      </c>
      <c r="F3" s="14">
        <f>+E3*$C3</f>
        <v>7500</v>
      </c>
      <c r="G3" s="15">
        <f>+F3/$D3</f>
        <v>1</v>
      </c>
      <c r="H3" s="10">
        <f>+K3-E3</f>
        <v>150</v>
      </c>
      <c r="I3" s="14">
        <f>+H3*$C3</f>
        <v>7500</v>
      </c>
      <c r="J3" s="15">
        <f>+I3/$D3</f>
        <v>1</v>
      </c>
      <c r="K3" s="10">
        <v>300</v>
      </c>
      <c r="L3" s="14">
        <f>+K3*$C3</f>
        <v>15000</v>
      </c>
      <c r="M3" s="15">
        <f>+L3/$D3</f>
        <v>2</v>
      </c>
      <c r="N3" s="10">
        <f>+B3-K3</f>
        <v>-150</v>
      </c>
      <c r="O3" s="14">
        <f>+N3*$C3</f>
        <v>-7500</v>
      </c>
      <c r="P3" s="15">
        <f>+O3/$D3</f>
        <v>-1</v>
      </c>
    </row>
    <row r="4" spans="1:16" x14ac:dyDescent="0.3">
      <c r="A4" s="9" t="s">
        <v>1</v>
      </c>
      <c r="B4" s="10">
        <v>200</v>
      </c>
      <c r="C4" s="11">
        <v>100</v>
      </c>
      <c r="D4" s="11">
        <f t="shared" ref="D4:D10" si="0">+B4*C4</f>
        <v>20000</v>
      </c>
      <c r="E4" s="10">
        <v>200</v>
      </c>
      <c r="F4" s="14">
        <f>+E4*$C4</f>
        <v>20000</v>
      </c>
      <c r="G4" s="15">
        <f>+F4/$D4</f>
        <v>1</v>
      </c>
      <c r="H4" s="10">
        <f t="shared" ref="H4:H10" si="1">+K4-E4</f>
        <v>200</v>
      </c>
      <c r="I4" s="14">
        <f>+H4*$C4</f>
        <v>20000</v>
      </c>
      <c r="J4" s="15">
        <f>+I4/$D4</f>
        <v>1</v>
      </c>
      <c r="K4" s="10">
        <v>400</v>
      </c>
      <c r="L4" s="14">
        <f>+K4*$C4</f>
        <v>40000</v>
      </c>
      <c r="M4" s="15">
        <f>+L4/$D4</f>
        <v>2</v>
      </c>
      <c r="N4" s="10">
        <f t="shared" ref="N4:N10" si="2">+B4-K4</f>
        <v>-200</v>
      </c>
      <c r="O4" s="14">
        <f>+N4*$C4</f>
        <v>-20000</v>
      </c>
      <c r="P4" s="15">
        <f>+O4/$D4</f>
        <v>-1</v>
      </c>
    </row>
    <row r="5" spans="1:16" x14ac:dyDescent="0.3">
      <c r="A5" s="9" t="s">
        <v>2</v>
      </c>
      <c r="B5" s="10">
        <v>350</v>
      </c>
      <c r="C5" s="11">
        <v>80</v>
      </c>
      <c r="D5" s="11">
        <f t="shared" si="0"/>
        <v>28000</v>
      </c>
      <c r="E5" s="10">
        <v>350</v>
      </c>
      <c r="F5" s="14">
        <f>+E5*$C5</f>
        <v>28000</v>
      </c>
      <c r="G5" s="15">
        <f>+F5/$D5</f>
        <v>1</v>
      </c>
      <c r="H5" s="10">
        <f t="shared" si="1"/>
        <v>50</v>
      </c>
      <c r="I5" s="14">
        <f>+H5*$C5</f>
        <v>4000</v>
      </c>
      <c r="J5" s="15">
        <f>+I5/$D5</f>
        <v>0.14285714285714285</v>
      </c>
      <c r="K5" s="10">
        <v>400</v>
      </c>
      <c r="L5" s="14">
        <f>+K5*$C5</f>
        <v>32000</v>
      </c>
      <c r="M5" s="15">
        <f>+L5/$D5</f>
        <v>1.1428571428571428</v>
      </c>
      <c r="N5" s="10">
        <f t="shared" si="2"/>
        <v>-50</v>
      </c>
      <c r="O5" s="14">
        <f>+N5*$C5</f>
        <v>-4000</v>
      </c>
      <c r="P5" s="15">
        <f>+O5/$D5</f>
        <v>-0.14285714285714285</v>
      </c>
    </row>
    <row r="6" spans="1:16" x14ac:dyDescent="0.3">
      <c r="A6" s="9" t="s">
        <v>3</v>
      </c>
      <c r="B6" s="10">
        <v>500</v>
      </c>
      <c r="C6" s="11">
        <v>60</v>
      </c>
      <c r="D6" s="11">
        <f t="shared" si="0"/>
        <v>30000</v>
      </c>
      <c r="E6" s="10">
        <v>500</v>
      </c>
      <c r="F6" s="14">
        <f>+E6*$C6</f>
        <v>30000</v>
      </c>
      <c r="G6" s="15">
        <f>+F6/$D6</f>
        <v>1</v>
      </c>
      <c r="H6" s="10">
        <f t="shared" si="1"/>
        <v>100</v>
      </c>
      <c r="I6" s="14">
        <f>+H6*$C6</f>
        <v>6000</v>
      </c>
      <c r="J6" s="15">
        <f>+I6/$D6</f>
        <v>0.2</v>
      </c>
      <c r="K6" s="10">
        <v>600</v>
      </c>
      <c r="L6" s="14">
        <f>+K6*$C6</f>
        <v>36000</v>
      </c>
      <c r="M6" s="15">
        <f>+L6/$D6</f>
        <v>1.2</v>
      </c>
      <c r="N6" s="10">
        <f t="shared" si="2"/>
        <v>-100</v>
      </c>
      <c r="O6" s="14">
        <f>+N6*$C6</f>
        <v>-6000</v>
      </c>
      <c r="P6" s="15">
        <f>+O6/$D6</f>
        <v>-0.2</v>
      </c>
    </row>
    <row r="7" spans="1:16" x14ac:dyDescent="0.3">
      <c r="A7" s="9" t="s">
        <v>4</v>
      </c>
      <c r="B7" s="10">
        <v>800</v>
      </c>
      <c r="C7" s="11">
        <v>65</v>
      </c>
      <c r="D7" s="11">
        <f t="shared" si="0"/>
        <v>52000</v>
      </c>
      <c r="E7" s="10">
        <v>800</v>
      </c>
      <c r="F7" s="14">
        <f>+E7*$C7</f>
        <v>52000</v>
      </c>
      <c r="G7" s="15">
        <f>+F7/$D7</f>
        <v>1</v>
      </c>
      <c r="H7" s="10">
        <f t="shared" si="1"/>
        <v>0</v>
      </c>
      <c r="I7" s="14">
        <f>+H7*$C7</f>
        <v>0</v>
      </c>
      <c r="J7" s="15">
        <f>+I7/$D7</f>
        <v>0</v>
      </c>
      <c r="K7" s="10">
        <v>800</v>
      </c>
      <c r="L7" s="14">
        <f>+K7*$C7</f>
        <v>52000</v>
      </c>
      <c r="M7" s="15">
        <f>+L7/$D7</f>
        <v>1</v>
      </c>
      <c r="N7" s="10">
        <f t="shared" si="2"/>
        <v>0</v>
      </c>
      <c r="O7" s="14">
        <f>+N7*$C7</f>
        <v>0</v>
      </c>
      <c r="P7" s="15">
        <f>+O7/$D7</f>
        <v>0</v>
      </c>
    </row>
    <row r="8" spans="1:16" x14ac:dyDescent="0.3">
      <c r="A8" s="9" t="s">
        <v>5</v>
      </c>
      <c r="B8" s="10">
        <v>500</v>
      </c>
      <c r="C8" s="11">
        <v>90</v>
      </c>
      <c r="D8" s="11">
        <f t="shared" si="0"/>
        <v>45000</v>
      </c>
      <c r="E8" s="10">
        <v>500</v>
      </c>
      <c r="F8" s="14">
        <f>+E8*$C8</f>
        <v>45000</v>
      </c>
      <c r="G8" s="15">
        <f>+F8/$D8</f>
        <v>1</v>
      </c>
      <c r="H8" s="10">
        <f t="shared" si="1"/>
        <v>0</v>
      </c>
      <c r="I8" s="14">
        <f>+H8*$C8</f>
        <v>0</v>
      </c>
      <c r="J8" s="15">
        <f>+I8/$D8</f>
        <v>0</v>
      </c>
      <c r="K8" s="10">
        <v>500</v>
      </c>
      <c r="L8" s="14">
        <f>+K8*$C8</f>
        <v>45000</v>
      </c>
      <c r="M8" s="15">
        <f>+L8/$D8</f>
        <v>1</v>
      </c>
      <c r="N8" s="10">
        <f t="shared" si="2"/>
        <v>0</v>
      </c>
      <c r="O8" s="14">
        <f>+N8*$C8</f>
        <v>0</v>
      </c>
      <c r="P8" s="15">
        <f>+O8/$D8</f>
        <v>0</v>
      </c>
    </row>
    <row r="9" spans="1:16" x14ac:dyDescent="0.3">
      <c r="A9" s="9" t="s">
        <v>6</v>
      </c>
      <c r="B9" s="10">
        <v>750</v>
      </c>
      <c r="C9" s="11">
        <v>150</v>
      </c>
      <c r="D9" s="11">
        <f t="shared" si="0"/>
        <v>112500</v>
      </c>
      <c r="E9" s="10">
        <v>500</v>
      </c>
      <c r="F9" s="14">
        <f>+E9*$C9</f>
        <v>75000</v>
      </c>
      <c r="G9" s="15">
        <f>+F9/$D9</f>
        <v>0.66666666666666663</v>
      </c>
      <c r="H9" s="10">
        <f t="shared" si="1"/>
        <v>250</v>
      </c>
      <c r="I9" s="14">
        <f>+H9*$C9</f>
        <v>37500</v>
      </c>
      <c r="J9" s="15">
        <f>+I9/$D9</f>
        <v>0.33333333333333331</v>
      </c>
      <c r="K9" s="10">
        <v>750</v>
      </c>
      <c r="L9" s="14">
        <f>+K9*$C9</f>
        <v>112500</v>
      </c>
      <c r="M9" s="15">
        <f>+L9/$D9</f>
        <v>1</v>
      </c>
      <c r="N9" s="10">
        <f t="shared" si="2"/>
        <v>0</v>
      </c>
      <c r="O9" s="14">
        <f>+N9*$C9</f>
        <v>0</v>
      </c>
      <c r="P9" s="15">
        <f>+O9/$D9</f>
        <v>0</v>
      </c>
    </row>
    <row r="10" spans="1:16" ht="16.2" x14ac:dyDescent="0.45">
      <c r="A10" s="9" t="s">
        <v>7</v>
      </c>
      <c r="B10" s="10">
        <v>600</v>
      </c>
      <c r="C10" s="11">
        <v>95</v>
      </c>
      <c r="D10" s="12">
        <f t="shared" si="0"/>
        <v>57000</v>
      </c>
      <c r="E10" s="10">
        <v>200</v>
      </c>
      <c r="F10" s="14">
        <f>+E10*$C10</f>
        <v>19000</v>
      </c>
      <c r="G10" s="15">
        <f>+F10/$D10</f>
        <v>0.33333333333333331</v>
      </c>
      <c r="H10" s="10">
        <f t="shared" si="1"/>
        <v>400</v>
      </c>
      <c r="I10" s="14">
        <f>+H10*$C10</f>
        <v>38000</v>
      </c>
      <c r="J10" s="15">
        <f>+I10/$D10</f>
        <v>0.66666666666666663</v>
      </c>
      <c r="K10" s="10">
        <v>600</v>
      </c>
      <c r="L10" s="14">
        <f>+K10*$C10</f>
        <v>57000</v>
      </c>
      <c r="M10" s="15">
        <f>+L10/$D10</f>
        <v>1</v>
      </c>
      <c r="N10" s="10">
        <f t="shared" si="2"/>
        <v>0</v>
      </c>
      <c r="O10" s="14">
        <f>+N10*$C10</f>
        <v>0</v>
      </c>
      <c r="P10" s="15">
        <f>+O10/$D10</f>
        <v>0</v>
      </c>
    </row>
    <row r="11" spans="1:16" x14ac:dyDescent="0.3">
      <c r="A11" t="s">
        <v>15</v>
      </c>
      <c r="D11" s="1">
        <f>SUM(D3:D10)</f>
        <v>352000</v>
      </c>
      <c r="F11" s="1">
        <f>SUM(F3:F10)</f>
        <v>276500</v>
      </c>
      <c r="I11" s="1">
        <f>SUM(I3:I10)</f>
        <v>113000</v>
      </c>
      <c r="L11" s="1">
        <f>SUM(L3:L10)</f>
        <v>389500</v>
      </c>
      <c r="O11" s="1">
        <f>SUM(O3:O10)</f>
        <v>-37500</v>
      </c>
    </row>
    <row r="12" spans="1:16" x14ac:dyDescent="0.3">
      <c r="A12" t="s">
        <v>8</v>
      </c>
      <c r="B12" s="13">
        <v>0.1</v>
      </c>
      <c r="D12" s="1">
        <f>+D11*$B$12</f>
        <v>35200</v>
      </c>
      <c r="F12" s="1">
        <f>+F11*$B$12</f>
        <v>27650</v>
      </c>
      <c r="I12" s="1">
        <f>+I11*$B$12</f>
        <v>11300</v>
      </c>
      <c r="L12" s="1">
        <f>+L11*$B$12</f>
        <v>38950</v>
      </c>
      <c r="O12" s="1">
        <f>+O11*$B$12</f>
        <v>-3750</v>
      </c>
    </row>
    <row r="13" spans="1:16" ht="16.2" x14ac:dyDescent="0.45">
      <c r="A13" t="s">
        <v>9</v>
      </c>
      <c r="B13" s="13">
        <v>0.1</v>
      </c>
      <c r="D13" s="4">
        <f>+D11*$B$13</f>
        <v>35200</v>
      </c>
      <c r="F13" s="4">
        <f>+F11*$B$13</f>
        <v>27650</v>
      </c>
      <c r="I13" s="4">
        <f>+I11*$B$13</f>
        <v>11300</v>
      </c>
      <c r="L13" s="4">
        <f>+L11*$B$13</f>
        <v>38950</v>
      </c>
      <c r="O13" s="4">
        <f>+O11*$B$13</f>
        <v>-3750</v>
      </c>
    </row>
    <row r="14" spans="1:16" s="2" customFormat="1" x14ac:dyDescent="0.3">
      <c r="A14" s="2" t="s">
        <v>10</v>
      </c>
      <c r="D14" s="3">
        <f>+D11+D12+D13</f>
        <v>422400</v>
      </c>
      <c r="F14" s="3">
        <f>+F11+F12+F13</f>
        <v>331800</v>
      </c>
      <c r="I14" s="3">
        <f>+I11+I12+I13</f>
        <v>135600</v>
      </c>
      <c r="L14" s="3">
        <f>+L11+L12+L13</f>
        <v>467400</v>
      </c>
      <c r="O14" s="3">
        <f>+O11+O12+O13</f>
        <v>-45000</v>
      </c>
    </row>
    <row r="15" spans="1:16" s="18" customFormat="1" ht="16.2" x14ac:dyDescent="0.45">
      <c r="A15" s="18" t="s">
        <v>24</v>
      </c>
      <c r="B15" s="19">
        <v>0.2</v>
      </c>
      <c r="D15" s="20">
        <f>-D14*$B$15</f>
        <v>-84480</v>
      </c>
      <c r="F15" s="20">
        <f>-F14*$B$15</f>
        <v>-66360</v>
      </c>
      <c r="I15" s="20">
        <f>-I14*$B$15-6360</f>
        <v>-33480</v>
      </c>
      <c r="L15" s="20">
        <f>-L14*$B$15-63607</f>
        <v>-157087</v>
      </c>
      <c r="O15" s="20">
        <v>0</v>
      </c>
    </row>
    <row r="16" spans="1:16" s="2" customFormat="1" x14ac:dyDescent="0.3">
      <c r="A16" s="2" t="s">
        <v>10</v>
      </c>
      <c r="B16" s="17"/>
      <c r="D16" s="3">
        <f>+D14+D15</f>
        <v>337920</v>
      </c>
      <c r="F16" s="3">
        <f>+F14+F15</f>
        <v>265440</v>
      </c>
      <c r="I16" s="3">
        <f>+I14+I15</f>
        <v>102120</v>
      </c>
      <c r="L16" s="3">
        <f>+L14+L15</f>
        <v>310313</v>
      </c>
      <c r="O16" s="3">
        <f>+O14+O15</f>
        <v>-45000</v>
      </c>
    </row>
    <row r="17" spans="1:15" ht="16.2" x14ac:dyDescent="0.45">
      <c r="A17" t="s">
        <v>11</v>
      </c>
      <c r="B17" s="13">
        <v>0.18</v>
      </c>
      <c r="D17" s="4">
        <f>+D16*$B$17</f>
        <v>60825.599999999999</v>
      </c>
      <c r="F17" s="4">
        <f>+F16*$B$17</f>
        <v>47779.199999999997</v>
      </c>
      <c r="I17" s="4">
        <f>+I16*$B$17</f>
        <v>18381.599999999999</v>
      </c>
      <c r="L17" s="4">
        <f>+L16*$B$17</f>
        <v>55856.34</v>
      </c>
      <c r="O17" s="4">
        <f>+O16*$B$17</f>
        <v>-8100</v>
      </c>
    </row>
    <row r="18" spans="1:15" s="2" customFormat="1" x14ac:dyDescent="0.3">
      <c r="A18" s="2" t="s">
        <v>16</v>
      </c>
      <c r="D18" s="3">
        <f>+D14+D17</f>
        <v>483225.59999999998</v>
      </c>
      <c r="F18" s="3">
        <f>+F14+F17</f>
        <v>379579.2</v>
      </c>
      <c r="I18" s="3">
        <f>+I14+I17</f>
        <v>153981.6</v>
      </c>
      <c r="L18" s="3">
        <f>+L14+L17</f>
        <v>523256.33999999997</v>
      </c>
      <c r="O18" s="3">
        <f>+O14+O17</f>
        <v>-53100</v>
      </c>
    </row>
    <row r="19" spans="1:15" s="21" customFormat="1" x14ac:dyDescent="0.3">
      <c r="A19" s="21" t="s">
        <v>25</v>
      </c>
      <c r="B19" s="22">
        <v>0.05</v>
      </c>
      <c r="D19" s="23">
        <f>-$B$19*D14</f>
        <v>-21120</v>
      </c>
      <c r="F19" s="23">
        <f>-$B$19*F14</f>
        <v>-16590</v>
      </c>
      <c r="I19" s="23">
        <f>-$B$19*I14</f>
        <v>-6780</v>
      </c>
      <c r="L19" s="23">
        <f>-$B$19*L14</f>
        <v>-23370</v>
      </c>
      <c r="O19" s="23">
        <f>-$B$19*O14</f>
        <v>2250</v>
      </c>
    </row>
    <row r="20" spans="1:15" s="21" customFormat="1" x14ac:dyDescent="0.3">
      <c r="B20" s="22"/>
      <c r="D20" s="23"/>
      <c r="F20" s="23"/>
      <c r="I20" s="23"/>
      <c r="L20" s="23"/>
      <c r="O20" s="23"/>
    </row>
    <row r="21" spans="1:15" s="2" customFormat="1" x14ac:dyDescent="0.3">
      <c r="A21" s="2" t="s">
        <v>23</v>
      </c>
      <c r="D21" s="3"/>
      <c r="F21" s="16">
        <f>+F11/$D$11</f>
        <v>0.78551136363636365</v>
      </c>
      <c r="I21" s="16">
        <f>+I11/$D$11</f>
        <v>0.32102272727272729</v>
      </c>
      <c r="L21" s="16">
        <f>+L11/$D$11</f>
        <v>1.1065340909090908</v>
      </c>
      <c r="O21" s="16">
        <f>+O11/$D$11</f>
        <v>-0.10653409090909091</v>
      </c>
    </row>
    <row r="22" spans="1:15" x14ac:dyDescent="0.3">
      <c r="D22" s="1"/>
    </row>
    <row r="23" spans="1:15" x14ac:dyDescent="0.3">
      <c r="D23" s="1"/>
      <c r="K23">
        <v>-6360</v>
      </c>
    </row>
  </sheetData>
  <mergeCells count="8">
    <mergeCell ref="K1:M1"/>
    <mergeCell ref="N1:P1"/>
    <mergeCell ref="A1:A2"/>
    <mergeCell ref="B1:B2"/>
    <mergeCell ref="C1:C2"/>
    <mergeCell ref="D1:D2"/>
    <mergeCell ref="E1:G1"/>
    <mergeCell ref="H1:J1"/>
  </mergeCells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Met024</dc:creator>
  <cp:lastModifiedBy>Met024</cp:lastModifiedBy>
  <dcterms:created xsi:type="dcterms:W3CDTF">2024-09-25T00:42:37Z</dcterms:created>
  <dcterms:modified xsi:type="dcterms:W3CDTF">2024-09-25T03:01:53Z</dcterms:modified>
</cp:coreProperties>
</file>