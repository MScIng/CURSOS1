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SAR_IVAN\@DOCENCIA\TEDI\Julio_2023\"/>
    </mc:Choice>
  </mc:AlternateContent>
  <xr:revisionPtr revIDLastSave="0" documentId="8_{E89221DB-AEBB-46B6-907D-C027FFDBD785}" xr6:coauthVersionLast="47" xr6:coauthVersionMax="47" xr10:uidLastSave="{00000000-0000-0000-0000-000000000000}"/>
  <bookViews>
    <workbookView xWindow="-120" yWindow="-120" windowWidth="20730" windowHeight="11160" activeTab="3" xr2:uid="{7C586470-1289-4C00-A47E-FA1EE80C09B6}"/>
  </bookViews>
  <sheets>
    <sheet name="Hoja2" sheetId="2" r:id="rId1"/>
    <sheet name="Hoja3" sheetId="3" r:id="rId2"/>
    <sheet name="Hoja1" sheetId="1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5" l="1"/>
  <c r="I19" i="5"/>
  <c r="G15" i="5"/>
  <c r="H15" i="5"/>
  <c r="I15" i="5" s="1"/>
  <c r="G16" i="5"/>
  <c r="H16" i="5"/>
  <c r="I16" i="5" s="1"/>
  <c r="G17" i="5"/>
  <c r="H17" i="5"/>
  <c r="I17" i="5" s="1"/>
  <c r="G18" i="5"/>
  <c r="H18" i="5"/>
  <c r="I18" i="5" s="1"/>
  <c r="H14" i="5"/>
  <c r="I14" i="5" s="1"/>
  <c r="G14" i="5"/>
  <c r="H5" i="1"/>
  <c r="G5" i="1"/>
</calcChain>
</file>

<file path=xl/sharedStrings.xml><?xml version="1.0" encoding="utf-8"?>
<sst xmlns="http://schemas.openxmlformats.org/spreadsheetml/2006/main" count="132" uniqueCount="75">
  <si>
    <t>ITEM</t>
  </si>
  <si>
    <t>PARTIDA</t>
  </si>
  <si>
    <t>UND</t>
  </si>
  <si>
    <t>METRADO</t>
  </si>
  <si>
    <t>PU</t>
  </si>
  <si>
    <t>PARCIAL</t>
  </si>
  <si>
    <t>CONCRETO F'C=210 KG/CM2 EN ZAPATAS</t>
  </si>
  <si>
    <t>M3</t>
  </si>
  <si>
    <t>XX.XX.XX</t>
  </si>
  <si>
    <t>ANALISIS DE PRECIO UNITARIO</t>
  </si>
  <si>
    <t>RENDIMIENTO =</t>
  </si>
  <si>
    <t>M3/DIA</t>
  </si>
  <si>
    <t>DURACIÓN</t>
  </si>
  <si>
    <t>DIAS</t>
  </si>
  <si>
    <t>….....</t>
  </si>
  <si>
    <t>ESTRUCTURA DE DESGLOSE DE TRABAJO (EDT) O WORK BREAKDOWN STRUCTURE (WBS)</t>
  </si>
  <si>
    <t>PARTIDAS</t>
  </si>
  <si>
    <t>VEREDAS</t>
  </si>
  <si>
    <t>MOVIMIENTO DE TIERRAS</t>
  </si>
  <si>
    <t>1.1.1</t>
  </si>
  <si>
    <t>EXCAVACIÓN</t>
  </si>
  <si>
    <t>1.1.1.1</t>
  </si>
  <si>
    <t>EXCAVACIÓN H=0.20</t>
  </si>
  <si>
    <t>1.1.1.2</t>
  </si>
  <si>
    <t>EXCAVACIÓN H=0.40</t>
  </si>
  <si>
    <t>RELLENOS</t>
  </si>
  <si>
    <t>1.1.2</t>
  </si>
  <si>
    <t>1.1.2.1</t>
  </si>
  <si>
    <t>RELLENOS CON MATERIAL PROPIO</t>
  </si>
  <si>
    <t>1.1.2.2</t>
  </si>
  <si>
    <t>RELLENOS CON MATERIAL PRÉSTAMO</t>
  </si>
  <si>
    <t>PAQUETES DE TRABAJO</t>
  </si>
  <si>
    <t>1.1.3</t>
  </si>
  <si>
    <t>ELIMINACIÓN</t>
  </si>
  <si>
    <t>1.1.3.1</t>
  </si>
  <si>
    <t>ELIMINACIÓN DE MATERIAL EXCEDENTE</t>
  </si>
  <si>
    <t>CONCRETO SIMPLE</t>
  </si>
  <si>
    <t>1.2.1</t>
  </si>
  <si>
    <t>1.2.1.1</t>
  </si>
  <si>
    <t>ENCOFRADO</t>
  </si>
  <si>
    <t>1.2.1.2</t>
  </si>
  <si>
    <t>CONCRETO EN VEREDAS</t>
  </si>
  <si>
    <t>1.2.2</t>
  </si>
  <si>
    <t>1.2.2.1</t>
  </si>
  <si>
    <t>1.2.2.2</t>
  </si>
  <si>
    <t>RAMPAS</t>
  </si>
  <si>
    <t>CONCRETO EN RAMPAS</t>
  </si>
  <si>
    <t>M2</t>
  </si>
  <si>
    <t>INICIO DE OBRA</t>
  </si>
  <si>
    <t>HITO</t>
  </si>
  <si>
    <t>TERMINO DE RELLENOS</t>
  </si>
  <si>
    <t>FIN DE OBRA</t>
  </si>
  <si>
    <t>SOLADO</t>
  </si>
  <si>
    <t>CONCRETO EN LOSA</t>
  </si>
  <si>
    <t>DESENCOFRADO</t>
  </si>
  <si>
    <t>15 DIAS</t>
  </si>
  <si>
    <t>VELOCIDAD DE PRODUCCIÓN</t>
  </si>
  <si>
    <t>RENDIMIENTO = HH/M3</t>
  </si>
  <si>
    <t>ACTIVIDAD</t>
  </si>
  <si>
    <t>B</t>
  </si>
  <si>
    <t>A</t>
  </si>
  <si>
    <t>C</t>
  </si>
  <si>
    <t>D</t>
  </si>
  <si>
    <t>E</t>
  </si>
  <si>
    <t>OPTIMISTA</t>
  </si>
  <si>
    <t>MAS PROBABLE</t>
  </si>
  <si>
    <t>PESIMISTA</t>
  </si>
  <si>
    <t>MEDIA</t>
  </si>
  <si>
    <t>DESVIACION</t>
  </si>
  <si>
    <t>VARIANZA</t>
  </si>
  <si>
    <t>INICIO</t>
  </si>
  <si>
    <t>FIN</t>
  </si>
  <si>
    <t>DURACIÓN DEL PROYECTO =</t>
  </si>
  <si>
    <t>13 SEMANAS</t>
  </si>
  <si>
    <t>DESVIACION ESTÁNDAR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</si>
</sst>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* #,##0.00_-;\-&quot;S/&quot;* #,##0.00_-;_-&quot;S/&quot;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44" fontId="0" fillId="0" borderId="0" xfId="2" applyFont="1"/>
    <xf numFmtId="0" fontId="0" fillId="0" borderId="0" xfId="0" applyAlignment="1">
      <alignment horizontal="center"/>
    </xf>
    <xf numFmtId="43" fontId="0" fillId="2" borderId="0" xfId="1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43" fontId="0" fillId="3" borderId="0" xfId="1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4" borderId="0" xfId="0" applyFon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/>
    <xf numFmtId="0" fontId="3" fillId="5" borderId="0" xfId="0" applyFon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9AC39A3-9ACB-4CD0-8432-4C4D61FD59EF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s-PE"/>
        </a:p>
      </dgm:t>
    </dgm:pt>
    <dgm:pt modelId="{52F8D4BA-4E7D-4820-A3CD-B7FF048B62F8}">
      <dgm:prSet phldrT="[Texto]"/>
      <dgm:spPr/>
      <dgm:t>
        <a:bodyPr/>
        <a:lstStyle/>
        <a:p>
          <a:r>
            <a:rPr lang="es-PE"/>
            <a:t>VEREDAS</a:t>
          </a:r>
        </a:p>
      </dgm:t>
    </dgm:pt>
    <dgm:pt modelId="{B35C3980-FE80-4B24-89DA-05525D0DECFB}" type="parTrans" cxnId="{C1779AC7-7AA7-421A-9DC4-139D32808050}">
      <dgm:prSet/>
      <dgm:spPr/>
      <dgm:t>
        <a:bodyPr/>
        <a:lstStyle/>
        <a:p>
          <a:endParaRPr lang="es-PE"/>
        </a:p>
      </dgm:t>
    </dgm:pt>
    <dgm:pt modelId="{97F002DA-7465-453C-922D-8814069F8587}" type="sibTrans" cxnId="{C1779AC7-7AA7-421A-9DC4-139D32808050}">
      <dgm:prSet/>
      <dgm:spPr/>
      <dgm:t>
        <a:bodyPr/>
        <a:lstStyle/>
        <a:p>
          <a:endParaRPr lang="es-PE"/>
        </a:p>
      </dgm:t>
    </dgm:pt>
    <dgm:pt modelId="{A154C953-A6AD-415C-BE92-12E40FD68A29}">
      <dgm:prSet phldrT="[Texto]"/>
      <dgm:spPr/>
      <dgm:t>
        <a:bodyPr/>
        <a:lstStyle/>
        <a:p>
          <a:r>
            <a:rPr lang="es-PE"/>
            <a:t>MOVIMIENTO DE TIERRAS</a:t>
          </a:r>
        </a:p>
      </dgm:t>
    </dgm:pt>
    <dgm:pt modelId="{F363C805-4C36-4209-BBA3-CBBB99BC9F70}" type="parTrans" cxnId="{BA5140A9-A12F-4358-86FB-B4376B73641B}">
      <dgm:prSet/>
      <dgm:spPr/>
      <dgm:t>
        <a:bodyPr/>
        <a:lstStyle/>
        <a:p>
          <a:endParaRPr lang="es-PE"/>
        </a:p>
      </dgm:t>
    </dgm:pt>
    <dgm:pt modelId="{16822A0E-23C6-456E-813A-CDF143AD23CD}" type="sibTrans" cxnId="{BA5140A9-A12F-4358-86FB-B4376B73641B}">
      <dgm:prSet/>
      <dgm:spPr/>
      <dgm:t>
        <a:bodyPr/>
        <a:lstStyle/>
        <a:p>
          <a:endParaRPr lang="es-PE"/>
        </a:p>
      </dgm:t>
    </dgm:pt>
    <dgm:pt modelId="{48765490-7476-4472-BB3B-7F9816C42CD5}">
      <dgm:prSet phldrT="[Texto]"/>
      <dgm:spPr/>
      <dgm:t>
        <a:bodyPr/>
        <a:lstStyle/>
        <a:p>
          <a:r>
            <a:rPr lang="es-PE"/>
            <a:t>CONCRETO SIMPLE</a:t>
          </a:r>
        </a:p>
      </dgm:t>
    </dgm:pt>
    <dgm:pt modelId="{ABAD62F9-09F9-40B8-AD9B-6E4B127BEF7B}" type="parTrans" cxnId="{AE22A30B-2CB1-4AB3-B140-68A56FF7DD42}">
      <dgm:prSet/>
      <dgm:spPr/>
      <dgm:t>
        <a:bodyPr/>
        <a:lstStyle/>
        <a:p>
          <a:endParaRPr lang="es-PE"/>
        </a:p>
      </dgm:t>
    </dgm:pt>
    <dgm:pt modelId="{6F1FB6FE-CA74-4F63-8D66-AD776F439AF6}" type="sibTrans" cxnId="{AE22A30B-2CB1-4AB3-B140-68A56FF7DD42}">
      <dgm:prSet/>
      <dgm:spPr/>
      <dgm:t>
        <a:bodyPr/>
        <a:lstStyle/>
        <a:p>
          <a:endParaRPr lang="es-PE"/>
        </a:p>
      </dgm:t>
    </dgm:pt>
    <dgm:pt modelId="{46CFCF68-F9A8-41E6-A539-1CB5AE0EBC64}">
      <dgm:prSet phldrT="[Texto]"/>
      <dgm:spPr/>
      <dgm:t>
        <a:bodyPr/>
        <a:lstStyle/>
        <a:p>
          <a:r>
            <a:rPr lang="es-PE"/>
            <a:t>EXCAVACIÓN</a:t>
          </a:r>
        </a:p>
      </dgm:t>
    </dgm:pt>
    <dgm:pt modelId="{2848E6C9-4C90-45CD-85C3-E3962F650D2A}" type="parTrans" cxnId="{915AB3E0-03C5-4540-8034-0FE163E2787C}">
      <dgm:prSet/>
      <dgm:spPr/>
      <dgm:t>
        <a:bodyPr/>
        <a:lstStyle/>
        <a:p>
          <a:endParaRPr lang="es-PE"/>
        </a:p>
      </dgm:t>
    </dgm:pt>
    <dgm:pt modelId="{C19D31D4-E139-42C8-8F16-461D830080FA}" type="sibTrans" cxnId="{915AB3E0-03C5-4540-8034-0FE163E2787C}">
      <dgm:prSet/>
      <dgm:spPr/>
      <dgm:t>
        <a:bodyPr/>
        <a:lstStyle/>
        <a:p>
          <a:endParaRPr lang="es-PE"/>
        </a:p>
      </dgm:t>
    </dgm:pt>
    <dgm:pt modelId="{90A73326-8C0A-4566-A16A-54C724A75F2B}">
      <dgm:prSet phldrT="[Texto]"/>
      <dgm:spPr/>
      <dgm:t>
        <a:bodyPr/>
        <a:lstStyle/>
        <a:p>
          <a:r>
            <a:rPr lang="es-PE"/>
            <a:t>RELLENOS</a:t>
          </a:r>
        </a:p>
      </dgm:t>
    </dgm:pt>
    <dgm:pt modelId="{228253AD-4DF8-4385-81F8-20977F92C94F}" type="parTrans" cxnId="{C2059FC2-A9F3-43D5-AA2E-9337D8287976}">
      <dgm:prSet/>
      <dgm:spPr/>
      <dgm:t>
        <a:bodyPr/>
        <a:lstStyle/>
        <a:p>
          <a:endParaRPr lang="es-PE"/>
        </a:p>
      </dgm:t>
    </dgm:pt>
    <dgm:pt modelId="{F9BC2262-E6AF-4884-920A-42BFE70F0335}" type="sibTrans" cxnId="{C2059FC2-A9F3-43D5-AA2E-9337D8287976}">
      <dgm:prSet/>
      <dgm:spPr/>
      <dgm:t>
        <a:bodyPr/>
        <a:lstStyle/>
        <a:p>
          <a:endParaRPr lang="es-PE"/>
        </a:p>
      </dgm:t>
    </dgm:pt>
    <dgm:pt modelId="{69EF6E5A-07CB-41F7-AEC2-40AB318F80D9}">
      <dgm:prSet phldrT="[Texto]"/>
      <dgm:spPr/>
      <dgm:t>
        <a:bodyPr/>
        <a:lstStyle/>
        <a:p>
          <a:r>
            <a:rPr lang="es-PE"/>
            <a:t>ELIMINACIÓN</a:t>
          </a:r>
        </a:p>
      </dgm:t>
    </dgm:pt>
    <dgm:pt modelId="{24CA762B-993F-4F7F-AF38-C33D14240F86}" type="parTrans" cxnId="{3442AE9B-7C85-4383-B5DD-3FE0031E31EC}">
      <dgm:prSet/>
      <dgm:spPr/>
      <dgm:t>
        <a:bodyPr/>
        <a:lstStyle/>
        <a:p>
          <a:endParaRPr lang="es-PE"/>
        </a:p>
      </dgm:t>
    </dgm:pt>
    <dgm:pt modelId="{12B6B9E2-1303-40E8-AD5C-413EA3440546}" type="sibTrans" cxnId="{3442AE9B-7C85-4383-B5DD-3FE0031E31EC}">
      <dgm:prSet/>
      <dgm:spPr/>
      <dgm:t>
        <a:bodyPr/>
        <a:lstStyle/>
        <a:p>
          <a:endParaRPr lang="es-PE"/>
        </a:p>
      </dgm:t>
    </dgm:pt>
    <dgm:pt modelId="{EE6EB4B1-4B3C-4A36-87AB-812D77C3E7E6}">
      <dgm:prSet phldrT="[Texto]"/>
      <dgm:spPr/>
      <dgm:t>
        <a:bodyPr/>
        <a:lstStyle/>
        <a:p>
          <a:r>
            <a:rPr lang="es-PE"/>
            <a:t>VEREDAS</a:t>
          </a:r>
        </a:p>
      </dgm:t>
    </dgm:pt>
    <dgm:pt modelId="{3A36F5C9-7B28-4F15-B99B-EFCA62E7BF0D}" type="parTrans" cxnId="{633BE6D3-F8D1-4634-8976-1B30EDF6827C}">
      <dgm:prSet/>
      <dgm:spPr/>
      <dgm:t>
        <a:bodyPr/>
        <a:lstStyle/>
        <a:p>
          <a:endParaRPr lang="es-PE"/>
        </a:p>
      </dgm:t>
    </dgm:pt>
    <dgm:pt modelId="{AC80616B-44C0-4724-B4DF-8CA374872B04}" type="sibTrans" cxnId="{633BE6D3-F8D1-4634-8976-1B30EDF6827C}">
      <dgm:prSet/>
      <dgm:spPr/>
      <dgm:t>
        <a:bodyPr/>
        <a:lstStyle/>
        <a:p>
          <a:endParaRPr lang="es-PE"/>
        </a:p>
      </dgm:t>
    </dgm:pt>
    <dgm:pt modelId="{44490CEA-7AFA-4B4F-A69F-4D4D4696004C}">
      <dgm:prSet phldrT="[Texto]"/>
      <dgm:spPr/>
      <dgm:t>
        <a:bodyPr/>
        <a:lstStyle/>
        <a:p>
          <a:r>
            <a:rPr lang="es-PE"/>
            <a:t>RAMPAS</a:t>
          </a:r>
        </a:p>
      </dgm:t>
    </dgm:pt>
    <dgm:pt modelId="{22971FA1-4293-4F0B-AFD0-B7B3F6159A79}" type="parTrans" cxnId="{4C85FEAC-4DB8-4F87-B1B4-A71BF2B3B482}">
      <dgm:prSet/>
      <dgm:spPr/>
      <dgm:t>
        <a:bodyPr/>
        <a:lstStyle/>
        <a:p>
          <a:endParaRPr lang="es-PE"/>
        </a:p>
      </dgm:t>
    </dgm:pt>
    <dgm:pt modelId="{EBD3E840-E34A-4637-86A1-B81960FE6839}" type="sibTrans" cxnId="{4C85FEAC-4DB8-4F87-B1B4-A71BF2B3B482}">
      <dgm:prSet/>
      <dgm:spPr/>
      <dgm:t>
        <a:bodyPr/>
        <a:lstStyle/>
        <a:p>
          <a:endParaRPr lang="es-PE"/>
        </a:p>
      </dgm:t>
    </dgm:pt>
    <dgm:pt modelId="{0FCAF6A6-E2EC-4865-BE7E-6699BC72AA57}" type="pres">
      <dgm:prSet presAssocID="{79AC39A3-9ACB-4CD0-8432-4C4D61FD59EF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C4CF224-79AA-478C-B98E-28376A7EF34E}" type="pres">
      <dgm:prSet presAssocID="{52F8D4BA-4E7D-4820-A3CD-B7FF048B62F8}" presName="hierRoot1" presStyleCnt="0">
        <dgm:presLayoutVars>
          <dgm:hierBranch val="init"/>
        </dgm:presLayoutVars>
      </dgm:prSet>
      <dgm:spPr/>
    </dgm:pt>
    <dgm:pt modelId="{9A987FA9-1CE0-486A-91A6-A720925F0578}" type="pres">
      <dgm:prSet presAssocID="{52F8D4BA-4E7D-4820-A3CD-B7FF048B62F8}" presName="rootComposite1" presStyleCnt="0"/>
      <dgm:spPr/>
    </dgm:pt>
    <dgm:pt modelId="{90FFFEB0-3FF6-45B9-BACB-790AD70467E5}" type="pres">
      <dgm:prSet presAssocID="{52F8D4BA-4E7D-4820-A3CD-B7FF048B62F8}" presName="rootText1" presStyleLbl="node0" presStyleIdx="0" presStyleCnt="1">
        <dgm:presLayoutVars>
          <dgm:chPref val="3"/>
        </dgm:presLayoutVars>
      </dgm:prSet>
      <dgm:spPr/>
    </dgm:pt>
    <dgm:pt modelId="{9E573E03-E32E-4194-987E-321C6FE9F466}" type="pres">
      <dgm:prSet presAssocID="{52F8D4BA-4E7D-4820-A3CD-B7FF048B62F8}" presName="rootConnector1" presStyleLbl="node1" presStyleIdx="0" presStyleCnt="0"/>
      <dgm:spPr/>
    </dgm:pt>
    <dgm:pt modelId="{CC48C4CE-C1D4-478F-93FF-E44A1FBB0D5D}" type="pres">
      <dgm:prSet presAssocID="{52F8D4BA-4E7D-4820-A3CD-B7FF048B62F8}" presName="hierChild2" presStyleCnt="0"/>
      <dgm:spPr/>
    </dgm:pt>
    <dgm:pt modelId="{7FA1FBD5-17EF-4CB8-AF8A-0A0A9A916669}" type="pres">
      <dgm:prSet presAssocID="{F363C805-4C36-4209-BBA3-CBBB99BC9F70}" presName="Name37" presStyleLbl="parChTrans1D2" presStyleIdx="0" presStyleCnt="2"/>
      <dgm:spPr/>
    </dgm:pt>
    <dgm:pt modelId="{1304934A-B3BC-4791-94DE-B8AC8832565D}" type="pres">
      <dgm:prSet presAssocID="{A154C953-A6AD-415C-BE92-12E40FD68A29}" presName="hierRoot2" presStyleCnt="0">
        <dgm:presLayoutVars>
          <dgm:hierBranch val="init"/>
        </dgm:presLayoutVars>
      </dgm:prSet>
      <dgm:spPr/>
    </dgm:pt>
    <dgm:pt modelId="{C92687C3-E280-409A-9EF3-288E7CBD0324}" type="pres">
      <dgm:prSet presAssocID="{A154C953-A6AD-415C-BE92-12E40FD68A29}" presName="rootComposite" presStyleCnt="0"/>
      <dgm:spPr/>
    </dgm:pt>
    <dgm:pt modelId="{C063E8DE-B045-409F-B7A6-65643E90A29D}" type="pres">
      <dgm:prSet presAssocID="{A154C953-A6AD-415C-BE92-12E40FD68A29}" presName="rootText" presStyleLbl="node2" presStyleIdx="0" presStyleCnt="2">
        <dgm:presLayoutVars>
          <dgm:chPref val="3"/>
        </dgm:presLayoutVars>
      </dgm:prSet>
      <dgm:spPr/>
    </dgm:pt>
    <dgm:pt modelId="{EE46EFD8-0BD9-4559-A06A-9B1A4A30B64F}" type="pres">
      <dgm:prSet presAssocID="{A154C953-A6AD-415C-BE92-12E40FD68A29}" presName="rootConnector" presStyleLbl="node2" presStyleIdx="0" presStyleCnt="2"/>
      <dgm:spPr/>
    </dgm:pt>
    <dgm:pt modelId="{60C48C35-085B-473B-9856-654FD0E65D40}" type="pres">
      <dgm:prSet presAssocID="{A154C953-A6AD-415C-BE92-12E40FD68A29}" presName="hierChild4" presStyleCnt="0"/>
      <dgm:spPr/>
    </dgm:pt>
    <dgm:pt modelId="{BCE5B65D-73FF-482C-92C7-19BEF3C34711}" type="pres">
      <dgm:prSet presAssocID="{2848E6C9-4C90-45CD-85C3-E3962F650D2A}" presName="Name37" presStyleLbl="parChTrans1D3" presStyleIdx="0" presStyleCnt="5"/>
      <dgm:spPr/>
    </dgm:pt>
    <dgm:pt modelId="{12172BC8-26CF-4A2C-AD02-DD0C73D4DF43}" type="pres">
      <dgm:prSet presAssocID="{46CFCF68-F9A8-41E6-A539-1CB5AE0EBC64}" presName="hierRoot2" presStyleCnt="0">
        <dgm:presLayoutVars>
          <dgm:hierBranch val="init"/>
        </dgm:presLayoutVars>
      </dgm:prSet>
      <dgm:spPr/>
    </dgm:pt>
    <dgm:pt modelId="{54288A07-99FF-468E-BAD1-CE802DE91391}" type="pres">
      <dgm:prSet presAssocID="{46CFCF68-F9A8-41E6-A539-1CB5AE0EBC64}" presName="rootComposite" presStyleCnt="0"/>
      <dgm:spPr/>
    </dgm:pt>
    <dgm:pt modelId="{7744536C-891F-4C1D-85FB-EDFD1EF4ECD8}" type="pres">
      <dgm:prSet presAssocID="{46CFCF68-F9A8-41E6-A539-1CB5AE0EBC64}" presName="rootText" presStyleLbl="node3" presStyleIdx="0" presStyleCnt="5">
        <dgm:presLayoutVars>
          <dgm:chPref val="3"/>
        </dgm:presLayoutVars>
      </dgm:prSet>
      <dgm:spPr/>
    </dgm:pt>
    <dgm:pt modelId="{7B2C7C49-AED4-4D8B-83D5-DFD13B32A802}" type="pres">
      <dgm:prSet presAssocID="{46CFCF68-F9A8-41E6-A539-1CB5AE0EBC64}" presName="rootConnector" presStyleLbl="node3" presStyleIdx="0" presStyleCnt="5"/>
      <dgm:spPr/>
    </dgm:pt>
    <dgm:pt modelId="{6BA31777-9648-4797-85FB-840C128F886E}" type="pres">
      <dgm:prSet presAssocID="{46CFCF68-F9A8-41E6-A539-1CB5AE0EBC64}" presName="hierChild4" presStyleCnt="0"/>
      <dgm:spPr/>
    </dgm:pt>
    <dgm:pt modelId="{B2EB8325-4CCA-4129-B54B-C527D4925536}" type="pres">
      <dgm:prSet presAssocID="{46CFCF68-F9A8-41E6-A539-1CB5AE0EBC64}" presName="hierChild5" presStyleCnt="0"/>
      <dgm:spPr/>
    </dgm:pt>
    <dgm:pt modelId="{F4729523-9902-421E-905C-DFB000562371}" type="pres">
      <dgm:prSet presAssocID="{228253AD-4DF8-4385-81F8-20977F92C94F}" presName="Name37" presStyleLbl="parChTrans1D3" presStyleIdx="1" presStyleCnt="5"/>
      <dgm:spPr/>
    </dgm:pt>
    <dgm:pt modelId="{6BD5AF2A-6437-4C28-8F9B-06816639B4AA}" type="pres">
      <dgm:prSet presAssocID="{90A73326-8C0A-4566-A16A-54C724A75F2B}" presName="hierRoot2" presStyleCnt="0">
        <dgm:presLayoutVars>
          <dgm:hierBranch val="init"/>
        </dgm:presLayoutVars>
      </dgm:prSet>
      <dgm:spPr/>
    </dgm:pt>
    <dgm:pt modelId="{06B2BFAE-30D4-4B2E-859C-1E93C2239003}" type="pres">
      <dgm:prSet presAssocID="{90A73326-8C0A-4566-A16A-54C724A75F2B}" presName="rootComposite" presStyleCnt="0"/>
      <dgm:spPr/>
    </dgm:pt>
    <dgm:pt modelId="{0A3D71D3-AF28-4115-8AF9-05253BF8DDD8}" type="pres">
      <dgm:prSet presAssocID="{90A73326-8C0A-4566-A16A-54C724A75F2B}" presName="rootText" presStyleLbl="node3" presStyleIdx="1" presStyleCnt="5">
        <dgm:presLayoutVars>
          <dgm:chPref val="3"/>
        </dgm:presLayoutVars>
      </dgm:prSet>
      <dgm:spPr/>
    </dgm:pt>
    <dgm:pt modelId="{2B2E5CA2-5D08-453E-89A9-54D9B35DF906}" type="pres">
      <dgm:prSet presAssocID="{90A73326-8C0A-4566-A16A-54C724A75F2B}" presName="rootConnector" presStyleLbl="node3" presStyleIdx="1" presStyleCnt="5"/>
      <dgm:spPr/>
    </dgm:pt>
    <dgm:pt modelId="{49AAFBA1-1420-4E40-837A-39A0AEFCB149}" type="pres">
      <dgm:prSet presAssocID="{90A73326-8C0A-4566-A16A-54C724A75F2B}" presName="hierChild4" presStyleCnt="0"/>
      <dgm:spPr/>
    </dgm:pt>
    <dgm:pt modelId="{3DBBD6DF-421A-49FC-BBA7-2297B8369989}" type="pres">
      <dgm:prSet presAssocID="{90A73326-8C0A-4566-A16A-54C724A75F2B}" presName="hierChild5" presStyleCnt="0"/>
      <dgm:spPr/>
    </dgm:pt>
    <dgm:pt modelId="{FE85590A-7C76-4C30-92B4-C90A3ACE02C9}" type="pres">
      <dgm:prSet presAssocID="{24CA762B-993F-4F7F-AF38-C33D14240F86}" presName="Name37" presStyleLbl="parChTrans1D3" presStyleIdx="2" presStyleCnt="5"/>
      <dgm:spPr/>
    </dgm:pt>
    <dgm:pt modelId="{239AC8EE-C9CD-4CF6-A67A-40921C4E26DB}" type="pres">
      <dgm:prSet presAssocID="{69EF6E5A-07CB-41F7-AEC2-40AB318F80D9}" presName="hierRoot2" presStyleCnt="0">
        <dgm:presLayoutVars>
          <dgm:hierBranch val="init"/>
        </dgm:presLayoutVars>
      </dgm:prSet>
      <dgm:spPr/>
    </dgm:pt>
    <dgm:pt modelId="{DD4F5C42-A15C-44F2-AD28-9D00AC138D67}" type="pres">
      <dgm:prSet presAssocID="{69EF6E5A-07CB-41F7-AEC2-40AB318F80D9}" presName="rootComposite" presStyleCnt="0"/>
      <dgm:spPr/>
    </dgm:pt>
    <dgm:pt modelId="{97378578-51A6-42C7-917D-511CAE8B96BA}" type="pres">
      <dgm:prSet presAssocID="{69EF6E5A-07CB-41F7-AEC2-40AB318F80D9}" presName="rootText" presStyleLbl="node3" presStyleIdx="2" presStyleCnt="5">
        <dgm:presLayoutVars>
          <dgm:chPref val="3"/>
        </dgm:presLayoutVars>
      </dgm:prSet>
      <dgm:spPr/>
    </dgm:pt>
    <dgm:pt modelId="{B1EC55DA-D73C-42BE-9A5B-FC5192EA50E3}" type="pres">
      <dgm:prSet presAssocID="{69EF6E5A-07CB-41F7-AEC2-40AB318F80D9}" presName="rootConnector" presStyleLbl="node3" presStyleIdx="2" presStyleCnt="5"/>
      <dgm:spPr/>
    </dgm:pt>
    <dgm:pt modelId="{6776A808-3E2D-4C2E-B458-234C02C0514C}" type="pres">
      <dgm:prSet presAssocID="{69EF6E5A-07CB-41F7-AEC2-40AB318F80D9}" presName="hierChild4" presStyleCnt="0"/>
      <dgm:spPr/>
    </dgm:pt>
    <dgm:pt modelId="{99B8D3BA-2A61-4F4A-ACDB-B8AE6C37F1E6}" type="pres">
      <dgm:prSet presAssocID="{69EF6E5A-07CB-41F7-AEC2-40AB318F80D9}" presName="hierChild5" presStyleCnt="0"/>
      <dgm:spPr/>
    </dgm:pt>
    <dgm:pt modelId="{C132BF1C-50DE-48BF-97C2-68A2CAFCB1A9}" type="pres">
      <dgm:prSet presAssocID="{A154C953-A6AD-415C-BE92-12E40FD68A29}" presName="hierChild5" presStyleCnt="0"/>
      <dgm:spPr/>
    </dgm:pt>
    <dgm:pt modelId="{CB45354D-327B-455B-B700-A2FBEE18ACE1}" type="pres">
      <dgm:prSet presAssocID="{ABAD62F9-09F9-40B8-AD9B-6E4B127BEF7B}" presName="Name37" presStyleLbl="parChTrans1D2" presStyleIdx="1" presStyleCnt="2"/>
      <dgm:spPr/>
    </dgm:pt>
    <dgm:pt modelId="{15B7D7ED-F3B6-42C8-980A-54CF0D29367D}" type="pres">
      <dgm:prSet presAssocID="{48765490-7476-4472-BB3B-7F9816C42CD5}" presName="hierRoot2" presStyleCnt="0">
        <dgm:presLayoutVars>
          <dgm:hierBranch val="init"/>
        </dgm:presLayoutVars>
      </dgm:prSet>
      <dgm:spPr/>
    </dgm:pt>
    <dgm:pt modelId="{2319EF4B-7C6F-4149-88A7-FB868DC2EC0A}" type="pres">
      <dgm:prSet presAssocID="{48765490-7476-4472-BB3B-7F9816C42CD5}" presName="rootComposite" presStyleCnt="0"/>
      <dgm:spPr/>
    </dgm:pt>
    <dgm:pt modelId="{96E49045-803E-4869-AE17-79AF290A0842}" type="pres">
      <dgm:prSet presAssocID="{48765490-7476-4472-BB3B-7F9816C42CD5}" presName="rootText" presStyleLbl="node2" presStyleIdx="1" presStyleCnt="2">
        <dgm:presLayoutVars>
          <dgm:chPref val="3"/>
        </dgm:presLayoutVars>
      </dgm:prSet>
      <dgm:spPr/>
    </dgm:pt>
    <dgm:pt modelId="{4834C408-6B7F-47AC-B939-F9FD6A0245E6}" type="pres">
      <dgm:prSet presAssocID="{48765490-7476-4472-BB3B-7F9816C42CD5}" presName="rootConnector" presStyleLbl="node2" presStyleIdx="1" presStyleCnt="2"/>
      <dgm:spPr/>
    </dgm:pt>
    <dgm:pt modelId="{090999C7-6107-4809-A63A-C9DD241E59DD}" type="pres">
      <dgm:prSet presAssocID="{48765490-7476-4472-BB3B-7F9816C42CD5}" presName="hierChild4" presStyleCnt="0"/>
      <dgm:spPr/>
    </dgm:pt>
    <dgm:pt modelId="{594566AB-1672-4595-8713-C31DAD55EFE6}" type="pres">
      <dgm:prSet presAssocID="{3A36F5C9-7B28-4F15-B99B-EFCA62E7BF0D}" presName="Name37" presStyleLbl="parChTrans1D3" presStyleIdx="3" presStyleCnt="5"/>
      <dgm:spPr/>
    </dgm:pt>
    <dgm:pt modelId="{2ACE7DFD-0255-44E4-ADB4-F5A5C089BD9E}" type="pres">
      <dgm:prSet presAssocID="{EE6EB4B1-4B3C-4A36-87AB-812D77C3E7E6}" presName="hierRoot2" presStyleCnt="0">
        <dgm:presLayoutVars>
          <dgm:hierBranch val="init"/>
        </dgm:presLayoutVars>
      </dgm:prSet>
      <dgm:spPr/>
    </dgm:pt>
    <dgm:pt modelId="{C717498B-42AC-42DF-9FC3-BEDAC91AFD4F}" type="pres">
      <dgm:prSet presAssocID="{EE6EB4B1-4B3C-4A36-87AB-812D77C3E7E6}" presName="rootComposite" presStyleCnt="0"/>
      <dgm:spPr/>
    </dgm:pt>
    <dgm:pt modelId="{950FC0C6-1D5B-4DB5-9E7F-2ACACEC71A91}" type="pres">
      <dgm:prSet presAssocID="{EE6EB4B1-4B3C-4A36-87AB-812D77C3E7E6}" presName="rootText" presStyleLbl="node3" presStyleIdx="3" presStyleCnt="5">
        <dgm:presLayoutVars>
          <dgm:chPref val="3"/>
        </dgm:presLayoutVars>
      </dgm:prSet>
      <dgm:spPr/>
    </dgm:pt>
    <dgm:pt modelId="{38AA39B1-94C5-4884-A8C4-5BB55EC5A544}" type="pres">
      <dgm:prSet presAssocID="{EE6EB4B1-4B3C-4A36-87AB-812D77C3E7E6}" presName="rootConnector" presStyleLbl="node3" presStyleIdx="3" presStyleCnt="5"/>
      <dgm:spPr/>
    </dgm:pt>
    <dgm:pt modelId="{3F83C15D-55AE-4B95-8441-65F152DBAD15}" type="pres">
      <dgm:prSet presAssocID="{EE6EB4B1-4B3C-4A36-87AB-812D77C3E7E6}" presName="hierChild4" presStyleCnt="0"/>
      <dgm:spPr/>
    </dgm:pt>
    <dgm:pt modelId="{6D3A81C5-8458-4B89-8BAF-77D9BBE2AF60}" type="pres">
      <dgm:prSet presAssocID="{EE6EB4B1-4B3C-4A36-87AB-812D77C3E7E6}" presName="hierChild5" presStyleCnt="0"/>
      <dgm:spPr/>
    </dgm:pt>
    <dgm:pt modelId="{6BB8B10E-4377-4D9C-84E4-4243CFCB7D50}" type="pres">
      <dgm:prSet presAssocID="{22971FA1-4293-4F0B-AFD0-B7B3F6159A79}" presName="Name37" presStyleLbl="parChTrans1D3" presStyleIdx="4" presStyleCnt="5"/>
      <dgm:spPr/>
    </dgm:pt>
    <dgm:pt modelId="{7F17A6B1-0C43-424F-AD89-697867577D13}" type="pres">
      <dgm:prSet presAssocID="{44490CEA-7AFA-4B4F-A69F-4D4D4696004C}" presName="hierRoot2" presStyleCnt="0">
        <dgm:presLayoutVars>
          <dgm:hierBranch val="init"/>
        </dgm:presLayoutVars>
      </dgm:prSet>
      <dgm:spPr/>
    </dgm:pt>
    <dgm:pt modelId="{D472EE70-67BB-4101-9945-97C378E17900}" type="pres">
      <dgm:prSet presAssocID="{44490CEA-7AFA-4B4F-A69F-4D4D4696004C}" presName="rootComposite" presStyleCnt="0"/>
      <dgm:spPr/>
    </dgm:pt>
    <dgm:pt modelId="{CF425F57-21E3-423B-8016-933A7B55B2CD}" type="pres">
      <dgm:prSet presAssocID="{44490CEA-7AFA-4B4F-A69F-4D4D4696004C}" presName="rootText" presStyleLbl="node3" presStyleIdx="4" presStyleCnt="5">
        <dgm:presLayoutVars>
          <dgm:chPref val="3"/>
        </dgm:presLayoutVars>
      </dgm:prSet>
      <dgm:spPr/>
    </dgm:pt>
    <dgm:pt modelId="{81E002EE-E95B-47FF-8450-D4415290D316}" type="pres">
      <dgm:prSet presAssocID="{44490CEA-7AFA-4B4F-A69F-4D4D4696004C}" presName="rootConnector" presStyleLbl="node3" presStyleIdx="4" presStyleCnt="5"/>
      <dgm:spPr/>
    </dgm:pt>
    <dgm:pt modelId="{75DC62E4-55AD-4D22-B5CC-4383E86C5F22}" type="pres">
      <dgm:prSet presAssocID="{44490CEA-7AFA-4B4F-A69F-4D4D4696004C}" presName="hierChild4" presStyleCnt="0"/>
      <dgm:spPr/>
    </dgm:pt>
    <dgm:pt modelId="{A34CFBEB-16A1-427E-ABB9-9D1041B5FCB3}" type="pres">
      <dgm:prSet presAssocID="{44490CEA-7AFA-4B4F-A69F-4D4D4696004C}" presName="hierChild5" presStyleCnt="0"/>
      <dgm:spPr/>
    </dgm:pt>
    <dgm:pt modelId="{5B68ED8B-F5F9-4900-8661-AD216CB43BED}" type="pres">
      <dgm:prSet presAssocID="{48765490-7476-4472-BB3B-7F9816C42CD5}" presName="hierChild5" presStyleCnt="0"/>
      <dgm:spPr/>
    </dgm:pt>
    <dgm:pt modelId="{789C85F6-EC22-4EF8-8977-82B9BE02ADED}" type="pres">
      <dgm:prSet presAssocID="{52F8D4BA-4E7D-4820-A3CD-B7FF048B62F8}" presName="hierChild3" presStyleCnt="0"/>
      <dgm:spPr/>
    </dgm:pt>
  </dgm:ptLst>
  <dgm:cxnLst>
    <dgm:cxn modelId="{BDDF9100-1DB1-4916-A625-31DF1B693BF4}" type="presOf" srcId="{EE6EB4B1-4B3C-4A36-87AB-812D77C3E7E6}" destId="{950FC0C6-1D5B-4DB5-9E7F-2ACACEC71A91}" srcOrd="0" destOrd="0" presId="urn:microsoft.com/office/officeart/2005/8/layout/orgChart1"/>
    <dgm:cxn modelId="{AA0C9E06-A7CC-4CE8-BC9B-98E223797D8C}" type="presOf" srcId="{22971FA1-4293-4F0B-AFD0-B7B3F6159A79}" destId="{6BB8B10E-4377-4D9C-84E4-4243CFCB7D50}" srcOrd="0" destOrd="0" presId="urn:microsoft.com/office/officeart/2005/8/layout/orgChart1"/>
    <dgm:cxn modelId="{AE22A30B-2CB1-4AB3-B140-68A56FF7DD42}" srcId="{52F8D4BA-4E7D-4820-A3CD-B7FF048B62F8}" destId="{48765490-7476-4472-BB3B-7F9816C42CD5}" srcOrd="1" destOrd="0" parTransId="{ABAD62F9-09F9-40B8-AD9B-6E4B127BEF7B}" sibTransId="{6F1FB6FE-CA74-4F63-8D66-AD776F439AF6}"/>
    <dgm:cxn modelId="{24B57F11-8D31-4744-B046-C62CB8ED7B7A}" type="presOf" srcId="{90A73326-8C0A-4566-A16A-54C724A75F2B}" destId="{0A3D71D3-AF28-4115-8AF9-05253BF8DDD8}" srcOrd="0" destOrd="0" presId="urn:microsoft.com/office/officeart/2005/8/layout/orgChart1"/>
    <dgm:cxn modelId="{6453351E-3724-4077-A17D-D650262FE482}" type="presOf" srcId="{69EF6E5A-07CB-41F7-AEC2-40AB318F80D9}" destId="{B1EC55DA-D73C-42BE-9A5B-FC5192EA50E3}" srcOrd="1" destOrd="0" presId="urn:microsoft.com/office/officeart/2005/8/layout/orgChart1"/>
    <dgm:cxn modelId="{9329C72B-A6C9-4A05-95C6-A11E1766B8EA}" type="presOf" srcId="{52F8D4BA-4E7D-4820-A3CD-B7FF048B62F8}" destId="{9E573E03-E32E-4194-987E-321C6FE9F466}" srcOrd="1" destOrd="0" presId="urn:microsoft.com/office/officeart/2005/8/layout/orgChart1"/>
    <dgm:cxn modelId="{48F4CC38-0148-4D84-954B-69057863107B}" type="presOf" srcId="{EE6EB4B1-4B3C-4A36-87AB-812D77C3E7E6}" destId="{38AA39B1-94C5-4884-A8C4-5BB55EC5A544}" srcOrd="1" destOrd="0" presId="urn:microsoft.com/office/officeart/2005/8/layout/orgChart1"/>
    <dgm:cxn modelId="{51AC013C-0017-4C0D-B9B3-22674A21B97F}" type="presOf" srcId="{48765490-7476-4472-BB3B-7F9816C42CD5}" destId="{4834C408-6B7F-47AC-B939-F9FD6A0245E6}" srcOrd="1" destOrd="0" presId="urn:microsoft.com/office/officeart/2005/8/layout/orgChart1"/>
    <dgm:cxn modelId="{1EEF185D-77B3-4509-84A0-60995050F078}" type="presOf" srcId="{46CFCF68-F9A8-41E6-A539-1CB5AE0EBC64}" destId="{7B2C7C49-AED4-4D8B-83D5-DFD13B32A802}" srcOrd="1" destOrd="0" presId="urn:microsoft.com/office/officeart/2005/8/layout/orgChart1"/>
    <dgm:cxn modelId="{FC2B5B5F-4DEC-4155-863D-2C5B90812713}" type="presOf" srcId="{79AC39A3-9ACB-4CD0-8432-4C4D61FD59EF}" destId="{0FCAF6A6-E2EC-4865-BE7E-6699BC72AA57}" srcOrd="0" destOrd="0" presId="urn:microsoft.com/office/officeart/2005/8/layout/orgChart1"/>
    <dgm:cxn modelId="{DA441144-6E91-4027-B70D-2C867BBFCB97}" type="presOf" srcId="{46CFCF68-F9A8-41E6-A539-1CB5AE0EBC64}" destId="{7744536C-891F-4C1D-85FB-EDFD1EF4ECD8}" srcOrd="0" destOrd="0" presId="urn:microsoft.com/office/officeart/2005/8/layout/orgChart1"/>
    <dgm:cxn modelId="{6B487B46-C3C9-435B-A9C1-003D466FEF01}" type="presOf" srcId="{24CA762B-993F-4F7F-AF38-C33D14240F86}" destId="{FE85590A-7C76-4C30-92B4-C90A3ACE02C9}" srcOrd="0" destOrd="0" presId="urn:microsoft.com/office/officeart/2005/8/layout/orgChart1"/>
    <dgm:cxn modelId="{3F84306E-370A-490C-845D-BD17AEB861AC}" type="presOf" srcId="{90A73326-8C0A-4566-A16A-54C724A75F2B}" destId="{2B2E5CA2-5D08-453E-89A9-54D9B35DF906}" srcOrd="1" destOrd="0" presId="urn:microsoft.com/office/officeart/2005/8/layout/orgChart1"/>
    <dgm:cxn modelId="{05045170-4EA3-4FD3-852D-D8AE253F12F9}" type="presOf" srcId="{69EF6E5A-07CB-41F7-AEC2-40AB318F80D9}" destId="{97378578-51A6-42C7-917D-511CAE8B96BA}" srcOrd="0" destOrd="0" presId="urn:microsoft.com/office/officeart/2005/8/layout/orgChart1"/>
    <dgm:cxn modelId="{9E3C5270-236D-4D89-92F6-11D91D7E747F}" type="presOf" srcId="{44490CEA-7AFA-4B4F-A69F-4D4D4696004C}" destId="{CF425F57-21E3-423B-8016-933A7B55B2CD}" srcOrd="0" destOrd="0" presId="urn:microsoft.com/office/officeart/2005/8/layout/orgChart1"/>
    <dgm:cxn modelId="{D9E39151-0B09-40D0-8157-7090BA98BA0D}" type="presOf" srcId="{3A36F5C9-7B28-4F15-B99B-EFCA62E7BF0D}" destId="{594566AB-1672-4595-8713-C31DAD55EFE6}" srcOrd="0" destOrd="0" presId="urn:microsoft.com/office/officeart/2005/8/layout/orgChart1"/>
    <dgm:cxn modelId="{AF356776-5388-4DA2-A9FD-279209D776D5}" type="presOf" srcId="{A154C953-A6AD-415C-BE92-12E40FD68A29}" destId="{C063E8DE-B045-409F-B7A6-65643E90A29D}" srcOrd="0" destOrd="0" presId="urn:microsoft.com/office/officeart/2005/8/layout/orgChart1"/>
    <dgm:cxn modelId="{288AB583-57CC-443E-AA9F-315EEC6092B2}" type="presOf" srcId="{ABAD62F9-09F9-40B8-AD9B-6E4B127BEF7B}" destId="{CB45354D-327B-455B-B700-A2FBEE18ACE1}" srcOrd="0" destOrd="0" presId="urn:microsoft.com/office/officeart/2005/8/layout/orgChart1"/>
    <dgm:cxn modelId="{CD704992-7A24-4E21-A64F-18C7BD83733F}" type="presOf" srcId="{44490CEA-7AFA-4B4F-A69F-4D4D4696004C}" destId="{81E002EE-E95B-47FF-8450-D4415290D316}" srcOrd="1" destOrd="0" presId="urn:microsoft.com/office/officeart/2005/8/layout/orgChart1"/>
    <dgm:cxn modelId="{3442AE9B-7C85-4383-B5DD-3FE0031E31EC}" srcId="{A154C953-A6AD-415C-BE92-12E40FD68A29}" destId="{69EF6E5A-07CB-41F7-AEC2-40AB318F80D9}" srcOrd="2" destOrd="0" parTransId="{24CA762B-993F-4F7F-AF38-C33D14240F86}" sibTransId="{12B6B9E2-1303-40E8-AD5C-413EA3440546}"/>
    <dgm:cxn modelId="{BA5140A9-A12F-4358-86FB-B4376B73641B}" srcId="{52F8D4BA-4E7D-4820-A3CD-B7FF048B62F8}" destId="{A154C953-A6AD-415C-BE92-12E40FD68A29}" srcOrd="0" destOrd="0" parTransId="{F363C805-4C36-4209-BBA3-CBBB99BC9F70}" sibTransId="{16822A0E-23C6-456E-813A-CDF143AD23CD}"/>
    <dgm:cxn modelId="{452250AB-68C8-4E1E-9766-7F6DECA8629F}" type="presOf" srcId="{F363C805-4C36-4209-BBA3-CBBB99BC9F70}" destId="{7FA1FBD5-17EF-4CB8-AF8A-0A0A9A916669}" srcOrd="0" destOrd="0" presId="urn:microsoft.com/office/officeart/2005/8/layout/orgChart1"/>
    <dgm:cxn modelId="{4C85FEAC-4DB8-4F87-B1B4-A71BF2B3B482}" srcId="{48765490-7476-4472-BB3B-7F9816C42CD5}" destId="{44490CEA-7AFA-4B4F-A69F-4D4D4696004C}" srcOrd="1" destOrd="0" parTransId="{22971FA1-4293-4F0B-AFD0-B7B3F6159A79}" sibTransId="{EBD3E840-E34A-4637-86A1-B81960FE6839}"/>
    <dgm:cxn modelId="{AA8F18BC-E70A-4161-81DB-AE8B614AF53A}" type="presOf" srcId="{2848E6C9-4C90-45CD-85C3-E3962F650D2A}" destId="{BCE5B65D-73FF-482C-92C7-19BEF3C34711}" srcOrd="0" destOrd="0" presId="urn:microsoft.com/office/officeart/2005/8/layout/orgChart1"/>
    <dgm:cxn modelId="{C2059FC2-A9F3-43D5-AA2E-9337D8287976}" srcId="{A154C953-A6AD-415C-BE92-12E40FD68A29}" destId="{90A73326-8C0A-4566-A16A-54C724A75F2B}" srcOrd="1" destOrd="0" parTransId="{228253AD-4DF8-4385-81F8-20977F92C94F}" sibTransId="{F9BC2262-E6AF-4884-920A-42BFE70F0335}"/>
    <dgm:cxn modelId="{C1779AC7-7AA7-421A-9DC4-139D32808050}" srcId="{79AC39A3-9ACB-4CD0-8432-4C4D61FD59EF}" destId="{52F8D4BA-4E7D-4820-A3CD-B7FF048B62F8}" srcOrd="0" destOrd="0" parTransId="{B35C3980-FE80-4B24-89DA-05525D0DECFB}" sibTransId="{97F002DA-7465-453C-922D-8814069F8587}"/>
    <dgm:cxn modelId="{C5EA23CE-6FFA-42EB-A01C-22513D57E1DE}" type="presOf" srcId="{52F8D4BA-4E7D-4820-A3CD-B7FF048B62F8}" destId="{90FFFEB0-3FF6-45B9-BACB-790AD70467E5}" srcOrd="0" destOrd="0" presId="urn:microsoft.com/office/officeart/2005/8/layout/orgChart1"/>
    <dgm:cxn modelId="{2DB386CF-F52C-4003-B824-D8369BEABD49}" type="presOf" srcId="{48765490-7476-4472-BB3B-7F9816C42CD5}" destId="{96E49045-803E-4869-AE17-79AF290A0842}" srcOrd="0" destOrd="0" presId="urn:microsoft.com/office/officeart/2005/8/layout/orgChart1"/>
    <dgm:cxn modelId="{CCC7A3CF-51D6-4973-8616-61F60D14C06A}" type="presOf" srcId="{228253AD-4DF8-4385-81F8-20977F92C94F}" destId="{F4729523-9902-421E-905C-DFB000562371}" srcOrd="0" destOrd="0" presId="urn:microsoft.com/office/officeart/2005/8/layout/orgChart1"/>
    <dgm:cxn modelId="{633BE6D3-F8D1-4634-8976-1B30EDF6827C}" srcId="{48765490-7476-4472-BB3B-7F9816C42CD5}" destId="{EE6EB4B1-4B3C-4A36-87AB-812D77C3E7E6}" srcOrd="0" destOrd="0" parTransId="{3A36F5C9-7B28-4F15-B99B-EFCA62E7BF0D}" sibTransId="{AC80616B-44C0-4724-B4DF-8CA374872B04}"/>
    <dgm:cxn modelId="{915AB3E0-03C5-4540-8034-0FE163E2787C}" srcId="{A154C953-A6AD-415C-BE92-12E40FD68A29}" destId="{46CFCF68-F9A8-41E6-A539-1CB5AE0EBC64}" srcOrd="0" destOrd="0" parTransId="{2848E6C9-4C90-45CD-85C3-E3962F650D2A}" sibTransId="{C19D31D4-E139-42C8-8F16-461D830080FA}"/>
    <dgm:cxn modelId="{6C6A2AF9-A26C-4480-89CA-6B57EAEA0F43}" type="presOf" srcId="{A154C953-A6AD-415C-BE92-12E40FD68A29}" destId="{EE46EFD8-0BD9-4559-A06A-9B1A4A30B64F}" srcOrd="1" destOrd="0" presId="urn:microsoft.com/office/officeart/2005/8/layout/orgChart1"/>
    <dgm:cxn modelId="{0BA73DA4-368F-483F-BC80-51F9312C9D32}" type="presParOf" srcId="{0FCAF6A6-E2EC-4865-BE7E-6699BC72AA57}" destId="{AC4CF224-79AA-478C-B98E-28376A7EF34E}" srcOrd="0" destOrd="0" presId="urn:microsoft.com/office/officeart/2005/8/layout/orgChart1"/>
    <dgm:cxn modelId="{1B473F99-6A1A-4B75-963B-CB1E7C75CC05}" type="presParOf" srcId="{AC4CF224-79AA-478C-B98E-28376A7EF34E}" destId="{9A987FA9-1CE0-486A-91A6-A720925F0578}" srcOrd="0" destOrd="0" presId="urn:microsoft.com/office/officeart/2005/8/layout/orgChart1"/>
    <dgm:cxn modelId="{5E8D7C4F-EBEC-41AF-9203-667648C38D26}" type="presParOf" srcId="{9A987FA9-1CE0-486A-91A6-A720925F0578}" destId="{90FFFEB0-3FF6-45B9-BACB-790AD70467E5}" srcOrd="0" destOrd="0" presId="urn:microsoft.com/office/officeart/2005/8/layout/orgChart1"/>
    <dgm:cxn modelId="{4D7AE5CA-FFE6-46A6-B26C-032BBEA2E082}" type="presParOf" srcId="{9A987FA9-1CE0-486A-91A6-A720925F0578}" destId="{9E573E03-E32E-4194-987E-321C6FE9F466}" srcOrd="1" destOrd="0" presId="urn:microsoft.com/office/officeart/2005/8/layout/orgChart1"/>
    <dgm:cxn modelId="{73426EE3-FB9B-4C5C-96B6-8D609B6DFAA4}" type="presParOf" srcId="{AC4CF224-79AA-478C-B98E-28376A7EF34E}" destId="{CC48C4CE-C1D4-478F-93FF-E44A1FBB0D5D}" srcOrd="1" destOrd="0" presId="urn:microsoft.com/office/officeart/2005/8/layout/orgChart1"/>
    <dgm:cxn modelId="{EF376728-930C-439B-B892-D0CA061B5B2E}" type="presParOf" srcId="{CC48C4CE-C1D4-478F-93FF-E44A1FBB0D5D}" destId="{7FA1FBD5-17EF-4CB8-AF8A-0A0A9A916669}" srcOrd="0" destOrd="0" presId="urn:microsoft.com/office/officeart/2005/8/layout/orgChart1"/>
    <dgm:cxn modelId="{28AACEBF-AA87-4D77-BEE4-1014E83DFBBD}" type="presParOf" srcId="{CC48C4CE-C1D4-478F-93FF-E44A1FBB0D5D}" destId="{1304934A-B3BC-4791-94DE-B8AC8832565D}" srcOrd="1" destOrd="0" presId="urn:microsoft.com/office/officeart/2005/8/layout/orgChart1"/>
    <dgm:cxn modelId="{8A4EE8F3-3C8B-4CBD-B9FB-2F380AF86B8F}" type="presParOf" srcId="{1304934A-B3BC-4791-94DE-B8AC8832565D}" destId="{C92687C3-E280-409A-9EF3-288E7CBD0324}" srcOrd="0" destOrd="0" presId="urn:microsoft.com/office/officeart/2005/8/layout/orgChart1"/>
    <dgm:cxn modelId="{0F7A676A-0028-46D7-9E0A-DA247A5C274D}" type="presParOf" srcId="{C92687C3-E280-409A-9EF3-288E7CBD0324}" destId="{C063E8DE-B045-409F-B7A6-65643E90A29D}" srcOrd="0" destOrd="0" presId="urn:microsoft.com/office/officeart/2005/8/layout/orgChart1"/>
    <dgm:cxn modelId="{0990F096-1B17-4C71-95BE-23824868ACBA}" type="presParOf" srcId="{C92687C3-E280-409A-9EF3-288E7CBD0324}" destId="{EE46EFD8-0BD9-4559-A06A-9B1A4A30B64F}" srcOrd="1" destOrd="0" presId="urn:microsoft.com/office/officeart/2005/8/layout/orgChart1"/>
    <dgm:cxn modelId="{98419C4D-3196-435E-83CB-82D18E1F433F}" type="presParOf" srcId="{1304934A-B3BC-4791-94DE-B8AC8832565D}" destId="{60C48C35-085B-473B-9856-654FD0E65D40}" srcOrd="1" destOrd="0" presId="urn:microsoft.com/office/officeart/2005/8/layout/orgChart1"/>
    <dgm:cxn modelId="{01D8237C-A2FD-4182-BDFB-909DA65A8F71}" type="presParOf" srcId="{60C48C35-085B-473B-9856-654FD0E65D40}" destId="{BCE5B65D-73FF-482C-92C7-19BEF3C34711}" srcOrd="0" destOrd="0" presId="urn:microsoft.com/office/officeart/2005/8/layout/orgChart1"/>
    <dgm:cxn modelId="{4454EE69-0683-4ABA-A0FF-AA2CD9B43DAD}" type="presParOf" srcId="{60C48C35-085B-473B-9856-654FD0E65D40}" destId="{12172BC8-26CF-4A2C-AD02-DD0C73D4DF43}" srcOrd="1" destOrd="0" presId="urn:microsoft.com/office/officeart/2005/8/layout/orgChart1"/>
    <dgm:cxn modelId="{D643EC97-55BB-428B-A5E4-0C8F9788A591}" type="presParOf" srcId="{12172BC8-26CF-4A2C-AD02-DD0C73D4DF43}" destId="{54288A07-99FF-468E-BAD1-CE802DE91391}" srcOrd="0" destOrd="0" presId="urn:microsoft.com/office/officeart/2005/8/layout/orgChart1"/>
    <dgm:cxn modelId="{ED115A89-270E-4557-8A4D-C6823B7CD2D5}" type="presParOf" srcId="{54288A07-99FF-468E-BAD1-CE802DE91391}" destId="{7744536C-891F-4C1D-85FB-EDFD1EF4ECD8}" srcOrd="0" destOrd="0" presId="urn:microsoft.com/office/officeart/2005/8/layout/orgChart1"/>
    <dgm:cxn modelId="{C462CB36-E7D2-48E1-9247-CCBDE96F993A}" type="presParOf" srcId="{54288A07-99FF-468E-BAD1-CE802DE91391}" destId="{7B2C7C49-AED4-4D8B-83D5-DFD13B32A802}" srcOrd="1" destOrd="0" presId="urn:microsoft.com/office/officeart/2005/8/layout/orgChart1"/>
    <dgm:cxn modelId="{6B2C2D99-D18C-4687-B396-1CCFC6242070}" type="presParOf" srcId="{12172BC8-26CF-4A2C-AD02-DD0C73D4DF43}" destId="{6BA31777-9648-4797-85FB-840C128F886E}" srcOrd="1" destOrd="0" presId="urn:microsoft.com/office/officeart/2005/8/layout/orgChart1"/>
    <dgm:cxn modelId="{DFE3A3EB-1D3F-45AC-8269-99D54AE63D30}" type="presParOf" srcId="{12172BC8-26CF-4A2C-AD02-DD0C73D4DF43}" destId="{B2EB8325-4CCA-4129-B54B-C527D4925536}" srcOrd="2" destOrd="0" presId="urn:microsoft.com/office/officeart/2005/8/layout/orgChart1"/>
    <dgm:cxn modelId="{02AD5F5E-965A-49BF-B4B2-297EDEEFD380}" type="presParOf" srcId="{60C48C35-085B-473B-9856-654FD0E65D40}" destId="{F4729523-9902-421E-905C-DFB000562371}" srcOrd="2" destOrd="0" presId="urn:microsoft.com/office/officeart/2005/8/layout/orgChart1"/>
    <dgm:cxn modelId="{296C0523-13E4-4972-B931-7088E2D8DC3A}" type="presParOf" srcId="{60C48C35-085B-473B-9856-654FD0E65D40}" destId="{6BD5AF2A-6437-4C28-8F9B-06816639B4AA}" srcOrd="3" destOrd="0" presId="urn:microsoft.com/office/officeart/2005/8/layout/orgChart1"/>
    <dgm:cxn modelId="{70E6820F-D9BB-4DCD-871D-E5DA24934E9E}" type="presParOf" srcId="{6BD5AF2A-6437-4C28-8F9B-06816639B4AA}" destId="{06B2BFAE-30D4-4B2E-859C-1E93C2239003}" srcOrd="0" destOrd="0" presId="urn:microsoft.com/office/officeart/2005/8/layout/orgChart1"/>
    <dgm:cxn modelId="{323BAA80-BD4A-43E9-9C46-D3A148FB6735}" type="presParOf" srcId="{06B2BFAE-30D4-4B2E-859C-1E93C2239003}" destId="{0A3D71D3-AF28-4115-8AF9-05253BF8DDD8}" srcOrd="0" destOrd="0" presId="urn:microsoft.com/office/officeart/2005/8/layout/orgChart1"/>
    <dgm:cxn modelId="{9F9AB5E3-4ED5-43F5-97B6-469F7FC27DCD}" type="presParOf" srcId="{06B2BFAE-30D4-4B2E-859C-1E93C2239003}" destId="{2B2E5CA2-5D08-453E-89A9-54D9B35DF906}" srcOrd="1" destOrd="0" presId="urn:microsoft.com/office/officeart/2005/8/layout/orgChart1"/>
    <dgm:cxn modelId="{FEA915EB-07FE-4CF7-8B5A-2A9A79AF38EA}" type="presParOf" srcId="{6BD5AF2A-6437-4C28-8F9B-06816639B4AA}" destId="{49AAFBA1-1420-4E40-837A-39A0AEFCB149}" srcOrd="1" destOrd="0" presId="urn:microsoft.com/office/officeart/2005/8/layout/orgChart1"/>
    <dgm:cxn modelId="{5D0114DC-8E6A-4AC5-8745-B9F70161CBB7}" type="presParOf" srcId="{6BD5AF2A-6437-4C28-8F9B-06816639B4AA}" destId="{3DBBD6DF-421A-49FC-BBA7-2297B8369989}" srcOrd="2" destOrd="0" presId="urn:microsoft.com/office/officeart/2005/8/layout/orgChart1"/>
    <dgm:cxn modelId="{5CF4063D-49E3-46F5-9934-F242BFCE6AAE}" type="presParOf" srcId="{60C48C35-085B-473B-9856-654FD0E65D40}" destId="{FE85590A-7C76-4C30-92B4-C90A3ACE02C9}" srcOrd="4" destOrd="0" presId="urn:microsoft.com/office/officeart/2005/8/layout/orgChart1"/>
    <dgm:cxn modelId="{564A6388-2361-409A-AD8A-FBE6EFFAE65D}" type="presParOf" srcId="{60C48C35-085B-473B-9856-654FD0E65D40}" destId="{239AC8EE-C9CD-4CF6-A67A-40921C4E26DB}" srcOrd="5" destOrd="0" presId="urn:microsoft.com/office/officeart/2005/8/layout/orgChart1"/>
    <dgm:cxn modelId="{7188B647-6F05-4D35-BF0C-F087D0B600F6}" type="presParOf" srcId="{239AC8EE-C9CD-4CF6-A67A-40921C4E26DB}" destId="{DD4F5C42-A15C-44F2-AD28-9D00AC138D67}" srcOrd="0" destOrd="0" presId="urn:microsoft.com/office/officeart/2005/8/layout/orgChart1"/>
    <dgm:cxn modelId="{9BB2A647-4D93-4D86-A9D8-660F62B1F058}" type="presParOf" srcId="{DD4F5C42-A15C-44F2-AD28-9D00AC138D67}" destId="{97378578-51A6-42C7-917D-511CAE8B96BA}" srcOrd="0" destOrd="0" presId="urn:microsoft.com/office/officeart/2005/8/layout/orgChart1"/>
    <dgm:cxn modelId="{A32D28E9-95FB-4CF5-B1B5-DDF2BA193CC1}" type="presParOf" srcId="{DD4F5C42-A15C-44F2-AD28-9D00AC138D67}" destId="{B1EC55DA-D73C-42BE-9A5B-FC5192EA50E3}" srcOrd="1" destOrd="0" presId="urn:microsoft.com/office/officeart/2005/8/layout/orgChart1"/>
    <dgm:cxn modelId="{2285ED13-3066-42A8-B4B7-5A7CD2FD885A}" type="presParOf" srcId="{239AC8EE-C9CD-4CF6-A67A-40921C4E26DB}" destId="{6776A808-3E2D-4C2E-B458-234C02C0514C}" srcOrd="1" destOrd="0" presId="urn:microsoft.com/office/officeart/2005/8/layout/orgChart1"/>
    <dgm:cxn modelId="{A6BE2F58-5ECA-4C96-A071-A5CCA753689F}" type="presParOf" srcId="{239AC8EE-C9CD-4CF6-A67A-40921C4E26DB}" destId="{99B8D3BA-2A61-4F4A-ACDB-B8AE6C37F1E6}" srcOrd="2" destOrd="0" presId="urn:microsoft.com/office/officeart/2005/8/layout/orgChart1"/>
    <dgm:cxn modelId="{C6184870-F19B-42D5-90F8-5A6D5D408621}" type="presParOf" srcId="{1304934A-B3BC-4791-94DE-B8AC8832565D}" destId="{C132BF1C-50DE-48BF-97C2-68A2CAFCB1A9}" srcOrd="2" destOrd="0" presId="urn:microsoft.com/office/officeart/2005/8/layout/orgChart1"/>
    <dgm:cxn modelId="{0311FD32-F40C-4993-9DF4-72C4673E425E}" type="presParOf" srcId="{CC48C4CE-C1D4-478F-93FF-E44A1FBB0D5D}" destId="{CB45354D-327B-455B-B700-A2FBEE18ACE1}" srcOrd="2" destOrd="0" presId="urn:microsoft.com/office/officeart/2005/8/layout/orgChart1"/>
    <dgm:cxn modelId="{87125C7E-FA52-47FE-B4D2-280C133D0CDD}" type="presParOf" srcId="{CC48C4CE-C1D4-478F-93FF-E44A1FBB0D5D}" destId="{15B7D7ED-F3B6-42C8-980A-54CF0D29367D}" srcOrd="3" destOrd="0" presId="urn:microsoft.com/office/officeart/2005/8/layout/orgChart1"/>
    <dgm:cxn modelId="{B5770796-2A55-4C12-9ED5-75942752D1C4}" type="presParOf" srcId="{15B7D7ED-F3B6-42C8-980A-54CF0D29367D}" destId="{2319EF4B-7C6F-4149-88A7-FB868DC2EC0A}" srcOrd="0" destOrd="0" presId="urn:microsoft.com/office/officeart/2005/8/layout/orgChart1"/>
    <dgm:cxn modelId="{A98754A0-0936-4E70-B6B7-771065F27180}" type="presParOf" srcId="{2319EF4B-7C6F-4149-88A7-FB868DC2EC0A}" destId="{96E49045-803E-4869-AE17-79AF290A0842}" srcOrd="0" destOrd="0" presId="urn:microsoft.com/office/officeart/2005/8/layout/orgChart1"/>
    <dgm:cxn modelId="{730137B8-ADF6-4462-895D-70D5D4E7EADC}" type="presParOf" srcId="{2319EF4B-7C6F-4149-88A7-FB868DC2EC0A}" destId="{4834C408-6B7F-47AC-B939-F9FD6A0245E6}" srcOrd="1" destOrd="0" presId="urn:microsoft.com/office/officeart/2005/8/layout/orgChart1"/>
    <dgm:cxn modelId="{550D3FE7-90B8-4B71-9061-8808CF1EC69F}" type="presParOf" srcId="{15B7D7ED-F3B6-42C8-980A-54CF0D29367D}" destId="{090999C7-6107-4809-A63A-C9DD241E59DD}" srcOrd="1" destOrd="0" presId="urn:microsoft.com/office/officeart/2005/8/layout/orgChart1"/>
    <dgm:cxn modelId="{2D62237D-757B-4DD8-A2BC-EEF0771D6D8F}" type="presParOf" srcId="{090999C7-6107-4809-A63A-C9DD241E59DD}" destId="{594566AB-1672-4595-8713-C31DAD55EFE6}" srcOrd="0" destOrd="0" presId="urn:microsoft.com/office/officeart/2005/8/layout/orgChart1"/>
    <dgm:cxn modelId="{C99352C5-7178-4F1D-A7E5-05DA687D5A14}" type="presParOf" srcId="{090999C7-6107-4809-A63A-C9DD241E59DD}" destId="{2ACE7DFD-0255-44E4-ADB4-F5A5C089BD9E}" srcOrd="1" destOrd="0" presId="urn:microsoft.com/office/officeart/2005/8/layout/orgChart1"/>
    <dgm:cxn modelId="{C40E753B-B794-4EA8-B61C-DC6DAF56951D}" type="presParOf" srcId="{2ACE7DFD-0255-44E4-ADB4-F5A5C089BD9E}" destId="{C717498B-42AC-42DF-9FC3-BEDAC91AFD4F}" srcOrd="0" destOrd="0" presId="urn:microsoft.com/office/officeart/2005/8/layout/orgChart1"/>
    <dgm:cxn modelId="{E137F785-1C47-4432-B3DC-E094301B4B76}" type="presParOf" srcId="{C717498B-42AC-42DF-9FC3-BEDAC91AFD4F}" destId="{950FC0C6-1D5B-4DB5-9E7F-2ACACEC71A91}" srcOrd="0" destOrd="0" presId="urn:microsoft.com/office/officeart/2005/8/layout/orgChart1"/>
    <dgm:cxn modelId="{E0CE3CA8-6E5E-4F6C-B588-58334D33E666}" type="presParOf" srcId="{C717498B-42AC-42DF-9FC3-BEDAC91AFD4F}" destId="{38AA39B1-94C5-4884-A8C4-5BB55EC5A544}" srcOrd="1" destOrd="0" presId="urn:microsoft.com/office/officeart/2005/8/layout/orgChart1"/>
    <dgm:cxn modelId="{ACB440E7-1794-4235-BAA6-DEFE25858FA4}" type="presParOf" srcId="{2ACE7DFD-0255-44E4-ADB4-F5A5C089BD9E}" destId="{3F83C15D-55AE-4B95-8441-65F152DBAD15}" srcOrd="1" destOrd="0" presId="urn:microsoft.com/office/officeart/2005/8/layout/orgChart1"/>
    <dgm:cxn modelId="{D7E48190-EDB2-4DF6-9007-F3632CFD916B}" type="presParOf" srcId="{2ACE7DFD-0255-44E4-ADB4-F5A5C089BD9E}" destId="{6D3A81C5-8458-4B89-8BAF-77D9BBE2AF60}" srcOrd="2" destOrd="0" presId="urn:microsoft.com/office/officeart/2005/8/layout/orgChart1"/>
    <dgm:cxn modelId="{9351D4E7-275C-4770-B5DB-FA9340407C80}" type="presParOf" srcId="{090999C7-6107-4809-A63A-C9DD241E59DD}" destId="{6BB8B10E-4377-4D9C-84E4-4243CFCB7D50}" srcOrd="2" destOrd="0" presId="urn:microsoft.com/office/officeart/2005/8/layout/orgChart1"/>
    <dgm:cxn modelId="{647BC456-5E7A-4309-AC27-97EDFF9DE81B}" type="presParOf" srcId="{090999C7-6107-4809-A63A-C9DD241E59DD}" destId="{7F17A6B1-0C43-424F-AD89-697867577D13}" srcOrd="3" destOrd="0" presId="urn:microsoft.com/office/officeart/2005/8/layout/orgChart1"/>
    <dgm:cxn modelId="{E812D664-D660-453F-AE05-D31ECC545FD4}" type="presParOf" srcId="{7F17A6B1-0C43-424F-AD89-697867577D13}" destId="{D472EE70-67BB-4101-9945-97C378E17900}" srcOrd="0" destOrd="0" presId="urn:microsoft.com/office/officeart/2005/8/layout/orgChart1"/>
    <dgm:cxn modelId="{1027872D-12FE-4330-8EDA-CFD127337AE4}" type="presParOf" srcId="{D472EE70-67BB-4101-9945-97C378E17900}" destId="{CF425F57-21E3-423B-8016-933A7B55B2CD}" srcOrd="0" destOrd="0" presId="urn:microsoft.com/office/officeart/2005/8/layout/orgChart1"/>
    <dgm:cxn modelId="{BE855477-7E2C-4462-B15A-62B306A34A6D}" type="presParOf" srcId="{D472EE70-67BB-4101-9945-97C378E17900}" destId="{81E002EE-E95B-47FF-8450-D4415290D316}" srcOrd="1" destOrd="0" presId="urn:microsoft.com/office/officeart/2005/8/layout/orgChart1"/>
    <dgm:cxn modelId="{E1755274-84B1-4913-8F92-BE5119042FD1}" type="presParOf" srcId="{7F17A6B1-0C43-424F-AD89-697867577D13}" destId="{75DC62E4-55AD-4D22-B5CC-4383E86C5F22}" srcOrd="1" destOrd="0" presId="urn:microsoft.com/office/officeart/2005/8/layout/orgChart1"/>
    <dgm:cxn modelId="{4C647F0B-0A38-46E4-A0B7-D14CAE2296A0}" type="presParOf" srcId="{7F17A6B1-0C43-424F-AD89-697867577D13}" destId="{A34CFBEB-16A1-427E-ABB9-9D1041B5FCB3}" srcOrd="2" destOrd="0" presId="urn:microsoft.com/office/officeart/2005/8/layout/orgChart1"/>
    <dgm:cxn modelId="{EE4F33DD-5B0A-49AC-91DE-CE13F62032B7}" type="presParOf" srcId="{15B7D7ED-F3B6-42C8-980A-54CF0D29367D}" destId="{5B68ED8B-F5F9-4900-8661-AD216CB43BED}" srcOrd="2" destOrd="0" presId="urn:microsoft.com/office/officeart/2005/8/layout/orgChart1"/>
    <dgm:cxn modelId="{2BF7DAF1-733D-4D20-ADDA-32CB842B2A4E}" type="presParOf" srcId="{AC4CF224-79AA-478C-B98E-28376A7EF34E}" destId="{789C85F6-EC22-4EF8-8977-82B9BE02ADED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BB8B10E-4377-4D9C-84E4-4243CFCB7D50}">
      <dsp:nvSpPr>
        <dsp:cNvPr id="0" name=""/>
        <dsp:cNvSpPr/>
      </dsp:nvSpPr>
      <dsp:spPr>
        <a:xfrm>
          <a:off x="2351633" y="994209"/>
          <a:ext cx="123062" cy="9598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9885"/>
              </a:lnTo>
              <a:lnTo>
                <a:pt x="123062" y="95988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4566AB-1672-4595-8713-C31DAD55EFE6}">
      <dsp:nvSpPr>
        <dsp:cNvPr id="0" name=""/>
        <dsp:cNvSpPr/>
      </dsp:nvSpPr>
      <dsp:spPr>
        <a:xfrm>
          <a:off x="2351633" y="994209"/>
          <a:ext cx="123062" cy="3773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7390"/>
              </a:lnTo>
              <a:lnTo>
                <a:pt x="123062" y="37739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45354D-327B-455B-B700-A2FBEE18ACE1}">
      <dsp:nvSpPr>
        <dsp:cNvPr id="0" name=""/>
        <dsp:cNvSpPr/>
      </dsp:nvSpPr>
      <dsp:spPr>
        <a:xfrm>
          <a:off x="2183448" y="411714"/>
          <a:ext cx="496351" cy="1722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6143"/>
              </a:lnTo>
              <a:lnTo>
                <a:pt x="496351" y="86143"/>
              </a:lnTo>
              <a:lnTo>
                <a:pt x="496351" y="17228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85590A-7C76-4C30-92B4-C90A3ACE02C9}">
      <dsp:nvSpPr>
        <dsp:cNvPr id="0" name=""/>
        <dsp:cNvSpPr/>
      </dsp:nvSpPr>
      <dsp:spPr>
        <a:xfrm>
          <a:off x="1358931" y="994209"/>
          <a:ext cx="123062" cy="154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2380"/>
              </a:lnTo>
              <a:lnTo>
                <a:pt x="123062" y="154238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729523-9902-421E-905C-DFB000562371}">
      <dsp:nvSpPr>
        <dsp:cNvPr id="0" name=""/>
        <dsp:cNvSpPr/>
      </dsp:nvSpPr>
      <dsp:spPr>
        <a:xfrm>
          <a:off x="1358931" y="994209"/>
          <a:ext cx="123062" cy="9598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9885"/>
              </a:lnTo>
              <a:lnTo>
                <a:pt x="123062" y="95988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E5B65D-73FF-482C-92C7-19BEF3C34711}">
      <dsp:nvSpPr>
        <dsp:cNvPr id="0" name=""/>
        <dsp:cNvSpPr/>
      </dsp:nvSpPr>
      <dsp:spPr>
        <a:xfrm>
          <a:off x="1358931" y="994209"/>
          <a:ext cx="123062" cy="3773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7390"/>
              </a:lnTo>
              <a:lnTo>
                <a:pt x="123062" y="37739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A1FBD5-17EF-4CB8-AF8A-0A0A9A916669}">
      <dsp:nvSpPr>
        <dsp:cNvPr id="0" name=""/>
        <dsp:cNvSpPr/>
      </dsp:nvSpPr>
      <dsp:spPr>
        <a:xfrm>
          <a:off x="1687097" y="411714"/>
          <a:ext cx="496351" cy="172287"/>
        </a:xfrm>
        <a:custGeom>
          <a:avLst/>
          <a:gdLst/>
          <a:ahLst/>
          <a:cxnLst/>
          <a:rect l="0" t="0" r="0" b="0"/>
          <a:pathLst>
            <a:path>
              <a:moveTo>
                <a:pt x="496351" y="0"/>
              </a:moveTo>
              <a:lnTo>
                <a:pt x="496351" y="86143"/>
              </a:lnTo>
              <a:lnTo>
                <a:pt x="0" y="86143"/>
              </a:lnTo>
              <a:lnTo>
                <a:pt x="0" y="17228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FFFEB0-3FF6-45B9-BACB-790AD70467E5}">
      <dsp:nvSpPr>
        <dsp:cNvPr id="0" name=""/>
        <dsp:cNvSpPr/>
      </dsp:nvSpPr>
      <dsp:spPr>
        <a:xfrm>
          <a:off x="1773240" y="1506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VEREDAS</a:t>
          </a:r>
        </a:p>
      </dsp:txBody>
      <dsp:txXfrm>
        <a:off x="1773240" y="1506"/>
        <a:ext cx="820415" cy="410207"/>
      </dsp:txXfrm>
    </dsp:sp>
    <dsp:sp modelId="{C063E8DE-B045-409F-B7A6-65643E90A29D}">
      <dsp:nvSpPr>
        <dsp:cNvPr id="0" name=""/>
        <dsp:cNvSpPr/>
      </dsp:nvSpPr>
      <dsp:spPr>
        <a:xfrm>
          <a:off x="1276889" y="584001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MOVIMIENTO DE TIERRAS</a:t>
          </a:r>
        </a:p>
      </dsp:txBody>
      <dsp:txXfrm>
        <a:off x="1276889" y="584001"/>
        <a:ext cx="820415" cy="410207"/>
      </dsp:txXfrm>
    </dsp:sp>
    <dsp:sp modelId="{7744536C-891F-4C1D-85FB-EDFD1EF4ECD8}">
      <dsp:nvSpPr>
        <dsp:cNvPr id="0" name=""/>
        <dsp:cNvSpPr/>
      </dsp:nvSpPr>
      <dsp:spPr>
        <a:xfrm>
          <a:off x="1481993" y="1166496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EXCAVACIÓN</a:t>
          </a:r>
        </a:p>
      </dsp:txBody>
      <dsp:txXfrm>
        <a:off x="1481993" y="1166496"/>
        <a:ext cx="820415" cy="410207"/>
      </dsp:txXfrm>
    </dsp:sp>
    <dsp:sp modelId="{0A3D71D3-AF28-4115-8AF9-05253BF8DDD8}">
      <dsp:nvSpPr>
        <dsp:cNvPr id="0" name=""/>
        <dsp:cNvSpPr/>
      </dsp:nvSpPr>
      <dsp:spPr>
        <a:xfrm>
          <a:off x="1481993" y="1748990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RELLENOS</a:t>
          </a:r>
        </a:p>
      </dsp:txBody>
      <dsp:txXfrm>
        <a:off x="1481993" y="1748990"/>
        <a:ext cx="820415" cy="410207"/>
      </dsp:txXfrm>
    </dsp:sp>
    <dsp:sp modelId="{97378578-51A6-42C7-917D-511CAE8B96BA}">
      <dsp:nvSpPr>
        <dsp:cNvPr id="0" name=""/>
        <dsp:cNvSpPr/>
      </dsp:nvSpPr>
      <dsp:spPr>
        <a:xfrm>
          <a:off x="1481993" y="2331485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ELIMINACIÓN</a:t>
          </a:r>
        </a:p>
      </dsp:txBody>
      <dsp:txXfrm>
        <a:off x="1481993" y="2331485"/>
        <a:ext cx="820415" cy="410207"/>
      </dsp:txXfrm>
    </dsp:sp>
    <dsp:sp modelId="{96E49045-803E-4869-AE17-79AF290A0842}">
      <dsp:nvSpPr>
        <dsp:cNvPr id="0" name=""/>
        <dsp:cNvSpPr/>
      </dsp:nvSpPr>
      <dsp:spPr>
        <a:xfrm>
          <a:off x="2269591" y="584001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CONCRETO SIMPLE</a:t>
          </a:r>
        </a:p>
      </dsp:txBody>
      <dsp:txXfrm>
        <a:off x="2269591" y="584001"/>
        <a:ext cx="820415" cy="410207"/>
      </dsp:txXfrm>
    </dsp:sp>
    <dsp:sp modelId="{950FC0C6-1D5B-4DB5-9E7F-2ACACEC71A91}">
      <dsp:nvSpPr>
        <dsp:cNvPr id="0" name=""/>
        <dsp:cNvSpPr/>
      </dsp:nvSpPr>
      <dsp:spPr>
        <a:xfrm>
          <a:off x="2474695" y="1166496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VEREDAS</a:t>
          </a:r>
        </a:p>
      </dsp:txBody>
      <dsp:txXfrm>
        <a:off x="2474695" y="1166496"/>
        <a:ext cx="820415" cy="410207"/>
      </dsp:txXfrm>
    </dsp:sp>
    <dsp:sp modelId="{CF425F57-21E3-423B-8016-933A7B55B2CD}">
      <dsp:nvSpPr>
        <dsp:cNvPr id="0" name=""/>
        <dsp:cNvSpPr/>
      </dsp:nvSpPr>
      <dsp:spPr>
        <a:xfrm>
          <a:off x="2474695" y="1748990"/>
          <a:ext cx="820415" cy="4102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PE" sz="1100" kern="1200"/>
            <a:t>RAMPAS</a:t>
          </a:r>
        </a:p>
      </dsp:txBody>
      <dsp:txXfrm>
        <a:off x="2474695" y="1748990"/>
        <a:ext cx="820415" cy="41020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166687</xdr:rowOff>
    </xdr:from>
    <xdr:to>
      <xdr:col>6</xdr:col>
      <xdr:colOff>0</xdr:colOff>
      <xdr:row>18</xdr:row>
      <xdr:rowOff>52387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11FEE477-537F-98E6-C887-2263A8C03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609599</xdr:colOff>
      <xdr:row>15</xdr:row>
      <xdr:rowOff>133350</xdr:rowOff>
    </xdr:from>
    <xdr:to>
      <xdr:col>3</xdr:col>
      <xdr:colOff>200024</xdr:colOff>
      <xdr:row>18</xdr:row>
      <xdr:rowOff>142875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5C8D50E3-8553-23E6-A601-E1DE13BA8EF5}"/>
            </a:ext>
          </a:extLst>
        </xdr:cNvPr>
        <xdr:cNvSpPr/>
      </xdr:nvSpPr>
      <xdr:spPr>
        <a:xfrm>
          <a:off x="1371599" y="2990850"/>
          <a:ext cx="1114425" cy="5810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66674</xdr:colOff>
      <xdr:row>12</xdr:row>
      <xdr:rowOff>123825</xdr:rowOff>
    </xdr:from>
    <xdr:to>
      <xdr:col>4</xdr:col>
      <xdr:colOff>419099</xdr:colOff>
      <xdr:row>15</xdr:row>
      <xdr:rowOff>133350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438B0FC3-418B-41BF-AF29-3BAD48BF1C15}"/>
            </a:ext>
          </a:extLst>
        </xdr:cNvPr>
        <xdr:cNvSpPr/>
      </xdr:nvSpPr>
      <xdr:spPr>
        <a:xfrm>
          <a:off x="2352674" y="2409825"/>
          <a:ext cx="1114425" cy="5810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152400</xdr:colOff>
      <xdr:row>17</xdr:row>
      <xdr:rowOff>161925</xdr:rowOff>
    </xdr:from>
    <xdr:to>
      <xdr:col>3</xdr:col>
      <xdr:colOff>752475</xdr:colOff>
      <xdr:row>21</xdr:row>
      <xdr:rowOff>38100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33B2F367-7652-7C06-3B6B-5FF2908B5899}"/>
            </a:ext>
          </a:extLst>
        </xdr:cNvPr>
        <xdr:cNvCxnSpPr/>
      </xdr:nvCxnSpPr>
      <xdr:spPr>
        <a:xfrm>
          <a:off x="2438400" y="3400425"/>
          <a:ext cx="600075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15</xdr:row>
      <xdr:rowOff>57150</xdr:rowOff>
    </xdr:from>
    <xdr:to>
      <xdr:col>4</xdr:col>
      <xdr:colOff>66675</xdr:colOff>
      <xdr:row>20</xdr:row>
      <xdr:rowOff>133350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47EEA79A-25C0-F5D5-07EB-6181718FF8CC}"/>
            </a:ext>
          </a:extLst>
        </xdr:cNvPr>
        <xdr:cNvCxnSpPr/>
      </xdr:nvCxnSpPr>
      <xdr:spPr>
        <a:xfrm flipH="1">
          <a:off x="3057525" y="2914650"/>
          <a:ext cx="57150" cy="1028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4</xdr:row>
      <xdr:rowOff>38100</xdr:rowOff>
    </xdr:from>
    <xdr:to>
      <xdr:col>6</xdr:col>
      <xdr:colOff>219075</xdr:colOff>
      <xdr:row>22</xdr:row>
      <xdr:rowOff>19050</xdr:rowOff>
    </xdr:to>
    <xdr:sp macro="" textlink="">
      <xdr:nvSpPr>
        <xdr:cNvPr id="9" name="Abrir llave 8">
          <a:extLst>
            <a:ext uri="{FF2B5EF4-FFF2-40B4-BE49-F238E27FC236}">
              <a16:creationId xmlns:a16="http://schemas.microsoft.com/office/drawing/2014/main" id="{A163E2FD-A6DE-ADF2-2CF4-A91167B83EDE}"/>
            </a:ext>
          </a:extLst>
        </xdr:cNvPr>
        <xdr:cNvSpPr/>
      </xdr:nvSpPr>
      <xdr:spPr>
        <a:xfrm>
          <a:off x="4057650" y="800100"/>
          <a:ext cx="733425" cy="340995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38100</xdr:rowOff>
    </xdr:from>
    <xdr:to>
      <xdr:col>8</xdr:col>
      <xdr:colOff>95250</xdr:colOff>
      <xdr:row>6</xdr:row>
      <xdr:rowOff>142875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C2A854D-9380-AC38-40C8-F3CCC71EDC10}"/>
            </a:ext>
          </a:extLst>
        </xdr:cNvPr>
        <xdr:cNvSpPr/>
      </xdr:nvSpPr>
      <xdr:spPr>
        <a:xfrm>
          <a:off x="3886200" y="1181100"/>
          <a:ext cx="657225" cy="104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19050</xdr:colOff>
      <xdr:row>7</xdr:row>
      <xdr:rowOff>57150</xdr:rowOff>
    </xdr:from>
    <xdr:to>
      <xdr:col>11</xdr:col>
      <xdr:colOff>104775</xdr:colOff>
      <xdr:row>7</xdr:row>
      <xdr:rowOff>161925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45ED5E0-2915-4FAD-A40A-7F9955FE8194}"/>
            </a:ext>
          </a:extLst>
        </xdr:cNvPr>
        <xdr:cNvSpPr/>
      </xdr:nvSpPr>
      <xdr:spPr>
        <a:xfrm>
          <a:off x="4238625" y="1390650"/>
          <a:ext cx="657225" cy="104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19050</xdr:colOff>
      <xdr:row>6</xdr:row>
      <xdr:rowOff>90488</xdr:rowOff>
    </xdr:from>
    <xdr:to>
      <xdr:col>8</xdr:col>
      <xdr:colOff>95250</xdr:colOff>
      <xdr:row>7</xdr:row>
      <xdr:rowOff>109538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84C62785-658B-90BC-31E9-57ABEA9906E5}"/>
            </a:ext>
          </a:extLst>
        </xdr:cNvPr>
        <xdr:cNvCxnSpPr>
          <a:stCxn id="4" idx="3"/>
          <a:endCxn id="5" idx="1"/>
        </xdr:cNvCxnSpPr>
      </xdr:nvCxnSpPr>
      <xdr:spPr>
        <a:xfrm flipH="1">
          <a:off x="4238625" y="1233488"/>
          <a:ext cx="304800" cy="209550"/>
        </a:xfrm>
        <a:prstGeom prst="bentConnector5">
          <a:avLst>
            <a:gd name="adj1" fmla="val -75000"/>
            <a:gd name="adj2" fmla="val 50000"/>
            <a:gd name="adj3" fmla="val 175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10991</xdr:colOff>
      <xdr:row>9</xdr:row>
      <xdr:rowOff>49823</xdr:rowOff>
    </xdr:from>
    <xdr:to>
      <xdr:col>12</xdr:col>
      <xdr:colOff>96715</xdr:colOff>
      <xdr:row>9</xdr:row>
      <xdr:rowOff>154598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62928CC-D7AB-4F2F-B967-BDC6D9981D22}"/>
            </a:ext>
          </a:extLst>
        </xdr:cNvPr>
        <xdr:cNvSpPr/>
      </xdr:nvSpPr>
      <xdr:spPr>
        <a:xfrm>
          <a:off x="4355856" y="1764323"/>
          <a:ext cx="671878" cy="104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10</xdr:col>
      <xdr:colOff>21979</xdr:colOff>
      <xdr:row>10</xdr:row>
      <xdr:rowOff>43962</xdr:rowOff>
    </xdr:from>
    <xdr:to>
      <xdr:col>17</xdr:col>
      <xdr:colOff>95249</xdr:colOff>
      <xdr:row>10</xdr:row>
      <xdr:rowOff>148737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C8CB985-9A72-48E4-8B40-64F63DE3564F}"/>
            </a:ext>
          </a:extLst>
        </xdr:cNvPr>
        <xdr:cNvSpPr/>
      </xdr:nvSpPr>
      <xdr:spPr>
        <a:xfrm>
          <a:off x="4718537" y="1948962"/>
          <a:ext cx="893885" cy="104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102577</xdr:colOff>
      <xdr:row>13</xdr:row>
      <xdr:rowOff>51288</xdr:rowOff>
    </xdr:from>
    <xdr:to>
      <xdr:col>18</xdr:col>
      <xdr:colOff>71070</xdr:colOff>
      <xdr:row>13</xdr:row>
      <xdr:rowOff>156063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AA944E48-CE19-4EC9-91C8-09C00DFA53E4}"/>
            </a:ext>
          </a:extLst>
        </xdr:cNvPr>
        <xdr:cNvSpPr/>
      </xdr:nvSpPr>
      <xdr:spPr>
        <a:xfrm>
          <a:off x="5033596" y="2527788"/>
          <a:ext cx="671878" cy="104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14654</xdr:colOff>
      <xdr:row>16</xdr:row>
      <xdr:rowOff>36636</xdr:rowOff>
    </xdr:from>
    <xdr:to>
      <xdr:col>26</xdr:col>
      <xdr:colOff>0</xdr:colOff>
      <xdr:row>16</xdr:row>
      <xdr:rowOff>156064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A608072D-7740-456F-8066-AEBEE8EAB69B}"/>
            </a:ext>
          </a:extLst>
        </xdr:cNvPr>
        <xdr:cNvSpPr/>
      </xdr:nvSpPr>
      <xdr:spPr>
        <a:xfrm>
          <a:off x="5414596" y="3084636"/>
          <a:ext cx="1157654" cy="1194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20</xdr:col>
      <xdr:colOff>7326</xdr:colOff>
      <xdr:row>17</xdr:row>
      <xdr:rowOff>43962</xdr:rowOff>
    </xdr:from>
    <xdr:to>
      <xdr:col>31</xdr:col>
      <xdr:colOff>102576</xdr:colOff>
      <xdr:row>17</xdr:row>
      <xdr:rowOff>141410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BB11FA9D-9617-4EA7-9A56-CAA0EA56CFD5}"/>
            </a:ext>
          </a:extLst>
        </xdr:cNvPr>
        <xdr:cNvSpPr/>
      </xdr:nvSpPr>
      <xdr:spPr>
        <a:xfrm>
          <a:off x="5876191" y="3282462"/>
          <a:ext cx="1384789" cy="974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27</xdr:col>
      <xdr:colOff>14653</xdr:colOff>
      <xdr:row>19</xdr:row>
      <xdr:rowOff>36635</xdr:rowOff>
    </xdr:from>
    <xdr:to>
      <xdr:col>34</xdr:col>
      <xdr:colOff>109903</xdr:colOff>
      <xdr:row>19</xdr:row>
      <xdr:rowOff>141409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75B92A13-412D-44CC-B1AB-5939F6509BFE}"/>
            </a:ext>
          </a:extLst>
        </xdr:cNvPr>
        <xdr:cNvSpPr/>
      </xdr:nvSpPr>
      <xdr:spPr>
        <a:xfrm>
          <a:off x="6704134" y="3656135"/>
          <a:ext cx="915865" cy="1047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21980</xdr:colOff>
      <xdr:row>20</xdr:row>
      <xdr:rowOff>29309</xdr:rowOff>
    </xdr:from>
    <xdr:to>
      <xdr:col>40</xdr:col>
      <xdr:colOff>29307</xdr:colOff>
      <xdr:row>20</xdr:row>
      <xdr:rowOff>148737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3BAFDF16-5D8A-4FCD-97B7-F813E7B08090}"/>
            </a:ext>
          </a:extLst>
        </xdr:cNvPr>
        <xdr:cNvSpPr/>
      </xdr:nvSpPr>
      <xdr:spPr>
        <a:xfrm>
          <a:off x="7180384" y="3839309"/>
          <a:ext cx="1062404" cy="1194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2271346</xdr:colOff>
      <xdr:row>3</xdr:row>
      <xdr:rowOff>14654</xdr:rowOff>
    </xdr:from>
    <xdr:to>
      <xdr:col>4</xdr:col>
      <xdr:colOff>43962</xdr:colOff>
      <xdr:row>3</xdr:row>
      <xdr:rowOff>183173</xdr:rowOff>
    </xdr:to>
    <xdr:sp macro="" textlink="">
      <xdr:nvSpPr>
        <xdr:cNvPr id="16" name="Rombo 15">
          <a:extLst>
            <a:ext uri="{FF2B5EF4-FFF2-40B4-BE49-F238E27FC236}">
              <a16:creationId xmlns:a16="http://schemas.microsoft.com/office/drawing/2014/main" id="{DEF76BC2-B161-AA2E-0BFE-5D0B2473B638}"/>
            </a:ext>
          </a:extLst>
        </xdr:cNvPr>
        <xdr:cNvSpPr/>
      </xdr:nvSpPr>
      <xdr:spPr>
        <a:xfrm>
          <a:off x="3795346" y="586154"/>
          <a:ext cx="241789" cy="168519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49823</xdr:colOff>
      <xdr:row>11</xdr:row>
      <xdr:rowOff>13189</xdr:rowOff>
    </xdr:from>
    <xdr:to>
      <xdr:col>18</xdr:col>
      <xdr:colOff>57150</xdr:colOff>
      <xdr:row>11</xdr:row>
      <xdr:rowOff>181708</xdr:rowOff>
    </xdr:to>
    <xdr:sp macro="" textlink="">
      <xdr:nvSpPr>
        <xdr:cNvPr id="17" name="Rombo 16">
          <a:extLst>
            <a:ext uri="{FF2B5EF4-FFF2-40B4-BE49-F238E27FC236}">
              <a16:creationId xmlns:a16="http://schemas.microsoft.com/office/drawing/2014/main" id="{3E9C083B-D5C0-407C-B2A2-62D9F4FD7162}"/>
            </a:ext>
          </a:extLst>
        </xdr:cNvPr>
        <xdr:cNvSpPr/>
      </xdr:nvSpPr>
      <xdr:spPr>
        <a:xfrm>
          <a:off x="5449765" y="2108689"/>
          <a:ext cx="241789" cy="168519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38</xdr:col>
      <xdr:colOff>58615</xdr:colOff>
      <xdr:row>21</xdr:row>
      <xdr:rowOff>7327</xdr:rowOff>
    </xdr:from>
    <xdr:to>
      <xdr:col>40</xdr:col>
      <xdr:colOff>65942</xdr:colOff>
      <xdr:row>21</xdr:row>
      <xdr:rowOff>175846</xdr:rowOff>
    </xdr:to>
    <xdr:sp macro="" textlink="">
      <xdr:nvSpPr>
        <xdr:cNvPr id="18" name="Rombo 17">
          <a:extLst>
            <a:ext uri="{FF2B5EF4-FFF2-40B4-BE49-F238E27FC236}">
              <a16:creationId xmlns:a16="http://schemas.microsoft.com/office/drawing/2014/main" id="{02F2A25C-139C-4F22-8DB5-38257CE96C1C}"/>
            </a:ext>
          </a:extLst>
        </xdr:cNvPr>
        <xdr:cNvSpPr/>
      </xdr:nvSpPr>
      <xdr:spPr>
        <a:xfrm>
          <a:off x="8037634" y="4007827"/>
          <a:ext cx="241789" cy="168519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9526</xdr:colOff>
      <xdr:row>3</xdr:row>
      <xdr:rowOff>183172</xdr:rowOff>
    </xdr:from>
    <xdr:to>
      <xdr:col>3</xdr:col>
      <xdr:colOff>40300</xdr:colOff>
      <xdr:row>6</xdr:row>
      <xdr:rowOff>90487</xdr:rowOff>
    </xdr:to>
    <xdr:cxnSp macro="">
      <xdr:nvCxnSpPr>
        <xdr:cNvPr id="20" name="Conector: angular 19">
          <a:extLst>
            <a:ext uri="{FF2B5EF4-FFF2-40B4-BE49-F238E27FC236}">
              <a16:creationId xmlns:a16="http://schemas.microsoft.com/office/drawing/2014/main" id="{26159B8E-FEAE-3DE8-0055-C77107096023}"/>
            </a:ext>
          </a:extLst>
        </xdr:cNvPr>
        <xdr:cNvCxnSpPr>
          <a:stCxn id="16" idx="2"/>
          <a:endCxn id="4" idx="1"/>
        </xdr:cNvCxnSpPr>
      </xdr:nvCxnSpPr>
      <xdr:spPr>
        <a:xfrm rot="5400000">
          <a:off x="3661447" y="978693"/>
          <a:ext cx="478815" cy="30774"/>
        </a:xfrm>
        <a:prstGeom prst="bentConnector4">
          <a:avLst>
            <a:gd name="adj1" fmla="val 44529"/>
            <a:gd name="adj2" fmla="val 84283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10991</xdr:colOff>
      <xdr:row>7</xdr:row>
      <xdr:rowOff>109538</xdr:rowOff>
    </xdr:from>
    <xdr:to>
      <xdr:col>11</xdr:col>
      <xdr:colOff>104775</xdr:colOff>
      <xdr:row>9</xdr:row>
      <xdr:rowOff>102211</xdr:rowOff>
    </xdr:to>
    <xdr:cxnSp macro="">
      <xdr:nvCxnSpPr>
        <xdr:cNvPr id="22" name="Conector: angular 21">
          <a:extLst>
            <a:ext uri="{FF2B5EF4-FFF2-40B4-BE49-F238E27FC236}">
              <a16:creationId xmlns:a16="http://schemas.microsoft.com/office/drawing/2014/main" id="{71FBF314-1ADA-D57B-FA5F-E7F9E72846DE}"/>
            </a:ext>
          </a:extLst>
        </xdr:cNvPr>
        <xdr:cNvCxnSpPr>
          <a:stCxn id="5" idx="3"/>
          <a:endCxn id="9" idx="1"/>
        </xdr:cNvCxnSpPr>
      </xdr:nvCxnSpPr>
      <xdr:spPr>
        <a:xfrm flipH="1">
          <a:off x="4355856" y="1443038"/>
          <a:ext cx="562707" cy="373673"/>
        </a:xfrm>
        <a:prstGeom prst="bentConnector5">
          <a:avLst>
            <a:gd name="adj1" fmla="val -40625"/>
            <a:gd name="adj2" fmla="val 50000"/>
            <a:gd name="adj3" fmla="val 14062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21979</xdr:colOff>
      <xdr:row>9</xdr:row>
      <xdr:rowOff>102211</xdr:rowOff>
    </xdr:from>
    <xdr:to>
      <xdr:col>12</xdr:col>
      <xdr:colOff>96715</xdr:colOff>
      <xdr:row>10</xdr:row>
      <xdr:rowOff>96350</xdr:rowOff>
    </xdr:to>
    <xdr:cxnSp macro="">
      <xdr:nvCxnSpPr>
        <xdr:cNvPr id="24" name="Conector: angular 23">
          <a:extLst>
            <a:ext uri="{FF2B5EF4-FFF2-40B4-BE49-F238E27FC236}">
              <a16:creationId xmlns:a16="http://schemas.microsoft.com/office/drawing/2014/main" id="{253D7B29-614E-715B-BB05-FED591D34FD2}"/>
            </a:ext>
          </a:extLst>
        </xdr:cNvPr>
        <xdr:cNvCxnSpPr>
          <a:stCxn id="9" idx="3"/>
          <a:endCxn id="10" idx="1"/>
        </xdr:cNvCxnSpPr>
      </xdr:nvCxnSpPr>
      <xdr:spPr>
        <a:xfrm flipH="1">
          <a:off x="4718537" y="1816711"/>
          <a:ext cx="309197" cy="184639"/>
        </a:xfrm>
        <a:prstGeom prst="bentConnector5">
          <a:avLst>
            <a:gd name="adj1" fmla="val -73933"/>
            <a:gd name="adj2" fmla="val 50000"/>
            <a:gd name="adj3" fmla="val 1739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49823</xdr:colOff>
      <xdr:row>10</xdr:row>
      <xdr:rowOff>96350</xdr:rowOff>
    </xdr:from>
    <xdr:to>
      <xdr:col>17</xdr:col>
      <xdr:colOff>95249</xdr:colOff>
      <xdr:row>11</xdr:row>
      <xdr:rowOff>97449</xdr:rowOff>
    </xdr:to>
    <xdr:cxnSp macro="">
      <xdr:nvCxnSpPr>
        <xdr:cNvPr id="26" name="Conector: angular 25">
          <a:extLst>
            <a:ext uri="{FF2B5EF4-FFF2-40B4-BE49-F238E27FC236}">
              <a16:creationId xmlns:a16="http://schemas.microsoft.com/office/drawing/2014/main" id="{5CF6B53B-06E5-E18D-BB6C-2F4C24A9CE6C}"/>
            </a:ext>
          </a:extLst>
        </xdr:cNvPr>
        <xdr:cNvCxnSpPr>
          <a:stCxn id="10" idx="3"/>
          <a:endCxn id="17" idx="1"/>
        </xdr:cNvCxnSpPr>
      </xdr:nvCxnSpPr>
      <xdr:spPr>
        <a:xfrm flipH="1">
          <a:off x="5449765" y="2001350"/>
          <a:ext cx="162657" cy="191599"/>
        </a:xfrm>
        <a:prstGeom prst="bentConnector5">
          <a:avLst>
            <a:gd name="adj1" fmla="val -140541"/>
            <a:gd name="adj2" fmla="val 41682"/>
            <a:gd name="adj3" fmla="val 24054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96715</xdr:colOff>
      <xdr:row>9</xdr:row>
      <xdr:rowOff>102211</xdr:rowOff>
    </xdr:from>
    <xdr:to>
      <xdr:col>12</xdr:col>
      <xdr:colOff>102577</xdr:colOff>
      <xdr:row>13</xdr:row>
      <xdr:rowOff>103676</xdr:rowOff>
    </xdr:to>
    <xdr:cxnSp macro="">
      <xdr:nvCxnSpPr>
        <xdr:cNvPr id="29" name="Conector: angular 28">
          <a:extLst>
            <a:ext uri="{FF2B5EF4-FFF2-40B4-BE49-F238E27FC236}">
              <a16:creationId xmlns:a16="http://schemas.microsoft.com/office/drawing/2014/main" id="{7D60DEBC-329A-26AD-0A91-69E72EC0BF87}"/>
            </a:ext>
          </a:extLst>
        </xdr:cNvPr>
        <xdr:cNvCxnSpPr>
          <a:stCxn id="9" idx="3"/>
          <a:endCxn id="11" idx="1"/>
        </xdr:cNvCxnSpPr>
      </xdr:nvCxnSpPr>
      <xdr:spPr>
        <a:xfrm>
          <a:off x="5027734" y="1816711"/>
          <a:ext cx="5862" cy="7634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14654</xdr:colOff>
      <xdr:row>11</xdr:row>
      <xdr:rowOff>97449</xdr:rowOff>
    </xdr:from>
    <xdr:to>
      <xdr:col>18</xdr:col>
      <xdr:colOff>57150</xdr:colOff>
      <xdr:row>16</xdr:row>
      <xdr:rowOff>96350</xdr:rowOff>
    </xdr:to>
    <xdr:cxnSp macro="">
      <xdr:nvCxnSpPr>
        <xdr:cNvPr id="32" name="Conector: angular 31">
          <a:extLst>
            <a:ext uri="{FF2B5EF4-FFF2-40B4-BE49-F238E27FC236}">
              <a16:creationId xmlns:a16="http://schemas.microsoft.com/office/drawing/2014/main" id="{431EC522-D4F2-44F1-BCC2-E387EB05747C}"/>
            </a:ext>
          </a:extLst>
        </xdr:cNvPr>
        <xdr:cNvCxnSpPr>
          <a:stCxn id="17" idx="3"/>
          <a:endCxn id="12" idx="1"/>
        </xdr:cNvCxnSpPr>
      </xdr:nvCxnSpPr>
      <xdr:spPr>
        <a:xfrm flipH="1">
          <a:off x="5414596" y="2192949"/>
          <a:ext cx="276958" cy="951401"/>
        </a:xfrm>
        <a:prstGeom prst="bentConnector5">
          <a:avLst>
            <a:gd name="adj1" fmla="val -82540"/>
            <a:gd name="adj2" fmla="val 73624"/>
            <a:gd name="adj3" fmla="val 18254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7326</xdr:colOff>
      <xdr:row>16</xdr:row>
      <xdr:rowOff>96350</xdr:rowOff>
    </xdr:from>
    <xdr:to>
      <xdr:col>26</xdr:col>
      <xdr:colOff>0</xdr:colOff>
      <xdr:row>17</xdr:row>
      <xdr:rowOff>92686</xdr:rowOff>
    </xdr:to>
    <xdr:cxnSp macro="">
      <xdr:nvCxnSpPr>
        <xdr:cNvPr id="35" name="Conector: angular 34">
          <a:extLst>
            <a:ext uri="{FF2B5EF4-FFF2-40B4-BE49-F238E27FC236}">
              <a16:creationId xmlns:a16="http://schemas.microsoft.com/office/drawing/2014/main" id="{5CD4DFBF-555E-FBEF-BF61-07E9C78E7121}"/>
            </a:ext>
          </a:extLst>
        </xdr:cNvPr>
        <xdr:cNvCxnSpPr>
          <a:stCxn id="12" idx="3"/>
          <a:endCxn id="13" idx="1"/>
        </xdr:cNvCxnSpPr>
      </xdr:nvCxnSpPr>
      <xdr:spPr>
        <a:xfrm flipH="1">
          <a:off x="5876191" y="3144350"/>
          <a:ext cx="696059" cy="186836"/>
        </a:xfrm>
        <a:prstGeom prst="bentConnector5">
          <a:avLst>
            <a:gd name="adj1" fmla="val -32842"/>
            <a:gd name="adj2" fmla="val 52941"/>
            <a:gd name="adj3" fmla="val 13284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</xdr:row>
      <xdr:rowOff>96350</xdr:rowOff>
    </xdr:from>
    <xdr:to>
      <xdr:col>27</xdr:col>
      <xdr:colOff>14653</xdr:colOff>
      <xdr:row>19</xdr:row>
      <xdr:rowOff>89022</xdr:rowOff>
    </xdr:to>
    <xdr:cxnSp macro="">
      <xdr:nvCxnSpPr>
        <xdr:cNvPr id="37" name="Conector: angular 36">
          <a:extLst>
            <a:ext uri="{FF2B5EF4-FFF2-40B4-BE49-F238E27FC236}">
              <a16:creationId xmlns:a16="http://schemas.microsoft.com/office/drawing/2014/main" id="{1B945DCD-D9EE-DEFC-BC3C-2BD2F60F5F6B}"/>
            </a:ext>
          </a:extLst>
        </xdr:cNvPr>
        <xdr:cNvCxnSpPr>
          <a:stCxn id="12" idx="3"/>
          <a:endCxn id="14" idx="1"/>
        </xdr:cNvCxnSpPr>
      </xdr:nvCxnSpPr>
      <xdr:spPr>
        <a:xfrm>
          <a:off x="6572250" y="3144350"/>
          <a:ext cx="131884" cy="564172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21980</xdr:colOff>
      <xdr:row>19</xdr:row>
      <xdr:rowOff>89022</xdr:rowOff>
    </xdr:from>
    <xdr:to>
      <xdr:col>34</xdr:col>
      <xdr:colOff>109903</xdr:colOff>
      <xdr:row>20</xdr:row>
      <xdr:rowOff>89023</xdr:rowOff>
    </xdr:to>
    <xdr:cxnSp macro="">
      <xdr:nvCxnSpPr>
        <xdr:cNvPr id="39" name="Conector: angular 38">
          <a:extLst>
            <a:ext uri="{FF2B5EF4-FFF2-40B4-BE49-F238E27FC236}">
              <a16:creationId xmlns:a16="http://schemas.microsoft.com/office/drawing/2014/main" id="{431503D0-23BB-1A22-483B-4DEFEA06A52B}"/>
            </a:ext>
          </a:extLst>
        </xdr:cNvPr>
        <xdr:cNvCxnSpPr>
          <a:stCxn id="14" idx="3"/>
          <a:endCxn id="15" idx="1"/>
        </xdr:cNvCxnSpPr>
      </xdr:nvCxnSpPr>
      <xdr:spPr>
        <a:xfrm flipH="1">
          <a:off x="7180384" y="3708522"/>
          <a:ext cx="439615" cy="190501"/>
        </a:xfrm>
        <a:prstGeom prst="bentConnector5">
          <a:avLst>
            <a:gd name="adj1" fmla="val -52000"/>
            <a:gd name="adj2" fmla="val 48077"/>
            <a:gd name="adj3" fmla="val 152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58615</xdr:colOff>
      <xdr:row>20</xdr:row>
      <xdr:rowOff>89023</xdr:rowOff>
    </xdr:from>
    <xdr:to>
      <xdr:col>40</xdr:col>
      <xdr:colOff>29307</xdr:colOff>
      <xdr:row>21</xdr:row>
      <xdr:rowOff>91587</xdr:rowOff>
    </xdr:to>
    <xdr:cxnSp macro="">
      <xdr:nvCxnSpPr>
        <xdr:cNvPr id="43" name="Conector: angular 42">
          <a:extLst>
            <a:ext uri="{FF2B5EF4-FFF2-40B4-BE49-F238E27FC236}">
              <a16:creationId xmlns:a16="http://schemas.microsoft.com/office/drawing/2014/main" id="{8D0887B0-B0BA-48EB-7D29-A7FA2E7060B4}"/>
            </a:ext>
          </a:extLst>
        </xdr:cNvPr>
        <xdr:cNvCxnSpPr>
          <a:stCxn id="15" idx="3"/>
          <a:endCxn id="18" idx="1"/>
        </xdr:cNvCxnSpPr>
      </xdr:nvCxnSpPr>
      <xdr:spPr>
        <a:xfrm flipH="1">
          <a:off x="8037634" y="3899023"/>
          <a:ext cx="205154" cy="193064"/>
        </a:xfrm>
        <a:prstGeom prst="bentConnector5">
          <a:avLst>
            <a:gd name="adj1" fmla="val -111428"/>
            <a:gd name="adj2" fmla="val 43643"/>
            <a:gd name="adj3" fmla="val 21142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9525</xdr:rowOff>
    </xdr:from>
    <xdr:to>
      <xdr:col>7</xdr:col>
      <xdr:colOff>76200</xdr:colOff>
      <xdr:row>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41CF6B-E0ED-06AB-1BAF-ADC54EBEF8EC}"/>
            </a:ext>
          </a:extLst>
        </xdr:cNvPr>
        <xdr:cNvSpPr/>
      </xdr:nvSpPr>
      <xdr:spPr>
        <a:xfrm>
          <a:off x="2476500" y="581025"/>
          <a:ext cx="2990850" cy="180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638175</xdr:colOff>
      <xdr:row>5</xdr:row>
      <xdr:rowOff>19050</xdr:rowOff>
    </xdr:from>
    <xdr:to>
      <xdr:col>8</xdr:col>
      <xdr:colOff>581025</xdr:colOff>
      <xdr:row>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E82CF39-C1C6-4F7F-B437-10CF7BBD6544}"/>
            </a:ext>
          </a:extLst>
        </xdr:cNvPr>
        <xdr:cNvSpPr/>
      </xdr:nvSpPr>
      <xdr:spPr>
        <a:xfrm>
          <a:off x="3743325" y="971550"/>
          <a:ext cx="2990850" cy="180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638175</xdr:colOff>
      <xdr:row>3</xdr:row>
      <xdr:rowOff>100013</xdr:rowOff>
    </xdr:from>
    <xdr:to>
      <xdr:col>7</xdr:col>
      <xdr:colOff>76200</xdr:colOff>
      <xdr:row>5</xdr:row>
      <xdr:rowOff>109538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85A03C69-3776-4FC3-A129-D73DC77F0EF1}"/>
            </a:ext>
          </a:extLst>
        </xdr:cNvPr>
        <xdr:cNvCxnSpPr>
          <a:stCxn id="2" idx="3"/>
          <a:endCxn id="3" idx="1"/>
        </xdr:cNvCxnSpPr>
      </xdr:nvCxnSpPr>
      <xdr:spPr>
        <a:xfrm flipH="1">
          <a:off x="3743325" y="671513"/>
          <a:ext cx="1724025" cy="390525"/>
        </a:xfrm>
        <a:prstGeom prst="bentConnector5">
          <a:avLst>
            <a:gd name="adj1" fmla="val -13260"/>
            <a:gd name="adj2" fmla="val 50000"/>
            <a:gd name="adj3" fmla="val 11326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9</xdr:row>
      <xdr:rowOff>123825</xdr:rowOff>
    </xdr:from>
    <xdr:to>
      <xdr:col>10</xdr:col>
      <xdr:colOff>85725</xdr:colOff>
      <xdr:row>23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D3C94BDF-0625-865D-1975-3470498E3B38}"/>
            </a:ext>
          </a:extLst>
        </xdr:cNvPr>
        <xdr:cNvSpPr/>
      </xdr:nvSpPr>
      <xdr:spPr>
        <a:xfrm>
          <a:off x="3114675" y="1838325"/>
          <a:ext cx="4648200" cy="2695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66675</xdr:colOff>
      <xdr:row>9</xdr:row>
      <xdr:rowOff>152401</xdr:rowOff>
    </xdr:from>
    <xdr:to>
      <xdr:col>4</xdr:col>
      <xdr:colOff>542925</xdr:colOff>
      <xdr:row>11</xdr:row>
      <xdr:rowOff>152401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A407D505-A459-C236-BB59-FDB0B00D72AC}"/>
            </a:ext>
          </a:extLst>
        </xdr:cNvPr>
        <xdr:cNvSpPr/>
      </xdr:nvSpPr>
      <xdr:spPr>
        <a:xfrm>
          <a:off x="3171825" y="1866901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85725</xdr:colOff>
      <xdr:row>14</xdr:row>
      <xdr:rowOff>28575</xdr:rowOff>
    </xdr:from>
    <xdr:to>
      <xdr:col>4</xdr:col>
      <xdr:colOff>561975</xdr:colOff>
      <xdr:row>16</xdr:row>
      <xdr:rowOff>28575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7616C8B-21E5-41F8-B40B-227618C0BD9C}"/>
            </a:ext>
          </a:extLst>
        </xdr:cNvPr>
        <xdr:cNvSpPr/>
      </xdr:nvSpPr>
      <xdr:spPr>
        <a:xfrm>
          <a:off x="3190875" y="26955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85725</xdr:colOff>
      <xdr:row>18</xdr:row>
      <xdr:rowOff>76200</xdr:rowOff>
    </xdr:from>
    <xdr:to>
      <xdr:col>4</xdr:col>
      <xdr:colOff>561975</xdr:colOff>
      <xdr:row>20</xdr:row>
      <xdr:rowOff>76200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62338768-85B0-496E-BCC2-4F2566A2CD05}"/>
            </a:ext>
          </a:extLst>
        </xdr:cNvPr>
        <xdr:cNvSpPr/>
      </xdr:nvSpPr>
      <xdr:spPr>
        <a:xfrm>
          <a:off x="3190875" y="350520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57150</xdr:colOff>
      <xdr:row>21</xdr:row>
      <xdr:rowOff>114300</xdr:rowOff>
    </xdr:from>
    <xdr:to>
      <xdr:col>4</xdr:col>
      <xdr:colOff>533400</xdr:colOff>
      <xdr:row>23</xdr:row>
      <xdr:rowOff>114300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B4129D60-772D-42A7-B276-FD0AC905879E}"/>
            </a:ext>
          </a:extLst>
        </xdr:cNvPr>
        <xdr:cNvSpPr/>
      </xdr:nvSpPr>
      <xdr:spPr>
        <a:xfrm>
          <a:off x="3162300" y="411480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161925</xdr:colOff>
      <xdr:row>9</xdr:row>
      <xdr:rowOff>171451</xdr:rowOff>
    </xdr:from>
    <xdr:to>
      <xdr:col>5</xdr:col>
      <xdr:colOff>638175</xdr:colOff>
      <xdr:row>11</xdr:row>
      <xdr:rowOff>171451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75807D01-DA88-4EC1-8D45-EA604BBED0AB}"/>
            </a:ext>
          </a:extLst>
        </xdr:cNvPr>
        <xdr:cNvSpPr/>
      </xdr:nvSpPr>
      <xdr:spPr>
        <a:xfrm>
          <a:off x="4029075" y="1885951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180975</xdr:colOff>
      <xdr:row>14</xdr:row>
      <xdr:rowOff>47625</xdr:rowOff>
    </xdr:from>
    <xdr:to>
      <xdr:col>5</xdr:col>
      <xdr:colOff>657225</xdr:colOff>
      <xdr:row>16</xdr:row>
      <xdr:rowOff>47625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53FCD7F-AF9F-4223-9BE5-2D151E9CF539}"/>
            </a:ext>
          </a:extLst>
        </xdr:cNvPr>
        <xdr:cNvSpPr/>
      </xdr:nvSpPr>
      <xdr:spPr>
        <a:xfrm>
          <a:off x="4048125" y="271462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180975</xdr:colOff>
      <xdr:row>18</xdr:row>
      <xdr:rowOff>95250</xdr:rowOff>
    </xdr:from>
    <xdr:to>
      <xdr:col>5</xdr:col>
      <xdr:colOff>657225</xdr:colOff>
      <xdr:row>20</xdr:row>
      <xdr:rowOff>95250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8999C12-8415-4700-843C-916B12E04D8A}"/>
            </a:ext>
          </a:extLst>
        </xdr:cNvPr>
        <xdr:cNvSpPr/>
      </xdr:nvSpPr>
      <xdr:spPr>
        <a:xfrm>
          <a:off x="4048125" y="352425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152400</xdr:colOff>
      <xdr:row>21</xdr:row>
      <xdr:rowOff>133350</xdr:rowOff>
    </xdr:from>
    <xdr:to>
      <xdr:col>5</xdr:col>
      <xdr:colOff>628650</xdr:colOff>
      <xdr:row>23</xdr:row>
      <xdr:rowOff>133350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736004B-BED5-4DCB-AEEF-D5FC18EB6092}"/>
            </a:ext>
          </a:extLst>
        </xdr:cNvPr>
        <xdr:cNvSpPr/>
      </xdr:nvSpPr>
      <xdr:spPr>
        <a:xfrm>
          <a:off x="4019550" y="413385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361950</xdr:colOff>
      <xdr:row>9</xdr:row>
      <xdr:rowOff>180976</xdr:rowOff>
    </xdr:from>
    <xdr:to>
      <xdr:col>7</xdr:col>
      <xdr:colOff>76200</xdr:colOff>
      <xdr:row>11</xdr:row>
      <xdr:rowOff>180976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34918D7B-6F1C-4090-8FBB-FB7E63687F83}"/>
            </a:ext>
          </a:extLst>
        </xdr:cNvPr>
        <xdr:cNvSpPr/>
      </xdr:nvSpPr>
      <xdr:spPr>
        <a:xfrm>
          <a:off x="4991100" y="1895476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381000</xdr:colOff>
      <xdr:row>14</xdr:row>
      <xdr:rowOff>57150</xdr:rowOff>
    </xdr:from>
    <xdr:to>
      <xdr:col>7</xdr:col>
      <xdr:colOff>95250</xdr:colOff>
      <xdr:row>16</xdr:row>
      <xdr:rowOff>57150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E4D84E1-C8F5-4C79-B0F6-F28A5E724416}"/>
            </a:ext>
          </a:extLst>
        </xdr:cNvPr>
        <xdr:cNvSpPr/>
      </xdr:nvSpPr>
      <xdr:spPr>
        <a:xfrm>
          <a:off x="5010150" y="272415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381000</xdr:colOff>
      <xdr:row>18</xdr:row>
      <xdr:rowOff>104775</xdr:rowOff>
    </xdr:from>
    <xdr:to>
      <xdr:col>7</xdr:col>
      <xdr:colOff>95250</xdr:colOff>
      <xdr:row>20</xdr:row>
      <xdr:rowOff>104775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AB5B696F-4291-4DDD-A839-B66E7F24576C}"/>
            </a:ext>
          </a:extLst>
        </xdr:cNvPr>
        <xdr:cNvSpPr/>
      </xdr:nvSpPr>
      <xdr:spPr>
        <a:xfrm>
          <a:off x="5010150" y="35337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352425</xdr:colOff>
      <xdr:row>21</xdr:row>
      <xdr:rowOff>142875</xdr:rowOff>
    </xdr:from>
    <xdr:to>
      <xdr:col>7</xdr:col>
      <xdr:colOff>66675</xdr:colOff>
      <xdr:row>23</xdr:row>
      <xdr:rowOff>142875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4402678C-60BD-45A9-B4C6-FD2C6CF80583}"/>
            </a:ext>
          </a:extLst>
        </xdr:cNvPr>
        <xdr:cNvSpPr/>
      </xdr:nvSpPr>
      <xdr:spPr>
        <a:xfrm>
          <a:off x="4981575" y="41433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714375</xdr:colOff>
      <xdr:row>9</xdr:row>
      <xdr:rowOff>180976</xdr:rowOff>
    </xdr:from>
    <xdr:to>
      <xdr:col>8</xdr:col>
      <xdr:colOff>428625</xdr:colOff>
      <xdr:row>11</xdr:row>
      <xdr:rowOff>180976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9B61FFD-1A3A-4309-8EAD-4653B96A899E}"/>
            </a:ext>
          </a:extLst>
        </xdr:cNvPr>
        <xdr:cNvSpPr/>
      </xdr:nvSpPr>
      <xdr:spPr>
        <a:xfrm>
          <a:off x="6105525" y="1895476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733425</xdr:colOff>
      <xdr:row>14</xdr:row>
      <xdr:rowOff>57150</xdr:rowOff>
    </xdr:from>
    <xdr:to>
      <xdr:col>8</xdr:col>
      <xdr:colOff>447675</xdr:colOff>
      <xdr:row>16</xdr:row>
      <xdr:rowOff>57150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969E33C3-BD24-43F6-A7CA-9DD8D0F763BC}"/>
            </a:ext>
          </a:extLst>
        </xdr:cNvPr>
        <xdr:cNvSpPr/>
      </xdr:nvSpPr>
      <xdr:spPr>
        <a:xfrm>
          <a:off x="6124575" y="272415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733425</xdr:colOff>
      <xdr:row>18</xdr:row>
      <xdr:rowOff>104775</xdr:rowOff>
    </xdr:from>
    <xdr:to>
      <xdr:col>8</xdr:col>
      <xdr:colOff>447675</xdr:colOff>
      <xdr:row>20</xdr:row>
      <xdr:rowOff>104775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D5D010B-754C-4F30-AFC3-19D6424A5F6F}"/>
            </a:ext>
          </a:extLst>
        </xdr:cNvPr>
        <xdr:cNvSpPr/>
      </xdr:nvSpPr>
      <xdr:spPr>
        <a:xfrm>
          <a:off x="6124575" y="35337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704850</xdr:colOff>
      <xdr:row>21</xdr:row>
      <xdr:rowOff>142875</xdr:rowOff>
    </xdr:from>
    <xdr:to>
      <xdr:col>8</xdr:col>
      <xdr:colOff>419100</xdr:colOff>
      <xdr:row>23</xdr:row>
      <xdr:rowOff>142875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807AB09D-D973-4C73-95F4-C897611191DA}"/>
            </a:ext>
          </a:extLst>
        </xdr:cNvPr>
        <xdr:cNvSpPr/>
      </xdr:nvSpPr>
      <xdr:spPr>
        <a:xfrm>
          <a:off x="6096000" y="41433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276225</xdr:colOff>
      <xdr:row>9</xdr:row>
      <xdr:rowOff>180976</xdr:rowOff>
    </xdr:from>
    <xdr:to>
      <xdr:col>9</xdr:col>
      <xdr:colOff>752475</xdr:colOff>
      <xdr:row>11</xdr:row>
      <xdr:rowOff>180976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29A6C575-95CA-492E-B46E-9B3029C20322}"/>
            </a:ext>
          </a:extLst>
        </xdr:cNvPr>
        <xdr:cNvSpPr/>
      </xdr:nvSpPr>
      <xdr:spPr>
        <a:xfrm>
          <a:off x="7191375" y="1895476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295275</xdr:colOff>
      <xdr:row>14</xdr:row>
      <xdr:rowOff>57150</xdr:rowOff>
    </xdr:from>
    <xdr:to>
      <xdr:col>10</xdr:col>
      <xdr:colOff>9525</xdr:colOff>
      <xdr:row>16</xdr:row>
      <xdr:rowOff>57150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B2551243-E8DD-4213-B5E7-674F3BB01D20}"/>
            </a:ext>
          </a:extLst>
        </xdr:cNvPr>
        <xdr:cNvSpPr/>
      </xdr:nvSpPr>
      <xdr:spPr>
        <a:xfrm>
          <a:off x="7210425" y="2724150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295275</xdr:colOff>
      <xdr:row>18</xdr:row>
      <xdr:rowOff>104775</xdr:rowOff>
    </xdr:from>
    <xdr:to>
      <xdr:col>10</xdr:col>
      <xdr:colOff>9525</xdr:colOff>
      <xdr:row>20</xdr:row>
      <xdr:rowOff>104775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B1A04A77-AB64-44A5-8CC4-270FD6DEE201}"/>
            </a:ext>
          </a:extLst>
        </xdr:cNvPr>
        <xdr:cNvSpPr/>
      </xdr:nvSpPr>
      <xdr:spPr>
        <a:xfrm>
          <a:off x="7210425" y="35337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21</xdr:row>
      <xdr:rowOff>142875</xdr:rowOff>
    </xdr:from>
    <xdr:to>
      <xdr:col>9</xdr:col>
      <xdr:colOff>742950</xdr:colOff>
      <xdr:row>23</xdr:row>
      <xdr:rowOff>142875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717745CD-FEC5-4761-8F05-05EC8811FAD4}"/>
            </a:ext>
          </a:extLst>
        </xdr:cNvPr>
        <xdr:cNvSpPr/>
      </xdr:nvSpPr>
      <xdr:spPr>
        <a:xfrm>
          <a:off x="7181850" y="4143375"/>
          <a:ext cx="47625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133350</xdr:colOff>
      <xdr:row>27</xdr:row>
      <xdr:rowOff>9525</xdr:rowOff>
    </xdr:from>
    <xdr:to>
      <xdr:col>7</xdr:col>
      <xdr:colOff>76200</xdr:colOff>
      <xdr:row>28</xdr:row>
      <xdr:rowOff>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B73F73E4-CF3A-4AD8-A5FC-CBDEE5A44BB1}"/>
            </a:ext>
          </a:extLst>
        </xdr:cNvPr>
        <xdr:cNvSpPr/>
      </xdr:nvSpPr>
      <xdr:spPr>
        <a:xfrm>
          <a:off x="2476500" y="581025"/>
          <a:ext cx="2990850" cy="180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352425</xdr:colOff>
      <xdr:row>28</xdr:row>
      <xdr:rowOff>180975</xdr:rowOff>
    </xdr:from>
    <xdr:to>
      <xdr:col>13</xdr:col>
      <xdr:colOff>295275</xdr:colOff>
      <xdr:row>29</xdr:row>
      <xdr:rowOff>171450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689D839A-9343-442B-A336-E9BACBA028B8}"/>
            </a:ext>
          </a:extLst>
        </xdr:cNvPr>
        <xdr:cNvSpPr/>
      </xdr:nvSpPr>
      <xdr:spPr>
        <a:xfrm>
          <a:off x="7686675" y="5514975"/>
          <a:ext cx="2990850" cy="180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76200</xdr:colOff>
      <xdr:row>27</xdr:row>
      <xdr:rowOff>100013</xdr:rowOff>
    </xdr:from>
    <xdr:to>
      <xdr:col>9</xdr:col>
      <xdr:colOff>352425</xdr:colOff>
      <xdr:row>29</xdr:row>
      <xdr:rowOff>80963</xdr:rowOff>
    </xdr:to>
    <xdr:cxnSp macro="">
      <xdr:nvCxnSpPr>
        <xdr:cNvPr id="30" name="Conector: angular 29">
          <a:extLst>
            <a:ext uri="{FF2B5EF4-FFF2-40B4-BE49-F238E27FC236}">
              <a16:creationId xmlns:a16="http://schemas.microsoft.com/office/drawing/2014/main" id="{3D383666-CE23-4C62-BA5E-AF62129F3D8B}"/>
            </a:ext>
          </a:extLst>
        </xdr:cNvPr>
        <xdr:cNvCxnSpPr>
          <a:stCxn id="28" idx="3"/>
          <a:endCxn id="29" idx="1"/>
        </xdr:cNvCxnSpPr>
      </xdr:nvCxnSpPr>
      <xdr:spPr>
        <a:xfrm>
          <a:off x="5886450" y="5243513"/>
          <a:ext cx="1800225" cy="36195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514350</xdr:colOff>
      <xdr:row>9</xdr:row>
      <xdr:rowOff>117692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698DB7-5EEB-B37E-4F8E-03A2D600D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27" t="25263" r="14557" b="35669"/>
        <a:stretch/>
      </xdr:blipFill>
      <xdr:spPr>
        <a:xfrm>
          <a:off x="0" y="0"/>
          <a:ext cx="6791325" cy="1832192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28575</xdr:rowOff>
    </xdr:from>
    <xdr:to>
      <xdr:col>4</xdr:col>
      <xdr:colOff>904875</xdr:colOff>
      <xdr:row>24</xdr:row>
      <xdr:rowOff>47625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BE50B5E-749B-4B4B-3436-1D54DD04A6DF}"/>
            </a:ext>
          </a:extLst>
        </xdr:cNvPr>
        <xdr:cNvCxnSpPr/>
      </xdr:nvCxnSpPr>
      <xdr:spPr>
        <a:xfrm flipV="1">
          <a:off x="3057525" y="4438650"/>
          <a:ext cx="895350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24</xdr:row>
      <xdr:rowOff>57150</xdr:rowOff>
    </xdr:from>
    <xdr:to>
      <xdr:col>4</xdr:col>
      <xdr:colOff>885825</xdr:colOff>
      <xdr:row>26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6F689D07-7ACE-4418-9BD2-9D3E9477CA06}"/>
            </a:ext>
          </a:extLst>
        </xdr:cNvPr>
        <xdr:cNvCxnSpPr/>
      </xdr:nvCxnSpPr>
      <xdr:spPr>
        <a:xfrm>
          <a:off x="3057525" y="4667250"/>
          <a:ext cx="87630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20</xdr:row>
      <xdr:rowOff>152400</xdr:rowOff>
    </xdr:from>
    <xdr:to>
      <xdr:col>6</xdr:col>
      <xdr:colOff>752475</xdr:colOff>
      <xdr:row>21</xdr:row>
      <xdr:rowOff>190500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7B144889-21C3-5EFF-AB60-A899C48EB739}"/>
            </a:ext>
          </a:extLst>
        </xdr:cNvPr>
        <xdr:cNvCxnSpPr/>
      </xdr:nvCxnSpPr>
      <xdr:spPr>
        <a:xfrm>
          <a:off x="3105150" y="3971925"/>
          <a:ext cx="24003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27</xdr:row>
      <xdr:rowOff>19050</xdr:rowOff>
    </xdr:from>
    <xdr:to>
      <xdr:col>6</xdr:col>
      <xdr:colOff>723900</xdr:colOff>
      <xdr:row>27</xdr:row>
      <xdr:rowOff>190500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F799AC7B-E7D5-40AE-A7A0-12F67890A2BB}"/>
            </a:ext>
          </a:extLst>
        </xdr:cNvPr>
        <xdr:cNvCxnSpPr/>
      </xdr:nvCxnSpPr>
      <xdr:spPr>
        <a:xfrm flipV="1">
          <a:off x="3181350" y="5229225"/>
          <a:ext cx="2295525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704850</xdr:colOff>
      <xdr:row>16</xdr:row>
      <xdr:rowOff>19050</xdr:rowOff>
    </xdr:from>
    <xdr:to>
      <xdr:col>13</xdr:col>
      <xdr:colOff>28575</xdr:colOff>
      <xdr:row>18</xdr:row>
      <xdr:rowOff>142875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9B02A9E-75DF-5E2E-0F1E-D1A56301C539}"/>
            </a:ext>
          </a:extLst>
        </xdr:cNvPr>
        <xdr:cNvCxnSpPr/>
      </xdr:nvCxnSpPr>
      <xdr:spPr>
        <a:xfrm flipV="1">
          <a:off x="6981825" y="3067050"/>
          <a:ext cx="3133725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9379-49E3-483D-831A-034B4FA1A04B}">
  <dimension ref="B2:M22"/>
  <sheetViews>
    <sheetView workbookViewId="0">
      <selection activeCell="H5" sqref="H5:I22"/>
    </sheetView>
  </sheetViews>
  <sheetFormatPr baseColWidth="10" defaultRowHeight="15" x14ac:dyDescent="0.25"/>
  <cols>
    <col min="8" max="8" width="6.7109375" bestFit="1" customWidth="1"/>
    <col min="9" max="9" width="35.28515625" bestFit="1" customWidth="1"/>
    <col min="10" max="10" width="5" style="2" bestFit="1" customWidth="1"/>
  </cols>
  <sheetData>
    <row r="2" spans="2:13" x14ac:dyDescent="0.25">
      <c r="B2" t="s">
        <v>15</v>
      </c>
    </row>
    <row r="5" spans="2:13" x14ac:dyDescent="0.25">
      <c r="H5" s="2" t="s">
        <v>0</v>
      </c>
      <c r="I5" s="2" t="s">
        <v>16</v>
      </c>
      <c r="J5" s="2" t="s">
        <v>2</v>
      </c>
      <c r="K5" s="2" t="s">
        <v>3</v>
      </c>
      <c r="L5" s="2" t="s">
        <v>4</v>
      </c>
      <c r="M5" s="2" t="s">
        <v>5</v>
      </c>
    </row>
    <row r="6" spans="2:13" x14ac:dyDescent="0.25">
      <c r="H6" s="4">
        <v>1</v>
      </c>
      <c r="I6" t="s">
        <v>17</v>
      </c>
    </row>
    <row r="7" spans="2:13" x14ac:dyDescent="0.25">
      <c r="H7" s="4">
        <v>1.1000000000000001</v>
      </c>
      <c r="I7" t="s">
        <v>18</v>
      </c>
    </row>
    <row r="8" spans="2:13" x14ac:dyDescent="0.25">
      <c r="H8" s="13" t="s">
        <v>19</v>
      </c>
      <c r="I8" s="14" t="s">
        <v>20</v>
      </c>
    </row>
    <row r="9" spans="2:13" s="12" customFormat="1" x14ac:dyDescent="0.25">
      <c r="H9" s="11" t="s">
        <v>21</v>
      </c>
      <c r="I9" s="12" t="s">
        <v>22</v>
      </c>
      <c r="J9" s="16" t="s">
        <v>7</v>
      </c>
    </row>
    <row r="10" spans="2:13" s="12" customFormat="1" x14ac:dyDescent="0.25">
      <c r="H10" s="11" t="s">
        <v>23</v>
      </c>
      <c r="I10" s="12" t="s">
        <v>24</v>
      </c>
      <c r="J10" s="16" t="s">
        <v>7</v>
      </c>
    </row>
    <row r="11" spans="2:13" x14ac:dyDescent="0.25">
      <c r="H11" s="13" t="s">
        <v>26</v>
      </c>
      <c r="I11" s="14" t="s">
        <v>25</v>
      </c>
    </row>
    <row r="12" spans="2:13" s="12" customFormat="1" x14ac:dyDescent="0.25">
      <c r="H12" s="11" t="s">
        <v>27</v>
      </c>
      <c r="I12" s="12" t="s">
        <v>28</v>
      </c>
      <c r="J12" s="16" t="s">
        <v>7</v>
      </c>
    </row>
    <row r="13" spans="2:13" s="12" customFormat="1" x14ac:dyDescent="0.25">
      <c r="H13" s="11" t="s">
        <v>29</v>
      </c>
      <c r="I13" s="12" t="s">
        <v>30</v>
      </c>
      <c r="J13" s="16" t="s">
        <v>7</v>
      </c>
    </row>
    <row r="14" spans="2:13" x14ac:dyDescent="0.25">
      <c r="H14" s="13" t="s">
        <v>32</v>
      </c>
      <c r="I14" s="14" t="s">
        <v>33</v>
      </c>
    </row>
    <row r="15" spans="2:13" s="12" customFormat="1" x14ac:dyDescent="0.25">
      <c r="H15" s="11" t="s">
        <v>34</v>
      </c>
      <c r="I15" s="12" t="s">
        <v>35</v>
      </c>
      <c r="J15" s="16" t="s">
        <v>7</v>
      </c>
    </row>
    <row r="16" spans="2:13" x14ac:dyDescent="0.25">
      <c r="H16" s="4">
        <v>1.2</v>
      </c>
      <c r="I16" s="14" t="s">
        <v>36</v>
      </c>
    </row>
    <row r="17" spans="4:10" x14ac:dyDescent="0.25">
      <c r="H17" s="4" t="s">
        <v>37</v>
      </c>
      <c r="I17" s="14" t="s">
        <v>17</v>
      </c>
    </row>
    <row r="18" spans="4:10" s="12" customFormat="1" x14ac:dyDescent="0.25">
      <c r="H18" s="12" t="s">
        <v>38</v>
      </c>
      <c r="I18" s="12" t="s">
        <v>39</v>
      </c>
      <c r="J18" s="16" t="s">
        <v>47</v>
      </c>
    </row>
    <row r="19" spans="4:10" s="12" customFormat="1" x14ac:dyDescent="0.25">
      <c r="H19" s="12" t="s">
        <v>40</v>
      </c>
      <c r="I19" s="12" t="s">
        <v>41</v>
      </c>
      <c r="J19" s="16" t="s">
        <v>7</v>
      </c>
    </row>
    <row r="20" spans="4:10" x14ac:dyDescent="0.25">
      <c r="H20" s="4" t="s">
        <v>42</v>
      </c>
      <c r="I20" s="14" t="s">
        <v>45</v>
      </c>
    </row>
    <row r="21" spans="4:10" s="12" customFormat="1" x14ac:dyDescent="0.25">
      <c r="H21" s="11" t="s">
        <v>43</v>
      </c>
      <c r="I21" s="12" t="s">
        <v>39</v>
      </c>
      <c r="J21" s="16" t="s">
        <v>47</v>
      </c>
    </row>
    <row r="22" spans="4:10" s="12" customFormat="1" x14ac:dyDescent="0.25">
      <c r="D22" s="15" t="s">
        <v>31</v>
      </c>
      <c r="E22" s="15"/>
      <c r="H22" s="11" t="s">
        <v>44</v>
      </c>
      <c r="I22" s="12" t="s">
        <v>46</v>
      </c>
      <c r="J22" s="16" t="s">
        <v>7</v>
      </c>
    </row>
  </sheetData>
  <mergeCells count="1">
    <mergeCell ref="D22:E2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2646-28C3-4A3F-BF83-581F51B04165}">
  <dimension ref="B2:AN22"/>
  <sheetViews>
    <sheetView zoomScaleNormal="100" workbookViewId="0">
      <selection activeCell="AO16" sqref="AO16"/>
    </sheetView>
  </sheetViews>
  <sheetFormatPr baseColWidth="10" defaultRowHeight="15" x14ac:dyDescent="0.25"/>
  <cols>
    <col min="3" max="3" width="35.28515625" bestFit="1" customWidth="1"/>
    <col min="4" max="45" width="1.7109375" customWidth="1"/>
  </cols>
  <sheetData>
    <row r="2" spans="2:18" x14ac:dyDescent="0.25">
      <c r="B2" s="2" t="s">
        <v>0</v>
      </c>
      <c r="C2" s="2" t="s">
        <v>16</v>
      </c>
    </row>
    <row r="3" spans="2:18" x14ac:dyDescent="0.25">
      <c r="B3" s="4">
        <v>1</v>
      </c>
      <c r="C3" t="s">
        <v>17</v>
      </c>
    </row>
    <row r="4" spans="2:18" s="19" customFormat="1" x14ac:dyDescent="0.25">
      <c r="B4" s="18" t="s">
        <v>49</v>
      </c>
      <c r="C4" s="19" t="s">
        <v>48</v>
      </c>
      <c r="D4" s="20">
        <v>0</v>
      </c>
    </row>
    <row r="5" spans="2:18" x14ac:dyDescent="0.25">
      <c r="B5" s="4">
        <v>1.1000000000000001</v>
      </c>
      <c r="C5" t="s">
        <v>18</v>
      </c>
    </row>
    <row r="6" spans="2:18" x14ac:dyDescent="0.25">
      <c r="B6" s="13" t="s">
        <v>19</v>
      </c>
      <c r="C6" s="14" t="s">
        <v>20</v>
      </c>
    </row>
    <row r="7" spans="2:18" x14ac:dyDescent="0.25">
      <c r="B7" s="11" t="s">
        <v>21</v>
      </c>
      <c r="C7" s="12" t="s">
        <v>22</v>
      </c>
      <c r="D7" s="5"/>
      <c r="E7" s="5"/>
      <c r="F7" s="5"/>
      <c r="G7" s="5"/>
      <c r="H7" s="5"/>
      <c r="I7" s="5"/>
    </row>
    <row r="8" spans="2:18" x14ac:dyDescent="0.25">
      <c r="B8" s="11" t="s">
        <v>23</v>
      </c>
      <c r="C8" s="12" t="s">
        <v>24</v>
      </c>
      <c r="G8" s="5"/>
      <c r="H8" s="5"/>
      <c r="I8" s="5"/>
      <c r="J8" s="5"/>
      <c r="K8" s="5"/>
    </row>
    <row r="9" spans="2:18" x14ac:dyDescent="0.25">
      <c r="B9" s="13" t="s">
        <v>26</v>
      </c>
      <c r="C9" s="14" t="s">
        <v>25</v>
      </c>
    </row>
    <row r="10" spans="2:18" x14ac:dyDescent="0.25">
      <c r="B10" s="11" t="s">
        <v>27</v>
      </c>
      <c r="C10" s="12" t="s">
        <v>28</v>
      </c>
      <c r="H10" s="5"/>
      <c r="I10" s="5"/>
      <c r="J10" s="5"/>
      <c r="K10" s="5"/>
      <c r="L10" s="5"/>
      <c r="M10" s="5"/>
    </row>
    <row r="11" spans="2:18" x14ac:dyDescent="0.25">
      <c r="B11" s="11" t="s">
        <v>29</v>
      </c>
      <c r="C11" s="12" t="s">
        <v>30</v>
      </c>
      <c r="K11" s="5"/>
      <c r="L11" s="5"/>
      <c r="M11" s="5"/>
      <c r="N11" s="5"/>
      <c r="O11" s="5"/>
      <c r="P11" s="5"/>
      <c r="Q11" s="5"/>
      <c r="R11" s="5"/>
    </row>
    <row r="12" spans="2:18" s="19" customFormat="1" x14ac:dyDescent="0.25">
      <c r="B12" s="18" t="s">
        <v>49</v>
      </c>
      <c r="C12" s="19" t="s">
        <v>50</v>
      </c>
      <c r="R12" s="20">
        <v>0</v>
      </c>
    </row>
    <row r="13" spans="2:18" x14ac:dyDescent="0.25">
      <c r="B13" s="13" t="s">
        <v>32</v>
      </c>
      <c r="C13" s="14" t="s">
        <v>33</v>
      </c>
    </row>
    <row r="14" spans="2:18" x14ac:dyDescent="0.25">
      <c r="B14" s="11" t="s">
        <v>34</v>
      </c>
      <c r="C14" s="12" t="s">
        <v>35</v>
      </c>
      <c r="N14" s="5"/>
      <c r="O14" s="5"/>
      <c r="P14" s="5"/>
      <c r="Q14" s="5"/>
      <c r="R14" s="5"/>
    </row>
    <row r="15" spans="2:18" x14ac:dyDescent="0.25">
      <c r="B15" s="4">
        <v>1.2</v>
      </c>
      <c r="C15" s="14" t="s">
        <v>36</v>
      </c>
    </row>
    <row r="16" spans="2:18" x14ac:dyDescent="0.25">
      <c r="B16" s="4" t="s">
        <v>37</v>
      </c>
      <c r="C16" s="14" t="s">
        <v>17</v>
      </c>
    </row>
    <row r="17" spans="2:40" x14ac:dyDescent="0.25">
      <c r="B17" s="12" t="s">
        <v>38</v>
      </c>
      <c r="C17" s="12" t="s">
        <v>39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40" x14ac:dyDescent="0.25">
      <c r="B18" s="12" t="s">
        <v>40</v>
      </c>
      <c r="C18" s="12" t="s">
        <v>41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2:40" x14ac:dyDescent="0.25">
      <c r="B19" s="4" t="s">
        <v>42</v>
      </c>
      <c r="C19" s="14" t="s">
        <v>45</v>
      </c>
    </row>
    <row r="20" spans="2:40" x14ac:dyDescent="0.25">
      <c r="B20" s="11" t="s">
        <v>43</v>
      </c>
      <c r="C20" s="12" t="s">
        <v>39</v>
      </c>
      <c r="AB20" s="5"/>
      <c r="AC20" s="5"/>
      <c r="AD20" s="5"/>
      <c r="AE20" s="5"/>
      <c r="AF20" s="5"/>
      <c r="AG20" s="5"/>
      <c r="AH20" s="5"/>
      <c r="AI20" s="5"/>
    </row>
    <row r="21" spans="2:40" x14ac:dyDescent="0.25">
      <c r="B21" s="11" t="s">
        <v>44</v>
      </c>
      <c r="C21" s="12" t="s">
        <v>46</v>
      </c>
      <c r="AF21" s="5"/>
      <c r="AG21" s="5"/>
      <c r="AH21" s="5"/>
      <c r="AI21" s="5"/>
      <c r="AJ21" s="5"/>
      <c r="AK21" s="5"/>
      <c r="AL21" s="5"/>
      <c r="AM21" s="5"/>
      <c r="AN21" s="5"/>
    </row>
    <row r="22" spans="2:40" s="19" customFormat="1" x14ac:dyDescent="0.25">
      <c r="B22" s="18" t="s">
        <v>49</v>
      </c>
      <c r="C22" s="19" t="s">
        <v>51</v>
      </c>
      <c r="AN22" s="20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B713-13EA-4A5E-A3CF-57AA3B94C6FE}">
  <dimension ref="B2:M16"/>
  <sheetViews>
    <sheetView workbookViewId="0">
      <selection activeCell="L5" sqref="K5:L5"/>
    </sheetView>
  </sheetViews>
  <sheetFormatPr baseColWidth="10" defaultRowHeight="15" x14ac:dyDescent="0.25"/>
  <cols>
    <col min="3" max="3" width="36.42578125" bestFit="1" customWidth="1"/>
    <col min="4" max="4" width="11.42578125" style="2"/>
    <col min="6" max="6" width="11.5703125" bestFit="1" customWidth="1"/>
    <col min="7" max="7" width="13.28515625" bestFit="1" customWidth="1"/>
    <col min="8" max="8" width="13.28515625" customWidth="1"/>
    <col min="10" max="10" width="15.85546875" customWidth="1"/>
    <col min="11" max="11" width="3" bestFit="1" customWidth="1"/>
    <col min="12" max="12" width="12" customWidth="1"/>
  </cols>
  <sheetData>
    <row r="2" spans="2:13" ht="15.75" thickBot="1" x14ac:dyDescent="0.3"/>
    <row r="3" spans="2:13" s="2" customFormat="1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6" t="s">
        <v>12</v>
      </c>
      <c r="I3" s="6"/>
      <c r="J3" s="21" t="s">
        <v>9</v>
      </c>
      <c r="K3" s="22"/>
      <c r="L3" s="23"/>
    </row>
    <row r="4" spans="2:13" x14ac:dyDescent="0.25">
      <c r="H4" s="7"/>
      <c r="I4" s="7"/>
      <c r="J4" s="24"/>
      <c r="K4" s="25"/>
      <c r="L4" s="26"/>
    </row>
    <row r="5" spans="2:13" ht="15.75" thickBot="1" x14ac:dyDescent="0.3">
      <c r="B5" s="2" t="s">
        <v>8</v>
      </c>
      <c r="C5" t="s">
        <v>6</v>
      </c>
      <c r="D5" s="2" t="s">
        <v>7</v>
      </c>
      <c r="E5" s="3">
        <v>600</v>
      </c>
      <c r="F5" s="1">
        <v>350</v>
      </c>
      <c r="G5" s="1">
        <f>+E5*F5</f>
        <v>210000</v>
      </c>
      <c r="H5" s="8">
        <f>+E5/K5</f>
        <v>30</v>
      </c>
      <c r="I5" s="7" t="s">
        <v>13</v>
      </c>
      <c r="J5" s="27" t="s">
        <v>10</v>
      </c>
      <c r="K5" s="28">
        <v>20</v>
      </c>
      <c r="L5" s="29" t="s">
        <v>11</v>
      </c>
      <c r="M5" s="30" t="s">
        <v>56</v>
      </c>
    </row>
    <row r="11" spans="2:13" x14ac:dyDescent="0.25">
      <c r="D11" s="2">
        <v>1</v>
      </c>
      <c r="E11">
        <v>2</v>
      </c>
      <c r="F11">
        <v>3</v>
      </c>
      <c r="G11">
        <v>4</v>
      </c>
      <c r="H11" t="s">
        <v>14</v>
      </c>
      <c r="I11">
        <v>30</v>
      </c>
    </row>
    <row r="12" spans="2:13" x14ac:dyDescent="0.25">
      <c r="C12" t="s">
        <v>6</v>
      </c>
      <c r="D12" s="9"/>
      <c r="E12" s="7"/>
      <c r="F12" s="7"/>
      <c r="G12" s="7"/>
      <c r="H12" s="7"/>
      <c r="I12" s="7"/>
    </row>
    <row r="16" spans="2:13" x14ac:dyDescent="0.25">
      <c r="D16" s="2" t="s">
        <v>57</v>
      </c>
    </row>
  </sheetData>
  <mergeCells count="2">
    <mergeCell ref="H3:I3"/>
    <mergeCell ref="J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12C5-44F8-47A3-BAA9-29DE8985B9A9}">
  <dimension ref="C4:I30"/>
  <sheetViews>
    <sheetView tabSelected="1" workbookViewId="0">
      <selection activeCell="K26" sqref="K26"/>
    </sheetView>
  </sheetViews>
  <sheetFormatPr baseColWidth="10" defaultRowHeight="15" x14ac:dyDescent="0.25"/>
  <cols>
    <col min="3" max="3" width="18.5703125" bestFit="1" customWidth="1"/>
  </cols>
  <sheetData>
    <row r="4" spans="3:3" x14ac:dyDescent="0.25">
      <c r="C4" t="s">
        <v>20</v>
      </c>
    </row>
    <row r="6" spans="3:3" x14ac:dyDescent="0.25">
      <c r="C6" t="s">
        <v>52</v>
      </c>
    </row>
    <row r="28" spans="3:9" x14ac:dyDescent="0.25">
      <c r="C28" t="s">
        <v>53</v>
      </c>
      <c r="I28" s="10" t="s">
        <v>55</v>
      </c>
    </row>
    <row r="30" spans="3:9" x14ac:dyDescent="0.25">
      <c r="C30" t="s">
        <v>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8C68-456B-4B7B-AB82-FCB70C288954}">
  <dimension ref="C13:N31"/>
  <sheetViews>
    <sheetView topLeftCell="A7" workbookViewId="0">
      <selection activeCell="J26" sqref="J26"/>
    </sheetView>
  </sheetViews>
  <sheetFormatPr baseColWidth="10" defaultRowHeight="15" x14ac:dyDescent="0.25"/>
  <cols>
    <col min="5" max="5" width="14.140625" bestFit="1" customWidth="1"/>
  </cols>
  <sheetData>
    <row r="13" spans="3:14" x14ac:dyDescent="0.25">
      <c r="C13" t="s">
        <v>58</v>
      </c>
      <c r="D13" t="s">
        <v>64</v>
      </c>
      <c r="E13" t="s">
        <v>65</v>
      </c>
      <c r="F13" t="s">
        <v>66</v>
      </c>
      <c r="G13" s="17" t="s">
        <v>67</v>
      </c>
      <c r="H13" t="s">
        <v>68</v>
      </c>
      <c r="I13" t="s">
        <v>69</v>
      </c>
    </row>
    <row r="14" spans="3:14" x14ac:dyDescent="0.25">
      <c r="C14" t="s">
        <v>60</v>
      </c>
      <c r="D14">
        <v>4</v>
      </c>
      <c r="E14">
        <v>6</v>
      </c>
      <c r="F14">
        <v>8</v>
      </c>
      <c r="G14" s="17">
        <f>+(D14+4*E14+F14)/6</f>
        <v>6</v>
      </c>
      <c r="H14">
        <f>+(F14-D14)/6</f>
        <v>0.66666666666666663</v>
      </c>
      <c r="I14">
        <f>+H14*H14</f>
        <v>0.44444444444444442</v>
      </c>
    </row>
    <row r="15" spans="3:14" x14ac:dyDescent="0.25">
      <c r="C15" s="36" t="s">
        <v>59</v>
      </c>
      <c r="D15" s="36">
        <v>6</v>
      </c>
      <c r="E15" s="36">
        <v>7</v>
      </c>
      <c r="F15" s="36">
        <v>14</v>
      </c>
      <c r="G15" s="37">
        <f t="shared" ref="G15:G18" si="0">+(D15+4*E15+F15)/6</f>
        <v>8</v>
      </c>
      <c r="H15" s="36">
        <f t="shared" ref="H15:H18" si="1">+(F15-D15)/6</f>
        <v>1.3333333333333333</v>
      </c>
      <c r="I15" s="36">
        <f t="shared" ref="I15:I18" si="2">+H15*H15</f>
        <v>1.7777777777777777</v>
      </c>
      <c r="K15" s="17" t="s">
        <v>72</v>
      </c>
      <c r="L15" s="17"/>
      <c r="M15" s="17"/>
      <c r="N15" s="17" t="s">
        <v>73</v>
      </c>
    </row>
    <row r="16" spans="3:14" x14ac:dyDescent="0.25">
      <c r="C16" t="s">
        <v>61</v>
      </c>
      <c r="D16">
        <v>2</v>
      </c>
      <c r="E16">
        <v>4</v>
      </c>
      <c r="F16">
        <v>6</v>
      </c>
      <c r="G16" s="17">
        <f t="shared" si="0"/>
        <v>4</v>
      </c>
      <c r="H16">
        <f t="shared" si="1"/>
        <v>0.66666666666666663</v>
      </c>
      <c r="I16">
        <f t="shared" si="2"/>
        <v>0.44444444444444442</v>
      </c>
      <c r="K16" t="s">
        <v>74</v>
      </c>
      <c r="N16">
        <f>+SQRT(I19)</f>
        <v>2.1343747458109497</v>
      </c>
    </row>
    <row r="17" spans="3:9" x14ac:dyDescent="0.25">
      <c r="C17" s="36" t="s">
        <v>62</v>
      </c>
      <c r="D17" s="36">
        <v>2</v>
      </c>
      <c r="E17" s="36">
        <v>4</v>
      </c>
      <c r="F17" s="36">
        <v>12</v>
      </c>
      <c r="G17" s="37">
        <f t="shared" si="0"/>
        <v>5</v>
      </c>
      <c r="H17" s="36">
        <f t="shared" si="1"/>
        <v>1.6666666666666667</v>
      </c>
      <c r="I17" s="36">
        <f t="shared" si="2"/>
        <v>2.7777777777777781</v>
      </c>
    </row>
    <row r="18" spans="3:9" x14ac:dyDescent="0.25">
      <c r="C18" t="s">
        <v>63</v>
      </c>
      <c r="D18">
        <v>1</v>
      </c>
      <c r="E18">
        <v>2</v>
      </c>
      <c r="F18">
        <v>3</v>
      </c>
      <c r="G18" s="17">
        <f t="shared" si="0"/>
        <v>2</v>
      </c>
      <c r="H18">
        <f t="shared" si="1"/>
        <v>0.33333333333333331</v>
      </c>
      <c r="I18">
        <f t="shared" si="2"/>
        <v>0.1111111111111111</v>
      </c>
    </row>
    <row r="19" spans="3:9" x14ac:dyDescent="0.25">
      <c r="I19" s="36">
        <f>+I15+I17</f>
        <v>4.5555555555555554</v>
      </c>
    </row>
    <row r="20" spans="3:9" ht="15.75" thickBot="1" x14ac:dyDescent="0.3"/>
    <row r="21" spans="3:9" x14ac:dyDescent="0.25">
      <c r="D21" s="32" t="s">
        <v>60</v>
      </c>
      <c r="E21" s="31"/>
      <c r="F21" s="31"/>
    </row>
    <row r="22" spans="3:9" ht="15.75" thickBot="1" x14ac:dyDescent="0.3">
      <c r="D22" s="33">
        <v>6</v>
      </c>
      <c r="E22" s="31"/>
      <c r="F22" s="31"/>
    </row>
    <row r="23" spans="3:9" ht="15.75" thickBot="1" x14ac:dyDescent="0.3">
      <c r="D23" s="31"/>
      <c r="E23" s="31"/>
      <c r="F23" s="34" t="s">
        <v>62</v>
      </c>
    </row>
    <row r="24" spans="3:9" ht="15.75" thickBot="1" x14ac:dyDescent="0.3">
      <c r="C24" t="s">
        <v>70</v>
      </c>
      <c r="D24" s="34" t="s">
        <v>59</v>
      </c>
      <c r="E24" s="31"/>
      <c r="F24" s="35">
        <v>5</v>
      </c>
      <c r="H24" t="s">
        <v>71</v>
      </c>
    </row>
    <row r="25" spans="3:9" ht="15.75" thickBot="1" x14ac:dyDescent="0.3">
      <c r="D25" s="35">
        <v>8</v>
      </c>
      <c r="E25" s="31"/>
      <c r="F25" s="31"/>
    </row>
    <row r="26" spans="3:9" ht="15.75" thickBot="1" x14ac:dyDescent="0.3">
      <c r="D26" s="31"/>
      <c r="E26" s="31"/>
      <c r="F26" s="32" t="s">
        <v>63</v>
      </c>
    </row>
    <row r="27" spans="3:9" ht="15.75" thickBot="1" x14ac:dyDescent="0.3">
      <c r="D27" s="32" t="s">
        <v>61</v>
      </c>
      <c r="E27" s="31"/>
      <c r="F27" s="33">
        <v>2</v>
      </c>
    </row>
    <row r="28" spans="3:9" ht="15.75" thickBot="1" x14ac:dyDescent="0.3">
      <c r="D28" s="33">
        <v>4</v>
      </c>
      <c r="E28" s="31"/>
      <c r="F28" s="31"/>
    </row>
    <row r="29" spans="3:9" x14ac:dyDescent="0.25">
      <c r="D29" s="31"/>
      <c r="E29" s="31"/>
      <c r="F29" s="31"/>
    </row>
    <row r="30" spans="3:9" x14ac:dyDescent="0.25">
      <c r="D30" s="31"/>
      <c r="E30" s="31"/>
      <c r="F30" s="31"/>
    </row>
    <row r="31" spans="3:9" x14ac:dyDescent="0.25">
      <c r="D31" s="31"/>
      <c r="E31" s="31"/>
      <c r="F31" s="3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Hoja2</vt:lpstr>
      <vt:lpstr>Hoja3</vt:lpstr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Diaz</dc:creator>
  <cp:lastModifiedBy>Julio Diaz</cp:lastModifiedBy>
  <dcterms:created xsi:type="dcterms:W3CDTF">2024-04-25T01:04:24Z</dcterms:created>
  <dcterms:modified xsi:type="dcterms:W3CDTF">2024-04-25T03:11:08Z</dcterms:modified>
</cp:coreProperties>
</file>