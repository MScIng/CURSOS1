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bril 2024\Sesion 03 - Resultado Operativo\"/>
    </mc:Choice>
  </mc:AlternateContent>
  <xr:revisionPtr revIDLastSave="0" documentId="13_ncr:1_{E165A494-FB1F-4B43-B45A-4FC45359E84C}" xr6:coauthVersionLast="47" xr6:coauthVersionMax="47" xr10:uidLastSave="{00000000-0000-0000-0000-000000000000}"/>
  <bookViews>
    <workbookView xWindow="20715" yWindow="405" windowWidth="15375" windowHeight="14985" xr2:uid="{B79985B7-68CF-4A4C-B6D9-3C35AF752D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2" i="1" l="1"/>
  <c r="I71" i="1"/>
  <c r="I70" i="1"/>
  <c r="I68" i="1"/>
  <c r="I67" i="1"/>
  <c r="I66" i="1"/>
  <c r="I65" i="1"/>
  <c r="I63" i="1"/>
  <c r="I62" i="1"/>
  <c r="I61" i="1"/>
  <c r="I59" i="1"/>
  <c r="I58" i="1"/>
  <c r="I57" i="1"/>
  <c r="I56" i="1" s="1"/>
  <c r="I55" i="1"/>
  <c r="I54" i="1"/>
  <c r="I53" i="1"/>
  <c r="I51" i="1"/>
  <c r="I50" i="1"/>
  <c r="I49" i="1"/>
  <c r="I48" i="1"/>
  <c r="I47" i="1"/>
  <c r="I46" i="1"/>
  <c r="I44" i="1"/>
  <c r="I43" i="1"/>
  <c r="I40" i="1"/>
  <c r="I39" i="1"/>
  <c r="I37" i="1"/>
  <c r="I36" i="1"/>
  <c r="I35" i="1"/>
  <c r="I34" i="1"/>
  <c r="I32" i="1"/>
  <c r="I31" i="1" s="1"/>
  <c r="I29" i="1"/>
  <c r="I28" i="1"/>
  <c r="I27" i="1"/>
  <c r="I26" i="1"/>
  <c r="I24" i="1"/>
  <c r="I23" i="1"/>
  <c r="I22" i="1"/>
  <c r="I20" i="1"/>
  <c r="I19" i="1" s="1"/>
  <c r="I18" i="1"/>
  <c r="I17" i="1"/>
  <c r="I13" i="1"/>
  <c r="I12" i="1"/>
  <c r="I11" i="1" s="1"/>
  <c r="I10" i="1" s="1"/>
  <c r="I9" i="1" s="1"/>
  <c r="I42" i="1" l="1"/>
  <c r="I52" i="1"/>
  <c r="I33" i="1"/>
  <c r="I45" i="1"/>
  <c r="I69" i="1"/>
  <c r="I38" i="1"/>
  <c r="I64" i="1"/>
  <c r="I25" i="1"/>
  <c r="I21" i="1"/>
  <c r="I60" i="1"/>
  <c r="I16" i="1"/>
</calcChain>
</file>

<file path=xl/sharedStrings.xml><?xml version="1.0" encoding="utf-8"?>
<sst xmlns="http://schemas.openxmlformats.org/spreadsheetml/2006/main" count="243" uniqueCount="166">
  <si>
    <t>Presupuesto</t>
  </si>
  <si>
    <t>0103004</t>
  </si>
  <si>
    <t>I.E. N° 1182 "EL BOSQUE" - CERCO + INGRESOS Y CASETAS</t>
  </si>
  <si>
    <t>Subpresupuesto</t>
  </si>
  <si>
    <t>001</t>
  </si>
  <si>
    <t>ESTRUCTURAS</t>
  </si>
  <si>
    <t>Cliente</t>
  </si>
  <si>
    <t>PRONIED</t>
  </si>
  <si>
    <t>Costo al</t>
  </si>
  <si>
    <t>30/06/2017</t>
  </si>
  <si>
    <t>Lugar</t>
  </si>
  <si>
    <t>LIMA - LIMA - SAN JUAN DE LURIGANCHO</t>
  </si>
  <si>
    <t>Item</t>
  </si>
  <si>
    <t>Descripción</t>
  </si>
  <si>
    <t>Und.</t>
  </si>
  <si>
    <t>Metrado</t>
  </si>
  <si>
    <t>Precio S/</t>
  </si>
  <si>
    <t>Parcial S/</t>
  </si>
  <si>
    <t>01</t>
  </si>
  <si>
    <t>OBRAS PROVISIONALES, TRABAJOS PRELIMINARES, SEGURIDAD Y SALUD</t>
  </si>
  <si>
    <t>01.02</t>
  </si>
  <si>
    <t xml:space="preserve">   Trabajos Preliminares</t>
  </si>
  <si>
    <t>01.02.04</t>
  </si>
  <si>
    <t xml:space="preserve">      Trazo, Niveles y Replanteo</t>
  </si>
  <si>
    <t>01.02.04.01</t>
  </si>
  <si>
    <t xml:space="preserve">         TRAZO Y REPLANTEO PRELIMINAR</t>
  </si>
  <si>
    <t>M2</t>
  </si>
  <si>
    <t>01.02.04.02</t>
  </si>
  <si>
    <t xml:space="preserve">         TRAZO Y REPLANTEO DURANTE EL PROCESO</t>
  </si>
  <si>
    <t>m2</t>
  </si>
  <si>
    <t>02</t>
  </si>
  <si>
    <t>02.01</t>
  </si>
  <si>
    <t xml:space="preserve">   Movimiento de Tierras</t>
  </si>
  <si>
    <t>02.01.01</t>
  </si>
  <si>
    <t xml:space="preserve">      Excavaciones</t>
  </si>
  <si>
    <t>02.01.01.01</t>
  </si>
  <si>
    <t xml:space="preserve">         EXCAV.ZANJAS Y ZAPATA RT&gt;2kg/cm2 H=1.5m</t>
  </si>
  <si>
    <t>m3</t>
  </si>
  <si>
    <t>02.01.01.02</t>
  </si>
  <si>
    <t xml:space="preserve">         EXCAV.ZANJAS Y ZAPATA RT&gt;2kg/cm2 H=2.0m</t>
  </si>
  <si>
    <t>02.01.03</t>
  </si>
  <si>
    <t xml:space="preserve">      Rellenos</t>
  </si>
  <si>
    <t>02.01.03.01</t>
  </si>
  <si>
    <t xml:space="preserve">         RELLENO COMPACTADO C/EQUIPO MAT/PROPIO</t>
  </si>
  <si>
    <t>02.01.04</t>
  </si>
  <si>
    <t xml:space="preserve">      Eliminacion de Material Excedente</t>
  </si>
  <si>
    <t>02.01.04.01</t>
  </si>
  <si>
    <t xml:space="preserve">         ACARREO INTERNO, MATERIAL PROCEDENTE DE EXCAVACIONES</t>
  </si>
  <si>
    <t>02.01.04.02</t>
  </si>
  <si>
    <t xml:space="preserve">         ELIMINACION MATERIAL EXCEDENTE ACARREADO</t>
  </si>
  <si>
    <t>M3</t>
  </si>
  <si>
    <t>02.01.04.03</t>
  </si>
  <si>
    <t xml:space="preserve">         ELIMINACION MATERIAL EXCEDENTE C/MAQUINA</t>
  </si>
  <si>
    <t>02.01.05</t>
  </si>
  <si>
    <t xml:space="preserve">      Nivelacion Interior y Apisonado</t>
  </si>
  <si>
    <t>02.01.05.01</t>
  </si>
  <si>
    <t xml:space="preserve">         ESCARIFICADO Y COMPACTACION CON PLANCHA COMPACTADORA  e = 30 cm</t>
  </si>
  <si>
    <t>02.01.05.02</t>
  </si>
  <si>
    <t xml:space="preserve">         ESCARIFICADO Y COMPACTACION CON PLANCHA COMPACTADORA H=0.60m (02 CAPAS 30cm c/u)</t>
  </si>
  <si>
    <t>02.01.05.05</t>
  </si>
  <si>
    <t xml:space="preserve">         AFIRMADO DE 8" PARA PISOS,PATIOS Y VEREDAS,COMPACTADO.</t>
  </si>
  <si>
    <t>02.01.05.06</t>
  </si>
  <si>
    <t xml:space="preserve">         AFIRMADO DE 12" EN PISOS INTERIOR/EXTERIOR,COMPACTADO.</t>
  </si>
  <si>
    <t>02.02</t>
  </si>
  <si>
    <t xml:space="preserve">   Obras de Concreto Simple</t>
  </si>
  <si>
    <t>02.02.01</t>
  </si>
  <si>
    <t xml:space="preserve">      Falsos Cimientos</t>
  </si>
  <si>
    <t>02.02.01.01</t>
  </si>
  <si>
    <t xml:space="preserve">         SUBCIMIENTO, SUBZAPATA MEZCLA 1:12 + 30 % P.G.</t>
  </si>
  <si>
    <t>02.02.02</t>
  </si>
  <si>
    <t xml:space="preserve">      Cimientos</t>
  </si>
  <si>
    <t>02.02.02.02</t>
  </si>
  <si>
    <t xml:space="preserve">         CIMIENTOS CORRIDOS 1:10 + 30 % P.G. f'c &gt;=100Kg/cm2</t>
  </si>
  <si>
    <t>02.02.02.03</t>
  </si>
  <si>
    <t xml:space="preserve">         CIMIENTO CORRIDO - ENCOFRADO Y DESENCOFRADO</t>
  </si>
  <si>
    <t>02.02.02.04</t>
  </si>
  <si>
    <t xml:space="preserve">         CALZADURA: CONCRETO C:H 1:10 + 30 % P.G.</t>
  </si>
  <si>
    <t>02.02.02.05</t>
  </si>
  <si>
    <t xml:space="preserve">         CALZADURA: ENCOFRADO Y DESENCOFRADO</t>
  </si>
  <si>
    <t>02.02.03</t>
  </si>
  <si>
    <t xml:space="preserve">      Sobrecimientos</t>
  </si>
  <si>
    <t>02.02.03.01</t>
  </si>
  <si>
    <t xml:space="preserve">         SOBRECIMIENTO, CONCRETO 1:8 + 25% P.M.  f'c &gt;=100Kg/cm2</t>
  </si>
  <si>
    <t>02.02.03.02</t>
  </si>
  <si>
    <t xml:space="preserve">         SOBRECIMIENTO, ENCOFRADO Y DESENCOFRADO</t>
  </si>
  <si>
    <t>02.03</t>
  </si>
  <si>
    <t xml:space="preserve">   Obras de Concreto Armado</t>
  </si>
  <si>
    <t>02.03.02</t>
  </si>
  <si>
    <t xml:space="preserve">      Zapatas</t>
  </si>
  <si>
    <t>02.03.02.01</t>
  </si>
  <si>
    <t xml:space="preserve">         ZAPATAS.- CONCRETO 210 kg/cm2</t>
  </si>
  <si>
    <t>02.03.02.03</t>
  </si>
  <si>
    <t xml:space="preserve">         ZAPATAS.- ACERO Fy=4200 kg/cm2</t>
  </si>
  <si>
    <t>KG</t>
  </si>
  <si>
    <t>02.03.05</t>
  </si>
  <si>
    <t xml:space="preserve">      Placas y Muros de Contención</t>
  </si>
  <si>
    <t>02.03.05.02</t>
  </si>
  <si>
    <t xml:space="preserve">         PLACAS, CONCRETO F'c=210 kg/cm2 - 1 piso</t>
  </si>
  <si>
    <t>02.03.05.04</t>
  </si>
  <si>
    <t xml:space="preserve">         PLACAS, ENCOFRADO Y DESENCOFRADO</t>
  </si>
  <si>
    <t>02.03.05.05</t>
  </si>
  <si>
    <t xml:space="preserve">         PLACAS, ACERO Fy=4200 kg/cm2</t>
  </si>
  <si>
    <t>02.03.05.07</t>
  </si>
  <si>
    <t xml:space="preserve">         MUROS DE CONTENC.- CONCRETO 210 kg/cm2</t>
  </si>
  <si>
    <t>02.03.05.09</t>
  </si>
  <si>
    <t xml:space="preserve">         MUROS DE CONTENC.- ENCOF. Y DESENCOFRADO</t>
  </si>
  <si>
    <t>02.03.05.11</t>
  </si>
  <si>
    <t xml:space="preserve">         MUROS DE CONTENC.- ACERO Fy=4200 kg/cm2</t>
  </si>
  <si>
    <t>kg</t>
  </si>
  <si>
    <t>02.03.06</t>
  </si>
  <si>
    <t xml:space="preserve">      Columnas</t>
  </si>
  <si>
    <t>02.03.06.02</t>
  </si>
  <si>
    <t xml:space="preserve">         COLUMNAS - CONCRETO 210 KG/CM² - 1 PISO</t>
  </si>
  <si>
    <t>02.03.06.06</t>
  </si>
  <si>
    <t xml:space="preserve">         COLUMNAS.- ENCOFRADO Y DESENCOFRADO</t>
  </si>
  <si>
    <t>02.03.06.10</t>
  </si>
  <si>
    <t xml:space="preserve">         COLUMNAS.- ACERO Fy=4200 kg/cm2</t>
  </si>
  <si>
    <t>02.03.07</t>
  </si>
  <si>
    <t xml:space="preserve">      Vigas</t>
  </si>
  <si>
    <t>02.03.07.02</t>
  </si>
  <si>
    <t xml:space="preserve">         VIGAS.- CONCRETO 210 kg/cm2 - 1 piso</t>
  </si>
  <si>
    <t>02.03.07.06</t>
  </si>
  <si>
    <t xml:space="preserve">         VIGAS.- ENCOFRADO Y DESENCOFRADO</t>
  </si>
  <si>
    <t>02.03.07.08</t>
  </si>
  <si>
    <t xml:space="preserve">         VIGAS.- ACERO Fy=4200 kg/cm2</t>
  </si>
  <si>
    <t>02.03.08</t>
  </si>
  <si>
    <t xml:space="preserve">      Losas Macizas</t>
  </si>
  <si>
    <t>02.03.08.01</t>
  </si>
  <si>
    <t xml:space="preserve">         LOSAS MACIZAS.- CONC.210 kg/cm2 - 1 PISO</t>
  </si>
  <si>
    <t>02.03.08.03</t>
  </si>
  <si>
    <t xml:space="preserve">         LOSAS MACIZAS.- ENCOFRADO Y DESENCOFRADO</t>
  </si>
  <si>
    <t>02.03.08.04</t>
  </si>
  <si>
    <t xml:space="preserve">         LOSAS MACIZAS.- ACERO Fy=4,200 kg/cm2</t>
  </si>
  <si>
    <t>02.03.09</t>
  </si>
  <si>
    <t xml:space="preserve">      Losas Aligeradas</t>
  </si>
  <si>
    <t>02.03.09.01</t>
  </si>
  <si>
    <t xml:space="preserve">         LOSA ALIGERADA - CONCRETO 210 kg/cm2 - 1 PISO</t>
  </si>
  <si>
    <t>02.03.09.03</t>
  </si>
  <si>
    <t xml:space="preserve">         LOSA ALIGERADA.- ENCOFRADO Y DESENCOFRADO</t>
  </si>
  <si>
    <t>02.03.09.04</t>
  </si>
  <si>
    <t xml:space="preserve">         LOSA ALIGERADA.- ACERO Fy=4,200 kg/cm2</t>
  </si>
  <si>
    <t>02.03.09.05</t>
  </si>
  <si>
    <t xml:space="preserve">         LOSA ALIGERADA.- LADR. HUECO 15x30x30</t>
  </si>
  <si>
    <t>und</t>
  </si>
  <si>
    <t>02.03.15</t>
  </si>
  <si>
    <t xml:space="preserve">      Gradas Armadas en Pisos</t>
  </si>
  <si>
    <t>02.03.15.01</t>
  </si>
  <si>
    <t xml:space="preserve">         GRADAS EN PISO, CONCRETO F'c=175 kg/cm2.</t>
  </si>
  <si>
    <t>02.03.15.03</t>
  </si>
  <si>
    <t xml:space="preserve">         GRADAS, ENCOFRADO Y DESENCOFRADO</t>
  </si>
  <si>
    <t>02.03.15.04</t>
  </si>
  <si>
    <t xml:space="preserve">         GRADAS EN PISO, ACERO fy=4200kg/cm2</t>
  </si>
  <si>
    <t>COSTO DIRECTO</t>
  </si>
  <si>
    <t>GASTOS GENERALES Y UTILIDAD (20%)</t>
  </si>
  <si>
    <t>==================</t>
  </si>
  <si>
    <t>SUB TOTAL</t>
  </si>
  <si>
    <t>I.G.V. (18%)</t>
  </si>
  <si>
    <t>VALOR REFERENCIAL</t>
  </si>
  <si>
    <t>SON:     UN MILLON TRESCIENTOS SESENTA MIL TRESCIENTOS  OCHENTA Y CINCO  Y 92/100 SOLES</t>
  </si>
  <si>
    <t>CODIGO</t>
  </si>
  <si>
    <t>DESCRIPCION</t>
  </si>
  <si>
    <t>OBRAS PROVISIONALES</t>
  </si>
  <si>
    <t>MOVIMIENTO DE TIERRAS</t>
  </si>
  <si>
    <t>CONCRETO</t>
  </si>
  <si>
    <t>ENCOFRADO</t>
  </si>
  <si>
    <t>ACERO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</si>
</sst>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7.15"/>
      <color indexed="8"/>
      <name val="Arial Narrow"/>
      <family val="2"/>
    </font>
    <font>
      <b/>
      <sz val="8"/>
      <color indexed="8"/>
      <name val="Arial Narrow"/>
      <family val="2"/>
    </font>
    <font>
      <b/>
      <sz val="9.85"/>
      <color indexed="8"/>
      <name val="Arial"/>
      <family val="2"/>
    </font>
    <font>
      <sz val="7"/>
      <color indexed="8"/>
      <name val="Arial Narrow"/>
      <family val="2"/>
    </font>
    <font>
      <b/>
      <sz val="7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center" vertical="top"/>
    </xf>
    <xf numFmtId="4" fontId="4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 wrapText="1" readingOrder="1"/>
    </xf>
    <xf numFmtId="0" fontId="2" fillId="0" borderId="0" xfId="0" applyFont="1" applyAlignment="1">
      <alignment horizontal="right" vertical="top"/>
    </xf>
    <xf numFmtId="4" fontId="5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2" fontId="0" fillId="0" borderId="0" xfId="0" applyNumberFormat="1" applyAlignment="1">
      <alignment vertical="top"/>
    </xf>
    <xf numFmtId="0" fontId="1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left" vertical="top" wrapText="1"/>
    </xf>
    <xf numFmtId="4" fontId="5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8A393-7138-478B-9DA0-92C1378A01D1}">
  <dimension ref="A1:L81"/>
  <sheetViews>
    <sheetView tabSelected="1" zoomScaleNormal="100" workbookViewId="0">
      <selection activeCell="I54" sqref="I54"/>
    </sheetView>
  </sheetViews>
  <sheetFormatPr baseColWidth="10" defaultRowHeight="15" x14ac:dyDescent="0.25"/>
  <cols>
    <col min="1" max="1" width="10.140625" style="10" customWidth="1"/>
    <col min="2" max="2" width="20.5703125" style="10" customWidth="1"/>
    <col min="3" max="3" width="10.140625" style="1" customWidth="1"/>
    <col min="4" max="4" width="8" style="1" customWidth="1"/>
    <col min="5" max="5" width="53.28515625" style="1" customWidth="1"/>
    <col min="6" max="6" width="6" style="10" customWidth="1"/>
    <col min="7" max="7" width="7.42578125" style="1" customWidth="1"/>
    <col min="8" max="9" width="8.42578125" style="1" customWidth="1"/>
    <col min="10" max="10" width="6.85546875" style="1" customWidth="1"/>
    <col min="11" max="11" width="11.7109375" style="1" bestFit="1" customWidth="1"/>
    <col min="12" max="12" width="9" style="1" bestFit="1" customWidth="1"/>
    <col min="13" max="249" width="6.85546875" style="1" customWidth="1"/>
    <col min="250" max="250" width="3.7109375" style="1" customWidth="1"/>
    <col min="251" max="251" width="4.85546875" style="1" customWidth="1"/>
    <col min="252" max="252" width="9.42578125" style="1" customWidth="1"/>
    <col min="253" max="253" width="8" style="1" customWidth="1"/>
    <col min="254" max="254" width="9.140625" style="1" customWidth="1"/>
    <col min="255" max="256" width="13.42578125" style="1" customWidth="1"/>
    <col min="257" max="257" width="6" style="1" customWidth="1"/>
    <col min="258" max="258" width="7.42578125" style="1" customWidth="1"/>
    <col min="259" max="259" width="2" style="1" customWidth="1"/>
    <col min="260" max="260" width="5" style="1" customWidth="1"/>
    <col min="261" max="261" width="1.28515625" style="1" customWidth="1"/>
    <col min="262" max="262" width="1.7109375" style="1" customWidth="1"/>
    <col min="263" max="263" width="2.28515625" style="1" customWidth="1"/>
    <col min="264" max="264" width="3" style="1" customWidth="1"/>
    <col min="265" max="265" width="7.42578125" style="1" customWidth="1"/>
    <col min="266" max="505" width="6.85546875" style="1" customWidth="1"/>
    <col min="506" max="506" width="3.7109375" style="1" customWidth="1"/>
    <col min="507" max="507" width="4.85546875" style="1" customWidth="1"/>
    <col min="508" max="508" width="9.42578125" style="1" customWidth="1"/>
    <col min="509" max="509" width="8" style="1" customWidth="1"/>
    <col min="510" max="510" width="9.140625" style="1" customWidth="1"/>
    <col min="511" max="512" width="13.42578125" style="1" customWidth="1"/>
    <col min="513" max="513" width="6" style="1" customWidth="1"/>
    <col min="514" max="514" width="7.42578125" style="1" customWidth="1"/>
    <col min="515" max="515" width="2" style="1" customWidth="1"/>
    <col min="516" max="516" width="5" style="1" customWidth="1"/>
    <col min="517" max="517" width="1.28515625" style="1" customWidth="1"/>
    <col min="518" max="518" width="1.7109375" style="1" customWidth="1"/>
    <col min="519" max="519" width="2.28515625" style="1" customWidth="1"/>
    <col min="520" max="520" width="3" style="1" customWidth="1"/>
    <col min="521" max="521" width="7.42578125" style="1" customWidth="1"/>
    <col min="522" max="761" width="6.85546875" style="1" customWidth="1"/>
    <col min="762" max="762" width="3.7109375" style="1" customWidth="1"/>
    <col min="763" max="763" width="4.85546875" style="1" customWidth="1"/>
    <col min="764" max="764" width="9.42578125" style="1" customWidth="1"/>
    <col min="765" max="765" width="8" style="1" customWidth="1"/>
    <col min="766" max="766" width="9.140625" style="1" customWidth="1"/>
    <col min="767" max="768" width="13.42578125" style="1" customWidth="1"/>
    <col min="769" max="769" width="6" style="1" customWidth="1"/>
    <col min="770" max="770" width="7.42578125" style="1" customWidth="1"/>
    <col min="771" max="771" width="2" style="1" customWidth="1"/>
    <col min="772" max="772" width="5" style="1" customWidth="1"/>
    <col min="773" max="773" width="1.28515625" style="1" customWidth="1"/>
    <col min="774" max="774" width="1.7109375" style="1" customWidth="1"/>
    <col min="775" max="775" width="2.28515625" style="1" customWidth="1"/>
    <col min="776" max="776" width="3" style="1" customWidth="1"/>
    <col min="777" max="777" width="7.42578125" style="1" customWidth="1"/>
    <col min="778" max="1017" width="6.85546875" style="1" customWidth="1"/>
    <col min="1018" max="1018" width="3.7109375" style="1" customWidth="1"/>
    <col min="1019" max="1019" width="4.85546875" style="1" customWidth="1"/>
    <col min="1020" max="1020" width="9.42578125" style="1" customWidth="1"/>
    <col min="1021" max="1021" width="8" style="1" customWidth="1"/>
    <col min="1022" max="1022" width="9.140625" style="1" customWidth="1"/>
    <col min="1023" max="1024" width="13.42578125" style="1" customWidth="1"/>
    <col min="1025" max="1025" width="6" style="1" customWidth="1"/>
    <col min="1026" max="1026" width="7.42578125" style="1" customWidth="1"/>
    <col min="1027" max="1027" width="2" style="1" customWidth="1"/>
    <col min="1028" max="1028" width="5" style="1" customWidth="1"/>
    <col min="1029" max="1029" width="1.28515625" style="1" customWidth="1"/>
    <col min="1030" max="1030" width="1.7109375" style="1" customWidth="1"/>
    <col min="1031" max="1031" width="2.28515625" style="1" customWidth="1"/>
    <col min="1032" max="1032" width="3" style="1" customWidth="1"/>
    <col min="1033" max="1033" width="7.42578125" style="1" customWidth="1"/>
    <col min="1034" max="1273" width="6.85546875" style="1" customWidth="1"/>
    <col min="1274" max="1274" width="3.7109375" style="1" customWidth="1"/>
    <col min="1275" max="1275" width="4.85546875" style="1" customWidth="1"/>
    <col min="1276" max="1276" width="9.42578125" style="1" customWidth="1"/>
    <col min="1277" max="1277" width="8" style="1" customWidth="1"/>
    <col min="1278" max="1278" width="9.140625" style="1" customWidth="1"/>
    <col min="1279" max="1280" width="13.42578125" style="1" customWidth="1"/>
    <col min="1281" max="1281" width="6" style="1" customWidth="1"/>
    <col min="1282" max="1282" width="7.42578125" style="1" customWidth="1"/>
    <col min="1283" max="1283" width="2" style="1" customWidth="1"/>
    <col min="1284" max="1284" width="5" style="1" customWidth="1"/>
    <col min="1285" max="1285" width="1.28515625" style="1" customWidth="1"/>
    <col min="1286" max="1286" width="1.7109375" style="1" customWidth="1"/>
    <col min="1287" max="1287" width="2.28515625" style="1" customWidth="1"/>
    <col min="1288" max="1288" width="3" style="1" customWidth="1"/>
    <col min="1289" max="1289" width="7.42578125" style="1" customWidth="1"/>
    <col min="1290" max="1529" width="6.85546875" style="1" customWidth="1"/>
    <col min="1530" max="1530" width="3.7109375" style="1" customWidth="1"/>
    <col min="1531" max="1531" width="4.85546875" style="1" customWidth="1"/>
    <col min="1532" max="1532" width="9.42578125" style="1" customWidth="1"/>
    <col min="1533" max="1533" width="8" style="1" customWidth="1"/>
    <col min="1534" max="1534" width="9.140625" style="1" customWidth="1"/>
    <col min="1535" max="1536" width="13.42578125" style="1" customWidth="1"/>
    <col min="1537" max="1537" width="6" style="1" customWidth="1"/>
    <col min="1538" max="1538" width="7.42578125" style="1" customWidth="1"/>
    <col min="1539" max="1539" width="2" style="1" customWidth="1"/>
    <col min="1540" max="1540" width="5" style="1" customWidth="1"/>
    <col min="1541" max="1541" width="1.28515625" style="1" customWidth="1"/>
    <col min="1542" max="1542" width="1.7109375" style="1" customWidth="1"/>
    <col min="1543" max="1543" width="2.28515625" style="1" customWidth="1"/>
    <col min="1544" max="1544" width="3" style="1" customWidth="1"/>
    <col min="1545" max="1545" width="7.42578125" style="1" customWidth="1"/>
    <col min="1546" max="1785" width="6.85546875" style="1" customWidth="1"/>
    <col min="1786" max="1786" width="3.7109375" style="1" customWidth="1"/>
    <col min="1787" max="1787" width="4.85546875" style="1" customWidth="1"/>
    <col min="1788" max="1788" width="9.42578125" style="1" customWidth="1"/>
    <col min="1789" max="1789" width="8" style="1" customWidth="1"/>
    <col min="1790" max="1790" width="9.140625" style="1" customWidth="1"/>
    <col min="1791" max="1792" width="13.42578125" style="1" customWidth="1"/>
    <col min="1793" max="1793" width="6" style="1" customWidth="1"/>
    <col min="1794" max="1794" width="7.42578125" style="1" customWidth="1"/>
    <col min="1795" max="1795" width="2" style="1" customWidth="1"/>
    <col min="1796" max="1796" width="5" style="1" customWidth="1"/>
    <col min="1797" max="1797" width="1.28515625" style="1" customWidth="1"/>
    <col min="1798" max="1798" width="1.7109375" style="1" customWidth="1"/>
    <col min="1799" max="1799" width="2.28515625" style="1" customWidth="1"/>
    <col min="1800" max="1800" width="3" style="1" customWidth="1"/>
    <col min="1801" max="1801" width="7.42578125" style="1" customWidth="1"/>
    <col min="1802" max="2041" width="6.85546875" style="1" customWidth="1"/>
    <col min="2042" max="2042" width="3.7109375" style="1" customWidth="1"/>
    <col min="2043" max="2043" width="4.85546875" style="1" customWidth="1"/>
    <col min="2044" max="2044" width="9.42578125" style="1" customWidth="1"/>
    <col min="2045" max="2045" width="8" style="1" customWidth="1"/>
    <col min="2046" max="2046" width="9.140625" style="1" customWidth="1"/>
    <col min="2047" max="2048" width="13.42578125" style="1" customWidth="1"/>
    <col min="2049" max="2049" width="6" style="1" customWidth="1"/>
    <col min="2050" max="2050" width="7.42578125" style="1" customWidth="1"/>
    <col min="2051" max="2051" width="2" style="1" customWidth="1"/>
    <col min="2052" max="2052" width="5" style="1" customWidth="1"/>
    <col min="2053" max="2053" width="1.28515625" style="1" customWidth="1"/>
    <col min="2054" max="2054" width="1.7109375" style="1" customWidth="1"/>
    <col min="2055" max="2055" width="2.28515625" style="1" customWidth="1"/>
    <col min="2056" max="2056" width="3" style="1" customWidth="1"/>
    <col min="2057" max="2057" width="7.42578125" style="1" customWidth="1"/>
    <col min="2058" max="2297" width="6.85546875" style="1" customWidth="1"/>
    <col min="2298" max="2298" width="3.7109375" style="1" customWidth="1"/>
    <col min="2299" max="2299" width="4.85546875" style="1" customWidth="1"/>
    <col min="2300" max="2300" width="9.42578125" style="1" customWidth="1"/>
    <col min="2301" max="2301" width="8" style="1" customWidth="1"/>
    <col min="2302" max="2302" width="9.140625" style="1" customWidth="1"/>
    <col min="2303" max="2304" width="13.42578125" style="1" customWidth="1"/>
    <col min="2305" max="2305" width="6" style="1" customWidth="1"/>
    <col min="2306" max="2306" width="7.42578125" style="1" customWidth="1"/>
    <col min="2307" max="2307" width="2" style="1" customWidth="1"/>
    <col min="2308" max="2308" width="5" style="1" customWidth="1"/>
    <col min="2309" max="2309" width="1.28515625" style="1" customWidth="1"/>
    <col min="2310" max="2310" width="1.7109375" style="1" customWidth="1"/>
    <col min="2311" max="2311" width="2.28515625" style="1" customWidth="1"/>
    <col min="2312" max="2312" width="3" style="1" customWidth="1"/>
    <col min="2313" max="2313" width="7.42578125" style="1" customWidth="1"/>
    <col min="2314" max="2553" width="6.85546875" style="1" customWidth="1"/>
    <col min="2554" max="2554" width="3.7109375" style="1" customWidth="1"/>
    <col min="2555" max="2555" width="4.85546875" style="1" customWidth="1"/>
    <col min="2556" max="2556" width="9.42578125" style="1" customWidth="1"/>
    <col min="2557" max="2557" width="8" style="1" customWidth="1"/>
    <col min="2558" max="2558" width="9.140625" style="1" customWidth="1"/>
    <col min="2559" max="2560" width="13.42578125" style="1" customWidth="1"/>
    <col min="2561" max="2561" width="6" style="1" customWidth="1"/>
    <col min="2562" max="2562" width="7.42578125" style="1" customWidth="1"/>
    <col min="2563" max="2563" width="2" style="1" customWidth="1"/>
    <col min="2564" max="2564" width="5" style="1" customWidth="1"/>
    <col min="2565" max="2565" width="1.28515625" style="1" customWidth="1"/>
    <col min="2566" max="2566" width="1.7109375" style="1" customWidth="1"/>
    <col min="2567" max="2567" width="2.28515625" style="1" customWidth="1"/>
    <col min="2568" max="2568" width="3" style="1" customWidth="1"/>
    <col min="2569" max="2569" width="7.42578125" style="1" customWidth="1"/>
    <col min="2570" max="2809" width="6.85546875" style="1" customWidth="1"/>
    <col min="2810" max="2810" width="3.7109375" style="1" customWidth="1"/>
    <col min="2811" max="2811" width="4.85546875" style="1" customWidth="1"/>
    <col min="2812" max="2812" width="9.42578125" style="1" customWidth="1"/>
    <col min="2813" max="2813" width="8" style="1" customWidth="1"/>
    <col min="2814" max="2814" width="9.140625" style="1" customWidth="1"/>
    <col min="2815" max="2816" width="13.42578125" style="1" customWidth="1"/>
    <col min="2817" max="2817" width="6" style="1" customWidth="1"/>
    <col min="2818" max="2818" width="7.42578125" style="1" customWidth="1"/>
    <col min="2819" max="2819" width="2" style="1" customWidth="1"/>
    <col min="2820" max="2820" width="5" style="1" customWidth="1"/>
    <col min="2821" max="2821" width="1.28515625" style="1" customWidth="1"/>
    <col min="2822" max="2822" width="1.7109375" style="1" customWidth="1"/>
    <col min="2823" max="2823" width="2.28515625" style="1" customWidth="1"/>
    <col min="2824" max="2824" width="3" style="1" customWidth="1"/>
    <col min="2825" max="2825" width="7.42578125" style="1" customWidth="1"/>
    <col min="2826" max="3065" width="6.85546875" style="1" customWidth="1"/>
    <col min="3066" max="3066" width="3.7109375" style="1" customWidth="1"/>
    <col min="3067" max="3067" width="4.85546875" style="1" customWidth="1"/>
    <col min="3068" max="3068" width="9.42578125" style="1" customWidth="1"/>
    <col min="3069" max="3069" width="8" style="1" customWidth="1"/>
    <col min="3070" max="3070" width="9.140625" style="1" customWidth="1"/>
    <col min="3071" max="3072" width="13.42578125" style="1" customWidth="1"/>
    <col min="3073" max="3073" width="6" style="1" customWidth="1"/>
    <col min="3074" max="3074" width="7.42578125" style="1" customWidth="1"/>
    <col min="3075" max="3075" width="2" style="1" customWidth="1"/>
    <col min="3076" max="3076" width="5" style="1" customWidth="1"/>
    <col min="3077" max="3077" width="1.28515625" style="1" customWidth="1"/>
    <col min="3078" max="3078" width="1.7109375" style="1" customWidth="1"/>
    <col min="3079" max="3079" width="2.28515625" style="1" customWidth="1"/>
    <col min="3080" max="3080" width="3" style="1" customWidth="1"/>
    <col min="3081" max="3081" width="7.42578125" style="1" customWidth="1"/>
    <col min="3082" max="3321" width="6.85546875" style="1" customWidth="1"/>
    <col min="3322" max="3322" width="3.7109375" style="1" customWidth="1"/>
    <col min="3323" max="3323" width="4.85546875" style="1" customWidth="1"/>
    <col min="3324" max="3324" width="9.42578125" style="1" customWidth="1"/>
    <col min="3325" max="3325" width="8" style="1" customWidth="1"/>
    <col min="3326" max="3326" width="9.140625" style="1" customWidth="1"/>
    <col min="3327" max="3328" width="13.42578125" style="1" customWidth="1"/>
    <col min="3329" max="3329" width="6" style="1" customWidth="1"/>
    <col min="3330" max="3330" width="7.42578125" style="1" customWidth="1"/>
    <col min="3331" max="3331" width="2" style="1" customWidth="1"/>
    <col min="3332" max="3332" width="5" style="1" customWidth="1"/>
    <col min="3333" max="3333" width="1.28515625" style="1" customWidth="1"/>
    <col min="3334" max="3334" width="1.7109375" style="1" customWidth="1"/>
    <col min="3335" max="3335" width="2.28515625" style="1" customWidth="1"/>
    <col min="3336" max="3336" width="3" style="1" customWidth="1"/>
    <col min="3337" max="3337" width="7.42578125" style="1" customWidth="1"/>
    <col min="3338" max="3577" width="6.85546875" style="1" customWidth="1"/>
    <col min="3578" max="3578" width="3.7109375" style="1" customWidth="1"/>
    <col min="3579" max="3579" width="4.85546875" style="1" customWidth="1"/>
    <col min="3580" max="3580" width="9.42578125" style="1" customWidth="1"/>
    <col min="3581" max="3581" width="8" style="1" customWidth="1"/>
    <col min="3582" max="3582" width="9.140625" style="1" customWidth="1"/>
    <col min="3583" max="3584" width="13.42578125" style="1" customWidth="1"/>
    <col min="3585" max="3585" width="6" style="1" customWidth="1"/>
    <col min="3586" max="3586" width="7.42578125" style="1" customWidth="1"/>
    <col min="3587" max="3587" width="2" style="1" customWidth="1"/>
    <col min="3588" max="3588" width="5" style="1" customWidth="1"/>
    <col min="3589" max="3589" width="1.28515625" style="1" customWidth="1"/>
    <col min="3590" max="3590" width="1.7109375" style="1" customWidth="1"/>
    <col min="3591" max="3591" width="2.28515625" style="1" customWidth="1"/>
    <col min="3592" max="3592" width="3" style="1" customWidth="1"/>
    <col min="3593" max="3593" width="7.42578125" style="1" customWidth="1"/>
    <col min="3594" max="3833" width="6.85546875" style="1" customWidth="1"/>
    <col min="3834" max="3834" width="3.7109375" style="1" customWidth="1"/>
    <col min="3835" max="3835" width="4.85546875" style="1" customWidth="1"/>
    <col min="3836" max="3836" width="9.42578125" style="1" customWidth="1"/>
    <col min="3837" max="3837" width="8" style="1" customWidth="1"/>
    <col min="3838" max="3838" width="9.140625" style="1" customWidth="1"/>
    <col min="3839" max="3840" width="13.42578125" style="1" customWidth="1"/>
    <col min="3841" max="3841" width="6" style="1" customWidth="1"/>
    <col min="3842" max="3842" width="7.42578125" style="1" customWidth="1"/>
    <col min="3843" max="3843" width="2" style="1" customWidth="1"/>
    <col min="3844" max="3844" width="5" style="1" customWidth="1"/>
    <col min="3845" max="3845" width="1.28515625" style="1" customWidth="1"/>
    <col min="3846" max="3846" width="1.7109375" style="1" customWidth="1"/>
    <col min="3847" max="3847" width="2.28515625" style="1" customWidth="1"/>
    <col min="3848" max="3848" width="3" style="1" customWidth="1"/>
    <col min="3849" max="3849" width="7.42578125" style="1" customWidth="1"/>
    <col min="3850" max="4089" width="6.85546875" style="1" customWidth="1"/>
    <col min="4090" max="4090" width="3.7109375" style="1" customWidth="1"/>
    <col min="4091" max="4091" width="4.85546875" style="1" customWidth="1"/>
    <col min="4092" max="4092" width="9.42578125" style="1" customWidth="1"/>
    <col min="4093" max="4093" width="8" style="1" customWidth="1"/>
    <col min="4094" max="4094" width="9.140625" style="1" customWidth="1"/>
    <col min="4095" max="4096" width="13.42578125" style="1" customWidth="1"/>
    <col min="4097" max="4097" width="6" style="1" customWidth="1"/>
    <col min="4098" max="4098" width="7.42578125" style="1" customWidth="1"/>
    <col min="4099" max="4099" width="2" style="1" customWidth="1"/>
    <col min="4100" max="4100" width="5" style="1" customWidth="1"/>
    <col min="4101" max="4101" width="1.28515625" style="1" customWidth="1"/>
    <col min="4102" max="4102" width="1.7109375" style="1" customWidth="1"/>
    <col min="4103" max="4103" width="2.28515625" style="1" customWidth="1"/>
    <col min="4104" max="4104" width="3" style="1" customWidth="1"/>
    <col min="4105" max="4105" width="7.42578125" style="1" customWidth="1"/>
    <col min="4106" max="4345" width="6.85546875" style="1" customWidth="1"/>
    <col min="4346" max="4346" width="3.7109375" style="1" customWidth="1"/>
    <col min="4347" max="4347" width="4.85546875" style="1" customWidth="1"/>
    <col min="4348" max="4348" width="9.42578125" style="1" customWidth="1"/>
    <col min="4349" max="4349" width="8" style="1" customWidth="1"/>
    <col min="4350" max="4350" width="9.140625" style="1" customWidth="1"/>
    <col min="4351" max="4352" width="13.42578125" style="1" customWidth="1"/>
    <col min="4353" max="4353" width="6" style="1" customWidth="1"/>
    <col min="4354" max="4354" width="7.42578125" style="1" customWidth="1"/>
    <col min="4355" max="4355" width="2" style="1" customWidth="1"/>
    <col min="4356" max="4356" width="5" style="1" customWidth="1"/>
    <col min="4357" max="4357" width="1.28515625" style="1" customWidth="1"/>
    <col min="4358" max="4358" width="1.7109375" style="1" customWidth="1"/>
    <col min="4359" max="4359" width="2.28515625" style="1" customWidth="1"/>
    <col min="4360" max="4360" width="3" style="1" customWidth="1"/>
    <col min="4361" max="4361" width="7.42578125" style="1" customWidth="1"/>
    <col min="4362" max="4601" width="6.85546875" style="1" customWidth="1"/>
    <col min="4602" max="4602" width="3.7109375" style="1" customWidth="1"/>
    <col min="4603" max="4603" width="4.85546875" style="1" customWidth="1"/>
    <col min="4604" max="4604" width="9.42578125" style="1" customWidth="1"/>
    <col min="4605" max="4605" width="8" style="1" customWidth="1"/>
    <col min="4606" max="4606" width="9.140625" style="1" customWidth="1"/>
    <col min="4607" max="4608" width="13.42578125" style="1" customWidth="1"/>
    <col min="4609" max="4609" width="6" style="1" customWidth="1"/>
    <col min="4610" max="4610" width="7.42578125" style="1" customWidth="1"/>
    <col min="4611" max="4611" width="2" style="1" customWidth="1"/>
    <col min="4612" max="4612" width="5" style="1" customWidth="1"/>
    <col min="4613" max="4613" width="1.28515625" style="1" customWidth="1"/>
    <col min="4614" max="4614" width="1.7109375" style="1" customWidth="1"/>
    <col min="4615" max="4615" width="2.28515625" style="1" customWidth="1"/>
    <col min="4616" max="4616" width="3" style="1" customWidth="1"/>
    <col min="4617" max="4617" width="7.42578125" style="1" customWidth="1"/>
    <col min="4618" max="4857" width="6.85546875" style="1" customWidth="1"/>
    <col min="4858" max="4858" width="3.7109375" style="1" customWidth="1"/>
    <col min="4859" max="4859" width="4.85546875" style="1" customWidth="1"/>
    <col min="4860" max="4860" width="9.42578125" style="1" customWidth="1"/>
    <col min="4861" max="4861" width="8" style="1" customWidth="1"/>
    <col min="4862" max="4862" width="9.140625" style="1" customWidth="1"/>
    <col min="4863" max="4864" width="13.42578125" style="1" customWidth="1"/>
    <col min="4865" max="4865" width="6" style="1" customWidth="1"/>
    <col min="4866" max="4866" width="7.42578125" style="1" customWidth="1"/>
    <col min="4867" max="4867" width="2" style="1" customWidth="1"/>
    <col min="4868" max="4868" width="5" style="1" customWidth="1"/>
    <col min="4869" max="4869" width="1.28515625" style="1" customWidth="1"/>
    <col min="4870" max="4870" width="1.7109375" style="1" customWidth="1"/>
    <col min="4871" max="4871" width="2.28515625" style="1" customWidth="1"/>
    <col min="4872" max="4872" width="3" style="1" customWidth="1"/>
    <col min="4873" max="4873" width="7.42578125" style="1" customWidth="1"/>
    <col min="4874" max="5113" width="6.85546875" style="1" customWidth="1"/>
    <col min="5114" max="5114" width="3.7109375" style="1" customWidth="1"/>
    <col min="5115" max="5115" width="4.85546875" style="1" customWidth="1"/>
    <col min="5116" max="5116" width="9.42578125" style="1" customWidth="1"/>
    <col min="5117" max="5117" width="8" style="1" customWidth="1"/>
    <col min="5118" max="5118" width="9.140625" style="1" customWidth="1"/>
    <col min="5119" max="5120" width="13.42578125" style="1" customWidth="1"/>
    <col min="5121" max="5121" width="6" style="1" customWidth="1"/>
    <col min="5122" max="5122" width="7.42578125" style="1" customWidth="1"/>
    <col min="5123" max="5123" width="2" style="1" customWidth="1"/>
    <col min="5124" max="5124" width="5" style="1" customWidth="1"/>
    <col min="5125" max="5125" width="1.28515625" style="1" customWidth="1"/>
    <col min="5126" max="5126" width="1.7109375" style="1" customWidth="1"/>
    <col min="5127" max="5127" width="2.28515625" style="1" customWidth="1"/>
    <col min="5128" max="5128" width="3" style="1" customWidth="1"/>
    <col min="5129" max="5129" width="7.42578125" style="1" customWidth="1"/>
    <col min="5130" max="5369" width="6.85546875" style="1" customWidth="1"/>
    <col min="5370" max="5370" width="3.7109375" style="1" customWidth="1"/>
    <col min="5371" max="5371" width="4.85546875" style="1" customWidth="1"/>
    <col min="5372" max="5372" width="9.42578125" style="1" customWidth="1"/>
    <col min="5373" max="5373" width="8" style="1" customWidth="1"/>
    <col min="5374" max="5374" width="9.140625" style="1" customWidth="1"/>
    <col min="5375" max="5376" width="13.42578125" style="1" customWidth="1"/>
    <col min="5377" max="5377" width="6" style="1" customWidth="1"/>
    <col min="5378" max="5378" width="7.42578125" style="1" customWidth="1"/>
    <col min="5379" max="5379" width="2" style="1" customWidth="1"/>
    <col min="5380" max="5380" width="5" style="1" customWidth="1"/>
    <col min="5381" max="5381" width="1.28515625" style="1" customWidth="1"/>
    <col min="5382" max="5382" width="1.7109375" style="1" customWidth="1"/>
    <col min="5383" max="5383" width="2.28515625" style="1" customWidth="1"/>
    <col min="5384" max="5384" width="3" style="1" customWidth="1"/>
    <col min="5385" max="5385" width="7.42578125" style="1" customWidth="1"/>
    <col min="5386" max="5625" width="6.85546875" style="1" customWidth="1"/>
    <col min="5626" max="5626" width="3.7109375" style="1" customWidth="1"/>
    <col min="5627" max="5627" width="4.85546875" style="1" customWidth="1"/>
    <col min="5628" max="5628" width="9.42578125" style="1" customWidth="1"/>
    <col min="5629" max="5629" width="8" style="1" customWidth="1"/>
    <col min="5630" max="5630" width="9.140625" style="1" customWidth="1"/>
    <col min="5631" max="5632" width="13.42578125" style="1" customWidth="1"/>
    <col min="5633" max="5633" width="6" style="1" customWidth="1"/>
    <col min="5634" max="5634" width="7.42578125" style="1" customWidth="1"/>
    <col min="5635" max="5635" width="2" style="1" customWidth="1"/>
    <col min="5636" max="5636" width="5" style="1" customWidth="1"/>
    <col min="5637" max="5637" width="1.28515625" style="1" customWidth="1"/>
    <col min="5638" max="5638" width="1.7109375" style="1" customWidth="1"/>
    <col min="5639" max="5639" width="2.28515625" style="1" customWidth="1"/>
    <col min="5640" max="5640" width="3" style="1" customWidth="1"/>
    <col min="5641" max="5641" width="7.42578125" style="1" customWidth="1"/>
    <col min="5642" max="5881" width="6.85546875" style="1" customWidth="1"/>
    <col min="5882" max="5882" width="3.7109375" style="1" customWidth="1"/>
    <col min="5883" max="5883" width="4.85546875" style="1" customWidth="1"/>
    <col min="5884" max="5884" width="9.42578125" style="1" customWidth="1"/>
    <col min="5885" max="5885" width="8" style="1" customWidth="1"/>
    <col min="5886" max="5886" width="9.140625" style="1" customWidth="1"/>
    <col min="5887" max="5888" width="13.42578125" style="1" customWidth="1"/>
    <col min="5889" max="5889" width="6" style="1" customWidth="1"/>
    <col min="5890" max="5890" width="7.42578125" style="1" customWidth="1"/>
    <col min="5891" max="5891" width="2" style="1" customWidth="1"/>
    <col min="5892" max="5892" width="5" style="1" customWidth="1"/>
    <col min="5893" max="5893" width="1.28515625" style="1" customWidth="1"/>
    <col min="5894" max="5894" width="1.7109375" style="1" customWidth="1"/>
    <col min="5895" max="5895" width="2.28515625" style="1" customWidth="1"/>
    <col min="5896" max="5896" width="3" style="1" customWidth="1"/>
    <col min="5897" max="5897" width="7.42578125" style="1" customWidth="1"/>
    <col min="5898" max="6137" width="6.85546875" style="1" customWidth="1"/>
    <col min="6138" max="6138" width="3.7109375" style="1" customWidth="1"/>
    <col min="6139" max="6139" width="4.85546875" style="1" customWidth="1"/>
    <col min="6140" max="6140" width="9.42578125" style="1" customWidth="1"/>
    <col min="6141" max="6141" width="8" style="1" customWidth="1"/>
    <col min="6142" max="6142" width="9.140625" style="1" customWidth="1"/>
    <col min="6143" max="6144" width="13.42578125" style="1" customWidth="1"/>
    <col min="6145" max="6145" width="6" style="1" customWidth="1"/>
    <col min="6146" max="6146" width="7.42578125" style="1" customWidth="1"/>
    <col min="6147" max="6147" width="2" style="1" customWidth="1"/>
    <col min="6148" max="6148" width="5" style="1" customWidth="1"/>
    <col min="6149" max="6149" width="1.28515625" style="1" customWidth="1"/>
    <col min="6150" max="6150" width="1.7109375" style="1" customWidth="1"/>
    <col min="6151" max="6151" width="2.28515625" style="1" customWidth="1"/>
    <col min="6152" max="6152" width="3" style="1" customWidth="1"/>
    <col min="6153" max="6153" width="7.42578125" style="1" customWidth="1"/>
    <col min="6154" max="6393" width="6.85546875" style="1" customWidth="1"/>
    <col min="6394" max="6394" width="3.7109375" style="1" customWidth="1"/>
    <col min="6395" max="6395" width="4.85546875" style="1" customWidth="1"/>
    <col min="6396" max="6396" width="9.42578125" style="1" customWidth="1"/>
    <col min="6397" max="6397" width="8" style="1" customWidth="1"/>
    <col min="6398" max="6398" width="9.140625" style="1" customWidth="1"/>
    <col min="6399" max="6400" width="13.42578125" style="1" customWidth="1"/>
    <col min="6401" max="6401" width="6" style="1" customWidth="1"/>
    <col min="6402" max="6402" width="7.42578125" style="1" customWidth="1"/>
    <col min="6403" max="6403" width="2" style="1" customWidth="1"/>
    <col min="6404" max="6404" width="5" style="1" customWidth="1"/>
    <col min="6405" max="6405" width="1.28515625" style="1" customWidth="1"/>
    <col min="6406" max="6406" width="1.7109375" style="1" customWidth="1"/>
    <col min="6407" max="6407" width="2.28515625" style="1" customWidth="1"/>
    <col min="6408" max="6408" width="3" style="1" customWidth="1"/>
    <col min="6409" max="6409" width="7.42578125" style="1" customWidth="1"/>
    <col min="6410" max="6649" width="6.85546875" style="1" customWidth="1"/>
    <col min="6650" max="6650" width="3.7109375" style="1" customWidth="1"/>
    <col min="6651" max="6651" width="4.85546875" style="1" customWidth="1"/>
    <col min="6652" max="6652" width="9.42578125" style="1" customWidth="1"/>
    <col min="6653" max="6653" width="8" style="1" customWidth="1"/>
    <col min="6654" max="6654" width="9.140625" style="1" customWidth="1"/>
    <col min="6655" max="6656" width="13.42578125" style="1" customWidth="1"/>
    <col min="6657" max="6657" width="6" style="1" customWidth="1"/>
    <col min="6658" max="6658" width="7.42578125" style="1" customWidth="1"/>
    <col min="6659" max="6659" width="2" style="1" customWidth="1"/>
    <col min="6660" max="6660" width="5" style="1" customWidth="1"/>
    <col min="6661" max="6661" width="1.28515625" style="1" customWidth="1"/>
    <col min="6662" max="6662" width="1.7109375" style="1" customWidth="1"/>
    <col min="6663" max="6663" width="2.28515625" style="1" customWidth="1"/>
    <col min="6664" max="6664" width="3" style="1" customWidth="1"/>
    <col min="6665" max="6665" width="7.42578125" style="1" customWidth="1"/>
    <col min="6666" max="6905" width="6.85546875" style="1" customWidth="1"/>
    <col min="6906" max="6906" width="3.7109375" style="1" customWidth="1"/>
    <col min="6907" max="6907" width="4.85546875" style="1" customWidth="1"/>
    <col min="6908" max="6908" width="9.42578125" style="1" customWidth="1"/>
    <col min="6909" max="6909" width="8" style="1" customWidth="1"/>
    <col min="6910" max="6910" width="9.140625" style="1" customWidth="1"/>
    <col min="6911" max="6912" width="13.42578125" style="1" customWidth="1"/>
    <col min="6913" max="6913" width="6" style="1" customWidth="1"/>
    <col min="6914" max="6914" width="7.42578125" style="1" customWidth="1"/>
    <col min="6915" max="6915" width="2" style="1" customWidth="1"/>
    <col min="6916" max="6916" width="5" style="1" customWidth="1"/>
    <col min="6917" max="6917" width="1.28515625" style="1" customWidth="1"/>
    <col min="6918" max="6918" width="1.7109375" style="1" customWidth="1"/>
    <col min="6919" max="6919" width="2.28515625" style="1" customWidth="1"/>
    <col min="6920" max="6920" width="3" style="1" customWidth="1"/>
    <col min="6921" max="6921" width="7.42578125" style="1" customWidth="1"/>
    <col min="6922" max="7161" width="6.85546875" style="1" customWidth="1"/>
    <col min="7162" max="7162" width="3.7109375" style="1" customWidth="1"/>
    <col min="7163" max="7163" width="4.85546875" style="1" customWidth="1"/>
    <col min="7164" max="7164" width="9.42578125" style="1" customWidth="1"/>
    <col min="7165" max="7165" width="8" style="1" customWidth="1"/>
    <col min="7166" max="7166" width="9.140625" style="1" customWidth="1"/>
    <col min="7167" max="7168" width="13.42578125" style="1" customWidth="1"/>
    <col min="7169" max="7169" width="6" style="1" customWidth="1"/>
    <col min="7170" max="7170" width="7.42578125" style="1" customWidth="1"/>
    <col min="7171" max="7171" width="2" style="1" customWidth="1"/>
    <col min="7172" max="7172" width="5" style="1" customWidth="1"/>
    <col min="7173" max="7173" width="1.28515625" style="1" customWidth="1"/>
    <col min="7174" max="7174" width="1.7109375" style="1" customWidth="1"/>
    <col min="7175" max="7175" width="2.28515625" style="1" customWidth="1"/>
    <col min="7176" max="7176" width="3" style="1" customWidth="1"/>
    <col min="7177" max="7177" width="7.42578125" style="1" customWidth="1"/>
    <col min="7178" max="7417" width="6.85546875" style="1" customWidth="1"/>
    <col min="7418" max="7418" width="3.7109375" style="1" customWidth="1"/>
    <col min="7419" max="7419" width="4.85546875" style="1" customWidth="1"/>
    <col min="7420" max="7420" width="9.42578125" style="1" customWidth="1"/>
    <col min="7421" max="7421" width="8" style="1" customWidth="1"/>
    <col min="7422" max="7422" width="9.140625" style="1" customWidth="1"/>
    <col min="7423" max="7424" width="13.42578125" style="1" customWidth="1"/>
    <col min="7425" max="7425" width="6" style="1" customWidth="1"/>
    <col min="7426" max="7426" width="7.42578125" style="1" customWidth="1"/>
    <col min="7427" max="7427" width="2" style="1" customWidth="1"/>
    <col min="7428" max="7428" width="5" style="1" customWidth="1"/>
    <col min="7429" max="7429" width="1.28515625" style="1" customWidth="1"/>
    <col min="7430" max="7430" width="1.7109375" style="1" customWidth="1"/>
    <col min="7431" max="7431" width="2.28515625" style="1" customWidth="1"/>
    <col min="7432" max="7432" width="3" style="1" customWidth="1"/>
    <col min="7433" max="7433" width="7.42578125" style="1" customWidth="1"/>
    <col min="7434" max="7673" width="6.85546875" style="1" customWidth="1"/>
    <col min="7674" max="7674" width="3.7109375" style="1" customWidth="1"/>
    <col min="7675" max="7675" width="4.85546875" style="1" customWidth="1"/>
    <col min="7676" max="7676" width="9.42578125" style="1" customWidth="1"/>
    <col min="7677" max="7677" width="8" style="1" customWidth="1"/>
    <col min="7678" max="7678" width="9.140625" style="1" customWidth="1"/>
    <col min="7679" max="7680" width="13.42578125" style="1" customWidth="1"/>
    <col min="7681" max="7681" width="6" style="1" customWidth="1"/>
    <col min="7682" max="7682" width="7.42578125" style="1" customWidth="1"/>
    <col min="7683" max="7683" width="2" style="1" customWidth="1"/>
    <col min="7684" max="7684" width="5" style="1" customWidth="1"/>
    <col min="7685" max="7685" width="1.28515625" style="1" customWidth="1"/>
    <col min="7686" max="7686" width="1.7109375" style="1" customWidth="1"/>
    <col min="7687" max="7687" width="2.28515625" style="1" customWidth="1"/>
    <col min="7688" max="7688" width="3" style="1" customWidth="1"/>
    <col min="7689" max="7689" width="7.42578125" style="1" customWidth="1"/>
    <col min="7690" max="7929" width="6.85546875" style="1" customWidth="1"/>
    <col min="7930" max="7930" width="3.7109375" style="1" customWidth="1"/>
    <col min="7931" max="7931" width="4.85546875" style="1" customWidth="1"/>
    <col min="7932" max="7932" width="9.42578125" style="1" customWidth="1"/>
    <col min="7933" max="7933" width="8" style="1" customWidth="1"/>
    <col min="7934" max="7934" width="9.140625" style="1" customWidth="1"/>
    <col min="7935" max="7936" width="13.42578125" style="1" customWidth="1"/>
    <col min="7937" max="7937" width="6" style="1" customWidth="1"/>
    <col min="7938" max="7938" width="7.42578125" style="1" customWidth="1"/>
    <col min="7939" max="7939" width="2" style="1" customWidth="1"/>
    <col min="7940" max="7940" width="5" style="1" customWidth="1"/>
    <col min="7941" max="7941" width="1.28515625" style="1" customWidth="1"/>
    <col min="7942" max="7942" width="1.7109375" style="1" customWidth="1"/>
    <col min="7943" max="7943" width="2.28515625" style="1" customWidth="1"/>
    <col min="7944" max="7944" width="3" style="1" customWidth="1"/>
    <col min="7945" max="7945" width="7.42578125" style="1" customWidth="1"/>
    <col min="7946" max="8185" width="6.85546875" style="1" customWidth="1"/>
    <col min="8186" max="8186" width="3.7109375" style="1" customWidth="1"/>
    <col min="8187" max="8187" width="4.85546875" style="1" customWidth="1"/>
    <col min="8188" max="8188" width="9.42578125" style="1" customWidth="1"/>
    <col min="8189" max="8189" width="8" style="1" customWidth="1"/>
    <col min="8190" max="8190" width="9.140625" style="1" customWidth="1"/>
    <col min="8191" max="8192" width="13.42578125" style="1" customWidth="1"/>
    <col min="8193" max="8193" width="6" style="1" customWidth="1"/>
    <col min="8194" max="8194" width="7.42578125" style="1" customWidth="1"/>
    <col min="8195" max="8195" width="2" style="1" customWidth="1"/>
    <col min="8196" max="8196" width="5" style="1" customWidth="1"/>
    <col min="8197" max="8197" width="1.28515625" style="1" customWidth="1"/>
    <col min="8198" max="8198" width="1.7109375" style="1" customWidth="1"/>
    <col min="8199" max="8199" width="2.28515625" style="1" customWidth="1"/>
    <col min="8200" max="8200" width="3" style="1" customWidth="1"/>
    <col min="8201" max="8201" width="7.42578125" style="1" customWidth="1"/>
    <col min="8202" max="8441" width="6.85546875" style="1" customWidth="1"/>
    <col min="8442" max="8442" width="3.7109375" style="1" customWidth="1"/>
    <col min="8443" max="8443" width="4.85546875" style="1" customWidth="1"/>
    <col min="8444" max="8444" width="9.42578125" style="1" customWidth="1"/>
    <col min="8445" max="8445" width="8" style="1" customWidth="1"/>
    <col min="8446" max="8446" width="9.140625" style="1" customWidth="1"/>
    <col min="8447" max="8448" width="13.42578125" style="1" customWidth="1"/>
    <col min="8449" max="8449" width="6" style="1" customWidth="1"/>
    <col min="8450" max="8450" width="7.42578125" style="1" customWidth="1"/>
    <col min="8451" max="8451" width="2" style="1" customWidth="1"/>
    <col min="8452" max="8452" width="5" style="1" customWidth="1"/>
    <col min="8453" max="8453" width="1.28515625" style="1" customWidth="1"/>
    <col min="8454" max="8454" width="1.7109375" style="1" customWidth="1"/>
    <col min="8455" max="8455" width="2.28515625" style="1" customWidth="1"/>
    <col min="8456" max="8456" width="3" style="1" customWidth="1"/>
    <col min="8457" max="8457" width="7.42578125" style="1" customWidth="1"/>
    <col min="8458" max="8697" width="6.85546875" style="1" customWidth="1"/>
    <col min="8698" max="8698" width="3.7109375" style="1" customWidth="1"/>
    <col min="8699" max="8699" width="4.85546875" style="1" customWidth="1"/>
    <col min="8700" max="8700" width="9.42578125" style="1" customWidth="1"/>
    <col min="8701" max="8701" width="8" style="1" customWidth="1"/>
    <col min="8702" max="8702" width="9.140625" style="1" customWidth="1"/>
    <col min="8703" max="8704" width="13.42578125" style="1" customWidth="1"/>
    <col min="8705" max="8705" width="6" style="1" customWidth="1"/>
    <col min="8706" max="8706" width="7.42578125" style="1" customWidth="1"/>
    <col min="8707" max="8707" width="2" style="1" customWidth="1"/>
    <col min="8708" max="8708" width="5" style="1" customWidth="1"/>
    <col min="8709" max="8709" width="1.28515625" style="1" customWidth="1"/>
    <col min="8710" max="8710" width="1.7109375" style="1" customWidth="1"/>
    <col min="8711" max="8711" width="2.28515625" style="1" customWidth="1"/>
    <col min="8712" max="8712" width="3" style="1" customWidth="1"/>
    <col min="8713" max="8713" width="7.42578125" style="1" customWidth="1"/>
    <col min="8714" max="8953" width="6.85546875" style="1" customWidth="1"/>
    <col min="8954" max="8954" width="3.7109375" style="1" customWidth="1"/>
    <col min="8955" max="8955" width="4.85546875" style="1" customWidth="1"/>
    <col min="8956" max="8956" width="9.42578125" style="1" customWidth="1"/>
    <col min="8957" max="8957" width="8" style="1" customWidth="1"/>
    <col min="8958" max="8958" width="9.140625" style="1" customWidth="1"/>
    <col min="8959" max="8960" width="13.42578125" style="1" customWidth="1"/>
    <col min="8961" max="8961" width="6" style="1" customWidth="1"/>
    <col min="8962" max="8962" width="7.42578125" style="1" customWidth="1"/>
    <col min="8963" max="8963" width="2" style="1" customWidth="1"/>
    <col min="8964" max="8964" width="5" style="1" customWidth="1"/>
    <col min="8965" max="8965" width="1.28515625" style="1" customWidth="1"/>
    <col min="8966" max="8966" width="1.7109375" style="1" customWidth="1"/>
    <col min="8967" max="8967" width="2.28515625" style="1" customWidth="1"/>
    <col min="8968" max="8968" width="3" style="1" customWidth="1"/>
    <col min="8969" max="8969" width="7.42578125" style="1" customWidth="1"/>
    <col min="8970" max="9209" width="6.85546875" style="1" customWidth="1"/>
    <col min="9210" max="9210" width="3.7109375" style="1" customWidth="1"/>
    <col min="9211" max="9211" width="4.85546875" style="1" customWidth="1"/>
    <col min="9212" max="9212" width="9.42578125" style="1" customWidth="1"/>
    <col min="9213" max="9213" width="8" style="1" customWidth="1"/>
    <col min="9214" max="9214" width="9.140625" style="1" customWidth="1"/>
    <col min="9215" max="9216" width="13.42578125" style="1" customWidth="1"/>
    <col min="9217" max="9217" width="6" style="1" customWidth="1"/>
    <col min="9218" max="9218" width="7.42578125" style="1" customWidth="1"/>
    <col min="9219" max="9219" width="2" style="1" customWidth="1"/>
    <col min="9220" max="9220" width="5" style="1" customWidth="1"/>
    <col min="9221" max="9221" width="1.28515625" style="1" customWidth="1"/>
    <col min="9222" max="9222" width="1.7109375" style="1" customWidth="1"/>
    <col min="9223" max="9223" width="2.28515625" style="1" customWidth="1"/>
    <col min="9224" max="9224" width="3" style="1" customWidth="1"/>
    <col min="9225" max="9225" width="7.42578125" style="1" customWidth="1"/>
    <col min="9226" max="9465" width="6.85546875" style="1" customWidth="1"/>
    <col min="9466" max="9466" width="3.7109375" style="1" customWidth="1"/>
    <col min="9467" max="9467" width="4.85546875" style="1" customWidth="1"/>
    <col min="9468" max="9468" width="9.42578125" style="1" customWidth="1"/>
    <col min="9469" max="9469" width="8" style="1" customWidth="1"/>
    <col min="9470" max="9470" width="9.140625" style="1" customWidth="1"/>
    <col min="9471" max="9472" width="13.42578125" style="1" customWidth="1"/>
    <col min="9473" max="9473" width="6" style="1" customWidth="1"/>
    <col min="9474" max="9474" width="7.42578125" style="1" customWidth="1"/>
    <col min="9475" max="9475" width="2" style="1" customWidth="1"/>
    <col min="9476" max="9476" width="5" style="1" customWidth="1"/>
    <col min="9477" max="9477" width="1.28515625" style="1" customWidth="1"/>
    <col min="9478" max="9478" width="1.7109375" style="1" customWidth="1"/>
    <col min="9479" max="9479" width="2.28515625" style="1" customWidth="1"/>
    <col min="9480" max="9480" width="3" style="1" customWidth="1"/>
    <col min="9481" max="9481" width="7.42578125" style="1" customWidth="1"/>
    <col min="9482" max="9721" width="6.85546875" style="1" customWidth="1"/>
    <col min="9722" max="9722" width="3.7109375" style="1" customWidth="1"/>
    <col min="9723" max="9723" width="4.85546875" style="1" customWidth="1"/>
    <col min="9724" max="9724" width="9.42578125" style="1" customWidth="1"/>
    <col min="9725" max="9725" width="8" style="1" customWidth="1"/>
    <col min="9726" max="9726" width="9.140625" style="1" customWidth="1"/>
    <col min="9727" max="9728" width="13.42578125" style="1" customWidth="1"/>
    <col min="9729" max="9729" width="6" style="1" customWidth="1"/>
    <col min="9730" max="9730" width="7.42578125" style="1" customWidth="1"/>
    <col min="9731" max="9731" width="2" style="1" customWidth="1"/>
    <col min="9732" max="9732" width="5" style="1" customWidth="1"/>
    <col min="9733" max="9733" width="1.28515625" style="1" customWidth="1"/>
    <col min="9734" max="9734" width="1.7109375" style="1" customWidth="1"/>
    <col min="9735" max="9735" width="2.28515625" style="1" customWidth="1"/>
    <col min="9736" max="9736" width="3" style="1" customWidth="1"/>
    <col min="9737" max="9737" width="7.42578125" style="1" customWidth="1"/>
    <col min="9738" max="9977" width="6.85546875" style="1" customWidth="1"/>
    <col min="9978" max="9978" width="3.7109375" style="1" customWidth="1"/>
    <col min="9979" max="9979" width="4.85546875" style="1" customWidth="1"/>
    <col min="9980" max="9980" width="9.42578125" style="1" customWidth="1"/>
    <col min="9981" max="9981" width="8" style="1" customWidth="1"/>
    <col min="9982" max="9982" width="9.140625" style="1" customWidth="1"/>
    <col min="9983" max="9984" width="13.42578125" style="1" customWidth="1"/>
    <col min="9985" max="9985" width="6" style="1" customWidth="1"/>
    <col min="9986" max="9986" width="7.42578125" style="1" customWidth="1"/>
    <col min="9987" max="9987" width="2" style="1" customWidth="1"/>
    <col min="9988" max="9988" width="5" style="1" customWidth="1"/>
    <col min="9989" max="9989" width="1.28515625" style="1" customWidth="1"/>
    <col min="9990" max="9990" width="1.7109375" style="1" customWidth="1"/>
    <col min="9991" max="9991" width="2.28515625" style="1" customWidth="1"/>
    <col min="9992" max="9992" width="3" style="1" customWidth="1"/>
    <col min="9993" max="9993" width="7.42578125" style="1" customWidth="1"/>
    <col min="9994" max="10233" width="6.85546875" style="1" customWidth="1"/>
    <col min="10234" max="10234" width="3.7109375" style="1" customWidth="1"/>
    <col min="10235" max="10235" width="4.85546875" style="1" customWidth="1"/>
    <col min="10236" max="10236" width="9.42578125" style="1" customWidth="1"/>
    <col min="10237" max="10237" width="8" style="1" customWidth="1"/>
    <col min="10238" max="10238" width="9.140625" style="1" customWidth="1"/>
    <col min="10239" max="10240" width="13.42578125" style="1" customWidth="1"/>
    <col min="10241" max="10241" width="6" style="1" customWidth="1"/>
    <col min="10242" max="10242" width="7.42578125" style="1" customWidth="1"/>
    <col min="10243" max="10243" width="2" style="1" customWidth="1"/>
    <col min="10244" max="10244" width="5" style="1" customWidth="1"/>
    <col min="10245" max="10245" width="1.28515625" style="1" customWidth="1"/>
    <col min="10246" max="10246" width="1.7109375" style="1" customWidth="1"/>
    <col min="10247" max="10247" width="2.28515625" style="1" customWidth="1"/>
    <col min="10248" max="10248" width="3" style="1" customWidth="1"/>
    <col min="10249" max="10249" width="7.42578125" style="1" customWidth="1"/>
    <col min="10250" max="10489" width="6.85546875" style="1" customWidth="1"/>
    <col min="10490" max="10490" width="3.7109375" style="1" customWidth="1"/>
    <col min="10491" max="10491" width="4.85546875" style="1" customWidth="1"/>
    <col min="10492" max="10492" width="9.42578125" style="1" customWidth="1"/>
    <col min="10493" max="10493" width="8" style="1" customWidth="1"/>
    <col min="10494" max="10494" width="9.140625" style="1" customWidth="1"/>
    <col min="10495" max="10496" width="13.42578125" style="1" customWidth="1"/>
    <col min="10497" max="10497" width="6" style="1" customWidth="1"/>
    <col min="10498" max="10498" width="7.42578125" style="1" customWidth="1"/>
    <col min="10499" max="10499" width="2" style="1" customWidth="1"/>
    <col min="10500" max="10500" width="5" style="1" customWidth="1"/>
    <col min="10501" max="10501" width="1.28515625" style="1" customWidth="1"/>
    <col min="10502" max="10502" width="1.7109375" style="1" customWidth="1"/>
    <col min="10503" max="10503" width="2.28515625" style="1" customWidth="1"/>
    <col min="10504" max="10504" width="3" style="1" customWidth="1"/>
    <col min="10505" max="10505" width="7.42578125" style="1" customWidth="1"/>
    <col min="10506" max="10745" width="6.85546875" style="1" customWidth="1"/>
    <col min="10746" max="10746" width="3.7109375" style="1" customWidth="1"/>
    <col min="10747" max="10747" width="4.85546875" style="1" customWidth="1"/>
    <col min="10748" max="10748" width="9.42578125" style="1" customWidth="1"/>
    <col min="10749" max="10749" width="8" style="1" customWidth="1"/>
    <col min="10750" max="10750" width="9.140625" style="1" customWidth="1"/>
    <col min="10751" max="10752" width="13.42578125" style="1" customWidth="1"/>
    <col min="10753" max="10753" width="6" style="1" customWidth="1"/>
    <col min="10754" max="10754" width="7.42578125" style="1" customWidth="1"/>
    <col min="10755" max="10755" width="2" style="1" customWidth="1"/>
    <col min="10756" max="10756" width="5" style="1" customWidth="1"/>
    <col min="10757" max="10757" width="1.28515625" style="1" customWidth="1"/>
    <col min="10758" max="10758" width="1.7109375" style="1" customWidth="1"/>
    <col min="10759" max="10759" width="2.28515625" style="1" customWidth="1"/>
    <col min="10760" max="10760" width="3" style="1" customWidth="1"/>
    <col min="10761" max="10761" width="7.42578125" style="1" customWidth="1"/>
    <col min="10762" max="11001" width="6.85546875" style="1" customWidth="1"/>
    <col min="11002" max="11002" width="3.7109375" style="1" customWidth="1"/>
    <col min="11003" max="11003" width="4.85546875" style="1" customWidth="1"/>
    <col min="11004" max="11004" width="9.42578125" style="1" customWidth="1"/>
    <col min="11005" max="11005" width="8" style="1" customWidth="1"/>
    <col min="11006" max="11006" width="9.140625" style="1" customWidth="1"/>
    <col min="11007" max="11008" width="13.42578125" style="1" customWidth="1"/>
    <col min="11009" max="11009" width="6" style="1" customWidth="1"/>
    <col min="11010" max="11010" width="7.42578125" style="1" customWidth="1"/>
    <col min="11011" max="11011" width="2" style="1" customWidth="1"/>
    <col min="11012" max="11012" width="5" style="1" customWidth="1"/>
    <col min="11013" max="11013" width="1.28515625" style="1" customWidth="1"/>
    <col min="11014" max="11014" width="1.7109375" style="1" customWidth="1"/>
    <col min="11015" max="11015" width="2.28515625" style="1" customWidth="1"/>
    <col min="11016" max="11016" width="3" style="1" customWidth="1"/>
    <col min="11017" max="11017" width="7.42578125" style="1" customWidth="1"/>
    <col min="11018" max="11257" width="6.85546875" style="1" customWidth="1"/>
    <col min="11258" max="11258" width="3.7109375" style="1" customWidth="1"/>
    <col min="11259" max="11259" width="4.85546875" style="1" customWidth="1"/>
    <col min="11260" max="11260" width="9.42578125" style="1" customWidth="1"/>
    <col min="11261" max="11261" width="8" style="1" customWidth="1"/>
    <col min="11262" max="11262" width="9.140625" style="1" customWidth="1"/>
    <col min="11263" max="11264" width="13.42578125" style="1" customWidth="1"/>
    <col min="11265" max="11265" width="6" style="1" customWidth="1"/>
    <col min="11266" max="11266" width="7.42578125" style="1" customWidth="1"/>
    <col min="11267" max="11267" width="2" style="1" customWidth="1"/>
    <col min="11268" max="11268" width="5" style="1" customWidth="1"/>
    <col min="11269" max="11269" width="1.28515625" style="1" customWidth="1"/>
    <col min="11270" max="11270" width="1.7109375" style="1" customWidth="1"/>
    <col min="11271" max="11271" width="2.28515625" style="1" customWidth="1"/>
    <col min="11272" max="11272" width="3" style="1" customWidth="1"/>
    <col min="11273" max="11273" width="7.42578125" style="1" customWidth="1"/>
    <col min="11274" max="11513" width="6.85546875" style="1" customWidth="1"/>
    <col min="11514" max="11514" width="3.7109375" style="1" customWidth="1"/>
    <col min="11515" max="11515" width="4.85546875" style="1" customWidth="1"/>
    <col min="11516" max="11516" width="9.42578125" style="1" customWidth="1"/>
    <col min="11517" max="11517" width="8" style="1" customWidth="1"/>
    <col min="11518" max="11518" width="9.140625" style="1" customWidth="1"/>
    <col min="11519" max="11520" width="13.42578125" style="1" customWidth="1"/>
    <col min="11521" max="11521" width="6" style="1" customWidth="1"/>
    <col min="11522" max="11522" width="7.42578125" style="1" customWidth="1"/>
    <col min="11523" max="11523" width="2" style="1" customWidth="1"/>
    <col min="11524" max="11524" width="5" style="1" customWidth="1"/>
    <col min="11525" max="11525" width="1.28515625" style="1" customWidth="1"/>
    <col min="11526" max="11526" width="1.7109375" style="1" customWidth="1"/>
    <col min="11527" max="11527" width="2.28515625" style="1" customWidth="1"/>
    <col min="11528" max="11528" width="3" style="1" customWidth="1"/>
    <col min="11529" max="11529" width="7.42578125" style="1" customWidth="1"/>
    <col min="11530" max="11769" width="6.85546875" style="1" customWidth="1"/>
    <col min="11770" max="11770" width="3.7109375" style="1" customWidth="1"/>
    <col min="11771" max="11771" width="4.85546875" style="1" customWidth="1"/>
    <col min="11772" max="11772" width="9.42578125" style="1" customWidth="1"/>
    <col min="11773" max="11773" width="8" style="1" customWidth="1"/>
    <col min="11774" max="11774" width="9.140625" style="1" customWidth="1"/>
    <col min="11775" max="11776" width="13.42578125" style="1" customWidth="1"/>
    <col min="11777" max="11777" width="6" style="1" customWidth="1"/>
    <col min="11778" max="11778" width="7.42578125" style="1" customWidth="1"/>
    <col min="11779" max="11779" width="2" style="1" customWidth="1"/>
    <col min="11780" max="11780" width="5" style="1" customWidth="1"/>
    <col min="11781" max="11781" width="1.28515625" style="1" customWidth="1"/>
    <col min="11782" max="11782" width="1.7109375" style="1" customWidth="1"/>
    <col min="11783" max="11783" width="2.28515625" style="1" customWidth="1"/>
    <col min="11784" max="11784" width="3" style="1" customWidth="1"/>
    <col min="11785" max="11785" width="7.42578125" style="1" customWidth="1"/>
    <col min="11786" max="12025" width="6.85546875" style="1" customWidth="1"/>
    <col min="12026" max="12026" width="3.7109375" style="1" customWidth="1"/>
    <col min="12027" max="12027" width="4.85546875" style="1" customWidth="1"/>
    <col min="12028" max="12028" width="9.42578125" style="1" customWidth="1"/>
    <col min="12029" max="12029" width="8" style="1" customWidth="1"/>
    <col min="12030" max="12030" width="9.140625" style="1" customWidth="1"/>
    <col min="12031" max="12032" width="13.42578125" style="1" customWidth="1"/>
    <col min="12033" max="12033" width="6" style="1" customWidth="1"/>
    <col min="12034" max="12034" width="7.42578125" style="1" customWidth="1"/>
    <col min="12035" max="12035" width="2" style="1" customWidth="1"/>
    <col min="12036" max="12036" width="5" style="1" customWidth="1"/>
    <col min="12037" max="12037" width="1.28515625" style="1" customWidth="1"/>
    <col min="12038" max="12038" width="1.7109375" style="1" customWidth="1"/>
    <col min="12039" max="12039" width="2.28515625" style="1" customWidth="1"/>
    <col min="12040" max="12040" width="3" style="1" customWidth="1"/>
    <col min="12041" max="12041" width="7.42578125" style="1" customWidth="1"/>
    <col min="12042" max="12281" width="6.85546875" style="1" customWidth="1"/>
    <col min="12282" max="12282" width="3.7109375" style="1" customWidth="1"/>
    <col min="12283" max="12283" width="4.85546875" style="1" customWidth="1"/>
    <col min="12284" max="12284" width="9.42578125" style="1" customWidth="1"/>
    <col min="12285" max="12285" width="8" style="1" customWidth="1"/>
    <col min="12286" max="12286" width="9.140625" style="1" customWidth="1"/>
    <col min="12287" max="12288" width="13.42578125" style="1" customWidth="1"/>
    <col min="12289" max="12289" width="6" style="1" customWidth="1"/>
    <col min="12290" max="12290" width="7.42578125" style="1" customWidth="1"/>
    <col min="12291" max="12291" width="2" style="1" customWidth="1"/>
    <col min="12292" max="12292" width="5" style="1" customWidth="1"/>
    <col min="12293" max="12293" width="1.28515625" style="1" customWidth="1"/>
    <col min="12294" max="12294" width="1.7109375" style="1" customWidth="1"/>
    <col min="12295" max="12295" width="2.28515625" style="1" customWidth="1"/>
    <col min="12296" max="12296" width="3" style="1" customWidth="1"/>
    <col min="12297" max="12297" width="7.42578125" style="1" customWidth="1"/>
    <col min="12298" max="12537" width="6.85546875" style="1" customWidth="1"/>
    <col min="12538" max="12538" width="3.7109375" style="1" customWidth="1"/>
    <col min="12539" max="12539" width="4.85546875" style="1" customWidth="1"/>
    <col min="12540" max="12540" width="9.42578125" style="1" customWidth="1"/>
    <col min="12541" max="12541" width="8" style="1" customWidth="1"/>
    <col min="12542" max="12542" width="9.140625" style="1" customWidth="1"/>
    <col min="12543" max="12544" width="13.42578125" style="1" customWidth="1"/>
    <col min="12545" max="12545" width="6" style="1" customWidth="1"/>
    <col min="12546" max="12546" width="7.42578125" style="1" customWidth="1"/>
    <col min="12547" max="12547" width="2" style="1" customWidth="1"/>
    <col min="12548" max="12548" width="5" style="1" customWidth="1"/>
    <col min="12549" max="12549" width="1.28515625" style="1" customWidth="1"/>
    <col min="12550" max="12550" width="1.7109375" style="1" customWidth="1"/>
    <col min="12551" max="12551" width="2.28515625" style="1" customWidth="1"/>
    <col min="12552" max="12552" width="3" style="1" customWidth="1"/>
    <col min="12553" max="12553" width="7.42578125" style="1" customWidth="1"/>
    <col min="12554" max="12793" width="6.85546875" style="1" customWidth="1"/>
    <col min="12794" max="12794" width="3.7109375" style="1" customWidth="1"/>
    <col min="12795" max="12795" width="4.85546875" style="1" customWidth="1"/>
    <col min="12796" max="12796" width="9.42578125" style="1" customWidth="1"/>
    <col min="12797" max="12797" width="8" style="1" customWidth="1"/>
    <col min="12798" max="12798" width="9.140625" style="1" customWidth="1"/>
    <col min="12799" max="12800" width="13.42578125" style="1" customWidth="1"/>
    <col min="12801" max="12801" width="6" style="1" customWidth="1"/>
    <col min="12802" max="12802" width="7.42578125" style="1" customWidth="1"/>
    <col min="12803" max="12803" width="2" style="1" customWidth="1"/>
    <col min="12804" max="12804" width="5" style="1" customWidth="1"/>
    <col min="12805" max="12805" width="1.28515625" style="1" customWidth="1"/>
    <col min="12806" max="12806" width="1.7109375" style="1" customWidth="1"/>
    <col min="12807" max="12807" width="2.28515625" style="1" customWidth="1"/>
    <col min="12808" max="12808" width="3" style="1" customWidth="1"/>
    <col min="12809" max="12809" width="7.42578125" style="1" customWidth="1"/>
    <col min="12810" max="13049" width="6.85546875" style="1" customWidth="1"/>
    <col min="13050" max="13050" width="3.7109375" style="1" customWidth="1"/>
    <col min="13051" max="13051" width="4.85546875" style="1" customWidth="1"/>
    <col min="13052" max="13052" width="9.42578125" style="1" customWidth="1"/>
    <col min="13053" max="13053" width="8" style="1" customWidth="1"/>
    <col min="13054" max="13054" width="9.140625" style="1" customWidth="1"/>
    <col min="13055" max="13056" width="13.42578125" style="1" customWidth="1"/>
    <col min="13057" max="13057" width="6" style="1" customWidth="1"/>
    <col min="13058" max="13058" width="7.42578125" style="1" customWidth="1"/>
    <col min="13059" max="13059" width="2" style="1" customWidth="1"/>
    <col min="13060" max="13060" width="5" style="1" customWidth="1"/>
    <col min="13061" max="13061" width="1.28515625" style="1" customWidth="1"/>
    <col min="13062" max="13062" width="1.7109375" style="1" customWidth="1"/>
    <col min="13063" max="13063" width="2.28515625" style="1" customWidth="1"/>
    <col min="13064" max="13064" width="3" style="1" customWidth="1"/>
    <col min="13065" max="13065" width="7.42578125" style="1" customWidth="1"/>
    <col min="13066" max="13305" width="6.85546875" style="1" customWidth="1"/>
    <col min="13306" max="13306" width="3.7109375" style="1" customWidth="1"/>
    <col min="13307" max="13307" width="4.85546875" style="1" customWidth="1"/>
    <col min="13308" max="13308" width="9.42578125" style="1" customWidth="1"/>
    <col min="13309" max="13309" width="8" style="1" customWidth="1"/>
    <col min="13310" max="13310" width="9.140625" style="1" customWidth="1"/>
    <col min="13311" max="13312" width="13.42578125" style="1" customWidth="1"/>
    <col min="13313" max="13313" width="6" style="1" customWidth="1"/>
    <col min="13314" max="13314" width="7.42578125" style="1" customWidth="1"/>
    <col min="13315" max="13315" width="2" style="1" customWidth="1"/>
    <col min="13316" max="13316" width="5" style="1" customWidth="1"/>
    <col min="13317" max="13317" width="1.28515625" style="1" customWidth="1"/>
    <col min="13318" max="13318" width="1.7109375" style="1" customWidth="1"/>
    <col min="13319" max="13319" width="2.28515625" style="1" customWidth="1"/>
    <col min="13320" max="13320" width="3" style="1" customWidth="1"/>
    <col min="13321" max="13321" width="7.42578125" style="1" customWidth="1"/>
    <col min="13322" max="13561" width="6.85546875" style="1" customWidth="1"/>
    <col min="13562" max="13562" width="3.7109375" style="1" customWidth="1"/>
    <col min="13563" max="13563" width="4.85546875" style="1" customWidth="1"/>
    <col min="13564" max="13564" width="9.42578125" style="1" customWidth="1"/>
    <col min="13565" max="13565" width="8" style="1" customWidth="1"/>
    <col min="13566" max="13566" width="9.140625" style="1" customWidth="1"/>
    <col min="13567" max="13568" width="13.42578125" style="1" customWidth="1"/>
    <col min="13569" max="13569" width="6" style="1" customWidth="1"/>
    <col min="13570" max="13570" width="7.42578125" style="1" customWidth="1"/>
    <col min="13571" max="13571" width="2" style="1" customWidth="1"/>
    <col min="13572" max="13572" width="5" style="1" customWidth="1"/>
    <col min="13573" max="13573" width="1.28515625" style="1" customWidth="1"/>
    <col min="13574" max="13574" width="1.7109375" style="1" customWidth="1"/>
    <col min="13575" max="13575" width="2.28515625" style="1" customWidth="1"/>
    <col min="13576" max="13576" width="3" style="1" customWidth="1"/>
    <col min="13577" max="13577" width="7.42578125" style="1" customWidth="1"/>
    <col min="13578" max="13817" width="6.85546875" style="1" customWidth="1"/>
    <col min="13818" max="13818" width="3.7109375" style="1" customWidth="1"/>
    <col min="13819" max="13819" width="4.85546875" style="1" customWidth="1"/>
    <col min="13820" max="13820" width="9.42578125" style="1" customWidth="1"/>
    <col min="13821" max="13821" width="8" style="1" customWidth="1"/>
    <col min="13822" max="13822" width="9.140625" style="1" customWidth="1"/>
    <col min="13823" max="13824" width="13.42578125" style="1" customWidth="1"/>
    <col min="13825" max="13825" width="6" style="1" customWidth="1"/>
    <col min="13826" max="13826" width="7.42578125" style="1" customWidth="1"/>
    <col min="13827" max="13827" width="2" style="1" customWidth="1"/>
    <col min="13828" max="13828" width="5" style="1" customWidth="1"/>
    <col min="13829" max="13829" width="1.28515625" style="1" customWidth="1"/>
    <col min="13830" max="13830" width="1.7109375" style="1" customWidth="1"/>
    <col min="13831" max="13831" width="2.28515625" style="1" customWidth="1"/>
    <col min="13832" max="13832" width="3" style="1" customWidth="1"/>
    <col min="13833" max="13833" width="7.42578125" style="1" customWidth="1"/>
    <col min="13834" max="14073" width="6.85546875" style="1" customWidth="1"/>
    <col min="14074" max="14074" width="3.7109375" style="1" customWidth="1"/>
    <col min="14075" max="14075" width="4.85546875" style="1" customWidth="1"/>
    <col min="14076" max="14076" width="9.42578125" style="1" customWidth="1"/>
    <col min="14077" max="14077" width="8" style="1" customWidth="1"/>
    <col min="14078" max="14078" width="9.140625" style="1" customWidth="1"/>
    <col min="14079" max="14080" width="13.42578125" style="1" customWidth="1"/>
    <col min="14081" max="14081" width="6" style="1" customWidth="1"/>
    <col min="14082" max="14082" width="7.42578125" style="1" customWidth="1"/>
    <col min="14083" max="14083" width="2" style="1" customWidth="1"/>
    <col min="14084" max="14084" width="5" style="1" customWidth="1"/>
    <col min="14085" max="14085" width="1.28515625" style="1" customWidth="1"/>
    <col min="14086" max="14086" width="1.7109375" style="1" customWidth="1"/>
    <col min="14087" max="14087" width="2.28515625" style="1" customWidth="1"/>
    <col min="14088" max="14088" width="3" style="1" customWidth="1"/>
    <col min="14089" max="14089" width="7.42578125" style="1" customWidth="1"/>
    <col min="14090" max="14329" width="6.85546875" style="1" customWidth="1"/>
    <col min="14330" max="14330" width="3.7109375" style="1" customWidth="1"/>
    <col min="14331" max="14331" width="4.85546875" style="1" customWidth="1"/>
    <col min="14332" max="14332" width="9.42578125" style="1" customWidth="1"/>
    <col min="14333" max="14333" width="8" style="1" customWidth="1"/>
    <col min="14334" max="14334" width="9.140625" style="1" customWidth="1"/>
    <col min="14335" max="14336" width="13.42578125" style="1" customWidth="1"/>
    <col min="14337" max="14337" width="6" style="1" customWidth="1"/>
    <col min="14338" max="14338" width="7.42578125" style="1" customWidth="1"/>
    <col min="14339" max="14339" width="2" style="1" customWidth="1"/>
    <col min="14340" max="14340" width="5" style="1" customWidth="1"/>
    <col min="14341" max="14341" width="1.28515625" style="1" customWidth="1"/>
    <col min="14342" max="14342" width="1.7109375" style="1" customWidth="1"/>
    <col min="14343" max="14343" width="2.28515625" style="1" customWidth="1"/>
    <col min="14344" max="14344" width="3" style="1" customWidth="1"/>
    <col min="14345" max="14345" width="7.42578125" style="1" customWidth="1"/>
    <col min="14346" max="14585" width="6.85546875" style="1" customWidth="1"/>
    <col min="14586" max="14586" width="3.7109375" style="1" customWidth="1"/>
    <col min="14587" max="14587" width="4.85546875" style="1" customWidth="1"/>
    <col min="14588" max="14588" width="9.42578125" style="1" customWidth="1"/>
    <col min="14589" max="14589" width="8" style="1" customWidth="1"/>
    <col min="14590" max="14590" width="9.140625" style="1" customWidth="1"/>
    <col min="14591" max="14592" width="13.42578125" style="1" customWidth="1"/>
    <col min="14593" max="14593" width="6" style="1" customWidth="1"/>
    <col min="14594" max="14594" width="7.42578125" style="1" customWidth="1"/>
    <col min="14595" max="14595" width="2" style="1" customWidth="1"/>
    <col min="14596" max="14596" width="5" style="1" customWidth="1"/>
    <col min="14597" max="14597" width="1.28515625" style="1" customWidth="1"/>
    <col min="14598" max="14598" width="1.7109375" style="1" customWidth="1"/>
    <col min="14599" max="14599" width="2.28515625" style="1" customWidth="1"/>
    <col min="14600" max="14600" width="3" style="1" customWidth="1"/>
    <col min="14601" max="14601" width="7.42578125" style="1" customWidth="1"/>
    <col min="14602" max="14841" width="6.85546875" style="1" customWidth="1"/>
    <col min="14842" max="14842" width="3.7109375" style="1" customWidth="1"/>
    <col min="14843" max="14843" width="4.85546875" style="1" customWidth="1"/>
    <col min="14844" max="14844" width="9.42578125" style="1" customWidth="1"/>
    <col min="14845" max="14845" width="8" style="1" customWidth="1"/>
    <col min="14846" max="14846" width="9.140625" style="1" customWidth="1"/>
    <col min="14847" max="14848" width="13.42578125" style="1" customWidth="1"/>
    <col min="14849" max="14849" width="6" style="1" customWidth="1"/>
    <col min="14850" max="14850" width="7.42578125" style="1" customWidth="1"/>
    <col min="14851" max="14851" width="2" style="1" customWidth="1"/>
    <col min="14852" max="14852" width="5" style="1" customWidth="1"/>
    <col min="14853" max="14853" width="1.28515625" style="1" customWidth="1"/>
    <col min="14854" max="14854" width="1.7109375" style="1" customWidth="1"/>
    <col min="14855" max="14855" width="2.28515625" style="1" customWidth="1"/>
    <col min="14856" max="14856" width="3" style="1" customWidth="1"/>
    <col min="14857" max="14857" width="7.42578125" style="1" customWidth="1"/>
    <col min="14858" max="15097" width="6.85546875" style="1" customWidth="1"/>
    <col min="15098" max="15098" width="3.7109375" style="1" customWidth="1"/>
    <col min="15099" max="15099" width="4.85546875" style="1" customWidth="1"/>
    <col min="15100" max="15100" width="9.42578125" style="1" customWidth="1"/>
    <col min="15101" max="15101" width="8" style="1" customWidth="1"/>
    <col min="15102" max="15102" width="9.140625" style="1" customWidth="1"/>
    <col min="15103" max="15104" width="13.42578125" style="1" customWidth="1"/>
    <col min="15105" max="15105" width="6" style="1" customWidth="1"/>
    <col min="15106" max="15106" width="7.42578125" style="1" customWidth="1"/>
    <col min="15107" max="15107" width="2" style="1" customWidth="1"/>
    <col min="15108" max="15108" width="5" style="1" customWidth="1"/>
    <col min="15109" max="15109" width="1.28515625" style="1" customWidth="1"/>
    <col min="15110" max="15110" width="1.7109375" style="1" customWidth="1"/>
    <col min="15111" max="15111" width="2.28515625" style="1" customWidth="1"/>
    <col min="15112" max="15112" width="3" style="1" customWidth="1"/>
    <col min="15113" max="15113" width="7.42578125" style="1" customWidth="1"/>
    <col min="15114" max="15353" width="6.85546875" style="1" customWidth="1"/>
    <col min="15354" max="15354" width="3.7109375" style="1" customWidth="1"/>
    <col min="15355" max="15355" width="4.85546875" style="1" customWidth="1"/>
    <col min="15356" max="15356" width="9.42578125" style="1" customWidth="1"/>
    <col min="15357" max="15357" width="8" style="1" customWidth="1"/>
    <col min="15358" max="15358" width="9.140625" style="1" customWidth="1"/>
    <col min="15359" max="15360" width="13.42578125" style="1" customWidth="1"/>
    <col min="15361" max="15361" width="6" style="1" customWidth="1"/>
    <col min="15362" max="15362" width="7.42578125" style="1" customWidth="1"/>
    <col min="15363" max="15363" width="2" style="1" customWidth="1"/>
    <col min="15364" max="15364" width="5" style="1" customWidth="1"/>
    <col min="15365" max="15365" width="1.28515625" style="1" customWidth="1"/>
    <col min="15366" max="15366" width="1.7109375" style="1" customWidth="1"/>
    <col min="15367" max="15367" width="2.28515625" style="1" customWidth="1"/>
    <col min="15368" max="15368" width="3" style="1" customWidth="1"/>
    <col min="15369" max="15369" width="7.42578125" style="1" customWidth="1"/>
    <col min="15370" max="15609" width="6.85546875" style="1" customWidth="1"/>
    <col min="15610" max="15610" width="3.7109375" style="1" customWidth="1"/>
    <col min="15611" max="15611" width="4.85546875" style="1" customWidth="1"/>
    <col min="15612" max="15612" width="9.42578125" style="1" customWidth="1"/>
    <col min="15613" max="15613" width="8" style="1" customWidth="1"/>
    <col min="15614" max="15614" width="9.140625" style="1" customWidth="1"/>
    <col min="15615" max="15616" width="13.42578125" style="1" customWidth="1"/>
    <col min="15617" max="15617" width="6" style="1" customWidth="1"/>
    <col min="15618" max="15618" width="7.42578125" style="1" customWidth="1"/>
    <col min="15619" max="15619" width="2" style="1" customWidth="1"/>
    <col min="15620" max="15620" width="5" style="1" customWidth="1"/>
    <col min="15621" max="15621" width="1.28515625" style="1" customWidth="1"/>
    <col min="15622" max="15622" width="1.7109375" style="1" customWidth="1"/>
    <col min="15623" max="15623" width="2.28515625" style="1" customWidth="1"/>
    <col min="15624" max="15624" width="3" style="1" customWidth="1"/>
    <col min="15625" max="15625" width="7.42578125" style="1" customWidth="1"/>
    <col min="15626" max="15865" width="6.85546875" style="1" customWidth="1"/>
    <col min="15866" max="15866" width="3.7109375" style="1" customWidth="1"/>
    <col min="15867" max="15867" width="4.85546875" style="1" customWidth="1"/>
    <col min="15868" max="15868" width="9.42578125" style="1" customWidth="1"/>
    <col min="15869" max="15869" width="8" style="1" customWidth="1"/>
    <col min="15870" max="15870" width="9.140625" style="1" customWidth="1"/>
    <col min="15871" max="15872" width="13.42578125" style="1" customWidth="1"/>
    <col min="15873" max="15873" width="6" style="1" customWidth="1"/>
    <col min="15874" max="15874" width="7.42578125" style="1" customWidth="1"/>
    <col min="15875" max="15875" width="2" style="1" customWidth="1"/>
    <col min="15876" max="15876" width="5" style="1" customWidth="1"/>
    <col min="15877" max="15877" width="1.28515625" style="1" customWidth="1"/>
    <col min="15878" max="15878" width="1.7109375" style="1" customWidth="1"/>
    <col min="15879" max="15879" width="2.28515625" style="1" customWidth="1"/>
    <col min="15880" max="15880" width="3" style="1" customWidth="1"/>
    <col min="15881" max="15881" width="7.42578125" style="1" customWidth="1"/>
    <col min="15882" max="16121" width="6.85546875" style="1" customWidth="1"/>
    <col min="16122" max="16122" width="3.7109375" style="1" customWidth="1"/>
    <col min="16123" max="16123" width="4.85546875" style="1" customWidth="1"/>
    <col min="16124" max="16124" width="9.42578125" style="1" customWidth="1"/>
    <col min="16125" max="16125" width="8" style="1" customWidth="1"/>
    <col min="16126" max="16126" width="9.140625" style="1" customWidth="1"/>
    <col min="16127" max="16128" width="13.42578125" style="1" customWidth="1"/>
    <col min="16129" max="16129" width="6" style="1" customWidth="1"/>
    <col min="16130" max="16130" width="7.42578125" style="1" customWidth="1"/>
    <col min="16131" max="16131" width="2" style="1" customWidth="1"/>
    <col min="16132" max="16132" width="5" style="1" customWidth="1"/>
    <col min="16133" max="16133" width="1.28515625" style="1" customWidth="1"/>
    <col min="16134" max="16134" width="1.7109375" style="1" customWidth="1"/>
    <col min="16135" max="16135" width="2.28515625" style="1" customWidth="1"/>
    <col min="16136" max="16136" width="3" style="1" customWidth="1"/>
    <col min="16137" max="16137" width="7.42578125" style="1" customWidth="1"/>
    <col min="16138" max="16384" width="6.85546875" style="1" customWidth="1"/>
  </cols>
  <sheetData>
    <row r="1" spans="1:12" x14ac:dyDescent="0.25">
      <c r="C1" s="22" t="s">
        <v>0</v>
      </c>
      <c r="D1" s="22"/>
      <c r="E1" s="22"/>
      <c r="F1" s="22"/>
      <c r="G1" s="22"/>
      <c r="H1" s="22"/>
      <c r="I1" s="22"/>
    </row>
    <row r="3" spans="1:12" x14ac:dyDescent="0.25">
      <c r="A3" s="14"/>
      <c r="B3" s="14"/>
      <c r="C3" s="4" t="s">
        <v>0</v>
      </c>
      <c r="D3" s="2" t="s">
        <v>1</v>
      </c>
      <c r="E3" s="23" t="s">
        <v>2</v>
      </c>
      <c r="F3" s="23"/>
      <c r="G3" s="23"/>
      <c r="H3" s="23"/>
      <c r="I3" s="23"/>
    </row>
    <row r="4" spans="1:12" ht="19.5" x14ac:dyDescent="0.25">
      <c r="A4" s="14"/>
      <c r="B4" s="14"/>
      <c r="C4" s="4" t="s">
        <v>3</v>
      </c>
      <c r="D4" s="2" t="s">
        <v>4</v>
      </c>
      <c r="E4" s="23" t="s">
        <v>5</v>
      </c>
      <c r="F4" s="23"/>
      <c r="G4" s="23"/>
      <c r="H4" s="23"/>
      <c r="I4" s="23"/>
    </row>
    <row r="5" spans="1:12" x14ac:dyDescent="0.25">
      <c r="A5" s="14"/>
      <c r="B5" s="14"/>
      <c r="C5" s="4" t="s">
        <v>6</v>
      </c>
      <c r="D5" s="21" t="s">
        <v>7</v>
      </c>
      <c r="E5" s="21"/>
      <c r="F5" s="21"/>
      <c r="G5" s="21"/>
      <c r="H5" s="7" t="s">
        <v>8</v>
      </c>
      <c r="I5" s="8" t="s">
        <v>9</v>
      </c>
    </row>
    <row r="6" spans="1:12" x14ac:dyDescent="0.25">
      <c r="A6" s="14"/>
      <c r="B6" s="14"/>
      <c r="C6" s="4" t="s">
        <v>10</v>
      </c>
      <c r="D6" s="21" t="s">
        <v>11</v>
      </c>
      <c r="E6" s="21"/>
    </row>
    <row r="7" spans="1:12" x14ac:dyDescent="0.25">
      <c r="A7" s="14"/>
      <c r="B7" s="14"/>
      <c r="C7" s="4"/>
      <c r="D7" s="2"/>
      <c r="E7" s="2"/>
    </row>
    <row r="8" spans="1:12" x14ac:dyDescent="0.25">
      <c r="A8" s="5" t="s">
        <v>159</v>
      </c>
      <c r="B8" s="5" t="s">
        <v>160</v>
      </c>
      <c r="C8" s="2" t="s">
        <v>12</v>
      </c>
      <c r="D8" s="21" t="s">
        <v>13</v>
      </c>
      <c r="E8" s="21"/>
      <c r="F8" s="5" t="s">
        <v>14</v>
      </c>
      <c r="G8" s="5" t="s">
        <v>15</v>
      </c>
      <c r="H8" s="5" t="s">
        <v>16</v>
      </c>
      <c r="I8" s="5" t="s">
        <v>17</v>
      </c>
    </row>
    <row r="9" spans="1:12" x14ac:dyDescent="0.25">
      <c r="A9" s="15"/>
      <c r="B9" s="15"/>
      <c r="C9" s="12" t="s">
        <v>18</v>
      </c>
      <c r="D9" s="17" t="s">
        <v>19</v>
      </c>
      <c r="E9" s="17"/>
      <c r="I9" s="9">
        <f>+I10</f>
        <v>3661.14</v>
      </c>
    </row>
    <row r="10" spans="1:12" x14ac:dyDescent="0.25">
      <c r="A10" s="15"/>
      <c r="B10" s="15"/>
      <c r="C10" s="12" t="s">
        <v>20</v>
      </c>
      <c r="D10" s="17" t="s">
        <v>21</v>
      </c>
      <c r="E10" s="17"/>
      <c r="I10" s="9">
        <f>+I11</f>
        <v>3661.14</v>
      </c>
    </row>
    <row r="11" spans="1:12" x14ac:dyDescent="0.25">
      <c r="A11" s="15"/>
      <c r="B11" s="15"/>
      <c r="C11" s="12" t="s">
        <v>22</v>
      </c>
      <c r="D11" s="17" t="s">
        <v>23</v>
      </c>
      <c r="E11" s="17"/>
      <c r="I11" s="9">
        <f>SUM(I12:I13)</f>
        <v>3661.14</v>
      </c>
    </row>
    <row r="12" spans="1:12" x14ac:dyDescent="0.25">
      <c r="A12" s="11">
        <v>100</v>
      </c>
      <c r="B12" s="11" t="s">
        <v>161</v>
      </c>
      <c r="C12" s="3" t="s">
        <v>24</v>
      </c>
      <c r="D12" s="19" t="s">
        <v>25</v>
      </c>
      <c r="E12" s="19"/>
      <c r="F12" s="11" t="s">
        <v>26</v>
      </c>
      <c r="G12" s="6">
        <v>897.34</v>
      </c>
      <c r="H12" s="6">
        <v>2.04</v>
      </c>
      <c r="I12" s="6">
        <f>ROUND(G12*H12,2)</f>
        <v>1830.57</v>
      </c>
      <c r="K12" s="13"/>
      <c r="L12" s="13"/>
    </row>
    <row r="13" spans="1:12" x14ac:dyDescent="0.25">
      <c r="A13" s="11">
        <v>100</v>
      </c>
      <c r="B13" s="11" t="s">
        <v>161</v>
      </c>
      <c r="C13" s="3" t="s">
        <v>27</v>
      </c>
      <c r="D13" s="19" t="s">
        <v>28</v>
      </c>
      <c r="E13" s="19"/>
      <c r="F13" s="11" t="s">
        <v>29</v>
      </c>
      <c r="G13" s="6">
        <v>897.34</v>
      </c>
      <c r="H13" s="6">
        <v>2.04</v>
      </c>
      <c r="I13" s="6">
        <f>ROUND(G13*H13,2)</f>
        <v>1830.57</v>
      </c>
      <c r="K13" s="13"/>
      <c r="L13" s="13"/>
    </row>
    <row r="14" spans="1:12" x14ac:dyDescent="0.25">
      <c r="A14" s="15"/>
      <c r="B14" s="15"/>
      <c r="C14" s="12" t="s">
        <v>30</v>
      </c>
      <c r="D14" s="17" t="s">
        <v>5</v>
      </c>
      <c r="E14" s="17"/>
      <c r="I14" s="9">
        <v>957063.38</v>
      </c>
      <c r="K14" s="13"/>
    </row>
    <row r="15" spans="1:12" x14ac:dyDescent="0.25">
      <c r="A15" s="15"/>
      <c r="B15" s="15"/>
      <c r="C15" s="12" t="s">
        <v>31</v>
      </c>
      <c r="D15" s="17" t="s">
        <v>32</v>
      </c>
      <c r="E15" s="17"/>
      <c r="I15" s="9">
        <v>159518.36000000002</v>
      </c>
      <c r="K15" s="13"/>
    </row>
    <row r="16" spans="1:12" x14ac:dyDescent="0.25">
      <c r="A16" s="15"/>
      <c r="B16" s="15"/>
      <c r="C16" s="12" t="s">
        <v>33</v>
      </c>
      <c r="D16" s="17" t="s">
        <v>34</v>
      </c>
      <c r="E16" s="17"/>
      <c r="I16" s="9">
        <f>SUM(I17:I18)</f>
        <v>102671.82</v>
      </c>
      <c r="K16" s="13"/>
    </row>
    <row r="17" spans="1:12" x14ac:dyDescent="0.25">
      <c r="A17" s="11">
        <v>200</v>
      </c>
      <c r="B17" s="11" t="s">
        <v>162</v>
      </c>
      <c r="C17" s="3" t="s">
        <v>35</v>
      </c>
      <c r="D17" s="19" t="s">
        <v>36</v>
      </c>
      <c r="E17" s="19"/>
      <c r="F17" s="11" t="s">
        <v>37</v>
      </c>
      <c r="G17" s="6">
        <v>41.9</v>
      </c>
      <c r="H17" s="6">
        <v>46.74</v>
      </c>
      <c r="I17" s="6">
        <f t="shared" ref="I17:I18" si="0">ROUND(G17*H17,2)</f>
        <v>1958.41</v>
      </c>
      <c r="K17" s="13"/>
      <c r="L17" s="13"/>
    </row>
    <row r="18" spans="1:12" x14ac:dyDescent="0.25">
      <c r="A18" s="11">
        <v>200</v>
      </c>
      <c r="B18" s="11" t="s">
        <v>162</v>
      </c>
      <c r="C18" s="3" t="s">
        <v>38</v>
      </c>
      <c r="D18" s="19" t="s">
        <v>39</v>
      </c>
      <c r="E18" s="19"/>
      <c r="F18" s="11" t="s">
        <v>37</v>
      </c>
      <c r="G18" s="6">
        <v>1975.16</v>
      </c>
      <c r="H18" s="6">
        <v>50.99</v>
      </c>
      <c r="I18" s="6">
        <f t="shared" si="0"/>
        <v>100713.41</v>
      </c>
      <c r="K18" s="13"/>
      <c r="L18" s="13"/>
    </row>
    <row r="19" spans="1:12" x14ac:dyDescent="0.25">
      <c r="A19" s="15"/>
      <c r="B19" s="15"/>
      <c r="C19" s="12" t="s">
        <v>40</v>
      </c>
      <c r="D19" s="17" t="s">
        <v>41</v>
      </c>
      <c r="E19" s="17"/>
      <c r="I19" s="9">
        <f>SUM(I20)</f>
        <v>31157.64</v>
      </c>
      <c r="K19" s="13"/>
    </row>
    <row r="20" spans="1:12" x14ac:dyDescent="0.25">
      <c r="A20" s="11">
        <v>200</v>
      </c>
      <c r="B20" s="11" t="s">
        <v>162</v>
      </c>
      <c r="C20" s="3" t="s">
        <v>42</v>
      </c>
      <c r="D20" s="19" t="s">
        <v>43</v>
      </c>
      <c r="E20" s="19"/>
      <c r="F20" s="11" t="s">
        <v>37</v>
      </c>
      <c r="G20" s="6">
        <v>1197.9100000000001</v>
      </c>
      <c r="H20" s="6">
        <v>26.01</v>
      </c>
      <c r="I20" s="6">
        <f>ROUND(G20*H20,2)</f>
        <v>31157.64</v>
      </c>
      <c r="K20" s="13"/>
      <c r="L20" s="13"/>
    </row>
    <row r="21" spans="1:12" x14ac:dyDescent="0.25">
      <c r="A21" s="15"/>
      <c r="B21" s="15"/>
      <c r="C21" s="12" t="s">
        <v>44</v>
      </c>
      <c r="D21" s="17" t="s">
        <v>45</v>
      </c>
      <c r="E21" s="17"/>
      <c r="I21" s="9">
        <f>SUM(I22:I24)</f>
        <v>24062.39</v>
      </c>
      <c r="K21" s="13"/>
    </row>
    <row r="22" spans="1:12" x14ac:dyDescent="0.25">
      <c r="A22" s="11">
        <v>200</v>
      </c>
      <c r="B22" s="11" t="s">
        <v>162</v>
      </c>
      <c r="C22" s="3" t="s">
        <v>46</v>
      </c>
      <c r="D22" s="19" t="s">
        <v>47</v>
      </c>
      <c r="E22" s="19"/>
      <c r="F22" s="11" t="s">
        <v>37</v>
      </c>
      <c r="G22" s="6">
        <v>68.91</v>
      </c>
      <c r="H22" s="6">
        <v>17.53</v>
      </c>
      <c r="I22" s="6">
        <f t="shared" ref="I22:I24" si="1">ROUND(G22*H22,2)</f>
        <v>1207.99</v>
      </c>
      <c r="K22" s="13"/>
      <c r="L22" s="13"/>
    </row>
    <row r="23" spans="1:12" x14ac:dyDescent="0.25">
      <c r="A23" s="11">
        <v>200</v>
      </c>
      <c r="B23" s="11" t="s">
        <v>162</v>
      </c>
      <c r="C23" s="3" t="s">
        <v>48</v>
      </c>
      <c r="D23" s="19" t="s">
        <v>49</v>
      </c>
      <c r="E23" s="19"/>
      <c r="F23" s="11" t="s">
        <v>50</v>
      </c>
      <c r="G23" s="6">
        <v>68.91</v>
      </c>
      <c r="H23" s="6">
        <v>16.02</v>
      </c>
      <c r="I23" s="6">
        <f t="shared" si="1"/>
        <v>1103.94</v>
      </c>
      <c r="K23" s="13"/>
      <c r="L23" s="13"/>
    </row>
    <row r="24" spans="1:12" x14ac:dyDescent="0.25">
      <c r="A24" s="11">
        <v>200</v>
      </c>
      <c r="B24" s="11" t="s">
        <v>162</v>
      </c>
      <c r="C24" s="3" t="s">
        <v>51</v>
      </c>
      <c r="D24" s="19" t="s">
        <v>52</v>
      </c>
      <c r="E24" s="19"/>
      <c r="F24" s="11" t="s">
        <v>37</v>
      </c>
      <c r="G24" s="6">
        <v>995.9</v>
      </c>
      <c r="H24" s="6">
        <v>21.84</v>
      </c>
      <c r="I24" s="6">
        <f t="shared" si="1"/>
        <v>21750.46</v>
      </c>
      <c r="K24" s="13"/>
      <c r="L24" s="13"/>
    </row>
    <row r="25" spans="1:12" x14ac:dyDescent="0.25">
      <c r="A25" s="15"/>
      <c r="B25" s="15"/>
      <c r="C25" s="12" t="s">
        <v>53</v>
      </c>
      <c r="D25" s="17" t="s">
        <v>54</v>
      </c>
      <c r="E25" s="17"/>
      <c r="I25" s="9">
        <f>SUM(I26:I29)</f>
        <v>1626.5099999999998</v>
      </c>
      <c r="K25" s="13"/>
    </row>
    <row r="26" spans="1:12" x14ac:dyDescent="0.25">
      <c r="A26" s="11">
        <v>200</v>
      </c>
      <c r="B26" s="11" t="s">
        <v>162</v>
      </c>
      <c r="C26" s="3" t="s">
        <v>55</v>
      </c>
      <c r="D26" s="20" t="s">
        <v>56</v>
      </c>
      <c r="E26" s="20"/>
      <c r="F26" s="11" t="s">
        <v>29</v>
      </c>
      <c r="G26" s="6">
        <v>68.95</v>
      </c>
      <c r="H26" s="6">
        <v>4.72</v>
      </c>
      <c r="I26" s="6">
        <f t="shared" ref="I26:I29" si="2">ROUND(G26*H26,2)</f>
        <v>325.44</v>
      </c>
      <c r="K26" s="13"/>
      <c r="L26" s="13"/>
    </row>
    <row r="27" spans="1:12" x14ac:dyDescent="0.25">
      <c r="A27" s="11">
        <v>200</v>
      </c>
      <c r="B27" s="11" t="s">
        <v>162</v>
      </c>
      <c r="C27" s="3" t="s">
        <v>57</v>
      </c>
      <c r="D27" s="20" t="s">
        <v>58</v>
      </c>
      <c r="E27" s="20"/>
      <c r="F27" s="11" t="s">
        <v>29</v>
      </c>
      <c r="G27" s="6">
        <v>8.56</v>
      </c>
      <c r="H27" s="6">
        <v>7.8500000000000005</v>
      </c>
      <c r="I27" s="6">
        <f t="shared" si="2"/>
        <v>67.2</v>
      </c>
      <c r="K27" s="13"/>
      <c r="L27" s="13"/>
    </row>
    <row r="28" spans="1:12" x14ac:dyDescent="0.25">
      <c r="A28" s="11">
        <v>200</v>
      </c>
      <c r="B28" s="11" t="s">
        <v>162</v>
      </c>
      <c r="C28" s="3" t="s">
        <v>59</v>
      </c>
      <c r="D28" s="19" t="s">
        <v>60</v>
      </c>
      <c r="E28" s="19"/>
      <c r="F28" s="11" t="s">
        <v>29</v>
      </c>
      <c r="G28" s="6">
        <v>68.95</v>
      </c>
      <c r="H28" s="6">
        <v>15.19</v>
      </c>
      <c r="I28" s="6">
        <f t="shared" si="2"/>
        <v>1047.3499999999999</v>
      </c>
      <c r="K28" s="13"/>
      <c r="L28" s="13"/>
    </row>
    <row r="29" spans="1:12" x14ac:dyDescent="0.25">
      <c r="A29" s="11">
        <v>200</v>
      </c>
      <c r="B29" s="11" t="s">
        <v>162</v>
      </c>
      <c r="C29" s="3" t="s">
        <v>61</v>
      </c>
      <c r="D29" s="19" t="s">
        <v>62</v>
      </c>
      <c r="E29" s="19"/>
      <c r="F29" s="11" t="s">
        <v>29</v>
      </c>
      <c r="G29" s="6">
        <v>8.56</v>
      </c>
      <c r="H29" s="6">
        <v>21.79</v>
      </c>
      <c r="I29" s="6">
        <f t="shared" si="2"/>
        <v>186.52</v>
      </c>
      <c r="K29" s="13"/>
      <c r="L29" s="13"/>
    </row>
    <row r="30" spans="1:12" x14ac:dyDescent="0.25">
      <c r="A30" s="15"/>
      <c r="B30" s="15"/>
      <c r="C30" s="12" t="s">
        <v>63</v>
      </c>
      <c r="D30" s="17" t="s">
        <v>64</v>
      </c>
      <c r="E30" s="17"/>
      <c r="I30" s="9">
        <v>105964.73</v>
      </c>
      <c r="K30" s="13"/>
    </row>
    <row r="31" spans="1:12" x14ac:dyDescent="0.25">
      <c r="A31" s="15"/>
      <c r="B31" s="15"/>
      <c r="C31" s="12" t="s">
        <v>65</v>
      </c>
      <c r="D31" s="17" t="s">
        <v>66</v>
      </c>
      <c r="E31" s="17"/>
      <c r="I31" s="9">
        <f>SUM(I32)</f>
        <v>56231.43</v>
      </c>
      <c r="K31" s="13"/>
    </row>
    <row r="32" spans="1:12" x14ac:dyDescent="0.25">
      <c r="A32" s="11">
        <v>300</v>
      </c>
      <c r="B32" s="11" t="s">
        <v>163</v>
      </c>
      <c r="C32" s="3" t="s">
        <v>67</v>
      </c>
      <c r="D32" s="19" t="s">
        <v>68</v>
      </c>
      <c r="E32" s="19"/>
      <c r="F32" s="11" t="s">
        <v>37</v>
      </c>
      <c r="G32" s="6">
        <v>323.69</v>
      </c>
      <c r="H32" s="6">
        <v>173.72</v>
      </c>
      <c r="I32" s="6">
        <f>ROUND(G32*H32,2)</f>
        <v>56231.43</v>
      </c>
      <c r="K32" s="13"/>
      <c r="L32" s="13"/>
    </row>
    <row r="33" spans="1:12" x14ac:dyDescent="0.25">
      <c r="A33" s="15"/>
      <c r="B33" s="15"/>
      <c r="C33" s="12" t="s">
        <v>69</v>
      </c>
      <c r="D33" s="17" t="s">
        <v>70</v>
      </c>
      <c r="E33" s="17"/>
      <c r="I33" s="9">
        <f>SUM(I34:I37)</f>
        <v>47239.89</v>
      </c>
    </row>
    <row r="34" spans="1:12" x14ac:dyDescent="0.25">
      <c r="A34" s="11">
        <v>300</v>
      </c>
      <c r="B34" s="11" t="s">
        <v>163</v>
      </c>
      <c r="C34" s="3" t="s">
        <v>71</v>
      </c>
      <c r="D34" s="19" t="s">
        <v>72</v>
      </c>
      <c r="E34" s="19"/>
      <c r="F34" s="11" t="s">
        <v>37</v>
      </c>
      <c r="G34" s="6">
        <v>24.73</v>
      </c>
      <c r="H34" s="6">
        <v>179.78</v>
      </c>
      <c r="I34" s="6">
        <f t="shared" ref="I34:I37" si="3">ROUND(G34*H34,2)</f>
        <v>4445.96</v>
      </c>
      <c r="L34" s="13"/>
    </row>
    <row r="35" spans="1:12" x14ac:dyDescent="0.25">
      <c r="A35" s="11">
        <v>400</v>
      </c>
      <c r="B35" s="11" t="s">
        <v>164</v>
      </c>
      <c r="C35" s="3" t="s">
        <v>73</v>
      </c>
      <c r="D35" s="19" t="s">
        <v>74</v>
      </c>
      <c r="E35" s="19"/>
      <c r="F35" s="11" t="s">
        <v>29</v>
      </c>
      <c r="G35" s="6">
        <v>23.09</v>
      </c>
      <c r="H35" s="6">
        <v>46.17</v>
      </c>
      <c r="I35" s="6">
        <f t="shared" si="3"/>
        <v>1066.07</v>
      </c>
      <c r="L35" s="13"/>
    </row>
    <row r="36" spans="1:12" x14ac:dyDescent="0.25">
      <c r="A36" s="11">
        <v>300</v>
      </c>
      <c r="B36" s="11" t="s">
        <v>163</v>
      </c>
      <c r="C36" s="3" t="s">
        <v>75</v>
      </c>
      <c r="D36" s="19" t="s">
        <v>76</v>
      </c>
      <c r="E36" s="19"/>
      <c r="F36" s="11" t="s">
        <v>37</v>
      </c>
      <c r="G36" s="6">
        <v>163.82</v>
      </c>
      <c r="H36" s="6">
        <v>179.78</v>
      </c>
      <c r="I36" s="6">
        <f t="shared" si="3"/>
        <v>29451.56</v>
      </c>
      <c r="L36" s="13"/>
    </row>
    <row r="37" spans="1:12" x14ac:dyDescent="0.25">
      <c r="A37" s="11">
        <v>400</v>
      </c>
      <c r="B37" s="11" t="s">
        <v>164</v>
      </c>
      <c r="C37" s="3" t="s">
        <v>77</v>
      </c>
      <c r="D37" s="19" t="s">
        <v>78</v>
      </c>
      <c r="E37" s="19"/>
      <c r="F37" s="11" t="s">
        <v>29</v>
      </c>
      <c r="G37" s="6">
        <v>327.63</v>
      </c>
      <c r="H37" s="6">
        <v>37.47</v>
      </c>
      <c r="I37" s="6">
        <f t="shared" si="3"/>
        <v>12276.3</v>
      </c>
      <c r="L37" s="13"/>
    </row>
    <row r="38" spans="1:12" x14ac:dyDescent="0.25">
      <c r="A38" s="15"/>
      <c r="B38" s="15"/>
      <c r="C38" s="12" t="s">
        <v>79</v>
      </c>
      <c r="D38" s="17" t="s">
        <v>80</v>
      </c>
      <c r="E38" s="17"/>
      <c r="I38" s="9">
        <f>SUM(I39:I40)</f>
        <v>2493.41</v>
      </c>
    </row>
    <row r="39" spans="1:12" x14ac:dyDescent="0.25">
      <c r="A39" s="11">
        <v>300</v>
      </c>
      <c r="B39" s="11" t="s">
        <v>163</v>
      </c>
      <c r="C39" s="3" t="s">
        <v>81</v>
      </c>
      <c r="D39" s="19" t="s">
        <v>82</v>
      </c>
      <c r="E39" s="19"/>
      <c r="F39" s="11" t="s">
        <v>37</v>
      </c>
      <c r="G39" s="6">
        <v>3.21</v>
      </c>
      <c r="H39" s="6">
        <v>260.59000000000003</v>
      </c>
      <c r="I39" s="6">
        <f t="shared" ref="I39:I40" si="4">ROUND(G39*H39,2)</f>
        <v>836.49</v>
      </c>
      <c r="L39" s="13"/>
    </row>
    <row r="40" spans="1:12" ht="15.75" customHeight="1" x14ac:dyDescent="0.25">
      <c r="A40" s="11">
        <v>400</v>
      </c>
      <c r="B40" s="11" t="s">
        <v>164</v>
      </c>
      <c r="C40" s="3" t="s">
        <v>83</v>
      </c>
      <c r="D40" s="19" t="s">
        <v>84</v>
      </c>
      <c r="E40" s="19"/>
      <c r="F40" s="11" t="s">
        <v>29</v>
      </c>
      <c r="G40" s="6">
        <v>43.95</v>
      </c>
      <c r="H40" s="6">
        <v>37.700000000000003</v>
      </c>
      <c r="I40" s="6">
        <f t="shared" si="4"/>
        <v>1656.92</v>
      </c>
      <c r="L40" s="13"/>
    </row>
    <row r="41" spans="1:12" x14ac:dyDescent="0.25">
      <c r="A41" s="15"/>
      <c r="B41" s="15"/>
      <c r="C41" s="12" t="s">
        <v>85</v>
      </c>
      <c r="D41" s="17" t="s">
        <v>86</v>
      </c>
      <c r="E41" s="17"/>
      <c r="I41" s="9">
        <v>691580.29</v>
      </c>
    </row>
    <row r="42" spans="1:12" x14ac:dyDescent="0.25">
      <c r="A42" s="15"/>
      <c r="B42" s="15"/>
      <c r="C42" s="12" t="s">
        <v>87</v>
      </c>
      <c r="D42" s="17" t="s">
        <v>88</v>
      </c>
      <c r="E42" s="17"/>
      <c r="I42" s="9">
        <f>SUM(I43:I44)</f>
        <v>186654.77</v>
      </c>
    </row>
    <row r="43" spans="1:12" x14ac:dyDescent="0.25">
      <c r="A43" s="11">
        <v>300</v>
      </c>
      <c r="B43" s="11" t="s">
        <v>163</v>
      </c>
      <c r="C43" s="3" t="s">
        <v>89</v>
      </c>
      <c r="D43" s="19" t="s">
        <v>90</v>
      </c>
      <c r="E43" s="19"/>
      <c r="F43" s="11" t="s">
        <v>37</v>
      </c>
      <c r="G43" s="6">
        <v>396.75</v>
      </c>
      <c r="H43" s="6">
        <v>292.79000000000002</v>
      </c>
      <c r="I43" s="6">
        <f t="shared" ref="I43:I44" si="5">ROUND(G43*H43,2)</f>
        <v>116164.43</v>
      </c>
      <c r="L43" s="13"/>
    </row>
    <row r="44" spans="1:12" x14ac:dyDescent="0.25">
      <c r="A44" s="11">
        <v>500</v>
      </c>
      <c r="B44" s="11" t="s">
        <v>165</v>
      </c>
      <c r="C44" s="3" t="s">
        <v>91</v>
      </c>
      <c r="D44" s="19" t="s">
        <v>92</v>
      </c>
      <c r="E44" s="19"/>
      <c r="F44" s="11" t="s">
        <v>93</v>
      </c>
      <c r="G44" s="6">
        <v>17534.91</v>
      </c>
      <c r="H44" s="6">
        <v>4.0200000000000005</v>
      </c>
      <c r="I44" s="6">
        <f t="shared" si="5"/>
        <v>70490.34</v>
      </c>
      <c r="L44" s="13"/>
    </row>
    <row r="45" spans="1:12" x14ac:dyDescent="0.25">
      <c r="A45" s="15"/>
      <c r="B45" s="15"/>
      <c r="C45" s="12" t="s">
        <v>94</v>
      </c>
      <c r="D45" s="17" t="s">
        <v>95</v>
      </c>
      <c r="E45" s="17"/>
      <c r="I45" s="9">
        <f>SUM(I46:I51)</f>
        <v>298335.21999999997</v>
      </c>
    </row>
    <row r="46" spans="1:12" x14ac:dyDescent="0.25">
      <c r="A46" s="11">
        <v>300</v>
      </c>
      <c r="B46" s="11" t="s">
        <v>163</v>
      </c>
      <c r="C46" s="3" t="s">
        <v>96</v>
      </c>
      <c r="D46" s="19" t="s">
        <v>97</v>
      </c>
      <c r="E46" s="19"/>
      <c r="F46" s="11" t="s">
        <v>37</v>
      </c>
      <c r="G46" s="6">
        <v>6.69</v>
      </c>
      <c r="H46" s="6">
        <v>454.82</v>
      </c>
      <c r="I46" s="6">
        <f t="shared" ref="I46:I51" si="6">ROUND(G46*H46,2)</f>
        <v>3042.75</v>
      </c>
      <c r="L46" s="13"/>
    </row>
    <row r="47" spans="1:12" x14ac:dyDescent="0.25">
      <c r="A47" s="11">
        <v>400</v>
      </c>
      <c r="B47" s="11" t="s">
        <v>164</v>
      </c>
      <c r="C47" s="3" t="s">
        <v>98</v>
      </c>
      <c r="D47" s="19" t="s">
        <v>99</v>
      </c>
      <c r="E47" s="19"/>
      <c r="F47" s="11" t="s">
        <v>29</v>
      </c>
      <c r="G47" s="6">
        <v>74.180000000000007</v>
      </c>
      <c r="H47" s="6">
        <v>59.78</v>
      </c>
      <c r="I47" s="6">
        <f t="shared" si="6"/>
        <v>4434.4799999999996</v>
      </c>
      <c r="L47" s="13"/>
    </row>
    <row r="48" spans="1:12" x14ac:dyDescent="0.25">
      <c r="A48" s="11">
        <v>500</v>
      </c>
      <c r="B48" s="11" t="s">
        <v>165</v>
      </c>
      <c r="C48" s="3" t="s">
        <v>100</v>
      </c>
      <c r="D48" s="19" t="s">
        <v>101</v>
      </c>
      <c r="E48" s="19"/>
      <c r="F48" s="11" t="s">
        <v>93</v>
      </c>
      <c r="G48" s="6">
        <v>419.35</v>
      </c>
      <c r="H48" s="6">
        <v>4.0200000000000005</v>
      </c>
      <c r="I48" s="6">
        <f t="shared" si="6"/>
        <v>1685.79</v>
      </c>
      <c r="L48" s="13"/>
    </row>
    <row r="49" spans="1:12" x14ac:dyDescent="0.25">
      <c r="A49" s="11">
        <v>300</v>
      </c>
      <c r="B49" s="11" t="s">
        <v>163</v>
      </c>
      <c r="C49" s="3" t="s">
        <v>102</v>
      </c>
      <c r="D49" s="19" t="s">
        <v>103</v>
      </c>
      <c r="E49" s="19"/>
      <c r="F49" s="11" t="s">
        <v>37</v>
      </c>
      <c r="G49" s="6">
        <v>256.52</v>
      </c>
      <c r="H49" s="6">
        <v>417.41</v>
      </c>
      <c r="I49" s="6">
        <f t="shared" si="6"/>
        <v>107074.01</v>
      </c>
      <c r="L49" s="13"/>
    </row>
    <row r="50" spans="1:12" x14ac:dyDescent="0.25">
      <c r="A50" s="11">
        <v>400</v>
      </c>
      <c r="B50" s="11" t="s">
        <v>164</v>
      </c>
      <c r="C50" s="3" t="s">
        <v>104</v>
      </c>
      <c r="D50" s="19" t="s">
        <v>105</v>
      </c>
      <c r="E50" s="19"/>
      <c r="F50" s="11" t="s">
        <v>29</v>
      </c>
      <c r="G50" s="6">
        <v>2096.19</v>
      </c>
      <c r="H50" s="6">
        <v>51.21</v>
      </c>
      <c r="I50" s="6">
        <f t="shared" si="6"/>
        <v>107345.89</v>
      </c>
      <c r="L50" s="13"/>
    </row>
    <row r="51" spans="1:12" x14ac:dyDescent="0.25">
      <c r="A51" s="11">
        <v>500</v>
      </c>
      <c r="B51" s="11" t="s">
        <v>165</v>
      </c>
      <c r="C51" s="3" t="s">
        <v>106</v>
      </c>
      <c r="D51" s="19" t="s">
        <v>107</v>
      </c>
      <c r="E51" s="19"/>
      <c r="F51" s="11" t="s">
        <v>108</v>
      </c>
      <c r="G51" s="6">
        <v>18595.100000000002</v>
      </c>
      <c r="H51" s="6">
        <v>4.0200000000000005</v>
      </c>
      <c r="I51" s="6">
        <f t="shared" si="6"/>
        <v>74752.3</v>
      </c>
      <c r="L51" s="13"/>
    </row>
    <row r="52" spans="1:12" x14ac:dyDescent="0.25">
      <c r="A52" s="15"/>
      <c r="B52" s="15"/>
      <c r="C52" s="12" t="s">
        <v>109</v>
      </c>
      <c r="D52" s="17" t="s">
        <v>110</v>
      </c>
      <c r="E52" s="17"/>
      <c r="I52" s="9">
        <f>SUM(I53:I55)</f>
        <v>130655.39</v>
      </c>
    </row>
    <row r="53" spans="1:12" x14ac:dyDescent="0.25">
      <c r="A53" s="11">
        <v>300</v>
      </c>
      <c r="B53" s="11" t="s">
        <v>163</v>
      </c>
      <c r="C53" s="3" t="s">
        <v>111</v>
      </c>
      <c r="D53" s="19" t="s">
        <v>112</v>
      </c>
      <c r="E53" s="19"/>
      <c r="F53" s="11" t="s">
        <v>37</v>
      </c>
      <c r="G53" s="6">
        <v>66.63</v>
      </c>
      <c r="H53" s="6">
        <v>442.62</v>
      </c>
      <c r="I53" s="6">
        <f t="shared" ref="I53:I55" si="7">ROUND(G53*H53,2)</f>
        <v>29491.77</v>
      </c>
      <c r="L53" s="13"/>
    </row>
    <row r="54" spans="1:12" x14ac:dyDescent="0.25">
      <c r="A54" s="11">
        <v>400</v>
      </c>
      <c r="B54" s="11" t="s">
        <v>164</v>
      </c>
      <c r="C54" s="3" t="s">
        <v>113</v>
      </c>
      <c r="D54" s="19" t="s">
        <v>114</v>
      </c>
      <c r="E54" s="19"/>
      <c r="F54" s="11" t="s">
        <v>29</v>
      </c>
      <c r="G54" s="6">
        <v>901.38</v>
      </c>
      <c r="H54" s="6">
        <v>60.480000000000004</v>
      </c>
      <c r="I54" s="6">
        <f t="shared" si="7"/>
        <v>54515.46</v>
      </c>
      <c r="L54" s="13"/>
    </row>
    <row r="55" spans="1:12" x14ac:dyDescent="0.25">
      <c r="A55" s="11">
        <v>500</v>
      </c>
      <c r="B55" s="11" t="s">
        <v>165</v>
      </c>
      <c r="C55" s="3" t="s">
        <v>115</v>
      </c>
      <c r="D55" s="19" t="s">
        <v>116</v>
      </c>
      <c r="E55" s="19"/>
      <c r="F55" s="11" t="s">
        <v>93</v>
      </c>
      <c r="G55" s="6">
        <v>11604.02</v>
      </c>
      <c r="H55" s="6">
        <v>4.0200000000000005</v>
      </c>
      <c r="I55" s="6">
        <f t="shared" si="7"/>
        <v>46648.160000000003</v>
      </c>
      <c r="L55" s="13"/>
    </row>
    <row r="56" spans="1:12" x14ac:dyDescent="0.25">
      <c r="A56" s="15"/>
      <c r="B56" s="15"/>
      <c r="C56" s="12" t="s">
        <v>117</v>
      </c>
      <c r="D56" s="17" t="s">
        <v>118</v>
      </c>
      <c r="E56" s="17"/>
      <c r="I56" s="9">
        <f>SUM(I57:I59)</f>
        <v>70827.170000000013</v>
      </c>
    </row>
    <row r="57" spans="1:12" x14ac:dyDescent="0.25">
      <c r="A57" s="11">
        <v>300</v>
      </c>
      <c r="B57" s="11" t="s">
        <v>163</v>
      </c>
      <c r="C57" s="3" t="s">
        <v>119</v>
      </c>
      <c r="D57" s="19" t="s">
        <v>120</v>
      </c>
      <c r="E57" s="19"/>
      <c r="F57" s="11" t="s">
        <v>37</v>
      </c>
      <c r="G57" s="6">
        <v>36.119999999999997</v>
      </c>
      <c r="H57" s="6">
        <v>325.93</v>
      </c>
      <c r="I57" s="6">
        <f t="shared" ref="I57:I59" si="8">ROUND(G57*H57,2)</f>
        <v>11772.59</v>
      </c>
      <c r="L57" s="13"/>
    </row>
    <row r="58" spans="1:12" x14ac:dyDescent="0.25">
      <c r="A58" s="11">
        <v>400</v>
      </c>
      <c r="B58" s="11" t="s">
        <v>164</v>
      </c>
      <c r="C58" s="3" t="s">
        <v>121</v>
      </c>
      <c r="D58" s="19" t="s">
        <v>122</v>
      </c>
      <c r="E58" s="19"/>
      <c r="F58" s="11" t="s">
        <v>29</v>
      </c>
      <c r="G58" s="6">
        <v>545.23</v>
      </c>
      <c r="H58" s="6">
        <v>70.38</v>
      </c>
      <c r="I58" s="6">
        <f t="shared" si="8"/>
        <v>38373.29</v>
      </c>
      <c r="L58" s="13"/>
    </row>
    <row r="59" spans="1:12" x14ac:dyDescent="0.25">
      <c r="A59" s="11">
        <v>500</v>
      </c>
      <c r="B59" s="11" t="s">
        <v>165</v>
      </c>
      <c r="C59" s="3" t="s">
        <v>123</v>
      </c>
      <c r="D59" s="19" t="s">
        <v>124</v>
      </c>
      <c r="E59" s="19"/>
      <c r="F59" s="11" t="s">
        <v>93</v>
      </c>
      <c r="G59" s="6">
        <v>5144.6000000000004</v>
      </c>
      <c r="H59" s="6">
        <v>4.0200000000000005</v>
      </c>
      <c r="I59" s="6">
        <f t="shared" si="8"/>
        <v>20681.29</v>
      </c>
      <c r="L59" s="13"/>
    </row>
    <row r="60" spans="1:12" x14ac:dyDescent="0.25">
      <c r="A60" s="15"/>
      <c r="B60" s="15"/>
      <c r="C60" s="12" t="s">
        <v>125</v>
      </c>
      <c r="D60" s="17" t="s">
        <v>126</v>
      </c>
      <c r="E60" s="17"/>
      <c r="I60" s="9">
        <f>SUM(I61:I63)</f>
        <v>861.91000000000008</v>
      </c>
    </row>
    <row r="61" spans="1:12" x14ac:dyDescent="0.25">
      <c r="A61" s="11">
        <v>300</v>
      </c>
      <c r="B61" s="11" t="s">
        <v>163</v>
      </c>
      <c r="C61" s="3" t="s">
        <v>127</v>
      </c>
      <c r="D61" s="19" t="s">
        <v>128</v>
      </c>
      <c r="E61" s="19"/>
      <c r="F61" s="11" t="s">
        <v>50</v>
      </c>
      <c r="G61" s="6">
        <v>0.63</v>
      </c>
      <c r="H61" s="6">
        <v>325.93</v>
      </c>
      <c r="I61" s="6">
        <f t="shared" ref="I61:I63" si="9">ROUND(G61*H61,2)</f>
        <v>205.34</v>
      </c>
      <c r="L61" s="13"/>
    </row>
    <row r="62" spans="1:12" x14ac:dyDescent="0.25">
      <c r="A62" s="11">
        <v>400</v>
      </c>
      <c r="B62" s="11" t="s">
        <v>164</v>
      </c>
      <c r="C62" s="3" t="s">
        <v>129</v>
      </c>
      <c r="D62" s="19" t="s">
        <v>130</v>
      </c>
      <c r="E62" s="19"/>
      <c r="F62" s="11" t="s">
        <v>29</v>
      </c>
      <c r="G62" s="6">
        <v>6.54</v>
      </c>
      <c r="H62" s="6">
        <v>55.43</v>
      </c>
      <c r="I62" s="6">
        <f t="shared" si="9"/>
        <v>362.51</v>
      </c>
      <c r="L62" s="13"/>
    </row>
    <row r="63" spans="1:12" x14ac:dyDescent="0.25">
      <c r="A63" s="11">
        <v>500</v>
      </c>
      <c r="B63" s="11" t="s">
        <v>165</v>
      </c>
      <c r="C63" s="3" t="s">
        <v>131</v>
      </c>
      <c r="D63" s="19" t="s">
        <v>132</v>
      </c>
      <c r="E63" s="19"/>
      <c r="F63" s="11" t="s">
        <v>93</v>
      </c>
      <c r="G63" s="6">
        <v>73.150000000000006</v>
      </c>
      <c r="H63" s="6">
        <v>4.0200000000000005</v>
      </c>
      <c r="I63" s="6">
        <f t="shared" si="9"/>
        <v>294.06</v>
      </c>
      <c r="L63" s="13"/>
    </row>
    <row r="64" spans="1:12" x14ac:dyDescent="0.25">
      <c r="A64" s="15"/>
      <c r="B64" s="15"/>
      <c r="C64" s="12" t="s">
        <v>133</v>
      </c>
      <c r="D64" s="17" t="s">
        <v>134</v>
      </c>
      <c r="E64" s="17"/>
      <c r="I64" s="9">
        <f>SUM(I65:I68)</f>
        <v>2640.4399999999996</v>
      </c>
    </row>
    <row r="65" spans="1:12" x14ac:dyDescent="0.25">
      <c r="A65" s="11">
        <v>300</v>
      </c>
      <c r="B65" s="11" t="s">
        <v>163</v>
      </c>
      <c r="C65" s="3" t="s">
        <v>135</v>
      </c>
      <c r="D65" s="19" t="s">
        <v>136</v>
      </c>
      <c r="E65" s="19"/>
      <c r="F65" s="11" t="s">
        <v>37</v>
      </c>
      <c r="G65" s="6">
        <v>2.13</v>
      </c>
      <c r="H65" s="6">
        <v>315.52</v>
      </c>
      <c r="I65" s="6">
        <f t="shared" ref="I65:I68" si="10">ROUND(G65*H65,2)</f>
        <v>672.06</v>
      </c>
      <c r="L65" s="13"/>
    </row>
    <row r="66" spans="1:12" x14ac:dyDescent="0.25">
      <c r="A66" s="11">
        <v>400</v>
      </c>
      <c r="B66" s="11" t="s">
        <v>164</v>
      </c>
      <c r="C66" s="3" t="s">
        <v>137</v>
      </c>
      <c r="D66" s="19" t="s">
        <v>138</v>
      </c>
      <c r="E66" s="19"/>
      <c r="F66" s="11" t="s">
        <v>29</v>
      </c>
      <c r="G66" s="6">
        <v>24.72</v>
      </c>
      <c r="H66" s="6">
        <v>43.61</v>
      </c>
      <c r="I66" s="6">
        <f t="shared" si="10"/>
        <v>1078.04</v>
      </c>
      <c r="L66" s="13"/>
    </row>
    <row r="67" spans="1:12" x14ac:dyDescent="0.25">
      <c r="A67" s="11">
        <v>500</v>
      </c>
      <c r="B67" s="11" t="s">
        <v>165</v>
      </c>
      <c r="C67" s="3" t="s">
        <v>139</v>
      </c>
      <c r="D67" s="19" t="s">
        <v>140</v>
      </c>
      <c r="E67" s="19"/>
      <c r="F67" s="11" t="s">
        <v>93</v>
      </c>
      <c r="G67" s="6">
        <v>93.93</v>
      </c>
      <c r="H67" s="6">
        <v>4.0200000000000005</v>
      </c>
      <c r="I67" s="6">
        <f t="shared" si="10"/>
        <v>377.6</v>
      </c>
      <c r="L67" s="13"/>
    </row>
    <row r="68" spans="1:12" x14ac:dyDescent="0.25">
      <c r="A68" s="11">
        <v>300</v>
      </c>
      <c r="B68" s="11" t="s">
        <v>163</v>
      </c>
      <c r="C68" s="3" t="s">
        <v>141</v>
      </c>
      <c r="D68" s="19" t="s">
        <v>142</v>
      </c>
      <c r="E68" s="19"/>
      <c r="F68" s="11" t="s">
        <v>143</v>
      </c>
      <c r="G68" s="6">
        <v>205.92000000000002</v>
      </c>
      <c r="H68" s="6">
        <v>2.4900000000000002</v>
      </c>
      <c r="I68" s="6">
        <f t="shared" si="10"/>
        <v>512.74</v>
      </c>
      <c r="L68" s="13"/>
    </row>
    <row r="69" spans="1:12" x14ac:dyDescent="0.25">
      <c r="A69" s="15"/>
      <c r="B69" s="15"/>
      <c r="C69" s="12" t="s">
        <v>144</v>
      </c>
      <c r="D69" s="17" t="s">
        <v>145</v>
      </c>
      <c r="E69" s="17"/>
      <c r="I69" s="9">
        <f>SUM(I70:I72)</f>
        <v>1605.39</v>
      </c>
    </row>
    <row r="70" spans="1:12" x14ac:dyDescent="0.25">
      <c r="A70" s="11">
        <v>300</v>
      </c>
      <c r="B70" s="11" t="s">
        <v>163</v>
      </c>
      <c r="C70" s="3" t="s">
        <v>146</v>
      </c>
      <c r="D70" s="19" t="s">
        <v>147</v>
      </c>
      <c r="E70" s="19"/>
      <c r="F70" s="11" t="s">
        <v>29</v>
      </c>
      <c r="G70" s="6">
        <v>12.31</v>
      </c>
      <c r="H70" s="6">
        <v>80.040000000000006</v>
      </c>
      <c r="I70" s="6">
        <f t="shared" ref="I70:I72" si="11">ROUND(G70*H70,2)</f>
        <v>985.29</v>
      </c>
      <c r="L70" s="13"/>
    </row>
    <row r="71" spans="1:12" x14ac:dyDescent="0.25">
      <c r="A71" s="11">
        <v>400</v>
      </c>
      <c r="B71" s="11" t="s">
        <v>164</v>
      </c>
      <c r="C71" s="3" t="s">
        <v>148</v>
      </c>
      <c r="D71" s="19" t="s">
        <v>149</v>
      </c>
      <c r="E71" s="19"/>
      <c r="F71" s="11" t="s">
        <v>29</v>
      </c>
      <c r="G71" s="6">
        <v>6.96</v>
      </c>
      <c r="H71" s="6">
        <v>41.15</v>
      </c>
      <c r="I71" s="6">
        <f t="shared" si="11"/>
        <v>286.39999999999998</v>
      </c>
      <c r="L71" s="13"/>
    </row>
    <row r="72" spans="1:12" x14ac:dyDescent="0.25">
      <c r="A72" s="11">
        <v>500</v>
      </c>
      <c r="B72" s="11" t="s">
        <v>165</v>
      </c>
      <c r="C72" s="3" t="s">
        <v>150</v>
      </c>
      <c r="D72" s="19" t="s">
        <v>151</v>
      </c>
      <c r="E72" s="19"/>
      <c r="F72" s="11" t="s">
        <v>108</v>
      </c>
      <c r="G72" s="6">
        <v>83.01</v>
      </c>
      <c r="H72" s="6">
        <v>4.0200000000000005</v>
      </c>
      <c r="I72" s="6">
        <f t="shared" si="11"/>
        <v>333.7</v>
      </c>
      <c r="L72" s="13"/>
    </row>
    <row r="73" spans="1:12" x14ac:dyDescent="0.25">
      <c r="D73" s="17" t="s">
        <v>152</v>
      </c>
      <c r="E73" s="17"/>
      <c r="H73" s="18">
        <v>960724.52</v>
      </c>
      <c r="I73" s="18"/>
    </row>
    <row r="74" spans="1:12" x14ac:dyDescent="0.25">
      <c r="D74" s="17" t="s">
        <v>153</v>
      </c>
      <c r="E74" s="17"/>
      <c r="H74" s="18">
        <v>192144.9</v>
      </c>
      <c r="I74" s="18"/>
    </row>
    <row r="75" spans="1:12" x14ac:dyDescent="0.25">
      <c r="H75" s="16" t="s">
        <v>154</v>
      </c>
      <c r="I75" s="16"/>
    </row>
    <row r="76" spans="1:12" x14ac:dyDescent="0.25">
      <c r="D76" s="17" t="s">
        <v>155</v>
      </c>
      <c r="E76" s="17"/>
      <c r="H76" s="18">
        <v>1152869.42</v>
      </c>
      <c r="I76" s="18"/>
    </row>
    <row r="77" spans="1:12" x14ac:dyDescent="0.25">
      <c r="D77" s="17" t="s">
        <v>156</v>
      </c>
      <c r="E77" s="17"/>
      <c r="H77" s="18">
        <v>207516.5</v>
      </c>
      <c r="I77" s="18"/>
    </row>
    <row r="78" spans="1:12" x14ac:dyDescent="0.25">
      <c r="H78" s="16" t="s">
        <v>154</v>
      </c>
      <c r="I78" s="16"/>
    </row>
    <row r="79" spans="1:12" x14ac:dyDescent="0.25">
      <c r="D79" s="17" t="s">
        <v>157</v>
      </c>
      <c r="E79" s="17"/>
      <c r="H79" s="18">
        <v>1360385.92</v>
      </c>
      <c r="I79" s="18"/>
    </row>
    <row r="81" spans="4:9" x14ac:dyDescent="0.25">
      <c r="D81" s="17" t="s">
        <v>158</v>
      </c>
      <c r="E81" s="17"/>
      <c r="F81" s="17"/>
      <c r="G81" s="17"/>
      <c r="H81" s="17"/>
      <c r="I81" s="17"/>
    </row>
  </sheetData>
  <mergeCells count="83">
    <mergeCell ref="D8:E8"/>
    <mergeCell ref="D9:E9"/>
    <mergeCell ref="D5:G5"/>
    <mergeCell ref="D6:E6"/>
    <mergeCell ref="C1:I1"/>
    <mergeCell ref="E3:I3"/>
    <mergeCell ref="E4:I4"/>
    <mergeCell ref="D14:E14"/>
    <mergeCell ref="D15:E15"/>
    <mergeCell ref="D12:E12"/>
    <mergeCell ref="D13:E13"/>
    <mergeCell ref="D10:E10"/>
    <mergeCell ref="D11:E11"/>
    <mergeCell ref="D20:E20"/>
    <mergeCell ref="D21:E21"/>
    <mergeCell ref="D18:E18"/>
    <mergeCell ref="D19:E19"/>
    <mergeCell ref="D16:E16"/>
    <mergeCell ref="D17:E17"/>
    <mergeCell ref="D26:E26"/>
    <mergeCell ref="D27:E27"/>
    <mergeCell ref="D24:E24"/>
    <mergeCell ref="D25:E25"/>
    <mergeCell ref="D22:E22"/>
    <mergeCell ref="D23:E23"/>
    <mergeCell ref="D32:E32"/>
    <mergeCell ref="D33:E33"/>
    <mergeCell ref="D30:E30"/>
    <mergeCell ref="D31:E31"/>
    <mergeCell ref="D28:E28"/>
    <mergeCell ref="D29:E29"/>
    <mergeCell ref="D38:E38"/>
    <mergeCell ref="D39:E39"/>
    <mergeCell ref="D36:E36"/>
    <mergeCell ref="D37:E37"/>
    <mergeCell ref="D34:E34"/>
    <mergeCell ref="D35:E35"/>
    <mergeCell ref="D44:E44"/>
    <mergeCell ref="D45:E45"/>
    <mergeCell ref="D42:E42"/>
    <mergeCell ref="D43:E43"/>
    <mergeCell ref="D40:E40"/>
    <mergeCell ref="D41:E41"/>
    <mergeCell ref="D50:E50"/>
    <mergeCell ref="D51:E51"/>
    <mergeCell ref="D48:E48"/>
    <mergeCell ref="D49:E49"/>
    <mergeCell ref="D46:E46"/>
    <mergeCell ref="D47:E47"/>
    <mergeCell ref="D56:E56"/>
    <mergeCell ref="D57:E57"/>
    <mergeCell ref="D54:E54"/>
    <mergeCell ref="D55:E55"/>
    <mergeCell ref="D52:E52"/>
    <mergeCell ref="D53:E53"/>
    <mergeCell ref="D62:E62"/>
    <mergeCell ref="D63:E63"/>
    <mergeCell ref="D60:E60"/>
    <mergeCell ref="D61:E61"/>
    <mergeCell ref="D58:E58"/>
    <mergeCell ref="D59:E59"/>
    <mergeCell ref="D68:E68"/>
    <mergeCell ref="D69:E69"/>
    <mergeCell ref="D66:E66"/>
    <mergeCell ref="D67:E67"/>
    <mergeCell ref="D64:E64"/>
    <mergeCell ref="D65:E65"/>
    <mergeCell ref="D72:E72"/>
    <mergeCell ref="D73:E73"/>
    <mergeCell ref="H73:I73"/>
    <mergeCell ref="D70:E70"/>
    <mergeCell ref="D71:E71"/>
    <mergeCell ref="H78:I78"/>
    <mergeCell ref="D79:E79"/>
    <mergeCell ref="H79:I79"/>
    <mergeCell ref="D81:I81"/>
    <mergeCell ref="D74:E74"/>
    <mergeCell ref="H74:I74"/>
    <mergeCell ref="H75:I75"/>
    <mergeCell ref="D76:E76"/>
    <mergeCell ref="H76:I76"/>
    <mergeCell ref="D77:E77"/>
    <mergeCell ref="H77:I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2024-05-21T00:43:41Z</dcterms:created>
  <dcterms:modified xsi:type="dcterms:W3CDTF">2024-06-20T23:51:31Z</dcterms:modified>
</cp:coreProperties>
</file>