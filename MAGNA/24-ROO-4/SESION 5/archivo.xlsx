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bril 2024\Sesion 05 - Resultado Operativo\"/>
    </mc:Choice>
  </mc:AlternateContent>
  <xr:revisionPtr revIDLastSave="0" documentId="13_ncr:1_{EB83F24E-0DF5-43BE-84C0-183E733E93E9}" xr6:coauthVersionLast="47" xr6:coauthVersionMax="47" xr10:uidLastSave="{00000000-0000-0000-0000-000000000000}"/>
  <bookViews>
    <workbookView xWindow="-120" yWindow="-120" windowWidth="20730" windowHeight="11160" firstSheet="7" activeTab="10" xr2:uid="{00000000-000D-0000-FFFF-FFFF00000000}"/>
  </bookViews>
  <sheets>
    <sheet name="PRESUPUESTOS" sheetId="1" r:id="rId1"/>
    <sheet name="COMPARATIVO" sheetId="2" r:id="rId2"/>
    <sheet name="RESUMEN - ANALISIS" sheetId="3" r:id="rId3"/>
    <sheet name="DIFERENCIAS" sheetId="10" r:id="rId4"/>
    <sheet name="COSTOS INCURRIDOS" sheetId="4" r:id="rId5"/>
    <sheet name="CRONOG CONT VENTA" sheetId="5" r:id="rId6"/>
    <sheet name="CRONOG CONT META" sheetId="6" r:id="rId7"/>
    <sheet name="CRONOG INTERNO VENTA" sheetId="7" r:id="rId8"/>
    <sheet name="CRONOG INTERNO META" sheetId="8" r:id="rId9"/>
    <sheet name="CRONOG COSTOS REALES" sheetId="9" r:id="rId10"/>
    <sheet name="CURVA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9" l="1"/>
  <c r="F73" i="9" s="1"/>
  <c r="K70" i="9"/>
  <c r="J70" i="9"/>
  <c r="I70" i="9"/>
  <c r="H70" i="9"/>
  <c r="G70" i="9"/>
  <c r="L70" i="9" s="1"/>
  <c r="K69" i="9"/>
  <c r="J69" i="9"/>
  <c r="I69" i="9"/>
  <c r="H69" i="9"/>
  <c r="G69" i="9"/>
  <c r="K68" i="9"/>
  <c r="J68" i="9"/>
  <c r="I68" i="9"/>
  <c r="H68" i="9"/>
  <c r="G68" i="9"/>
  <c r="K66" i="9"/>
  <c r="J66" i="9"/>
  <c r="I66" i="9"/>
  <c r="H66" i="9"/>
  <c r="G66" i="9"/>
  <c r="K65" i="9"/>
  <c r="J65" i="9"/>
  <c r="I65" i="9"/>
  <c r="H65" i="9"/>
  <c r="G65" i="9"/>
  <c r="K64" i="9"/>
  <c r="J64" i="9"/>
  <c r="I64" i="9"/>
  <c r="H64" i="9"/>
  <c r="G64" i="9"/>
  <c r="K63" i="9"/>
  <c r="J63" i="9"/>
  <c r="I63" i="9"/>
  <c r="H63" i="9"/>
  <c r="G63" i="9"/>
  <c r="L63" i="9" s="1"/>
  <c r="K61" i="9"/>
  <c r="J61" i="9"/>
  <c r="I61" i="9"/>
  <c r="H61" i="9"/>
  <c r="G61" i="9"/>
  <c r="K60" i="9"/>
  <c r="J60" i="9"/>
  <c r="I60" i="9"/>
  <c r="H60" i="9"/>
  <c r="G60" i="9"/>
  <c r="K59" i="9"/>
  <c r="J59" i="9"/>
  <c r="I59" i="9"/>
  <c r="H59" i="9"/>
  <c r="G59" i="9"/>
  <c r="K57" i="9"/>
  <c r="J57" i="9"/>
  <c r="I57" i="9"/>
  <c r="H57" i="9"/>
  <c r="G57" i="9"/>
  <c r="K56" i="9"/>
  <c r="J56" i="9"/>
  <c r="I56" i="9"/>
  <c r="H56" i="9"/>
  <c r="G56" i="9"/>
  <c r="K55" i="9"/>
  <c r="J55" i="9"/>
  <c r="I55" i="9"/>
  <c r="H55" i="9"/>
  <c r="G55" i="9"/>
  <c r="K53" i="9"/>
  <c r="J53" i="9"/>
  <c r="I53" i="9"/>
  <c r="H53" i="9"/>
  <c r="G53" i="9"/>
  <c r="K52" i="9"/>
  <c r="J52" i="9"/>
  <c r="I52" i="9"/>
  <c r="H52" i="9"/>
  <c r="G52" i="9"/>
  <c r="K51" i="9"/>
  <c r="J51" i="9"/>
  <c r="I51" i="9"/>
  <c r="H51" i="9"/>
  <c r="G51" i="9"/>
  <c r="K49" i="9"/>
  <c r="J49" i="9"/>
  <c r="I49" i="9"/>
  <c r="H49" i="9"/>
  <c r="G49" i="9"/>
  <c r="K48" i="9"/>
  <c r="J48" i="9"/>
  <c r="I48" i="9"/>
  <c r="H48" i="9"/>
  <c r="G48" i="9"/>
  <c r="K47" i="9"/>
  <c r="J47" i="9"/>
  <c r="I47" i="9"/>
  <c r="H47" i="9"/>
  <c r="G47" i="9"/>
  <c r="K46" i="9"/>
  <c r="J46" i="9"/>
  <c r="I46" i="9"/>
  <c r="H46" i="9"/>
  <c r="G46" i="9"/>
  <c r="K45" i="9"/>
  <c r="J45" i="9"/>
  <c r="I45" i="9"/>
  <c r="H45" i="9"/>
  <c r="G45" i="9"/>
  <c r="K44" i="9"/>
  <c r="J44" i="9"/>
  <c r="I44" i="9"/>
  <c r="H44" i="9"/>
  <c r="G44" i="9"/>
  <c r="K42" i="9"/>
  <c r="J42" i="9"/>
  <c r="I42" i="9"/>
  <c r="H42" i="9"/>
  <c r="G42" i="9"/>
  <c r="K41" i="9"/>
  <c r="J41" i="9"/>
  <c r="I41" i="9"/>
  <c r="H41" i="9"/>
  <c r="G41" i="9"/>
  <c r="K38" i="9"/>
  <c r="J38" i="9"/>
  <c r="I38" i="9"/>
  <c r="H38" i="9"/>
  <c r="G38" i="9"/>
  <c r="L38" i="9" s="1"/>
  <c r="K37" i="9"/>
  <c r="J37" i="9"/>
  <c r="I37" i="9"/>
  <c r="H37" i="9"/>
  <c r="G37" i="9"/>
  <c r="K35" i="9"/>
  <c r="J35" i="9"/>
  <c r="I35" i="9"/>
  <c r="H35" i="9"/>
  <c r="G35" i="9"/>
  <c r="K34" i="9"/>
  <c r="J34" i="9"/>
  <c r="I34" i="9"/>
  <c r="H34" i="9"/>
  <c r="G34" i="9"/>
  <c r="K33" i="9"/>
  <c r="J33" i="9"/>
  <c r="I33" i="9"/>
  <c r="H33" i="9"/>
  <c r="G33" i="9"/>
  <c r="K32" i="9"/>
  <c r="J32" i="9"/>
  <c r="I32" i="9"/>
  <c r="H32" i="9"/>
  <c r="G32" i="9"/>
  <c r="K30" i="9"/>
  <c r="J30" i="9"/>
  <c r="I30" i="9"/>
  <c r="H30" i="9"/>
  <c r="G30" i="9"/>
  <c r="K27" i="9"/>
  <c r="J27" i="9"/>
  <c r="I27" i="9"/>
  <c r="H27" i="9"/>
  <c r="G27" i="9"/>
  <c r="K26" i="9"/>
  <c r="J26" i="9"/>
  <c r="I26" i="9"/>
  <c r="H26" i="9"/>
  <c r="G26" i="9"/>
  <c r="L26" i="9" s="1"/>
  <c r="K25" i="9"/>
  <c r="J25" i="9"/>
  <c r="I25" i="9"/>
  <c r="H25" i="9"/>
  <c r="G25" i="9"/>
  <c r="K24" i="9"/>
  <c r="J24" i="9"/>
  <c r="I24" i="9"/>
  <c r="H24" i="9"/>
  <c r="G24" i="9"/>
  <c r="K22" i="9"/>
  <c r="J22" i="9"/>
  <c r="I22" i="9"/>
  <c r="H22" i="9"/>
  <c r="G22" i="9"/>
  <c r="K21" i="9"/>
  <c r="J21" i="9"/>
  <c r="I21" i="9"/>
  <c r="H21" i="9"/>
  <c r="G21" i="9"/>
  <c r="K20" i="9"/>
  <c r="J20" i="9"/>
  <c r="I20" i="9"/>
  <c r="H20" i="9"/>
  <c r="G20" i="9"/>
  <c r="K18" i="9"/>
  <c r="J18" i="9"/>
  <c r="I18" i="9"/>
  <c r="H18" i="9"/>
  <c r="G18" i="9"/>
  <c r="K16" i="9"/>
  <c r="J16" i="9"/>
  <c r="I16" i="9"/>
  <c r="H16" i="9"/>
  <c r="G16" i="9"/>
  <c r="K15" i="9"/>
  <c r="J15" i="9"/>
  <c r="I15" i="9"/>
  <c r="H15" i="9"/>
  <c r="G15" i="9"/>
  <c r="L15" i="9" s="1"/>
  <c r="K11" i="9"/>
  <c r="J11" i="9"/>
  <c r="I11" i="9"/>
  <c r="H11" i="9"/>
  <c r="G11" i="9"/>
  <c r="K10" i="9"/>
  <c r="J10" i="9"/>
  <c r="I10" i="9"/>
  <c r="H10" i="9"/>
  <c r="G10" i="9"/>
  <c r="M11" i="10"/>
  <c r="I11" i="10"/>
  <c r="R10" i="10"/>
  <c r="Q10" i="10"/>
  <c r="E7" i="10"/>
  <c r="Q7" i="10" s="1"/>
  <c r="E8" i="10"/>
  <c r="Q8" i="10" s="1"/>
  <c r="E9" i="10"/>
  <c r="Q9" i="10" s="1"/>
  <c r="E10" i="10"/>
  <c r="E6" i="10"/>
  <c r="R6" i="10" s="1"/>
  <c r="C7" i="10"/>
  <c r="N7" i="10" s="1"/>
  <c r="O7" i="10" s="1"/>
  <c r="C8" i="10"/>
  <c r="N8" i="10" s="1"/>
  <c r="O8" i="10" s="1"/>
  <c r="C9" i="10"/>
  <c r="N9" i="10" s="1"/>
  <c r="O9" i="10" s="1"/>
  <c r="C10" i="10"/>
  <c r="N10" i="10" s="1"/>
  <c r="O10" i="10" s="1"/>
  <c r="C6" i="10"/>
  <c r="J6" i="10" s="1"/>
  <c r="K6" i="10" s="1"/>
  <c r="L22" i="9" l="1"/>
  <c r="L34" i="9"/>
  <c r="L46" i="9"/>
  <c r="L59" i="9"/>
  <c r="L69" i="9"/>
  <c r="L68" i="9"/>
  <c r="L55" i="9"/>
  <c r="L65" i="9"/>
  <c r="L52" i="9"/>
  <c r="G71" i="9"/>
  <c r="L18" i="9"/>
  <c r="L30" i="9"/>
  <c r="L42" i="9"/>
  <c r="L47" i="9"/>
  <c r="L57" i="9"/>
  <c r="F72" i="9"/>
  <c r="F74" i="9" s="1"/>
  <c r="F75" i="9" s="1"/>
  <c r="L51" i="9"/>
  <c r="L61" i="9"/>
  <c r="L20" i="9"/>
  <c r="L16" i="9"/>
  <c r="L27" i="9"/>
  <c r="L32" i="9"/>
  <c r="L41" i="9"/>
  <c r="L44" i="9"/>
  <c r="J71" i="9"/>
  <c r="J72" i="9" s="1"/>
  <c r="I71" i="9"/>
  <c r="H71" i="9"/>
  <c r="H73" i="9" s="1"/>
  <c r="L49" i="9"/>
  <c r="L53" i="9"/>
  <c r="K71" i="9"/>
  <c r="L24" i="9"/>
  <c r="L35" i="9"/>
  <c r="L11" i="9"/>
  <c r="L25" i="9"/>
  <c r="L37" i="9"/>
  <c r="L56" i="9"/>
  <c r="L60" i="9"/>
  <c r="L64" i="9"/>
  <c r="L21" i="9"/>
  <c r="L33" i="9"/>
  <c r="L45" i="9"/>
  <c r="L48" i="9"/>
  <c r="L66" i="9"/>
  <c r="I72" i="9"/>
  <c r="I73" i="9"/>
  <c r="K72" i="9"/>
  <c r="K73" i="9"/>
  <c r="G72" i="9"/>
  <c r="G73" i="9"/>
  <c r="G74" i="9" s="1"/>
  <c r="L10" i="9"/>
  <c r="R9" i="10"/>
  <c r="Q6" i="10"/>
  <c r="Q11" i="10" s="1"/>
  <c r="R8" i="10"/>
  <c r="R7" i="10"/>
  <c r="F10" i="10"/>
  <c r="G10" i="10" s="1"/>
  <c r="J10" i="10"/>
  <c r="K10" i="10" s="1"/>
  <c r="E11" i="10"/>
  <c r="R11" i="10" s="1"/>
  <c r="C11" i="10"/>
  <c r="F11" i="10" s="1"/>
  <c r="G11" i="10" s="1"/>
  <c r="F9" i="10"/>
  <c r="G9" i="10" s="1"/>
  <c r="J9" i="10"/>
  <c r="K9" i="10" s="1"/>
  <c r="F6" i="10"/>
  <c r="G6" i="10" s="1"/>
  <c r="N6" i="10"/>
  <c r="O6" i="10" s="1"/>
  <c r="F8" i="10"/>
  <c r="G8" i="10" s="1"/>
  <c r="J8" i="10"/>
  <c r="K8" i="10" s="1"/>
  <c r="F7" i="10"/>
  <c r="G7" i="10" s="1"/>
  <c r="J7" i="10"/>
  <c r="K7" i="10" s="1"/>
  <c r="N11" i="10"/>
  <c r="O11" i="10" s="1"/>
  <c r="K74" i="9" l="1"/>
  <c r="K75" i="9" s="1"/>
  <c r="K76" i="9" s="1"/>
  <c r="F76" i="9"/>
  <c r="I74" i="9"/>
  <c r="H72" i="9"/>
  <c r="H74" i="9" s="1"/>
  <c r="J73" i="9"/>
  <c r="J74" i="9" s="1"/>
  <c r="I75" i="9"/>
  <c r="I76" i="9" s="1"/>
  <c r="H75" i="9"/>
  <c r="H76" i="9" s="1"/>
  <c r="G75" i="9"/>
  <c r="G76" i="9" s="1"/>
  <c r="J75" i="9"/>
  <c r="J76" i="9" s="1"/>
  <c r="J11" i="10"/>
  <c r="K11" i="10" s="1"/>
  <c r="F73" i="8" l="1"/>
  <c r="F71" i="8"/>
  <c r="K70" i="8"/>
  <c r="J70" i="8"/>
  <c r="I70" i="8"/>
  <c r="H70" i="8"/>
  <c r="G70" i="8"/>
  <c r="L70" i="8" s="1"/>
  <c r="K69" i="8"/>
  <c r="J69" i="8"/>
  <c r="I69" i="8"/>
  <c r="H69" i="8"/>
  <c r="G69" i="8"/>
  <c r="K68" i="8"/>
  <c r="J68" i="8"/>
  <c r="I68" i="8"/>
  <c r="H68" i="8"/>
  <c r="G68" i="8"/>
  <c r="K66" i="8"/>
  <c r="J66" i="8"/>
  <c r="I66" i="8"/>
  <c r="H66" i="8"/>
  <c r="G66" i="8"/>
  <c r="L66" i="8" s="1"/>
  <c r="K65" i="8"/>
  <c r="J65" i="8"/>
  <c r="I65" i="8"/>
  <c r="H65" i="8"/>
  <c r="G65" i="8"/>
  <c r="K64" i="8"/>
  <c r="J64" i="8"/>
  <c r="I64" i="8"/>
  <c r="H64" i="8"/>
  <c r="G64" i="8"/>
  <c r="K63" i="8"/>
  <c r="J63" i="8"/>
  <c r="I63" i="8"/>
  <c r="H63" i="8"/>
  <c r="G63" i="8"/>
  <c r="L63" i="8" s="1"/>
  <c r="K61" i="8"/>
  <c r="J61" i="8"/>
  <c r="I61" i="8"/>
  <c r="H61" i="8"/>
  <c r="G61" i="8"/>
  <c r="K60" i="8"/>
  <c r="J60" i="8"/>
  <c r="I60" i="8"/>
  <c r="H60" i="8"/>
  <c r="L60" i="8" s="1"/>
  <c r="G60" i="8"/>
  <c r="K59" i="8"/>
  <c r="J59" i="8"/>
  <c r="I59" i="8"/>
  <c r="H59" i="8"/>
  <c r="G59" i="8"/>
  <c r="K57" i="8"/>
  <c r="L57" i="8" s="1"/>
  <c r="J57" i="8"/>
  <c r="I57" i="8"/>
  <c r="H57" i="8"/>
  <c r="G57" i="8"/>
  <c r="K56" i="8"/>
  <c r="J56" i="8"/>
  <c r="I56" i="8"/>
  <c r="H56" i="8"/>
  <c r="G56" i="8"/>
  <c r="K55" i="8"/>
  <c r="J55" i="8"/>
  <c r="I55" i="8"/>
  <c r="H55" i="8"/>
  <c r="G55" i="8"/>
  <c r="K53" i="8"/>
  <c r="J53" i="8"/>
  <c r="I53" i="8"/>
  <c r="H53" i="8"/>
  <c r="G53" i="8"/>
  <c r="K52" i="8"/>
  <c r="J52" i="8"/>
  <c r="I52" i="8"/>
  <c r="H52" i="8"/>
  <c r="L52" i="8" s="1"/>
  <c r="G52" i="8"/>
  <c r="K51" i="8"/>
  <c r="J51" i="8"/>
  <c r="I51" i="8"/>
  <c r="H51" i="8"/>
  <c r="G51" i="8"/>
  <c r="K49" i="8"/>
  <c r="J49" i="8"/>
  <c r="I49" i="8"/>
  <c r="H49" i="8"/>
  <c r="G49" i="8"/>
  <c r="K48" i="8"/>
  <c r="J48" i="8"/>
  <c r="I48" i="8"/>
  <c r="H48" i="8"/>
  <c r="G48" i="8"/>
  <c r="L48" i="8" s="1"/>
  <c r="K47" i="8"/>
  <c r="J47" i="8"/>
  <c r="I47" i="8"/>
  <c r="H47" i="8"/>
  <c r="G47" i="8"/>
  <c r="L47" i="8" s="1"/>
  <c r="K46" i="8"/>
  <c r="J46" i="8"/>
  <c r="I46" i="8"/>
  <c r="H46" i="8"/>
  <c r="G46" i="8"/>
  <c r="K45" i="8"/>
  <c r="J45" i="8"/>
  <c r="I45" i="8"/>
  <c r="H45" i="8"/>
  <c r="G45" i="8"/>
  <c r="L45" i="8" s="1"/>
  <c r="K44" i="8"/>
  <c r="J44" i="8"/>
  <c r="I44" i="8"/>
  <c r="H44" i="8"/>
  <c r="G44" i="8"/>
  <c r="K42" i="8"/>
  <c r="J42" i="8"/>
  <c r="I42" i="8"/>
  <c r="H42" i="8"/>
  <c r="G42" i="8"/>
  <c r="L42" i="8" s="1"/>
  <c r="K41" i="8"/>
  <c r="J41" i="8"/>
  <c r="I41" i="8"/>
  <c r="H41" i="8"/>
  <c r="G41" i="8"/>
  <c r="L41" i="8" s="1"/>
  <c r="K38" i="8"/>
  <c r="J38" i="8"/>
  <c r="I38" i="8"/>
  <c r="H38" i="8"/>
  <c r="G38" i="8"/>
  <c r="K37" i="8"/>
  <c r="J37" i="8"/>
  <c r="I37" i="8"/>
  <c r="H37" i="8"/>
  <c r="G37" i="8"/>
  <c r="K35" i="8"/>
  <c r="J35" i="8"/>
  <c r="I35" i="8"/>
  <c r="H35" i="8"/>
  <c r="G35" i="8"/>
  <c r="L35" i="8" s="1"/>
  <c r="K34" i="8"/>
  <c r="J34" i="8"/>
  <c r="I34" i="8"/>
  <c r="H34" i="8"/>
  <c r="G34" i="8"/>
  <c r="K33" i="8"/>
  <c r="J33" i="8"/>
  <c r="I33" i="8"/>
  <c r="H33" i="8"/>
  <c r="G33" i="8"/>
  <c r="K32" i="8"/>
  <c r="J32" i="8"/>
  <c r="I32" i="8"/>
  <c r="H32" i="8"/>
  <c r="G32" i="8"/>
  <c r="L32" i="8" s="1"/>
  <c r="K30" i="8"/>
  <c r="J30" i="8"/>
  <c r="I30" i="8"/>
  <c r="H30" i="8"/>
  <c r="G30" i="8"/>
  <c r="K27" i="8"/>
  <c r="J27" i="8"/>
  <c r="I27" i="8"/>
  <c r="H27" i="8"/>
  <c r="G27" i="8"/>
  <c r="K26" i="8"/>
  <c r="J26" i="8"/>
  <c r="I26" i="8"/>
  <c r="H26" i="8"/>
  <c r="G26" i="8"/>
  <c r="K25" i="8"/>
  <c r="J25" i="8"/>
  <c r="I25" i="8"/>
  <c r="H25" i="8"/>
  <c r="G25" i="8"/>
  <c r="K24" i="8"/>
  <c r="J24" i="8"/>
  <c r="I24" i="8"/>
  <c r="H24" i="8"/>
  <c r="G24" i="8"/>
  <c r="K22" i="8"/>
  <c r="J22" i="8"/>
  <c r="I22" i="8"/>
  <c r="H22" i="8"/>
  <c r="G22" i="8"/>
  <c r="K21" i="8"/>
  <c r="J21" i="8"/>
  <c r="I21" i="8"/>
  <c r="H21" i="8"/>
  <c r="G21" i="8"/>
  <c r="K20" i="8"/>
  <c r="J20" i="8"/>
  <c r="I20" i="8"/>
  <c r="H20" i="8"/>
  <c r="G20" i="8"/>
  <c r="L20" i="8" s="1"/>
  <c r="K18" i="8"/>
  <c r="J18" i="8"/>
  <c r="I18" i="8"/>
  <c r="H18" i="8"/>
  <c r="G18" i="8"/>
  <c r="K16" i="8"/>
  <c r="J16" i="8"/>
  <c r="I16" i="8"/>
  <c r="H16" i="8"/>
  <c r="G16" i="8"/>
  <c r="K15" i="8"/>
  <c r="J15" i="8"/>
  <c r="I15" i="8"/>
  <c r="H15" i="8"/>
  <c r="G15" i="8"/>
  <c r="L15" i="8" s="1"/>
  <c r="K11" i="8"/>
  <c r="J11" i="8"/>
  <c r="I11" i="8"/>
  <c r="H11" i="8"/>
  <c r="G11" i="8"/>
  <c r="K10" i="8"/>
  <c r="J10" i="8"/>
  <c r="J71" i="8" s="1"/>
  <c r="J72" i="8" s="1"/>
  <c r="I10" i="8"/>
  <c r="H10" i="8"/>
  <c r="G10" i="8"/>
  <c r="L10" i="8" s="1"/>
  <c r="F72" i="7"/>
  <c r="F71" i="7"/>
  <c r="F73" i="7" s="1"/>
  <c r="F74" i="7" s="1"/>
  <c r="K70" i="7"/>
  <c r="J70" i="7"/>
  <c r="I70" i="7"/>
  <c r="H70" i="7"/>
  <c r="G70" i="7"/>
  <c r="K69" i="7"/>
  <c r="J69" i="7"/>
  <c r="I69" i="7"/>
  <c r="H69" i="7"/>
  <c r="G69" i="7"/>
  <c r="K68" i="7"/>
  <c r="J68" i="7"/>
  <c r="I68" i="7"/>
  <c r="H68" i="7"/>
  <c r="G68" i="7"/>
  <c r="L68" i="7" s="1"/>
  <c r="K66" i="7"/>
  <c r="J66" i="7"/>
  <c r="L66" i="7" s="1"/>
  <c r="I66" i="7"/>
  <c r="H66" i="7"/>
  <c r="G66" i="7"/>
  <c r="K65" i="7"/>
  <c r="J65" i="7"/>
  <c r="I65" i="7"/>
  <c r="H65" i="7"/>
  <c r="G65" i="7"/>
  <c r="K64" i="7"/>
  <c r="J64" i="7"/>
  <c r="I64" i="7"/>
  <c r="H64" i="7"/>
  <c r="G64" i="7"/>
  <c r="K63" i="7"/>
  <c r="J63" i="7"/>
  <c r="I63" i="7"/>
  <c r="H63" i="7"/>
  <c r="G63" i="7"/>
  <c r="L63" i="7" s="1"/>
  <c r="K61" i="7"/>
  <c r="J61" i="7"/>
  <c r="I61" i="7"/>
  <c r="H61" i="7"/>
  <c r="G61" i="7"/>
  <c r="K60" i="7"/>
  <c r="J60" i="7"/>
  <c r="I60" i="7"/>
  <c r="H60" i="7"/>
  <c r="G60" i="7"/>
  <c r="K59" i="7"/>
  <c r="J59" i="7"/>
  <c r="I59" i="7"/>
  <c r="H59" i="7"/>
  <c r="L59" i="7" s="1"/>
  <c r="G59" i="7"/>
  <c r="K57" i="7"/>
  <c r="J57" i="7"/>
  <c r="I57" i="7"/>
  <c r="H57" i="7"/>
  <c r="G57" i="7"/>
  <c r="K56" i="7"/>
  <c r="J56" i="7"/>
  <c r="I56" i="7"/>
  <c r="H56" i="7"/>
  <c r="G56" i="7"/>
  <c r="K55" i="7"/>
  <c r="J55" i="7"/>
  <c r="I55" i="7"/>
  <c r="H55" i="7"/>
  <c r="G55" i="7"/>
  <c r="K53" i="7"/>
  <c r="J53" i="7"/>
  <c r="I53" i="7"/>
  <c r="H53" i="7"/>
  <c r="G53" i="7"/>
  <c r="K52" i="7"/>
  <c r="J52" i="7"/>
  <c r="I52" i="7"/>
  <c r="H52" i="7"/>
  <c r="G52" i="7"/>
  <c r="L52" i="7" s="1"/>
  <c r="L51" i="7"/>
  <c r="K51" i="7"/>
  <c r="J51" i="7"/>
  <c r="I51" i="7"/>
  <c r="H51" i="7"/>
  <c r="G51" i="7"/>
  <c r="K49" i="7"/>
  <c r="J49" i="7"/>
  <c r="I49" i="7"/>
  <c r="H49" i="7"/>
  <c r="G49" i="7"/>
  <c r="K48" i="7"/>
  <c r="J48" i="7"/>
  <c r="I48" i="7"/>
  <c r="H48" i="7"/>
  <c r="G48" i="7"/>
  <c r="K47" i="7"/>
  <c r="J47" i="7"/>
  <c r="I47" i="7"/>
  <c r="H47" i="7"/>
  <c r="G47" i="7"/>
  <c r="K46" i="7"/>
  <c r="J46" i="7"/>
  <c r="L46" i="7" s="1"/>
  <c r="I46" i="7"/>
  <c r="H46" i="7"/>
  <c r="G46" i="7"/>
  <c r="K45" i="7"/>
  <c r="J45" i="7"/>
  <c r="I45" i="7"/>
  <c r="H45" i="7"/>
  <c r="G45" i="7"/>
  <c r="K44" i="7"/>
  <c r="J44" i="7"/>
  <c r="I44" i="7"/>
  <c r="H44" i="7"/>
  <c r="G44" i="7"/>
  <c r="K42" i="7"/>
  <c r="J42" i="7"/>
  <c r="I42" i="7"/>
  <c r="H42" i="7"/>
  <c r="G42" i="7"/>
  <c r="L42" i="7" s="1"/>
  <c r="K41" i="7"/>
  <c r="J41" i="7"/>
  <c r="I41" i="7"/>
  <c r="H41" i="7"/>
  <c r="G41" i="7"/>
  <c r="K38" i="7"/>
  <c r="J38" i="7"/>
  <c r="I38" i="7"/>
  <c r="H38" i="7"/>
  <c r="G38" i="7"/>
  <c r="L38" i="7" s="1"/>
  <c r="K37" i="7"/>
  <c r="J37" i="7"/>
  <c r="I37" i="7"/>
  <c r="H37" i="7"/>
  <c r="L37" i="7" s="1"/>
  <c r="G37" i="7"/>
  <c r="K35" i="7"/>
  <c r="J35" i="7"/>
  <c r="I35" i="7"/>
  <c r="H35" i="7"/>
  <c r="G35" i="7"/>
  <c r="L35" i="7" s="1"/>
  <c r="L34" i="7"/>
  <c r="K34" i="7"/>
  <c r="J34" i="7"/>
  <c r="I34" i="7"/>
  <c r="H34" i="7"/>
  <c r="G34" i="7"/>
  <c r="K33" i="7"/>
  <c r="J33" i="7"/>
  <c r="I33" i="7"/>
  <c r="H33" i="7"/>
  <c r="G33" i="7"/>
  <c r="L33" i="7" s="1"/>
  <c r="K32" i="7"/>
  <c r="J32" i="7"/>
  <c r="I32" i="7"/>
  <c r="H32" i="7"/>
  <c r="G32" i="7"/>
  <c r="K30" i="7"/>
  <c r="J30" i="7"/>
  <c r="I30" i="7"/>
  <c r="H30" i="7"/>
  <c r="G30" i="7"/>
  <c r="L30" i="7" s="1"/>
  <c r="K27" i="7"/>
  <c r="J27" i="7"/>
  <c r="I27" i="7"/>
  <c r="H27" i="7"/>
  <c r="G27" i="7"/>
  <c r="K26" i="7"/>
  <c r="J26" i="7"/>
  <c r="I26" i="7"/>
  <c r="H26" i="7"/>
  <c r="G26" i="7"/>
  <c r="L26" i="7" s="1"/>
  <c r="K25" i="7"/>
  <c r="J25" i="7"/>
  <c r="I25" i="7"/>
  <c r="H25" i="7"/>
  <c r="G25" i="7"/>
  <c r="K24" i="7"/>
  <c r="J24" i="7"/>
  <c r="I24" i="7"/>
  <c r="H24" i="7"/>
  <c r="G24" i="7"/>
  <c r="L24" i="7" s="1"/>
  <c r="K22" i="7"/>
  <c r="J22" i="7"/>
  <c r="I22" i="7"/>
  <c r="H22" i="7"/>
  <c r="G22" i="7"/>
  <c r="K21" i="7"/>
  <c r="J21" i="7"/>
  <c r="I21" i="7"/>
  <c r="H21" i="7"/>
  <c r="G21" i="7"/>
  <c r="K20" i="7"/>
  <c r="J20" i="7"/>
  <c r="I20" i="7"/>
  <c r="H20" i="7"/>
  <c r="G20" i="7"/>
  <c r="K18" i="7"/>
  <c r="J18" i="7"/>
  <c r="I18" i="7"/>
  <c r="H18" i="7"/>
  <c r="G18" i="7"/>
  <c r="K16" i="7"/>
  <c r="J16" i="7"/>
  <c r="I16" i="7"/>
  <c r="H16" i="7"/>
  <c r="G16" i="7"/>
  <c r="K15" i="7"/>
  <c r="J15" i="7"/>
  <c r="I15" i="7"/>
  <c r="H15" i="7"/>
  <c r="G15" i="7"/>
  <c r="L15" i="7" s="1"/>
  <c r="K11" i="7"/>
  <c r="J11" i="7"/>
  <c r="I11" i="7"/>
  <c r="H11" i="7"/>
  <c r="L11" i="7" s="1"/>
  <c r="G11" i="7"/>
  <c r="K10" i="7"/>
  <c r="J10" i="7"/>
  <c r="I10" i="7"/>
  <c r="H10" i="7"/>
  <c r="G10" i="7"/>
  <c r="I71" i="8" l="1"/>
  <c r="L51" i="8"/>
  <c r="L59" i="8"/>
  <c r="L22" i="8"/>
  <c r="L26" i="8"/>
  <c r="L34" i="8"/>
  <c r="L38" i="8"/>
  <c r="L44" i="8"/>
  <c r="L55" i="8"/>
  <c r="L69" i="8"/>
  <c r="K71" i="8"/>
  <c r="L18" i="8"/>
  <c r="L61" i="8"/>
  <c r="L65" i="8"/>
  <c r="L11" i="8"/>
  <c r="L25" i="8"/>
  <c r="L30" i="8"/>
  <c r="L46" i="8"/>
  <c r="L49" i="8"/>
  <c r="L53" i="8"/>
  <c r="H71" i="8"/>
  <c r="H72" i="8" s="1"/>
  <c r="L21" i="8"/>
  <c r="L37" i="8"/>
  <c r="L68" i="8"/>
  <c r="L24" i="8"/>
  <c r="L16" i="8"/>
  <c r="L27" i="8"/>
  <c r="L33" i="8"/>
  <c r="L56" i="8"/>
  <c r="L64" i="8"/>
  <c r="I72" i="8"/>
  <c r="I74" i="8" s="1"/>
  <c r="I73" i="8"/>
  <c r="K72" i="8"/>
  <c r="K73" i="8"/>
  <c r="K74" i="8"/>
  <c r="F72" i="8"/>
  <c r="F74" i="8" s="1"/>
  <c r="J73" i="8"/>
  <c r="J74" i="8" s="1"/>
  <c r="G71" i="8"/>
  <c r="L65" i="7"/>
  <c r="L61" i="7"/>
  <c r="L55" i="7"/>
  <c r="L56" i="7"/>
  <c r="L70" i="7"/>
  <c r="L69" i="7"/>
  <c r="L64" i="7"/>
  <c r="L60" i="7"/>
  <c r="L57" i="7"/>
  <c r="K71" i="7"/>
  <c r="K73" i="7" s="1"/>
  <c r="L53" i="7"/>
  <c r="L48" i="7"/>
  <c r="L47" i="7"/>
  <c r="L49" i="7"/>
  <c r="L45" i="7"/>
  <c r="L44" i="7"/>
  <c r="L32" i="7"/>
  <c r="L41" i="7"/>
  <c r="L27" i="7"/>
  <c r="J71" i="7"/>
  <c r="L25" i="7"/>
  <c r="L22" i="7"/>
  <c r="L21" i="7"/>
  <c r="L20" i="7"/>
  <c r="I71" i="7"/>
  <c r="I72" i="7" s="1"/>
  <c r="L18" i="7"/>
  <c r="L16" i="7"/>
  <c r="G71" i="7"/>
  <c r="G73" i="7" s="1"/>
  <c r="F75" i="7"/>
  <c r="F76" i="7" s="1"/>
  <c r="H71" i="7"/>
  <c r="L10" i="7"/>
  <c r="H73" i="8" l="1"/>
  <c r="H74" i="8" s="1"/>
  <c r="H75" i="8" s="1"/>
  <c r="H76" i="8" s="1"/>
  <c r="F75" i="8"/>
  <c r="F76" i="8" s="1"/>
  <c r="J75" i="8"/>
  <c r="J76" i="8" s="1"/>
  <c r="G72" i="8"/>
  <c r="G74" i="8" s="1"/>
  <c r="G73" i="8"/>
  <c r="K75" i="8"/>
  <c r="K76" i="8" s="1"/>
  <c r="I75" i="8"/>
  <c r="I76" i="8" s="1"/>
  <c r="K72" i="7"/>
  <c r="K74" i="7" s="1"/>
  <c r="K75" i="7" s="1"/>
  <c r="K76" i="7" s="1"/>
  <c r="J73" i="7"/>
  <c r="J72" i="7"/>
  <c r="I73" i="7"/>
  <c r="I74" i="7" s="1"/>
  <c r="I75" i="7" s="1"/>
  <c r="I76" i="7" s="1"/>
  <c r="G72" i="7"/>
  <c r="G74" i="7" s="1"/>
  <c r="G75" i="7" s="1"/>
  <c r="G76" i="7" s="1"/>
  <c r="H72" i="7"/>
  <c r="H73" i="7"/>
  <c r="G75" i="8" l="1"/>
  <c r="G76" i="8" s="1"/>
  <c r="J74" i="7"/>
  <c r="J75" i="7" s="1"/>
  <c r="J76" i="7" s="1"/>
  <c r="H74" i="7"/>
  <c r="H75" i="7" s="1"/>
  <c r="H76" i="7" s="1"/>
  <c r="F71" i="6"/>
  <c r="F72" i="6" s="1"/>
  <c r="K70" i="6"/>
  <c r="J70" i="6"/>
  <c r="I70" i="6"/>
  <c r="H70" i="6"/>
  <c r="G70" i="6"/>
  <c r="L70" i="6" s="1"/>
  <c r="K69" i="6"/>
  <c r="J69" i="6"/>
  <c r="I69" i="6"/>
  <c r="H69" i="6"/>
  <c r="G69" i="6"/>
  <c r="K68" i="6"/>
  <c r="J68" i="6"/>
  <c r="I68" i="6"/>
  <c r="H68" i="6"/>
  <c r="L68" i="6" s="1"/>
  <c r="G68" i="6"/>
  <c r="K66" i="6"/>
  <c r="J66" i="6"/>
  <c r="I66" i="6"/>
  <c r="H66" i="6"/>
  <c r="G66" i="6"/>
  <c r="K65" i="6"/>
  <c r="J65" i="6"/>
  <c r="I65" i="6"/>
  <c r="H65" i="6"/>
  <c r="G65" i="6"/>
  <c r="K64" i="6"/>
  <c r="J64" i="6"/>
  <c r="I64" i="6"/>
  <c r="H64" i="6"/>
  <c r="G64" i="6"/>
  <c r="L64" i="6" s="1"/>
  <c r="K63" i="6"/>
  <c r="J63" i="6"/>
  <c r="I63" i="6"/>
  <c r="H63" i="6"/>
  <c r="G63" i="6"/>
  <c r="K61" i="6"/>
  <c r="J61" i="6"/>
  <c r="I61" i="6"/>
  <c r="H61" i="6"/>
  <c r="G61" i="6"/>
  <c r="L61" i="6" s="1"/>
  <c r="K60" i="6"/>
  <c r="J60" i="6"/>
  <c r="I60" i="6"/>
  <c r="H60" i="6"/>
  <c r="G60" i="6"/>
  <c r="L60" i="6" s="1"/>
  <c r="K59" i="6"/>
  <c r="J59" i="6"/>
  <c r="I59" i="6"/>
  <c r="H59" i="6"/>
  <c r="G59" i="6"/>
  <c r="L59" i="6" s="1"/>
  <c r="K57" i="6"/>
  <c r="J57" i="6"/>
  <c r="I57" i="6"/>
  <c r="H57" i="6"/>
  <c r="L57" i="6" s="1"/>
  <c r="G57" i="6"/>
  <c r="K56" i="6"/>
  <c r="J56" i="6"/>
  <c r="I56" i="6"/>
  <c r="H56" i="6"/>
  <c r="G56" i="6"/>
  <c r="K55" i="6"/>
  <c r="J55" i="6"/>
  <c r="I55" i="6"/>
  <c r="H55" i="6"/>
  <c r="G55" i="6"/>
  <c r="K53" i="6"/>
  <c r="J53" i="6"/>
  <c r="I53" i="6"/>
  <c r="H53" i="6"/>
  <c r="G53" i="6"/>
  <c r="L53" i="6" s="1"/>
  <c r="K52" i="6"/>
  <c r="J52" i="6"/>
  <c r="I52" i="6"/>
  <c r="H52" i="6"/>
  <c r="G52" i="6"/>
  <c r="K51" i="6"/>
  <c r="J51" i="6"/>
  <c r="I51" i="6"/>
  <c r="L51" i="6" s="1"/>
  <c r="H51" i="6"/>
  <c r="G51" i="6"/>
  <c r="K49" i="6"/>
  <c r="J49" i="6"/>
  <c r="I49" i="6"/>
  <c r="H49" i="6"/>
  <c r="G49" i="6"/>
  <c r="L49" i="6" s="1"/>
  <c r="K48" i="6"/>
  <c r="J48" i="6"/>
  <c r="I48" i="6"/>
  <c r="H48" i="6"/>
  <c r="G48" i="6"/>
  <c r="K47" i="6"/>
  <c r="J47" i="6"/>
  <c r="I47" i="6"/>
  <c r="H47" i="6"/>
  <c r="G47" i="6"/>
  <c r="K46" i="6"/>
  <c r="J46" i="6"/>
  <c r="I46" i="6"/>
  <c r="H46" i="6"/>
  <c r="G46" i="6"/>
  <c r="K45" i="6"/>
  <c r="J45" i="6"/>
  <c r="I45" i="6"/>
  <c r="H45" i="6"/>
  <c r="G45" i="6"/>
  <c r="K44" i="6"/>
  <c r="J44" i="6"/>
  <c r="I44" i="6"/>
  <c r="H44" i="6"/>
  <c r="G44" i="6"/>
  <c r="K42" i="6"/>
  <c r="J42" i="6"/>
  <c r="I42" i="6"/>
  <c r="H42" i="6"/>
  <c r="G42" i="6"/>
  <c r="K41" i="6"/>
  <c r="J41" i="6"/>
  <c r="I41" i="6"/>
  <c r="L41" i="6" s="1"/>
  <c r="H41" i="6"/>
  <c r="G41" i="6"/>
  <c r="K38" i="6"/>
  <c r="J38" i="6"/>
  <c r="I38" i="6"/>
  <c r="H38" i="6"/>
  <c r="G38" i="6"/>
  <c r="K37" i="6"/>
  <c r="J37" i="6"/>
  <c r="I37" i="6"/>
  <c r="H37" i="6"/>
  <c r="G37" i="6"/>
  <c r="K35" i="6"/>
  <c r="J35" i="6"/>
  <c r="I35" i="6"/>
  <c r="H35" i="6"/>
  <c r="L35" i="6" s="1"/>
  <c r="G35" i="6"/>
  <c r="K34" i="6"/>
  <c r="J34" i="6"/>
  <c r="I34" i="6"/>
  <c r="H34" i="6"/>
  <c r="G34" i="6"/>
  <c r="K33" i="6"/>
  <c r="J33" i="6"/>
  <c r="I33" i="6"/>
  <c r="H33" i="6"/>
  <c r="G33" i="6"/>
  <c r="K32" i="6"/>
  <c r="J32" i="6"/>
  <c r="I32" i="6"/>
  <c r="H32" i="6"/>
  <c r="G32" i="6"/>
  <c r="L32" i="6" s="1"/>
  <c r="K30" i="6"/>
  <c r="J30" i="6"/>
  <c r="I30" i="6"/>
  <c r="H30" i="6"/>
  <c r="G30" i="6"/>
  <c r="K27" i="6"/>
  <c r="J27" i="6"/>
  <c r="I27" i="6"/>
  <c r="L27" i="6" s="1"/>
  <c r="H27" i="6"/>
  <c r="G27" i="6"/>
  <c r="K26" i="6"/>
  <c r="J26" i="6"/>
  <c r="I26" i="6"/>
  <c r="H26" i="6"/>
  <c r="G26" i="6"/>
  <c r="K25" i="6"/>
  <c r="J25" i="6"/>
  <c r="I25" i="6"/>
  <c r="H25" i="6"/>
  <c r="G25" i="6"/>
  <c r="L25" i="6" s="1"/>
  <c r="K24" i="6"/>
  <c r="J24" i="6"/>
  <c r="I24" i="6"/>
  <c r="H24" i="6"/>
  <c r="G24" i="6"/>
  <c r="K22" i="6"/>
  <c r="J22" i="6"/>
  <c r="I22" i="6"/>
  <c r="H22" i="6"/>
  <c r="G22" i="6"/>
  <c r="K21" i="6"/>
  <c r="J21" i="6"/>
  <c r="I21" i="6"/>
  <c r="H21" i="6"/>
  <c r="G21" i="6"/>
  <c r="K20" i="6"/>
  <c r="J20" i="6"/>
  <c r="I20" i="6"/>
  <c r="H20" i="6"/>
  <c r="G20" i="6"/>
  <c r="K18" i="6"/>
  <c r="J18" i="6"/>
  <c r="I18" i="6"/>
  <c r="H18" i="6"/>
  <c r="G18" i="6"/>
  <c r="K16" i="6"/>
  <c r="J16" i="6"/>
  <c r="I16" i="6"/>
  <c r="H16" i="6"/>
  <c r="G16" i="6"/>
  <c r="K15" i="6"/>
  <c r="J15" i="6"/>
  <c r="I15" i="6"/>
  <c r="H15" i="6"/>
  <c r="G15" i="6"/>
  <c r="L15" i="6" s="1"/>
  <c r="K11" i="6"/>
  <c r="J11" i="6"/>
  <c r="I11" i="6"/>
  <c r="H11" i="6"/>
  <c r="G11" i="6"/>
  <c r="K10" i="6"/>
  <c r="J10" i="6"/>
  <c r="I10" i="6"/>
  <c r="H10" i="6"/>
  <c r="G10" i="6"/>
  <c r="L69" i="6" l="1"/>
  <c r="L66" i="6"/>
  <c r="L65" i="6"/>
  <c r="L63" i="6"/>
  <c r="L56" i="6"/>
  <c r="L55" i="6"/>
  <c r="L52" i="6"/>
  <c r="L44" i="6"/>
  <c r="L47" i="6"/>
  <c r="L46" i="6"/>
  <c r="L48" i="6"/>
  <c r="L45" i="6"/>
  <c r="L42" i="6"/>
  <c r="L38" i="6"/>
  <c r="L37" i="6"/>
  <c r="L34" i="6"/>
  <c r="L33" i="6"/>
  <c r="L30" i="6"/>
  <c r="L26" i="6"/>
  <c r="L24" i="6"/>
  <c r="H71" i="6"/>
  <c r="H72" i="6" s="1"/>
  <c r="L20" i="6"/>
  <c r="K71" i="6"/>
  <c r="K72" i="6" s="1"/>
  <c r="L22" i="6"/>
  <c r="L21" i="6"/>
  <c r="L18" i="6"/>
  <c r="J71" i="6"/>
  <c r="J73" i="6" s="1"/>
  <c r="I71" i="6"/>
  <c r="I72" i="6" s="1"/>
  <c r="G71" i="6"/>
  <c r="G72" i="6" s="1"/>
  <c r="L16" i="6"/>
  <c r="L11" i="6"/>
  <c r="L10" i="6"/>
  <c r="F73" i="6"/>
  <c r="F74" i="6" s="1"/>
  <c r="F75" i="6" s="1"/>
  <c r="F76" i="6" s="1"/>
  <c r="K73" i="6" l="1"/>
  <c r="K74" i="6" s="1"/>
  <c r="K75" i="6" s="1"/>
  <c r="K76" i="6" s="1"/>
  <c r="J72" i="6"/>
  <c r="H73" i="6"/>
  <c r="H74" i="6" s="1"/>
  <c r="H75" i="6" s="1"/>
  <c r="H76" i="6" s="1"/>
  <c r="G73" i="6"/>
  <c r="G74" i="6" s="1"/>
  <c r="G75" i="6" s="1"/>
  <c r="G76" i="6" s="1"/>
  <c r="I73" i="6"/>
  <c r="I74" i="6" s="1"/>
  <c r="I75" i="6" s="1"/>
  <c r="I76" i="6" s="1"/>
  <c r="J74" i="6"/>
  <c r="J75" i="6" s="1"/>
  <c r="J76" i="6" s="1"/>
  <c r="H70" i="5" l="1"/>
  <c r="G70" i="5"/>
  <c r="K69" i="5"/>
  <c r="J69" i="5"/>
  <c r="I69" i="5"/>
  <c r="K63" i="5"/>
  <c r="J63" i="5"/>
  <c r="H63" i="5"/>
  <c r="G63" i="5"/>
  <c r="K61" i="5"/>
  <c r="J61" i="5"/>
  <c r="I61" i="5"/>
  <c r="H61" i="5"/>
  <c r="G61" i="5"/>
  <c r="H60" i="5"/>
  <c r="G60" i="5"/>
  <c r="K59" i="5"/>
  <c r="J59" i="5"/>
  <c r="I59" i="5"/>
  <c r="G53" i="5"/>
  <c r="K52" i="5"/>
  <c r="J52" i="5"/>
  <c r="H52" i="5"/>
  <c r="G52" i="5"/>
  <c r="K51" i="5"/>
  <c r="J51" i="5"/>
  <c r="I51" i="5"/>
  <c r="H51" i="5"/>
  <c r="G51" i="5"/>
  <c r="H49" i="5"/>
  <c r="G49" i="5"/>
  <c r="K48" i="5"/>
  <c r="J48" i="5"/>
  <c r="I48" i="5"/>
  <c r="G44" i="5"/>
  <c r="K42" i="5"/>
  <c r="J42" i="5"/>
  <c r="H42" i="5"/>
  <c r="G42" i="5"/>
  <c r="K41" i="5"/>
  <c r="J41" i="5"/>
  <c r="I41" i="5"/>
  <c r="H41" i="5"/>
  <c r="G41" i="5"/>
  <c r="H38" i="5"/>
  <c r="G38" i="5"/>
  <c r="K37" i="5"/>
  <c r="J37" i="5"/>
  <c r="I37" i="5"/>
  <c r="G32" i="5"/>
  <c r="K30" i="5"/>
  <c r="J30" i="5"/>
  <c r="H30" i="5"/>
  <c r="G30" i="5"/>
  <c r="K27" i="5"/>
  <c r="J27" i="5"/>
  <c r="I27" i="5"/>
  <c r="H27" i="5"/>
  <c r="G27" i="5"/>
  <c r="H26" i="5"/>
  <c r="G26" i="5"/>
  <c r="K25" i="5"/>
  <c r="J25" i="5"/>
  <c r="I25" i="5"/>
  <c r="G20" i="5"/>
  <c r="K18" i="5"/>
  <c r="J18" i="5"/>
  <c r="H18" i="5"/>
  <c r="G18" i="5"/>
  <c r="K16" i="5"/>
  <c r="J16" i="5"/>
  <c r="I16" i="5"/>
  <c r="H16" i="5"/>
  <c r="G16" i="5"/>
  <c r="H15" i="5"/>
  <c r="G15" i="5"/>
  <c r="G11" i="5"/>
  <c r="H11" i="5"/>
  <c r="I11" i="5"/>
  <c r="J70" i="5"/>
  <c r="H69" i="5"/>
  <c r="H68" i="5"/>
  <c r="G65" i="5"/>
  <c r="H64" i="5"/>
  <c r="I63" i="5"/>
  <c r="K60" i="5"/>
  <c r="H59" i="5"/>
  <c r="H57" i="5"/>
  <c r="G55" i="5"/>
  <c r="H53" i="5"/>
  <c r="I52" i="5"/>
  <c r="K49" i="5"/>
  <c r="H48" i="5"/>
  <c r="G45" i="5"/>
  <c r="H44" i="5"/>
  <c r="I42" i="5"/>
  <c r="K38" i="5"/>
  <c r="H37" i="5"/>
  <c r="I35" i="5"/>
  <c r="G33" i="5"/>
  <c r="H32" i="5"/>
  <c r="I30" i="5"/>
  <c r="K26" i="5"/>
  <c r="H25" i="5"/>
  <c r="G24" i="5"/>
  <c r="G21" i="5"/>
  <c r="H20" i="5"/>
  <c r="I18" i="5"/>
  <c r="K15" i="5"/>
  <c r="J11" i="5"/>
  <c r="H10" i="5"/>
  <c r="G64" i="5" l="1"/>
  <c r="K47" i="5"/>
  <c r="J47" i="5"/>
  <c r="I24" i="5"/>
  <c r="I47" i="5"/>
  <c r="I57" i="5"/>
  <c r="K35" i="5"/>
  <c r="J35" i="5"/>
  <c r="H21" i="5"/>
  <c r="H33" i="5"/>
  <c r="H45" i="5"/>
  <c r="H55" i="5"/>
  <c r="H65" i="5"/>
  <c r="K68" i="5"/>
  <c r="J68" i="5"/>
  <c r="I68" i="5"/>
  <c r="H47" i="5"/>
  <c r="I21" i="5"/>
  <c r="I33" i="5"/>
  <c r="I45" i="5"/>
  <c r="I55" i="5"/>
  <c r="I65" i="5"/>
  <c r="G57" i="5"/>
  <c r="H35" i="5"/>
  <c r="K44" i="5"/>
  <c r="J44" i="5"/>
  <c r="I44" i="5"/>
  <c r="J21" i="5"/>
  <c r="J33" i="5"/>
  <c r="J45" i="5"/>
  <c r="J55" i="5"/>
  <c r="J65" i="5"/>
  <c r="K24" i="5"/>
  <c r="J24" i="5"/>
  <c r="G35" i="5"/>
  <c r="K32" i="5"/>
  <c r="J32" i="5"/>
  <c r="I32" i="5"/>
  <c r="K64" i="5"/>
  <c r="J64" i="5"/>
  <c r="I64" i="5"/>
  <c r="K21" i="5"/>
  <c r="K33" i="5"/>
  <c r="K45" i="5"/>
  <c r="K55" i="5"/>
  <c r="K65" i="5"/>
  <c r="K57" i="5"/>
  <c r="J57" i="5"/>
  <c r="G47" i="5"/>
  <c r="G68" i="5"/>
  <c r="H24" i="5"/>
  <c r="K20" i="5"/>
  <c r="J20" i="5"/>
  <c r="I20" i="5"/>
  <c r="K53" i="5"/>
  <c r="J53" i="5"/>
  <c r="I53" i="5"/>
  <c r="J22" i="5"/>
  <c r="I22" i="5"/>
  <c r="H22" i="5"/>
  <c r="G22" i="5"/>
  <c r="J34" i="5"/>
  <c r="I34" i="5"/>
  <c r="H34" i="5"/>
  <c r="G34" i="5"/>
  <c r="J46" i="5"/>
  <c r="I46" i="5"/>
  <c r="H46" i="5"/>
  <c r="G46" i="5"/>
  <c r="J56" i="5"/>
  <c r="I56" i="5"/>
  <c r="H56" i="5"/>
  <c r="G56" i="5"/>
  <c r="J66" i="5"/>
  <c r="I66" i="5"/>
  <c r="H66" i="5"/>
  <c r="G66" i="5"/>
  <c r="K22" i="5"/>
  <c r="K34" i="5"/>
  <c r="K46" i="5"/>
  <c r="K56" i="5"/>
  <c r="K66" i="5"/>
  <c r="I15" i="5"/>
  <c r="I26" i="5"/>
  <c r="I38" i="5"/>
  <c r="I49" i="5"/>
  <c r="I60" i="5"/>
  <c r="I70" i="5"/>
  <c r="K11" i="5"/>
  <c r="J15" i="5"/>
  <c r="G25" i="5"/>
  <c r="J26" i="5"/>
  <c r="G37" i="5"/>
  <c r="J38" i="5"/>
  <c r="G48" i="5"/>
  <c r="J49" i="5"/>
  <c r="G59" i="5"/>
  <c r="J60" i="5"/>
  <c r="G69" i="5"/>
  <c r="L69" i="5" s="1"/>
  <c r="K70" i="5"/>
  <c r="K10" i="5"/>
  <c r="J10" i="5"/>
  <c r="I10" i="5"/>
  <c r="L63" i="5"/>
  <c r="G10" i="5"/>
  <c r="L51" i="5"/>
  <c r="L70" i="5"/>
  <c r="O7" i="3"/>
  <c r="I8" i="3"/>
  <c r="I9" i="3"/>
  <c r="I10" i="3"/>
  <c r="I11" i="3"/>
  <c r="H8" i="3"/>
  <c r="H9" i="3"/>
  <c r="H10" i="3"/>
  <c r="H11" i="3"/>
  <c r="G11" i="3" s="1"/>
  <c r="E8" i="3"/>
  <c r="F8" i="3"/>
  <c r="E9" i="3"/>
  <c r="F9" i="3"/>
  <c r="E10" i="3"/>
  <c r="F10" i="3"/>
  <c r="G10" i="3"/>
  <c r="E11" i="3"/>
  <c r="F11" i="3"/>
  <c r="C8" i="3"/>
  <c r="D8" i="3" s="1"/>
  <c r="C9" i="3"/>
  <c r="C10" i="3"/>
  <c r="D10" i="3" s="1"/>
  <c r="C11" i="3"/>
  <c r="C7" i="3"/>
  <c r="E10" i="2"/>
  <c r="J10" i="2"/>
  <c r="L10" i="2"/>
  <c r="N10" i="2"/>
  <c r="O10" i="2"/>
  <c r="P10" i="2" s="1"/>
  <c r="Q10" i="2"/>
  <c r="F10" i="2" s="1"/>
  <c r="E11" i="2"/>
  <c r="J11" i="2"/>
  <c r="L11" i="2"/>
  <c r="N11" i="2"/>
  <c r="Q11" i="2"/>
  <c r="R11" i="2" s="1"/>
  <c r="E15" i="2"/>
  <c r="G15" i="2" s="1"/>
  <c r="J15" i="2"/>
  <c r="H15" i="2" s="1"/>
  <c r="I15" i="2" s="1"/>
  <c r="K15" i="2"/>
  <c r="L15" i="2"/>
  <c r="N15" i="2" s="1"/>
  <c r="Q15" i="2"/>
  <c r="F15" i="2" s="1"/>
  <c r="E16" i="2"/>
  <c r="F16" i="2"/>
  <c r="H16" i="2" s="1"/>
  <c r="G16" i="2"/>
  <c r="J16" i="2"/>
  <c r="L16" i="2"/>
  <c r="N16" i="2" s="1"/>
  <c r="O16" i="2"/>
  <c r="P16" i="2"/>
  <c r="Q16" i="2"/>
  <c r="R16" i="2" s="1"/>
  <c r="E18" i="2"/>
  <c r="G18" i="2" s="1"/>
  <c r="J18" i="2"/>
  <c r="H18" i="2" s="1"/>
  <c r="L18" i="2"/>
  <c r="N18" i="2"/>
  <c r="Q18" i="2"/>
  <c r="F18" i="2" s="1"/>
  <c r="E20" i="2"/>
  <c r="J20" i="2"/>
  <c r="K20" i="2"/>
  <c r="L20" i="2"/>
  <c r="N20" i="2" s="1"/>
  <c r="Q20" i="2"/>
  <c r="F20" i="2" s="1"/>
  <c r="G20" i="2" s="1"/>
  <c r="E21" i="2"/>
  <c r="G21" i="2" s="1"/>
  <c r="F21" i="2"/>
  <c r="J21" i="2"/>
  <c r="H21" i="2" s="1"/>
  <c r="L21" i="2"/>
  <c r="R21" i="2" s="1"/>
  <c r="N21" i="2"/>
  <c r="O21" i="2"/>
  <c r="P21" i="2" s="1"/>
  <c r="Q21" i="2"/>
  <c r="E22" i="2"/>
  <c r="K22" i="2" s="1"/>
  <c r="J22" i="2"/>
  <c r="L22" i="2"/>
  <c r="N22" i="2" s="1"/>
  <c r="Q22" i="2"/>
  <c r="F22" i="2" s="1"/>
  <c r="R22" i="2"/>
  <c r="E23" i="2"/>
  <c r="J23" i="2"/>
  <c r="K23" i="2"/>
  <c r="L23" i="2"/>
  <c r="N23" i="2" s="1"/>
  <c r="Q23" i="2"/>
  <c r="F23" i="2" s="1"/>
  <c r="G23" i="2" s="1"/>
  <c r="E24" i="2"/>
  <c r="I24" i="2" s="1"/>
  <c r="F24" i="2"/>
  <c r="G24" i="2"/>
  <c r="J24" i="2"/>
  <c r="H24" i="2" s="1"/>
  <c r="L24" i="2"/>
  <c r="N24" i="2" s="1"/>
  <c r="O24" i="2"/>
  <c r="P24" i="2"/>
  <c r="Q24" i="2"/>
  <c r="R24" i="2" s="1"/>
  <c r="E25" i="2"/>
  <c r="K25" i="2" s="1"/>
  <c r="J25" i="2"/>
  <c r="H25" i="2" s="1"/>
  <c r="I25" i="2" s="1"/>
  <c r="L25" i="2"/>
  <c r="N25" i="2"/>
  <c r="Q25" i="2"/>
  <c r="F25" i="2" s="1"/>
  <c r="G25" i="2" s="1"/>
  <c r="R25" i="2"/>
  <c r="E26" i="2"/>
  <c r="G26" i="2" s="1"/>
  <c r="J26" i="2"/>
  <c r="H26" i="2" s="1"/>
  <c r="L26" i="2"/>
  <c r="N26" i="2"/>
  <c r="Q26" i="2"/>
  <c r="F26" i="2" s="1"/>
  <c r="E27" i="2"/>
  <c r="J27" i="2"/>
  <c r="L27" i="2"/>
  <c r="N27" i="2"/>
  <c r="Q27" i="2"/>
  <c r="R27" i="2" s="1"/>
  <c r="E28" i="2"/>
  <c r="J28" i="2"/>
  <c r="H28" i="2" s="1"/>
  <c r="I28" i="2" s="1"/>
  <c r="K28" i="2"/>
  <c r="L28" i="2"/>
  <c r="N28" i="2" s="1"/>
  <c r="Q28" i="2"/>
  <c r="F28" i="2" s="1"/>
  <c r="G28" i="2" s="1"/>
  <c r="E29" i="2"/>
  <c r="G29" i="2" s="1"/>
  <c r="F29" i="2"/>
  <c r="J29" i="2"/>
  <c r="H29" i="2" s="1"/>
  <c r="L29" i="2"/>
  <c r="R29" i="2" s="1"/>
  <c r="N29" i="2"/>
  <c r="O29" i="2"/>
  <c r="P29" i="2" s="1"/>
  <c r="Q29" i="2"/>
  <c r="E30" i="2"/>
  <c r="K30" i="2" s="1"/>
  <c r="J30" i="2"/>
  <c r="L30" i="2"/>
  <c r="N30" i="2" s="1"/>
  <c r="Q30" i="2"/>
  <c r="F30" i="2" s="1"/>
  <c r="R30" i="2"/>
  <c r="E31" i="2"/>
  <c r="J31" i="2"/>
  <c r="K31" i="2"/>
  <c r="L31" i="2"/>
  <c r="N31" i="2" s="1"/>
  <c r="Q31" i="2"/>
  <c r="F31" i="2" s="1"/>
  <c r="G31" i="2" s="1"/>
  <c r="E32" i="2"/>
  <c r="I32" i="2" s="1"/>
  <c r="F32" i="2"/>
  <c r="G32" i="2"/>
  <c r="J32" i="2"/>
  <c r="H32" i="2" s="1"/>
  <c r="L32" i="2"/>
  <c r="N32" i="2" s="1"/>
  <c r="O32" i="2"/>
  <c r="P32" i="2"/>
  <c r="Q32" i="2"/>
  <c r="R32" i="2" s="1"/>
  <c r="E33" i="2"/>
  <c r="K33" i="2" s="1"/>
  <c r="J33" i="2"/>
  <c r="H33" i="2" s="1"/>
  <c r="I33" i="2" s="1"/>
  <c r="L33" i="2"/>
  <c r="N33" i="2"/>
  <c r="Q33" i="2"/>
  <c r="F33" i="2" s="1"/>
  <c r="G33" i="2" s="1"/>
  <c r="R33" i="2"/>
  <c r="E34" i="2"/>
  <c r="J34" i="2"/>
  <c r="L34" i="2"/>
  <c r="N34" i="2"/>
  <c r="Q34" i="2"/>
  <c r="F34" i="2" s="1"/>
  <c r="E35" i="2"/>
  <c r="J35" i="2"/>
  <c r="L35" i="2"/>
  <c r="N35" i="2"/>
  <c r="Q35" i="2"/>
  <c r="R35" i="2" s="1"/>
  <c r="E36" i="2"/>
  <c r="J36" i="2"/>
  <c r="H36" i="2" s="1"/>
  <c r="I36" i="2" s="1"/>
  <c r="K36" i="2"/>
  <c r="L36" i="2"/>
  <c r="N36" i="2" s="1"/>
  <c r="Q36" i="2"/>
  <c r="F36" i="2" s="1"/>
  <c r="G36" i="2" s="1"/>
  <c r="E37" i="2"/>
  <c r="G37" i="2" s="1"/>
  <c r="F37" i="2"/>
  <c r="J37" i="2"/>
  <c r="H37" i="2" s="1"/>
  <c r="L37" i="2"/>
  <c r="R37" i="2" s="1"/>
  <c r="N37" i="2"/>
  <c r="O37" i="2"/>
  <c r="P37" i="2" s="1"/>
  <c r="Q37" i="2"/>
  <c r="E38" i="2"/>
  <c r="J38" i="2"/>
  <c r="K38" i="2" s="1"/>
  <c r="L38" i="2"/>
  <c r="N38" i="2" s="1"/>
  <c r="Q38" i="2"/>
  <c r="F38" i="2" s="1"/>
  <c r="R38" i="2"/>
  <c r="E39" i="2"/>
  <c r="F39" i="2"/>
  <c r="G39" i="2"/>
  <c r="J39" i="2"/>
  <c r="H39" i="2" s="1"/>
  <c r="I39" i="2" s="1"/>
  <c r="K39" i="2"/>
  <c r="L39" i="2"/>
  <c r="N39" i="2" s="1"/>
  <c r="O39" i="2"/>
  <c r="Q39" i="2"/>
  <c r="E40" i="2"/>
  <c r="I40" i="2" s="1"/>
  <c r="F40" i="2"/>
  <c r="G40" i="2"/>
  <c r="J40" i="2"/>
  <c r="H40" i="2" s="1"/>
  <c r="L40" i="2"/>
  <c r="R40" i="2" s="1"/>
  <c r="O40" i="2"/>
  <c r="P40" i="2"/>
  <c r="Q40" i="2"/>
  <c r="E41" i="2"/>
  <c r="K41" i="2" s="1"/>
  <c r="J41" i="2"/>
  <c r="H41" i="2" s="1"/>
  <c r="I41" i="2" s="1"/>
  <c r="L41" i="2"/>
  <c r="N41" i="2"/>
  <c r="Q41" i="2"/>
  <c r="F41" i="2" s="1"/>
  <c r="G41" i="2" s="1"/>
  <c r="R41" i="2"/>
  <c r="E42" i="2"/>
  <c r="G42" i="2" s="1"/>
  <c r="J42" i="2"/>
  <c r="H42" i="2" s="1"/>
  <c r="L42" i="2"/>
  <c r="N42" i="2"/>
  <c r="Q42" i="2"/>
  <c r="F42" i="2" s="1"/>
  <c r="E43" i="2"/>
  <c r="J43" i="2"/>
  <c r="L43" i="2"/>
  <c r="N43" i="2"/>
  <c r="Q43" i="2"/>
  <c r="R43" i="2" s="1"/>
  <c r="E44" i="2"/>
  <c r="G44" i="2" s="1"/>
  <c r="J44" i="2"/>
  <c r="H44" i="2" s="1"/>
  <c r="I44" i="2" s="1"/>
  <c r="K44" i="2"/>
  <c r="L44" i="2"/>
  <c r="N44" i="2"/>
  <c r="Q44" i="2"/>
  <c r="F44" i="2" s="1"/>
  <c r="E45" i="2"/>
  <c r="G45" i="2" s="1"/>
  <c r="F45" i="2"/>
  <c r="H45" i="2" s="1"/>
  <c r="J45" i="2"/>
  <c r="L45" i="2"/>
  <c r="R45" i="2" s="1"/>
  <c r="N45" i="2"/>
  <c r="O45" i="2"/>
  <c r="P45" i="2" s="1"/>
  <c r="Q45" i="2"/>
  <c r="E46" i="2"/>
  <c r="J46" i="2"/>
  <c r="K46" i="2"/>
  <c r="L46" i="2"/>
  <c r="N46" i="2" s="1"/>
  <c r="Q46" i="2"/>
  <c r="F46" i="2" s="1"/>
  <c r="R46" i="2"/>
  <c r="E47" i="2"/>
  <c r="F47" i="2"/>
  <c r="G47" i="2" s="1"/>
  <c r="J47" i="2"/>
  <c r="H47" i="2" s="1"/>
  <c r="I47" i="2" s="1"/>
  <c r="K47" i="2"/>
  <c r="L47" i="2"/>
  <c r="O47" i="2"/>
  <c r="P47" i="2" s="1"/>
  <c r="Q47" i="2"/>
  <c r="E48" i="2"/>
  <c r="K48" i="2" s="1"/>
  <c r="F48" i="2"/>
  <c r="G48" i="2"/>
  <c r="J48" i="2"/>
  <c r="H48" i="2" s="1"/>
  <c r="I48" i="2" s="1"/>
  <c r="L48" i="2"/>
  <c r="R48" i="2" s="1"/>
  <c r="O48" i="2"/>
  <c r="P48" i="2"/>
  <c r="Q48" i="2"/>
  <c r="E49" i="2"/>
  <c r="K49" i="2" s="1"/>
  <c r="J49" i="2"/>
  <c r="L49" i="2"/>
  <c r="N49" i="2" s="1"/>
  <c r="Q49" i="2"/>
  <c r="F49" i="2" s="1"/>
  <c r="G49" i="2" s="1"/>
  <c r="R49" i="2"/>
  <c r="E50" i="2"/>
  <c r="J50" i="2"/>
  <c r="H50" i="2" s="1"/>
  <c r="L50" i="2"/>
  <c r="N50" i="2"/>
  <c r="Q50" i="2"/>
  <c r="F50" i="2" s="1"/>
  <c r="E51" i="2"/>
  <c r="J51" i="2"/>
  <c r="L51" i="2"/>
  <c r="N51" i="2"/>
  <c r="Q51" i="2"/>
  <c r="E52" i="2"/>
  <c r="J52" i="2"/>
  <c r="K52" i="2"/>
  <c r="L52" i="2"/>
  <c r="N52" i="2"/>
  <c r="Q52" i="2"/>
  <c r="F52" i="2" s="1"/>
  <c r="E53" i="2"/>
  <c r="F53" i="2"/>
  <c r="H53" i="2" s="1"/>
  <c r="J53" i="2"/>
  <c r="L53" i="2"/>
  <c r="N53" i="2"/>
  <c r="O53" i="2"/>
  <c r="P53" i="2" s="1"/>
  <c r="Q53" i="2"/>
  <c r="R53" i="2" s="1"/>
  <c r="E54" i="2"/>
  <c r="J54" i="2"/>
  <c r="K54" i="2"/>
  <c r="L54" i="2"/>
  <c r="N54" i="2" s="1"/>
  <c r="Q54" i="2"/>
  <c r="F54" i="2" s="1"/>
  <c r="R54" i="2"/>
  <c r="E55" i="2"/>
  <c r="F55" i="2"/>
  <c r="G55" i="2" s="1"/>
  <c r="J55" i="2"/>
  <c r="H55" i="2" s="1"/>
  <c r="I55" i="2" s="1"/>
  <c r="K55" i="2"/>
  <c r="L55" i="2"/>
  <c r="O55" i="2"/>
  <c r="Q55" i="2"/>
  <c r="E56" i="2"/>
  <c r="K56" i="2" s="1"/>
  <c r="F56" i="2"/>
  <c r="G56" i="2"/>
  <c r="J56" i="2"/>
  <c r="H56" i="2" s="1"/>
  <c r="I56" i="2" s="1"/>
  <c r="L56" i="2"/>
  <c r="R56" i="2" s="1"/>
  <c r="O56" i="2"/>
  <c r="P56" i="2"/>
  <c r="Q56" i="2"/>
  <c r="E57" i="2"/>
  <c r="K57" i="2" s="1"/>
  <c r="J57" i="2"/>
  <c r="L57" i="2"/>
  <c r="N57" i="2" s="1"/>
  <c r="Q57" i="2"/>
  <c r="F57" i="2" s="1"/>
  <c r="G57" i="2" s="1"/>
  <c r="R57" i="2"/>
  <c r="E58" i="2"/>
  <c r="J58" i="2"/>
  <c r="L58" i="2"/>
  <c r="N58" i="2"/>
  <c r="Q58" i="2"/>
  <c r="F58" i="2" s="1"/>
  <c r="E59" i="2"/>
  <c r="J59" i="2"/>
  <c r="L59" i="2"/>
  <c r="N59" i="2"/>
  <c r="Q59" i="2"/>
  <c r="E60" i="2"/>
  <c r="G60" i="2" s="1"/>
  <c r="J60" i="2"/>
  <c r="K60" i="2"/>
  <c r="L60" i="2"/>
  <c r="N60" i="2"/>
  <c r="Q60" i="2"/>
  <c r="F60" i="2" s="1"/>
  <c r="E61" i="2"/>
  <c r="F61" i="2"/>
  <c r="H61" i="2" s="1"/>
  <c r="J61" i="2"/>
  <c r="L61" i="2"/>
  <c r="N61" i="2"/>
  <c r="O61" i="2"/>
  <c r="P61" i="2" s="1"/>
  <c r="Q61" i="2"/>
  <c r="R61" i="2" s="1"/>
  <c r="E62" i="2"/>
  <c r="J62" i="2"/>
  <c r="K62" i="2"/>
  <c r="L62" i="2"/>
  <c r="N62" i="2" s="1"/>
  <c r="Q62" i="2"/>
  <c r="F62" i="2" s="1"/>
  <c r="R62" i="2"/>
  <c r="E63" i="2"/>
  <c r="F63" i="2"/>
  <c r="G63" i="2" s="1"/>
  <c r="J63" i="2"/>
  <c r="H63" i="2" s="1"/>
  <c r="I63" i="2" s="1"/>
  <c r="K63" i="2"/>
  <c r="L63" i="2"/>
  <c r="O63" i="2"/>
  <c r="P63" i="2" s="1"/>
  <c r="Q63" i="2"/>
  <c r="E64" i="2"/>
  <c r="K64" i="2" s="1"/>
  <c r="F64" i="2"/>
  <c r="G64" i="2"/>
  <c r="J64" i="2"/>
  <c r="H64" i="2" s="1"/>
  <c r="I64" i="2" s="1"/>
  <c r="L64" i="2"/>
  <c r="R64" i="2" s="1"/>
  <c r="O64" i="2"/>
  <c r="P64" i="2"/>
  <c r="Q64" i="2"/>
  <c r="E65" i="2"/>
  <c r="J65" i="2"/>
  <c r="H65" i="2" s="1"/>
  <c r="I65" i="2" s="1"/>
  <c r="L65" i="2"/>
  <c r="N65" i="2" s="1"/>
  <c r="Q65" i="2"/>
  <c r="F65" i="2" s="1"/>
  <c r="G65" i="2" s="1"/>
  <c r="R65" i="2"/>
  <c r="E66" i="2"/>
  <c r="J66" i="2"/>
  <c r="L66" i="2"/>
  <c r="N66" i="2"/>
  <c r="Q66" i="2"/>
  <c r="F66" i="2" s="1"/>
  <c r="E67" i="2"/>
  <c r="J67" i="2"/>
  <c r="L67" i="2"/>
  <c r="N67" i="2"/>
  <c r="Q67" i="2"/>
  <c r="E68" i="2"/>
  <c r="G68" i="2" s="1"/>
  <c r="J68" i="2"/>
  <c r="H68" i="2" s="1"/>
  <c r="K68" i="2"/>
  <c r="L68" i="2"/>
  <c r="N68" i="2"/>
  <c r="Q68" i="2"/>
  <c r="F68" i="2" s="1"/>
  <c r="E69" i="2"/>
  <c r="F69" i="2"/>
  <c r="H69" i="2" s="1"/>
  <c r="J69" i="2"/>
  <c r="L69" i="2"/>
  <c r="N69" i="2"/>
  <c r="O69" i="2"/>
  <c r="P69" i="2" s="1"/>
  <c r="Q69" i="2"/>
  <c r="R69" i="2" s="1"/>
  <c r="E70" i="2"/>
  <c r="J70" i="2"/>
  <c r="K70" i="2"/>
  <c r="L70" i="2"/>
  <c r="N70" i="2" s="1"/>
  <c r="Q70" i="2"/>
  <c r="O70" i="2" s="1"/>
  <c r="P70" i="2" s="1"/>
  <c r="R70" i="2"/>
  <c r="T10" i="1"/>
  <c r="N70" i="1"/>
  <c r="N69" i="1"/>
  <c r="N68" i="1"/>
  <c r="N66" i="1"/>
  <c r="N65" i="1"/>
  <c r="N64" i="1"/>
  <c r="N63" i="1"/>
  <c r="N61" i="1"/>
  <c r="N60" i="1"/>
  <c r="N59" i="1"/>
  <c r="N57" i="1"/>
  <c r="N56" i="1"/>
  <c r="N55" i="1"/>
  <c r="N48" i="1"/>
  <c r="N47" i="1"/>
  <c r="N46" i="1"/>
  <c r="N45" i="1"/>
  <c r="N44" i="1"/>
  <c r="N42" i="1"/>
  <c r="N41" i="1"/>
  <c r="N38" i="1"/>
  <c r="N37" i="1"/>
  <c r="N35" i="1"/>
  <c r="N34" i="1"/>
  <c r="N33" i="1"/>
  <c r="N32" i="1"/>
  <c r="N30" i="1"/>
  <c r="N27" i="1"/>
  <c r="N26" i="1"/>
  <c r="N25" i="1"/>
  <c r="N24" i="1"/>
  <c r="N22" i="1"/>
  <c r="N18" i="1"/>
  <c r="N16" i="1"/>
  <c r="N15" i="1"/>
  <c r="N11" i="1"/>
  <c r="N10" i="1"/>
  <c r="K22" i="1"/>
  <c r="L65" i="5" l="1"/>
  <c r="L66" i="5"/>
  <c r="L68" i="5"/>
  <c r="L21" i="5"/>
  <c r="L47" i="5"/>
  <c r="L64" i="5"/>
  <c r="J71" i="5"/>
  <c r="K71" i="5"/>
  <c r="I71" i="5"/>
  <c r="L10" i="5"/>
  <c r="L55" i="5"/>
  <c r="L60" i="5"/>
  <c r="L26" i="5"/>
  <c r="L59" i="5"/>
  <c r="L11" i="5"/>
  <c r="L35" i="5"/>
  <c r="L57" i="5"/>
  <c r="L24" i="5"/>
  <c r="L42" i="5"/>
  <c r="L49" i="5"/>
  <c r="L45" i="5"/>
  <c r="L46" i="5"/>
  <c r="L61" i="5"/>
  <c r="L53" i="5"/>
  <c r="L32" i="5"/>
  <c r="L52" i="5"/>
  <c r="L15" i="5"/>
  <c r="L56" i="5"/>
  <c r="L33" i="5"/>
  <c r="L34" i="5"/>
  <c r="L48" i="5"/>
  <c r="L25" i="5"/>
  <c r="L18" i="5"/>
  <c r="L38" i="5"/>
  <c r="L27" i="5"/>
  <c r="L44" i="5"/>
  <c r="L20" i="5"/>
  <c r="L30" i="5"/>
  <c r="L22" i="5"/>
  <c r="L41" i="5"/>
  <c r="L16" i="5"/>
  <c r="L37" i="5"/>
  <c r="G9" i="3"/>
  <c r="G8" i="3"/>
  <c r="D11" i="3"/>
  <c r="D9" i="3"/>
  <c r="G53" i="2"/>
  <c r="H62" i="2"/>
  <c r="I62" i="2" s="1"/>
  <c r="G62" i="2"/>
  <c r="G50" i="2"/>
  <c r="I50" i="2"/>
  <c r="K50" i="2"/>
  <c r="H60" i="2"/>
  <c r="H57" i="2"/>
  <c r="I57" i="2" s="1"/>
  <c r="H38" i="2"/>
  <c r="I38" i="2" s="1"/>
  <c r="G38" i="2"/>
  <c r="H34" i="2"/>
  <c r="G34" i="2"/>
  <c r="H23" i="2"/>
  <c r="I23" i="2" s="1"/>
  <c r="H46" i="2"/>
  <c r="I46" i="2" s="1"/>
  <c r="G46" i="2"/>
  <c r="K65" i="2"/>
  <c r="R67" i="2"/>
  <c r="F67" i="2"/>
  <c r="O67" i="2"/>
  <c r="P67" i="2" s="1"/>
  <c r="H66" i="2"/>
  <c r="N63" i="2"/>
  <c r="R63" i="2"/>
  <c r="R59" i="2"/>
  <c r="F59" i="2"/>
  <c r="O59" i="2"/>
  <c r="P59" i="2" s="1"/>
  <c r="H54" i="2"/>
  <c r="I54" i="2" s="1"/>
  <c r="G54" i="2"/>
  <c r="H20" i="2"/>
  <c r="I20" i="2" s="1"/>
  <c r="R51" i="2"/>
  <c r="F51" i="2"/>
  <c r="O51" i="2"/>
  <c r="P51" i="2" s="1"/>
  <c r="H30" i="2"/>
  <c r="I30" i="2" s="1"/>
  <c r="G30" i="2"/>
  <c r="N47" i="2"/>
  <c r="R47" i="2"/>
  <c r="G69" i="2"/>
  <c r="G66" i="2"/>
  <c r="I66" i="2"/>
  <c r="K66" i="2"/>
  <c r="G61" i="2"/>
  <c r="H58" i="2"/>
  <c r="I58" i="2" s="1"/>
  <c r="P55" i="2"/>
  <c r="H52" i="2"/>
  <c r="H49" i="2"/>
  <c r="I49" i="2" s="1"/>
  <c r="H31" i="2"/>
  <c r="I31" i="2" s="1"/>
  <c r="I16" i="2"/>
  <c r="H10" i="2"/>
  <c r="I10" i="2" s="1"/>
  <c r="G58" i="2"/>
  <c r="K58" i="2"/>
  <c r="N55" i="2"/>
  <c r="R55" i="2"/>
  <c r="G52" i="2"/>
  <c r="H22" i="2"/>
  <c r="I22" i="2" s="1"/>
  <c r="G22" i="2"/>
  <c r="G10" i="2"/>
  <c r="R68" i="2"/>
  <c r="I68" i="2"/>
  <c r="N64" i="2"/>
  <c r="R60" i="2"/>
  <c r="I60" i="2"/>
  <c r="N56" i="2"/>
  <c r="R52" i="2"/>
  <c r="I52" i="2"/>
  <c r="N48" i="2"/>
  <c r="R44" i="2"/>
  <c r="O43" i="2"/>
  <c r="P43" i="2" s="1"/>
  <c r="F43" i="2"/>
  <c r="K42" i="2"/>
  <c r="N40" i="2"/>
  <c r="R36" i="2"/>
  <c r="O35" i="2"/>
  <c r="P35" i="2" s="1"/>
  <c r="F35" i="2"/>
  <c r="K34" i="2"/>
  <c r="R28" i="2"/>
  <c r="O27" i="2"/>
  <c r="P27" i="2" s="1"/>
  <c r="F27" i="2"/>
  <c r="K26" i="2"/>
  <c r="R20" i="2"/>
  <c r="K18" i="2"/>
  <c r="O11" i="2"/>
  <c r="P11" i="2" s="1"/>
  <c r="F11" i="2"/>
  <c r="K10" i="2"/>
  <c r="F70" i="2"/>
  <c r="O62" i="2"/>
  <c r="P62" i="2" s="1"/>
  <c r="K61" i="2"/>
  <c r="K53" i="2"/>
  <c r="O46" i="2"/>
  <c r="P46" i="2" s="1"/>
  <c r="K45" i="2"/>
  <c r="O38" i="2"/>
  <c r="P38" i="2" s="1"/>
  <c r="R31" i="2"/>
  <c r="O30" i="2"/>
  <c r="P30" i="2" s="1"/>
  <c r="K29" i="2"/>
  <c r="R23" i="2"/>
  <c r="O22" i="2"/>
  <c r="P22" i="2" s="1"/>
  <c r="K21" i="2"/>
  <c r="R15" i="2"/>
  <c r="O54" i="2"/>
  <c r="P54" i="2" s="1"/>
  <c r="K37" i="2"/>
  <c r="R66" i="2"/>
  <c r="O65" i="2"/>
  <c r="P65" i="2" s="1"/>
  <c r="R58" i="2"/>
  <c r="O57" i="2"/>
  <c r="P57" i="2" s="1"/>
  <c r="R50" i="2"/>
  <c r="O49" i="2"/>
  <c r="P49" i="2" s="1"/>
  <c r="R42" i="2"/>
  <c r="I42" i="2"/>
  <c r="O41" i="2"/>
  <c r="P41" i="2" s="1"/>
  <c r="K40" i="2"/>
  <c r="R34" i="2"/>
  <c r="I34" i="2"/>
  <c r="O33" i="2"/>
  <c r="P33" i="2" s="1"/>
  <c r="K32" i="2"/>
  <c r="R26" i="2"/>
  <c r="I26" i="2"/>
  <c r="O25" i="2"/>
  <c r="P25" i="2" s="1"/>
  <c r="K24" i="2"/>
  <c r="R18" i="2"/>
  <c r="I18" i="2"/>
  <c r="K16" i="2"/>
  <c r="R10" i="2"/>
  <c r="R39" i="2"/>
  <c r="I69" i="2"/>
  <c r="O68" i="2"/>
  <c r="P68" i="2" s="1"/>
  <c r="K67" i="2"/>
  <c r="I61" i="2"/>
  <c r="O60" i="2"/>
  <c r="P60" i="2" s="1"/>
  <c r="K59" i="2"/>
  <c r="I53" i="2"/>
  <c r="O52" i="2"/>
  <c r="P52" i="2" s="1"/>
  <c r="K51" i="2"/>
  <c r="I45" i="2"/>
  <c r="O44" i="2"/>
  <c r="P44" i="2" s="1"/>
  <c r="K43" i="2"/>
  <c r="P39" i="2"/>
  <c r="I37" i="2"/>
  <c r="O36" i="2"/>
  <c r="P36" i="2" s="1"/>
  <c r="K35" i="2"/>
  <c r="I29" i="2"/>
  <c r="O28" i="2"/>
  <c r="P28" i="2" s="1"/>
  <c r="K27" i="2"/>
  <c r="I21" i="2"/>
  <c r="O20" i="2"/>
  <c r="P20" i="2" s="1"/>
  <c r="K11" i="2"/>
  <c r="K69" i="2"/>
  <c r="O31" i="2"/>
  <c r="P31" i="2" s="1"/>
  <c r="O23" i="2"/>
  <c r="P23" i="2" s="1"/>
  <c r="O15" i="2"/>
  <c r="P15" i="2" s="1"/>
  <c r="O66" i="2"/>
  <c r="P66" i="2" s="1"/>
  <c r="O58" i="2"/>
  <c r="P58" i="2" s="1"/>
  <c r="O50" i="2"/>
  <c r="P50" i="2" s="1"/>
  <c r="O42" i="2"/>
  <c r="P42" i="2" s="1"/>
  <c r="O34" i="2"/>
  <c r="P34" i="2" s="1"/>
  <c r="O26" i="2"/>
  <c r="P26" i="2" s="1"/>
  <c r="O18" i="2"/>
  <c r="P18" i="2" s="1"/>
  <c r="J72" i="5" l="1"/>
  <c r="J73" i="5"/>
  <c r="K73" i="5"/>
  <c r="K72" i="5"/>
  <c r="K74" i="5" s="1"/>
  <c r="K75" i="5" s="1"/>
  <c r="K76" i="5" s="1"/>
  <c r="I72" i="5"/>
  <c r="I73" i="5"/>
  <c r="I74" i="5" s="1"/>
  <c r="G43" i="2"/>
  <c r="H43" i="2"/>
  <c r="I43" i="2" s="1"/>
  <c r="G67" i="2"/>
  <c r="H67" i="2"/>
  <c r="I67" i="2" s="1"/>
  <c r="H35" i="2"/>
  <c r="I35" i="2" s="1"/>
  <c r="G35" i="2"/>
  <c r="G59" i="2"/>
  <c r="H59" i="2"/>
  <c r="I59" i="2" s="1"/>
  <c r="H11" i="2"/>
  <c r="I11" i="2" s="1"/>
  <c r="G11" i="2"/>
  <c r="G51" i="2"/>
  <c r="H51" i="2"/>
  <c r="I51" i="2" s="1"/>
  <c r="H70" i="2"/>
  <c r="I70" i="2" s="1"/>
  <c r="G70" i="2"/>
  <c r="H27" i="2"/>
  <c r="I27" i="2" s="1"/>
  <c r="G27" i="2"/>
  <c r="I75" i="5" l="1"/>
  <c r="I76" i="5" s="1"/>
  <c r="J74" i="5"/>
  <c r="K70" i="1"/>
  <c r="K69" i="1"/>
  <c r="K68" i="1"/>
  <c r="K66" i="1"/>
  <c r="K65" i="1"/>
  <c r="K64" i="1"/>
  <c r="K63" i="1"/>
  <c r="K61" i="1"/>
  <c r="K60" i="1"/>
  <c r="K59" i="1"/>
  <c r="K57" i="1"/>
  <c r="K56" i="1"/>
  <c r="K55" i="1"/>
  <c r="K53" i="1"/>
  <c r="K52" i="1"/>
  <c r="K51" i="1"/>
  <c r="K48" i="1"/>
  <c r="K47" i="1"/>
  <c r="K46" i="1"/>
  <c r="K45" i="1"/>
  <c r="K44" i="1"/>
  <c r="K42" i="1"/>
  <c r="K41" i="1"/>
  <c r="K38" i="1"/>
  <c r="K37" i="1"/>
  <c r="K35" i="1"/>
  <c r="K34" i="1"/>
  <c r="K33" i="1"/>
  <c r="K32" i="1"/>
  <c r="K30" i="1"/>
  <c r="K27" i="1"/>
  <c r="K26" i="1"/>
  <c r="K25" i="1"/>
  <c r="K24" i="1"/>
  <c r="K18" i="1"/>
  <c r="K16" i="1"/>
  <c r="K15" i="1"/>
  <c r="K11" i="1"/>
  <c r="K10" i="1"/>
  <c r="J75" i="5" l="1"/>
  <c r="J76" i="5"/>
  <c r="G70" i="1"/>
  <c r="G69" i="1"/>
  <c r="G68" i="1"/>
  <c r="G66" i="1"/>
  <c r="G65" i="1"/>
  <c r="G64" i="1"/>
  <c r="G63" i="1"/>
  <c r="G61" i="1"/>
  <c r="G60" i="1"/>
  <c r="G59" i="1"/>
  <c r="G57" i="1"/>
  <c r="G56" i="1"/>
  <c r="G55" i="1"/>
  <c r="G53" i="1"/>
  <c r="G52" i="1"/>
  <c r="G51" i="1"/>
  <c r="G49" i="1"/>
  <c r="G48" i="1"/>
  <c r="G47" i="1"/>
  <c r="G46" i="1"/>
  <c r="G45" i="1"/>
  <c r="G44" i="1"/>
  <c r="G42" i="1"/>
  <c r="G41" i="1"/>
  <c r="G38" i="1"/>
  <c r="G37" i="1"/>
  <c r="G35" i="1"/>
  <c r="G34" i="1"/>
  <c r="G33" i="1"/>
  <c r="G32" i="1"/>
  <c r="G30" i="1"/>
  <c r="G27" i="1"/>
  <c r="G26" i="1"/>
  <c r="G25" i="1"/>
  <c r="G24" i="1"/>
  <c r="G22" i="1"/>
  <c r="G21" i="1"/>
  <c r="G20" i="1"/>
  <c r="G18" i="1"/>
  <c r="G16" i="1"/>
  <c r="G15" i="1"/>
  <c r="G11" i="1"/>
  <c r="G10" i="1"/>
  <c r="J83" i="2" l="1"/>
  <c r="L85" i="2"/>
  <c r="K12" i="4"/>
  <c r="K4" i="4"/>
  <c r="G12" i="4"/>
  <c r="G4" i="4"/>
  <c r="F71" i="5" l="1"/>
  <c r="F21" i="3"/>
  <c r="F22" i="3" s="1"/>
  <c r="N12" i="3"/>
  <c r="M12" i="3"/>
  <c r="L12" i="3"/>
  <c r="K12" i="3"/>
  <c r="J12" i="3"/>
  <c r="I7" i="3"/>
  <c r="F72" i="5" l="1"/>
  <c r="F73" i="5"/>
  <c r="F74" i="5"/>
  <c r="F75" i="5" s="1"/>
  <c r="F76" i="5" s="1"/>
  <c r="H71" i="5"/>
  <c r="G71" i="5"/>
  <c r="K71" i="1"/>
  <c r="K72" i="1" s="1"/>
  <c r="K74" i="1" s="1"/>
  <c r="K75" i="1" s="1"/>
  <c r="K76" i="1" s="1"/>
  <c r="O11" i="3"/>
  <c r="I12" i="3"/>
  <c r="C17" i="3" s="1"/>
  <c r="G71" i="1"/>
  <c r="G72" i="5" l="1"/>
  <c r="G74" i="5" s="1"/>
  <c r="G75" i="5" s="1"/>
  <c r="G76" i="5" s="1"/>
  <c r="G73" i="5"/>
  <c r="H72" i="5"/>
  <c r="H73" i="5"/>
  <c r="H74" i="5" s="1"/>
  <c r="T71" i="1"/>
  <c r="T72" i="1" s="1"/>
  <c r="T74" i="1" s="1"/>
  <c r="T75" i="1" s="1"/>
  <c r="T76" i="1" s="1"/>
  <c r="G72" i="1"/>
  <c r="G73" i="1"/>
  <c r="O8" i="3"/>
  <c r="N71" i="2"/>
  <c r="K71" i="2"/>
  <c r="F7" i="3"/>
  <c r="H7" i="3"/>
  <c r="H75" i="5" l="1"/>
  <c r="H76" i="5" s="1"/>
  <c r="G74" i="1"/>
  <c r="G75" i="1" s="1"/>
  <c r="G76" i="1" s="1"/>
  <c r="K77" i="1" s="1"/>
  <c r="E7" i="3"/>
  <c r="D7" i="3" s="1"/>
  <c r="K72" i="2"/>
  <c r="K73" i="2"/>
  <c r="N72" i="2"/>
  <c r="G71" i="2"/>
  <c r="P71" i="2"/>
  <c r="C12" i="3"/>
  <c r="E19" i="3" s="1"/>
  <c r="H19" i="3" s="1"/>
  <c r="I71" i="2"/>
  <c r="O9" i="3"/>
  <c r="H12" i="3"/>
  <c r="R71" i="2"/>
  <c r="K74" i="2" l="1"/>
  <c r="K75" i="2" s="1"/>
  <c r="K76" i="2" s="1"/>
  <c r="E12" i="3"/>
  <c r="C19" i="3" s="1"/>
  <c r="C21" i="3" s="1"/>
  <c r="C22" i="3" s="1"/>
  <c r="N74" i="2"/>
  <c r="N75" i="2" s="1"/>
  <c r="N76" i="2" s="1"/>
  <c r="R72" i="2"/>
  <c r="R74" i="2" s="1"/>
  <c r="R75" i="2" s="1"/>
  <c r="R76" i="2" s="1"/>
  <c r="P72" i="2"/>
  <c r="I73" i="2"/>
  <c r="I72" i="2"/>
  <c r="G73" i="2"/>
  <c r="G72" i="2"/>
  <c r="F12" i="3"/>
  <c r="E17" i="3" s="1"/>
  <c r="H17" i="3" s="1"/>
  <c r="O12" i="3"/>
  <c r="G7" i="3"/>
  <c r="P74" i="2" l="1"/>
  <c r="P75" i="2" s="1"/>
  <c r="P76" i="2" s="1"/>
  <c r="G74" i="2"/>
  <c r="G75" i="2" s="1"/>
  <c r="G76" i="2" s="1"/>
  <c r="I74" i="2"/>
  <c r="I75" i="2" s="1"/>
  <c r="I76" i="2" s="1"/>
  <c r="E21" i="3"/>
  <c r="E22" i="3" s="1"/>
</calcChain>
</file>

<file path=xl/sharedStrings.xml><?xml version="1.0" encoding="utf-8"?>
<sst xmlns="http://schemas.openxmlformats.org/spreadsheetml/2006/main" count="1450" uniqueCount="245">
  <si>
    <t>ANALISIS DE PRESUPUESTOS</t>
  </si>
  <si>
    <t>PC</t>
  </si>
  <si>
    <t>ITEM</t>
  </si>
  <si>
    <t>UND</t>
  </si>
  <si>
    <t>RESUMEN</t>
  </si>
  <si>
    <t>METRADO</t>
  </si>
  <si>
    <t>P.U. (S/.)</t>
  </si>
  <si>
    <t>PARCIAL (S/.)</t>
  </si>
  <si>
    <t>MANO DE OBRA</t>
  </si>
  <si>
    <t>MATERIALES</t>
  </si>
  <si>
    <t>EQUIPOS</t>
  </si>
  <si>
    <t>SERVICIOS</t>
  </si>
  <si>
    <t>SUBCONTRATOS</t>
  </si>
  <si>
    <t>CONTRACTUAL</t>
  </si>
  <si>
    <t>META ACTUALIZADO</t>
  </si>
  <si>
    <t>DESCRIPCION</t>
  </si>
  <si>
    <t>PROYECTO:</t>
  </si>
  <si>
    <t>01.02.04</t>
  </si>
  <si>
    <t>TRABAJOS PRELIMINARES</t>
  </si>
  <si>
    <t>MOVIMIENTO DE TIERRAS</t>
  </si>
  <si>
    <t>VARIOS</t>
  </si>
  <si>
    <t>M2</t>
  </si>
  <si>
    <t>M3</t>
  </si>
  <si>
    <t>COSTO DIRECTO</t>
  </si>
  <si>
    <t>IGV (18.00%)</t>
  </si>
  <si>
    <t>ANALISIS DE AVANCE</t>
  </si>
  <si>
    <t>METRADO CONTRATO</t>
  </si>
  <si>
    <t>PREVISTO</t>
  </si>
  <si>
    <t>METRADO EJECUTADO</t>
  </si>
  <si>
    <t>METRADO REAL</t>
  </si>
  <si>
    <t>METRADO POR EJECUT</t>
  </si>
  <si>
    <t>COSTO TOTAL (INC. IGV)</t>
  </si>
  <si>
    <t>COSTO TOTAL VENTA</t>
  </si>
  <si>
    <t>%</t>
  </si>
  <si>
    <t>COSTO EJECUTADO VENTA</t>
  </si>
  <si>
    <t>COSTO TOTAL META</t>
  </si>
  <si>
    <t>COSTO EJECUTADO META</t>
  </si>
  <si>
    <t>COSTO REAL</t>
  </si>
  <si>
    <t>COSTO EJECUTADO REAL</t>
  </si>
  <si>
    <t>CONCRETO</t>
  </si>
  <si>
    <t>TOTALES</t>
  </si>
  <si>
    <t>META TOTAL</t>
  </si>
  <si>
    <t>META ANTERIOR</t>
  </si>
  <si>
    <t>DIFERENCIA</t>
  </si>
  <si>
    <t>TOTAL COSTO VENTA</t>
  </si>
  <si>
    <t>RESULTADO OPERATIVO</t>
  </si>
  <si>
    <t>PARTIDA DE CONTROL</t>
  </si>
  <si>
    <t>CODIGO</t>
  </si>
  <si>
    <t>COSTO PREVISTO</t>
  </si>
  <si>
    <t>TOTAL COSTO REAL</t>
  </si>
  <si>
    <t>PREVISTO ACTUAL</t>
  </si>
  <si>
    <t>PREVISTO PENDIENTE</t>
  </si>
  <si>
    <t>PREVISTO TOTAL</t>
  </si>
  <si>
    <t>VENTA ACTUAL</t>
  </si>
  <si>
    <t>VENTA PENDIENTE</t>
  </si>
  <si>
    <t>VENTA TOTAL</t>
  </si>
  <si>
    <t>BRECHA 
(META - REAL)</t>
  </si>
  <si>
    <t>MARGEN DE UTILIDAD</t>
  </si>
  <si>
    <t>GASTOS GENERALES (10%)</t>
  </si>
  <si>
    <t>UTILIDAD (8%)</t>
  </si>
  <si>
    <t>SUBTOTAL</t>
  </si>
  <si>
    <t>OBRAS DE CONCRETO</t>
  </si>
  <si>
    <t>Ejecutarla mediante cuadrillas de casa</t>
  </si>
  <si>
    <t>Subcontrato a todo costo</t>
  </si>
  <si>
    <t>Ejecutarla mediante cuadrillas de casa con equipos alquilados</t>
  </si>
  <si>
    <t>Casa</t>
  </si>
  <si>
    <t>Cantidad de personal, equipos, materiales, viaticos, alquileres</t>
  </si>
  <si>
    <t>Pedir cotizaciones</t>
  </si>
  <si>
    <t>Planificar personal y buscar empresas que alquilen equipos</t>
  </si>
  <si>
    <t>Planificar personal, materiales y equipos</t>
  </si>
  <si>
    <t>Definir precios</t>
  </si>
  <si>
    <t>META INICIAL -MES ANTERIOR</t>
  </si>
  <si>
    <t>PROVEEDOR</t>
  </si>
  <si>
    <t>CANTIDAD</t>
  </si>
  <si>
    <t>P.U.</t>
  </si>
  <si>
    <t>TIPO DE COSTO</t>
  </si>
  <si>
    <t>ORDENES DE COMPRA</t>
  </si>
  <si>
    <t>ORDENES DE SERVICIO</t>
  </si>
  <si>
    <t>MATERIAL AFIRMADO</t>
  </si>
  <si>
    <t>CANTERA ECONOMICA</t>
  </si>
  <si>
    <t>UNIDAD</t>
  </si>
  <si>
    <t>m3</t>
  </si>
  <si>
    <t>ALQUILER DE VOLQUETES</t>
  </si>
  <si>
    <t>NEGOCIOS DIAZ</t>
  </si>
  <si>
    <t>hm</t>
  </si>
  <si>
    <t>METRADO UTILIZADO</t>
  </si>
  <si>
    <t>SUB TOTAL</t>
  </si>
  <si>
    <t>reales</t>
  </si>
  <si>
    <t>presup</t>
  </si>
  <si>
    <t>ACUM A MARZO 2023</t>
  </si>
  <si>
    <t>ANALISIS DE PRECIOS VENTA</t>
  </si>
  <si>
    <t>I.E. N° 1182 "EL BOSQUE" - CERCO + INGRESOS Y CASETAS</t>
  </si>
  <si>
    <t>01</t>
  </si>
  <si>
    <t>01.02</t>
  </si>
  <si>
    <t>01.02.04.01</t>
  </si>
  <si>
    <t>01.02.04.02</t>
  </si>
  <si>
    <t>02</t>
  </si>
  <si>
    <t>02.01</t>
  </si>
  <si>
    <t>02.01.01</t>
  </si>
  <si>
    <t>02.01.01.01</t>
  </si>
  <si>
    <t>02.01.01.02</t>
  </si>
  <si>
    <t>02.01.03</t>
  </si>
  <si>
    <t>02.01.03.01</t>
  </si>
  <si>
    <t>02.01.04</t>
  </si>
  <si>
    <t>02.01.04.01</t>
  </si>
  <si>
    <t>02.01.04.02</t>
  </si>
  <si>
    <t>02.01.04.03</t>
  </si>
  <si>
    <t>02.01.05</t>
  </si>
  <si>
    <t>02.01.05.01</t>
  </si>
  <si>
    <t>02.01.05.02</t>
  </si>
  <si>
    <t>02.01.05.05</t>
  </si>
  <si>
    <t>02.01.05.06</t>
  </si>
  <si>
    <t>02.02</t>
  </si>
  <si>
    <t>02.02.01</t>
  </si>
  <si>
    <t>02.02.01.01</t>
  </si>
  <si>
    <t>02.02.02</t>
  </si>
  <si>
    <t>02.02.02.02</t>
  </si>
  <si>
    <t>02.02.02.03</t>
  </si>
  <si>
    <t>02.02.02.04</t>
  </si>
  <si>
    <t>02.02.02.05</t>
  </si>
  <si>
    <t>02.02.03</t>
  </si>
  <si>
    <t>02.02.03.01</t>
  </si>
  <si>
    <t>02.02.03.02</t>
  </si>
  <si>
    <t>02.03</t>
  </si>
  <si>
    <t>02.03.02</t>
  </si>
  <si>
    <t>02.03.02.01</t>
  </si>
  <si>
    <t>02.03.02.03</t>
  </si>
  <si>
    <t>02.03.05</t>
  </si>
  <si>
    <t>02.03.05.02</t>
  </si>
  <si>
    <t>02.03.05.04</t>
  </si>
  <si>
    <t>02.03.05.05</t>
  </si>
  <si>
    <t>02.03.05.07</t>
  </si>
  <si>
    <t>02.03.05.09</t>
  </si>
  <si>
    <t>02.03.05.11</t>
  </si>
  <si>
    <t>02.03.06</t>
  </si>
  <si>
    <t>02.03.06.02</t>
  </si>
  <si>
    <t>02.03.06.06</t>
  </si>
  <si>
    <t>02.03.06.10</t>
  </si>
  <si>
    <t>02.03.07</t>
  </si>
  <si>
    <t>02.03.07.02</t>
  </si>
  <si>
    <t>02.03.07.06</t>
  </si>
  <si>
    <t>02.03.07.08</t>
  </si>
  <si>
    <t>02.03.08</t>
  </si>
  <si>
    <t>02.03.08.01</t>
  </si>
  <si>
    <t>02.03.08.03</t>
  </si>
  <si>
    <t>02.03.08.04</t>
  </si>
  <si>
    <t>02.03.09</t>
  </si>
  <si>
    <t>02.03.09.01</t>
  </si>
  <si>
    <t>02.03.09.03</t>
  </si>
  <si>
    <t>02.03.09.04</t>
  </si>
  <si>
    <t>02.03.09.05</t>
  </si>
  <si>
    <t>02.03.15</t>
  </si>
  <si>
    <t>02.03.15.01</t>
  </si>
  <si>
    <t>02.03.15.03</t>
  </si>
  <si>
    <t>02.03.15.04</t>
  </si>
  <si>
    <t>OBRAS PROVISIONALES, TRABAJOS PRELIMINARES, SEGURIDAD Y SALUD</t>
  </si>
  <si>
    <t xml:space="preserve">   Trabajos Preliminares</t>
  </si>
  <si>
    <t xml:space="preserve">      Trazo, Niveles y Replanteo</t>
  </si>
  <si>
    <t xml:space="preserve">         TRAZO Y REPLANTEO PRELIMINAR</t>
  </si>
  <si>
    <t xml:space="preserve">         TRAZO Y REPLANTEO DURANTE EL PROCESO</t>
  </si>
  <si>
    <t>ESTRUCTURAS</t>
  </si>
  <si>
    <t xml:space="preserve">   Movimiento de Tierras</t>
  </si>
  <si>
    <t xml:space="preserve">      Excavaciones</t>
  </si>
  <si>
    <t xml:space="preserve">         EXCAV.ZANJAS Y ZAPATA RT&gt;2kg/cm2 H=1.5m</t>
  </si>
  <si>
    <t xml:space="preserve">         EXCAV.ZANJAS Y ZAPATA RT&gt;2kg/cm2 H=2.0m</t>
  </si>
  <si>
    <t xml:space="preserve">      Rellenos</t>
  </si>
  <si>
    <t xml:space="preserve">         RELLENO COMPACTADO C/EQUIPO MAT/PROPIO</t>
  </si>
  <si>
    <t xml:space="preserve">      Eliminacion de Material Excedente</t>
  </si>
  <si>
    <t xml:space="preserve">         ACARREO INTERNO, MATERIAL PROCEDENTE DE EXCAVACIONES</t>
  </si>
  <si>
    <t xml:space="preserve">         ELIMINACION MATERIAL EXCEDENTE ACARREADO</t>
  </si>
  <si>
    <t xml:space="preserve">         ELIMINACION MATERIAL EXCEDENTE C/MAQUINA</t>
  </si>
  <si>
    <t xml:space="preserve">      Nivelacion Interior y Apisonado</t>
  </si>
  <si>
    <t xml:space="preserve">         ESCARIFICADO Y COMPACTACION CON PLANCHA COMPACTADORA  e = 30 cm</t>
  </si>
  <si>
    <t xml:space="preserve">         ESCARIFICADO Y COMPACTACION CON PLANCHA COMPACTADORA H=0.60m (02 CAPAS 30cm c/u)</t>
  </si>
  <si>
    <t xml:space="preserve">         AFIRMADO DE 8" PARA PISOS,PATIOS Y VEREDAS,COMPACTADO.</t>
  </si>
  <si>
    <t xml:space="preserve">         AFIRMADO DE 12" EN PISOS INTERIOR/EXTERIOR,COMPACTADO.</t>
  </si>
  <si>
    <t xml:space="preserve">   Obras de Concreto Simple</t>
  </si>
  <si>
    <t xml:space="preserve">      Falsos Cimientos</t>
  </si>
  <si>
    <t xml:space="preserve">         SUBCIMIENTO, SUBZAPATA MEZCLA 1:12 + 30 % P.G.</t>
  </si>
  <si>
    <t xml:space="preserve">      Cimientos</t>
  </si>
  <si>
    <t xml:space="preserve">         CIMIENTOS CORRIDOS 1:10 + 30 % P.G. f'c &gt;=100Kg/cm2</t>
  </si>
  <si>
    <t xml:space="preserve">         CIMIENTO CORRIDO - ENCOFRADO Y DESENCOFRADO</t>
  </si>
  <si>
    <t xml:space="preserve">         CALZADURA: CONCRETO C:H 1:10 + 30 % P.G.</t>
  </si>
  <si>
    <t xml:space="preserve">         CALZADURA: ENCOFRADO Y DESENCOFRADO</t>
  </si>
  <si>
    <t xml:space="preserve">      Sobrecimientos</t>
  </si>
  <si>
    <t xml:space="preserve">         SOBRECIMIENTO, CONCRETO 1:8 + 25% P.M.  f'c &gt;=100Kg/cm2</t>
  </si>
  <si>
    <t xml:space="preserve">         SOBRECIMIENTO, ENCOFRADO Y DESENCOFRADO</t>
  </si>
  <si>
    <t xml:space="preserve">   Obras de Concreto Armado</t>
  </si>
  <si>
    <t xml:space="preserve">      Zapatas</t>
  </si>
  <si>
    <t xml:space="preserve">         ZAPATAS.- CONCRETO 210 kg/cm2</t>
  </si>
  <si>
    <t xml:space="preserve">         ZAPATAS.- ACERO Fy=4200 kg/cm2</t>
  </si>
  <si>
    <t xml:space="preserve">      Placas y Muros de Contención</t>
  </si>
  <si>
    <t xml:space="preserve">         PLACAS, CONCRETO F'c=210 kg/cm2 - 1 piso</t>
  </si>
  <si>
    <t xml:space="preserve">         PLACAS, ENCOFRADO Y DESENCOFRADO</t>
  </si>
  <si>
    <t xml:space="preserve">         PLACAS, ACERO Fy=4200 kg/cm2</t>
  </si>
  <si>
    <t xml:space="preserve">         MUROS DE CONTENC.- CONCRETO 210 kg/cm2</t>
  </si>
  <si>
    <t xml:space="preserve">         MUROS DE CONTENC.- ENCOF. Y DESENCOFRADO</t>
  </si>
  <si>
    <t xml:space="preserve">         MUROS DE CONTENC.- ACERO Fy=4200 kg/cm2</t>
  </si>
  <si>
    <t xml:space="preserve">      Columnas</t>
  </si>
  <si>
    <t xml:space="preserve">         COLUMNAS - CONCRETO 210 KG/CM² - 1 PISO</t>
  </si>
  <si>
    <t xml:space="preserve">         COLUMNAS.- ENCOFRADO Y DESENCOFRADO</t>
  </si>
  <si>
    <t xml:space="preserve">         COLUMNAS.- ACERO Fy=4200 kg/cm2</t>
  </si>
  <si>
    <t xml:space="preserve">      Vigas</t>
  </si>
  <si>
    <t xml:space="preserve">         VIGAS.- CONCRETO 210 kg/cm2 - 1 piso</t>
  </si>
  <si>
    <t xml:space="preserve">         VIGAS.- ENCOFRADO Y DESENCOFRADO</t>
  </si>
  <si>
    <t xml:space="preserve">         VIGAS.- ACERO Fy=4200 kg/cm2</t>
  </si>
  <si>
    <t xml:space="preserve">      Losas Macizas</t>
  </si>
  <si>
    <t xml:space="preserve">         LOSAS MACIZAS.- CONC.210 kg/cm2 - 1 PISO</t>
  </si>
  <si>
    <t xml:space="preserve">         LOSAS MACIZAS.- ENCOFRADO Y DESENCOFRADO</t>
  </si>
  <si>
    <t xml:space="preserve">         LOSAS MACIZAS.- ACERO Fy=4,200 kg/cm2</t>
  </si>
  <si>
    <t xml:space="preserve">      Losas Aligeradas</t>
  </si>
  <si>
    <t xml:space="preserve">         LOSA ALIGERADA - CONCRETO 210 kg/cm2 - 1 PISO</t>
  </si>
  <si>
    <t xml:space="preserve">         LOSA ALIGERADA.- ENCOFRADO Y DESENCOFRADO</t>
  </si>
  <si>
    <t xml:space="preserve">         LOSA ALIGERADA.- ACERO Fy=4,200 kg/cm2</t>
  </si>
  <si>
    <t xml:space="preserve">         LOSA ALIGERADA.- LADR. HUECO 15x30x30</t>
  </si>
  <si>
    <t xml:space="preserve">      Gradas Armadas en Pisos</t>
  </si>
  <si>
    <t xml:space="preserve">         GRADAS EN PISO, CONCRETO F'c=175 kg/cm2.</t>
  </si>
  <si>
    <t xml:space="preserve">         GRADAS, ENCOFRADO Y DESENCOFRADO</t>
  </si>
  <si>
    <t xml:space="preserve">         GRADAS EN PISO, ACERO fy=4200kg/cm2</t>
  </si>
  <si>
    <t>m2</t>
  </si>
  <si>
    <t>KG</t>
  </si>
  <si>
    <t>kg</t>
  </si>
  <si>
    <t>und</t>
  </si>
  <si>
    <t>PRESUPUESTO CONTRACTUAL</t>
  </si>
  <si>
    <t>OBRAS PROVISIONALES</t>
  </si>
  <si>
    <t>ENCOFRADO</t>
  </si>
  <si>
    <t>ACERO</t>
  </si>
  <si>
    <t>PROGRAMACION</t>
  </si>
  <si>
    <t>UTILIDAD (5%)</t>
  </si>
  <si>
    <t>CRONOGRAMA VALORIZADO DE OBRA - PROGRAMACION VENTA CON COSTOS META</t>
  </si>
  <si>
    <t>CRONOGRAMA VALORIZADO DE OBRA - PROGRAMACION VENTA</t>
  </si>
  <si>
    <t>VENTA (S/)</t>
  </si>
  <si>
    <t>META TOTAL (S/)</t>
  </si>
  <si>
    <t>META TOTAL (MES ANTERIOR) (S/)</t>
  </si>
  <si>
    <t>UC</t>
  </si>
  <si>
    <t>DESCRIPCIÓN</t>
  </si>
  <si>
    <t xml:space="preserve">INGRESO PREVISTO TOTAL </t>
  </si>
  <si>
    <t xml:space="preserve">COSTO PREVISTO </t>
  </si>
  <si>
    <t>RENTABILIDAD</t>
  </si>
  <si>
    <t>TOTALES VENTA Y COSTE DIRECTO</t>
  </si>
  <si>
    <t>META INICIAL (S/)</t>
  </si>
  <si>
    <t>DESVIACIONES (META INICIAL TOTAL- META TOTAL)</t>
  </si>
  <si>
    <t>CURVAS DE GESTION DE COSTOS</t>
  </si>
  <si>
    <t>DURACION:</t>
  </si>
  <si>
    <t>CUADRO RESUMEN DE VENTA LINEA BASE Y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</si>
</sst>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indexed="64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" xfId="0" applyBorder="1"/>
    <xf numFmtId="43" fontId="2" fillId="0" borderId="4" xfId="1" applyFont="1" applyBorder="1"/>
    <xf numFmtId="43" fontId="2" fillId="0" borderId="5" xfId="1" applyFont="1" applyBorder="1"/>
    <xf numFmtId="43" fontId="0" fillId="0" borderId="5" xfId="1" applyFont="1" applyBorder="1"/>
    <xf numFmtId="43" fontId="2" fillId="0" borderId="7" xfId="1" applyFont="1" applyBorder="1"/>
    <xf numFmtId="43" fontId="2" fillId="0" borderId="8" xfId="1" applyFont="1" applyBorder="1"/>
    <xf numFmtId="43" fontId="0" fillId="0" borderId="8" xfId="1" applyFont="1" applyBorder="1"/>
    <xf numFmtId="43" fontId="2" fillId="0" borderId="10" xfId="1" applyFont="1" applyBorder="1"/>
    <xf numFmtId="43" fontId="0" fillId="0" borderId="11" xfId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43" fontId="0" fillId="0" borderId="14" xfId="1" applyFont="1" applyBorder="1"/>
    <xf numFmtId="43" fontId="2" fillId="0" borderId="14" xfId="1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43" fontId="2" fillId="0" borderId="13" xfId="1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43" fontId="2" fillId="0" borderId="12" xfId="1" applyFont="1" applyBorder="1"/>
    <xf numFmtId="43" fontId="2" fillId="0" borderId="6" xfId="1" applyFont="1" applyBorder="1"/>
    <xf numFmtId="43" fontId="2" fillId="0" borderId="15" xfId="1" applyFont="1" applyBorder="1"/>
    <xf numFmtId="43" fontId="2" fillId="0" borderId="9" xfId="1" applyFont="1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3" fontId="2" fillId="0" borderId="19" xfId="1" applyFont="1" applyBorder="1"/>
    <xf numFmtId="43" fontId="0" fillId="0" borderId="19" xfId="1" applyFont="1" applyBorder="1"/>
    <xf numFmtId="0" fontId="2" fillId="0" borderId="17" xfId="0" applyFont="1" applyBorder="1" applyAlignment="1">
      <alignment horizontal="center"/>
    </xf>
    <xf numFmtId="43" fontId="2" fillId="0" borderId="17" xfId="1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left"/>
    </xf>
    <xf numFmtId="43" fontId="2" fillId="0" borderId="21" xfId="1" applyFont="1" applyBorder="1"/>
    <xf numFmtId="43" fontId="0" fillId="0" borderId="2" xfId="1" applyFont="1" applyBorder="1"/>
    <xf numFmtId="43" fontId="0" fillId="0" borderId="16" xfId="1" applyFont="1" applyBorder="1"/>
    <xf numFmtId="0" fontId="0" fillId="0" borderId="21" xfId="0" applyBorder="1"/>
    <xf numFmtId="0" fontId="0" fillId="0" borderId="11" xfId="0" applyBorder="1"/>
    <xf numFmtId="43" fontId="0" fillId="0" borderId="21" xfId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3" fontId="2" fillId="5" borderId="10" xfId="1" applyFont="1" applyFill="1" applyBorder="1"/>
    <xf numFmtId="43" fontId="2" fillId="5" borderId="4" xfId="1" applyFont="1" applyFill="1" applyBorder="1"/>
    <xf numFmtId="43" fontId="2" fillId="5" borderId="11" xfId="1" applyFont="1" applyFill="1" applyBorder="1"/>
    <xf numFmtId="43" fontId="2" fillId="5" borderId="5" xfId="1" applyFont="1" applyFill="1" applyBorder="1"/>
    <xf numFmtId="43" fontId="0" fillId="5" borderId="11" xfId="1" applyFont="1" applyFill="1" applyBorder="1"/>
    <xf numFmtId="43" fontId="0" fillId="5" borderId="5" xfId="1" applyFont="1" applyFill="1" applyBorder="1"/>
    <xf numFmtId="43" fontId="0" fillId="5" borderId="6" xfId="1" applyFont="1" applyFill="1" applyBorder="1"/>
    <xf numFmtId="43" fontId="2" fillId="5" borderId="19" xfId="1" applyFont="1" applyFill="1" applyBorder="1"/>
    <xf numFmtId="43" fontId="0" fillId="5" borderId="19" xfId="1" applyFont="1" applyFill="1" applyBorder="1"/>
    <xf numFmtId="43" fontId="2" fillId="5" borderId="17" xfId="1" applyFont="1" applyFill="1" applyBorder="1"/>
    <xf numFmtId="43" fontId="2" fillId="5" borderId="21" xfId="1" applyFont="1" applyFill="1" applyBorder="1"/>
    <xf numFmtId="43" fontId="0" fillId="5" borderId="16" xfId="1" applyFont="1" applyFill="1" applyBorder="1"/>
    <xf numFmtId="43" fontId="0" fillId="5" borderId="2" xfId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3" fontId="2" fillId="2" borderId="1" xfId="0" applyNumberFormat="1" applyFont="1" applyFill="1" applyBorder="1"/>
    <xf numFmtId="0" fontId="2" fillId="2" borderId="20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20" xfId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/>
    <xf numFmtId="43" fontId="2" fillId="0" borderId="23" xfId="1" applyFont="1" applyBorder="1"/>
    <xf numFmtId="43" fontId="2" fillId="0" borderId="22" xfId="1" applyFont="1" applyBorder="1"/>
    <xf numFmtId="0" fontId="0" fillId="0" borderId="22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/>
    <xf numFmtId="43" fontId="1" fillId="0" borderId="21" xfId="1" applyFont="1" applyBorder="1"/>
    <xf numFmtId="43" fontId="1" fillId="0" borderId="19" xfId="1" applyFont="1" applyBorder="1"/>
    <xf numFmtId="43" fontId="1" fillId="0" borderId="23" xfId="1" applyFont="1" applyBorder="1"/>
    <xf numFmtId="0" fontId="0" fillId="0" borderId="0" xfId="0" applyFont="1"/>
    <xf numFmtId="43" fontId="1" fillId="0" borderId="22" xfId="1" applyFont="1" applyBorder="1"/>
    <xf numFmtId="43" fontId="0" fillId="0" borderId="0" xfId="0" applyNumberFormat="1"/>
    <xf numFmtId="0" fontId="2" fillId="0" borderId="18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43" fontId="2" fillId="6" borderId="1" xfId="0" applyNumberFormat="1" applyFont="1" applyFill="1" applyBorder="1"/>
    <xf numFmtId="43" fontId="2" fillId="7" borderId="1" xfId="1" applyFont="1" applyFill="1" applyBorder="1" applyAlignment="1">
      <alignment horizontal="center"/>
    </xf>
    <xf numFmtId="43" fontId="0" fillId="7" borderId="5" xfId="1" applyFont="1" applyFill="1" applyBorder="1"/>
    <xf numFmtId="43" fontId="2" fillId="7" borderId="13" xfId="1" applyFont="1" applyFill="1" applyBorder="1"/>
    <xf numFmtId="43" fontId="0" fillId="6" borderId="0" xfId="0" applyNumberFormat="1" applyFill="1"/>
    <xf numFmtId="43" fontId="1" fillId="6" borderId="23" xfId="1" applyFont="1" applyFill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/>
    <xf numFmtId="0" fontId="2" fillId="0" borderId="8" xfId="0" applyFont="1" applyFill="1" applyBorder="1" applyAlignment="1">
      <alignment horizontal="center"/>
    </xf>
    <xf numFmtId="43" fontId="2" fillId="8" borderId="13" xfId="1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43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0" fontId="0" fillId="0" borderId="0" xfId="2" applyNumberFormat="1" applyFont="1"/>
    <xf numFmtId="2" fontId="0" fillId="0" borderId="0" xfId="0" applyNumberFormat="1"/>
    <xf numFmtId="165" fontId="2" fillId="6" borderId="19" xfId="0" applyNumberFormat="1" applyFont="1" applyFill="1" applyBorder="1"/>
    <xf numFmtId="165" fontId="0" fillId="6" borderId="5" xfId="0" applyNumberFormat="1" applyFill="1" applyBorder="1"/>
    <xf numFmtId="165" fontId="0" fillId="6" borderId="16" xfId="0" applyNumberFormat="1" applyFill="1" applyBorder="1"/>
    <xf numFmtId="165" fontId="2" fillId="2" borderId="1" xfId="0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10" xfId="0" applyFont="1" applyFill="1" applyBorder="1"/>
    <xf numFmtId="0" fontId="2" fillId="0" borderId="11" xfId="0" applyFont="1" applyFill="1" applyBorder="1"/>
    <xf numFmtId="0" fontId="0" fillId="0" borderId="8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0" fillId="0" borderId="5" xfId="0" applyFont="1" applyFill="1" applyBorder="1"/>
    <xf numFmtId="43" fontId="1" fillId="0" borderId="5" xfId="1" applyFont="1" applyBorder="1"/>
    <xf numFmtId="43" fontId="1" fillId="5" borderId="11" xfId="1" applyFont="1" applyFill="1" applyBorder="1"/>
    <xf numFmtId="43" fontId="1" fillId="5" borderId="5" xfId="1" applyFont="1" applyFill="1" applyBorder="1"/>
    <xf numFmtId="43" fontId="1" fillId="0" borderId="14" xfId="1" applyFont="1" applyBorder="1"/>
    <xf numFmtId="43" fontId="1" fillId="0" borderId="8" xfId="1" applyFont="1" applyBorder="1"/>
    <xf numFmtId="0" fontId="0" fillId="0" borderId="2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left"/>
    </xf>
    <xf numFmtId="0" fontId="0" fillId="0" borderId="16" xfId="0" applyFont="1" applyFill="1" applyBorder="1"/>
    <xf numFmtId="43" fontId="1" fillId="0" borderId="16" xfId="1" applyFont="1" applyBorder="1"/>
    <xf numFmtId="43" fontId="1" fillId="0" borderId="25" xfId="1" applyFont="1" applyBorder="1"/>
    <xf numFmtId="43" fontId="1" fillId="0" borderId="24" xfId="1" applyFont="1" applyBorder="1"/>
    <xf numFmtId="43" fontId="1" fillId="5" borderId="2" xfId="1" applyFont="1" applyFill="1" applyBorder="1"/>
    <xf numFmtId="43" fontId="1" fillId="5" borderId="16" xfId="1" applyFont="1" applyFill="1" applyBorder="1"/>
    <xf numFmtId="0" fontId="2" fillId="0" borderId="24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/>
    <xf numFmtId="43" fontId="2" fillId="0" borderId="16" xfId="1" applyFont="1" applyBorder="1"/>
    <xf numFmtId="43" fontId="2" fillId="0" borderId="25" xfId="1" applyFont="1" applyBorder="1"/>
    <xf numFmtId="43" fontId="2" fillId="0" borderId="24" xfId="1" applyFont="1" applyBorder="1"/>
    <xf numFmtId="43" fontId="2" fillId="5" borderId="2" xfId="1" applyFont="1" applyFill="1" applyBorder="1"/>
    <xf numFmtId="43" fontId="2" fillId="5" borderId="16" xfId="1" applyFont="1" applyFill="1" applyBorder="1"/>
    <xf numFmtId="0" fontId="0" fillId="0" borderId="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43" fontId="2" fillId="0" borderId="11" xfId="1" applyFont="1" applyFill="1" applyBorder="1"/>
    <xf numFmtId="43" fontId="1" fillId="0" borderId="11" xfId="1" applyFont="1" applyFill="1" applyBorder="1"/>
    <xf numFmtId="43" fontId="2" fillId="0" borderId="2" xfId="1" applyFont="1" applyFill="1" applyBorder="1"/>
    <xf numFmtId="43" fontId="1" fillId="0" borderId="2" xfId="1" applyFont="1" applyFill="1" applyBorder="1"/>
    <xf numFmtId="43" fontId="2" fillId="0" borderId="10" xfId="1" applyFont="1" applyFill="1" applyBorder="1"/>
    <xf numFmtId="43" fontId="1" fillId="0" borderId="21" xfId="1" applyFont="1" applyFill="1" applyBorder="1"/>
    <xf numFmtId="43" fontId="2" fillId="0" borderId="21" xfId="1" applyFont="1" applyFill="1" applyBorder="1"/>
    <xf numFmtId="43" fontId="0" fillId="0" borderId="11" xfId="1" applyFont="1" applyFill="1" applyBorder="1"/>
    <xf numFmtId="43" fontId="2" fillId="0" borderId="12" xfId="1" applyFont="1" applyFill="1" applyBorder="1"/>
    <xf numFmtId="43" fontId="2" fillId="0" borderId="5" xfId="1" applyFont="1" applyFill="1" applyBorder="1"/>
    <xf numFmtId="43" fontId="1" fillId="0" borderId="5" xfId="1" applyFont="1" applyFill="1" applyBorder="1"/>
    <xf numFmtId="43" fontId="2" fillId="0" borderId="16" xfId="1" applyFont="1" applyFill="1" applyBorder="1"/>
    <xf numFmtId="43" fontId="1" fillId="0" borderId="16" xfId="1" applyFont="1" applyFill="1" applyBorder="1"/>
    <xf numFmtId="43" fontId="2" fillId="0" borderId="4" xfId="1" applyFont="1" applyFill="1" applyBorder="1"/>
    <xf numFmtId="43" fontId="1" fillId="0" borderId="19" xfId="1" applyFont="1" applyFill="1" applyBorder="1"/>
    <xf numFmtId="43" fontId="2" fillId="0" borderId="7" xfId="1" applyFont="1" applyFill="1" applyBorder="1"/>
    <xf numFmtId="43" fontId="2" fillId="0" borderId="8" xfId="1" applyFont="1" applyFill="1" applyBorder="1"/>
    <xf numFmtId="43" fontId="1" fillId="0" borderId="8" xfId="1" applyFont="1" applyFill="1" applyBorder="1"/>
    <xf numFmtId="43" fontId="2" fillId="0" borderId="24" xfId="1" applyFont="1" applyFill="1" applyBorder="1"/>
    <xf numFmtId="43" fontId="1" fillId="0" borderId="24" xfId="1" applyFont="1" applyFill="1" applyBorder="1"/>
    <xf numFmtId="43" fontId="1" fillId="0" borderId="22" xfId="1" applyFont="1" applyFill="1" applyBorder="1"/>
    <xf numFmtId="43" fontId="2" fillId="0" borderId="22" xfId="1" applyFont="1" applyFill="1" applyBorder="1"/>
    <xf numFmtId="43" fontId="0" fillId="0" borderId="8" xfId="1" applyFont="1" applyFill="1" applyBorder="1"/>
    <xf numFmtId="43" fontId="2" fillId="0" borderId="9" xfId="1" applyFont="1" applyFill="1" applyBorder="1"/>
    <xf numFmtId="0" fontId="0" fillId="0" borderId="3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43" fontId="0" fillId="0" borderId="19" xfId="1" applyFont="1" applyFill="1" applyBorder="1"/>
    <xf numFmtId="43" fontId="2" fillId="0" borderId="19" xfId="1" applyFont="1" applyFill="1" applyBorder="1"/>
    <xf numFmtId="43" fontId="0" fillId="0" borderId="5" xfId="1" applyFont="1" applyFill="1" applyBorder="1"/>
    <xf numFmtId="10" fontId="0" fillId="0" borderId="11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25" xfId="1" applyFont="1" applyBorder="1"/>
    <xf numFmtId="0" fontId="2" fillId="0" borderId="14" xfId="0" applyFont="1" applyFill="1" applyBorder="1" applyAlignment="1">
      <alignment horizontal="center"/>
    </xf>
    <xf numFmtId="0" fontId="2" fillId="0" borderId="26" xfId="0" applyFont="1" applyBorder="1"/>
    <xf numFmtId="0" fontId="0" fillId="0" borderId="14" xfId="0" applyFont="1" applyFill="1" applyBorder="1" applyAlignment="1">
      <alignment horizontal="center"/>
    </xf>
    <xf numFmtId="0" fontId="0" fillId="0" borderId="26" xfId="0" applyFont="1" applyBorder="1"/>
    <xf numFmtId="0" fontId="0" fillId="0" borderId="25" xfId="0" applyFont="1" applyFill="1" applyBorder="1" applyAlignment="1">
      <alignment horizontal="center"/>
    </xf>
    <xf numFmtId="0" fontId="0" fillId="0" borderId="27" xfId="0" applyFont="1" applyBorder="1"/>
    <xf numFmtId="0" fontId="0" fillId="0" borderId="28" xfId="0" applyFont="1" applyBorder="1"/>
    <xf numFmtId="0" fontId="0" fillId="0" borderId="5" xfId="0" applyFont="1" applyBorder="1" applyAlignment="1">
      <alignment horizontal="center"/>
    </xf>
    <xf numFmtId="0" fontId="0" fillId="0" borderId="5" xfId="0" applyFont="1" applyBorder="1"/>
    <xf numFmtId="0" fontId="2" fillId="0" borderId="29" xfId="0" quotePrefix="1" applyFont="1" applyBorder="1"/>
    <xf numFmtId="0" fontId="0" fillId="0" borderId="29" xfId="0" quotePrefix="1" applyFont="1" applyBorder="1"/>
    <xf numFmtId="0" fontId="0" fillId="0" borderId="30" xfId="0" quotePrefix="1" applyFont="1" applyBorder="1"/>
    <xf numFmtId="0" fontId="0" fillId="0" borderId="31" xfId="0" quotePrefix="1" applyFont="1" applyBorder="1"/>
    <xf numFmtId="43" fontId="0" fillId="0" borderId="0" xfId="0" applyNumberFormat="1" applyFont="1"/>
    <xf numFmtId="0" fontId="5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31" xfId="0" quotePrefix="1" applyFont="1" applyBorder="1"/>
    <xf numFmtId="0" fontId="2" fillId="0" borderId="28" xfId="0" applyFont="1" applyBorder="1"/>
    <xf numFmtId="0" fontId="2" fillId="0" borderId="23" xfId="0" applyFont="1" applyFill="1" applyBorder="1" applyAlignment="1">
      <alignment horizontal="center"/>
    </xf>
    <xf numFmtId="0" fontId="2" fillId="0" borderId="23" xfId="0" applyFont="1" applyBorder="1"/>
    <xf numFmtId="0" fontId="2" fillId="0" borderId="21" xfId="0" applyFont="1" applyFill="1" applyBorder="1"/>
    <xf numFmtId="43" fontId="0" fillId="0" borderId="2" xfId="1" applyFont="1" applyFill="1" applyBorder="1"/>
    <xf numFmtId="43" fontId="0" fillId="0" borderId="21" xfId="1" applyFont="1" applyFill="1" applyBorder="1"/>
    <xf numFmtId="43" fontId="2" fillId="0" borderId="13" xfId="1" applyFont="1" applyFill="1" applyBorder="1"/>
    <xf numFmtId="43" fontId="0" fillId="0" borderId="23" xfId="1" applyFont="1" applyFill="1" applyBorder="1"/>
    <xf numFmtId="43" fontId="2" fillId="0" borderId="23" xfId="1" applyFont="1" applyFill="1" applyBorder="1"/>
    <xf numFmtId="43" fontId="0" fillId="0" borderId="14" xfId="1" applyFont="1" applyFill="1" applyBorder="1"/>
    <xf numFmtId="43" fontId="2" fillId="0" borderId="15" xfId="1" applyFont="1" applyFill="1" applyBorder="1"/>
    <xf numFmtId="0" fontId="6" fillId="0" borderId="0" xfId="0" applyFont="1" applyAlignment="1">
      <alignment horizontal="center"/>
    </xf>
    <xf numFmtId="0" fontId="6" fillId="0" borderId="0" xfId="0" applyFont="1"/>
    <xf numFmtId="43" fontId="0" fillId="9" borderId="23" xfId="1" applyFont="1" applyFill="1" applyBorder="1"/>
    <xf numFmtId="0" fontId="2" fillId="10" borderId="1" xfId="0" applyFont="1" applyFill="1" applyBorder="1" applyAlignment="1">
      <alignment horizontal="center" vertical="center" wrapText="1"/>
    </xf>
    <xf numFmtId="17" fontId="2" fillId="10" borderId="1" xfId="0" applyNumberFormat="1" applyFont="1" applyFill="1" applyBorder="1" applyAlignment="1">
      <alignment horizontal="center" vertical="center"/>
    </xf>
    <xf numFmtId="0" fontId="2" fillId="5" borderId="23" xfId="0" applyFont="1" applyFill="1" applyBorder="1"/>
    <xf numFmtId="0" fontId="2" fillId="5" borderId="14" xfId="0" applyFont="1" applyFill="1" applyBorder="1"/>
    <xf numFmtId="43" fontId="0" fillId="5" borderId="14" xfId="1" applyFont="1" applyFill="1" applyBorder="1"/>
    <xf numFmtId="43" fontId="1" fillId="5" borderId="14" xfId="1" applyFont="1" applyFill="1" applyBorder="1"/>
    <xf numFmtId="43" fontId="2" fillId="5" borderId="14" xfId="1" applyFont="1" applyFill="1" applyBorder="1"/>
    <xf numFmtId="43" fontId="1" fillId="5" borderId="25" xfId="1" applyFont="1" applyFill="1" applyBorder="1"/>
    <xf numFmtId="0" fontId="2" fillId="9" borderId="1" xfId="0" applyFont="1" applyFill="1" applyBorder="1" applyAlignment="1">
      <alignment horizontal="center" vertical="center" wrapText="1"/>
    </xf>
    <xf numFmtId="17" fontId="2" fillId="9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0" fontId="2" fillId="9" borderId="32" xfId="0" applyFont="1" applyFill="1" applyBorder="1" applyAlignment="1">
      <alignment horizontal="center" vertical="center" wrapText="1"/>
    </xf>
    <xf numFmtId="43" fontId="0" fillId="0" borderId="0" xfId="1" applyFont="1" applyFill="1" applyBorder="1"/>
    <xf numFmtId="0" fontId="2" fillId="11" borderId="33" xfId="0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0" fontId="2" fillId="11" borderId="35" xfId="0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2" fillId="12" borderId="35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34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 wrapText="1"/>
    </xf>
    <xf numFmtId="43" fontId="0" fillId="0" borderId="0" xfId="1" applyFont="1" applyFill="1"/>
    <xf numFmtId="49" fontId="2" fillId="9" borderId="36" xfId="0" applyNumberFormat="1" applyFont="1" applyFill="1" applyBorder="1" applyAlignment="1">
      <alignment horizontal="center" vertical="center" wrapText="1"/>
    </xf>
    <xf numFmtId="0" fontId="2" fillId="9" borderId="37" xfId="0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2" fillId="13" borderId="36" xfId="0" applyFont="1" applyFill="1" applyBorder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14" borderId="33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43" fontId="0" fillId="0" borderId="5" xfId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43" fontId="2" fillId="0" borderId="39" xfId="1" applyFont="1" applyBorder="1" applyAlignment="1">
      <alignment horizontal="center"/>
    </xf>
    <xf numFmtId="0" fontId="0" fillId="0" borderId="40" xfId="0" applyBorder="1" applyAlignment="1">
      <alignment horizontal="center"/>
    </xf>
    <xf numFmtId="43" fontId="0" fillId="0" borderId="41" xfId="1" applyFont="1" applyBorder="1" applyAlignment="1">
      <alignment horizontal="center"/>
    </xf>
    <xf numFmtId="0" fontId="2" fillId="9" borderId="33" xfId="0" applyFont="1" applyFill="1" applyBorder="1" applyAlignment="1">
      <alignment horizontal="right" vertical="center"/>
    </xf>
    <xf numFmtId="0" fontId="2" fillId="9" borderId="42" xfId="0" applyFont="1" applyFill="1" applyBorder="1" applyAlignment="1">
      <alignment horizontal="right" vertical="center"/>
    </xf>
    <xf numFmtId="4" fontId="2" fillId="9" borderId="43" xfId="0" applyNumberFormat="1" applyFont="1" applyFill="1" applyBorder="1" applyAlignment="1">
      <alignment horizontal="center" vertical="center" wrapText="1"/>
    </xf>
    <xf numFmtId="43" fontId="0" fillId="0" borderId="40" xfId="1" applyFont="1" applyBorder="1" applyAlignment="1">
      <alignment horizontal="center"/>
    </xf>
    <xf numFmtId="10" fontId="0" fillId="0" borderId="41" xfId="2" applyNumberFormat="1" applyFont="1" applyBorder="1" applyAlignment="1">
      <alignment horizontal="center"/>
    </xf>
    <xf numFmtId="4" fontId="2" fillId="3" borderId="36" xfId="0" applyNumberFormat="1" applyFont="1" applyFill="1" applyBorder="1" applyAlignment="1">
      <alignment horizontal="center" vertical="center" wrapText="1"/>
    </xf>
    <xf numFmtId="4" fontId="2" fillId="3" borderId="37" xfId="0" applyNumberFormat="1" applyFont="1" applyFill="1" applyBorder="1" applyAlignment="1">
      <alignment horizontal="center" vertical="center" wrapText="1"/>
    </xf>
    <xf numFmtId="10" fontId="2" fillId="3" borderId="32" xfId="2" applyNumberFormat="1" applyFont="1" applyFill="1" applyBorder="1" applyAlignment="1">
      <alignment horizontal="center" vertical="center" wrapText="1"/>
    </xf>
    <xf numFmtId="4" fontId="2" fillId="12" borderId="36" xfId="0" applyNumberFormat="1" applyFont="1" applyFill="1" applyBorder="1" applyAlignment="1">
      <alignment horizontal="center" vertical="center" wrapText="1"/>
    </xf>
    <xf numFmtId="4" fontId="2" fillId="12" borderId="37" xfId="0" applyNumberFormat="1" applyFont="1" applyFill="1" applyBorder="1" applyAlignment="1">
      <alignment horizontal="center" vertical="center" wrapText="1"/>
    </xf>
    <xf numFmtId="10" fontId="2" fillId="12" borderId="43" xfId="2" applyNumberFormat="1" applyFont="1" applyFill="1" applyBorder="1" applyAlignment="1">
      <alignment horizontal="center" vertical="center" wrapText="1"/>
    </xf>
    <xf numFmtId="4" fontId="2" fillId="13" borderId="36" xfId="0" applyNumberFormat="1" applyFont="1" applyFill="1" applyBorder="1" applyAlignment="1">
      <alignment horizontal="center" vertical="center" wrapText="1"/>
    </xf>
    <xf numFmtId="4" fontId="2" fillId="13" borderId="44" xfId="0" applyNumberFormat="1" applyFont="1" applyFill="1" applyBorder="1" applyAlignment="1">
      <alignment horizontal="center" vertical="center" wrapText="1"/>
    </xf>
    <xf numFmtId="10" fontId="2" fillId="13" borderId="35" xfId="2" applyNumberFormat="1" applyFont="1" applyFill="1" applyBorder="1" applyAlignment="1">
      <alignment horizontal="center" vertical="center" wrapText="1"/>
    </xf>
    <xf numFmtId="4" fontId="2" fillId="7" borderId="36" xfId="0" applyNumberFormat="1" applyFont="1" applyFill="1" applyBorder="1" applyAlignment="1">
      <alignment horizontal="center" vertical="center" wrapText="1"/>
    </xf>
    <xf numFmtId="10" fontId="2" fillId="7" borderId="35" xfId="2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</dxf>
  </dxfs>
  <tableStyles count="0" defaultTableStyle="TableStyleMedium2" defaultPivotStyle="PivotStyleLight16"/>
  <colors>
    <mruColors>
      <color rgb="FFFFFFB7"/>
      <color rgb="FF99FF99"/>
      <color rgb="FFC7E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zoomScale="85" zoomScaleNormal="85" workbookViewId="0">
      <selection activeCell="B3" sqref="B3"/>
    </sheetView>
  </sheetViews>
  <sheetFormatPr baseColWidth="10" defaultRowHeight="15" x14ac:dyDescent="0.25"/>
  <cols>
    <col min="1" max="1" width="11.42578125" style="1"/>
    <col min="3" max="3" width="52.7109375" customWidth="1"/>
    <col min="5" max="5" width="11.5703125" style="164" customWidth="1"/>
    <col min="6" max="6" width="12" customWidth="1"/>
    <col min="7" max="7" width="14.5703125" customWidth="1"/>
    <col min="8" max="8" width="5.42578125" customWidth="1"/>
    <col min="9" max="9" width="11.140625" customWidth="1"/>
    <col min="10" max="10" width="11.28515625" customWidth="1"/>
    <col min="11" max="11" width="14" customWidth="1"/>
    <col min="12" max="12" width="5.85546875" customWidth="1"/>
    <col min="14" max="14" width="11.5703125" customWidth="1"/>
    <col min="15" max="15" width="15.5703125" customWidth="1"/>
    <col min="16" max="16" width="13.5703125" customWidth="1"/>
    <col min="17" max="17" width="13.42578125" customWidth="1"/>
    <col min="18" max="18" width="13.5703125" customWidth="1"/>
    <col min="19" max="19" width="17.140625" customWidth="1"/>
    <col min="20" max="20" width="14.5703125" customWidth="1"/>
  </cols>
  <sheetData>
    <row r="1" spans="1:20" s="2" customFormat="1" x14ac:dyDescent="0.25">
      <c r="A1" s="48" t="s">
        <v>0</v>
      </c>
      <c r="E1" s="163"/>
    </row>
    <row r="2" spans="1:20" x14ac:dyDescent="0.25">
      <c r="M2" s="92"/>
    </row>
    <row r="3" spans="1:20" s="2" customFormat="1" x14ac:dyDescent="0.25">
      <c r="A3" s="5" t="s">
        <v>16</v>
      </c>
      <c r="B3" s="2" t="s">
        <v>91</v>
      </c>
      <c r="E3" s="163"/>
    </row>
    <row r="5" spans="1:20" ht="15" customHeight="1" x14ac:dyDescent="0.25">
      <c r="A5" s="213" t="s">
        <v>1</v>
      </c>
      <c r="B5" s="213" t="s">
        <v>2</v>
      </c>
      <c r="C5" s="213" t="s">
        <v>15</v>
      </c>
      <c r="D5" s="213" t="s">
        <v>3</v>
      </c>
      <c r="E5" s="213" t="s">
        <v>13</v>
      </c>
      <c r="F5" s="213"/>
      <c r="G5" s="213"/>
      <c r="H5" s="3"/>
      <c r="I5" s="214" t="s">
        <v>71</v>
      </c>
      <c r="J5" s="214"/>
      <c r="K5" s="214"/>
      <c r="L5" s="3"/>
      <c r="M5" s="212" t="s">
        <v>14</v>
      </c>
      <c r="N5" s="212"/>
      <c r="O5" s="212"/>
      <c r="P5" s="212"/>
      <c r="Q5" s="212"/>
      <c r="R5" s="212"/>
      <c r="S5" s="212"/>
      <c r="T5" s="212"/>
    </row>
    <row r="6" spans="1:20" x14ac:dyDescent="0.25">
      <c r="A6" s="215"/>
      <c r="B6" s="215"/>
      <c r="C6" s="215"/>
      <c r="D6" s="215"/>
      <c r="E6" s="129" t="s">
        <v>5</v>
      </c>
      <c r="F6" s="55" t="s">
        <v>6</v>
      </c>
      <c r="G6" s="55" t="s">
        <v>7</v>
      </c>
      <c r="H6" s="3"/>
      <c r="I6" s="56" t="s">
        <v>5</v>
      </c>
      <c r="J6" s="56" t="s">
        <v>6</v>
      </c>
      <c r="K6" s="56" t="s">
        <v>7</v>
      </c>
      <c r="L6" s="3"/>
      <c r="M6" s="57" t="s">
        <v>5</v>
      </c>
      <c r="N6" s="57" t="s">
        <v>6</v>
      </c>
      <c r="O6" s="57" t="s">
        <v>8</v>
      </c>
      <c r="P6" s="57" t="s">
        <v>9</v>
      </c>
      <c r="Q6" s="57" t="s">
        <v>10</v>
      </c>
      <c r="R6" s="57" t="s">
        <v>11</v>
      </c>
      <c r="S6" s="57" t="s">
        <v>12</v>
      </c>
      <c r="T6" s="57" t="s">
        <v>7</v>
      </c>
    </row>
    <row r="7" spans="1:20" s="2" customFormat="1" x14ac:dyDescent="0.25">
      <c r="A7" s="45"/>
      <c r="B7" s="132" t="s">
        <v>92</v>
      </c>
      <c r="C7" s="104" t="s">
        <v>155</v>
      </c>
      <c r="D7" s="103"/>
      <c r="E7" s="134"/>
      <c r="F7" s="21"/>
      <c r="G7" s="17"/>
      <c r="I7" s="15"/>
      <c r="J7" s="104"/>
      <c r="K7" s="17"/>
      <c r="M7" s="180"/>
      <c r="N7" s="7"/>
      <c r="O7" s="58"/>
      <c r="P7" s="59"/>
      <c r="Q7" s="59"/>
      <c r="R7" s="59"/>
      <c r="S7" s="59"/>
      <c r="T7" s="7"/>
    </row>
    <row r="8" spans="1:20" s="2" customFormat="1" x14ac:dyDescent="0.25">
      <c r="A8" s="107"/>
      <c r="B8" s="133" t="s">
        <v>93</v>
      </c>
      <c r="C8" s="106" t="s">
        <v>156</v>
      </c>
      <c r="D8" s="105"/>
      <c r="E8" s="135"/>
      <c r="F8" s="22"/>
      <c r="G8" s="18"/>
      <c r="I8" s="16"/>
      <c r="J8" s="106"/>
      <c r="K8" s="18"/>
      <c r="M8" s="181"/>
      <c r="N8" s="8"/>
      <c r="O8" s="60"/>
      <c r="P8" s="61"/>
      <c r="Q8" s="61"/>
      <c r="R8" s="61"/>
      <c r="S8" s="61"/>
      <c r="T8" s="174"/>
    </row>
    <row r="9" spans="1:20" s="2" customFormat="1" x14ac:dyDescent="0.25">
      <c r="A9" s="107"/>
      <c r="B9" s="133" t="s">
        <v>17</v>
      </c>
      <c r="C9" s="106" t="s">
        <v>157</v>
      </c>
      <c r="D9" s="105"/>
      <c r="E9" s="165"/>
      <c r="F9" s="8"/>
      <c r="G9" s="20"/>
      <c r="I9" s="11"/>
      <c r="J9" s="174"/>
      <c r="K9" s="20"/>
      <c r="M9" s="181"/>
      <c r="N9" s="8"/>
      <c r="O9" s="60"/>
      <c r="P9" s="61"/>
      <c r="Q9" s="61"/>
      <c r="R9" s="61"/>
      <c r="S9" s="61"/>
      <c r="T9" s="174"/>
    </row>
    <row r="10" spans="1:20" s="90" customFormat="1" x14ac:dyDescent="0.25">
      <c r="A10" s="136">
        <v>100</v>
      </c>
      <c r="B10" s="137" t="s">
        <v>94</v>
      </c>
      <c r="C10" s="138" t="s">
        <v>158</v>
      </c>
      <c r="D10" s="160" t="s">
        <v>21</v>
      </c>
      <c r="E10" s="166">
        <v>897.34</v>
      </c>
      <c r="F10" s="139">
        <v>2.04</v>
      </c>
      <c r="G10" s="142">
        <f t="shared" ref="G10:G11" si="0">ROUND(E10*F10,2)</f>
        <v>1830.57</v>
      </c>
      <c r="I10" s="143">
        <v>942.21</v>
      </c>
      <c r="J10" s="175">
        <v>1.33</v>
      </c>
      <c r="K10" s="142">
        <f t="shared" ref="K10:K11" si="1">ROUND(I10*J10,2)</f>
        <v>1253.1400000000001</v>
      </c>
      <c r="M10" s="182">
        <v>935</v>
      </c>
      <c r="N10" s="139">
        <f>SUM(O10:S10)</f>
        <v>1.47</v>
      </c>
      <c r="O10" s="140">
        <v>0.52</v>
      </c>
      <c r="P10" s="141">
        <v>0.7</v>
      </c>
      <c r="Q10" s="141">
        <v>0.25</v>
      </c>
      <c r="R10" s="141"/>
      <c r="S10" s="141"/>
      <c r="T10" s="175">
        <f>ROUND(M10*N10,2)</f>
        <v>1374.45</v>
      </c>
    </row>
    <row r="11" spans="1:20" s="90" customFormat="1" x14ac:dyDescent="0.25">
      <c r="A11" s="136">
        <v>100</v>
      </c>
      <c r="B11" s="137" t="s">
        <v>95</v>
      </c>
      <c r="C11" s="138" t="s">
        <v>159</v>
      </c>
      <c r="D11" s="160" t="s">
        <v>219</v>
      </c>
      <c r="E11" s="166">
        <v>897.34</v>
      </c>
      <c r="F11" s="139">
        <v>2.04</v>
      </c>
      <c r="G11" s="142">
        <f t="shared" si="0"/>
        <v>1830.57</v>
      </c>
      <c r="I11" s="143">
        <v>942.21</v>
      </c>
      <c r="J11" s="175">
        <v>1.33</v>
      </c>
      <c r="K11" s="142">
        <f t="shared" si="1"/>
        <v>1253.1400000000001</v>
      </c>
      <c r="M11" s="182"/>
      <c r="N11" s="139">
        <f>SUM(O11:S11)</f>
        <v>0</v>
      </c>
      <c r="O11" s="140"/>
      <c r="P11" s="141"/>
      <c r="Q11" s="141"/>
      <c r="R11" s="141"/>
      <c r="S11" s="141"/>
      <c r="T11" s="175"/>
    </row>
    <row r="12" spans="1:20" s="2" customFormat="1" x14ac:dyDescent="0.25">
      <c r="A12" s="107"/>
      <c r="B12" s="133" t="s">
        <v>96</v>
      </c>
      <c r="C12" s="106" t="s">
        <v>160</v>
      </c>
      <c r="D12" s="105"/>
      <c r="E12" s="165"/>
      <c r="F12" s="8"/>
      <c r="G12" s="20"/>
      <c r="I12" s="11"/>
      <c r="J12" s="174"/>
      <c r="K12" s="20"/>
      <c r="M12" s="181"/>
      <c r="N12" s="8"/>
      <c r="O12" s="60"/>
      <c r="P12" s="61"/>
      <c r="Q12" s="61"/>
      <c r="R12" s="61"/>
      <c r="S12" s="61"/>
      <c r="T12" s="8"/>
    </row>
    <row r="13" spans="1:20" s="2" customFormat="1" x14ac:dyDescent="0.25">
      <c r="A13" s="107"/>
      <c r="B13" s="133" t="s">
        <v>97</v>
      </c>
      <c r="C13" s="106" t="s">
        <v>161</v>
      </c>
      <c r="D13" s="105"/>
      <c r="E13" s="165"/>
      <c r="F13" s="8"/>
      <c r="G13" s="20"/>
      <c r="I13" s="11"/>
      <c r="J13" s="174"/>
      <c r="K13" s="20"/>
      <c r="M13" s="181"/>
      <c r="N13" s="8"/>
      <c r="O13" s="60"/>
      <c r="P13" s="61"/>
      <c r="Q13" s="61"/>
      <c r="R13" s="61"/>
      <c r="S13" s="61"/>
      <c r="T13" s="8"/>
    </row>
    <row r="14" spans="1:20" s="2" customFormat="1" x14ac:dyDescent="0.25">
      <c r="A14" s="107"/>
      <c r="B14" s="133" t="s">
        <v>98</v>
      </c>
      <c r="C14" s="106" t="s">
        <v>162</v>
      </c>
      <c r="D14" s="105"/>
      <c r="E14" s="165"/>
      <c r="F14" s="8"/>
      <c r="G14" s="20"/>
      <c r="I14" s="11"/>
      <c r="J14" s="174"/>
      <c r="K14" s="20"/>
      <c r="M14" s="181"/>
      <c r="N14" s="8"/>
      <c r="O14" s="60"/>
      <c r="P14" s="61"/>
      <c r="Q14" s="61"/>
      <c r="R14" s="61"/>
      <c r="S14" s="61"/>
      <c r="T14" s="8"/>
    </row>
    <row r="15" spans="1:20" s="90" customFormat="1" x14ac:dyDescent="0.25">
      <c r="A15" s="136">
        <v>200</v>
      </c>
      <c r="B15" s="137" t="s">
        <v>99</v>
      </c>
      <c r="C15" s="138" t="s">
        <v>163</v>
      </c>
      <c r="D15" s="160" t="s">
        <v>81</v>
      </c>
      <c r="E15" s="166">
        <v>41.9</v>
      </c>
      <c r="F15" s="139">
        <v>46.74</v>
      </c>
      <c r="G15" s="142">
        <f t="shared" ref="G15:G16" si="2">ROUND(E15*F15,2)</f>
        <v>1958.41</v>
      </c>
      <c r="I15" s="143">
        <v>39.81</v>
      </c>
      <c r="J15" s="175">
        <v>29.22</v>
      </c>
      <c r="K15" s="142">
        <f t="shared" ref="K15:K16" si="3">ROUND(I15*J15,2)</f>
        <v>1163.25</v>
      </c>
      <c r="M15" s="182"/>
      <c r="N15" s="139">
        <f t="shared" ref="N15:N16" si="4">SUM(O15:S15)</f>
        <v>0</v>
      </c>
      <c r="O15" s="140"/>
      <c r="P15" s="141"/>
      <c r="Q15" s="141"/>
      <c r="R15" s="141"/>
      <c r="S15" s="141"/>
      <c r="T15" s="139"/>
    </row>
    <row r="16" spans="1:20" s="90" customFormat="1" x14ac:dyDescent="0.25">
      <c r="A16" s="136">
        <v>200</v>
      </c>
      <c r="B16" s="137" t="s">
        <v>100</v>
      </c>
      <c r="C16" s="138" t="s">
        <v>164</v>
      </c>
      <c r="D16" s="160" t="s">
        <v>81</v>
      </c>
      <c r="E16" s="166">
        <v>1975.16</v>
      </c>
      <c r="F16" s="139">
        <v>50.99</v>
      </c>
      <c r="G16" s="142">
        <f t="shared" si="2"/>
        <v>100713.41</v>
      </c>
      <c r="I16" s="143">
        <v>1876.4</v>
      </c>
      <c r="J16" s="175">
        <v>33.36</v>
      </c>
      <c r="K16" s="142">
        <f t="shared" si="3"/>
        <v>62596.7</v>
      </c>
      <c r="M16" s="182"/>
      <c r="N16" s="139">
        <f t="shared" si="4"/>
        <v>0</v>
      </c>
      <c r="O16" s="140"/>
      <c r="P16" s="141"/>
      <c r="Q16" s="141"/>
      <c r="R16" s="141"/>
      <c r="S16" s="141"/>
      <c r="T16" s="139"/>
    </row>
    <row r="17" spans="1:20" s="2" customFormat="1" x14ac:dyDescent="0.25">
      <c r="A17" s="107"/>
      <c r="B17" s="133" t="s">
        <v>101</v>
      </c>
      <c r="C17" s="106" t="s">
        <v>165</v>
      </c>
      <c r="D17" s="105"/>
      <c r="E17" s="165"/>
      <c r="F17" s="8"/>
      <c r="G17" s="20"/>
      <c r="I17" s="11"/>
      <c r="J17" s="174"/>
      <c r="K17" s="20"/>
      <c r="M17" s="181"/>
      <c r="N17" s="8"/>
      <c r="O17" s="60"/>
      <c r="P17" s="61"/>
      <c r="Q17" s="61"/>
      <c r="R17" s="61"/>
      <c r="S17" s="61"/>
      <c r="T17" s="8"/>
    </row>
    <row r="18" spans="1:20" s="90" customFormat="1" x14ac:dyDescent="0.25">
      <c r="A18" s="136">
        <v>200</v>
      </c>
      <c r="B18" s="137" t="s">
        <v>102</v>
      </c>
      <c r="C18" s="138" t="s">
        <v>166</v>
      </c>
      <c r="D18" s="160" t="s">
        <v>81</v>
      </c>
      <c r="E18" s="166">
        <v>1197.9100000000001</v>
      </c>
      <c r="F18" s="139">
        <v>26.01</v>
      </c>
      <c r="G18" s="142">
        <f t="shared" ref="G18" si="5">ROUND(E18*F18,2)</f>
        <v>31157.64</v>
      </c>
      <c r="I18" s="143">
        <v>1138.01</v>
      </c>
      <c r="J18" s="175">
        <v>15</v>
      </c>
      <c r="K18" s="142">
        <f t="shared" ref="K18" si="6">ROUND(I18*J18,2)</f>
        <v>17070.150000000001</v>
      </c>
      <c r="M18" s="182"/>
      <c r="N18" s="139">
        <f>SUM(O18:S18)</f>
        <v>0</v>
      </c>
      <c r="O18" s="140"/>
      <c r="P18" s="141"/>
      <c r="Q18" s="141"/>
      <c r="R18" s="141"/>
      <c r="S18" s="141"/>
      <c r="T18" s="139"/>
    </row>
    <row r="19" spans="1:20" s="2" customFormat="1" x14ac:dyDescent="0.25">
      <c r="A19" s="107"/>
      <c r="B19" s="133" t="s">
        <v>103</v>
      </c>
      <c r="C19" s="106" t="s">
        <v>167</v>
      </c>
      <c r="D19" s="105"/>
      <c r="E19" s="165"/>
      <c r="F19" s="8"/>
      <c r="G19" s="20"/>
      <c r="I19" s="11"/>
      <c r="J19" s="174"/>
      <c r="K19" s="20"/>
      <c r="M19" s="181"/>
      <c r="N19" s="8"/>
      <c r="O19" s="60"/>
      <c r="P19" s="61"/>
      <c r="Q19" s="61"/>
      <c r="R19" s="61"/>
      <c r="S19" s="61"/>
      <c r="T19" s="8"/>
    </row>
    <row r="20" spans="1:20" s="90" customFormat="1" x14ac:dyDescent="0.25">
      <c r="A20" s="136">
        <v>200</v>
      </c>
      <c r="B20" s="137" t="s">
        <v>104</v>
      </c>
      <c r="C20" s="138" t="s">
        <v>168</v>
      </c>
      <c r="D20" s="160" t="s">
        <v>81</v>
      </c>
      <c r="E20" s="166">
        <v>68.91</v>
      </c>
      <c r="F20" s="139">
        <v>17.53</v>
      </c>
      <c r="G20" s="142">
        <f t="shared" ref="G20:G22" si="7">ROUND(E20*F20,2)</f>
        <v>1207.99</v>
      </c>
      <c r="I20" s="143"/>
      <c r="J20" s="175"/>
      <c r="K20" s="142"/>
      <c r="M20" s="182"/>
      <c r="N20" s="139"/>
      <c r="O20" s="140"/>
      <c r="P20" s="141"/>
      <c r="Q20" s="141"/>
      <c r="R20" s="141"/>
      <c r="S20" s="141"/>
      <c r="T20" s="139"/>
    </row>
    <row r="21" spans="1:20" s="90" customFormat="1" x14ac:dyDescent="0.25">
      <c r="A21" s="136">
        <v>200</v>
      </c>
      <c r="B21" s="137" t="s">
        <v>105</v>
      </c>
      <c r="C21" s="138" t="s">
        <v>169</v>
      </c>
      <c r="D21" s="160" t="s">
        <v>22</v>
      </c>
      <c r="E21" s="166">
        <v>68.91</v>
      </c>
      <c r="F21" s="139">
        <v>16.02</v>
      </c>
      <c r="G21" s="142">
        <f t="shared" si="7"/>
        <v>1103.94</v>
      </c>
      <c r="I21" s="143"/>
      <c r="J21" s="175"/>
      <c r="K21" s="142"/>
      <c r="M21" s="182"/>
      <c r="N21" s="139"/>
      <c r="O21" s="140"/>
      <c r="P21" s="141"/>
      <c r="Q21" s="141"/>
      <c r="R21" s="141"/>
      <c r="S21" s="141"/>
      <c r="T21" s="139"/>
    </row>
    <row r="22" spans="1:20" s="90" customFormat="1" x14ac:dyDescent="0.25">
      <c r="A22" s="136">
        <v>200</v>
      </c>
      <c r="B22" s="137" t="s">
        <v>106</v>
      </c>
      <c r="C22" s="138" t="s">
        <v>170</v>
      </c>
      <c r="D22" s="160" t="s">
        <v>81</v>
      </c>
      <c r="E22" s="166">
        <v>995.9</v>
      </c>
      <c r="F22" s="139">
        <v>21.84</v>
      </c>
      <c r="G22" s="142">
        <f t="shared" si="7"/>
        <v>21750.46</v>
      </c>
      <c r="I22" s="143">
        <v>1118.06</v>
      </c>
      <c r="J22" s="175">
        <v>18.27</v>
      </c>
      <c r="K22" s="142">
        <f t="shared" ref="K22" si="8">ROUND(I22*J22,2)</f>
        <v>20426.96</v>
      </c>
      <c r="M22" s="182"/>
      <c r="N22" s="139">
        <f>SUM(O22:S22)</f>
        <v>0</v>
      </c>
      <c r="O22" s="140"/>
      <c r="P22" s="141"/>
      <c r="Q22" s="141"/>
      <c r="R22" s="141"/>
      <c r="S22" s="141"/>
      <c r="T22" s="139"/>
    </row>
    <row r="23" spans="1:20" s="2" customFormat="1" x14ac:dyDescent="0.25">
      <c r="A23" s="152"/>
      <c r="B23" s="153" t="s">
        <v>107</v>
      </c>
      <c r="C23" s="154" t="s">
        <v>171</v>
      </c>
      <c r="D23" s="161"/>
      <c r="E23" s="167"/>
      <c r="F23" s="155"/>
      <c r="G23" s="156"/>
      <c r="I23" s="157"/>
      <c r="J23" s="176"/>
      <c r="K23" s="156"/>
      <c r="M23" s="183"/>
      <c r="N23" s="155"/>
      <c r="O23" s="158"/>
      <c r="P23" s="159"/>
      <c r="Q23" s="159"/>
      <c r="R23" s="159"/>
      <c r="S23" s="159"/>
      <c r="T23" s="155"/>
    </row>
    <row r="24" spans="1:20" s="90" customFormat="1" x14ac:dyDescent="0.25">
      <c r="A24" s="144">
        <v>200</v>
      </c>
      <c r="B24" s="145" t="s">
        <v>108</v>
      </c>
      <c r="C24" s="146" t="s">
        <v>172</v>
      </c>
      <c r="D24" s="162" t="s">
        <v>219</v>
      </c>
      <c r="E24" s="168">
        <v>68.95</v>
      </c>
      <c r="F24" s="147">
        <v>4.72</v>
      </c>
      <c r="G24" s="142">
        <f t="shared" ref="G24:G27" si="9">ROUND(E24*F24,2)</f>
        <v>325.44</v>
      </c>
      <c r="I24" s="149">
        <v>70.33</v>
      </c>
      <c r="J24" s="177">
        <v>4.3600000000000003</v>
      </c>
      <c r="K24" s="142">
        <f t="shared" ref="K24:K27" si="10">ROUND(I24*J24,2)</f>
        <v>306.64</v>
      </c>
      <c r="M24" s="184"/>
      <c r="N24" s="139">
        <f t="shared" ref="N24:N27" si="11">SUM(O24:S24)</f>
        <v>0</v>
      </c>
      <c r="O24" s="150"/>
      <c r="P24" s="151"/>
      <c r="Q24" s="151"/>
      <c r="R24" s="151"/>
      <c r="S24" s="151"/>
      <c r="T24" s="147"/>
    </row>
    <row r="25" spans="1:20" s="90" customFormat="1" x14ac:dyDescent="0.25">
      <c r="A25" s="144">
        <v>200</v>
      </c>
      <c r="B25" s="145" t="s">
        <v>109</v>
      </c>
      <c r="C25" s="146" t="s">
        <v>173</v>
      </c>
      <c r="D25" s="162" t="s">
        <v>219</v>
      </c>
      <c r="E25" s="168">
        <v>8.56</v>
      </c>
      <c r="F25" s="147">
        <v>7.8500000000000005</v>
      </c>
      <c r="G25" s="142">
        <f t="shared" si="9"/>
        <v>67.2</v>
      </c>
      <c r="I25" s="149">
        <v>8.73</v>
      </c>
      <c r="J25" s="177">
        <v>7.37</v>
      </c>
      <c r="K25" s="142">
        <f t="shared" si="10"/>
        <v>64.34</v>
      </c>
      <c r="M25" s="184"/>
      <c r="N25" s="139">
        <f t="shared" si="11"/>
        <v>0</v>
      </c>
      <c r="O25" s="150"/>
      <c r="P25" s="151"/>
      <c r="Q25" s="151"/>
      <c r="R25" s="151"/>
      <c r="S25" s="151"/>
      <c r="T25" s="147"/>
    </row>
    <row r="26" spans="1:20" s="90" customFormat="1" x14ac:dyDescent="0.25">
      <c r="A26" s="144">
        <v>200</v>
      </c>
      <c r="B26" s="145" t="s">
        <v>110</v>
      </c>
      <c r="C26" s="146" t="s">
        <v>174</v>
      </c>
      <c r="D26" s="162" t="s">
        <v>219</v>
      </c>
      <c r="E26" s="168">
        <v>68.95</v>
      </c>
      <c r="F26" s="147">
        <v>15.19</v>
      </c>
      <c r="G26" s="142">
        <f t="shared" si="9"/>
        <v>1047.3499999999999</v>
      </c>
      <c r="I26" s="149">
        <v>70.33</v>
      </c>
      <c r="J26" s="177">
        <v>11.5</v>
      </c>
      <c r="K26" s="142">
        <f t="shared" si="10"/>
        <v>808.8</v>
      </c>
      <c r="M26" s="184"/>
      <c r="N26" s="139">
        <f t="shared" si="11"/>
        <v>0</v>
      </c>
      <c r="O26" s="150"/>
      <c r="P26" s="151"/>
      <c r="Q26" s="151"/>
      <c r="R26" s="151"/>
      <c r="S26" s="151"/>
      <c r="T26" s="147"/>
    </row>
    <row r="27" spans="1:20" s="90" customFormat="1" x14ac:dyDescent="0.25">
      <c r="A27" s="144">
        <v>200</v>
      </c>
      <c r="B27" s="145" t="s">
        <v>111</v>
      </c>
      <c r="C27" s="146" t="s">
        <v>175</v>
      </c>
      <c r="D27" s="162" t="s">
        <v>219</v>
      </c>
      <c r="E27" s="168">
        <v>8.56</v>
      </c>
      <c r="F27" s="147">
        <v>21.79</v>
      </c>
      <c r="G27" s="142">
        <f t="shared" si="9"/>
        <v>186.52</v>
      </c>
      <c r="I27" s="149">
        <v>8.73</v>
      </c>
      <c r="J27" s="177">
        <v>14.5</v>
      </c>
      <c r="K27" s="142">
        <f t="shared" si="10"/>
        <v>126.59</v>
      </c>
      <c r="M27" s="184"/>
      <c r="N27" s="139">
        <f t="shared" si="11"/>
        <v>0</v>
      </c>
      <c r="O27" s="150"/>
      <c r="P27" s="151"/>
      <c r="Q27" s="151"/>
      <c r="R27" s="151"/>
      <c r="S27" s="151"/>
      <c r="T27" s="147"/>
    </row>
    <row r="28" spans="1:20" s="2" customFormat="1" x14ac:dyDescent="0.25">
      <c r="A28" s="152"/>
      <c r="B28" s="153" t="s">
        <v>112</v>
      </c>
      <c r="C28" s="154" t="s">
        <v>176</v>
      </c>
      <c r="D28" s="161"/>
      <c r="E28" s="167"/>
      <c r="F28" s="155"/>
      <c r="G28" s="156"/>
      <c r="I28" s="157"/>
      <c r="J28" s="176"/>
      <c r="K28" s="156"/>
      <c r="M28" s="183"/>
      <c r="N28" s="155"/>
      <c r="O28" s="158"/>
      <c r="P28" s="159"/>
      <c r="Q28" s="159"/>
      <c r="R28" s="159"/>
      <c r="S28" s="159"/>
      <c r="T28" s="155"/>
    </row>
    <row r="29" spans="1:20" s="2" customFormat="1" x14ac:dyDescent="0.25">
      <c r="A29" s="152"/>
      <c r="B29" s="153" t="s">
        <v>113</v>
      </c>
      <c r="C29" s="154" t="s">
        <v>177</v>
      </c>
      <c r="D29" s="161"/>
      <c r="E29" s="167"/>
      <c r="F29" s="155"/>
      <c r="G29" s="156"/>
      <c r="I29" s="157"/>
      <c r="J29" s="176"/>
      <c r="K29" s="156"/>
      <c r="M29" s="183"/>
      <c r="N29" s="155"/>
      <c r="O29" s="158"/>
      <c r="P29" s="159"/>
      <c r="Q29" s="159"/>
      <c r="R29" s="159"/>
      <c r="S29" s="159"/>
      <c r="T29" s="155"/>
    </row>
    <row r="30" spans="1:20" s="90" customFormat="1" x14ac:dyDescent="0.25">
      <c r="A30" s="144">
        <v>300</v>
      </c>
      <c r="B30" s="145" t="s">
        <v>114</v>
      </c>
      <c r="C30" s="146" t="s">
        <v>178</v>
      </c>
      <c r="D30" s="162" t="s">
        <v>81</v>
      </c>
      <c r="E30" s="168">
        <v>323.69</v>
      </c>
      <c r="F30" s="147">
        <v>173.72</v>
      </c>
      <c r="G30" s="142">
        <f t="shared" ref="G30" si="12">ROUND(E30*F30,2)</f>
        <v>56231.43</v>
      </c>
      <c r="I30" s="149">
        <v>330.16</v>
      </c>
      <c r="J30" s="177">
        <v>184.1</v>
      </c>
      <c r="K30" s="142">
        <f t="shared" ref="K30" si="13">ROUND(I30*J30,2)</f>
        <v>60782.46</v>
      </c>
      <c r="M30" s="184"/>
      <c r="N30" s="139">
        <f>SUM(O30:S30)</f>
        <v>0</v>
      </c>
      <c r="O30" s="150"/>
      <c r="P30" s="151"/>
      <c r="Q30" s="151"/>
      <c r="R30" s="151"/>
      <c r="S30" s="151"/>
      <c r="T30" s="147"/>
    </row>
    <row r="31" spans="1:20" s="2" customFormat="1" x14ac:dyDescent="0.25">
      <c r="A31" s="152"/>
      <c r="B31" s="153" t="s">
        <v>115</v>
      </c>
      <c r="C31" s="154" t="s">
        <v>179</v>
      </c>
      <c r="D31" s="161"/>
      <c r="E31" s="167"/>
      <c r="F31" s="155"/>
      <c r="G31" s="156"/>
      <c r="I31" s="157"/>
      <c r="J31" s="176"/>
      <c r="K31" s="156"/>
      <c r="M31" s="183"/>
      <c r="N31" s="155"/>
      <c r="O31" s="158"/>
      <c r="P31" s="159"/>
      <c r="Q31" s="159"/>
      <c r="R31" s="159"/>
      <c r="S31" s="159"/>
      <c r="T31" s="155"/>
    </row>
    <row r="32" spans="1:20" s="90" customFormat="1" x14ac:dyDescent="0.25">
      <c r="A32" s="144">
        <v>300</v>
      </c>
      <c r="B32" s="145" t="s">
        <v>116</v>
      </c>
      <c r="C32" s="146" t="s">
        <v>180</v>
      </c>
      <c r="D32" s="162" t="s">
        <v>81</v>
      </c>
      <c r="E32" s="168">
        <v>24.73</v>
      </c>
      <c r="F32" s="147">
        <v>179.78</v>
      </c>
      <c r="G32" s="142">
        <f t="shared" ref="G32:G35" si="14">ROUND(E32*F32,2)</f>
        <v>4445.96</v>
      </c>
      <c r="I32" s="149">
        <v>24.24</v>
      </c>
      <c r="J32" s="177">
        <v>182.46</v>
      </c>
      <c r="K32" s="142">
        <f t="shared" ref="K32:K35" si="15">ROUND(I32*J32,2)</f>
        <v>4422.83</v>
      </c>
      <c r="M32" s="184"/>
      <c r="N32" s="139">
        <f t="shared" ref="N32:N35" si="16">SUM(O32:S32)</f>
        <v>0</v>
      </c>
      <c r="O32" s="150"/>
      <c r="P32" s="151"/>
      <c r="Q32" s="151"/>
      <c r="R32" s="151"/>
      <c r="S32" s="151"/>
      <c r="T32" s="147"/>
    </row>
    <row r="33" spans="1:20" s="90" customFormat="1" x14ac:dyDescent="0.25">
      <c r="A33" s="144">
        <v>400</v>
      </c>
      <c r="B33" s="145" t="s">
        <v>117</v>
      </c>
      <c r="C33" s="146" t="s">
        <v>181</v>
      </c>
      <c r="D33" s="162" t="s">
        <v>219</v>
      </c>
      <c r="E33" s="168">
        <v>23.09</v>
      </c>
      <c r="F33" s="147">
        <v>46.17</v>
      </c>
      <c r="G33" s="142">
        <f t="shared" si="14"/>
        <v>1066.07</v>
      </c>
      <c r="I33" s="149">
        <v>22.63</v>
      </c>
      <c r="J33" s="177">
        <v>23.830000000000002</v>
      </c>
      <c r="K33" s="142">
        <f t="shared" si="15"/>
        <v>539.27</v>
      </c>
      <c r="M33" s="184"/>
      <c r="N33" s="139">
        <f t="shared" si="16"/>
        <v>0</v>
      </c>
      <c r="O33" s="150"/>
      <c r="P33" s="151"/>
      <c r="Q33" s="151"/>
      <c r="R33" s="151"/>
      <c r="S33" s="151"/>
      <c r="T33" s="147"/>
    </row>
    <row r="34" spans="1:20" s="90" customFormat="1" x14ac:dyDescent="0.25">
      <c r="A34" s="144">
        <v>300</v>
      </c>
      <c r="B34" s="145" t="s">
        <v>118</v>
      </c>
      <c r="C34" s="146" t="s">
        <v>182</v>
      </c>
      <c r="D34" s="162" t="s">
        <v>81</v>
      </c>
      <c r="E34" s="168">
        <v>163.82</v>
      </c>
      <c r="F34" s="147">
        <v>179.78</v>
      </c>
      <c r="G34" s="142">
        <f t="shared" si="14"/>
        <v>29451.56</v>
      </c>
      <c r="I34" s="149">
        <v>160.54</v>
      </c>
      <c r="J34" s="177">
        <v>207.85</v>
      </c>
      <c r="K34" s="142">
        <f t="shared" si="15"/>
        <v>33368.239999999998</v>
      </c>
      <c r="M34" s="184"/>
      <c r="N34" s="139">
        <f t="shared" si="16"/>
        <v>0</v>
      </c>
      <c r="O34" s="150"/>
      <c r="P34" s="151"/>
      <c r="Q34" s="151"/>
      <c r="R34" s="151"/>
      <c r="S34" s="151"/>
      <c r="T34" s="147"/>
    </row>
    <row r="35" spans="1:20" s="90" customFormat="1" x14ac:dyDescent="0.25">
      <c r="A35" s="144">
        <v>400</v>
      </c>
      <c r="B35" s="145" t="s">
        <v>119</v>
      </c>
      <c r="C35" s="146" t="s">
        <v>183</v>
      </c>
      <c r="D35" s="162" t="s">
        <v>219</v>
      </c>
      <c r="E35" s="168">
        <v>327.63</v>
      </c>
      <c r="F35" s="147">
        <v>37.47</v>
      </c>
      <c r="G35" s="142">
        <f t="shared" si="14"/>
        <v>12276.3</v>
      </c>
      <c r="I35" s="149">
        <v>321.08</v>
      </c>
      <c r="J35" s="177">
        <v>26.53</v>
      </c>
      <c r="K35" s="142">
        <f t="shared" si="15"/>
        <v>8518.25</v>
      </c>
      <c r="M35" s="184"/>
      <c r="N35" s="139">
        <f t="shared" si="16"/>
        <v>0</v>
      </c>
      <c r="O35" s="150"/>
      <c r="P35" s="151"/>
      <c r="Q35" s="151"/>
      <c r="R35" s="151"/>
      <c r="S35" s="151"/>
      <c r="T35" s="147"/>
    </row>
    <row r="36" spans="1:20" s="2" customFormat="1" x14ac:dyDescent="0.25">
      <c r="A36" s="152"/>
      <c r="B36" s="153" t="s">
        <v>120</v>
      </c>
      <c r="C36" s="154" t="s">
        <v>184</v>
      </c>
      <c r="D36" s="161"/>
      <c r="E36" s="167"/>
      <c r="F36" s="155"/>
      <c r="G36" s="156"/>
      <c r="I36" s="157"/>
      <c r="J36" s="176"/>
      <c r="K36" s="156"/>
      <c r="M36" s="183"/>
      <c r="N36" s="155"/>
      <c r="O36" s="158"/>
      <c r="P36" s="159"/>
      <c r="Q36" s="159"/>
      <c r="R36" s="159"/>
      <c r="S36" s="159"/>
      <c r="T36" s="155"/>
    </row>
    <row r="37" spans="1:20" s="90" customFormat="1" x14ac:dyDescent="0.25">
      <c r="A37" s="144">
        <v>300</v>
      </c>
      <c r="B37" s="145" t="s">
        <v>121</v>
      </c>
      <c r="C37" s="146" t="s">
        <v>185</v>
      </c>
      <c r="D37" s="160" t="s">
        <v>81</v>
      </c>
      <c r="E37" s="168">
        <v>3.21</v>
      </c>
      <c r="F37" s="147">
        <v>260.59000000000003</v>
      </c>
      <c r="G37" s="142">
        <f t="shared" ref="G37:G38" si="17">ROUND(E37*F37,2)</f>
        <v>836.49</v>
      </c>
      <c r="I37" s="149">
        <v>3.15</v>
      </c>
      <c r="J37" s="177">
        <v>201.22</v>
      </c>
      <c r="K37" s="142">
        <f t="shared" ref="K37:K38" si="18">ROUND(I37*J37,2)</f>
        <v>633.84</v>
      </c>
      <c r="M37" s="184"/>
      <c r="N37" s="139">
        <f t="shared" ref="N37:N38" si="19">SUM(O37:S37)</f>
        <v>0</v>
      </c>
      <c r="O37" s="150"/>
      <c r="P37" s="151"/>
      <c r="Q37" s="151"/>
      <c r="R37" s="151"/>
      <c r="S37" s="151"/>
      <c r="T37" s="147"/>
    </row>
    <row r="38" spans="1:20" s="90" customFormat="1" x14ac:dyDescent="0.25">
      <c r="A38" s="144">
        <v>400</v>
      </c>
      <c r="B38" s="145" t="s">
        <v>122</v>
      </c>
      <c r="C38" s="146" t="s">
        <v>186</v>
      </c>
      <c r="D38" s="162" t="s">
        <v>219</v>
      </c>
      <c r="E38" s="168">
        <v>43.95</v>
      </c>
      <c r="F38" s="147">
        <v>37.700000000000003</v>
      </c>
      <c r="G38" s="142">
        <f t="shared" si="17"/>
        <v>1656.92</v>
      </c>
      <c r="I38" s="149">
        <v>43.07</v>
      </c>
      <c r="J38" s="177">
        <v>24.18</v>
      </c>
      <c r="K38" s="142">
        <f t="shared" si="18"/>
        <v>1041.43</v>
      </c>
      <c r="M38" s="184"/>
      <c r="N38" s="139">
        <f t="shared" si="19"/>
        <v>0</v>
      </c>
      <c r="O38" s="150"/>
      <c r="P38" s="151"/>
      <c r="Q38" s="151"/>
      <c r="R38" s="151"/>
      <c r="S38" s="151"/>
      <c r="T38" s="147"/>
    </row>
    <row r="39" spans="1:20" s="2" customFormat="1" x14ac:dyDescent="0.25">
      <c r="A39" s="152"/>
      <c r="B39" s="153" t="s">
        <v>123</v>
      </c>
      <c r="C39" s="154" t="s">
        <v>187</v>
      </c>
      <c r="D39" s="161"/>
      <c r="E39" s="167"/>
      <c r="F39" s="155"/>
      <c r="G39" s="156"/>
      <c r="I39" s="157"/>
      <c r="J39" s="176"/>
      <c r="K39" s="156"/>
      <c r="M39" s="183"/>
      <c r="N39" s="155"/>
      <c r="O39" s="158"/>
      <c r="P39" s="159"/>
      <c r="Q39" s="159"/>
      <c r="R39" s="159"/>
      <c r="S39" s="159"/>
      <c r="T39" s="155"/>
    </row>
    <row r="40" spans="1:20" s="2" customFormat="1" x14ac:dyDescent="0.25">
      <c r="A40" s="152"/>
      <c r="B40" s="153" t="s">
        <v>124</v>
      </c>
      <c r="C40" s="154" t="s">
        <v>188</v>
      </c>
      <c r="D40" s="161"/>
      <c r="E40" s="167"/>
      <c r="F40" s="155"/>
      <c r="G40" s="156"/>
      <c r="I40" s="157"/>
      <c r="J40" s="176"/>
      <c r="K40" s="156"/>
      <c r="M40" s="183"/>
      <c r="N40" s="155"/>
      <c r="O40" s="158"/>
      <c r="P40" s="159"/>
      <c r="Q40" s="159"/>
      <c r="R40" s="159"/>
      <c r="S40" s="159"/>
      <c r="T40" s="155"/>
    </row>
    <row r="41" spans="1:20" s="90" customFormat="1" x14ac:dyDescent="0.25">
      <c r="A41" s="144">
        <v>300</v>
      </c>
      <c r="B41" s="145" t="s">
        <v>125</v>
      </c>
      <c r="C41" s="146" t="s">
        <v>189</v>
      </c>
      <c r="D41" s="162" t="s">
        <v>81</v>
      </c>
      <c r="E41" s="168">
        <v>396.75</v>
      </c>
      <c r="F41" s="147">
        <v>292.79000000000002</v>
      </c>
      <c r="G41" s="142">
        <f t="shared" ref="G41:G42" si="20">ROUND(E41*F41,2)</f>
        <v>116164.43</v>
      </c>
      <c r="I41" s="149">
        <v>412.62</v>
      </c>
      <c r="J41" s="177">
        <v>286.60000000000002</v>
      </c>
      <c r="K41" s="142">
        <f t="shared" ref="K41:K42" si="21">ROUND(I41*J41,2)</f>
        <v>118256.89</v>
      </c>
      <c r="M41" s="184"/>
      <c r="N41" s="139">
        <f t="shared" ref="N41:N42" si="22">SUM(O41:S41)</f>
        <v>0</v>
      </c>
      <c r="O41" s="150"/>
      <c r="P41" s="151"/>
      <c r="Q41" s="151"/>
      <c r="R41" s="151"/>
      <c r="S41" s="151"/>
      <c r="T41" s="147"/>
    </row>
    <row r="42" spans="1:20" s="90" customFormat="1" x14ac:dyDescent="0.25">
      <c r="A42" s="144">
        <v>500</v>
      </c>
      <c r="B42" s="145" t="s">
        <v>126</v>
      </c>
      <c r="C42" s="146" t="s">
        <v>190</v>
      </c>
      <c r="D42" s="162" t="s">
        <v>220</v>
      </c>
      <c r="E42" s="168">
        <v>17534.91</v>
      </c>
      <c r="F42" s="147">
        <v>4.0200000000000005</v>
      </c>
      <c r="G42" s="142">
        <f t="shared" si="20"/>
        <v>70490.34</v>
      </c>
      <c r="I42" s="149">
        <v>17359.560000000001</v>
      </c>
      <c r="J42" s="177">
        <v>3.4</v>
      </c>
      <c r="K42" s="142">
        <f t="shared" si="21"/>
        <v>59022.5</v>
      </c>
      <c r="M42" s="184"/>
      <c r="N42" s="139">
        <f t="shared" si="22"/>
        <v>0</v>
      </c>
      <c r="O42" s="150"/>
      <c r="P42" s="151"/>
      <c r="Q42" s="151"/>
      <c r="R42" s="151"/>
      <c r="S42" s="151"/>
      <c r="T42" s="147"/>
    </row>
    <row r="43" spans="1:20" s="2" customFormat="1" x14ac:dyDescent="0.25">
      <c r="A43" s="152"/>
      <c r="B43" s="153" t="s">
        <v>127</v>
      </c>
      <c r="C43" s="154" t="s">
        <v>191</v>
      </c>
      <c r="D43" s="161"/>
      <c r="E43" s="167"/>
      <c r="F43" s="155"/>
      <c r="G43" s="156"/>
      <c r="I43" s="157"/>
      <c r="J43" s="176"/>
      <c r="K43" s="156"/>
      <c r="M43" s="183"/>
      <c r="N43" s="155"/>
      <c r="O43" s="158"/>
      <c r="P43" s="159"/>
      <c r="Q43" s="159"/>
      <c r="R43" s="159"/>
      <c r="S43" s="159"/>
      <c r="T43" s="155"/>
    </row>
    <row r="44" spans="1:20" s="90" customFormat="1" x14ac:dyDescent="0.25">
      <c r="A44" s="144">
        <v>300</v>
      </c>
      <c r="B44" s="145" t="s">
        <v>128</v>
      </c>
      <c r="C44" s="146" t="s">
        <v>192</v>
      </c>
      <c r="D44" s="162" t="s">
        <v>81</v>
      </c>
      <c r="E44" s="168">
        <v>6.69</v>
      </c>
      <c r="F44" s="147">
        <v>454.82</v>
      </c>
      <c r="G44" s="142">
        <f t="shared" ref="G44:G49" si="23">ROUND(E44*F44,2)</f>
        <v>3042.75</v>
      </c>
      <c r="I44" s="149">
        <v>6.62</v>
      </c>
      <c r="J44" s="177">
        <v>290.45</v>
      </c>
      <c r="K44" s="142">
        <f t="shared" ref="K44:K48" si="24">ROUND(I44*J44,2)</f>
        <v>1922.78</v>
      </c>
      <c r="M44" s="184"/>
      <c r="N44" s="139">
        <f t="shared" ref="N44:N48" si="25">SUM(O44:S44)</f>
        <v>0</v>
      </c>
      <c r="O44" s="150"/>
      <c r="P44" s="151"/>
      <c r="Q44" s="151"/>
      <c r="R44" s="151"/>
      <c r="S44" s="151"/>
      <c r="T44" s="147"/>
    </row>
    <row r="45" spans="1:20" s="90" customFormat="1" x14ac:dyDescent="0.25">
      <c r="A45" s="144">
        <v>400</v>
      </c>
      <c r="B45" s="145" t="s">
        <v>129</v>
      </c>
      <c r="C45" s="146" t="s">
        <v>193</v>
      </c>
      <c r="D45" s="162" t="s">
        <v>219</v>
      </c>
      <c r="E45" s="168">
        <v>74.180000000000007</v>
      </c>
      <c r="F45" s="147">
        <v>59.78</v>
      </c>
      <c r="G45" s="142">
        <f t="shared" si="23"/>
        <v>4434.4799999999996</v>
      </c>
      <c r="I45" s="149">
        <v>73.44</v>
      </c>
      <c r="J45" s="177">
        <v>33.69</v>
      </c>
      <c r="K45" s="142">
        <f t="shared" si="24"/>
        <v>2474.19</v>
      </c>
      <c r="M45" s="184"/>
      <c r="N45" s="139">
        <f t="shared" si="25"/>
        <v>0</v>
      </c>
      <c r="O45" s="150"/>
      <c r="P45" s="151"/>
      <c r="Q45" s="151"/>
      <c r="R45" s="151"/>
      <c r="S45" s="151"/>
      <c r="T45" s="147"/>
    </row>
    <row r="46" spans="1:20" s="90" customFormat="1" x14ac:dyDescent="0.25">
      <c r="A46" s="144">
        <v>500</v>
      </c>
      <c r="B46" s="145" t="s">
        <v>130</v>
      </c>
      <c r="C46" s="146" t="s">
        <v>194</v>
      </c>
      <c r="D46" s="162" t="s">
        <v>220</v>
      </c>
      <c r="E46" s="168">
        <v>419.35</v>
      </c>
      <c r="F46" s="147">
        <v>4.0200000000000005</v>
      </c>
      <c r="G46" s="142">
        <f t="shared" si="23"/>
        <v>1685.79</v>
      </c>
      <c r="I46" s="149">
        <v>415.16</v>
      </c>
      <c r="J46" s="177">
        <v>3.4</v>
      </c>
      <c r="K46" s="142">
        <f t="shared" si="24"/>
        <v>1411.54</v>
      </c>
      <c r="M46" s="184"/>
      <c r="N46" s="139">
        <f t="shared" si="25"/>
        <v>0</v>
      </c>
      <c r="O46" s="150"/>
      <c r="P46" s="151"/>
      <c r="Q46" s="151"/>
      <c r="R46" s="151"/>
      <c r="S46" s="151"/>
      <c r="T46" s="147"/>
    </row>
    <row r="47" spans="1:20" s="90" customFormat="1" x14ac:dyDescent="0.25">
      <c r="A47" s="144">
        <v>300</v>
      </c>
      <c r="B47" s="145" t="s">
        <v>131</v>
      </c>
      <c r="C47" s="146" t="s">
        <v>195</v>
      </c>
      <c r="D47" s="162" t="s">
        <v>81</v>
      </c>
      <c r="E47" s="168">
        <v>256.52</v>
      </c>
      <c r="F47" s="147">
        <v>417.41</v>
      </c>
      <c r="G47" s="142">
        <f t="shared" si="23"/>
        <v>107074.01</v>
      </c>
      <c r="I47" s="149">
        <v>253.95</v>
      </c>
      <c r="J47" s="177">
        <v>328.19</v>
      </c>
      <c r="K47" s="142">
        <f t="shared" si="24"/>
        <v>83343.850000000006</v>
      </c>
      <c r="M47" s="184"/>
      <c r="N47" s="139">
        <f t="shared" si="25"/>
        <v>0</v>
      </c>
      <c r="O47" s="150"/>
      <c r="P47" s="151"/>
      <c r="Q47" s="151"/>
      <c r="R47" s="151"/>
      <c r="S47" s="151"/>
      <c r="T47" s="147"/>
    </row>
    <row r="48" spans="1:20" s="90" customFormat="1" x14ac:dyDescent="0.25">
      <c r="A48" s="144">
        <v>400</v>
      </c>
      <c r="B48" s="145" t="s">
        <v>132</v>
      </c>
      <c r="C48" s="146" t="s">
        <v>196</v>
      </c>
      <c r="D48" s="162" t="s">
        <v>219</v>
      </c>
      <c r="E48" s="168">
        <v>2096.19</v>
      </c>
      <c r="F48" s="147">
        <v>51.21</v>
      </c>
      <c r="G48" s="142">
        <f t="shared" si="23"/>
        <v>107345.89</v>
      </c>
      <c r="I48" s="149">
        <v>2075.23</v>
      </c>
      <c r="J48" s="177">
        <v>30.970000000000002</v>
      </c>
      <c r="K48" s="142">
        <f t="shared" si="24"/>
        <v>64269.87</v>
      </c>
      <c r="M48" s="184"/>
      <c r="N48" s="139">
        <f t="shared" si="25"/>
        <v>0</v>
      </c>
      <c r="O48" s="150"/>
      <c r="P48" s="151"/>
      <c r="Q48" s="151"/>
      <c r="R48" s="151"/>
      <c r="S48" s="151"/>
      <c r="T48" s="147"/>
    </row>
    <row r="49" spans="1:20" s="90" customFormat="1" x14ac:dyDescent="0.25">
      <c r="A49" s="144">
        <v>500</v>
      </c>
      <c r="B49" s="145" t="s">
        <v>133</v>
      </c>
      <c r="C49" s="146" t="s">
        <v>197</v>
      </c>
      <c r="D49" s="162" t="s">
        <v>221</v>
      </c>
      <c r="E49" s="168">
        <v>18595.100000000002</v>
      </c>
      <c r="F49" s="147">
        <v>4.0200000000000005</v>
      </c>
      <c r="G49" s="142">
        <f t="shared" si="23"/>
        <v>74752.3</v>
      </c>
      <c r="I49" s="149"/>
      <c r="J49" s="177"/>
      <c r="K49" s="148"/>
      <c r="M49" s="184"/>
      <c r="N49" s="147"/>
      <c r="O49" s="150"/>
      <c r="P49" s="151"/>
      <c r="Q49" s="151"/>
      <c r="R49" s="151"/>
      <c r="S49" s="151"/>
      <c r="T49" s="147"/>
    </row>
    <row r="50" spans="1:20" s="2" customFormat="1" x14ac:dyDescent="0.25">
      <c r="A50" s="152"/>
      <c r="B50" s="153" t="s">
        <v>134</v>
      </c>
      <c r="C50" s="154" t="s">
        <v>198</v>
      </c>
      <c r="D50" s="161"/>
      <c r="E50" s="167"/>
      <c r="F50" s="155"/>
      <c r="G50" s="156"/>
      <c r="I50" s="157"/>
      <c r="J50" s="176"/>
      <c r="K50" s="156"/>
      <c r="M50" s="183"/>
      <c r="N50" s="155"/>
      <c r="O50" s="158"/>
      <c r="P50" s="159"/>
      <c r="Q50" s="159"/>
      <c r="R50" s="159"/>
      <c r="S50" s="159"/>
      <c r="T50" s="155"/>
    </row>
    <row r="51" spans="1:20" s="90" customFormat="1" x14ac:dyDescent="0.25">
      <c r="A51" s="144">
        <v>300</v>
      </c>
      <c r="B51" s="145" t="s">
        <v>135</v>
      </c>
      <c r="C51" s="146" t="s">
        <v>199</v>
      </c>
      <c r="D51" s="162" t="s">
        <v>81</v>
      </c>
      <c r="E51" s="168">
        <v>66.63</v>
      </c>
      <c r="F51" s="147">
        <v>442.62</v>
      </c>
      <c r="G51" s="142">
        <f t="shared" ref="G51:G53" si="26">ROUND(E51*F51,2)</f>
        <v>29491.77</v>
      </c>
      <c r="I51" s="149">
        <v>67.959999999999994</v>
      </c>
      <c r="J51" s="177">
        <v>291.23</v>
      </c>
      <c r="K51" s="142">
        <f t="shared" ref="K51:K53" si="27">ROUND(I51*J51,2)</f>
        <v>19791.990000000002</v>
      </c>
      <c r="M51" s="184"/>
      <c r="N51" s="147"/>
      <c r="O51" s="150"/>
      <c r="P51" s="151"/>
      <c r="Q51" s="151"/>
      <c r="R51" s="151"/>
      <c r="S51" s="151"/>
      <c r="T51" s="147"/>
    </row>
    <row r="52" spans="1:20" s="90" customFormat="1" x14ac:dyDescent="0.25">
      <c r="A52" s="144">
        <v>400</v>
      </c>
      <c r="B52" s="145" t="s">
        <v>136</v>
      </c>
      <c r="C52" s="146" t="s">
        <v>200</v>
      </c>
      <c r="D52" s="160" t="s">
        <v>219</v>
      </c>
      <c r="E52" s="168">
        <v>901.38</v>
      </c>
      <c r="F52" s="147">
        <v>60.480000000000004</v>
      </c>
      <c r="G52" s="142">
        <f t="shared" si="26"/>
        <v>54515.46</v>
      </c>
      <c r="I52" s="149">
        <v>919.41</v>
      </c>
      <c r="J52" s="177">
        <v>37.49</v>
      </c>
      <c r="K52" s="142">
        <f t="shared" si="27"/>
        <v>34468.68</v>
      </c>
      <c r="M52" s="184"/>
      <c r="N52" s="147"/>
      <c r="O52" s="150"/>
      <c r="P52" s="151"/>
      <c r="Q52" s="151"/>
      <c r="R52" s="151"/>
      <c r="S52" s="151"/>
      <c r="T52" s="147"/>
    </row>
    <row r="53" spans="1:20" s="90" customFormat="1" x14ac:dyDescent="0.25">
      <c r="A53" s="144">
        <v>500</v>
      </c>
      <c r="B53" s="145" t="s">
        <v>137</v>
      </c>
      <c r="C53" s="146" t="s">
        <v>201</v>
      </c>
      <c r="D53" s="162" t="s">
        <v>220</v>
      </c>
      <c r="E53" s="168">
        <v>11604.02</v>
      </c>
      <c r="F53" s="147">
        <v>4.0200000000000005</v>
      </c>
      <c r="G53" s="142">
        <f t="shared" si="26"/>
        <v>46648.160000000003</v>
      </c>
      <c r="I53" s="149">
        <v>11836.1</v>
      </c>
      <c r="J53" s="177">
        <v>3.4</v>
      </c>
      <c r="K53" s="142">
        <f t="shared" si="27"/>
        <v>40242.74</v>
      </c>
      <c r="M53" s="184"/>
      <c r="N53" s="147"/>
      <c r="O53" s="150"/>
      <c r="P53" s="151"/>
      <c r="Q53" s="151"/>
      <c r="R53" s="151"/>
      <c r="S53" s="151"/>
      <c r="T53" s="147"/>
    </row>
    <row r="54" spans="1:20" s="2" customFormat="1" x14ac:dyDescent="0.25">
      <c r="A54" s="152"/>
      <c r="B54" s="153" t="s">
        <v>138</v>
      </c>
      <c r="C54" s="154" t="s">
        <v>202</v>
      </c>
      <c r="D54" s="161"/>
      <c r="E54" s="167"/>
      <c r="F54" s="155"/>
      <c r="G54" s="156"/>
      <c r="I54" s="157"/>
      <c r="J54" s="176"/>
      <c r="K54" s="156"/>
      <c r="M54" s="183"/>
      <c r="N54" s="155"/>
      <c r="O54" s="158"/>
      <c r="P54" s="159"/>
      <c r="Q54" s="159"/>
      <c r="R54" s="159"/>
      <c r="S54" s="159"/>
      <c r="T54" s="155"/>
    </row>
    <row r="55" spans="1:20" s="90" customFormat="1" x14ac:dyDescent="0.25">
      <c r="A55" s="144">
        <v>300</v>
      </c>
      <c r="B55" s="145" t="s">
        <v>139</v>
      </c>
      <c r="C55" s="146" t="s">
        <v>203</v>
      </c>
      <c r="D55" s="162" t="s">
        <v>81</v>
      </c>
      <c r="E55" s="168">
        <v>36.119999999999997</v>
      </c>
      <c r="F55" s="147">
        <v>325.93</v>
      </c>
      <c r="G55" s="142">
        <f t="shared" ref="G55:G57" si="28">ROUND(E55*F55,2)</f>
        <v>11772.59</v>
      </c>
      <c r="I55" s="149">
        <v>36.840000000000003</v>
      </c>
      <c r="J55" s="177">
        <v>294.5</v>
      </c>
      <c r="K55" s="142">
        <f t="shared" ref="K55:K57" si="29">ROUND(I55*J55,2)</f>
        <v>10849.38</v>
      </c>
      <c r="M55" s="184"/>
      <c r="N55" s="139">
        <f t="shared" ref="N55:N57" si="30">SUM(O55:S55)</f>
        <v>0</v>
      </c>
      <c r="O55" s="150"/>
      <c r="P55" s="151"/>
      <c r="Q55" s="151"/>
      <c r="R55" s="151"/>
      <c r="S55" s="151"/>
      <c r="T55" s="147"/>
    </row>
    <row r="56" spans="1:20" s="90" customFormat="1" x14ac:dyDescent="0.25">
      <c r="A56" s="144">
        <v>400</v>
      </c>
      <c r="B56" s="145" t="s">
        <v>140</v>
      </c>
      <c r="C56" s="146" t="s">
        <v>204</v>
      </c>
      <c r="D56" s="162" t="s">
        <v>219</v>
      </c>
      <c r="E56" s="168">
        <v>545.23</v>
      </c>
      <c r="F56" s="147">
        <v>70.38</v>
      </c>
      <c r="G56" s="142">
        <f t="shared" si="28"/>
        <v>38373.29</v>
      </c>
      <c r="I56" s="149">
        <v>556.13</v>
      </c>
      <c r="J56" s="177">
        <v>43.56</v>
      </c>
      <c r="K56" s="142">
        <f t="shared" si="29"/>
        <v>24225.02</v>
      </c>
      <c r="M56" s="184"/>
      <c r="N56" s="139">
        <f t="shared" si="30"/>
        <v>0</v>
      </c>
      <c r="O56" s="150"/>
      <c r="P56" s="151"/>
      <c r="Q56" s="151"/>
      <c r="R56" s="151"/>
      <c r="S56" s="151"/>
      <c r="T56" s="147"/>
    </row>
    <row r="57" spans="1:20" s="90" customFormat="1" x14ac:dyDescent="0.25">
      <c r="A57" s="144">
        <v>500</v>
      </c>
      <c r="B57" s="145" t="s">
        <v>141</v>
      </c>
      <c r="C57" s="146" t="s">
        <v>205</v>
      </c>
      <c r="D57" s="162" t="s">
        <v>220</v>
      </c>
      <c r="E57" s="168">
        <v>5144.6000000000004</v>
      </c>
      <c r="F57" s="147">
        <v>4.0200000000000005</v>
      </c>
      <c r="G57" s="142">
        <f t="shared" si="28"/>
        <v>20681.29</v>
      </c>
      <c r="I57" s="149">
        <v>5247.49</v>
      </c>
      <c r="J57" s="177">
        <v>3.4</v>
      </c>
      <c r="K57" s="142">
        <f t="shared" si="29"/>
        <v>17841.47</v>
      </c>
      <c r="M57" s="184"/>
      <c r="N57" s="139">
        <f t="shared" si="30"/>
        <v>0</v>
      </c>
      <c r="O57" s="150"/>
      <c r="P57" s="151"/>
      <c r="Q57" s="151"/>
      <c r="R57" s="151"/>
      <c r="S57" s="151"/>
      <c r="T57" s="147"/>
    </row>
    <row r="58" spans="1:20" s="2" customFormat="1" x14ac:dyDescent="0.25">
      <c r="A58" s="152"/>
      <c r="B58" s="153" t="s">
        <v>142</v>
      </c>
      <c r="C58" s="154" t="s">
        <v>206</v>
      </c>
      <c r="D58" s="161"/>
      <c r="E58" s="167"/>
      <c r="F58" s="155"/>
      <c r="G58" s="156"/>
      <c r="I58" s="157"/>
      <c r="J58" s="176"/>
      <c r="K58" s="156"/>
      <c r="M58" s="183"/>
      <c r="N58" s="155"/>
      <c r="O58" s="158"/>
      <c r="P58" s="159"/>
      <c r="Q58" s="159"/>
      <c r="R58" s="159"/>
      <c r="S58" s="159"/>
      <c r="T58" s="155"/>
    </row>
    <row r="59" spans="1:20" s="90" customFormat="1" x14ac:dyDescent="0.25">
      <c r="A59" s="144">
        <v>300</v>
      </c>
      <c r="B59" s="145" t="s">
        <v>143</v>
      </c>
      <c r="C59" s="146" t="s">
        <v>207</v>
      </c>
      <c r="D59" s="162" t="s">
        <v>22</v>
      </c>
      <c r="E59" s="168">
        <v>0.63</v>
      </c>
      <c r="F59" s="147">
        <v>325.93</v>
      </c>
      <c r="G59" s="142">
        <f t="shared" ref="G59:G61" si="31">ROUND(E59*F59,2)</f>
        <v>205.34</v>
      </c>
      <c r="I59" s="149">
        <v>0.64</v>
      </c>
      <c r="J59" s="177">
        <v>294.5</v>
      </c>
      <c r="K59" s="142">
        <f t="shared" ref="K59:K61" si="32">ROUND(I59*J59,2)</f>
        <v>188.48</v>
      </c>
      <c r="M59" s="184"/>
      <c r="N59" s="139">
        <f t="shared" ref="N59:N61" si="33">SUM(O59:S59)</f>
        <v>0</v>
      </c>
      <c r="O59" s="150"/>
      <c r="P59" s="151"/>
      <c r="Q59" s="151"/>
      <c r="R59" s="151"/>
      <c r="S59" s="151"/>
      <c r="T59" s="147"/>
    </row>
    <row r="60" spans="1:20" s="90" customFormat="1" x14ac:dyDescent="0.25">
      <c r="A60" s="144">
        <v>400</v>
      </c>
      <c r="B60" s="145" t="s">
        <v>144</v>
      </c>
      <c r="C60" s="146" t="s">
        <v>208</v>
      </c>
      <c r="D60" s="162" t="s">
        <v>219</v>
      </c>
      <c r="E60" s="168">
        <v>6.54</v>
      </c>
      <c r="F60" s="147">
        <v>55.43</v>
      </c>
      <c r="G60" s="142">
        <f t="shared" si="31"/>
        <v>362.51</v>
      </c>
      <c r="I60" s="149">
        <v>6.67</v>
      </c>
      <c r="J60" s="177">
        <v>33.340000000000003</v>
      </c>
      <c r="K60" s="142">
        <f t="shared" si="32"/>
        <v>222.38</v>
      </c>
      <c r="M60" s="184"/>
      <c r="N60" s="139">
        <f t="shared" si="33"/>
        <v>0</v>
      </c>
      <c r="O60" s="150"/>
      <c r="P60" s="151"/>
      <c r="Q60" s="151"/>
      <c r="R60" s="151"/>
      <c r="S60" s="151"/>
      <c r="T60" s="147"/>
    </row>
    <row r="61" spans="1:20" s="90" customFormat="1" x14ac:dyDescent="0.25">
      <c r="A61" s="144">
        <v>500</v>
      </c>
      <c r="B61" s="145" t="s">
        <v>145</v>
      </c>
      <c r="C61" s="146" t="s">
        <v>209</v>
      </c>
      <c r="D61" s="162" t="s">
        <v>220</v>
      </c>
      <c r="E61" s="168">
        <v>73.150000000000006</v>
      </c>
      <c r="F61" s="147">
        <v>4.0200000000000005</v>
      </c>
      <c r="G61" s="142">
        <f t="shared" si="31"/>
        <v>294.06</v>
      </c>
      <c r="I61" s="149">
        <v>74.61</v>
      </c>
      <c r="J61" s="177">
        <v>3.4</v>
      </c>
      <c r="K61" s="142">
        <f t="shared" si="32"/>
        <v>253.67</v>
      </c>
      <c r="M61" s="184"/>
      <c r="N61" s="139">
        <f t="shared" si="33"/>
        <v>0</v>
      </c>
      <c r="O61" s="150"/>
      <c r="P61" s="151"/>
      <c r="Q61" s="151"/>
      <c r="R61" s="151"/>
      <c r="S61" s="151"/>
      <c r="T61" s="147"/>
    </row>
    <row r="62" spans="1:20" s="2" customFormat="1" x14ac:dyDescent="0.25">
      <c r="A62" s="152"/>
      <c r="B62" s="153" t="s">
        <v>146</v>
      </c>
      <c r="C62" s="154" t="s">
        <v>210</v>
      </c>
      <c r="D62" s="161"/>
      <c r="E62" s="167"/>
      <c r="F62" s="155"/>
      <c r="G62" s="156"/>
      <c r="I62" s="157"/>
      <c r="J62" s="176"/>
      <c r="K62" s="156"/>
      <c r="M62" s="183"/>
      <c r="N62" s="155"/>
      <c r="O62" s="158"/>
      <c r="P62" s="159"/>
      <c r="Q62" s="159"/>
      <c r="R62" s="159"/>
      <c r="S62" s="159"/>
      <c r="T62" s="155"/>
    </row>
    <row r="63" spans="1:20" s="90" customFormat="1" x14ac:dyDescent="0.25">
      <c r="A63" s="144">
        <v>300</v>
      </c>
      <c r="B63" s="145" t="s">
        <v>147</v>
      </c>
      <c r="C63" s="146" t="s">
        <v>211</v>
      </c>
      <c r="D63" s="162" t="s">
        <v>81</v>
      </c>
      <c r="E63" s="168">
        <v>2.13</v>
      </c>
      <c r="F63" s="147">
        <v>315.52</v>
      </c>
      <c r="G63" s="142">
        <f t="shared" ref="G63:G66" si="34">ROUND(E63*F63,2)</f>
        <v>672.06</v>
      </c>
      <c r="I63" s="149">
        <v>2.17</v>
      </c>
      <c r="J63" s="177">
        <v>294.5</v>
      </c>
      <c r="K63" s="142">
        <f t="shared" ref="K63:K66" si="35">ROUND(I63*J63,2)</f>
        <v>639.07000000000005</v>
      </c>
      <c r="M63" s="184"/>
      <c r="N63" s="139">
        <f t="shared" ref="N63:N66" si="36">SUM(O63:S63)</f>
        <v>0</v>
      </c>
      <c r="O63" s="150"/>
      <c r="P63" s="151"/>
      <c r="Q63" s="151"/>
      <c r="R63" s="151"/>
      <c r="S63" s="151"/>
      <c r="T63" s="147"/>
    </row>
    <row r="64" spans="1:20" s="90" customFormat="1" x14ac:dyDescent="0.25">
      <c r="A64" s="144">
        <v>400</v>
      </c>
      <c r="B64" s="145" t="s">
        <v>148</v>
      </c>
      <c r="C64" s="146" t="s">
        <v>212</v>
      </c>
      <c r="D64" s="162" t="s">
        <v>219</v>
      </c>
      <c r="E64" s="168">
        <v>24.72</v>
      </c>
      <c r="F64" s="147">
        <v>43.61</v>
      </c>
      <c r="G64" s="142">
        <f t="shared" si="34"/>
        <v>1078.04</v>
      </c>
      <c r="I64" s="149">
        <v>25.21</v>
      </c>
      <c r="J64" s="177">
        <v>25.75</v>
      </c>
      <c r="K64" s="142">
        <f t="shared" si="35"/>
        <v>649.16</v>
      </c>
      <c r="M64" s="184"/>
      <c r="N64" s="139">
        <f t="shared" si="36"/>
        <v>0</v>
      </c>
      <c r="O64" s="150"/>
      <c r="P64" s="151"/>
      <c r="Q64" s="151"/>
      <c r="R64" s="151"/>
      <c r="S64" s="151"/>
      <c r="T64" s="147"/>
    </row>
    <row r="65" spans="1:20" s="90" customFormat="1" x14ac:dyDescent="0.25">
      <c r="A65" s="144">
        <v>500</v>
      </c>
      <c r="B65" s="145" t="s">
        <v>149</v>
      </c>
      <c r="C65" s="146" t="s">
        <v>213</v>
      </c>
      <c r="D65" s="162" t="s">
        <v>220</v>
      </c>
      <c r="E65" s="168">
        <v>93.93</v>
      </c>
      <c r="F65" s="147">
        <v>4.0200000000000005</v>
      </c>
      <c r="G65" s="142">
        <f t="shared" si="34"/>
        <v>377.6</v>
      </c>
      <c r="I65" s="149">
        <v>95.81</v>
      </c>
      <c r="J65" s="177">
        <v>3.4</v>
      </c>
      <c r="K65" s="142">
        <f t="shared" si="35"/>
        <v>325.75</v>
      </c>
      <c r="M65" s="184"/>
      <c r="N65" s="139">
        <f t="shared" si="36"/>
        <v>0</v>
      </c>
      <c r="O65" s="150"/>
      <c r="P65" s="151"/>
      <c r="Q65" s="151"/>
      <c r="R65" s="151"/>
      <c r="S65" s="151"/>
      <c r="T65" s="147"/>
    </row>
    <row r="66" spans="1:20" s="90" customFormat="1" x14ac:dyDescent="0.25">
      <c r="A66" s="144">
        <v>300</v>
      </c>
      <c r="B66" s="145" t="s">
        <v>150</v>
      </c>
      <c r="C66" s="146" t="s">
        <v>214</v>
      </c>
      <c r="D66" s="162" t="s">
        <v>222</v>
      </c>
      <c r="E66" s="168">
        <v>205.92000000000002</v>
      </c>
      <c r="F66" s="147">
        <v>2.4900000000000002</v>
      </c>
      <c r="G66" s="142">
        <f t="shared" si="34"/>
        <v>512.74</v>
      </c>
      <c r="I66" s="149">
        <v>210.04</v>
      </c>
      <c r="J66" s="177">
        <v>2.39</v>
      </c>
      <c r="K66" s="142">
        <f t="shared" si="35"/>
        <v>502</v>
      </c>
      <c r="M66" s="184"/>
      <c r="N66" s="139">
        <f t="shared" si="36"/>
        <v>0</v>
      </c>
      <c r="O66" s="150"/>
      <c r="P66" s="151"/>
      <c r="Q66" s="151"/>
      <c r="R66" s="151"/>
      <c r="S66" s="151"/>
      <c r="T66" s="147"/>
    </row>
    <row r="67" spans="1:20" s="2" customFormat="1" x14ac:dyDescent="0.25">
      <c r="A67" s="152"/>
      <c r="B67" s="153" t="s">
        <v>151</v>
      </c>
      <c r="C67" s="154" t="s">
        <v>215</v>
      </c>
      <c r="D67" s="161"/>
      <c r="E67" s="167"/>
      <c r="F67" s="155"/>
      <c r="G67" s="156"/>
      <c r="I67" s="157"/>
      <c r="J67" s="176"/>
      <c r="K67" s="156"/>
      <c r="M67" s="183"/>
      <c r="N67" s="155"/>
      <c r="O67" s="158"/>
      <c r="P67" s="159"/>
      <c r="Q67" s="159"/>
      <c r="R67" s="159"/>
      <c r="S67" s="159"/>
      <c r="T67" s="155"/>
    </row>
    <row r="68" spans="1:20" s="90" customFormat="1" x14ac:dyDescent="0.25">
      <c r="A68" s="144">
        <v>300</v>
      </c>
      <c r="B68" s="145" t="s">
        <v>152</v>
      </c>
      <c r="C68" s="146" t="s">
        <v>216</v>
      </c>
      <c r="D68" s="160" t="s">
        <v>219</v>
      </c>
      <c r="E68" s="168">
        <v>12.31</v>
      </c>
      <c r="F68" s="147">
        <v>80.040000000000006</v>
      </c>
      <c r="G68" s="142">
        <f t="shared" ref="G68:G70" si="37">ROUND(E68*F68,2)</f>
        <v>985.29</v>
      </c>
      <c r="I68" s="149">
        <v>12.56</v>
      </c>
      <c r="J68" s="177">
        <v>59.800000000000004</v>
      </c>
      <c r="K68" s="142">
        <f t="shared" ref="K68:K70" si="38">ROUND(I68*J68,2)</f>
        <v>751.09</v>
      </c>
      <c r="M68" s="184"/>
      <c r="N68" s="139">
        <f t="shared" ref="N68:N70" si="39">SUM(O68:S68)</f>
        <v>0</v>
      </c>
      <c r="O68" s="150"/>
      <c r="P68" s="151"/>
      <c r="Q68" s="151"/>
      <c r="R68" s="151"/>
      <c r="S68" s="151"/>
      <c r="T68" s="147"/>
    </row>
    <row r="69" spans="1:20" s="90" customFormat="1" x14ac:dyDescent="0.25">
      <c r="A69" s="144">
        <v>400</v>
      </c>
      <c r="B69" s="145" t="s">
        <v>153</v>
      </c>
      <c r="C69" s="146" t="s">
        <v>217</v>
      </c>
      <c r="D69" s="162" t="s">
        <v>219</v>
      </c>
      <c r="E69" s="168">
        <v>6.96</v>
      </c>
      <c r="F69" s="147">
        <v>41.15</v>
      </c>
      <c r="G69" s="142">
        <f t="shared" si="37"/>
        <v>286.39999999999998</v>
      </c>
      <c r="I69" s="149">
        <v>7.1</v>
      </c>
      <c r="J69" s="177">
        <v>27.36</v>
      </c>
      <c r="K69" s="142">
        <f t="shared" si="38"/>
        <v>194.26</v>
      </c>
      <c r="M69" s="184"/>
      <c r="N69" s="139">
        <f t="shared" si="39"/>
        <v>0</v>
      </c>
      <c r="O69" s="150"/>
      <c r="P69" s="151"/>
      <c r="Q69" s="151"/>
      <c r="R69" s="151"/>
      <c r="S69" s="151"/>
      <c r="T69" s="147"/>
    </row>
    <row r="70" spans="1:20" s="90" customFormat="1" x14ac:dyDescent="0.25">
      <c r="A70" s="144">
        <v>500</v>
      </c>
      <c r="B70" s="145" t="s">
        <v>154</v>
      </c>
      <c r="C70" s="146" t="s">
        <v>218</v>
      </c>
      <c r="D70" s="162" t="s">
        <v>221</v>
      </c>
      <c r="E70" s="168">
        <v>83.01</v>
      </c>
      <c r="F70" s="147">
        <v>4.0200000000000005</v>
      </c>
      <c r="G70" s="142">
        <f t="shared" si="37"/>
        <v>333.7</v>
      </c>
      <c r="I70" s="149">
        <v>84.67</v>
      </c>
      <c r="J70" s="177">
        <v>3.4</v>
      </c>
      <c r="K70" s="142">
        <f t="shared" si="38"/>
        <v>287.88</v>
      </c>
      <c r="M70" s="184"/>
      <c r="N70" s="139">
        <f t="shared" si="39"/>
        <v>0</v>
      </c>
      <c r="O70" s="150"/>
      <c r="P70" s="151"/>
      <c r="Q70" s="151"/>
      <c r="R70" s="151"/>
      <c r="S70" s="151"/>
      <c r="T70" s="147"/>
    </row>
    <row r="71" spans="1:20" s="2" customFormat="1" x14ac:dyDescent="0.25">
      <c r="A71" s="45"/>
      <c r="B71" s="25"/>
      <c r="C71" s="21" t="s">
        <v>23</v>
      </c>
      <c r="D71" s="45"/>
      <c r="E71" s="169"/>
      <c r="F71" s="27"/>
      <c r="G71" s="108">
        <f>SUM(G7:G70)</f>
        <v>960724.52000000014</v>
      </c>
      <c r="I71" s="10"/>
      <c r="J71" s="178"/>
      <c r="K71" s="100">
        <f>SUM(K7:K70)</f>
        <v>696510.66999999993</v>
      </c>
      <c r="M71" s="180"/>
      <c r="N71" s="7"/>
      <c r="O71" s="13"/>
      <c r="P71" s="7"/>
      <c r="Q71" s="7"/>
      <c r="R71" s="7"/>
      <c r="S71" s="7"/>
      <c r="T71" s="27">
        <f>SUM(T7:T70)</f>
        <v>1374.45</v>
      </c>
    </row>
    <row r="72" spans="1:20" s="90" customFormat="1" x14ac:dyDescent="0.25">
      <c r="A72" s="84"/>
      <c r="B72" s="85"/>
      <c r="C72" s="86" t="s">
        <v>58</v>
      </c>
      <c r="D72" s="84"/>
      <c r="E72" s="170"/>
      <c r="F72" s="89"/>
      <c r="G72" s="89">
        <f>ROUND(G71*0.1,2)</f>
        <v>96072.45</v>
      </c>
      <c r="I72" s="91"/>
      <c r="J72" s="179"/>
      <c r="K72" s="89">
        <f>ROUND(K71*0.12,2)</f>
        <v>83581.279999999999</v>
      </c>
      <c r="M72" s="185"/>
      <c r="N72" s="88"/>
      <c r="O72" s="87"/>
      <c r="P72" s="88"/>
      <c r="Q72" s="88"/>
      <c r="R72" s="88"/>
      <c r="S72" s="88"/>
      <c r="T72" s="89">
        <f>ROUND(T71*0.12,2)</f>
        <v>164.93</v>
      </c>
    </row>
    <row r="73" spans="1:20" s="90" customFormat="1" x14ac:dyDescent="0.25">
      <c r="A73" s="84"/>
      <c r="B73" s="85"/>
      <c r="C73" s="86" t="s">
        <v>59</v>
      </c>
      <c r="D73" s="84"/>
      <c r="E73" s="170"/>
      <c r="F73" s="89"/>
      <c r="G73" s="102">
        <f>ROUND(G71*0.08,2)</f>
        <v>76857.960000000006</v>
      </c>
      <c r="I73" s="91"/>
      <c r="J73" s="179"/>
      <c r="K73" s="89">
        <v>0</v>
      </c>
      <c r="M73" s="185"/>
      <c r="N73" s="88"/>
      <c r="O73" s="87"/>
      <c r="P73" s="88"/>
      <c r="Q73" s="88"/>
      <c r="R73" s="88"/>
      <c r="S73" s="88"/>
      <c r="T73" s="89"/>
    </row>
    <row r="74" spans="1:20" s="2" customFormat="1" x14ac:dyDescent="0.25">
      <c r="A74" s="80"/>
      <c r="B74" s="38"/>
      <c r="C74" s="81" t="s">
        <v>60</v>
      </c>
      <c r="D74" s="80"/>
      <c r="E74" s="171"/>
      <c r="F74" s="82"/>
      <c r="G74" s="82">
        <f>SUM(G71:G73)</f>
        <v>1133654.9300000002</v>
      </c>
      <c r="I74" s="83"/>
      <c r="J74" s="39"/>
      <c r="K74" s="82">
        <f>SUM(K71:K73)</f>
        <v>780091.95</v>
      </c>
      <c r="M74" s="186"/>
      <c r="N74" s="39"/>
      <c r="O74" s="49"/>
      <c r="P74" s="39"/>
      <c r="Q74" s="39"/>
      <c r="R74" s="39"/>
      <c r="S74" s="39"/>
      <c r="T74" s="82">
        <f>SUM(T71:T73)</f>
        <v>1539.38</v>
      </c>
    </row>
    <row r="75" spans="1:20" x14ac:dyDescent="0.25">
      <c r="A75" s="46"/>
      <c r="B75" s="26"/>
      <c r="C75" s="23" t="s">
        <v>24</v>
      </c>
      <c r="D75" s="46"/>
      <c r="E75" s="172"/>
      <c r="F75" s="19"/>
      <c r="G75" s="19">
        <f>ROUND(G74*0.18,2)</f>
        <v>204057.89</v>
      </c>
      <c r="I75" s="12"/>
      <c r="J75" s="9"/>
      <c r="K75" s="19">
        <f>ROUND(K74*0.18,2)</f>
        <v>140416.54999999999</v>
      </c>
      <c r="M75" s="187"/>
      <c r="N75" s="9"/>
      <c r="O75" s="14"/>
      <c r="P75" s="9"/>
      <c r="Q75" s="9"/>
      <c r="R75" s="9"/>
      <c r="S75" s="9"/>
      <c r="T75" s="19">
        <f>ROUND(T74*0.18,2)</f>
        <v>277.08999999999997</v>
      </c>
    </row>
    <row r="76" spans="1:20" s="2" customFormat="1" x14ac:dyDescent="0.25">
      <c r="A76" s="47"/>
      <c r="B76" s="28"/>
      <c r="C76" s="29" t="s">
        <v>31</v>
      </c>
      <c r="D76" s="47"/>
      <c r="E76" s="173"/>
      <c r="F76" s="32"/>
      <c r="G76" s="32">
        <f>SUM(G74:G75)</f>
        <v>1337712.8200000003</v>
      </c>
      <c r="I76" s="33"/>
      <c r="J76" s="31"/>
      <c r="K76" s="32">
        <f>SUM(K74:K75)</f>
        <v>920508.5</v>
      </c>
      <c r="M76" s="188"/>
      <c r="N76" s="31"/>
      <c r="O76" s="30"/>
      <c r="P76" s="31"/>
      <c r="Q76" s="31"/>
      <c r="R76" s="31"/>
      <c r="S76" s="31"/>
      <c r="T76" s="32">
        <f>SUM(T74:T75)</f>
        <v>1816.47</v>
      </c>
    </row>
    <row r="77" spans="1:20" x14ac:dyDescent="0.25">
      <c r="K77" s="101">
        <f>+G76-K76</f>
        <v>417204.3200000003</v>
      </c>
    </row>
    <row r="79" spans="1:20" x14ac:dyDescent="0.25">
      <c r="C79" t="s">
        <v>18</v>
      </c>
      <c r="D79">
        <v>100</v>
      </c>
      <c r="I79" t="s">
        <v>62</v>
      </c>
    </row>
    <row r="80" spans="1:20" x14ac:dyDescent="0.25">
      <c r="C80" t="s">
        <v>66</v>
      </c>
      <c r="Q80" s="92"/>
    </row>
    <row r="81" spans="3:9" x14ac:dyDescent="0.25">
      <c r="C81" t="s">
        <v>70</v>
      </c>
    </row>
    <row r="82" spans="3:9" x14ac:dyDescent="0.25">
      <c r="C82" t="s">
        <v>19</v>
      </c>
      <c r="D82">
        <v>200</v>
      </c>
      <c r="I82" t="s">
        <v>63</v>
      </c>
    </row>
    <row r="83" spans="3:9" x14ac:dyDescent="0.25">
      <c r="C83" t="s">
        <v>67</v>
      </c>
    </row>
    <row r="84" spans="3:9" x14ac:dyDescent="0.25">
      <c r="C84" t="s">
        <v>70</v>
      </c>
    </row>
    <row r="86" spans="3:9" x14ac:dyDescent="0.25">
      <c r="C86" t="s">
        <v>61</v>
      </c>
      <c r="D86">
        <v>300</v>
      </c>
      <c r="I86" t="s">
        <v>64</v>
      </c>
    </row>
    <row r="87" spans="3:9" x14ac:dyDescent="0.25">
      <c r="C87" t="s">
        <v>68</v>
      </c>
    </row>
    <row r="88" spans="3:9" x14ac:dyDescent="0.25">
      <c r="C88" t="s">
        <v>70</v>
      </c>
    </row>
    <row r="90" spans="3:9" x14ac:dyDescent="0.25">
      <c r="C90" t="s">
        <v>20</v>
      </c>
      <c r="D90">
        <v>400</v>
      </c>
      <c r="I90" t="s">
        <v>65</v>
      </c>
    </row>
    <row r="91" spans="3:9" x14ac:dyDescent="0.25">
      <c r="C91" t="s">
        <v>69</v>
      </c>
    </row>
    <row r="92" spans="3:9" x14ac:dyDescent="0.25">
      <c r="C92" t="s">
        <v>70</v>
      </c>
    </row>
  </sheetData>
  <mergeCells count="7">
    <mergeCell ref="M5:T5"/>
    <mergeCell ref="E5:G5"/>
    <mergeCell ref="I5:K5"/>
    <mergeCell ref="A5:A6"/>
    <mergeCell ref="B5:B6"/>
    <mergeCell ref="D5:D6"/>
    <mergeCell ref="C5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5"/>
  <sheetViews>
    <sheetView zoomScale="70" zoomScaleNormal="70" workbookViewId="0">
      <selection activeCell="G37" sqref="G37"/>
    </sheetView>
  </sheetViews>
  <sheetFormatPr baseColWidth="10" defaultRowHeight="15" x14ac:dyDescent="0.25"/>
  <cols>
    <col min="2" max="2" width="11.42578125" style="1"/>
    <col min="3" max="3" width="55" customWidth="1"/>
    <col min="4" max="4" width="11.42578125" style="1"/>
    <col min="5" max="5" width="14" customWidth="1"/>
    <col min="6" max="7" width="13" customWidth="1"/>
    <col min="8" max="9" width="13.42578125" customWidth="1"/>
    <col min="10" max="11" width="12.5703125" customWidth="1"/>
    <col min="12" max="12" width="14.85546875" customWidth="1"/>
    <col min="15" max="18" width="12.140625" customWidth="1"/>
  </cols>
  <sheetData>
    <row r="1" spans="1:18" s="43" customFormat="1" x14ac:dyDescent="0.25">
      <c r="A1" s="43" t="s">
        <v>25</v>
      </c>
      <c r="B1" s="44"/>
      <c r="D1" s="44"/>
    </row>
    <row r="3" spans="1:18" x14ac:dyDescent="0.25">
      <c r="A3" s="2" t="s">
        <v>16</v>
      </c>
      <c r="B3" s="2" t="s">
        <v>91</v>
      </c>
    </row>
    <row r="4" spans="1:18" x14ac:dyDescent="0.25">
      <c r="E4" s="217" t="s">
        <v>90</v>
      </c>
      <c r="F4" s="217"/>
      <c r="G4" s="217"/>
      <c r="H4" s="217"/>
      <c r="I4" s="217"/>
      <c r="J4" s="217"/>
      <c r="K4" s="217"/>
      <c r="L4" s="218" t="s">
        <v>48</v>
      </c>
      <c r="M4" s="218"/>
      <c r="N4" s="218"/>
      <c r="O4" s="218"/>
      <c r="P4" s="218"/>
      <c r="Q4" s="218"/>
      <c r="R4" s="218"/>
    </row>
    <row r="5" spans="1:18" ht="15" customHeight="1" x14ac:dyDescent="0.25">
      <c r="A5" s="214" t="s">
        <v>1</v>
      </c>
      <c r="B5" s="214" t="s">
        <v>2</v>
      </c>
      <c r="C5" s="214" t="s">
        <v>15</v>
      </c>
      <c r="D5" s="214" t="s">
        <v>3</v>
      </c>
      <c r="E5" s="71" t="s">
        <v>13</v>
      </c>
      <c r="F5" s="214" t="s">
        <v>53</v>
      </c>
      <c r="G5" s="214"/>
      <c r="H5" s="216" t="s">
        <v>54</v>
      </c>
      <c r="I5" s="216"/>
      <c r="J5" s="216" t="s">
        <v>55</v>
      </c>
      <c r="K5" s="216"/>
      <c r="L5" s="71" t="s">
        <v>27</v>
      </c>
      <c r="M5" s="214" t="s">
        <v>50</v>
      </c>
      <c r="N5" s="214"/>
      <c r="O5" s="216" t="s">
        <v>51</v>
      </c>
      <c r="P5" s="216"/>
      <c r="Q5" s="216" t="s">
        <v>52</v>
      </c>
      <c r="R5" s="216"/>
    </row>
    <row r="6" spans="1:18" ht="30" x14ac:dyDescent="0.25">
      <c r="A6" s="214"/>
      <c r="B6" s="214"/>
      <c r="C6" s="214"/>
      <c r="D6" s="214"/>
      <c r="E6" s="71" t="s">
        <v>6</v>
      </c>
      <c r="F6" s="71" t="s">
        <v>28</v>
      </c>
      <c r="G6" s="71" t="s">
        <v>7</v>
      </c>
      <c r="H6" s="71" t="s">
        <v>30</v>
      </c>
      <c r="I6" s="71" t="s">
        <v>7</v>
      </c>
      <c r="J6" s="71" t="s">
        <v>26</v>
      </c>
      <c r="K6" s="71" t="s">
        <v>7</v>
      </c>
      <c r="L6" s="71" t="s">
        <v>6</v>
      </c>
      <c r="M6" s="71" t="s">
        <v>28</v>
      </c>
      <c r="N6" s="71" t="s">
        <v>7</v>
      </c>
      <c r="O6" s="71" t="s">
        <v>30</v>
      </c>
      <c r="P6" s="71" t="s">
        <v>7</v>
      </c>
      <c r="Q6" s="71" t="s">
        <v>29</v>
      </c>
      <c r="R6" s="71" t="s">
        <v>7</v>
      </c>
    </row>
    <row r="7" spans="1:18" s="2" customFormat="1" x14ac:dyDescent="0.25">
      <c r="A7" s="189"/>
      <c r="B7" s="132" t="s">
        <v>92</v>
      </c>
      <c r="C7" s="104" t="s">
        <v>155</v>
      </c>
      <c r="D7" s="103"/>
      <c r="E7" s="178"/>
      <c r="F7" s="178"/>
      <c r="G7" s="178"/>
      <c r="H7" s="178"/>
      <c r="I7" s="178"/>
      <c r="J7" s="178"/>
      <c r="K7" s="178"/>
      <c r="L7" s="178"/>
      <c r="M7" s="59"/>
      <c r="N7" s="178"/>
      <c r="O7" s="178"/>
      <c r="P7" s="178"/>
      <c r="Q7" s="178"/>
      <c r="R7" s="178"/>
    </row>
    <row r="8" spans="1:18" s="2" customFormat="1" x14ac:dyDescent="0.25">
      <c r="A8" s="190"/>
      <c r="B8" s="133" t="s">
        <v>93</v>
      </c>
      <c r="C8" s="106" t="s">
        <v>156</v>
      </c>
      <c r="D8" s="105"/>
      <c r="E8" s="192"/>
      <c r="F8" s="192"/>
      <c r="G8" s="192"/>
      <c r="H8" s="192"/>
      <c r="I8" s="192"/>
      <c r="J8" s="192"/>
      <c r="K8" s="192"/>
      <c r="L8" s="192"/>
      <c r="M8" s="65"/>
      <c r="N8" s="192"/>
      <c r="O8" s="192"/>
      <c r="P8" s="192"/>
      <c r="Q8" s="192"/>
      <c r="R8" s="192"/>
    </row>
    <row r="9" spans="1:18" x14ac:dyDescent="0.25">
      <c r="A9" s="190"/>
      <c r="B9" s="133" t="s">
        <v>17</v>
      </c>
      <c r="C9" s="106" t="s">
        <v>157</v>
      </c>
      <c r="D9" s="105"/>
      <c r="E9" s="191"/>
      <c r="F9" s="191"/>
      <c r="G9" s="191"/>
      <c r="H9" s="191"/>
      <c r="I9" s="191"/>
      <c r="J9" s="191"/>
      <c r="K9" s="191"/>
      <c r="L9" s="191"/>
      <c r="M9" s="66"/>
      <c r="N9" s="191"/>
      <c r="O9" s="191"/>
      <c r="P9" s="191"/>
      <c r="Q9" s="191"/>
      <c r="R9" s="191"/>
    </row>
    <row r="10" spans="1:18" s="2" customFormat="1" x14ac:dyDescent="0.25">
      <c r="A10" s="190">
        <v>100</v>
      </c>
      <c r="B10" s="137" t="s">
        <v>94</v>
      </c>
      <c r="C10" s="138" t="s">
        <v>158</v>
      </c>
      <c r="D10" s="160" t="s">
        <v>21</v>
      </c>
      <c r="E10" s="191">
        <f>PRESUPUESTOS!F10</f>
        <v>2.04</v>
      </c>
      <c r="F10" s="191">
        <f t="shared" ref="F10:F70" si="0">IF(Q10=0,0,((M10/Q10)*J10))</f>
        <v>0</v>
      </c>
      <c r="G10" s="191">
        <f t="shared" ref="G10:G70" si="1">ROUND(E10*F10,2)</f>
        <v>0</v>
      </c>
      <c r="H10" s="191">
        <f t="shared" ref="H10:H70" si="2">J10-F10</f>
        <v>897.34</v>
      </c>
      <c r="I10" s="191">
        <f t="shared" ref="I10:I70" si="3">ROUND(E10*H10,2)</f>
        <v>1830.57</v>
      </c>
      <c r="J10" s="191">
        <f>PRESUPUESTOS!E10</f>
        <v>897.34</v>
      </c>
      <c r="K10" s="191">
        <f t="shared" ref="K10:K70" si="4">ROUND(E10*J10,2)</f>
        <v>1830.57</v>
      </c>
      <c r="L10" s="191">
        <f>PRESUPUESTOS!N10</f>
        <v>1.47</v>
      </c>
      <c r="M10" s="66"/>
      <c r="N10" s="191">
        <f t="shared" ref="N10:N70" si="5">ROUND(M10*L10,2)</f>
        <v>0</v>
      </c>
      <c r="O10" s="191">
        <f t="shared" ref="O10:O70" si="6">Q10-M10</f>
        <v>935</v>
      </c>
      <c r="P10" s="191">
        <f t="shared" ref="P10:P70" si="7">ROUND(O10*L10,2)</f>
        <v>1374.45</v>
      </c>
      <c r="Q10" s="191">
        <f>PRESUPUESTOS!M10</f>
        <v>935</v>
      </c>
      <c r="R10" s="191">
        <f t="shared" ref="R10:R70" si="8">ROUND(Q10*L10,2)</f>
        <v>1374.45</v>
      </c>
    </row>
    <row r="11" spans="1:18" x14ac:dyDescent="0.25">
      <c r="A11" s="190">
        <v>100</v>
      </c>
      <c r="B11" s="137" t="s">
        <v>95</v>
      </c>
      <c r="C11" s="138" t="s">
        <v>159</v>
      </c>
      <c r="D11" s="160" t="s">
        <v>219</v>
      </c>
      <c r="E11" s="191">
        <f>PRESUPUESTOS!F11</f>
        <v>2.04</v>
      </c>
      <c r="F11" s="191">
        <f t="shared" si="0"/>
        <v>0</v>
      </c>
      <c r="G11" s="191">
        <f t="shared" si="1"/>
        <v>0</v>
      </c>
      <c r="H11" s="191">
        <f t="shared" si="2"/>
        <v>897.34</v>
      </c>
      <c r="I11" s="191">
        <f t="shared" si="3"/>
        <v>1830.57</v>
      </c>
      <c r="J11" s="191">
        <f>PRESUPUESTOS!E11</f>
        <v>897.34</v>
      </c>
      <c r="K11" s="191">
        <f t="shared" si="4"/>
        <v>1830.57</v>
      </c>
      <c r="L11" s="191">
        <f>PRESUPUESTOS!N11</f>
        <v>0</v>
      </c>
      <c r="M11" s="66"/>
      <c r="N11" s="191">
        <f t="shared" si="5"/>
        <v>0</v>
      </c>
      <c r="O11" s="191">
        <f t="shared" si="6"/>
        <v>0</v>
      </c>
      <c r="P11" s="191">
        <f t="shared" si="7"/>
        <v>0</v>
      </c>
      <c r="Q11" s="191">
        <f>PRESUPUESTOS!M11</f>
        <v>0</v>
      </c>
      <c r="R11" s="191">
        <f t="shared" si="8"/>
        <v>0</v>
      </c>
    </row>
    <row r="12" spans="1:18" x14ac:dyDescent="0.25">
      <c r="A12" s="190"/>
      <c r="B12" s="133" t="s">
        <v>96</v>
      </c>
      <c r="C12" s="106" t="s">
        <v>160</v>
      </c>
      <c r="D12" s="105"/>
      <c r="E12" s="191"/>
      <c r="F12" s="191"/>
      <c r="G12" s="191"/>
      <c r="H12" s="191"/>
      <c r="I12" s="191"/>
      <c r="J12" s="191"/>
      <c r="K12" s="191"/>
      <c r="L12" s="191"/>
      <c r="M12" s="66"/>
      <c r="N12" s="191"/>
      <c r="O12" s="191"/>
      <c r="P12" s="191"/>
      <c r="Q12" s="191"/>
      <c r="R12" s="191"/>
    </row>
    <row r="13" spans="1:18" x14ac:dyDescent="0.25">
      <c r="A13" s="190"/>
      <c r="B13" s="133" t="s">
        <v>97</v>
      </c>
      <c r="C13" s="106" t="s">
        <v>161</v>
      </c>
      <c r="D13" s="105"/>
      <c r="E13" s="191"/>
      <c r="F13" s="191"/>
      <c r="G13" s="191"/>
      <c r="H13" s="191"/>
      <c r="I13" s="191"/>
      <c r="J13" s="191"/>
      <c r="K13" s="191"/>
      <c r="L13" s="191"/>
      <c r="M13" s="66"/>
      <c r="N13" s="191"/>
      <c r="O13" s="191"/>
      <c r="P13" s="191"/>
      <c r="Q13" s="191"/>
      <c r="R13" s="191"/>
    </row>
    <row r="14" spans="1:18" x14ac:dyDescent="0.25">
      <c r="A14" s="190"/>
      <c r="B14" s="133" t="s">
        <v>98</v>
      </c>
      <c r="C14" s="106" t="s">
        <v>162</v>
      </c>
      <c r="D14" s="105"/>
      <c r="E14" s="191"/>
      <c r="F14" s="191"/>
      <c r="G14" s="191"/>
      <c r="H14" s="191"/>
      <c r="I14" s="191"/>
      <c r="J14" s="191"/>
      <c r="K14" s="191"/>
      <c r="L14" s="191"/>
      <c r="M14" s="66"/>
      <c r="N14" s="191"/>
      <c r="O14" s="191"/>
      <c r="P14" s="191"/>
      <c r="Q14" s="191"/>
      <c r="R14" s="191"/>
    </row>
    <row r="15" spans="1:18" s="2" customFormat="1" x14ac:dyDescent="0.25">
      <c r="A15" s="190">
        <v>200</v>
      </c>
      <c r="B15" s="137" t="s">
        <v>99</v>
      </c>
      <c r="C15" s="138" t="s">
        <v>163</v>
      </c>
      <c r="D15" s="160" t="s">
        <v>81</v>
      </c>
      <c r="E15" s="191">
        <f>PRESUPUESTOS!F15</f>
        <v>46.74</v>
      </c>
      <c r="F15" s="191">
        <f t="shared" si="0"/>
        <v>0</v>
      </c>
      <c r="G15" s="191">
        <f t="shared" si="1"/>
        <v>0</v>
      </c>
      <c r="H15" s="191">
        <f t="shared" si="2"/>
        <v>41.9</v>
      </c>
      <c r="I15" s="191">
        <f t="shared" si="3"/>
        <v>1958.41</v>
      </c>
      <c r="J15" s="191">
        <f>PRESUPUESTOS!E15</f>
        <v>41.9</v>
      </c>
      <c r="K15" s="191">
        <f t="shared" si="4"/>
        <v>1958.41</v>
      </c>
      <c r="L15" s="191">
        <f>PRESUPUESTOS!N15</f>
        <v>0</v>
      </c>
      <c r="M15" s="66"/>
      <c r="N15" s="191">
        <f t="shared" si="5"/>
        <v>0</v>
      </c>
      <c r="O15" s="191">
        <f t="shared" si="6"/>
        <v>0</v>
      </c>
      <c r="P15" s="191">
        <f t="shared" si="7"/>
        <v>0</v>
      </c>
      <c r="Q15" s="191">
        <f>PRESUPUESTOS!M15</f>
        <v>0</v>
      </c>
      <c r="R15" s="191">
        <f t="shared" si="8"/>
        <v>0</v>
      </c>
    </row>
    <row r="16" spans="1:18" x14ac:dyDescent="0.25">
      <c r="A16" s="190">
        <v>200</v>
      </c>
      <c r="B16" s="137" t="s">
        <v>100</v>
      </c>
      <c r="C16" s="138" t="s">
        <v>164</v>
      </c>
      <c r="D16" s="160" t="s">
        <v>81</v>
      </c>
      <c r="E16" s="191">
        <f>PRESUPUESTOS!F16</f>
        <v>50.99</v>
      </c>
      <c r="F16" s="191">
        <f t="shared" si="0"/>
        <v>0</v>
      </c>
      <c r="G16" s="191">
        <f t="shared" si="1"/>
        <v>0</v>
      </c>
      <c r="H16" s="191">
        <f t="shared" si="2"/>
        <v>1975.16</v>
      </c>
      <c r="I16" s="191">
        <f t="shared" si="3"/>
        <v>100713.41</v>
      </c>
      <c r="J16" s="191">
        <f>PRESUPUESTOS!E16</f>
        <v>1975.16</v>
      </c>
      <c r="K16" s="191">
        <f t="shared" si="4"/>
        <v>100713.41</v>
      </c>
      <c r="L16" s="191">
        <f>PRESUPUESTOS!N16</f>
        <v>0</v>
      </c>
      <c r="M16" s="66"/>
      <c r="N16" s="191">
        <f t="shared" si="5"/>
        <v>0</v>
      </c>
      <c r="O16" s="191">
        <f t="shared" si="6"/>
        <v>0</v>
      </c>
      <c r="P16" s="191">
        <f t="shared" si="7"/>
        <v>0</v>
      </c>
      <c r="Q16" s="191">
        <f>PRESUPUESTOS!M16</f>
        <v>0</v>
      </c>
      <c r="R16" s="191">
        <f t="shared" si="8"/>
        <v>0</v>
      </c>
    </row>
    <row r="17" spans="1:18" x14ac:dyDescent="0.25">
      <c r="A17" s="190"/>
      <c r="B17" s="133" t="s">
        <v>101</v>
      </c>
      <c r="C17" s="106" t="s">
        <v>165</v>
      </c>
      <c r="D17" s="105"/>
      <c r="E17" s="191"/>
      <c r="F17" s="191"/>
      <c r="G17" s="191"/>
      <c r="H17" s="191"/>
      <c r="I17" s="191"/>
      <c r="J17" s="191"/>
      <c r="K17" s="191"/>
      <c r="L17" s="191"/>
      <c r="M17" s="66"/>
      <c r="N17" s="191"/>
      <c r="O17" s="191"/>
      <c r="P17" s="191"/>
      <c r="Q17" s="191"/>
      <c r="R17" s="191"/>
    </row>
    <row r="18" spans="1:18" x14ac:dyDescent="0.25">
      <c r="A18" s="190">
        <v>200</v>
      </c>
      <c r="B18" s="137" t="s">
        <v>102</v>
      </c>
      <c r="C18" s="138" t="s">
        <v>166</v>
      </c>
      <c r="D18" s="160" t="s">
        <v>81</v>
      </c>
      <c r="E18" s="191">
        <f>PRESUPUESTOS!F18</f>
        <v>26.01</v>
      </c>
      <c r="F18" s="191">
        <f t="shared" si="0"/>
        <v>0</v>
      </c>
      <c r="G18" s="191">
        <f t="shared" si="1"/>
        <v>0</v>
      </c>
      <c r="H18" s="191">
        <f t="shared" si="2"/>
        <v>1197.9100000000001</v>
      </c>
      <c r="I18" s="191">
        <f t="shared" si="3"/>
        <v>31157.64</v>
      </c>
      <c r="J18" s="191">
        <f>PRESUPUESTOS!E18</f>
        <v>1197.9100000000001</v>
      </c>
      <c r="K18" s="191">
        <f t="shared" si="4"/>
        <v>31157.64</v>
      </c>
      <c r="L18" s="191">
        <f>PRESUPUESTOS!N18</f>
        <v>0</v>
      </c>
      <c r="M18" s="66"/>
      <c r="N18" s="191">
        <f t="shared" si="5"/>
        <v>0</v>
      </c>
      <c r="O18" s="191">
        <f t="shared" si="6"/>
        <v>0</v>
      </c>
      <c r="P18" s="191">
        <f t="shared" si="7"/>
        <v>0</v>
      </c>
      <c r="Q18" s="191">
        <f>PRESUPUESTOS!M18</f>
        <v>0</v>
      </c>
      <c r="R18" s="191">
        <f t="shared" si="8"/>
        <v>0</v>
      </c>
    </row>
    <row r="19" spans="1:18" s="2" customFormat="1" x14ac:dyDescent="0.25">
      <c r="A19" s="190"/>
      <c r="B19" s="133" t="s">
        <v>103</v>
      </c>
      <c r="C19" s="106" t="s">
        <v>167</v>
      </c>
      <c r="D19" s="105"/>
      <c r="E19" s="191"/>
      <c r="F19" s="191"/>
      <c r="G19" s="191"/>
      <c r="H19" s="191"/>
      <c r="I19" s="191"/>
      <c r="J19" s="191"/>
      <c r="K19" s="191"/>
      <c r="L19" s="191"/>
      <c r="M19" s="66"/>
      <c r="N19" s="191"/>
      <c r="O19" s="191"/>
      <c r="P19" s="191"/>
      <c r="Q19" s="191"/>
      <c r="R19" s="191"/>
    </row>
    <row r="20" spans="1:18" x14ac:dyDescent="0.25">
      <c r="A20" s="190">
        <v>200</v>
      </c>
      <c r="B20" s="137" t="s">
        <v>104</v>
      </c>
      <c r="C20" s="138" t="s">
        <v>168</v>
      </c>
      <c r="D20" s="160" t="s">
        <v>81</v>
      </c>
      <c r="E20" s="191">
        <f>PRESUPUESTOS!F20</f>
        <v>17.53</v>
      </c>
      <c r="F20" s="191">
        <f t="shared" si="0"/>
        <v>0</v>
      </c>
      <c r="G20" s="191">
        <f t="shared" si="1"/>
        <v>0</v>
      </c>
      <c r="H20" s="191">
        <f t="shared" si="2"/>
        <v>68.91</v>
      </c>
      <c r="I20" s="191">
        <f t="shared" si="3"/>
        <v>1207.99</v>
      </c>
      <c r="J20" s="191">
        <f>PRESUPUESTOS!E20</f>
        <v>68.91</v>
      </c>
      <c r="K20" s="191">
        <f t="shared" si="4"/>
        <v>1207.99</v>
      </c>
      <c r="L20" s="191">
        <f>PRESUPUESTOS!N20</f>
        <v>0</v>
      </c>
      <c r="M20" s="66"/>
      <c r="N20" s="191">
        <f t="shared" si="5"/>
        <v>0</v>
      </c>
      <c r="O20" s="191">
        <f t="shared" si="6"/>
        <v>0</v>
      </c>
      <c r="P20" s="191">
        <f t="shared" si="7"/>
        <v>0</v>
      </c>
      <c r="Q20" s="191">
        <f>PRESUPUESTOS!M20</f>
        <v>0</v>
      </c>
      <c r="R20" s="191">
        <f t="shared" si="8"/>
        <v>0</v>
      </c>
    </row>
    <row r="21" spans="1:18" s="2" customFormat="1" x14ac:dyDescent="0.25">
      <c r="A21" s="190">
        <v>200</v>
      </c>
      <c r="B21" s="137" t="s">
        <v>105</v>
      </c>
      <c r="C21" s="138" t="s">
        <v>169</v>
      </c>
      <c r="D21" s="160" t="s">
        <v>22</v>
      </c>
      <c r="E21" s="191">
        <f>PRESUPUESTOS!F21</f>
        <v>16.02</v>
      </c>
      <c r="F21" s="191">
        <f t="shared" si="0"/>
        <v>0</v>
      </c>
      <c r="G21" s="191">
        <f t="shared" si="1"/>
        <v>0</v>
      </c>
      <c r="H21" s="191">
        <f t="shared" si="2"/>
        <v>68.91</v>
      </c>
      <c r="I21" s="191">
        <f t="shared" si="3"/>
        <v>1103.94</v>
      </c>
      <c r="J21" s="191">
        <f>PRESUPUESTOS!E21</f>
        <v>68.91</v>
      </c>
      <c r="K21" s="191">
        <f t="shared" si="4"/>
        <v>1103.94</v>
      </c>
      <c r="L21" s="191">
        <f>PRESUPUESTOS!N21</f>
        <v>0</v>
      </c>
      <c r="M21" s="66"/>
      <c r="N21" s="191">
        <f t="shared" si="5"/>
        <v>0</v>
      </c>
      <c r="O21" s="191">
        <f t="shared" si="6"/>
        <v>0</v>
      </c>
      <c r="P21" s="191">
        <f t="shared" si="7"/>
        <v>0</v>
      </c>
      <c r="Q21" s="191">
        <f>PRESUPUESTOS!M21</f>
        <v>0</v>
      </c>
      <c r="R21" s="191">
        <f t="shared" si="8"/>
        <v>0</v>
      </c>
    </row>
    <row r="22" spans="1:18" x14ac:dyDescent="0.25">
      <c r="A22" s="190">
        <v>200</v>
      </c>
      <c r="B22" s="137" t="s">
        <v>106</v>
      </c>
      <c r="C22" s="138" t="s">
        <v>170</v>
      </c>
      <c r="D22" s="160" t="s">
        <v>81</v>
      </c>
      <c r="E22" s="191">
        <f>PRESUPUESTOS!F22</f>
        <v>21.84</v>
      </c>
      <c r="F22" s="191">
        <f t="shared" si="0"/>
        <v>0</v>
      </c>
      <c r="G22" s="191">
        <f t="shared" si="1"/>
        <v>0</v>
      </c>
      <c r="H22" s="191">
        <f t="shared" si="2"/>
        <v>995.9</v>
      </c>
      <c r="I22" s="191">
        <f t="shared" si="3"/>
        <v>21750.46</v>
      </c>
      <c r="J22" s="191">
        <f>PRESUPUESTOS!E22</f>
        <v>995.9</v>
      </c>
      <c r="K22" s="191">
        <f t="shared" si="4"/>
        <v>21750.46</v>
      </c>
      <c r="L22" s="191">
        <f>PRESUPUESTOS!N22</f>
        <v>0</v>
      </c>
      <c r="M22" s="66"/>
      <c r="N22" s="191">
        <f t="shared" si="5"/>
        <v>0</v>
      </c>
      <c r="O22" s="191">
        <f t="shared" si="6"/>
        <v>0</v>
      </c>
      <c r="P22" s="191">
        <f t="shared" si="7"/>
        <v>0</v>
      </c>
      <c r="Q22" s="191">
        <f>PRESUPUESTOS!M22</f>
        <v>0</v>
      </c>
      <c r="R22" s="191">
        <f t="shared" si="8"/>
        <v>0</v>
      </c>
    </row>
    <row r="23" spans="1:18" x14ac:dyDescent="0.25">
      <c r="A23" s="190"/>
      <c r="B23" s="153" t="s">
        <v>107</v>
      </c>
      <c r="C23" s="154" t="s">
        <v>171</v>
      </c>
      <c r="D23" s="161"/>
      <c r="E23" s="191">
        <f>PRESUPUESTOS!F23</f>
        <v>0</v>
      </c>
      <c r="F23" s="191">
        <f t="shared" si="0"/>
        <v>0</v>
      </c>
      <c r="G23" s="191">
        <f t="shared" si="1"/>
        <v>0</v>
      </c>
      <c r="H23" s="191">
        <f t="shared" si="2"/>
        <v>0</v>
      </c>
      <c r="I23" s="191">
        <f t="shared" si="3"/>
        <v>0</v>
      </c>
      <c r="J23" s="191">
        <f>PRESUPUESTOS!E23</f>
        <v>0</v>
      </c>
      <c r="K23" s="191">
        <f t="shared" si="4"/>
        <v>0</v>
      </c>
      <c r="L23" s="191">
        <f>PRESUPUESTOS!N23</f>
        <v>0</v>
      </c>
      <c r="M23" s="66"/>
      <c r="N23" s="191">
        <f t="shared" si="5"/>
        <v>0</v>
      </c>
      <c r="O23" s="191">
        <f t="shared" si="6"/>
        <v>0</v>
      </c>
      <c r="P23" s="191">
        <f t="shared" si="7"/>
        <v>0</v>
      </c>
      <c r="Q23" s="191">
        <f>PRESUPUESTOS!M23</f>
        <v>0</v>
      </c>
      <c r="R23" s="191">
        <f t="shared" si="8"/>
        <v>0</v>
      </c>
    </row>
    <row r="24" spans="1:18" x14ac:dyDescent="0.25">
      <c r="A24" s="190">
        <v>200</v>
      </c>
      <c r="B24" s="145" t="s">
        <v>108</v>
      </c>
      <c r="C24" s="146" t="s">
        <v>172</v>
      </c>
      <c r="D24" s="162" t="s">
        <v>219</v>
      </c>
      <c r="E24" s="191">
        <f>PRESUPUESTOS!F24</f>
        <v>4.72</v>
      </c>
      <c r="F24" s="191">
        <f t="shared" si="0"/>
        <v>0</v>
      </c>
      <c r="G24" s="191">
        <f t="shared" si="1"/>
        <v>0</v>
      </c>
      <c r="H24" s="191">
        <f t="shared" si="2"/>
        <v>68.95</v>
      </c>
      <c r="I24" s="191">
        <f t="shared" si="3"/>
        <v>325.44</v>
      </c>
      <c r="J24" s="191">
        <f>PRESUPUESTOS!E24</f>
        <v>68.95</v>
      </c>
      <c r="K24" s="191">
        <f t="shared" si="4"/>
        <v>325.44</v>
      </c>
      <c r="L24" s="191">
        <f>PRESUPUESTOS!N24</f>
        <v>0</v>
      </c>
      <c r="M24" s="66"/>
      <c r="N24" s="191">
        <f t="shared" si="5"/>
        <v>0</v>
      </c>
      <c r="O24" s="191">
        <f t="shared" si="6"/>
        <v>0</v>
      </c>
      <c r="P24" s="191">
        <f t="shared" si="7"/>
        <v>0</v>
      </c>
      <c r="Q24" s="191">
        <f>PRESUPUESTOS!M24</f>
        <v>0</v>
      </c>
      <c r="R24" s="191">
        <f t="shared" si="8"/>
        <v>0</v>
      </c>
    </row>
    <row r="25" spans="1:18" x14ac:dyDescent="0.25">
      <c r="A25" s="190">
        <v>200</v>
      </c>
      <c r="B25" s="145" t="s">
        <v>109</v>
      </c>
      <c r="C25" s="146" t="s">
        <v>173</v>
      </c>
      <c r="D25" s="162" t="s">
        <v>219</v>
      </c>
      <c r="E25" s="191">
        <f>PRESUPUESTOS!F25</f>
        <v>7.8500000000000005</v>
      </c>
      <c r="F25" s="191">
        <f t="shared" si="0"/>
        <v>0</v>
      </c>
      <c r="G25" s="191">
        <f t="shared" si="1"/>
        <v>0</v>
      </c>
      <c r="H25" s="191">
        <f t="shared" si="2"/>
        <v>8.56</v>
      </c>
      <c r="I25" s="191">
        <f t="shared" si="3"/>
        <v>67.2</v>
      </c>
      <c r="J25" s="191">
        <f>PRESUPUESTOS!E25</f>
        <v>8.56</v>
      </c>
      <c r="K25" s="191">
        <f t="shared" si="4"/>
        <v>67.2</v>
      </c>
      <c r="L25" s="191">
        <f>PRESUPUESTOS!N25</f>
        <v>0</v>
      </c>
      <c r="M25" s="66"/>
      <c r="N25" s="191">
        <f t="shared" si="5"/>
        <v>0</v>
      </c>
      <c r="O25" s="191">
        <f t="shared" si="6"/>
        <v>0</v>
      </c>
      <c r="P25" s="191">
        <f t="shared" si="7"/>
        <v>0</v>
      </c>
      <c r="Q25" s="191">
        <f>PRESUPUESTOS!M25</f>
        <v>0</v>
      </c>
      <c r="R25" s="191">
        <f t="shared" si="8"/>
        <v>0</v>
      </c>
    </row>
    <row r="26" spans="1:18" x14ac:dyDescent="0.25">
      <c r="A26" s="190">
        <v>200</v>
      </c>
      <c r="B26" s="145" t="s">
        <v>110</v>
      </c>
      <c r="C26" s="146" t="s">
        <v>174</v>
      </c>
      <c r="D26" s="162" t="s">
        <v>219</v>
      </c>
      <c r="E26" s="191">
        <f>PRESUPUESTOS!F26</f>
        <v>15.19</v>
      </c>
      <c r="F26" s="191">
        <f t="shared" si="0"/>
        <v>0</v>
      </c>
      <c r="G26" s="191">
        <f t="shared" si="1"/>
        <v>0</v>
      </c>
      <c r="H26" s="191">
        <f t="shared" si="2"/>
        <v>68.95</v>
      </c>
      <c r="I26" s="191">
        <f t="shared" si="3"/>
        <v>1047.3499999999999</v>
      </c>
      <c r="J26" s="191">
        <f>PRESUPUESTOS!E26</f>
        <v>68.95</v>
      </c>
      <c r="K26" s="191">
        <f t="shared" si="4"/>
        <v>1047.3499999999999</v>
      </c>
      <c r="L26" s="191">
        <f>PRESUPUESTOS!N26</f>
        <v>0</v>
      </c>
      <c r="M26" s="66"/>
      <c r="N26" s="191">
        <f t="shared" si="5"/>
        <v>0</v>
      </c>
      <c r="O26" s="191">
        <f t="shared" si="6"/>
        <v>0</v>
      </c>
      <c r="P26" s="191">
        <f t="shared" si="7"/>
        <v>0</v>
      </c>
      <c r="Q26" s="191">
        <f>PRESUPUESTOS!M26</f>
        <v>0</v>
      </c>
      <c r="R26" s="191">
        <f t="shared" si="8"/>
        <v>0</v>
      </c>
    </row>
    <row r="27" spans="1:18" x14ac:dyDescent="0.25">
      <c r="A27" s="190">
        <v>200</v>
      </c>
      <c r="B27" s="145" t="s">
        <v>111</v>
      </c>
      <c r="C27" s="146" t="s">
        <v>175</v>
      </c>
      <c r="D27" s="162" t="s">
        <v>219</v>
      </c>
      <c r="E27" s="191">
        <f>PRESUPUESTOS!F27</f>
        <v>21.79</v>
      </c>
      <c r="F27" s="191">
        <f t="shared" si="0"/>
        <v>0</v>
      </c>
      <c r="G27" s="191">
        <f t="shared" si="1"/>
        <v>0</v>
      </c>
      <c r="H27" s="191">
        <f t="shared" si="2"/>
        <v>8.56</v>
      </c>
      <c r="I27" s="191">
        <f t="shared" si="3"/>
        <v>186.52</v>
      </c>
      <c r="J27" s="191">
        <f>PRESUPUESTOS!E27</f>
        <v>8.56</v>
      </c>
      <c r="K27" s="191">
        <f t="shared" si="4"/>
        <v>186.52</v>
      </c>
      <c r="L27" s="191">
        <f>PRESUPUESTOS!N27</f>
        <v>0</v>
      </c>
      <c r="M27" s="66"/>
      <c r="N27" s="191">
        <f t="shared" si="5"/>
        <v>0</v>
      </c>
      <c r="O27" s="191">
        <f t="shared" si="6"/>
        <v>0</v>
      </c>
      <c r="P27" s="191">
        <f t="shared" si="7"/>
        <v>0</v>
      </c>
      <c r="Q27" s="191">
        <f>PRESUPUESTOS!M27</f>
        <v>0</v>
      </c>
      <c r="R27" s="191">
        <f t="shared" si="8"/>
        <v>0</v>
      </c>
    </row>
    <row r="28" spans="1:18" x14ac:dyDescent="0.25">
      <c r="A28" s="190"/>
      <c r="B28" s="153" t="s">
        <v>112</v>
      </c>
      <c r="C28" s="154" t="s">
        <v>176</v>
      </c>
      <c r="D28" s="161"/>
      <c r="E28" s="191">
        <f>PRESUPUESTOS!F28</f>
        <v>0</v>
      </c>
      <c r="F28" s="191">
        <f t="shared" si="0"/>
        <v>0</v>
      </c>
      <c r="G28" s="191">
        <f t="shared" si="1"/>
        <v>0</v>
      </c>
      <c r="H28" s="191">
        <f t="shared" si="2"/>
        <v>0</v>
      </c>
      <c r="I28" s="191">
        <f t="shared" si="3"/>
        <v>0</v>
      </c>
      <c r="J28" s="191">
        <f>PRESUPUESTOS!E28</f>
        <v>0</v>
      </c>
      <c r="K28" s="191">
        <f t="shared" si="4"/>
        <v>0</v>
      </c>
      <c r="L28" s="191">
        <f>PRESUPUESTOS!N28</f>
        <v>0</v>
      </c>
      <c r="M28" s="66"/>
      <c r="N28" s="191">
        <f t="shared" si="5"/>
        <v>0</v>
      </c>
      <c r="O28" s="191">
        <f t="shared" si="6"/>
        <v>0</v>
      </c>
      <c r="P28" s="191">
        <f t="shared" si="7"/>
        <v>0</v>
      </c>
      <c r="Q28" s="191">
        <f>PRESUPUESTOS!M28</f>
        <v>0</v>
      </c>
      <c r="R28" s="191">
        <f t="shared" si="8"/>
        <v>0</v>
      </c>
    </row>
    <row r="29" spans="1:18" x14ac:dyDescent="0.25">
      <c r="A29" s="190"/>
      <c r="B29" s="153" t="s">
        <v>113</v>
      </c>
      <c r="C29" s="154" t="s">
        <v>177</v>
      </c>
      <c r="D29" s="161"/>
      <c r="E29" s="191">
        <f>PRESUPUESTOS!F29</f>
        <v>0</v>
      </c>
      <c r="F29" s="191">
        <f t="shared" si="0"/>
        <v>0</v>
      </c>
      <c r="G29" s="191">
        <f t="shared" si="1"/>
        <v>0</v>
      </c>
      <c r="H29" s="191">
        <f t="shared" si="2"/>
        <v>0</v>
      </c>
      <c r="I29" s="191">
        <f t="shared" si="3"/>
        <v>0</v>
      </c>
      <c r="J29" s="191">
        <f>PRESUPUESTOS!E29</f>
        <v>0</v>
      </c>
      <c r="K29" s="191">
        <f t="shared" si="4"/>
        <v>0</v>
      </c>
      <c r="L29" s="191">
        <f>PRESUPUESTOS!N29</f>
        <v>0</v>
      </c>
      <c r="M29" s="66"/>
      <c r="N29" s="191">
        <f t="shared" si="5"/>
        <v>0</v>
      </c>
      <c r="O29" s="191">
        <f t="shared" si="6"/>
        <v>0</v>
      </c>
      <c r="P29" s="191">
        <f t="shared" si="7"/>
        <v>0</v>
      </c>
      <c r="Q29" s="191">
        <f>PRESUPUESTOS!M29</f>
        <v>0</v>
      </c>
      <c r="R29" s="191">
        <f t="shared" si="8"/>
        <v>0</v>
      </c>
    </row>
    <row r="30" spans="1:18" x14ac:dyDescent="0.25">
      <c r="A30" s="190">
        <v>300</v>
      </c>
      <c r="B30" s="145" t="s">
        <v>114</v>
      </c>
      <c r="C30" s="146" t="s">
        <v>178</v>
      </c>
      <c r="D30" s="162" t="s">
        <v>81</v>
      </c>
      <c r="E30" s="191">
        <f>PRESUPUESTOS!F30</f>
        <v>173.72</v>
      </c>
      <c r="F30" s="191">
        <f t="shared" si="0"/>
        <v>0</v>
      </c>
      <c r="G30" s="191">
        <f t="shared" si="1"/>
        <v>0</v>
      </c>
      <c r="H30" s="191">
        <f t="shared" si="2"/>
        <v>323.69</v>
      </c>
      <c r="I30" s="191">
        <f t="shared" si="3"/>
        <v>56231.43</v>
      </c>
      <c r="J30" s="191">
        <f>PRESUPUESTOS!E30</f>
        <v>323.69</v>
      </c>
      <c r="K30" s="191">
        <f t="shared" si="4"/>
        <v>56231.43</v>
      </c>
      <c r="L30" s="191">
        <f>PRESUPUESTOS!N30</f>
        <v>0</v>
      </c>
      <c r="M30" s="66"/>
      <c r="N30" s="191">
        <f t="shared" si="5"/>
        <v>0</v>
      </c>
      <c r="O30" s="191">
        <f t="shared" si="6"/>
        <v>0</v>
      </c>
      <c r="P30" s="191">
        <f t="shared" si="7"/>
        <v>0</v>
      </c>
      <c r="Q30" s="191">
        <f>PRESUPUESTOS!M30</f>
        <v>0</v>
      </c>
      <c r="R30" s="191">
        <f t="shared" si="8"/>
        <v>0</v>
      </c>
    </row>
    <row r="31" spans="1:18" x14ac:dyDescent="0.25">
      <c r="A31" s="190"/>
      <c r="B31" s="153" t="s">
        <v>115</v>
      </c>
      <c r="C31" s="154" t="s">
        <v>179</v>
      </c>
      <c r="D31" s="161"/>
      <c r="E31" s="191">
        <f>PRESUPUESTOS!F31</f>
        <v>0</v>
      </c>
      <c r="F31" s="191">
        <f t="shared" si="0"/>
        <v>0</v>
      </c>
      <c r="G31" s="191">
        <f t="shared" si="1"/>
        <v>0</v>
      </c>
      <c r="H31" s="191">
        <f t="shared" si="2"/>
        <v>0</v>
      </c>
      <c r="I31" s="191">
        <f t="shared" si="3"/>
        <v>0</v>
      </c>
      <c r="J31" s="191">
        <f>PRESUPUESTOS!E31</f>
        <v>0</v>
      </c>
      <c r="K31" s="191">
        <f t="shared" si="4"/>
        <v>0</v>
      </c>
      <c r="L31" s="191">
        <f>PRESUPUESTOS!N31</f>
        <v>0</v>
      </c>
      <c r="M31" s="66"/>
      <c r="N31" s="191">
        <f t="shared" si="5"/>
        <v>0</v>
      </c>
      <c r="O31" s="191">
        <f t="shared" si="6"/>
        <v>0</v>
      </c>
      <c r="P31" s="191">
        <f t="shared" si="7"/>
        <v>0</v>
      </c>
      <c r="Q31" s="191">
        <f>PRESUPUESTOS!M31</f>
        <v>0</v>
      </c>
      <c r="R31" s="191">
        <f t="shared" si="8"/>
        <v>0</v>
      </c>
    </row>
    <row r="32" spans="1:18" x14ac:dyDescent="0.25">
      <c r="A32" s="190">
        <v>300</v>
      </c>
      <c r="B32" s="145" t="s">
        <v>116</v>
      </c>
      <c r="C32" s="146" t="s">
        <v>180</v>
      </c>
      <c r="D32" s="162" t="s">
        <v>81</v>
      </c>
      <c r="E32" s="191">
        <f>PRESUPUESTOS!F32</f>
        <v>179.78</v>
      </c>
      <c r="F32" s="191">
        <f t="shared" si="0"/>
        <v>0</v>
      </c>
      <c r="G32" s="191">
        <f t="shared" si="1"/>
        <v>0</v>
      </c>
      <c r="H32" s="191">
        <f t="shared" si="2"/>
        <v>24.73</v>
      </c>
      <c r="I32" s="191">
        <f t="shared" si="3"/>
        <v>4445.96</v>
      </c>
      <c r="J32" s="191">
        <f>PRESUPUESTOS!E32</f>
        <v>24.73</v>
      </c>
      <c r="K32" s="191">
        <f t="shared" si="4"/>
        <v>4445.96</v>
      </c>
      <c r="L32" s="191">
        <f>PRESUPUESTOS!N32</f>
        <v>0</v>
      </c>
      <c r="M32" s="66"/>
      <c r="N32" s="191">
        <f t="shared" si="5"/>
        <v>0</v>
      </c>
      <c r="O32" s="191">
        <f t="shared" si="6"/>
        <v>0</v>
      </c>
      <c r="P32" s="191">
        <f t="shared" si="7"/>
        <v>0</v>
      </c>
      <c r="Q32" s="191">
        <f>PRESUPUESTOS!M32</f>
        <v>0</v>
      </c>
      <c r="R32" s="191">
        <f t="shared" si="8"/>
        <v>0</v>
      </c>
    </row>
    <row r="33" spans="1:18" x14ac:dyDescent="0.25">
      <c r="A33" s="190">
        <v>400</v>
      </c>
      <c r="B33" s="145" t="s">
        <v>117</v>
      </c>
      <c r="C33" s="146" t="s">
        <v>181</v>
      </c>
      <c r="D33" s="162" t="s">
        <v>219</v>
      </c>
      <c r="E33" s="191">
        <f>PRESUPUESTOS!F33</f>
        <v>46.17</v>
      </c>
      <c r="F33" s="191">
        <f t="shared" si="0"/>
        <v>0</v>
      </c>
      <c r="G33" s="191">
        <f t="shared" si="1"/>
        <v>0</v>
      </c>
      <c r="H33" s="191">
        <f t="shared" si="2"/>
        <v>23.09</v>
      </c>
      <c r="I33" s="191">
        <f t="shared" si="3"/>
        <v>1066.07</v>
      </c>
      <c r="J33" s="191">
        <f>PRESUPUESTOS!E33</f>
        <v>23.09</v>
      </c>
      <c r="K33" s="191">
        <f t="shared" si="4"/>
        <v>1066.07</v>
      </c>
      <c r="L33" s="191">
        <f>PRESUPUESTOS!N33</f>
        <v>0</v>
      </c>
      <c r="M33" s="66"/>
      <c r="N33" s="191">
        <f t="shared" si="5"/>
        <v>0</v>
      </c>
      <c r="O33" s="191">
        <f t="shared" si="6"/>
        <v>0</v>
      </c>
      <c r="P33" s="191">
        <f t="shared" si="7"/>
        <v>0</v>
      </c>
      <c r="Q33" s="191">
        <f>PRESUPUESTOS!M33</f>
        <v>0</v>
      </c>
      <c r="R33" s="191">
        <f t="shared" si="8"/>
        <v>0</v>
      </c>
    </row>
    <row r="34" spans="1:18" x14ac:dyDescent="0.25">
      <c r="A34" s="190">
        <v>300</v>
      </c>
      <c r="B34" s="145" t="s">
        <v>118</v>
      </c>
      <c r="C34" s="146" t="s">
        <v>182</v>
      </c>
      <c r="D34" s="162" t="s">
        <v>81</v>
      </c>
      <c r="E34" s="191">
        <f>PRESUPUESTOS!F34</f>
        <v>179.78</v>
      </c>
      <c r="F34" s="191">
        <f t="shared" si="0"/>
        <v>0</v>
      </c>
      <c r="G34" s="191">
        <f t="shared" si="1"/>
        <v>0</v>
      </c>
      <c r="H34" s="191">
        <f t="shared" si="2"/>
        <v>163.82</v>
      </c>
      <c r="I34" s="191">
        <f t="shared" si="3"/>
        <v>29451.56</v>
      </c>
      <c r="J34" s="191">
        <f>PRESUPUESTOS!E34</f>
        <v>163.82</v>
      </c>
      <c r="K34" s="191">
        <f t="shared" si="4"/>
        <v>29451.56</v>
      </c>
      <c r="L34" s="191">
        <f>PRESUPUESTOS!N34</f>
        <v>0</v>
      </c>
      <c r="M34" s="66"/>
      <c r="N34" s="191">
        <f t="shared" si="5"/>
        <v>0</v>
      </c>
      <c r="O34" s="191">
        <f t="shared" si="6"/>
        <v>0</v>
      </c>
      <c r="P34" s="191">
        <f t="shared" si="7"/>
        <v>0</v>
      </c>
      <c r="Q34" s="191">
        <f>PRESUPUESTOS!M34</f>
        <v>0</v>
      </c>
      <c r="R34" s="191">
        <f t="shared" si="8"/>
        <v>0</v>
      </c>
    </row>
    <row r="35" spans="1:18" x14ac:dyDescent="0.25">
      <c r="A35" s="190">
        <v>400</v>
      </c>
      <c r="B35" s="145" t="s">
        <v>119</v>
      </c>
      <c r="C35" s="146" t="s">
        <v>183</v>
      </c>
      <c r="D35" s="162" t="s">
        <v>219</v>
      </c>
      <c r="E35" s="191">
        <f>PRESUPUESTOS!F35</f>
        <v>37.47</v>
      </c>
      <c r="F35" s="191">
        <f t="shared" si="0"/>
        <v>0</v>
      </c>
      <c r="G35" s="191">
        <f t="shared" si="1"/>
        <v>0</v>
      </c>
      <c r="H35" s="191">
        <f t="shared" si="2"/>
        <v>327.63</v>
      </c>
      <c r="I35" s="191">
        <f t="shared" si="3"/>
        <v>12276.3</v>
      </c>
      <c r="J35" s="191">
        <f>PRESUPUESTOS!E35</f>
        <v>327.63</v>
      </c>
      <c r="K35" s="191">
        <f t="shared" si="4"/>
        <v>12276.3</v>
      </c>
      <c r="L35" s="191">
        <f>PRESUPUESTOS!N35</f>
        <v>0</v>
      </c>
      <c r="M35" s="66"/>
      <c r="N35" s="191">
        <f t="shared" si="5"/>
        <v>0</v>
      </c>
      <c r="O35" s="191">
        <f t="shared" si="6"/>
        <v>0</v>
      </c>
      <c r="P35" s="191">
        <f t="shared" si="7"/>
        <v>0</v>
      </c>
      <c r="Q35" s="191">
        <f>PRESUPUESTOS!M35</f>
        <v>0</v>
      </c>
      <c r="R35" s="191">
        <f t="shared" si="8"/>
        <v>0</v>
      </c>
    </row>
    <row r="36" spans="1:18" x14ac:dyDescent="0.25">
      <c r="A36" s="190"/>
      <c r="B36" s="153" t="s">
        <v>120</v>
      </c>
      <c r="C36" s="154" t="s">
        <v>184</v>
      </c>
      <c r="D36" s="161"/>
      <c r="E36" s="191">
        <f>PRESUPUESTOS!F36</f>
        <v>0</v>
      </c>
      <c r="F36" s="191">
        <f t="shared" si="0"/>
        <v>0</v>
      </c>
      <c r="G36" s="191">
        <f t="shared" si="1"/>
        <v>0</v>
      </c>
      <c r="H36" s="191">
        <f t="shared" si="2"/>
        <v>0</v>
      </c>
      <c r="I36" s="191">
        <f t="shared" si="3"/>
        <v>0</v>
      </c>
      <c r="J36" s="191">
        <f>PRESUPUESTOS!E36</f>
        <v>0</v>
      </c>
      <c r="K36" s="191">
        <f t="shared" si="4"/>
        <v>0</v>
      </c>
      <c r="L36" s="191">
        <f>PRESUPUESTOS!N36</f>
        <v>0</v>
      </c>
      <c r="M36" s="66"/>
      <c r="N36" s="191">
        <f t="shared" si="5"/>
        <v>0</v>
      </c>
      <c r="O36" s="191">
        <f t="shared" si="6"/>
        <v>0</v>
      </c>
      <c r="P36" s="191">
        <f t="shared" si="7"/>
        <v>0</v>
      </c>
      <c r="Q36" s="191">
        <f>PRESUPUESTOS!M36</f>
        <v>0</v>
      </c>
      <c r="R36" s="191">
        <f t="shared" si="8"/>
        <v>0</v>
      </c>
    </row>
    <row r="37" spans="1:18" x14ac:dyDescent="0.25">
      <c r="A37" s="190">
        <v>300</v>
      </c>
      <c r="B37" s="145" t="s">
        <v>121</v>
      </c>
      <c r="C37" s="146" t="s">
        <v>185</v>
      </c>
      <c r="D37" s="160" t="s">
        <v>81</v>
      </c>
      <c r="E37" s="191">
        <f>PRESUPUESTOS!F37</f>
        <v>260.59000000000003</v>
      </c>
      <c r="F37" s="191">
        <f t="shared" si="0"/>
        <v>0</v>
      </c>
      <c r="G37" s="191">
        <f t="shared" si="1"/>
        <v>0</v>
      </c>
      <c r="H37" s="191">
        <f t="shared" si="2"/>
        <v>3.21</v>
      </c>
      <c r="I37" s="191">
        <f t="shared" si="3"/>
        <v>836.49</v>
      </c>
      <c r="J37" s="191">
        <f>PRESUPUESTOS!E37</f>
        <v>3.21</v>
      </c>
      <c r="K37" s="191">
        <f t="shared" si="4"/>
        <v>836.49</v>
      </c>
      <c r="L37" s="191">
        <f>PRESUPUESTOS!N37</f>
        <v>0</v>
      </c>
      <c r="M37" s="66"/>
      <c r="N37" s="191">
        <f t="shared" si="5"/>
        <v>0</v>
      </c>
      <c r="O37" s="191">
        <f t="shared" si="6"/>
        <v>0</v>
      </c>
      <c r="P37" s="191">
        <f t="shared" si="7"/>
        <v>0</v>
      </c>
      <c r="Q37" s="191">
        <f>PRESUPUESTOS!M37</f>
        <v>0</v>
      </c>
      <c r="R37" s="191">
        <f t="shared" si="8"/>
        <v>0</v>
      </c>
    </row>
    <row r="38" spans="1:18" x14ac:dyDescent="0.25">
      <c r="A38" s="190">
        <v>400</v>
      </c>
      <c r="B38" s="145" t="s">
        <v>122</v>
      </c>
      <c r="C38" s="146" t="s">
        <v>186</v>
      </c>
      <c r="D38" s="162" t="s">
        <v>219</v>
      </c>
      <c r="E38" s="191">
        <f>PRESUPUESTOS!F38</f>
        <v>37.700000000000003</v>
      </c>
      <c r="F38" s="191">
        <f t="shared" si="0"/>
        <v>0</v>
      </c>
      <c r="G38" s="191">
        <f t="shared" si="1"/>
        <v>0</v>
      </c>
      <c r="H38" s="191">
        <f t="shared" si="2"/>
        <v>43.95</v>
      </c>
      <c r="I38" s="191">
        <f t="shared" si="3"/>
        <v>1656.92</v>
      </c>
      <c r="J38" s="191">
        <f>PRESUPUESTOS!E38</f>
        <v>43.95</v>
      </c>
      <c r="K38" s="191">
        <f t="shared" si="4"/>
        <v>1656.92</v>
      </c>
      <c r="L38" s="191">
        <f>PRESUPUESTOS!N38</f>
        <v>0</v>
      </c>
      <c r="M38" s="66"/>
      <c r="N38" s="191">
        <f t="shared" si="5"/>
        <v>0</v>
      </c>
      <c r="O38" s="191">
        <f t="shared" si="6"/>
        <v>0</v>
      </c>
      <c r="P38" s="191">
        <f t="shared" si="7"/>
        <v>0</v>
      </c>
      <c r="Q38" s="191">
        <f>PRESUPUESTOS!M38</f>
        <v>0</v>
      </c>
      <c r="R38" s="191">
        <f t="shared" si="8"/>
        <v>0</v>
      </c>
    </row>
    <row r="39" spans="1:18" x14ac:dyDescent="0.25">
      <c r="A39" s="190"/>
      <c r="B39" s="153" t="s">
        <v>123</v>
      </c>
      <c r="C39" s="154" t="s">
        <v>187</v>
      </c>
      <c r="D39" s="161"/>
      <c r="E39" s="191">
        <f>PRESUPUESTOS!F39</f>
        <v>0</v>
      </c>
      <c r="F39" s="191">
        <f t="shared" si="0"/>
        <v>0</v>
      </c>
      <c r="G39" s="191">
        <f t="shared" si="1"/>
        <v>0</v>
      </c>
      <c r="H39" s="191">
        <f t="shared" si="2"/>
        <v>0</v>
      </c>
      <c r="I39" s="191">
        <f t="shared" si="3"/>
        <v>0</v>
      </c>
      <c r="J39" s="191">
        <f>PRESUPUESTOS!E39</f>
        <v>0</v>
      </c>
      <c r="K39" s="191">
        <f t="shared" si="4"/>
        <v>0</v>
      </c>
      <c r="L39" s="191">
        <f>PRESUPUESTOS!N39</f>
        <v>0</v>
      </c>
      <c r="M39" s="66"/>
      <c r="N39" s="191">
        <f t="shared" si="5"/>
        <v>0</v>
      </c>
      <c r="O39" s="191">
        <f t="shared" si="6"/>
        <v>0</v>
      </c>
      <c r="P39" s="191">
        <f t="shared" si="7"/>
        <v>0</v>
      </c>
      <c r="Q39" s="191">
        <f>PRESUPUESTOS!M39</f>
        <v>0</v>
      </c>
      <c r="R39" s="191">
        <f t="shared" si="8"/>
        <v>0</v>
      </c>
    </row>
    <row r="40" spans="1:18" x14ac:dyDescent="0.25">
      <c r="A40" s="190"/>
      <c r="B40" s="153" t="s">
        <v>124</v>
      </c>
      <c r="C40" s="154" t="s">
        <v>188</v>
      </c>
      <c r="D40" s="161"/>
      <c r="E40" s="191">
        <f>PRESUPUESTOS!F40</f>
        <v>0</v>
      </c>
      <c r="F40" s="191">
        <f t="shared" si="0"/>
        <v>0</v>
      </c>
      <c r="G40" s="191">
        <f t="shared" si="1"/>
        <v>0</v>
      </c>
      <c r="H40" s="191">
        <f t="shared" si="2"/>
        <v>0</v>
      </c>
      <c r="I40" s="191">
        <f t="shared" si="3"/>
        <v>0</v>
      </c>
      <c r="J40" s="191">
        <f>PRESUPUESTOS!E40</f>
        <v>0</v>
      </c>
      <c r="K40" s="191">
        <f t="shared" si="4"/>
        <v>0</v>
      </c>
      <c r="L40" s="191">
        <f>PRESUPUESTOS!N40</f>
        <v>0</v>
      </c>
      <c r="M40" s="66"/>
      <c r="N40" s="191">
        <f t="shared" si="5"/>
        <v>0</v>
      </c>
      <c r="O40" s="191">
        <f t="shared" si="6"/>
        <v>0</v>
      </c>
      <c r="P40" s="191">
        <f t="shared" si="7"/>
        <v>0</v>
      </c>
      <c r="Q40" s="191">
        <f>PRESUPUESTOS!M40</f>
        <v>0</v>
      </c>
      <c r="R40" s="191">
        <f t="shared" si="8"/>
        <v>0</v>
      </c>
    </row>
    <row r="41" spans="1:18" x14ac:dyDescent="0.25">
      <c r="A41" s="190">
        <v>300</v>
      </c>
      <c r="B41" s="145" t="s">
        <v>125</v>
      </c>
      <c r="C41" s="146" t="s">
        <v>189</v>
      </c>
      <c r="D41" s="162" t="s">
        <v>81</v>
      </c>
      <c r="E41" s="191">
        <f>PRESUPUESTOS!F41</f>
        <v>292.79000000000002</v>
      </c>
      <c r="F41" s="191">
        <f t="shared" si="0"/>
        <v>0</v>
      </c>
      <c r="G41" s="191">
        <f t="shared" si="1"/>
        <v>0</v>
      </c>
      <c r="H41" s="191">
        <f t="shared" si="2"/>
        <v>396.75</v>
      </c>
      <c r="I41" s="191">
        <f t="shared" si="3"/>
        <v>116164.43</v>
      </c>
      <c r="J41" s="191">
        <f>PRESUPUESTOS!E41</f>
        <v>396.75</v>
      </c>
      <c r="K41" s="191">
        <f t="shared" si="4"/>
        <v>116164.43</v>
      </c>
      <c r="L41" s="191">
        <f>PRESUPUESTOS!N41</f>
        <v>0</v>
      </c>
      <c r="M41" s="66"/>
      <c r="N41" s="191">
        <f t="shared" si="5"/>
        <v>0</v>
      </c>
      <c r="O41" s="191">
        <f t="shared" si="6"/>
        <v>0</v>
      </c>
      <c r="P41" s="191">
        <f t="shared" si="7"/>
        <v>0</v>
      </c>
      <c r="Q41" s="191">
        <f>PRESUPUESTOS!M41</f>
        <v>0</v>
      </c>
      <c r="R41" s="191">
        <f t="shared" si="8"/>
        <v>0</v>
      </c>
    </row>
    <row r="42" spans="1:18" x14ac:dyDescent="0.25">
      <c r="A42" s="190">
        <v>500</v>
      </c>
      <c r="B42" s="145" t="s">
        <v>126</v>
      </c>
      <c r="C42" s="146" t="s">
        <v>190</v>
      </c>
      <c r="D42" s="162" t="s">
        <v>220</v>
      </c>
      <c r="E42" s="191">
        <f>PRESUPUESTOS!F42</f>
        <v>4.0200000000000005</v>
      </c>
      <c r="F42" s="191">
        <f t="shared" si="0"/>
        <v>0</v>
      </c>
      <c r="G42" s="191">
        <f t="shared" si="1"/>
        <v>0</v>
      </c>
      <c r="H42" s="191">
        <f t="shared" si="2"/>
        <v>17534.91</v>
      </c>
      <c r="I42" s="191">
        <f t="shared" si="3"/>
        <v>70490.34</v>
      </c>
      <c r="J42" s="191">
        <f>PRESUPUESTOS!E42</f>
        <v>17534.91</v>
      </c>
      <c r="K42" s="191">
        <f t="shared" si="4"/>
        <v>70490.34</v>
      </c>
      <c r="L42" s="191">
        <f>PRESUPUESTOS!N42</f>
        <v>0</v>
      </c>
      <c r="M42" s="66"/>
      <c r="N42" s="191">
        <f t="shared" si="5"/>
        <v>0</v>
      </c>
      <c r="O42" s="191">
        <f t="shared" si="6"/>
        <v>0</v>
      </c>
      <c r="P42" s="191">
        <f t="shared" si="7"/>
        <v>0</v>
      </c>
      <c r="Q42" s="191">
        <f>PRESUPUESTOS!M42</f>
        <v>0</v>
      </c>
      <c r="R42" s="191">
        <f t="shared" si="8"/>
        <v>0</v>
      </c>
    </row>
    <row r="43" spans="1:18" x14ac:dyDescent="0.25">
      <c r="A43" s="190"/>
      <c r="B43" s="153" t="s">
        <v>127</v>
      </c>
      <c r="C43" s="154" t="s">
        <v>191</v>
      </c>
      <c r="D43" s="161"/>
      <c r="E43" s="191">
        <f>PRESUPUESTOS!F43</f>
        <v>0</v>
      </c>
      <c r="F43" s="191">
        <f t="shared" si="0"/>
        <v>0</v>
      </c>
      <c r="G43" s="191">
        <f t="shared" si="1"/>
        <v>0</v>
      </c>
      <c r="H43" s="191">
        <f t="shared" si="2"/>
        <v>0</v>
      </c>
      <c r="I43" s="191">
        <f t="shared" si="3"/>
        <v>0</v>
      </c>
      <c r="J43" s="191">
        <f>PRESUPUESTOS!E43</f>
        <v>0</v>
      </c>
      <c r="K43" s="191">
        <f t="shared" si="4"/>
        <v>0</v>
      </c>
      <c r="L43" s="191">
        <f>PRESUPUESTOS!N43</f>
        <v>0</v>
      </c>
      <c r="M43" s="66"/>
      <c r="N43" s="191">
        <f t="shared" si="5"/>
        <v>0</v>
      </c>
      <c r="O43" s="191">
        <f t="shared" si="6"/>
        <v>0</v>
      </c>
      <c r="P43" s="191">
        <f t="shared" si="7"/>
        <v>0</v>
      </c>
      <c r="Q43" s="191">
        <f>PRESUPUESTOS!M43</f>
        <v>0</v>
      </c>
      <c r="R43" s="191">
        <f t="shared" si="8"/>
        <v>0</v>
      </c>
    </row>
    <row r="44" spans="1:18" x14ac:dyDescent="0.25">
      <c r="A44" s="190">
        <v>300</v>
      </c>
      <c r="B44" s="145" t="s">
        <v>128</v>
      </c>
      <c r="C44" s="146" t="s">
        <v>192</v>
      </c>
      <c r="D44" s="162" t="s">
        <v>81</v>
      </c>
      <c r="E44" s="191">
        <f>PRESUPUESTOS!F44</f>
        <v>454.82</v>
      </c>
      <c r="F44" s="191">
        <f t="shared" si="0"/>
        <v>0</v>
      </c>
      <c r="G44" s="191">
        <f t="shared" si="1"/>
        <v>0</v>
      </c>
      <c r="H44" s="191">
        <f t="shared" si="2"/>
        <v>6.69</v>
      </c>
      <c r="I44" s="191">
        <f t="shared" si="3"/>
        <v>3042.75</v>
      </c>
      <c r="J44" s="191">
        <f>PRESUPUESTOS!E44</f>
        <v>6.69</v>
      </c>
      <c r="K44" s="191">
        <f t="shared" si="4"/>
        <v>3042.75</v>
      </c>
      <c r="L44" s="191">
        <f>PRESUPUESTOS!N44</f>
        <v>0</v>
      </c>
      <c r="M44" s="66"/>
      <c r="N44" s="191">
        <f t="shared" si="5"/>
        <v>0</v>
      </c>
      <c r="O44" s="191">
        <f t="shared" si="6"/>
        <v>0</v>
      </c>
      <c r="P44" s="191">
        <f t="shared" si="7"/>
        <v>0</v>
      </c>
      <c r="Q44" s="191">
        <f>PRESUPUESTOS!M44</f>
        <v>0</v>
      </c>
      <c r="R44" s="191">
        <f t="shared" si="8"/>
        <v>0</v>
      </c>
    </row>
    <row r="45" spans="1:18" x14ac:dyDescent="0.25">
      <c r="A45" s="190">
        <v>400</v>
      </c>
      <c r="B45" s="145" t="s">
        <v>129</v>
      </c>
      <c r="C45" s="146" t="s">
        <v>193</v>
      </c>
      <c r="D45" s="162" t="s">
        <v>219</v>
      </c>
      <c r="E45" s="191">
        <f>PRESUPUESTOS!F45</f>
        <v>59.78</v>
      </c>
      <c r="F45" s="191">
        <f t="shared" si="0"/>
        <v>0</v>
      </c>
      <c r="G45" s="191">
        <f t="shared" si="1"/>
        <v>0</v>
      </c>
      <c r="H45" s="191">
        <f t="shared" si="2"/>
        <v>74.180000000000007</v>
      </c>
      <c r="I45" s="191">
        <f t="shared" si="3"/>
        <v>4434.4799999999996</v>
      </c>
      <c r="J45" s="191">
        <f>PRESUPUESTOS!E45</f>
        <v>74.180000000000007</v>
      </c>
      <c r="K45" s="191">
        <f t="shared" si="4"/>
        <v>4434.4799999999996</v>
      </c>
      <c r="L45" s="191">
        <f>PRESUPUESTOS!N45</f>
        <v>0</v>
      </c>
      <c r="M45" s="66"/>
      <c r="N45" s="191">
        <f t="shared" si="5"/>
        <v>0</v>
      </c>
      <c r="O45" s="191">
        <f t="shared" si="6"/>
        <v>0</v>
      </c>
      <c r="P45" s="191">
        <f t="shared" si="7"/>
        <v>0</v>
      </c>
      <c r="Q45" s="191">
        <f>PRESUPUESTOS!M45</f>
        <v>0</v>
      </c>
      <c r="R45" s="191">
        <f t="shared" si="8"/>
        <v>0</v>
      </c>
    </row>
    <row r="46" spans="1:18" x14ac:dyDescent="0.25">
      <c r="A46" s="190">
        <v>500</v>
      </c>
      <c r="B46" s="145" t="s">
        <v>130</v>
      </c>
      <c r="C46" s="146" t="s">
        <v>194</v>
      </c>
      <c r="D46" s="162" t="s">
        <v>220</v>
      </c>
      <c r="E46" s="191">
        <f>PRESUPUESTOS!F46</f>
        <v>4.0200000000000005</v>
      </c>
      <c r="F46" s="191">
        <f t="shared" si="0"/>
        <v>0</v>
      </c>
      <c r="G46" s="191">
        <f t="shared" si="1"/>
        <v>0</v>
      </c>
      <c r="H46" s="191">
        <f t="shared" si="2"/>
        <v>419.35</v>
      </c>
      <c r="I46" s="191">
        <f t="shared" si="3"/>
        <v>1685.79</v>
      </c>
      <c r="J46" s="191">
        <f>PRESUPUESTOS!E46</f>
        <v>419.35</v>
      </c>
      <c r="K46" s="191">
        <f t="shared" si="4"/>
        <v>1685.79</v>
      </c>
      <c r="L46" s="191">
        <f>PRESUPUESTOS!N46</f>
        <v>0</v>
      </c>
      <c r="M46" s="66"/>
      <c r="N46" s="191">
        <f t="shared" si="5"/>
        <v>0</v>
      </c>
      <c r="O46" s="191">
        <f t="shared" si="6"/>
        <v>0</v>
      </c>
      <c r="P46" s="191">
        <f t="shared" si="7"/>
        <v>0</v>
      </c>
      <c r="Q46" s="191">
        <f>PRESUPUESTOS!M46</f>
        <v>0</v>
      </c>
      <c r="R46" s="191">
        <f t="shared" si="8"/>
        <v>0</v>
      </c>
    </row>
    <row r="47" spans="1:18" x14ac:dyDescent="0.25">
      <c r="A47" s="190">
        <v>300</v>
      </c>
      <c r="B47" s="145" t="s">
        <v>131</v>
      </c>
      <c r="C47" s="146" t="s">
        <v>195</v>
      </c>
      <c r="D47" s="162" t="s">
        <v>81</v>
      </c>
      <c r="E47" s="191">
        <f>PRESUPUESTOS!F47</f>
        <v>417.41</v>
      </c>
      <c r="F47" s="191">
        <f t="shared" si="0"/>
        <v>0</v>
      </c>
      <c r="G47" s="191">
        <f t="shared" si="1"/>
        <v>0</v>
      </c>
      <c r="H47" s="191">
        <f t="shared" si="2"/>
        <v>256.52</v>
      </c>
      <c r="I47" s="191">
        <f t="shared" si="3"/>
        <v>107074.01</v>
      </c>
      <c r="J47" s="191">
        <f>PRESUPUESTOS!E47</f>
        <v>256.52</v>
      </c>
      <c r="K47" s="191">
        <f t="shared" si="4"/>
        <v>107074.01</v>
      </c>
      <c r="L47" s="191">
        <f>PRESUPUESTOS!N47</f>
        <v>0</v>
      </c>
      <c r="M47" s="66"/>
      <c r="N47" s="191">
        <f t="shared" si="5"/>
        <v>0</v>
      </c>
      <c r="O47" s="191">
        <f t="shared" si="6"/>
        <v>0</v>
      </c>
      <c r="P47" s="191">
        <f t="shared" si="7"/>
        <v>0</v>
      </c>
      <c r="Q47" s="191">
        <f>PRESUPUESTOS!M47</f>
        <v>0</v>
      </c>
      <c r="R47" s="191">
        <f t="shared" si="8"/>
        <v>0</v>
      </c>
    </row>
    <row r="48" spans="1:18" x14ac:dyDescent="0.25">
      <c r="A48" s="190">
        <v>400</v>
      </c>
      <c r="B48" s="145" t="s">
        <v>132</v>
      </c>
      <c r="C48" s="146" t="s">
        <v>196</v>
      </c>
      <c r="D48" s="162" t="s">
        <v>219</v>
      </c>
      <c r="E48" s="191">
        <f>PRESUPUESTOS!F48</f>
        <v>51.21</v>
      </c>
      <c r="F48" s="191">
        <f t="shared" si="0"/>
        <v>0</v>
      </c>
      <c r="G48" s="191">
        <f t="shared" si="1"/>
        <v>0</v>
      </c>
      <c r="H48" s="191">
        <f t="shared" si="2"/>
        <v>2096.19</v>
      </c>
      <c r="I48" s="191">
        <f t="shared" si="3"/>
        <v>107345.89</v>
      </c>
      <c r="J48" s="191">
        <f>PRESUPUESTOS!E48</f>
        <v>2096.19</v>
      </c>
      <c r="K48" s="191">
        <f t="shared" si="4"/>
        <v>107345.89</v>
      </c>
      <c r="L48" s="191">
        <f>PRESUPUESTOS!N48</f>
        <v>0</v>
      </c>
      <c r="M48" s="66"/>
      <c r="N48" s="191">
        <f t="shared" si="5"/>
        <v>0</v>
      </c>
      <c r="O48" s="191">
        <f t="shared" si="6"/>
        <v>0</v>
      </c>
      <c r="P48" s="191">
        <f t="shared" si="7"/>
        <v>0</v>
      </c>
      <c r="Q48" s="191">
        <f>PRESUPUESTOS!M48</f>
        <v>0</v>
      </c>
      <c r="R48" s="191">
        <f t="shared" si="8"/>
        <v>0</v>
      </c>
    </row>
    <row r="49" spans="1:18" x14ac:dyDescent="0.25">
      <c r="A49" s="190">
        <v>500</v>
      </c>
      <c r="B49" s="145" t="s">
        <v>133</v>
      </c>
      <c r="C49" s="146" t="s">
        <v>197</v>
      </c>
      <c r="D49" s="162" t="s">
        <v>221</v>
      </c>
      <c r="E49" s="191">
        <f>PRESUPUESTOS!F49</f>
        <v>4.0200000000000005</v>
      </c>
      <c r="F49" s="191">
        <f t="shared" si="0"/>
        <v>0</v>
      </c>
      <c r="G49" s="191">
        <f t="shared" si="1"/>
        <v>0</v>
      </c>
      <c r="H49" s="191">
        <f t="shared" si="2"/>
        <v>18595.100000000002</v>
      </c>
      <c r="I49" s="191">
        <f t="shared" si="3"/>
        <v>74752.3</v>
      </c>
      <c r="J49" s="191">
        <f>PRESUPUESTOS!E49</f>
        <v>18595.100000000002</v>
      </c>
      <c r="K49" s="191">
        <f t="shared" si="4"/>
        <v>74752.3</v>
      </c>
      <c r="L49" s="191">
        <f>PRESUPUESTOS!N49</f>
        <v>0</v>
      </c>
      <c r="M49" s="66"/>
      <c r="N49" s="191">
        <f t="shared" si="5"/>
        <v>0</v>
      </c>
      <c r="O49" s="191">
        <f t="shared" si="6"/>
        <v>0</v>
      </c>
      <c r="P49" s="191">
        <f t="shared" si="7"/>
        <v>0</v>
      </c>
      <c r="Q49" s="191">
        <f>PRESUPUESTOS!M49</f>
        <v>0</v>
      </c>
      <c r="R49" s="191">
        <f t="shared" si="8"/>
        <v>0</v>
      </c>
    </row>
    <row r="50" spans="1:18" x14ac:dyDescent="0.25">
      <c r="A50" s="190"/>
      <c r="B50" s="153" t="s">
        <v>134</v>
      </c>
      <c r="C50" s="154" t="s">
        <v>198</v>
      </c>
      <c r="D50" s="161"/>
      <c r="E50" s="191">
        <f>PRESUPUESTOS!F50</f>
        <v>0</v>
      </c>
      <c r="F50" s="191">
        <f t="shared" si="0"/>
        <v>0</v>
      </c>
      <c r="G50" s="191">
        <f t="shared" si="1"/>
        <v>0</v>
      </c>
      <c r="H50" s="191">
        <f t="shared" si="2"/>
        <v>0</v>
      </c>
      <c r="I50" s="191">
        <f t="shared" si="3"/>
        <v>0</v>
      </c>
      <c r="J50" s="191">
        <f>PRESUPUESTOS!E50</f>
        <v>0</v>
      </c>
      <c r="K50" s="191">
        <f t="shared" si="4"/>
        <v>0</v>
      </c>
      <c r="L50" s="191">
        <f>PRESUPUESTOS!N50</f>
        <v>0</v>
      </c>
      <c r="M50" s="66"/>
      <c r="N50" s="191">
        <f t="shared" si="5"/>
        <v>0</v>
      </c>
      <c r="O50" s="191">
        <f t="shared" si="6"/>
        <v>0</v>
      </c>
      <c r="P50" s="191">
        <f t="shared" si="7"/>
        <v>0</v>
      </c>
      <c r="Q50" s="191">
        <f>PRESUPUESTOS!M50</f>
        <v>0</v>
      </c>
      <c r="R50" s="191">
        <f t="shared" si="8"/>
        <v>0</v>
      </c>
    </row>
    <row r="51" spans="1:18" x14ac:dyDescent="0.25">
      <c r="A51" s="190">
        <v>300</v>
      </c>
      <c r="B51" s="145" t="s">
        <v>135</v>
      </c>
      <c r="C51" s="146" t="s">
        <v>199</v>
      </c>
      <c r="D51" s="162" t="s">
        <v>81</v>
      </c>
      <c r="E51" s="191">
        <f>PRESUPUESTOS!F51</f>
        <v>442.62</v>
      </c>
      <c r="F51" s="191">
        <f t="shared" si="0"/>
        <v>0</v>
      </c>
      <c r="G51" s="191">
        <f t="shared" si="1"/>
        <v>0</v>
      </c>
      <c r="H51" s="191">
        <f t="shared" si="2"/>
        <v>66.63</v>
      </c>
      <c r="I51" s="191">
        <f t="shared" si="3"/>
        <v>29491.77</v>
      </c>
      <c r="J51" s="191">
        <f>PRESUPUESTOS!E51</f>
        <v>66.63</v>
      </c>
      <c r="K51" s="191">
        <f t="shared" si="4"/>
        <v>29491.77</v>
      </c>
      <c r="L51" s="191">
        <f>PRESUPUESTOS!N51</f>
        <v>0</v>
      </c>
      <c r="M51" s="66"/>
      <c r="N51" s="191">
        <f t="shared" si="5"/>
        <v>0</v>
      </c>
      <c r="O51" s="191">
        <f t="shared" si="6"/>
        <v>0</v>
      </c>
      <c r="P51" s="191">
        <f t="shared" si="7"/>
        <v>0</v>
      </c>
      <c r="Q51" s="191">
        <f>PRESUPUESTOS!M51</f>
        <v>0</v>
      </c>
      <c r="R51" s="191">
        <f t="shared" si="8"/>
        <v>0</v>
      </c>
    </row>
    <row r="52" spans="1:18" x14ac:dyDescent="0.25">
      <c r="A52" s="190">
        <v>400</v>
      </c>
      <c r="B52" s="145" t="s">
        <v>136</v>
      </c>
      <c r="C52" s="146" t="s">
        <v>200</v>
      </c>
      <c r="D52" s="160" t="s">
        <v>219</v>
      </c>
      <c r="E52" s="191">
        <f>PRESUPUESTOS!F52</f>
        <v>60.480000000000004</v>
      </c>
      <c r="F52" s="191">
        <f t="shared" si="0"/>
        <v>0</v>
      </c>
      <c r="G52" s="191">
        <f t="shared" si="1"/>
        <v>0</v>
      </c>
      <c r="H52" s="191">
        <f t="shared" si="2"/>
        <v>901.38</v>
      </c>
      <c r="I52" s="191">
        <f t="shared" si="3"/>
        <v>54515.46</v>
      </c>
      <c r="J52" s="191">
        <f>PRESUPUESTOS!E52</f>
        <v>901.38</v>
      </c>
      <c r="K52" s="191">
        <f t="shared" si="4"/>
        <v>54515.46</v>
      </c>
      <c r="L52" s="191">
        <f>PRESUPUESTOS!N52</f>
        <v>0</v>
      </c>
      <c r="M52" s="66"/>
      <c r="N52" s="191">
        <f t="shared" si="5"/>
        <v>0</v>
      </c>
      <c r="O52" s="191">
        <f t="shared" si="6"/>
        <v>0</v>
      </c>
      <c r="P52" s="191">
        <f t="shared" si="7"/>
        <v>0</v>
      </c>
      <c r="Q52" s="191">
        <f>PRESUPUESTOS!M52</f>
        <v>0</v>
      </c>
      <c r="R52" s="191">
        <f t="shared" si="8"/>
        <v>0</v>
      </c>
    </row>
    <row r="53" spans="1:18" x14ac:dyDescent="0.25">
      <c r="A53" s="190">
        <v>500</v>
      </c>
      <c r="B53" s="145" t="s">
        <v>137</v>
      </c>
      <c r="C53" s="146" t="s">
        <v>201</v>
      </c>
      <c r="D53" s="162" t="s">
        <v>220</v>
      </c>
      <c r="E53" s="191">
        <f>PRESUPUESTOS!F53</f>
        <v>4.0200000000000005</v>
      </c>
      <c r="F53" s="191">
        <f t="shared" si="0"/>
        <v>0</v>
      </c>
      <c r="G53" s="191">
        <f t="shared" si="1"/>
        <v>0</v>
      </c>
      <c r="H53" s="191">
        <f t="shared" si="2"/>
        <v>11604.02</v>
      </c>
      <c r="I53" s="191">
        <f t="shared" si="3"/>
        <v>46648.160000000003</v>
      </c>
      <c r="J53" s="191">
        <f>PRESUPUESTOS!E53</f>
        <v>11604.02</v>
      </c>
      <c r="K53" s="191">
        <f t="shared" si="4"/>
        <v>46648.160000000003</v>
      </c>
      <c r="L53" s="191">
        <f>PRESUPUESTOS!N53</f>
        <v>0</v>
      </c>
      <c r="M53" s="66"/>
      <c r="N53" s="191">
        <f t="shared" si="5"/>
        <v>0</v>
      </c>
      <c r="O53" s="191">
        <f t="shared" si="6"/>
        <v>0</v>
      </c>
      <c r="P53" s="191">
        <f t="shared" si="7"/>
        <v>0</v>
      </c>
      <c r="Q53" s="191">
        <f>PRESUPUESTOS!M53</f>
        <v>0</v>
      </c>
      <c r="R53" s="191">
        <f t="shared" si="8"/>
        <v>0</v>
      </c>
    </row>
    <row r="54" spans="1:18" x14ac:dyDescent="0.25">
      <c r="A54" s="190"/>
      <c r="B54" s="153" t="s">
        <v>138</v>
      </c>
      <c r="C54" s="154" t="s">
        <v>202</v>
      </c>
      <c r="D54" s="161"/>
      <c r="E54" s="191">
        <f>PRESUPUESTOS!F54</f>
        <v>0</v>
      </c>
      <c r="F54" s="191">
        <f t="shared" si="0"/>
        <v>0</v>
      </c>
      <c r="G54" s="191">
        <f t="shared" si="1"/>
        <v>0</v>
      </c>
      <c r="H54" s="191">
        <f t="shared" si="2"/>
        <v>0</v>
      </c>
      <c r="I54" s="191">
        <f t="shared" si="3"/>
        <v>0</v>
      </c>
      <c r="J54" s="191">
        <f>PRESUPUESTOS!E54</f>
        <v>0</v>
      </c>
      <c r="K54" s="191">
        <f t="shared" si="4"/>
        <v>0</v>
      </c>
      <c r="L54" s="191">
        <f>PRESUPUESTOS!N54</f>
        <v>0</v>
      </c>
      <c r="M54" s="66"/>
      <c r="N54" s="191">
        <f t="shared" si="5"/>
        <v>0</v>
      </c>
      <c r="O54" s="191">
        <f t="shared" si="6"/>
        <v>0</v>
      </c>
      <c r="P54" s="191">
        <f t="shared" si="7"/>
        <v>0</v>
      </c>
      <c r="Q54" s="191">
        <f>PRESUPUESTOS!M54</f>
        <v>0</v>
      </c>
      <c r="R54" s="191">
        <f t="shared" si="8"/>
        <v>0</v>
      </c>
    </row>
    <row r="55" spans="1:18" x14ac:dyDescent="0.25">
      <c r="A55" s="190">
        <v>300</v>
      </c>
      <c r="B55" s="145" t="s">
        <v>139</v>
      </c>
      <c r="C55" s="146" t="s">
        <v>203</v>
      </c>
      <c r="D55" s="162" t="s">
        <v>81</v>
      </c>
      <c r="E55" s="191">
        <f>PRESUPUESTOS!F55</f>
        <v>325.93</v>
      </c>
      <c r="F55" s="191">
        <f t="shared" si="0"/>
        <v>0</v>
      </c>
      <c r="G55" s="191">
        <f t="shared" si="1"/>
        <v>0</v>
      </c>
      <c r="H55" s="191">
        <f t="shared" si="2"/>
        <v>36.119999999999997</v>
      </c>
      <c r="I55" s="191">
        <f t="shared" si="3"/>
        <v>11772.59</v>
      </c>
      <c r="J55" s="191">
        <f>PRESUPUESTOS!E55</f>
        <v>36.119999999999997</v>
      </c>
      <c r="K55" s="191">
        <f t="shared" si="4"/>
        <v>11772.59</v>
      </c>
      <c r="L55" s="191">
        <f>PRESUPUESTOS!N55</f>
        <v>0</v>
      </c>
      <c r="M55" s="66"/>
      <c r="N55" s="191">
        <f t="shared" si="5"/>
        <v>0</v>
      </c>
      <c r="O55" s="191">
        <f t="shared" si="6"/>
        <v>0</v>
      </c>
      <c r="P55" s="191">
        <f t="shared" si="7"/>
        <v>0</v>
      </c>
      <c r="Q55" s="191">
        <f>PRESUPUESTOS!M55</f>
        <v>0</v>
      </c>
      <c r="R55" s="191">
        <f t="shared" si="8"/>
        <v>0</v>
      </c>
    </row>
    <row r="56" spans="1:18" x14ac:dyDescent="0.25">
      <c r="A56" s="190">
        <v>400</v>
      </c>
      <c r="B56" s="145" t="s">
        <v>140</v>
      </c>
      <c r="C56" s="146" t="s">
        <v>204</v>
      </c>
      <c r="D56" s="162" t="s">
        <v>219</v>
      </c>
      <c r="E56" s="191">
        <f>PRESUPUESTOS!F56</f>
        <v>70.38</v>
      </c>
      <c r="F56" s="191">
        <f t="shared" si="0"/>
        <v>0</v>
      </c>
      <c r="G56" s="191">
        <f t="shared" si="1"/>
        <v>0</v>
      </c>
      <c r="H56" s="191">
        <f t="shared" si="2"/>
        <v>545.23</v>
      </c>
      <c r="I56" s="191">
        <f t="shared" si="3"/>
        <v>38373.29</v>
      </c>
      <c r="J56" s="191">
        <f>PRESUPUESTOS!E56</f>
        <v>545.23</v>
      </c>
      <c r="K56" s="191">
        <f t="shared" si="4"/>
        <v>38373.29</v>
      </c>
      <c r="L56" s="191">
        <f>PRESUPUESTOS!N56</f>
        <v>0</v>
      </c>
      <c r="M56" s="66"/>
      <c r="N56" s="191">
        <f t="shared" si="5"/>
        <v>0</v>
      </c>
      <c r="O56" s="191">
        <f t="shared" si="6"/>
        <v>0</v>
      </c>
      <c r="P56" s="191">
        <f t="shared" si="7"/>
        <v>0</v>
      </c>
      <c r="Q56" s="191">
        <f>PRESUPUESTOS!M56</f>
        <v>0</v>
      </c>
      <c r="R56" s="191">
        <f t="shared" si="8"/>
        <v>0</v>
      </c>
    </row>
    <row r="57" spans="1:18" x14ac:dyDescent="0.25">
      <c r="A57" s="190">
        <v>500</v>
      </c>
      <c r="B57" s="145" t="s">
        <v>141</v>
      </c>
      <c r="C57" s="146" t="s">
        <v>205</v>
      </c>
      <c r="D57" s="162" t="s">
        <v>220</v>
      </c>
      <c r="E57" s="191">
        <f>PRESUPUESTOS!F57</f>
        <v>4.0200000000000005</v>
      </c>
      <c r="F57" s="191">
        <f t="shared" si="0"/>
        <v>0</v>
      </c>
      <c r="G57" s="191">
        <f t="shared" si="1"/>
        <v>0</v>
      </c>
      <c r="H57" s="191">
        <f t="shared" si="2"/>
        <v>5144.6000000000004</v>
      </c>
      <c r="I57" s="191">
        <f t="shared" si="3"/>
        <v>20681.29</v>
      </c>
      <c r="J57" s="191">
        <f>PRESUPUESTOS!E57</f>
        <v>5144.6000000000004</v>
      </c>
      <c r="K57" s="191">
        <f t="shared" si="4"/>
        <v>20681.29</v>
      </c>
      <c r="L57" s="191">
        <f>PRESUPUESTOS!N57</f>
        <v>0</v>
      </c>
      <c r="M57" s="66"/>
      <c r="N57" s="191">
        <f t="shared" si="5"/>
        <v>0</v>
      </c>
      <c r="O57" s="191">
        <f t="shared" si="6"/>
        <v>0</v>
      </c>
      <c r="P57" s="191">
        <f t="shared" si="7"/>
        <v>0</v>
      </c>
      <c r="Q57" s="191">
        <f>PRESUPUESTOS!M57</f>
        <v>0</v>
      </c>
      <c r="R57" s="191">
        <f t="shared" si="8"/>
        <v>0</v>
      </c>
    </row>
    <row r="58" spans="1:18" x14ac:dyDescent="0.25">
      <c r="A58" s="190"/>
      <c r="B58" s="153" t="s">
        <v>142</v>
      </c>
      <c r="C58" s="154" t="s">
        <v>206</v>
      </c>
      <c r="D58" s="161"/>
      <c r="E58" s="191">
        <f>PRESUPUESTOS!F58</f>
        <v>0</v>
      </c>
      <c r="F58" s="191">
        <f t="shared" si="0"/>
        <v>0</v>
      </c>
      <c r="G58" s="191">
        <f t="shared" si="1"/>
        <v>0</v>
      </c>
      <c r="H58" s="191">
        <f t="shared" si="2"/>
        <v>0</v>
      </c>
      <c r="I58" s="191">
        <f t="shared" si="3"/>
        <v>0</v>
      </c>
      <c r="J58" s="191">
        <f>PRESUPUESTOS!E58</f>
        <v>0</v>
      </c>
      <c r="K58" s="191">
        <f t="shared" si="4"/>
        <v>0</v>
      </c>
      <c r="L58" s="191">
        <f>PRESUPUESTOS!N58</f>
        <v>0</v>
      </c>
      <c r="M58" s="66"/>
      <c r="N58" s="191">
        <f t="shared" si="5"/>
        <v>0</v>
      </c>
      <c r="O58" s="191">
        <f t="shared" si="6"/>
        <v>0</v>
      </c>
      <c r="P58" s="191">
        <f t="shared" si="7"/>
        <v>0</v>
      </c>
      <c r="Q58" s="191">
        <f>PRESUPUESTOS!M58</f>
        <v>0</v>
      </c>
      <c r="R58" s="191">
        <f t="shared" si="8"/>
        <v>0</v>
      </c>
    </row>
    <row r="59" spans="1:18" x14ac:dyDescent="0.25">
      <c r="A59" s="190">
        <v>300</v>
      </c>
      <c r="B59" s="145" t="s">
        <v>143</v>
      </c>
      <c r="C59" s="146" t="s">
        <v>207</v>
      </c>
      <c r="D59" s="162" t="s">
        <v>22</v>
      </c>
      <c r="E59" s="191">
        <f>PRESUPUESTOS!F59</f>
        <v>325.93</v>
      </c>
      <c r="F59" s="191">
        <f t="shared" si="0"/>
        <v>0</v>
      </c>
      <c r="G59" s="191">
        <f t="shared" si="1"/>
        <v>0</v>
      </c>
      <c r="H59" s="191">
        <f t="shared" si="2"/>
        <v>0.63</v>
      </c>
      <c r="I59" s="191">
        <f t="shared" si="3"/>
        <v>205.34</v>
      </c>
      <c r="J59" s="191">
        <f>PRESUPUESTOS!E59</f>
        <v>0.63</v>
      </c>
      <c r="K59" s="191">
        <f t="shared" si="4"/>
        <v>205.34</v>
      </c>
      <c r="L59" s="191">
        <f>PRESUPUESTOS!N59</f>
        <v>0</v>
      </c>
      <c r="M59" s="66"/>
      <c r="N59" s="191">
        <f t="shared" si="5"/>
        <v>0</v>
      </c>
      <c r="O59" s="191">
        <f t="shared" si="6"/>
        <v>0</v>
      </c>
      <c r="P59" s="191">
        <f t="shared" si="7"/>
        <v>0</v>
      </c>
      <c r="Q59" s="191">
        <f>PRESUPUESTOS!M59</f>
        <v>0</v>
      </c>
      <c r="R59" s="191">
        <f t="shared" si="8"/>
        <v>0</v>
      </c>
    </row>
    <row r="60" spans="1:18" x14ac:dyDescent="0.25">
      <c r="A60" s="190">
        <v>400</v>
      </c>
      <c r="B60" s="145" t="s">
        <v>144</v>
      </c>
      <c r="C60" s="146" t="s">
        <v>208</v>
      </c>
      <c r="D60" s="162" t="s">
        <v>219</v>
      </c>
      <c r="E60" s="191">
        <f>PRESUPUESTOS!F60</f>
        <v>55.43</v>
      </c>
      <c r="F60" s="191">
        <f t="shared" si="0"/>
        <v>0</v>
      </c>
      <c r="G60" s="191">
        <f t="shared" si="1"/>
        <v>0</v>
      </c>
      <c r="H60" s="191">
        <f t="shared" si="2"/>
        <v>6.54</v>
      </c>
      <c r="I60" s="191">
        <f t="shared" si="3"/>
        <v>362.51</v>
      </c>
      <c r="J60" s="191">
        <f>PRESUPUESTOS!E60</f>
        <v>6.54</v>
      </c>
      <c r="K60" s="191">
        <f t="shared" si="4"/>
        <v>362.51</v>
      </c>
      <c r="L60" s="191">
        <f>PRESUPUESTOS!N60</f>
        <v>0</v>
      </c>
      <c r="M60" s="66"/>
      <c r="N60" s="191">
        <f t="shared" si="5"/>
        <v>0</v>
      </c>
      <c r="O60" s="191">
        <f t="shared" si="6"/>
        <v>0</v>
      </c>
      <c r="P60" s="191">
        <f t="shared" si="7"/>
        <v>0</v>
      </c>
      <c r="Q60" s="191">
        <f>PRESUPUESTOS!M60</f>
        <v>0</v>
      </c>
      <c r="R60" s="191">
        <f t="shared" si="8"/>
        <v>0</v>
      </c>
    </row>
    <row r="61" spans="1:18" x14ac:dyDescent="0.25">
      <c r="A61" s="190">
        <v>500</v>
      </c>
      <c r="B61" s="145" t="s">
        <v>145</v>
      </c>
      <c r="C61" s="146" t="s">
        <v>209</v>
      </c>
      <c r="D61" s="162" t="s">
        <v>220</v>
      </c>
      <c r="E61" s="191">
        <f>PRESUPUESTOS!F61</f>
        <v>4.0200000000000005</v>
      </c>
      <c r="F61" s="191">
        <f t="shared" si="0"/>
        <v>0</v>
      </c>
      <c r="G61" s="191">
        <f t="shared" si="1"/>
        <v>0</v>
      </c>
      <c r="H61" s="191">
        <f t="shared" si="2"/>
        <v>73.150000000000006</v>
      </c>
      <c r="I61" s="191">
        <f t="shared" si="3"/>
        <v>294.06</v>
      </c>
      <c r="J61" s="191">
        <f>PRESUPUESTOS!E61</f>
        <v>73.150000000000006</v>
      </c>
      <c r="K61" s="191">
        <f t="shared" si="4"/>
        <v>294.06</v>
      </c>
      <c r="L61" s="191">
        <f>PRESUPUESTOS!N61</f>
        <v>0</v>
      </c>
      <c r="M61" s="66"/>
      <c r="N61" s="191">
        <f t="shared" si="5"/>
        <v>0</v>
      </c>
      <c r="O61" s="191">
        <f t="shared" si="6"/>
        <v>0</v>
      </c>
      <c r="P61" s="191">
        <f t="shared" si="7"/>
        <v>0</v>
      </c>
      <c r="Q61" s="191">
        <f>PRESUPUESTOS!M61</f>
        <v>0</v>
      </c>
      <c r="R61" s="191">
        <f t="shared" si="8"/>
        <v>0</v>
      </c>
    </row>
    <row r="62" spans="1:18" x14ac:dyDescent="0.25">
      <c r="A62" s="190"/>
      <c r="B62" s="153" t="s">
        <v>146</v>
      </c>
      <c r="C62" s="154" t="s">
        <v>210</v>
      </c>
      <c r="D62" s="161"/>
      <c r="E62" s="191">
        <f>PRESUPUESTOS!F62</f>
        <v>0</v>
      </c>
      <c r="F62" s="191">
        <f t="shared" si="0"/>
        <v>0</v>
      </c>
      <c r="G62" s="191">
        <f t="shared" si="1"/>
        <v>0</v>
      </c>
      <c r="H62" s="191">
        <f t="shared" si="2"/>
        <v>0</v>
      </c>
      <c r="I62" s="191">
        <f t="shared" si="3"/>
        <v>0</v>
      </c>
      <c r="J62" s="191">
        <f>PRESUPUESTOS!E62</f>
        <v>0</v>
      </c>
      <c r="K62" s="191">
        <f t="shared" si="4"/>
        <v>0</v>
      </c>
      <c r="L62" s="191">
        <f>PRESUPUESTOS!N62</f>
        <v>0</v>
      </c>
      <c r="M62" s="66"/>
      <c r="N62" s="191">
        <f t="shared" si="5"/>
        <v>0</v>
      </c>
      <c r="O62" s="191">
        <f t="shared" si="6"/>
        <v>0</v>
      </c>
      <c r="P62" s="191">
        <f t="shared" si="7"/>
        <v>0</v>
      </c>
      <c r="Q62" s="191">
        <f>PRESUPUESTOS!M62</f>
        <v>0</v>
      </c>
      <c r="R62" s="191">
        <f t="shared" si="8"/>
        <v>0</v>
      </c>
    </row>
    <row r="63" spans="1:18" x14ac:dyDescent="0.25">
      <c r="A63" s="190">
        <v>300</v>
      </c>
      <c r="B63" s="145" t="s">
        <v>147</v>
      </c>
      <c r="C63" s="146" t="s">
        <v>211</v>
      </c>
      <c r="D63" s="162" t="s">
        <v>81</v>
      </c>
      <c r="E63" s="191">
        <f>PRESUPUESTOS!F63</f>
        <v>315.52</v>
      </c>
      <c r="F63" s="191">
        <f t="shared" si="0"/>
        <v>0</v>
      </c>
      <c r="G63" s="191">
        <f t="shared" si="1"/>
        <v>0</v>
      </c>
      <c r="H63" s="191">
        <f t="shared" si="2"/>
        <v>2.13</v>
      </c>
      <c r="I63" s="191">
        <f t="shared" si="3"/>
        <v>672.06</v>
      </c>
      <c r="J63" s="191">
        <f>PRESUPUESTOS!E63</f>
        <v>2.13</v>
      </c>
      <c r="K63" s="191">
        <f t="shared" si="4"/>
        <v>672.06</v>
      </c>
      <c r="L63" s="191">
        <f>PRESUPUESTOS!N63</f>
        <v>0</v>
      </c>
      <c r="M63" s="66"/>
      <c r="N63" s="191">
        <f t="shared" si="5"/>
        <v>0</v>
      </c>
      <c r="O63" s="191">
        <f t="shared" si="6"/>
        <v>0</v>
      </c>
      <c r="P63" s="191">
        <f t="shared" si="7"/>
        <v>0</v>
      </c>
      <c r="Q63" s="191">
        <f>PRESUPUESTOS!M63</f>
        <v>0</v>
      </c>
      <c r="R63" s="191">
        <f t="shared" si="8"/>
        <v>0</v>
      </c>
    </row>
    <row r="64" spans="1:18" x14ac:dyDescent="0.25">
      <c r="A64" s="190">
        <v>400</v>
      </c>
      <c r="B64" s="145" t="s">
        <v>148</v>
      </c>
      <c r="C64" s="146" t="s">
        <v>212</v>
      </c>
      <c r="D64" s="162" t="s">
        <v>219</v>
      </c>
      <c r="E64" s="191">
        <f>PRESUPUESTOS!F64</f>
        <v>43.61</v>
      </c>
      <c r="F64" s="191">
        <f t="shared" si="0"/>
        <v>0</v>
      </c>
      <c r="G64" s="191">
        <f t="shared" si="1"/>
        <v>0</v>
      </c>
      <c r="H64" s="191">
        <f t="shared" si="2"/>
        <v>24.72</v>
      </c>
      <c r="I64" s="191">
        <f t="shared" si="3"/>
        <v>1078.04</v>
      </c>
      <c r="J64" s="191">
        <f>PRESUPUESTOS!E64</f>
        <v>24.72</v>
      </c>
      <c r="K64" s="191">
        <f t="shared" si="4"/>
        <v>1078.04</v>
      </c>
      <c r="L64" s="191">
        <f>PRESUPUESTOS!N64</f>
        <v>0</v>
      </c>
      <c r="M64" s="66"/>
      <c r="N64" s="191">
        <f t="shared" si="5"/>
        <v>0</v>
      </c>
      <c r="O64" s="191">
        <f t="shared" si="6"/>
        <v>0</v>
      </c>
      <c r="P64" s="191">
        <f t="shared" si="7"/>
        <v>0</v>
      </c>
      <c r="Q64" s="191">
        <f>PRESUPUESTOS!M64</f>
        <v>0</v>
      </c>
      <c r="R64" s="191">
        <f t="shared" si="8"/>
        <v>0</v>
      </c>
    </row>
    <row r="65" spans="1:18" x14ac:dyDescent="0.25">
      <c r="A65" s="190">
        <v>500</v>
      </c>
      <c r="B65" s="145" t="s">
        <v>149</v>
      </c>
      <c r="C65" s="146" t="s">
        <v>213</v>
      </c>
      <c r="D65" s="162" t="s">
        <v>220</v>
      </c>
      <c r="E65" s="191">
        <f>PRESUPUESTOS!F65</f>
        <v>4.0200000000000005</v>
      </c>
      <c r="F65" s="191">
        <f t="shared" si="0"/>
        <v>0</v>
      </c>
      <c r="G65" s="191">
        <f t="shared" si="1"/>
        <v>0</v>
      </c>
      <c r="H65" s="191">
        <f t="shared" si="2"/>
        <v>93.93</v>
      </c>
      <c r="I65" s="191">
        <f t="shared" si="3"/>
        <v>377.6</v>
      </c>
      <c r="J65" s="191">
        <f>PRESUPUESTOS!E65</f>
        <v>93.93</v>
      </c>
      <c r="K65" s="191">
        <f t="shared" si="4"/>
        <v>377.6</v>
      </c>
      <c r="L65" s="191">
        <f>PRESUPUESTOS!N65</f>
        <v>0</v>
      </c>
      <c r="M65" s="66"/>
      <c r="N65" s="191">
        <f t="shared" si="5"/>
        <v>0</v>
      </c>
      <c r="O65" s="191">
        <f t="shared" si="6"/>
        <v>0</v>
      </c>
      <c r="P65" s="191">
        <f t="shared" si="7"/>
        <v>0</v>
      </c>
      <c r="Q65" s="191">
        <f>PRESUPUESTOS!M65</f>
        <v>0</v>
      </c>
      <c r="R65" s="191">
        <f t="shared" si="8"/>
        <v>0</v>
      </c>
    </row>
    <row r="66" spans="1:18" x14ac:dyDescent="0.25">
      <c r="A66" s="190">
        <v>300</v>
      </c>
      <c r="B66" s="145" t="s">
        <v>150</v>
      </c>
      <c r="C66" s="146" t="s">
        <v>214</v>
      </c>
      <c r="D66" s="162" t="s">
        <v>222</v>
      </c>
      <c r="E66" s="191">
        <f>PRESUPUESTOS!F66</f>
        <v>2.4900000000000002</v>
      </c>
      <c r="F66" s="191">
        <f t="shared" si="0"/>
        <v>0</v>
      </c>
      <c r="G66" s="191">
        <f t="shared" si="1"/>
        <v>0</v>
      </c>
      <c r="H66" s="191">
        <f t="shared" si="2"/>
        <v>205.92000000000002</v>
      </c>
      <c r="I66" s="191">
        <f t="shared" si="3"/>
        <v>512.74</v>
      </c>
      <c r="J66" s="191">
        <f>PRESUPUESTOS!E66</f>
        <v>205.92000000000002</v>
      </c>
      <c r="K66" s="191">
        <f t="shared" si="4"/>
        <v>512.74</v>
      </c>
      <c r="L66" s="191">
        <f>PRESUPUESTOS!N66</f>
        <v>0</v>
      </c>
      <c r="M66" s="66"/>
      <c r="N66" s="191">
        <f t="shared" si="5"/>
        <v>0</v>
      </c>
      <c r="O66" s="191">
        <f t="shared" si="6"/>
        <v>0</v>
      </c>
      <c r="P66" s="191">
        <f t="shared" si="7"/>
        <v>0</v>
      </c>
      <c r="Q66" s="191">
        <f>PRESUPUESTOS!M66</f>
        <v>0</v>
      </c>
      <c r="R66" s="191">
        <f t="shared" si="8"/>
        <v>0</v>
      </c>
    </row>
    <row r="67" spans="1:18" x14ac:dyDescent="0.25">
      <c r="A67" s="190"/>
      <c r="B67" s="153" t="s">
        <v>151</v>
      </c>
      <c r="C67" s="154" t="s">
        <v>215</v>
      </c>
      <c r="D67" s="161"/>
      <c r="E67" s="191">
        <f>PRESUPUESTOS!F67</f>
        <v>0</v>
      </c>
      <c r="F67" s="191">
        <f t="shared" si="0"/>
        <v>0</v>
      </c>
      <c r="G67" s="191">
        <f t="shared" si="1"/>
        <v>0</v>
      </c>
      <c r="H67" s="191">
        <f t="shared" si="2"/>
        <v>0</v>
      </c>
      <c r="I67" s="191">
        <f t="shared" si="3"/>
        <v>0</v>
      </c>
      <c r="J67" s="191">
        <f>PRESUPUESTOS!E67</f>
        <v>0</v>
      </c>
      <c r="K67" s="191">
        <f t="shared" si="4"/>
        <v>0</v>
      </c>
      <c r="L67" s="191">
        <f>PRESUPUESTOS!N67</f>
        <v>0</v>
      </c>
      <c r="M67" s="66"/>
      <c r="N67" s="191">
        <f t="shared" si="5"/>
        <v>0</v>
      </c>
      <c r="O67" s="191">
        <f t="shared" si="6"/>
        <v>0</v>
      </c>
      <c r="P67" s="191">
        <f t="shared" si="7"/>
        <v>0</v>
      </c>
      <c r="Q67" s="191">
        <f>PRESUPUESTOS!M67</f>
        <v>0</v>
      </c>
      <c r="R67" s="191">
        <f t="shared" si="8"/>
        <v>0</v>
      </c>
    </row>
    <row r="68" spans="1:18" x14ac:dyDescent="0.25">
      <c r="A68" s="190">
        <v>300</v>
      </c>
      <c r="B68" s="145" t="s">
        <v>152</v>
      </c>
      <c r="C68" s="146" t="s">
        <v>216</v>
      </c>
      <c r="D68" s="160" t="s">
        <v>219</v>
      </c>
      <c r="E68" s="191">
        <f>PRESUPUESTOS!F68</f>
        <v>80.040000000000006</v>
      </c>
      <c r="F68" s="191">
        <f t="shared" si="0"/>
        <v>0</v>
      </c>
      <c r="G68" s="191">
        <f t="shared" si="1"/>
        <v>0</v>
      </c>
      <c r="H68" s="191">
        <f t="shared" si="2"/>
        <v>12.31</v>
      </c>
      <c r="I68" s="191">
        <f t="shared" si="3"/>
        <v>985.29</v>
      </c>
      <c r="J68" s="191">
        <f>PRESUPUESTOS!E68</f>
        <v>12.31</v>
      </c>
      <c r="K68" s="191">
        <f t="shared" si="4"/>
        <v>985.29</v>
      </c>
      <c r="L68" s="191">
        <f>PRESUPUESTOS!N68</f>
        <v>0</v>
      </c>
      <c r="M68" s="66"/>
      <c r="N68" s="191">
        <f t="shared" si="5"/>
        <v>0</v>
      </c>
      <c r="O68" s="191">
        <f t="shared" si="6"/>
        <v>0</v>
      </c>
      <c r="P68" s="191">
        <f t="shared" si="7"/>
        <v>0</v>
      </c>
      <c r="Q68" s="191">
        <f>PRESUPUESTOS!M68</f>
        <v>0</v>
      </c>
      <c r="R68" s="191">
        <f t="shared" si="8"/>
        <v>0</v>
      </c>
    </row>
    <row r="69" spans="1:18" x14ac:dyDescent="0.25">
      <c r="A69" s="190">
        <v>400</v>
      </c>
      <c r="B69" s="145" t="s">
        <v>153</v>
      </c>
      <c r="C69" s="146" t="s">
        <v>217</v>
      </c>
      <c r="D69" s="162" t="s">
        <v>219</v>
      </c>
      <c r="E69" s="191">
        <f>PRESUPUESTOS!F69</f>
        <v>41.15</v>
      </c>
      <c r="F69" s="191">
        <f t="shared" si="0"/>
        <v>0</v>
      </c>
      <c r="G69" s="191">
        <f t="shared" si="1"/>
        <v>0</v>
      </c>
      <c r="H69" s="191">
        <f t="shared" si="2"/>
        <v>6.96</v>
      </c>
      <c r="I69" s="191">
        <f t="shared" si="3"/>
        <v>286.39999999999998</v>
      </c>
      <c r="J69" s="191">
        <f>PRESUPUESTOS!E69</f>
        <v>6.96</v>
      </c>
      <c r="K69" s="191">
        <f t="shared" si="4"/>
        <v>286.39999999999998</v>
      </c>
      <c r="L69" s="191">
        <f>PRESUPUESTOS!N69</f>
        <v>0</v>
      </c>
      <c r="M69" s="66"/>
      <c r="N69" s="191">
        <f t="shared" si="5"/>
        <v>0</v>
      </c>
      <c r="O69" s="191">
        <f t="shared" si="6"/>
        <v>0</v>
      </c>
      <c r="P69" s="191">
        <f t="shared" si="7"/>
        <v>0</v>
      </c>
      <c r="Q69" s="191">
        <f>PRESUPUESTOS!M69</f>
        <v>0</v>
      </c>
      <c r="R69" s="191">
        <f t="shared" si="8"/>
        <v>0</v>
      </c>
    </row>
    <row r="70" spans="1:18" x14ac:dyDescent="0.25">
      <c r="A70" s="190">
        <v>500</v>
      </c>
      <c r="B70" s="145" t="s">
        <v>154</v>
      </c>
      <c r="C70" s="146" t="s">
        <v>218</v>
      </c>
      <c r="D70" s="162" t="s">
        <v>221</v>
      </c>
      <c r="E70" s="191">
        <f>PRESUPUESTOS!F70</f>
        <v>4.0200000000000005</v>
      </c>
      <c r="F70" s="191">
        <f t="shared" si="0"/>
        <v>0</v>
      </c>
      <c r="G70" s="191">
        <f t="shared" si="1"/>
        <v>0</v>
      </c>
      <c r="H70" s="191">
        <f t="shared" si="2"/>
        <v>83.01</v>
      </c>
      <c r="I70" s="191">
        <f t="shared" si="3"/>
        <v>333.7</v>
      </c>
      <c r="J70" s="191">
        <f>PRESUPUESTOS!E70</f>
        <v>83.01</v>
      </c>
      <c r="K70" s="191">
        <f t="shared" si="4"/>
        <v>333.7</v>
      </c>
      <c r="L70" s="191">
        <f>PRESUPUESTOS!N70</f>
        <v>0</v>
      </c>
      <c r="M70" s="66"/>
      <c r="N70" s="191">
        <f t="shared" si="5"/>
        <v>0</v>
      </c>
      <c r="O70" s="191">
        <f t="shared" si="6"/>
        <v>0</v>
      </c>
      <c r="P70" s="191">
        <f t="shared" si="7"/>
        <v>0</v>
      </c>
      <c r="Q70" s="191">
        <f>PRESUPUESTOS!M70</f>
        <v>0</v>
      </c>
      <c r="R70" s="191">
        <f t="shared" si="8"/>
        <v>0</v>
      </c>
    </row>
    <row r="71" spans="1:18" s="2" customFormat="1" x14ac:dyDescent="0.25">
      <c r="A71" s="37"/>
      <c r="B71" s="25"/>
      <c r="C71" s="21" t="s">
        <v>23</v>
      </c>
      <c r="D71" s="25"/>
      <c r="E71" s="7"/>
      <c r="F71" s="7"/>
      <c r="G71" s="7">
        <f>SUM(G7:G70)</f>
        <v>0</v>
      </c>
      <c r="H71" s="7"/>
      <c r="I71" s="7">
        <f>SUM(I7:I70)</f>
        <v>960724.52000000014</v>
      </c>
      <c r="J71" s="7"/>
      <c r="K71" s="7">
        <f>SUM(K7:K70)</f>
        <v>960724.52000000014</v>
      </c>
      <c r="L71" s="7"/>
      <c r="M71" s="59"/>
      <c r="N71" s="7">
        <f>SUM(N7:N70)</f>
        <v>0</v>
      </c>
      <c r="O71" s="7"/>
      <c r="P71" s="7">
        <f>SUM(P7:P70)</f>
        <v>1374.45</v>
      </c>
      <c r="Q71" s="7"/>
      <c r="R71" s="7">
        <f>SUM(R7:R70)</f>
        <v>1374.45</v>
      </c>
    </row>
    <row r="72" spans="1:18" s="2" customFormat="1" x14ac:dyDescent="0.25">
      <c r="A72" s="93"/>
      <c r="B72" s="38"/>
      <c r="C72" s="86" t="s">
        <v>58</v>
      </c>
      <c r="D72" s="38"/>
      <c r="E72" s="39"/>
      <c r="F72" s="39"/>
      <c r="G72" s="89">
        <f>ROUND(G71*0.1,2)</f>
        <v>0</v>
      </c>
      <c r="H72" s="39"/>
      <c r="I72" s="89">
        <f>ROUND(I71*0.1,2)</f>
        <v>96072.45</v>
      </c>
      <c r="J72" s="39"/>
      <c r="K72" s="89">
        <f>ROUND(K71*0.1,2)</f>
        <v>96072.45</v>
      </c>
      <c r="L72" s="39"/>
      <c r="M72" s="65"/>
      <c r="N72" s="89">
        <f>ROUND(N71*0.1,2)</f>
        <v>0</v>
      </c>
      <c r="O72" s="39"/>
      <c r="P72" s="89">
        <f>ROUND(P71*0.1,2)</f>
        <v>137.44999999999999</v>
      </c>
      <c r="Q72" s="39"/>
      <c r="R72" s="89">
        <f>ROUND(R71*0.1,2)</f>
        <v>137.44999999999999</v>
      </c>
    </row>
    <row r="73" spans="1:18" s="2" customFormat="1" x14ac:dyDescent="0.25">
      <c r="A73" s="93"/>
      <c r="B73" s="38"/>
      <c r="C73" s="86" t="s">
        <v>59</v>
      </c>
      <c r="D73" s="38"/>
      <c r="E73" s="39"/>
      <c r="F73" s="39"/>
      <c r="G73" s="89">
        <f>ROUND(G71*0.08,2)</f>
        <v>0</v>
      </c>
      <c r="H73" s="39"/>
      <c r="I73" s="89">
        <f>ROUND(I71*0.08,2)</f>
        <v>76857.960000000006</v>
      </c>
      <c r="J73" s="39"/>
      <c r="K73" s="89">
        <f>ROUND(K71*0.08,2)</f>
        <v>76857.960000000006</v>
      </c>
      <c r="L73" s="39"/>
      <c r="M73" s="65"/>
      <c r="N73" s="89"/>
      <c r="O73" s="39"/>
      <c r="P73" s="89"/>
      <c r="Q73" s="39"/>
      <c r="R73" s="89"/>
    </row>
    <row r="74" spans="1:18" s="2" customFormat="1" x14ac:dyDescent="0.25">
      <c r="A74" s="93"/>
      <c r="B74" s="38"/>
      <c r="C74" s="81" t="s">
        <v>60</v>
      </c>
      <c r="D74" s="38"/>
      <c r="E74" s="39"/>
      <c r="F74" s="39"/>
      <c r="G74" s="82">
        <f>SUM(G71:G73)</f>
        <v>0</v>
      </c>
      <c r="H74" s="39"/>
      <c r="I74" s="82">
        <f>SUM(I71:I73)</f>
        <v>1133654.9300000002</v>
      </c>
      <c r="J74" s="39"/>
      <c r="K74" s="82">
        <f>SUM(K71:K73)</f>
        <v>1133654.9300000002</v>
      </c>
      <c r="L74" s="39"/>
      <c r="M74" s="65"/>
      <c r="N74" s="82">
        <f>SUM(N71:N73)</f>
        <v>0</v>
      </c>
      <c r="O74" s="39"/>
      <c r="P74" s="82">
        <f>SUM(P71:P73)</f>
        <v>1511.9</v>
      </c>
      <c r="Q74" s="39"/>
      <c r="R74" s="82">
        <f>SUM(R71:R73)</f>
        <v>1511.9</v>
      </c>
    </row>
    <row r="75" spans="1:18" x14ac:dyDescent="0.25">
      <c r="A75" s="35"/>
      <c r="B75" s="36"/>
      <c r="C75" s="23" t="s">
        <v>24</v>
      </c>
      <c r="D75" s="26"/>
      <c r="E75" s="40"/>
      <c r="F75" s="40"/>
      <c r="G75" s="19">
        <f>ROUND(G74*0.18,2)</f>
        <v>0</v>
      </c>
      <c r="H75" s="40"/>
      <c r="I75" s="19">
        <f>ROUND(I74*0.18,2)</f>
        <v>204057.89</v>
      </c>
      <c r="J75" s="40"/>
      <c r="K75" s="19">
        <f>ROUND(K74*0.18,2)</f>
        <v>204057.89</v>
      </c>
      <c r="L75" s="40"/>
      <c r="M75" s="66"/>
      <c r="N75" s="19">
        <f>ROUND(N74*0.18,2)</f>
        <v>0</v>
      </c>
      <c r="O75" s="40"/>
      <c r="P75" s="19">
        <f>ROUND(P74*0.18,2)</f>
        <v>272.14</v>
      </c>
      <c r="Q75" s="40"/>
      <c r="R75" s="19">
        <f>ROUND(R74*0.18,2)</f>
        <v>272.14</v>
      </c>
    </row>
    <row r="76" spans="1:18" s="2" customFormat="1" x14ac:dyDescent="0.25">
      <c r="A76" s="28"/>
      <c r="B76" s="41"/>
      <c r="C76" s="29" t="s">
        <v>31</v>
      </c>
      <c r="D76" s="28"/>
      <c r="E76" s="42"/>
      <c r="F76" s="42"/>
      <c r="G76" s="32">
        <f>SUM(G74:G75)</f>
        <v>0</v>
      </c>
      <c r="H76" s="42"/>
      <c r="I76" s="32">
        <f>SUM(I74:I75)</f>
        <v>1337712.8200000003</v>
      </c>
      <c r="J76" s="42"/>
      <c r="K76" s="32">
        <f>SUM(K74:K75)</f>
        <v>1337712.8200000003</v>
      </c>
      <c r="L76" s="42"/>
      <c r="M76" s="67"/>
      <c r="N76" s="32">
        <f>SUM(N74:N75)</f>
        <v>0</v>
      </c>
      <c r="O76" s="42"/>
      <c r="P76" s="32">
        <f>SUM(P74:P75)</f>
        <v>1784.04</v>
      </c>
      <c r="Q76" s="42"/>
      <c r="R76" s="32">
        <f>SUM(R74:R75)</f>
        <v>1784.04</v>
      </c>
    </row>
    <row r="80" spans="1:18" x14ac:dyDescent="0.25">
      <c r="H80" s="96"/>
    </row>
    <row r="81" spans="10:13" x14ac:dyDescent="0.25">
      <c r="J81">
        <v>130</v>
      </c>
      <c r="L81">
        <v>220</v>
      </c>
      <c r="M81" t="s">
        <v>87</v>
      </c>
    </row>
    <row r="83" spans="10:13" x14ac:dyDescent="0.25">
      <c r="J83" s="124">
        <f>+L83*0.59</f>
        <v>95.314499999999995</v>
      </c>
      <c r="L83">
        <v>161.55000000000001</v>
      </c>
      <c r="M83" t="s">
        <v>88</v>
      </c>
    </row>
    <row r="85" spans="10:13" x14ac:dyDescent="0.25">
      <c r="L85" s="123">
        <f>+J81/L81</f>
        <v>0.59090909090909094</v>
      </c>
    </row>
  </sheetData>
  <mergeCells count="12">
    <mergeCell ref="A5:A6"/>
    <mergeCell ref="B5:B6"/>
    <mergeCell ref="D5:D6"/>
    <mergeCell ref="C5:C6"/>
    <mergeCell ref="F5:G5"/>
    <mergeCell ref="H5:I5"/>
    <mergeCell ref="J5:K5"/>
    <mergeCell ref="E4:K4"/>
    <mergeCell ref="L4:R4"/>
    <mergeCell ref="M5:N5"/>
    <mergeCell ref="O5:P5"/>
    <mergeCell ref="Q5:R5"/>
  </mergeCells>
  <pageMargins left="0.7" right="0.7" top="0.75" bottom="0.75" header="0.3" footer="0.3"/>
  <pageSetup paperSize="9"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zoomScaleNormal="100" workbookViewId="0">
      <selection activeCell="E7" sqref="E7"/>
    </sheetView>
  </sheetViews>
  <sheetFormatPr baseColWidth="10" defaultRowHeight="15" x14ac:dyDescent="0.25"/>
  <cols>
    <col min="1" max="1" width="11.42578125" style="1"/>
    <col min="2" max="2" width="29.85546875" customWidth="1"/>
    <col min="3" max="3" width="17" customWidth="1"/>
    <col min="5" max="5" width="18.140625" customWidth="1"/>
    <col min="6" max="6" width="16.42578125" customWidth="1"/>
    <col min="8" max="8" width="18.28515625" customWidth="1"/>
    <col min="9" max="9" width="17" customWidth="1"/>
    <col min="10" max="14" width="15.42578125" customWidth="1"/>
    <col min="15" max="15" width="14.7109375" customWidth="1"/>
  </cols>
  <sheetData>
    <row r="1" spans="1:15" x14ac:dyDescent="0.25">
      <c r="A1" s="48" t="s">
        <v>4</v>
      </c>
    </row>
    <row r="3" spans="1:15" x14ac:dyDescent="0.25">
      <c r="A3" s="5" t="s">
        <v>16</v>
      </c>
      <c r="B3" s="2" t="s">
        <v>91</v>
      </c>
    </row>
    <row r="4" spans="1:15" x14ac:dyDescent="0.25">
      <c r="A4" s="4"/>
      <c r="B4" s="4"/>
      <c r="C4" s="214" t="s">
        <v>90</v>
      </c>
      <c r="D4" s="214"/>
      <c r="E4" s="214"/>
      <c r="F4" s="214" t="s">
        <v>48</v>
      </c>
      <c r="G4" s="214"/>
      <c r="H4" s="214"/>
      <c r="I4" s="214" t="s">
        <v>37</v>
      </c>
      <c r="J4" s="214"/>
      <c r="K4" s="214"/>
      <c r="L4" s="214"/>
      <c r="M4" s="214"/>
      <c r="N4" s="214"/>
    </row>
    <row r="5" spans="1:15" ht="30" x14ac:dyDescent="0.25">
      <c r="A5" s="71" t="s">
        <v>47</v>
      </c>
      <c r="B5" s="71" t="s">
        <v>46</v>
      </c>
      <c r="C5" s="71" t="s">
        <v>32</v>
      </c>
      <c r="D5" s="71" t="s">
        <v>33</v>
      </c>
      <c r="E5" s="71" t="s">
        <v>34</v>
      </c>
      <c r="F5" s="71" t="s">
        <v>35</v>
      </c>
      <c r="G5" s="71" t="s">
        <v>33</v>
      </c>
      <c r="H5" s="94" t="s">
        <v>36</v>
      </c>
      <c r="I5" s="95" t="s">
        <v>38</v>
      </c>
      <c r="J5" s="71" t="s">
        <v>8</v>
      </c>
      <c r="K5" s="71" t="s">
        <v>9</v>
      </c>
      <c r="L5" s="72" t="s">
        <v>10</v>
      </c>
      <c r="M5" s="71" t="s">
        <v>11</v>
      </c>
      <c r="N5" s="72" t="s">
        <v>12</v>
      </c>
      <c r="O5" s="71" t="s">
        <v>56</v>
      </c>
    </row>
    <row r="6" spans="1:15" s="2" customFormat="1" x14ac:dyDescent="0.25">
      <c r="A6" s="25"/>
      <c r="B6" s="21" t="s">
        <v>223</v>
      </c>
      <c r="C6" s="178"/>
      <c r="D6" s="171"/>
      <c r="E6" s="178"/>
      <c r="F6" s="178"/>
      <c r="G6" s="171"/>
      <c r="H6" s="178"/>
      <c r="I6" s="171"/>
      <c r="J6" s="59"/>
      <c r="K6" s="65"/>
      <c r="L6" s="68"/>
      <c r="M6" s="65"/>
      <c r="N6" s="68"/>
      <c r="O6" s="125"/>
    </row>
    <row r="7" spans="1:15" x14ac:dyDescent="0.25">
      <c r="A7" s="26">
        <v>100</v>
      </c>
      <c r="B7" s="23" t="s">
        <v>224</v>
      </c>
      <c r="C7" s="193">
        <f>SUMIF(COMPARATIVO!$A$7:$A$70,'RESUMEN - ANALISIS'!A7,COMPARATIVO!$K$7:$K$70)</f>
        <v>3661.14</v>
      </c>
      <c r="D7" s="194">
        <f>E7/C7</f>
        <v>0</v>
      </c>
      <c r="E7" s="193">
        <f>SUMIF(COMPARATIVO!$A$7:$A$70,'RESUMEN - ANALISIS'!A7,COMPARATIVO!$G$7:$G$70)</f>
        <v>0</v>
      </c>
      <c r="F7" s="193">
        <f>SUMIF(COMPARATIVO!$A$7:$A$70,'RESUMEN - ANALISIS'!A7,COMPARATIVO!$R$7:$R$70)</f>
        <v>1374.45</v>
      </c>
      <c r="G7" s="194">
        <f>H7/F7</f>
        <v>0</v>
      </c>
      <c r="H7" s="193">
        <f>SUMIF(COMPARATIVO!$A$7:$A$70,'RESUMEN - ANALISIS'!A7,COMPARATIVO!$N$7:$N$70)</f>
        <v>0</v>
      </c>
      <c r="I7" s="172">
        <f>SUM(J7:N7)</f>
        <v>229.25</v>
      </c>
      <c r="J7" s="63"/>
      <c r="K7" s="63"/>
      <c r="L7" s="62"/>
      <c r="M7" s="63"/>
      <c r="N7" s="62">
        <v>229.25</v>
      </c>
      <c r="O7" s="126">
        <f>H7-I7</f>
        <v>-229.25</v>
      </c>
    </row>
    <row r="8" spans="1:15" x14ac:dyDescent="0.25">
      <c r="A8" s="26">
        <v>200</v>
      </c>
      <c r="B8" s="23" t="s">
        <v>19</v>
      </c>
      <c r="C8" s="193">
        <f>SUMIF(COMPARATIVO!$A$7:$A$70,'RESUMEN - ANALISIS'!A8,COMPARATIVO!$K$7:$K$70)</f>
        <v>159518.36000000002</v>
      </c>
      <c r="D8" s="194">
        <f t="shared" ref="D8:D11" si="0">E8/C8</f>
        <v>0</v>
      </c>
      <c r="E8" s="193">
        <f>SUMIF(COMPARATIVO!$A$7:$A$70,'RESUMEN - ANALISIS'!A8,COMPARATIVO!$G$7:$G$70)</f>
        <v>0</v>
      </c>
      <c r="F8" s="193">
        <f>SUMIF(COMPARATIVO!$A$7:$A$70,'RESUMEN - ANALISIS'!A8,COMPARATIVO!$R$7:$R$70)</f>
        <v>0</v>
      </c>
      <c r="G8" s="194" t="e">
        <f t="shared" ref="G8:G11" si="1">H8/F8</f>
        <v>#DIV/0!</v>
      </c>
      <c r="H8" s="193">
        <f>SUMIF(COMPARATIVO!$A$7:$A$70,'RESUMEN - ANALISIS'!A8,COMPARATIVO!$N$7:$N$70)</f>
        <v>0</v>
      </c>
      <c r="I8" s="172">
        <f t="shared" ref="I8:I11" si="2">SUM(J8:N8)</f>
        <v>7319.59</v>
      </c>
      <c r="J8" s="63">
        <v>200</v>
      </c>
      <c r="K8" s="63"/>
      <c r="L8" s="62"/>
      <c r="M8" s="63"/>
      <c r="N8" s="62">
        <v>7119.59</v>
      </c>
      <c r="O8" s="126">
        <f t="shared" ref="O8:O11" si="3">H8-I8</f>
        <v>-7319.59</v>
      </c>
    </row>
    <row r="9" spans="1:15" x14ac:dyDescent="0.25">
      <c r="A9" s="26">
        <v>300</v>
      </c>
      <c r="B9" s="23" t="s">
        <v>39</v>
      </c>
      <c r="C9" s="193">
        <f>SUMIF(COMPARATIVO!$A$7:$A$70,'RESUMEN - ANALISIS'!A9,COMPARATIVO!$K$7:$K$70)</f>
        <v>360886.42000000004</v>
      </c>
      <c r="D9" s="194">
        <f t="shared" si="0"/>
        <v>0</v>
      </c>
      <c r="E9" s="193">
        <f>SUMIF(COMPARATIVO!$A$7:$A$70,'RESUMEN - ANALISIS'!A9,COMPARATIVO!$G$7:$G$70)</f>
        <v>0</v>
      </c>
      <c r="F9" s="193">
        <f>SUMIF(COMPARATIVO!$A$7:$A$70,'RESUMEN - ANALISIS'!A9,COMPARATIVO!$R$7:$R$70)</f>
        <v>0</v>
      </c>
      <c r="G9" s="194" t="e">
        <f t="shared" si="1"/>
        <v>#DIV/0!</v>
      </c>
      <c r="H9" s="193">
        <f>SUMIF(COMPARATIVO!$A$7:$A$70,'RESUMEN - ANALISIS'!A9,COMPARATIVO!$N$7:$N$70)</f>
        <v>0</v>
      </c>
      <c r="I9" s="172">
        <f t="shared" si="2"/>
        <v>17915.100000000002</v>
      </c>
      <c r="J9" s="63"/>
      <c r="K9" s="63"/>
      <c r="L9" s="62"/>
      <c r="M9" s="63"/>
      <c r="N9" s="62">
        <v>17915.100000000002</v>
      </c>
      <c r="O9" s="126">
        <f t="shared" si="3"/>
        <v>-17915.100000000002</v>
      </c>
    </row>
    <row r="10" spans="1:15" x14ac:dyDescent="0.25">
      <c r="A10" s="26">
        <v>400</v>
      </c>
      <c r="B10" s="34" t="s">
        <v>225</v>
      </c>
      <c r="C10" s="193">
        <f>SUMIF(COMPARATIVO!$A$7:$A$70,'RESUMEN - ANALISIS'!A10,COMPARATIVO!$K$7:$K$70)</f>
        <v>221395.36000000002</v>
      </c>
      <c r="D10" s="194">
        <f t="shared" si="0"/>
        <v>0</v>
      </c>
      <c r="E10" s="193">
        <f>SUMIF(COMPARATIVO!$A$7:$A$70,'RESUMEN - ANALISIS'!A10,COMPARATIVO!$G$7:$G$70)</f>
        <v>0</v>
      </c>
      <c r="F10" s="193">
        <f>SUMIF(COMPARATIVO!$A$7:$A$70,'RESUMEN - ANALISIS'!A10,COMPARATIVO!$R$7:$R$70)</f>
        <v>0</v>
      </c>
      <c r="G10" s="194" t="e">
        <f t="shared" si="1"/>
        <v>#DIV/0!</v>
      </c>
      <c r="H10" s="193">
        <f>SUMIF(COMPARATIVO!$A$7:$A$70,'RESUMEN - ANALISIS'!A10,COMPARATIVO!$N$7:$N$70)</f>
        <v>0</v>
      </c>
      <c r="I10" s="172">
        <f t="shared" si="2"/>
        <v>0</v>
      </c>
      <c r="J10" s="69"/>
      <c r="K10" s="69"/>
      <c r="L10" s="70"/>
      <c r="M10" s="69"/>
      <c r="N10" s="70"/>
      <c r="O10" s="127"/>
    </row>
    <row r="11" spans="1:15" x14ac:dyDescent="0.25">
      <c r="A11" s="26">
        <v>500</v>
      </c>
      <c r="B11" s="24" t="s">
        <v>226</v>
      </c>
      <c r="C11" s="193">
        <f>SUMIF(COMPARATIVO!$A$7:$A$70,'RESUMEN - ANALISIS'!A11,COMPARATIVO!$K$7:$K$70)</f>
        <v>215263.24000000002</v>
      </c>
      <c r="D11" s="194">
        <f t="shared" si="0"/>
        <v>0</v>
      </c>
      <c r="E11" s="193">
        <f>SUMIF(COMPARATIVO!$A$7:$A$70,'RESUMEN - ANALISIS'!A11,COMPARATIVO!$G$7:$G$70)</f>
        <v>0</v>
      </c>
      <c r="F11" s="193">
        <f>SUMIF(COMPARATIVO!$A$7:$A$70,'RESUMEN - ANALISIS'!A11,COMPARATIVO!$R$7:$R$70)</f>
        <v>0</v>
      </c>
      <c r="G11" s="194" t="e">
        <f t="shared" si="1"/>
        <v>#DIV/0!</v>
      </c>
      <c r="H11" s="193">
        <f>SUMIF(COMPARATIVO!$A$7:$A$70,'RESUMEN - ANALISIS'!A11,COMPARATIVO!$N$7:$N$70)</f>
        <v>0</v>
      </c>
      <c r="I11" s="172">
        <f t="shared" si="2"/>
        <v>696.07999999999993</v>
      </c>
      <c r="J11" s="64">
        <v>55</v>
      </c>
      <c r="K11" s="69"/>
      <c r="L11" s="70"/>
      <c r="M11" s="69"/>
      <c r="N11" s="70">
        <v>641.07999999999993</v>
      </c>
      <c r="O11" s="127">
        <f t="shared" si="3"/>
        <v>-696.07999999999993</v>
      </c>
    </row>
    <row r="12" spans="1:15" x14ac:dyDescent="0.25">
      <c r="A12" s="73"/>
      <c r="B12" s="74" t="s">
        <v>40</v>
      </c>
      <c r="C12" s="75">
        <f>SUM(C7:C11)</f>
        <v>960724.52</v>
      </c>
      <c r="D12" s="74"/>
      <c r="E12" s="97">
        <f>SUM(E7:E11)</f>
        <v>0</v>
      </c>
      <c r="F12" s="75">
        <f>SUM(F7:F11)</f>
        <v>1374.45</v>
      </c>
      <c r="G12" s="74"/>
      <c r="H12" s="75">
        <f>SUM(H7:H11)</f>
        <v>0</v>
      </c>
      <c r="I12" s="97">
        <f>SUM(I7:I11)</f>
        <v>26160.020000000004</v>
      </c>
      <c r="J12" s="75">
        <f t="shared" ref="J12:O12" si="4">SUM(J7:J11)</f>
        <v>255</v>
      </c>
      <c r="K12" s="75">
        <f t="shared" si="4"/>
        <v>0</v>
      </c>
      <c r="L12" s="75">
        <f t="shared" si="4"/>
        <v>0</v>
      </c>
      <c r="M12" s="75">
        <f t="shared" si="4"/>
        <v>0</v>
      </c>
      <c r="N12" s="75">
        <f t="shared" si="4"/>
        <v>25905.020000000004</v>
      </c>
      <c r="O12" s="128">
        <f t="shared" si="4"/>
        <v>-26160.020000000004</v>
      </c>
    </row>
    <row r="15" spans="1:15" s="131" customFormat="1" ht="30" x14ac:dyDescent="0.25">
      <c r="A15" s="121"/>
      <c r="B15" s="130" t="s">
        <v>4</v>
      </c>
      <c r="C15" s="120" t="s">
        <v>89</v>
      </c>
      <c r="D15" s="130"/>
      <c r="E15" s="122" t="s">
        <v>41</v>
      </c>
      <c r="F15" s="121" t="s">
        <v>42</v>
      </c>
      <c r="G15" s="130"/>
      <c r="H15" s="121" t="s">
        <v>43</v>
      </c>
    </row>
    <row r="16" spans="1:15" x14ac:dyDescent="0.25">
      <c r="A16" s="36"/>
      <c r="B16" s="52"/>
      <c r="C16" s="40"/>
      <c r="D16" s="54"/>
      <c r="E16" s="40"/>
      <c r="F16" s="40"/>
      <c r="G16" s="54"/>
      <c r="H16" s="40"/>
    </row>
    <row r="17" spans="1:8" x14ac:dyDescent="0.25">
      <c r="A17" s="26"/>
      <c r="B17" s="53" t="s">
        <v>49</v>
      </c>
      <c r="C17" s="9">
        <f>I12</f>
        <v>26160.020000000004</v>
      </c>
      <c r="D17" s="14"/>
      <c r="E17" s="9">
        <f>F12</f>
        <v>1374.45</v>
      </c>
      <c r="F17" s="99"/>
      <c r="G17" s="14"/>
      <c r="H17" s="9">
        <f>+F17-E17</f>
        <v>-1374.45</v>
      </c>
    </row>
    <row r="18" spans="1:8" x14ac:dyDescent="0.25">
      <c r="A18" s="26"/>
      <c r="B18" s="53"/>
      <c r="C18" s="9"/>
      <c r="D18" s="14"/>
      <c r="E18" s="9"/>
      <c r="F18" s="9"/>
      <c r="G18" s="14"/>
      <c r="H18" s="9"/>
    </row>
    <row r="19" spans="1:8" x14ac:dyDescent="0.25">
      <c r="A19" s="26"/>
      <c r="B19" s="53" t="s">
        <v>44</v>
      </c>
      <c r="C19" s="9">
        <f>E12</f>
        <v>0</v>
      </c>
      <c r="D19" s="14"/>
      <c r="E19" s="9">
        <f>C12</f>
        <v>960724.52</v>
      </c>
      <c r="F19" s="9"/>
      <c r="G19" s="14"/>
      <c r="H19" s="9">
        <f>+F19-E19</f>
        <v>-960724.52</v>
      </c>
    </row>
    <row r="20" spans="1:8" x14ac:dyDescent="0.25">
      <c r="A20" s="35"/>
      <c r="B20" s="6"/>
      <c r="C20" s="51"/>
      <c r="D20" s="50"/>
      <c r="E20" s="51"/>
      <c r="F20" s="51"/>
      <c r="G20" s="50"/>
      <c r="H20" s="51"/>
    </row>
    <row r="21" spans="1:8" x14ac:dyDescent="0.25">
      <c r="A21" s="73"/>
      <c r="B21" s="76" t="s">
        <v>45</v>
      </c>
      <c r="C21" s="98">
        <f>C19-C17</f>
        <v>-26160.020000000004</v>
      </c>
      <c r="D21" s="78"/>
      <c r="E21" s="77">
        <f>E19-E17</f>
        <v>959350.07000000007</v>
      </c>
      <c r="F21" s="77">
        <f>F19-F17</f>
        <v>0</v>
      </c>
      <c r="G21" s="78"/>
      <c r="H21" s="77"/>
    </row>
    <row r="22" spans="1:8" x14ac:dyDescent="0.25">
      <c r="A22" s="73"/>
      <c r="B22" s="76" t="s">
        <v>57</v>
      </c>
      <c r="C22" s="79" t="e">
        <f>C21/C19</f>
        <v>#DIV/0!</v>
      </c>
      <c r="D22" s="78"/>
      <c r="E22" s="79">
        <f>E21/E19</f>
        <v>0.99856936096520166</v>
      </c>
      <c r="F22" s="79" t="e">
        <f>F21/F19</f>
        <v>#DIV/0!</v>
      </c>
      <c r="G22" s="78"/>
      <c r="H22" s="77"/>
    </row>
  </sheetData>
  <mergeCells count="3">
    <mergeCell ref="C4:E4"/>
    <mergeCell ref="F4:H4"/>
    <mergeCell ref="I4:N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8790-F418-4D1E-BDBA-B85AE6D1F277}">
  <dimension ref="A2:R11"/>
  <sheetViews>
    <sheetView topLeftCell="C1" zoomScale="85" zoomScaleNormal="85" workbookViewId="0">
      <selection activeCell="O21" sqref="O21"/>
    </sheetView>
  </sheetViews>
  <sheetFormatPr baseColWidth="10" defaultRowHeight="15" x14ac:dyDescent="0.25"/>
  <cols>
    <col min="2" max="2" width="38" customWidth="1"/>
    <col min="3" max="3" width="15.42578125" customWidth="1"/>
  </cols>
  <sheetData>
    <row r="2" spans="1:18" ht="15.75" thickBot="1" x14ac:dyDescent="0.3"/>
    <row r="3" spans="1:18" ht="15.75" thickBot="1" x14ac:dyDescent="0.3">
      <c r="A3" s="244"/>
      <c r="C3" s="245" t="s">
        <v>231</v>
      </c>
      <c r="D3" s="246"/>
      <c r="E3" s="247" t="s">
        <v>232</v>
      </c>
      <c r="F3" s="248"/>
      <c r="G3" s="249"/>
      <c r="H3" s="246"/>
      <c r="I3" s="250" t="s">
        <v>233</v>
      </c>
      <c r="J3" s="251"/>
      <c r="K3" s="252"/>
      <c r="L3" s="246"/>
      <c r="M3" s="253" t="s">
        <v>240</v>
      </c>
      <c r="N3" s="254"/>
      <c r="O3" s="255"/>
      <c r="P3" s="256"/>
    </row>
    <row r="4" spans="1:18" ht="45.75" thickBot="1" x14ac:dyDescent="0.3">
      <c r="A4" s="257" t="s">
        <v>234</v>
      </c>
      <c r="B4" s="258" t="s">
        <v>235</v>
      </c>
      <c r="C4" s="245" t="s">
        <v>236</v>
      </c>
      <c r="D4" s="259"/>
      <c r="E4" s="260" t="s">
        <v>237</v>
      </c>
      <c r="F4" s="261" t="s">
        <v>238</v>
      </c>
      <c r="G4" s="262"/>
      <c r="H4" s="259"/>
      <c r="I4" s="263" t="s">
        <v>237</v>
      </c>
      <c r="J4" s="264" t="s">
        <v>238</v>
      </c>
      <c r="K4" s="252"/>
      <c r="L4" s="259"/>
      <c r="M4" s="265" t="s">
        <v>237</v>
      </c>
      <c r="N4" s="266" t="s">
        <v>238</v>
      </c>
      <c r="O4" s="255"/>
      <c r="P4" s="256"/>
      <c r="Q4" s="267" t="s">
        <v>241</v>
      </c>
      <c r="R4" s="268"/>
    </row>
    <row r="5" spans="1:18" x14ac:dyDescent="0.25">
      <c r="A5" s="270"/>
      <c r="B5" s="21" t="s">
        <v>223</v>
      </c>
      <c r="C5" s="271"/>
      <c r="E5" s="277"/>
      <c r="F5" s="269"/>
      <c r="G5" s="278"/>
      <c r="I5" s="277"/>
      <c r="J5" s="269"/>
      <c r="K5" s="278"/>
      <c r="M5" s="277"/>
      <c r="N5" s="269"/>
      <c r="O5" s="278"/>
      <c r="Q5" s="277"/>
      <c r="R5" s="278"/>
    </row>
    <row r="6" spans="1:18" x14ac:dyDescent="0.25">
      <c r="A6" s="272">
        <v>100</v>
      </c>
      <c r="B6" s="23" t="s">
        <v>224</v>
      </c>
      <c r="C6" s="273">
        <f>+'RESUMEN - ANALISIS'!C7</f>
        <v>3661.14</v>
      </c>
      <c r="E6" s="277">
        <f>+'RESUMEN - ANALISIS'!F7</f>
        <v>1374.45</v>
      </c>
      <c r="F6" s="269">
        <f>C6-E6</f>
        <v>2286.6899999999996</v>
      </c>
      <c r="G6" s="278">
        <f>+F6/C6</f>
        <v>0.62458414592176204</v>
      </c>
      <c r="I6" s="277"/>
      <c r="J6" s="269">
        <f>C6-I6</f>
        <v>3661.14</v>
      </c>
      <c r="K6" s="278">
        <f>J6/C6</f>
        <v>1</v>
      </c>
      <c r="M6" s="277"/>
      <c r="N6" s="269">
        <f>C6-M6</f>
        <v>3661.14</v>
      </c>
      <c r="O6" s="278">
        <f>N6/C6</f>
        <v>1</v>
      </c>
      <c r="Q6" s="277">
        <f>E6-M6</f>
        <v>1374.45</v>
      </c>
      <c r="R6" s="278">
        <f>M6/E6</f>
        <v>0</v>
      </c>
    </row>
    <row r="7" spans="1:18" x14ac:dyDescent="0.25">
      <c r="A7" s="272">
        <v>200</v>
      </c>
      <c r="B7" s="23" t="s">
        <v>19</v>
      </c>
      <c r="C7" s="273">
        <f>+'RESUMEN - ANALISIS'!C8</f>
        <v>159518.36000000002</v>
      </c>
      <c r="E7" s="277">
        <f>+'RESUMEN - ANALISIS'!F8</f>
        <v>0</v>
      </c>
      <c r="F7" s="269">
        <f t="shared" ref="F7:F10" si="0">C7-E7</f>
        <v>159518.36000000002</v>
      </c>
      <c r="G7" s="278">
        <f t="shared" ref="G7:G10" si="1">+F7/C7</f>
        <v>1</v>
      </c>
      <c r="I7" s="277"/>
      <c r="J7" s="269">
        <f t="shared" ref="J7:J10" si="2">C7-I7</f>
        <v>159518.36000000002</v>
      </c>
      <c r="K7" s="278">
        <f t="shared" ref="K7:K10" si="3">J7/C7</f>
        <v>1</v>
      </c>
      <c r="M7" s="277"/>
      <c r="N7" s="269">
        <f t="shared" ref="N7:N10" si="4">C7-M7</f>
        <v>159518.36000000002</v>
      </c>
      <c r="O7" s="278">
        <f t="shared" ref="O7:O10" si="5">N7/C7</f>
        <v>1</v>
      </c>
      <c r="Q7" s="277">
        <f t="shared" ref="Q7:Q10" si="6">E7-M7</f>
        <v>0</v>
      </c>
      <c r="R7" s="278" t="e">
        <f t="shared" ref="R7:R10" si="7">M7/E7</f>
        <v>#DIV/0!</v>
      </c>
    </row>
    <row r="8" spans="1:18" x14ac:dyDescent="0.25">
      <c r="A8" s="272">
        <v>300</v>
      </c>
      <c r="B8" s="23" t="s">
        <v>39</v>
      </c>
      <c r="C8" s="273">
        <f>+'RESUMEN - ANALISIS'!C9</f>
        <v>360886.42000000004</v>
      </c>
      <c r="E8" s="277">
        <f>+'RESUMEN - ANALISIS'!F9</f>
        <v>0</v>
      </c>
      <c r="F8" s="269">
        <f t="shared" si="0"/>
        <v>360886.42000000004</v>
      </c>
      <c r="G8" s="278">
        <f t="shared" si="1"/>
        <v>1</v>
      </c>
      <c r="I8" s="277"/>
      <c r="J8" s="269">
        <f t="shared" si="2"/>
        <v>360886.42000000004</v>
      </c>
      <c r="K8" s="278">
        <f t="shared" si="3"/>
        <v>1</v>
      </c>
      <c r="M8" s="277"/>
      <c r="N8" s="269">
        <f t="shared" si="4"/>
        <v>360886.42000000004</v>
      </c>
      <c r="O8" s="278">
        <f t="shared" si="5"/>
        <v>1</v>
      </c>
      <c r="Q8" s="277">
        <f t="shared" si="6"/>
        <v>0</v>
      </c>
      <c r="R8" s="278" t="e">
        <f t="shared" si="7"/>
        <v>#DIV/0!</v>
      </c>
    </row>
    <row r="9" spans="1:18" x14ac:dyDescent="0.25">
      <c r="A9" s="272">
        <v>400</v>
      </c>
      <c r="B9" s="34" t="s">
        <v>225</v>
      </c>
      <c r="C9" s="273">
        <f>+'RESUMEN - ANALISIS'!C10</f>
        <v>221395.36000000002</v>
      </c>
      <c r="E9" s="277">
        <f>+'RESUMEN - ANALISIS'!F10</f>
        <v>0</v>
      </c>
      <c r="F9" s="269">
        <f t="shared" si="0"/>
        <v>221395.36000000002</v>
      </c>
      <c r="G9" s="278">
        <f t="shared" si="1"/>
        <v>1</v>
      </c>
      <c r="I9" s="277"/>
      <c r="J9" s="269">
        <f t="shared" si="2"/>
        <v>221395.36000000002</v>
      </c>
      <c r="K9" s="278">
        <f t="shared" si="3"/>
        <v>1</v>
      </c>
      <c r="M9" s="277"/>
      <c r="N9" s="269">
        <f t="shared" si="4"/>
        <v>221395.36000000002</v>
      </c>
      <c r="O9" s="278">
        <f t="shared" si="5"/>
        <v>1</v>
      </c>
      <c r="Q9" s="277">
        <f t="shared" si="6"/>
        <v>0</v>
      </c>
      <c r="R9" s="278" t="e">
        <f t="shared" si="7"/>
        <v>#DIV/0!</v>
      </c>
    </row>
    <row r="10" spans="1:18" ht="15.75" thickBot="1" x14ac:dyDescent="0.3">
      <c r="A10" s="272">
        <v>500</v>
      </c>
      <c r="B10" s="24" t="s">
        <v>226</v>
      </c>
      <c r="C10" s="273">
        <f>+'RESUMEN - ANALISIS'!C11</f>
        <v>215263.24000000002</v>
      </c>
      <c r="E10" s="277">
        <f>+'RESUMEN - ANALISIS'!F11</f>
        <v>0</v>
      </c>
      <c r="F10" s="269">
        <f t="shared" si="0"/>
        <v>215263.24000000002</v>
      </c>
      <c r="G10" s="278">
        <f t="shared" si="1"/>
        <v>1</v>
      </c>
      <c r="I10" s="277"/>
      <c r="J10" s="269">
        <f t="shared" si="2"/>
        <v>215263.24000000002</v>
      </c>
      <c r="K10" s="278">
        <f t="shared" si="3"/>
        <v>1</v>
      </c>
      <c r="M10" s="277"/>
      <c r="N10" s="269">
        <f t="shared" si="4"/>
        <v>215263.24000000002</v>
      </c>
      <c r="O10" s="278">
        <f t="shared" si="5"/>
        <v>1</v>
      </c>
      <c r="Q10" s="277">
        <f t="shared" si="6"/>
        <v>0</v>
      </c>
      <c r="R10" s="278" t="e">
        <f t="shared" si="7"/>
        <v>#DIV/0!</v>
      </c>
    </row>
    <row r="11" spans="1:18" ht="30.75" customHeight="1" thickBot="1" x14ac:dyDescent="0.3">
      <c r="A11" s="274" t="s">
        <v>239</v>
      </c>
      <c r="B11" s="275"/>
      <c r="C11" s="276">
        <f>SUM(C5:C10)</f>
        <v>960724.52</v>
      </c>
      <c r="D11" s="259"/>
      <c r="E11" s="279">
        <f>SUM(E5:E10)</f>
        <v>1374.45</v>
      </c>
      <c r="F11" s="280">
        <f>C11-E11</f>
        <v>959350.07000000007</v>
      </c>
      <c r="G11" s="281">
        <f>F11/C11</f>
        <v>0.99856936096520166</v>
      </c>
      <c r="H11" s="259"/>
      <c r="I11" s="282">
        <f>SUM(I5:I10)</f>
        <v>0</v>
      </c>
      <c r="J11" s="283">
        <f>C11-I11</f>
        <v>960724.52</v>
      </c>
      <c r="K11" s="284">
        <f>J11/C11</f>
        <v>1</v>
      </c>
      <c r="L11" s="259"/>
      <c r="M11" s="285">
        <f>SUM(M5:M10)</f>
        <v>0</v>
      </c>
      <c r="N11" s="286">
        <f>C11-M11</f>
        <v>960724.52</v>
      </c>
      <c r="O11" s="287">
        <f>N11/C11</f>
        <v>1</v>
      </c>
      <c r="P11" s="256"/>
      <c r="Q11" s="288">
        <f>SUM(Q5:Q10)</f>
        <v>1374.45</v>
      </c>
      <c r="R11" s="289" t="e">
        <f>E11/M11</f>
        <v>#DIV/0!</v>
      </c>
    </row>
  </sheetData>
  <mergeCells count="8">
    <mergeCell ref="A11:B11"/>
    <mergeCell ref="E3:G3"/>
    <mergeCell ref="I3:K3"/>
    <mergeCell ref="M3:O3"/>
    <mergeCell ref="F4:G4"/>
    <mergeCell ref="J4:K4"/>
    <mergeCell ref="N4:O4"/>
    <mergeCell ref="Q4:R4"/>
  </mergeCells>
  <conditionalFormatting sqref="R11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8134-0670-4A95-BCFF-773CCA0BF999}">
  <dimension ref="A2:K19"/>
  <sheetViews>
    <sheetView workbookViewId="0">
      <selection activeCell="E18" sqref="E18"/>
    </sheetView>
  </sheetViews>
  <sheetFormatPr baseColWidth="10" defaultRowHeight="15" x14ac:dyDescent="0.25"/>
  <cols>
    <col min="2" max="2" width="35.42578125" customWidth="1"/>
    <col min="3" max="3" width="21.85546875" customWidth="1"/>
    <col min="4" max="4" width="11.140625" customWidth="1"/>
    <col min="5" max="5" width="15.140625" customWidth="1"/>
    <col min="8" max="8" width="14.42578125" customWidth="1"/>
    <col min="9" max="9" width="15.28515625" customWidth="1"/>
    <col min="10" max="10" width="13.7109375" customWidth="1"/>
    <col min="11" max="11" width="13.28515625" customWidth="1"/>
  </cols>
  <sheetData>
    <row r="2" spans="1:11" ht="30" x14ac:dyDescent="0.25">
      <c r="A2" s="109" t="s">
        <v>2</v>
      </c>
      <c r="B2" s="109" t="s">
        <v>15</v>
      </c>
      <c r="C2" s="109" t="s">
        <v>72</v>
      </c>
      <c r="D2" s="109" t="s">
        <v>80</v>
      </c>
      <c r="E2" s="109" t="s">
        <v>73</v>
      </c>
      <c r="F2" s="109" t="s">
        <v>74</v>
      </c>
      <c r="G2" s="109" t="s">
        <v>60</v>
      </c>
      <c r="H2" s="109" t="s">
        <v>46</v>
      </c>
      <c r="I2" s="109" t="s">
        <v>75</v>
      </c>
      <c r="J2" s="118" t="s">
        <v>85</v>
      </c>
      <c r="K2" s="118" t="s">
        <v>86</v>
      </c>
    </row>
    <row r="3" spans="1:11" x14ac:dyDescent="0.25">
      <c r="A3" s="109"/>
      <c r="B3" s="109" t="s">
        <v>76</v>
      </c>
      <c r="C3" s="109"/>
      <c r="D3" s="109"/>
      <c r="E3" s="109"/>
      <c r="F3" s="109"/>
      <c r="G3" s="109"/>
      <c r="H3" s="109"/>
      <c r="I3" s="109"/>
      <c r="J3" s="110"/>
      <c r="K3" s="110"/>
    </row>
    <row r="4" spans="1:11" x14ac:dyDescent="0.25">
      <c r="A4" s="111">
        <v>1</v>
      </c>
      <c r="B4" s="110" t="s">
        <v>78</v>
      </c>
      <c r="C4" s="110" t="s">
        <v>79</v>
      </c>
      <c r="D4" s="112" t="s">
        <v>81</v>
      </c>
      <c r="E4" s="116">
        <v>500</v>
      </c>
      <c r="F4" s="116">
        <v>120</v>
      </c>
      <c r="G4" s="116">
        <f>+E4*F4</f>
        <v>60000</v>
      </c>
      <c r="H4" s="112">
        <v>200</v>
      </c>
      <c r="I4" s="112" t="s">
        <v>9</v>
      </c>
      <c r="J4" s="115">
        <v>130</v>
      </c>
      <c r="K4" s="119">
        <f>+J4*F4</f>
        <v>15600</v>
      </c>
    </row>
    <row r="5" spans="1:11" x14ac:dyDescent="0.25">
      <c r="A5" s="110"/>
      <c r="B5" s="110"/>
      <c r="C5" s="110"/>
      <c r="D5" s="112"/>
      <c r="E5" s="116"/>
      <c r="F5" s="116"/>
      <c r="G5" s="116"/>
      <c r="H5" s="112"/>
      <c r="I5" s="112"/>
      <c r="J5" s="115"/>
      <c r="K5" s="110"/>
    </row>
    <row r="6" spans="1:11" x14ac:dyDescent="0.25">
      <c r="A6" s="110"/>
      <c r="B6" s="110"/>
      <c r="C6" s="110"/>
      <c r="D6" s="112"/>
      <c r="E6" s="116"/>
      <c r="F6" s="116"/>
      <c r="G6" s="116"/>
      <c r="H6" s="112"/>
      <c r="I6" s="112"/>
      <c r="J6" s="110"/>
      <c r="K6" s="110"/>
    </row>
    <row r="7" spans="1:11" x14ac:dyDescent="0.25">
      <c r="A7" s="110"/>
      <c r="B7" s="110"/>
      <c r="C7" s="110"/>
      <c r="D7" s="112"/>
      <c r="E7" s="116"/>
      <c r="F7" s="116"/>
      <c r="G7" s="116"/>
      <c r="H7" s="112"/>
      <c r="I7" s="112"/>
      <c r="J7" s="110"/>
      <c r="K7" s="110"/>
    </row>
    <row r="8" spans="1:11" x14ac:dyDescent="0.25">
      <c r="A8" s="110"/>
      <c r="B8" s="110"/>
      <c r="C8" s="110"/>
      <c r="D8" s="112"/>
      <c r="E8" s="116"/>
      <c r="F8" s="116"/>
      <c r="G8" s="116"/>
      <c r="H8" s="112"/>
      <c r="I8" s="112"/>
      <c r="J8" s="110"/>
      <c r="K8" s="110"/>
    </row>
    <row r="9" spans="1:11" x14ac:dyDescent="0.25">
      <c r="A9" s="110"/>
      <c r="B9" s="110"/>
      <c r="C9" s="110"/>
      <c r="D9" s="112"/>
      <c r="E9" s="116"/>
      <c r="F9" s="116"/>
      <c r="G9" s="116"/>
      <c r="H9" s="112"/>
      <c r="I9" s="112"/>
      <c r="J9" s="110"/>
      <c r="K9" s="110"/>
    </row>
    <row r="10" spans="1:11" x14ac:dyDescent="0.25">
      <c r="A10" s="110"/>
      <c r="B10" s="110"/>
      <c r="C10" s="110"/>
      <c r="D10" s="112"/>
      <c r="E10" s="116"/>
      <c r="F10" s="116"/>
      <c r="G10" s="116"/>
      <c r="H10" s="112"/>
      <c r="I10" s="112"/>
      <c r="J10" s="110"/>
      <c r="K10" s="110"/>
    </row>
    <row r="11" spans="1:11" x14ac:dyDescent="0.25">
      <c r="A11" s="113"/>
      <c r="B11" s="114" t="s">
        <v>77</v>
      </c>
      <c r="C11" s="113"/>
      <c r="D11" s="114"/>
      <c r="E11" s="117"/>
      <c r="F11" s="117"/>
      <c r="G11" s="117"/>
      <c r="H11" s="114"/>
      <c r="I11" s="114"/>
      <c r="J11" s="110"/>
      <c r="K11" s="110"/>
    </row>
    <row r="12" spans="1:11" x14ac:dyDescent="0.25">
      <c r="A12" s="111">
        <v>1</v>
      </c>
      <c r="B12" s="110" t="s">
        <v>82</v>
      </c>
      <c r="C12" s="110" t="s">
        <v>83</v>
      </c>
      <c r="D12" s="112" t="s">
        <v>84</v>
      </c>
      <c r="E12" s="116">
        <v>50</v>
      </c>
      <c r="F12" s="116">
        <v>180</v>
      </c>
      <c r="G12" s="116">
        <f>+E12*F12</f>
        <v>9000</v>
      </c>
      <c r="H12" s="112">
        <v>200</v>
      </c>
      <c r="I12" s="112" t="s">
        <v>11</v>
      </c>
      <c r="J12" s="115">
        <v>35</v>
      </c>
      <c r="K12" s="119">
        <f>+J12*F12</f>
        <v>6300</v>
      </c>
    </row>
    <row r="13" spans="1:11" x14ac:dyDescent="0.25">
      <c r="A13" s="110"/>
      <c r="B13" s="110"/>
      <c r="C13" s="110"/>
      <c r="D13" s="112"/>
      <c r="E13" s="112"/>
      <c r="F13" s="112"/>
      <c r="G13" s="112"/>
      <c r="H13" s="112"/>
      <c r="I13" s="112"/>
      <c r="J13" s="110"/>
      <c r="K13" s="110"/>
    </row>
    <row r="14" spans="1:11" x14ac:dyDescent="0.25">
      <c r="A14" s="110"/>
      <c r="B14" s="110"/>
      <c r="C14" s="110"/>
      <c r="D14" s="112"/>
      <c r="E14" s="112"/>
      <c r="F14" s="112"/>
      <c r="G14" s="112"/>
      <c r="H14" s="112"/>
      <c r="I14" s="112"/>
      <c r="J14" s="110"/>
      <c r="K14" s="110"/>
    </row>
    <row r="15" spans="1:11" x14ac:dyDescent="0.25">
      <c r="A15" s="110"/>
      <c r="B15" s="110"/>
      <c r="C15" s="110"/>
      <c r="D15" s="112"/>
      <c r="E15" s="112"/>
      <c r="F15" s="112"/>
      <c r="G15" s="112"/>
      <c r="H15" s="112"/>
      <c r="I15" s="112"/>
      <c r="J15" s="110"/>
      <c r="K15" s="110"/>
    </row>
    <row r="16" spans="1:11" x14ac:dyDescent="0.25">
      <c r="A16" s="110"/>
      <c r="B16" s="110"/>
      <c r="C16" s="110"/>
      <c r="D16" s="112"/>
      <c r="E16" s="112"/>
      <c r="F16" s="112"/>
      <c r="G16" s="112"/>
      <c r="H16" s="112"/>
      <c r="I16" s="112"/>
      <c r="J16" s="110"/>
      <c r="K16" s="110"/>
    </row>
    <row r="17" spans="1:11" x14ac:dyDescent="0.25">
      <c r="A17" s="110"/>
      <c r="B17" s="110"/>
      <c r="C17" s="110"/>
      <c r="D17" s="112"/>
      <c r="E17" s="112"/>
      <c r="F17" s="112"/>
      <c r="G17" s="112"/>
      <c r="H17" s="112"/>
      <c r="I17" s="112"/>
      <c r="J17" s="110"/>
      <c r="K17" s="110"/>
    </row>
    <row r="18" spans="1:11" x14ac:dyDescent="0.25">
      <c r="A18" s="110"/>
      <c r="B18" s="110"/>
      <c r="C18" s="110"/>
      <c r="D18" s="112"/>
      <c r="E18" s="112"/>
      <c r="F18" s="112"/>
      <c r="G18" s="112"/>
      <c r="H18" s="112"/>
      <c r="I18" s="112"/>
      <c r="J18" s="110"/>
      <c r="K18" s="110"/>
    </row>
    <row r="19" spans="1:11" x14ac:dyDescent="0.25">
      <c r="A19" s="110"/>
      <c r="B19" s="110"/>
      <c r="C19" s="110"/>
      <c r="D19" s="112"/>
      <c r="E19" s="112"/>
      <c r="F19" s="112"/>
      <c r="G19" s="112"/>
      <c r="H19" s="112"/>
      <c r="I19" s="112"/>
      <c r="J19" s="110"/>
      <c r="K19" s="1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A658-AD03-408A-936A-8090B248FB53}">
  <dimension ref="A1:R77"/>
  <sheetViews>
    <sheetView zoomScale="85" zoomScaleNormal="85" workbookViewId="0">
      <selection sqref="A1:XFD1048576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32" customFormat="1" ht="17.25" x14ac:dyDescent="0.3">
      <c r="A1" s="231" t="s">
        <v>230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3" spans="1:18" s="2" customFormat="1" x14ac:dyDescent="0.25">
      <c r="A3" s="2" t="s">
        <v>16</v>
      </c>
      <c r="B3" s="2" t="s">
        <v>91</v>
      </c>
    </row>
    <row r="5" spans="1:18" ht="16.5" customHeight="1" x14ac:dyDescent="0.25">
      <c r="A5" s="213" t="s">
        <v>2</v>
      </c>
      <c r="B5" s="213" t="s">
        <v>15</v>
      </c>
      <c r="C5" s="213" t="s">
        <v>3</v>
      </c>
      <c r="D5" s="213" t="s">
        <v>13</v>
      </c>
      <c r="E5" s="213"/>
      <c r="F5" s="213"/>
      <c r="G5" s="234" t="s">
        <v>227</v>
      </c>
      <c r="H5" s="234"/>
      <c r="I5" s="234"/>
      <c r="J5" s="234"/>
      <c r="K5" s="234"/>
      <c r="L5" s="210"/>
    </row>
    <row r="6" spans="1:18" x14ac:dyDescent="0.25">
      <c r="A6" s="213"/>
      <c r="B6" s="213"/>
      <c r="C6" s="213"/>
      <c r="D6" s="195" t="s">
        <v>5</v>
      </c>
      <c r="E6" s="195" t="s">
        <v>6</v>
      </c>
      <c r="F6" s="195" t="s">
        <v>7</v>
      </c>
      <c r="G6" s="235">
        <v>45474</v>
      </c>
      <c r="H6" s="235">
        <v>45505</v>
      </c>
      <c r="I6" s="235">
        <v>45536</v>
      </c>
      <c r="J6" s="235">
        <v>45566</v>
      </c>
      <c r="K6" s="235">
        <v>45597</v>
      </c>
      <c r="L6" s="210"/>
    </row>
    <row r="7" spans="1:18" x14ac:dyDescent="0.25">
      <c r="A7" s="219" t="s">
        <v>92</v>
      </c>
      <c r="B7" s="220" t="s">
        <v>155</v>
      </c>
      <c r="C7" s="221"/>
      <c r="D7" s="223"/>
      <c r="E7" s="81"/>
      <c r="F7" s="222"/>
      <c r="G7" s="236"/>
      <c r="H7" s="236"/>
      <c r="I7" s="236"/>
      <c r="J7" s="236"/>
      <c r="K7" s="236"/>
      <c r="L7" s="210"/>
      <c r="N7" s="211"/>
      <c r="O7" s="211"/>
      <c r="P7" s="211"/>
      <c r="Q7" s="211"/>
      <c r="R7" s="211"/>
    </row>
    <row r="8" spans="1:18" x14ac:dyDescent="0.25">
      <c r="A8" s="206" t="s">
        <v>93</v>
      </c>
      <c r="B8" s="198" t="s">
        <v>156</v>
      </c>
      <c r="C8" s="197"/>
      <c r="D8" s="135"/>
      <c r="E8" s="22"/>
      <c r="F8" s="18"/>
      <c r="G8" s="237"/>
      <c r="H8" s="237"/>
      <c r="I8" s="237"/>
      <c r="J8" s="237"/>
      <c r="K8" s="237"/>
      <c r="L8" s="210"/>
      <c r="N8" s="211"/>
      <c r="O8" s="211"/>
      <c r="P8" s="211"/>
      <c r="Q8" s="211"/>
      <c r="R8" s="211"/>
    </row>
    <row r="9" spans="1:18" x14ac:dyDescent="0.25">
      <c r="A9" s="206" t="s">
        <v>17</v>
      </c>
      <c r="B9" s="198" t="s">
        <v>157</v>
      </c>
      <c r="C9" s="199"/>
      <c r="D9" s="172"/>
      <c r="E9" s="9"/>
      <c r="F9" s="19"/>
      <c r="G9" s="238"/>
      <c r="H9" s="238"/>
      <c r="I9" s="238"/>
      <c r="J9" s="238"/>
      <c r="K9" s="238"/>
      <c r="L9" s="210"/>
      <c r="N9" s="211"/>
      <c r="O9" s="211"/>
      <c r="P9" s="211"/>
      <c r="Q9" s="211"/>
      <c r="R9" s="211"/>
    </row>
    <row r="10" spans="1:18" x14ac:dyDescent="0.25">
      <c r="A10" s="207" t="s">
        <v>94</v>
      </c>
      <c r="B10" s="200" t="s">
        <v>158</v>
      </c>
      <c r="C10" s="199" t="s">
        <v>21</v>
      </c>
      <c r="D10" s="166">
        <v>897.34</v>
      </c>
      <c r="E10" s="139">
        <v>2.04</v>
      </c>
      <c r="F10" s="142">
        <v>1830.57</v>
      </c>
      <c r="G10" s="239">
        <f>$F10*N10</f>
        <v>915.28499999999997</v>
      </c>
      <c r="H10" s="239">
        <f>$F10*O10</f>
        <v>915.28499999999997</v>
      </c>
      <c r="I10" s="239">
        <f>$F10*P10</f>
        <v>0</v>
      </c>
      <c r="J10" s="239">
        <f>$F10*Q10</f>
        <v>0</v>
      </c>
      <c r="K10" s="239">
        <f>$F10*R10</f>
        <v>0</v>
      </c>
      <c r="L10" s="210">
        <f>F10-SUM(G10:K10)</f>
        <v>0</v>
      </c>
      <c r="N10" s="211">
        <v>0.5</v>
      </c>
      <c r="O10" s="211">
        <v>0.5</v>
      </c>
      <c r="P10" s="211"/>
      <c r="Q10" s="211"/>
      <c r="R10" s="211"/>
    </row>
    <row r="11" spans="1:18" x14ac:dyDescent="0.25">
      <c r="A11" s="207" t="s">
        <v>95</v>
      </c>
      <c r="B11" s="200" t="s">
        <v>159</v>
      </c>
      <c r="C11" s="199" t="s">
        <v>219</v>
      </c>
      <c r="D11" s="166">
        <v>897.34</v>
      </c>
      <c r="E11" s="139">
        <v>2.04</v>
      </c>
      <c r="F11" s="142">
        <v>1830.57</v>
      </c>
      <c r="G11" s="239">
        <f>$F11*N11</f>
        <v>457.64249999999998</v>
      </c>
      <c r="H11" s="239">
        <f>$F11*O11</f>
        <v>457.64249999999998</v>
      </c>
      <c r="I11" s="239">
        <f>$F11*P11</f>
        <v>457.64249999999998</v>
      </c>
      <c r="J11" s="239">
        <f>$F11*Q11</f>
        <v>457.64249999999998</v>
      </c>
      <c r="K11" s="239">
        <f>$F11*R11</f>
        <v>0</v>
      </c>
      <c r="L11" s="210">
        <f>F11-SUM(G11:K11)</f>
        <v>0</v>
      </c>
      <c r="N11" s="211">
        <v>0.25</v>
      </c>
      <c r="O11" s="211">
        <v>0.25</v>
      </c>
      <c r="P11" s="211">
        <v>0.25</v>
      </c>
      <c r="Q11" s="211">
        <v>0.25</v>
      </c>
      <c r="R11" s="211"/>
    </row>
    <row r="12" spans="1:18" x14ac:dyDescent="0.25">
      <c r="A12" s="206" t="s">
        <v>96</v>
      </c>
      <c r="B12" s="198" t="s">
        <v>160</v>
      </c>
      <c r="C12" s="199"/>
      <c r="D12" s="172"/>
      <c r="E12" s="9"/>
      <c r="F12" s="19"/>
      <c r="G12" s="238"/>
      <c r="H12" s="238"/>
      <c r="I12" s="238"/>
      <c r="J12" s="238"/>
      <c r="K12" s="238"/>
      <c r="L12" s="210"/>
      <c r="N12" s="211"/>
      <c r="O12" s="211"/>
      <c r="P12" s="211"/>
      <c r="Q12" s="211"/>
      <c r="R12" s="211"/>
    </row>
    <row r="13" spans="1:18" x14ac:dyDescent="0.25">
      <c r="A13" s="206" t="s">
        <v>97</v>
      </c>
      <c r="B13" s="198" t="s">
        <v>161</v>
      </c>
      <c r="C13" s="199"/>
      <c r="D13" s="172"/>
      <c r="E13" s="9"/>
      <c r="F13" s="19"/>
      <c r="G13" s="238"/>
      <c r="H13" s="238"/>
      <c r="I13" s="238"/>
      <c r="J13" s="238"/>
      <c r="K13" s="238"/>
      <c r="L13" s="210"/>
      <c r="N13" s="211"/>
      <c r="O13" s="211"/>
      <c r="P13" s="211"/>
      <c r="Q13" s="211"/>
      <c r="R13" s="211"/>
    </row>
    <row r="14" spans="1:18" x14ac:dyDescent="0.25">
      <c r="A14" s="206" t="s">
        <v>98</v>
      </c>
      <c r="B14" s="198" t="s">
        <v>162</v>
      </c>
      <c r="C14" s="199"/>
      <c r="D14" s="172"/>
      <c r="E14" s="9"/>
      <c r="F14" s="19"/>
      <c r="G14" s="238"/>
      <c r="H14" s="238"/>
      <c r="I14" s="238"/>
      <c r="J14" s="238"/>
      <c r="K14" s="238"/>
      <c r="L14" s="210"/>
      <c r="N14" s="211"/>
      <c r="O14" s="211"/>
      <c r="P14" s="211"/>
      <c r="Q14" s="211"/>
      <c r="R14" s="211"/>
    </row>
    <row r="15" spans="1:18" x14ac:dyDescent="0.25">
      <c r="A15" s="207" t="s">
        <v>99</v>
      </c>
      <c r="B15" s="200" t="s">
        <v>163</v>
      </c>
      <c r="C15" s="199" t="s">
        <v>81</v>
      </c>
      <c r="D15" s="166">
        <v>41.9</v>
      </c>
      <c r="E15" s="139">
        <v>46.74</v>
      </c>
      <c r="F15" s="142">
        <v>1958.41</v>
      </c>
      <c r="G15" s="239">
        <f>$F15*N15</f>
        <v>979.20500000000004</v>
      </c>
      <c r="H15" s="239">
        <f>$F15*O15</f>
        <v>979.20500000000004</v>
      </c>
      <c r="I15" s="239">
        <f>$F15*P15</f>
        <v>0</v>
      </c>
      <c r="J15" s="239">
        <f>$F15*Q15</f>
        <v>0</v>
      </c>
      <c r="K15" s="239">
        <f>$F15*R15</f>
        <v>0</v>
      </c>
      <c r="L15" s="210">
        <f>F15-SUM(G15:K15)</f>
        <v>0</v>
      </c>
      <c r="N15" s="211">
        <v>0.5</v>
      </c>
      <c r="O15" s="211">
        <v>0.5</v>
      </c>
      <c r="P15" s="211"/>
      <c r="Q15" s="211"/>
      <c r="R15" s="211"/>
    </row>
    <row r="16" spans="1:18" x14ac:dyDescent="0.25">
      <c r="A16" s="207" t="s">
        <v>100</v>
      </c>
      <c r="B16" s="200" t="s">
        <v>164</v>
      </c>
      <c r="C16" s="199" t="s">
        <v>81</v>
      </c>
      <c r="D16" s="166">
        <v>1975.16</v>
      </c>
      <c r="E16" s="139">
        <v>50.99</v>
      </c>
      <c r="F16" s="142">
        <v>100713.41</v>
      </c>
      <c r="G16" s="239">
        <f>$F16*N16</f>
        <v>50356.705000000002</v>
      </c>
      <c r="H16" s="239">
        <f>$F16*O16</f>
        <v>50356.705000000002</v>
      </c>
      <c r="I16" s="239">
        <f>$F16*P16</f>
        <v>0</v>
      </c>
      <c r="J16" s="239">
        <f>$F16*Q16</f>
        <v>0</v>
      </c>
      <c r="K16" s="239">
        <f>$F16*R16</f>
        <v>0</v>
      </c>
      <c r="L16" s="210">
        <f>F16-SUM(G16:K16)</f>
        <v>0</v>
      </c>
      <c r="N16" s="211">
        <v>0.5</v>
      </c>
      <c r="O16" s="211">
        <v>0.5</v>
      </c>
      <c r="P16" s="211"/>
      <c r="Q16" s="211"/>
      <c r="R16" s="211"/>
    </row>
    <row r="17" spans="1:18" x14ac:dyDescent="0.25">
      <c r="A17" s="206" t="s">
        <v>101</v>
      </c>
      <c r="B17" s="198" t="s">
        <v>165</v>
      </c>
      <c r="C17" s="199"/>
      <c r="D17" s="172"/>
      <c r="E17" s="9"/>
      <c r="F17" s="19"/>
      <c r="G17" s="238"/>
      <c r="H17" s="238"/>
      <c r="I17" s="238"/>
      <c r="J17" s="238"/>
      <c r="K17" s="238"/>
      <c r="L17" s="210"/>
      <c r="N17" s="211"/>
      <c r="O17" s="211"/>
      <c r="P17" s="211"/>
      <c r="Q17" s="211"/>
      <c r="R17" s="211"/>
    </row>
    <row r="18" spans="1:18" x14ac:dyDescent="0.25">
      <c r="A18" s="207" t="s">
        <v>102</v>
      </c>
      <c r="B18" s="200" t="s">
        <v>166</v>
      </c>
      <c r="C18" s="199" t="s">
        <v>81</v>
      </c>
      <c r="D18" s="166">
        <v>1197.9100000000001</v>
      </c>
      <c r="E18" s="139">
        <v>26.01</v>
      </c>
      <c r="F18" s="142">
        <v>31157.64</v>
      </c>
      <c r="G18" s="239">
        <f>$F18*N18</f>
        <v>0</v>
      </c>
      <c r="H18" s="239">
        <f>$F18*O18</f>
        <v>15578.82</v>
      </c>
      <c r="I18" s="239">
        <f>$F18*P18</f>
        <v>15578.82</v>
      </c>
      <c r="J18" s="239">
        <f>$F18*Q18</f>
        <v>0</v>
      </c>
      <c r="K18" s="239">
        <f>$F18*R18</f>
        <v>0</v>
      </c>
      <c r="L18" s="210">
        <f>F18-SUM(G18:K18)</f>
        <v>0</v>
      </c>
      <c r="N18" s="211"/>
      <c r="O18" s="211">
        <v>0.5</v>
      </c>
      <c r="P18" s="211">
        <v>0.5</v>
      </c>
      <c r="Q18" s="211"/>
      <c r="R18" s="211"/>
    </row>
    <row r="19" spans="1:18" x14ac:dyDescent="0.25">
      <c r="A19" s="206" t="s">
        <v>103</v>
      </c>
      <c r="B19" s="198" t="s">
        <v>167</v>
      </c>
      <c r="C19" s="197"/>
      <c r="D19" s="165"/>
      <c r="E19" s="8"/>
      <c r="F19" s="20"/>
      <c r="G19" s="240"/>
      <c r="H19" s="240"/>
      <c r="I19" s="240"/>
      <c r="J19" s="240"/>
      <c r="K19" s="240"/>
      <c r="L19" s="210"/>
      <c r="N19" s="211"/>
      <c r="O19" s="211"/>
      <c r="P19" s="211"/>
      <c r="Q19" s="211"/>
      <c r="R19" s="211"/>
    </row>
    <row r="20" spans="1:18" x14ac:dyDescent="0.25">
      <c r="A20" s="207" t="s">
        <v>104</v>
      </c>
      <c r="B20" s="200" t="s">
        <v>168</v>
      </c>
      <c r="C20" s="199" t="s">
        <v>81</v>
      </c>
      <c r="D20" s="166">
        <v>68.91</v>
      </c>
      <c r="E20" s="139">
        <v>17.53</v>
      </c>
      <c r="F20" s="142">
        <v>1207.99</v>
      </c>
      <c r="G20" s="239">
        <f>$F20*N20</f>
        <v>362.39699999999999</v>
      </c>
      <c r="H20" s="239">
        <f>$F20*O20</f>
        <v>603.995</v>
      </c>
      <c r="I20" s="239">
        <f>$F20*P20</f>
        <v>241.59800000000001</v>
      </c>
      <c r="J20" s="239">
        <f>$F20*Q20</f>
        <v>0</v>
      </c>
      <c r="K20" s="239">
        <f>$F20*R20</f>
        <v>0</v>
      </c>
      <c r="L20" s="210">
        <f>F20-SUM(G20:K20)</f>
        <v>0</v>
      </c>
      <c r="N20" s="211">
        <v>0.3</v>
      </c>
      <c r="O20" s="211">
        <v>0.5</v>
      </c>
      <c r="P20" s="211">
        <v>0.2</v>
      </c>
      <c r="Q20" s="211"/>
      <c r="R20" s="211"/>
    </row>
    <row r="21" spans="1:18" x14ac:dyDescent="0.25">
      <c r="A21" s="207" t="s">
        <v>105</v>
      </c>
      <c r="B21" s="200" t="s">
        <v>169</v>
      </c>
      <c r="C21" s="199" t="s">
        <v>22</v>
      </c>
      <c r="D21" s="166">
        <v>68.91</v>
      </c>
      <c r="E21" s="139">
        <v>16.02</v>
      </c>
      <c r="F21" s="142">
        <v>1103.94</v>
      </c>
      <c r="G21" s="239">
        <f>$F21*N21</f>
        <v>331.18200000000002</v>
      </c>
      <c r="H21" s="239">
        <f>$F21*O21</f>
        <v>331.18200000000002</v>
      </c>
      <c r="I21" s="239">
        <f>$F21*P21</f>
        <v>441.57600000000002</v>
      </c>
      <c r="J21" s="239">
        <f>$F21*Q21</f>
        <v>0</v>
      </c>
      <c r="K21" s="239">
        <f>$F21*R21</f>
        <v>0</v>
      </c>
      <c r="L21" s="210">
        <f>F21-SUM(G21:K21)</f>
        <v>0</v>
      </c>
      <c r="N21" s="211">
        <v>0.3</v>
      </c>
      <c r="O21" s="211">
        <v>0.3</v>
      </c>
      <c r="P21" s="211">
        <v>0.4</v>
      </c>
      <c r="Q21" s="211"/>
      <c r="R21" s="211"/>
    </row>
    <row r="22" spans="1:18" x14ac:dyDescent="0.25">
      <c r="A22" s="207" t="s">
        <v>106</v>
      </c>
      <c r="B22" s="200" t="s">
        <v>170</v>
      </c>
      <c r="C22" s="199" t="s">
        <v>81</v>
      </c>
      <c r="D22" s="166">
        <v>995.9</v>
      </c>
      <c r="E22" s="139">
        <v>21.84</v>
      </c>
      <c r="F22" s="142">
        <v>21750.46</v>
      </c>
      <c r="G22" s="239">
        <f>$F22*N22</f>
        <v>6525.1379999999999</v>
      </c>
      <c r="H22" s="239">
        <f>$F22*O22</f>
        <v>6525.1379999999999</v>
      </c>
      <c r="I22" s="239">
        <f>$F22*P22</f>
        <v>8700.1839999999993</v>
      </c>
      <c r="J22" s="239">
        <f>$F22*Q22</f>
        <v>0</v>
      </c>
      <c r="K22" s="239">
        <f>$F22*R22</f>
        <v>0</v>
      </c>
      <c r="L22" s="210">
        <f>F22-SUM(G22:K22)</f>
        <v>0</v>
      </c>
      <c r="N22" s="211">
        <v>0.3</v>
      </c>
      <c r="O22" s="211">
        <v>0.3</v>
      </c>
      <c r="P22" s="211">
        <v>0.4</v>
      </c>
      <c r="Q22" s="211"/>
      <c r="R22" s="211"/>
    </row>
    <row r="23" spans="1:18" x14ac:dyDescent="0.25">
      <c r="A23" s="206" t="s">
        <v>107</v>
      </c>
      <c r="B23" s="198" t="s">
        <v>171</v>
      </c>
      <c r="C23" s="201"/>
      <c r="D23" s="224"/>
      <c r="E23" s="51"/>
      <c r="F23" s="196"/>
      <c r="G23" s="238"/>
      <c r="H23" s="238"/>
      <c r="I23" s="238"/>
      <c r="J23" s="238"/>
      <c r="K23" s="238"/>
      <c r="L23" s="210"/>
      <c r="N23" s="211"/>
      <c r="O23" s="211"/>
      <c r="P23" s="211"/>
      <c r="Q23" s="211"/>
      <c r="R23" s="211"/>
    </row>
    <row r="24" spans="1:18" x14ac:dyDescent="0.25">
      <c r="A24" s="207" t="s">
        <v>108</v>
      </c>
      <c r="B24" s="200" t="s">
        <v>172</v>
      </c>
      <c r="C24" s="201" t="s">
        <v>219</v>
      </c>
      <c r="D24" s="168">
        <v>68.95</v>
      </c>
      <c r="E24" s="147">
        <v>4.72</v>
      </c>
      <c r="F24" s="142">
        <v>325.44</v>
      </c>
      <c r="G24" s="239">
        <f>$F24*N24</f>
        <v>65.088000000000008</v>
      </c>
      <c r="H24" s="239">
        <f>$F24*O24</f>
        <v>130.17600000000002</v>
      </c>
      <c r="I24" s="239">
        <f>$F24*P24</f>
        <v>130.17600000000002</v>
      </c>
      <c r="J24" s="239">
        <f>$F24*Q24</f>
        <v>0</v>
      </c>
      <c r="K24" s="239">
        <f>$F24*R24</f>
        <v>0</v>
      </c>
      <c r="L24" s="210">
        <f>F24-SUM(G24:K24)</f>
        <v>0</v>
      </c>
      <c r="N24" s="211">
        <v>0.2</v>
      </c>
      <c r="O24" s="211">
        <v>0.4</v>
      </c>
      <c r="P24" s="211">
        <v>0.4</v>
      </c>
      <c r="Q24" s="211"/>
      <c r="R24" s="211"/>
    </row>
    <row r="25" spans="1:18" x14ac:dyDescent="0.25">
      <c r="A25" s="207" t="s">
        <v>109</v>
      </c>
      <c r="B25" s="200" t="s">
        <v>173</v>
      </c>
      <c r="C25" s="201" t="s">
        <v>219</v>
      </c>
      <c r="D25" s="168">
        <v>8.56</v>
      </c>
      <c r="E25" s="147">
        <v>7.8500000000000005</v>
      </c>
      <c r="F25" s="142">
        <v>67.2</v>
      </c>
      <c r="G25" s="239">
        <f>$F25*N25</f>
        <v>13.440000000000001</v>
      </c>
      <c r="H25" s="239">
        <f>$F25*O25</f>
        <v>26.880000000000003</v>
      </c>
      <c r="I25" s="239">
        <f>$F25*P25</f>
        <v>26.880000000000003</v>
      </c>
      <c r="J25" s="239">
        <f>$F25*Q25</f>
        <v>0</v>
      </c>
      <c r="K25" s="239">
        <f>$F25*R25</f>
        <v>0</v>
      </c>
      <c r="L25" s="210">
        <f>F25-SUM(G25:K25)</f>
        <v>0</v>
      </c>
      <c r="N25" s="211">
        <v>0.2</v>
      </c>
      <c r="O25" s="211">
        <v>0.4</v>
      </c>
      <c r="P25" s="211">
        <v>0.4</v>
      </c>
      <c r="Q25" s="211"/>
      <c r="R25" s="211"/>
    </row>
    <row r="26" spans="1:18" x14ac:dyDescent="0.25">
      <c r="A26" s="207" t="s">
        <v>110</v>
      </c>
      <c r="B26" s="200" t="s">
        <v>174</v>
      </c>
      <c r="C26" s="201" t="s">
        <v>219</v>
      </c>
      <c r="D26" s="168">
        <v>68.95</v>
      </c>
      <c r="E26" s="147">
        <v>15.19</v>
      </c>
      <c r="F26" s="142">
        <v>1047.3499999999999</v>
      </c>
      <c r="G26" s="239">
        <f>$F26*N26</f>
        <v>209.47</v>
      </c>
      <c r="H26" s="239">
        <f>$F26*O26</f>
        <v>418.94</v>
      </c>
      <c r="I26" s="239">
        <f>$F26*P26</f>
        <v>418.94</v>
      </c>
      <c r="J26" s="239">
        <f>$F26*Q26</f>
        <v>0</v>
      </c>
      <c r="K26" s="239">
        <f>$F26*R26</f>
        <v>0</v>
      </c>
      <c r="L26" s="210">
        <f>F26-SUM(G26:K26)</f>
        <v>0</v>
      </c>
      <c r="N26" s="211">
        <v>0.2</v>
      </c>
      <c r="O26" s="211">
        <v>0.4</v>
      </c>
      <c r="P26" s="211">
        <v>0.4</v>
      </c>
      <c r="Q26" s="211"/>
      <c r="R26" s="211"/>
    </row>
    <row r="27" spans="1:18" x14ac:dyDescent="0.25">
      <c r="A27" s="207" t="s">
        <v>111</v>
      </c>
      <c r="B27" s="200" t="s">
        <v>175</v>
      </c>
      <c r="C27" s="201" t="s">
        <v>219</v>
      </c>
      <c r="D27" s="168">
        <v>8.56</v>
      </c>
      <c r="E27" s="147">
        <v>21.79</v>
      </c>
      <c r="F27" s="142">
        <v>186.52</v>
      </c>
      <c r="G27" s="239">
        <f>$F27*N27</f>
        <v>37.304000000000002</v>
      </c>
      <c r="H27" s="239">
        <f>$F27*O27</f>
        <v>74.608000000000004</v>
      </c>
      <c r="I27" s="239">
        <f>$F27*P27</f>
        <v>74.608000000000004</v>
      </c>
      <c r="J27" s="239">
        <f>$F27*Q27</f>
        <v>0</v>
      </c>
      <c r="K27" s="239">
        <f>$F27*R27</f>
        <v>0</v>
      </c>
      <c r="L27" s="210">
        <f>F27-SUM(G27:K27)</f>
        <v>0</v>
      </c>
      <c r="N27" s="211">
        <v>0.2</v>
      </c>
      <c r="O27" s="211">
        <v>0.4</v>
      </c>
      <c r="P27" s="211">
        <v>0.4</v>
      </c>
      <c r="Q27" s="211"/>
      <c r="R27" s="211"/>
    </row>
    <row r="28" spans="1:18" x14ac:dyDescent="0.25">
      <c r="A28" s="206" t="s">
        <v>112</v>
      </c>
      <c r="B28" s="198" t="s">
        <v>176</v>
      </c>
      <c r="C28" s="201"/>
      <c r="D28" s="224"/>
      <c r="E28" s="51"/>
      <c r="F28" s="196"/>
      <c r="G28" s="238"/>
      <c r="H28" s="238"/>
      <c r="I28" s="238"/>
      <c r="J28" s="238"/>
      <c r="K28" s="238"/>
      <c r="L28" s="210"/>
      <c r="N28" s="211"/>
      <c r="O28" s="211"/>
      <c r="P28" s="211"/>
      <c r="Q28" s="211"/>
      <c r="R28" s="211"/>
    </row>
    <row r="29" spans="1:18" x14ac:dyDescent="0.25">
      <c r="A29" s="206" t="s">
        <v>113</v>
      </c>
      <c r="B29" s="198" t="s">
        <v>177</v>
      </c>
      <c r="C29" s="201"/>
      <c r="D29" s="224"/>
      <c r="E29" s="51"/>
      <c r="F29" s="196"/>
      <c r="G29" s="238"/>
      <c r="H29" s="238"/>
      <c r="I29" s="238"/>
      <c r="J29" s="238"/>
      <c r="K29" s="238"/>
      <c r="L29" s="210"/>
      <c r="N29" s="211"/>
      <c r="O29" s="211"/>
      <c r="P29" s="211"/>
      <c r="Q29" s="211"/>
      <c r="R29" s="211"/>
    </row>
    <row r="30" spans="1:18" x14ac:dyDescent="0.25">
      <c r="A30" s="207" t="s">
        <v>114</v>
      </c>
      <c r="B30" s="200" t="s">
        <v>178</v>
      </c>
      <c r="C30" s="201" t="s">
        <v>81</v>
      </c>
      <c r="D30" s="168">
        <v>323.69</v>
      </c>
      <c r="E30" s="147">
        <v>173.72</v>
      </c>
      <c r="F30" s="142">
        <v>56231.43</v>
      </c>
      <c r="G30" s="239">
        <f>$F30*N30</f>
        <v>0</v>
      </c>
      <c r="H30" s="239">
        <f>$F30*O30</f>
        <v>28115.715</v>
      </c>
      <c r="I30" s="239">
        <f>$F30*P30</f>
        <v>28115.715</v>
      </c>
      <c r="J30" s="239">
        <f>$F30*Q30</f>
        <v>0</v>
      </c>
      <c r="K30" s="239">
        <f>$F30*R30</f>
        <v>0</v>
      </c>
      <c r="L30" s="210">
        <f>F30-SUM(G30:K30)</f>
        <v>0</v>
      </c>
      <c r="N30" s="211"/>
      <c r="O30" s="211">
        <v>0.5</v>
      </c>
      <c r="P30" s="211">
        <v>0.5</v>
      </c>
      <c r="Q30" s="211"/>
      <c r="R30" s="211"/>
    </row>
    <row r="31" spans="1:18" x14ac:dyDescent="0.25">
      <c r="A31" s="206" t="s">
        <v>115</v>
      </c>
      <c r="B31" s="198" t="s">
        <v>179</v>
      </c>
      <c r="C31" s="201"/>
      <c r="D31" s="224"/>
      <c r="E31" s="51"/>
      <c r="F31" s="196"/>
      <c r="G31" s="238"/>
      <c r="H31" s="238"/>
      <c r="I31" s="238"/>
      <c r="J31" s="238"/>
      <c r="K31" s="238"/>
      <c r="L31" s="210"/>
      <c r="N31" s="211"/>
      <c r="O31" s="211"/>
      <c r="P31" s="211"/>
      <c r="Q31" s="211"/>
      <c r="R31" s="211"/>
    </row>
    <row r="32" spans="1:18" x14ac:dyDescent="0.25">
      <c r="A32" s="207" t="s">
        <v>116</v>
      </c>
      <c r="B32" s="200" t="s">
        <v>180</v>
      </c>
      <c r="C32" s="201" t="s">
        <v>81</v>
      </c>
      <c r="D32" s="168">
        <v>24.73</v>
      </c>
      <c r="E32" s="147">
        <v>179.78</v>
      </c>
      <c r="F32" s="142">
        <v>4445.96</v>
      </c>
      <c r="G32" s="239">
        <f>$F32*N32</f>
        <v>0</v>
      </c>
      <c r="H32" s="239">
        <f>$F32*O32</f>
        <v>0</v>
      </c>
      <c r="I32" s="239">
        <f>$F32*P32</f>
        <v>2222.98</v>
      </c>
      <c r="J32" s="239">
        <f>$F32*Q32</f>
        <v>2222.98</v>
      </c>
      <c r="K32" s="239">
        <f>$F32*R32</f>
        <v>0</v>
      </c>
      <c r="L32" s="210">
        <f>F32-SUM(G32:K32)</f>
        <v>0</v>
      </c>
      <c r="N32" s="211"/>
      <c r="O32" s="211"/>
      <c r="P32" s="211">
        <v>0.5</v>
      </c>
      <c r="Q32" s="211">
        <v>0.5</v>
      </c>
      <c r="R32" s="211"/>
    </row>
    <row r="33" spans="1:18" x14ac:dyDescent="0.25">
      <c r="A33" s="207" t="s">
        <v>117</v>
      </c>
      <c r="B33" s="200" t="s">
        <v>181</v>
      </c>
      <c r="C33" s="201" t="s">
        <v>219</v>
      </c>
      <c r="D33" s="168">
        <v>23.09</v>
      </c>
      <c r="E33" s="147">
        <v>46.17</v>
      </c>
      <c r="F33" s="142">
        <v>1066.07</v>
      </c>
      <c r="G33" s="239">
        <f>$F33*N33</f>
        <v>0</v>
      </c>
      <c r="H33" s="239">
        <f>$F33*O33</f>
        <v>426.428</v>
      </c>
      <c r="I33" s="239">
        <f>$F33*P33</f>
        <v>426.428</v>
      </c>
      <c r="J33" s="239">
        <f>$F33*Q33</f>
        <v>213.214</v>
      </c>
      <c r="K33" s="239">
        <f>$F33*R33</f>
        <v>0</v>
      </c>
      <c r="L33" s="210">
        <f>F33-SUM(G33:K33)</f>
        <v>0</v>
      </c>
      <c r="N33" s="211"/>
      <c r="O33" s="211">
        <v>0.4</v>
      </c>
      <c r="P33" s="211">
        <v>0.4</v>
      </c>
      <c r="Q33" s="211">
        <v>0.2</v>
      </c>
      <c r="R33" s="211"/>
    </row>
    <row r="34" spans="1:18" x14ac:dyDescent="0.25">
      <c r="A34" s="207" t="s">
        <v>118</v>
      </c>
      <c r="B34" s="200" t="s">
        <v>182</v>
      </c>
      <c r="C34" s="201" t="s">
        <v>81</v>
      </c>
      <c r="D34" s="168">
        <v>163.82</v>
      </c>
      <c r="E34" s="147">
        <v>179.78</v>
      </c>
      <c r="F34" s="142">
        <v>29451.56</v>
      </c>
      <c r="G34" s="239">
        <f>$F34*N34</f>
        <v>29451.56</v>
      </c>
      <c r="H34" s="239">
        <f>$F34*O34</f>
        <v>0</v>
      </c>
      <c r="I34" s="239">
        <f>$F34*P34</f>
        <v>0</v>
      </c>
      <c r="J34" s="239">
        <f>$F34*Q34</f>
        <v>0</v>
      </c>
      <c r="K34" s="239">
        <f>$F34*R34</f>
        <v>0</v>
      </c>
      <c r="L34" s="210">
        <f>F34-SUM(G34:K34)</f>
        <v>0</v>
      </c>
      <c r="N34" s="211">
        <v>1</v>
      </c>
      <c r="O34" s="211"/>
      <c r="P34" s="211"/>
      <c r="Q34" s="211"/>
      <c r="R34" s="211"/>
    </row>
    <row r="35" spans="1:18" x14ac:dyDescent="0.25">
      <c r="A35" s="207" t="s">
        <v>119</v>
      </c>
      <c r="B35" s="200" t="s">
        <v>183</v>
      </c>
      <c r="C35" s="201" t="s">
        <v>219</v>
      </c>
      <c r="D35" s="168">
        <v>327.63</v>
      </c>
      <c r="E35" s="147">
        <v>37.47</v>
      </c>
      <c r="F35" s="142">
        <v>12276.3</v>
      </c>
      <c r="G35" s="239">
        <f>$F35*N35</f>
        <v>12276.3</v>
      </c>
      <c r="H35" s="239">
        <f>$F35*O35</f>
        <v>0</v>
      </c>
      <c r="I35" s="239">
        <f>$F35*P35</f>
        <v>0</v>
      </c>
      <c r="J35" s="239">
        <f>$F35*Q35</f>
        <v>0</v>
      </c>
      <c r="K35" s="239">
        <f>$F35*R35</f>
        <v>0</v>
      </c>
      <c r="L35" s="210">
        <f>F35-SUM(G35:K35)</f>
        <v>0</v>
      </c>
      <c r="N35" s="211">
        <v>1</v>
      </c>
      <c r="O35" s="211"/>
      <c r="P35" s="211"/>
      <c r="Q35" s="211"/>
      <c r="R35" s="211"/>
    </row>
    <row r="36" spans="1:18" x14ac:dyDescent="0.25">
      <c r="A36" s="206" t="s">
        <v>120</v>
      </c>
      <c r="B36" s="198" t="s">
        <v>184</v>
      </c>
      <c r="C36" s="201"/>
      <c r="D36" s="224"/>
      <c r="E36" s="51"/>
      <c r="F36" s="196"/>
      <c r="G36" s="238"/>
      <c r="H36" s="238"/>
      <c r="I36" s="238"/>
      <c r="J36" s="238"/>
      <c r="K36" s="238"/>
      <c r="L36" s="210"/>
      <c r="N36" s="211"/>
      <c r="O36" s="211"/>
      <c r="P36" s="211"/>
      <c r="Q36" s="211"/>
      <c r="R36" s="211"/>
    </row>
    <row r="37" spans="1:18" x14ac:dyDescent="0.25">
      <c r="A37" s="207" t="s">
        <v>121</v>
      </c>
      <c r="B37" s="200" t="s">
        <v>185</v>
      </c>
      <c r="C37" s="201" t="s">
        <v>81</v>
      </c>
      <c r="D37" s="168">
        <v>3.21</v>
      </c>
      <c r="E37" s="147">
        <v>260.59000000000003</v>
      </c>
      <c r="F37" s="142">
        <v>836.49</v>
      </c>
      <c r="G37" s="239">
        <f>$F37*N37</f>
        <v>0</v>
      </c>
      <c r="H37" s="239">
        <f>$F37*O37</f>
        <v>0</v>
      </c>
      <c r="I37" s="239">
        <f>$F37*P37</f>
        <v>418.245</v>
      </c>
      <c r="J37" s="239">
        <f>$F37*Q37</f>
        <v>418.245</v>
      </c>
      <c r="K37" s="239">
        <f>$F37*R37</f>
        <v>0</v>
      </c>
      <c r="L37" s="210">
        <f>F37-SUM(G37:K37)</f>
        <v>0</v>
      </c>
      <c r="N37" s="211"/>
      <c r="O37" s="211"/>
      <c r="P37" s="211">
        <v>0.5</v>
      </c>
      <c r="Q37" s="211">
        <v>0.5</v>
      </c>
      <c r="R37" s="211"/>
    </row>
    <row r="38" spans="1:18" x14ac:dyDescent="0.25">
      <c r="A38" s="207" t="s">
        <v>122</v>
      </c>
      <c r="B38" s="200" t="s">
        <v>186</v>
      </c>
      <c r="C38" s="201" t="s">
        <v>219</v>
      </c>
      <c r="D38" s="168">
        <v>43.95</v>
      </c>
      <c r="E38" s="147">
        <v>37.700000000000003</v>
      </c>
      <c r="F38" s="142">
        <v>1656.92</v>
      </c>
      <c r="G38" s="239">
        <f>$F38*N38</f>
        <v>0</v>
      </c>
      <c r="H38" s="239">
        <f>$F38*O38</f>
        <v>662.76800000000003</v>
      </c>
      <c r="I38" s="239">
        <f>$F38*P38</f>
        <v>662.76800000000003</v>
      </c>
      <c r="J38" s="239">
        <f>$F38*Q38</f>
        <v>331.38400000000001</v>
      </c>
      <c r="K38" s="239">
        <f>$F38*R38</f>
        <v>0</v>
      </c>
      <c r="L38" s="210">
        <f>F38-SUM(G38:K38)</f>
        <v>0</v>
      </c>
      <c r="N38" s="211"/>
      <c r="O38" s="211">
        <v>0.4</v>
      </c>
      <c r="P38" s="211">
        <v>0.4</v>
      </c>
      <c r="Q38" s="211">
        <v>0.2</v>
      </c>
      <c r="R38" s="211"/>
    </row>
    <row r="39" spans="1:18" x14ac:dyDescent="0.25">
      <c r="A39" s="206" t="s">
        <v>123</v>
      </c>
      <c r="B39" s="198" t="s">
        <v>187</v>
      </c>
      <c r="C39" s="201"/>
      <c r="D39" s="224"/>
      <c r="E39" s="51"/>
      <c r="F39" s="196"/>
      <c r="G39" s="238"/>
      <c r="H39" s="238"/>
      <c r="I39" s="238"/>
      <c r="J39" s="238"/>
      <c r="K39" s="238"/>
      <c r="L39" s="210"/>
      <c r="N39" s="211"/>
      <c r="O39" s="211"/>
      <c r="P39" s="211"/>
      <c r="Q39" s="211"/>
      <c r="R39" s="211"/>
    </row>
    <row r="40" spans="1:18" x14ac:dyDescent="0.25">
      <c r="A40" s="206" t="s">
        <v>124</v>
      </c>
      <c r="B40" s="198" t="s">
        <v>188</v>
      </c>
      <c r="C40" s="201"/>
      <c r="D40" s="224"/>
      <c r="E40" s="51"/>
      <c r="F40" s="196"/>
      <c r="G40" s="238"/>
      <c r="H40" s="238"/>
      <c r="I40" s="238"/>
      <c r="J40" s="238"/>
      <c r="K40" s="238"/>
      <c r="L40" s="210"/>
      <c r="N40" s="211"/>
      <c r="O40" s="211"/>
      <c r="P40" s="211"/>
      <c r="Q40" s="211"/>
      <c r="R40" s="211"/>
    </row>
    <row r="41" spans="1:18" x14ac:dyDescent="0.25">
      <c r="A41" s="207" t="s">
        <v>125</v>
      </c>
      <c r="B41" s="200" t="s">
        <v>189</v>
      </c>
      <c r="C41" s="201" t="s">
        <v>81</v>
      </c>
      <c r="D41" s="168">
        <v>396.75</v>
      </c>
      <c r="E41" s="147">
        <v>292.79000000000002</v>
      </c>
      <c r="F41" s="142">
        <v>116164.43</v>
      </c>
      <c r="G41" s="239">
        <f>$F41*N41</f>
        <v>34849.328999999998</v>
      </c>
      <c r="H41" s="239">
        <f>$F41*O41</f>
        <v>81315.100999999995</v>
      </c>
      <c r="I41" s="239">
        <f>$F41*P41</f>
        <v>0</v>
      </c>
      <c r="J41" s="239">
        <f>$F41*Q41</f>
        <v>0</v>
      </c>
      <c r="K41" s="239">
        <f>$F41*R41</f>
        <v>0</v>
      </c>
      <c r="L41" s="210">
        <f>F41-SUM(G41:K41)</f>
        <v>0</v>
      </c>
      <c r="N41" s="211">
        <v>0.3</v>
      </c>
      <c r="O41" s="211">
        <v>0.7</v>
      </c>
      <c r="P41" s="211"/>
      <c r="Q41" s="211"/>
      <c r="R41" s="211"/>
    </row>
    <row r="42" spans="1:18" x14ac:dyDescent="0.25">
      <c r="A42" s="207" t="s">
        <v>126</v>
      </c>
      <c r="B42" s="200" t="s">
        <v>190</v>
      </c>
      <c r="C42" s="201" t="s">
        <v>220</v>
      </c>
      <c r="D42" s="168">
        <v>17534.91</v>
      </c>
      <c r="E42" s="147">
        <v>4.0200000000000005</v>
      </c>
      <c r="F42" s="142">
        <v>70490.34</v>
      </c>
      <c r="G42" s="239">
        <f>$F42*N42</f>
        <v>21147.101999999999</v>
      </c>
      <c r="H42" s="239">
        <f>$F42*O42</f>
        <v>49343.237999999998</v>
      </c>
      <c r="I42" s="239">
        <f>$F42*P42</f>
        <v>0</v>
      </c>
      <c r="J42" s="239">
        <f>$F42*Q42</f>
        <v>0</v>
      </c>
      <c r="K42" s="239">
        <f>$F42*R42</f>
        <v>0</v>
      </c>
      <c r="L42" s="210">
        <f>F42-SUM(G42:K42)</f>
        <v>0</v>
      </c>
      <c r="N42" s="211">
        <v>0.3</v>
      </c>
      <c r="O42" s="211">
        <v>0.7</v>
      </c>
      <c r="P42" s="211"/>
      <c r="Q42" s="211"/>
      <c r="R42" s="211"/>
    </row>
    <row r="43" spans="1:18" x14ac:dyDescent="0.25">
      <c r="A43" s="206" t="s">
        <v>127</v>
      </c>
      <c r="B43" s="198" t="s">
        <v>191</v>
      </c>
      <c r="C43" s="201"/>
      <c r="D43" s="224"/>
      <c r="E43" s="51"/>
      <c r="F43" s="196"/>
      <c r="G43" s="238"/>
      <c r="H43" s="238"/>
      <c r="I43" s="238"/>
      <c r="J43" s="238"/>
      <c r="K43" s="238"/>
      <c r="L43" s="210"/>
      <c r="N43" s="211"/>
      <c r="O43" s="211"/>
      <c r="P43" s="211"/>
      <c r="Q43" s="211"/>
      <c r="R43" s="211"/>
    </row>
    <row r="44" spans="1:18" x14ac:dyDescent="0.25">
      <c r="A44" s="207" t="s">
        <v>128</v>
      </c>
      <c r="B44" s="200" t="s">
        <v>192</v>
      </c>
      <c r="C44" s="201" t="s">
        <v>81</v>
      </c>
      <c r="D44" s="168">
        <v>6.69</v>
      </c>
      <c r="E44" s="147">
        <v>454.82</v>
      </c>
      <c r="F44" s="142">
        <v>3042.75</v>
      </c>
      <c r="G44" s="239">
        <f>$F44*N44</f>
        <v>0</v>
      </c>
      <c r="H44" s="239">
        <f>$F44*O44</f>
        <v>912.82499999999993</v>
      </c>
      <c r="I44" s="239">
        <f>$F44*P44</f>
        <v>912.82499999999993</v>
      </c>
      <c r="J44" s="239">
        <f>$F44*Q44</f>
        <v>1217.1000000000001</v>
      </c>
      <c r="K44" s="239">
        <f>$F44*R44</f>
        <v>0</v>
      </c>
      <c r="L44" s="210">
        <f>F44-SUM(G44:K44)</f>
        <v>0</v>
      </c>
      <c r="N44" s="211"/>
      <c r="O44" s="211">
        <v>0.3</v>
      </c>
      <c r="P44" s="211">
        <v>0.3</v>
      </c>
      <c r="Q44" s="211">
        <v>0.4</v>
      </c>
      <c r="R44" s="211"/>
    </row>
    <row r="45" spans="1:18" x14ac:dyDescent="0.25">
      <c r="A45" s="207" t="s">
        <v>129</v>
      </c>
      <c r="B45" s="200" t="s">
        <v>193</v>
      </c>
      <c r="C45" s="201" t="s">
        <v>219</v>
      </c>
      <c r="D45" s="168">
        <v>74.180000000000007</v>
      </c>
      <c r="E45" s="147">
        <v>59.78</v>
      </c>
      <c r="F45" s="142">
        <v>4434.4799999999996</v>
      </c>
      <c r="G45" s="239">
        <f>$F45*N45</f>
        <v>0</v>
      </c>
      <c r="H45" s="239">
        <f>$F45*O45</f>
        <v>1330.3439999999998</v>
      </c>
      <c r="I45" s="239">
        <f>$F45*P45</f>
        <v>1330.3439999999998</v>
      </c>
      <c r="J45" s="239">
        <f>$F45*Q45</f>
        <v>1773.7919999999999</v>
      </c>
      <c r="K45" s="239">
        <f>$F45*R45</f>
        <v>0</v>
      </c>
      <c r="L45" s="210">
        <f>F45-SUM(G45:K45)</f>
        <v>0</v>
      </c>
      <c r="N45" s="211"/>
      <c r="O45" s="211">
        <v>0.3</v>
      </c>
      <c r="P45" s="211">
        <v>0.3</v>
      </c>
      <c r="Q45" s="211">
        <v>0.4</v>
      </c>
      <c r="R45" s="211"/>
    </row>
    <row r="46" spans="1:18" x14ac:dyDescent="0.25">
      <c r="A46" s="207" t="s">
        <v>130</v>
      </c>
      <c r="B46" s="200" t="s">
        <v>194</v>
      </c>
      <c r="C46" s="201" t="s">
        <v>220</v>
      </c>
      <c r="D46" s="168">
        <v>419.35</v>
      </c>
      <c r="E46" s="147">
        <v>4.0200000000000005</v>
      </c>
      <c r="F46" s="142">
        <v>1685.79</v>
      </c>
      <c r="G46" s="239">
        <f>$F46*N46</f>
        <v>0</v>
      </c>
      <c r="H46" s="239">
        <f>$F46*O46</f>
        <v>505.73699999999997</v>
      </c>
      <c r="I46" s="239">
        <f>$F46*P46</f>
        <v>505.73699999999997</v>
      </c>
      <c r="J46" s="239">
        <f>$F46*Q46</f>
        <v>674.31600000000003</v>
      </c>
      <c r="K46" s="239">
        <f>$F46*R46</f>
        <v>0</v>
      </c>
      <c r="L46" s="210">
        <f>F46-SUM(G46:K46)</f>
        <v>0</v>
      </c>
      <c r="N46" s="211"/>
      <c r="O46" s="211">
        <v>0.3</v>
      </c>
      <c r="P46" s="211">
        <v>0.3</v>
      </c>
      <c r="Q46" s="211">
        <v>0.4</v>
      </c>
      <c r="R46" s="211"/>
    </row>
    <row r="47" spans="1:18" x14ac:dyDescent="0.25">
      <c r="A47" s="207" t="s">
        <v>131</v>
      </c>
      <c r="B47" s="200" t="s">
        <v>195</v>
      </c>
      <c r="C47" s="201" t="s">
        <v>81</v>
      </c>
      <c r="D47" s="168">
        <v>256.52</v>
      </c>
      <c r="E47" s="147">
        <v>417.41</v>
      </c>
      <c r="F47" s="142">
        <v>107074.01</v>
      </c>
      <c r="G47" s="239">
        <f>$F47*N47</f>
        <v>0</v>
      </c>
      <c r="H47" s="239">
        <f>$F47*O47</f>
        <v>32122.202999999998</v>
      </c>
      <c r="I47" s="239">
        <f>$F47*P47</f>
        <v>32122.202999999998</v>
      </c>
      <c r="J47" s="239">
        <f>$F47*Q47</f>
        <v>42829.603999999999</v>
      </c>
      <c r="K47" s="239">
        <f>$F47*R47</f>
        <v>0</v>
      </c>
      <c r="L47" s="210">
        <f>F47-SUM(G47:K47)</f>
        <v>0</v>
      </c>
      <c r="N47" s="211"/>
      <c r="O47" s="211">
        <v>0.3</v>
      </c>
      <c r="P47" s="211">
        <v>0.3</v>
      </c>
      <c r="Q47" s="211">
        <v>0.4</v>
      </c>
      <c r="R47" s="211"/>
    </row>
    <row r="48" spans="1:18" x14ac:dyDescent="0.25">
      <c r="A48" s="207" t="s">
        <v>132</v>
      </c>
      <c r="B48" s="200" t="s">
        <v>196</v>
      </c>
      <c r="C48" s="201" t="s">
        <v>219</v>
      </c>
      <c r="D48" s="168">
        <v>2096.19</v>
      </c>
      <c r="E48" s="147">
        <v>51.21</v>
      </c>
      <c r="F48" s="142">
        <v>107345.89</v>
      </c>
      <c r="G48" s="239">
        <f>$F48*N48</f>
        <v>0</v>
      </c>
      <c r="H48" s="239">
        <f>$F48*O48</f>
        <v>32203.767</v>
      </c>
      <c r="I48" s="239">
        <f>$F48*P48</f>
        <v>32203.767</v>
      </c>
      <c r="J48" s="239">
        <f>$F48*Q48</f>
        <v>42938.356</v>
      </c>
      <c r="K48" s="239">
        <f>$F48*R48</f>
        <v>0</v>
      </c>
      <c r="L48" s="210">
        <f>F48-SUM(G48:K48)</f>
        <v>0</v>
      </c>
      <c r="N48" s="211"/>
      <c r="O48" s="211">
        <v>0.3</v>
      </c>
      <c r="P48" s="211">
        <v>0.3</v>
      </c>
      <c r="Q48" s="211">
        <v>0.4</v>
      </c>
      <c r="R48" s="211"/>
    </row>
    <row r="49" spans="1:18" x14ac:dyDescent="0.25">
      <c r="A49" s="207" t="s">
        <v>133</v>
      </c>
      <c r="B49" s="200" t="s">
        <v>197</v>
      </c>
      <c r="C49" s="201" t="s">
        <v>221</v>
      </c>
      <c r="D49" s="168">
        <v>18595.100000000002</v>
      </c>
      <c r="E49" s="147">
        <v>4.0200000000000005</v>
      </c>
      <c r="F49" s="142">
        <v>74752.3</v>
      </c>
      <c r="G49" s="239">
        <f>$F49*N49</f>
        <v>0</v>
      </c>
      <c r="H49" s="239">
        <f>$F49*O49</f>
        <v>22425.69</v>
      </c>
      <c r="I49" s="239">
        <f>$F49*P49</f>
        <v>22425.69</v>
      </c>
      <c r="J49" s="239">
        <f>$F49*Q49</f>
        <v>29900.920000000002</v>
      </c>
      <c r="K49" s="239">
        <f>$F49*R49</f>
        <v>0</v>
      </c>
      <c r="L49" s="210">
        <f>F49-SUM(G49:K49)</f>
        <v>0</v>
      </c>
      <c r="N49" s="211"/>
      <c r="O49" s="211">
        <v>0.3</v>
      </c>
      <c r="P49" s="211">
        <v>0.3</v>
      </c>
      <c r="Q49" s="211">
        <v>0.4</v>
      </c>
      <c r="R49" s="211"/>
    </row>
    <row r="50" spans="1:18" x14ac:dyDescent="0.25">
      <c r="A50" s="206" t="s">
        <v>134</v>
      </c>
      <c r="B50" s="198" t="s">
        <v>198</v>
      </c>
      <c r="C50" s="201"/>
      <c r="D50" s="224"/>
      <c r="E50" s="51"/>
      <c r="F50" s="196"/>
      <c r="G50" s="238"/>
      <c r="H50" s="238"/>
      <c r="I50" s="238"/>
      <c r="J50" s="238"/>
      <c r="K50" s="238"/>
      <c r="L50" s="210"/>
      <c r="N50" s="211"/>
      <c r="O50" s="211"/>
      <c r="P50" s="211"/>
      <c r="Q50" s="211"/>
      <c r="R50" s="211"/>
    </row>
    <row r="51" spans="1:18" x14ac:dyDescent="0.25">
      <c r="A51" s="208" t="s">
        <v>135</v>
      </c>
      <c r="B51" s="202" t="s">
        <v>199</v>
      </c>
      <c r="C51" s="201" t="s">
        <v>81</v>
      </c>
      <c r="D51" s="168">
        <v>66.63</v>
      </c>
      <c r="E51" s="147">
        <v>442.62</v>
      </c>
      <c r="F51" s="142">
        <v>29491.77</v>
      </c>
      <c r="G51" s="239">
        <f>$F51*N51</f>
        <v>0</v>
      </c>
      <c r="H51" s="239">
        <f>$F51*O51</f>
        <v>0</v>
      </c>
      <c r="I51" s="239">
        <f>$F51*P51</f>
        <v>8847.530999999999</v>
      </c>
      <c r="J51" s="239">
        <f>$F51*Q51</f>
        <v>8847.530999999999</v>
      </c>
      <c r="K51" s="239">
        <f>$F51*R51</f>
        <v>11796.708000000001</v>
      </c>
      <c r="L51" s="210">
        <f>F51-SUM(G51:K51)</f>
        <v>0</v>
      </c>
      <c r="N51" s="211"/>
      <c r="O51" s="211"/>
      <c r="P51" s="211">
        <v>0.3</v>
      </c>
      <c r="Q51" s="211">
        <v>0.3</v>
      </c>
      <c r="R51" s="211">
        <v>0.4</v>
      </c>
    </row>
    <row r="52" spans="1:18" x14ac:dyDescent="0.25">
      <c r="A52" s="209" t="s">
        <v>136</v>
      </c>
      <c r="B52" s="203" t="s">
        <v>200</v>
      </c>
      <c r="C52" s="201" t="s">
        <v>219</v>
      </c>
      <c r="D52" s="168">
        <v>901.38</v>
      </c>
      <c r="E52" s="147">
        <v>60.480000000000004</v>
      </c>
      <c r="F52" s="142">
        <v>54515.46</v>
      </c>
      <c r="G52" s="239">
        <f>$F52*N52</f>
        <v>0</v>
      </c>
      <c r="H52" s="239">
        <f>$F52*O52</f>
        <v>0</v>
      </c>
      <c r="I52" s="239">
        <f>$F52*P52</f>
        <v>16354.637999999999</v>
      </c>
      <c r="J52" s="239">
        <f>$F52*Q52</f>
        <v>16354.637999999999</v>
      </c>
      <c r="K52" s="239">
        <f>$F52*R52</f>
        <v>21806.184000000001</v>
      </c>
      <c r="L52" s="210">
        <f>F52-SUM(G52:K52)</f>
        <v>0</v>
      </c>
      <c r="N52" s="211"/>
      <c r="O52" s="211"/>
      <c r="P52" s="211">
        <v>0.3</v>
      </c>
      <c r="Q52" s="211">
        <v>0.3</v>
      </c>
      <c r="R52" s="211">
        <v>0.4</v>
      </c>
    </row>
    <row r="53" spans="1:18" x14ac:dyDescent="0.25">
      <c r="A53" s="207" t="s">
        <v>137</v>
      </c>
      <c r="B53" s="200" t="s">
        <v>201</v>
      </c>
      <c r="C53" s="201" t="s">
        <v>220</v>
      </c>
      <c r="D53" s="168">
        <v>11604.02</v>
      </c>
      <c r="E53" s="147">
        <v>4.0200000000000005</v>
      </c>
      <c r="F53" s="142">
        <v>46648.160000000003</v>
      </c>
      <c r="G53" s="239">
        <f>$F53*N53</f>
        <v>0</v>
      </c>
      <c r="H53" s="239">
        <f>$F53*O53</f>
        <v>0</v>
      </c>
      <c r="I53" s="239">
        <f>$F53*P53</f>
        <v>13994.448</v>
      </c>
      <c r="J53" s="239">
        <f>$F53*Q53</f>
        <v>13994.448</v>
      </c>
      <c r="K53" s="239">
        <f>$F53*R53</f>
        <v>18659.264000000003</v>
      </c>
      <c r="L53" s="210">
        <f>F53-SUM(G53:K53)</f>
        <v>0</v>
      </c>
      <c r="N53" s="211"/>
      <c r="O53" s="211"/>
      <c r="P53" s="211">
        <v>0.3</v>
      </c>
      <c r="Q53" s="211">
        <v>0.3</v>
      </c>
      <c r="R53" s="211">
        <v>0.4</v>
      </c>
    </row>
    <row r="54" spans="1:18" x14ac:dyDescent="0.25">
      <c r="A54" s="206" t="s">
        <v>138</v>
      </c>
      <c r="B54" s="198" t="s">
        <v>202</v>
      </c>
      <c r="C54" s="201"/>
      <c r="D54" s="224"/>
      <c r="E54" s="51"/>
      <c r="F54" s="196"/>
      <c r="G54" s="238"/>
      <c r="H54" s="238"/>
      <c r="I54" s="238"/>
      <c r="J54" s="238"/>
      <c r="K54" s="238"/>
      <c r="L54" s="210"/>
      <c r="N54" s="211"/>
      <c r="O54" s="211"/>
      <c r="P54" s="211"/>
      <c r="Q54" s="211"/>
      <c r="R54" s="211"/>
    </row>
    <row r="55" spans="1:18" x14ac:dyDescent="0.25">
      <c r="A55" s="207" t="s">
        <v>139</v>
      </c>
      <c r="B55" s="200" t="s">
        <v>203</v>
      </c>
      <c r="C55" s="201" t="s">
        <v>81</v>
      </c>
      <c r="D55" s="168">
        <v>36.119999999999997</v>
      </c>
      <c r="E55" s="147">
        <v>325.93</v>
      </c>
      <c r="F55" s="142">
        <v>11772.59</v>
      </c>
      <c r="G55" s="239">
        <f>$F55*N55</f>
        <v>0</v>
      </c>
      <c r="H55" s="239">
        <f>$F55*O55</f>
        <v>0</v>
      </c>
      <c r="I55" s="239">
        <f>$F55*P55</f>
        <v>3531.777</v>
      </c>
      <c r="J55" s="239">
        <f>$F55*Q55</f>
        <v>3531.777</v>
      </c>
      <c r="K55" s="239">
        <f>$F55*R55</f>
        <v>4709.0360000000001</v>
      </c>
      <c r="L55" s="210">
        <f>F55-SUM(G55:K55)</f>
        <v>0</v>
      </c>
      <c r="N55" s="211"/>
      <c r="O55" s="211"/>
      <c r="P55" s="211">
        <v>0.3</v>
      </c>
      <c r="Q55" s="211">
        <v>0.3</v>
      </c>
      <c r="R55" s="211">
        <v>0.4</v>
      </c>
    </row>
    <row r="56" spans="1:18" x14ac:dyDescent="0.25">
      <c r="A56" s="207" t="s">
        <v>140</v>
      </c>
      <c r="B56" s="200" t="s">
        <v>204</v>
      </c>
      <c r="C56" s="201" t="s">
        <v>219</v>
      </c>
      <c r="D56" s="168">
        <v>545.23</v>
      </c>
      <c r="E56" s="147">
        <v>70.38</v>
      </c>
      <c r="F56" s="142">
        <v>38373.29</v>
      </c>
      <c r="G56" s="239">
        <f>$F56*N56</f>
        <v>0</v>
      </c>
      <c r="H56" s="239">
        <f>$F56*O56</f>
        <v>0</v>
      </c>
      <c r="I56" s="239">
        <f>$F56*P56</f>
        <v>11511.986999999999</v>
      </c>
      <c r="J56" s="239">
        <f>$F56*Q56</f>
        <v>11511.986999999999</v>
      </c>
      <c r="K56" s="239">
        <f>$F56*R56</f>
        <v>15349.316000000001</v>
      </c>
      <c r="L56" s="210">
        <f>F56-SUM(G56:K56)</f>
        <v>0</v>
      </c>
      <c r="N56" s="211"/>
      <c r="O56" s="211"/>
      <c r="P56" s="211">
        <v>0.3</v>
      </c>
      <c r="Q56" s="211">
        <v>0.3</v>
      </c>
      <c r="R56" s="211">
        <v>0.4</v>
      </c>
    </row>
    <row r="57" spans="1:18" x14ac:dyDescent="0.25">
      <c r="A57" s="207" t="s">
        <v>141</v>
      </c>
      <c r="B57" s="200" t="s">
        <v>205</v>
      </c>
      <c r="C57" s="201" t="s">
        <v>220</v>
      </c>
      <c r="D57" s="168">
        <v>5144.6000000000004</v>
      </c>
      <c r="E57" s="147">
        <v>4.0200000000000005</v>
      </c>
      <c r="F57" s="142">
        <v>20681.29</v>
      </c>
      <c r="G57" s="239">
        <f>$F57*N57</f>
        <v>0</v>
      </c>
      <c r="H57" s="239">
        <f>$F57*O57</f>
        <v>0</v>
      </c>
      <c r="I57" s="239">
        <f>$F57*P57</f>
        <v>6204.3869999999997</v>
      </c>
      <c r="J57" s="239">
        <f>$F57*Q57</f>
        <v>6204.3869999999997</v>
      </c>
      <c r="K57" s="239">
        <f>$F57*R57</f>
        <v>8272.5160000000014</v>
      </c>
      <c r="L57" s="210">
        <f>F57-SUM(G57:K57)</f>
        <v>0</v>
      </c>
      <c r="N57" s="211"/>
      <c r="O57" s="211"/>
      <c r="P57" s="211">
        <v>0.3</v>
      </c>
      <c r="Q57" s="211">
        <v>0.3</v>
      </c>
      <c r="R57" s="211">
        <v>0.4</v>
      </c>
    </row>
    <row r="58" spans="1:18" x14ac:dyDescent="0.25">
      <c r="A58" s="206" t="s">
        <v>142</v>
      </c>
      <c r="B58" s="198" t="s">
        <v>206</v>
      </c>
      <c r="C58" s="201"/>
      <c r="D58" s="224"/>
      <c r="E58" s="51"/>
      <c r="F58" s="20"/>
      <c r="G58" s="238"/>
      <c r="H58" s="238"/>
      <c r="I58" s="238"/>
      <c r="J58" s="238"/>
      <c r="K58" s="238"/>
      <c r="L58" s="210"/>
      <c r="N58" s="211"/>
      <c r="O58" s="211"/>
      <c r="P58" s="211"/>
      <c r="Q58" s="211"/>
      <c r="R58" s="211"/>
    </row>
    <row r="59" spans="1:18" x14ac:dyDescent="0.25">
      <c r="A59" s="207" t="s">
        <v>143</v>
      </c>
      <c r="B59" s="200" t="s">
        <v>207</v>
      </c>
      <c r="C59" s="201" t="s">
        <v>22</v>
      </c>
      <c r="D59" s="168">
        <v>0.63</v>
      </c>
      <c r="E59" s="147">
        <v>325.93</v>
      </c>
      <c r="F59" s="142">
        <v>205.34</v>
      </c>
      <c r="G59" s="239">
        <f>$F59*N59</f>
        <v>0</v>
      </c>
      <c r="H59" s="239">
        <f>$F59*O59</f>
        <v>0</v>
      </c>
      <c r="I59" s="239">
        <f>$F59*P59</f>
        <v>61.601999999999997</v>
      </c>
      <c r="J59" s="239">
        <f>$F59*Q59</f>
        <v>61.601999999999997</v>
      </c>
      <c r="K59" s="239">
        <f>$F59*R59</f>
        <v>82.13600000000001</v>
      </c>
      <c r="L59" s="210">
        <f>F59-SUM(G59:K59)</f>
        <v>0</v>
      </c>
      <c r="N59" s="211"/>
      <c r="O59" s="211"/>
      <c r="P59" s="211">
        <v>0.3</v>
      </c>
      <c r="Q59" s="211">
        <v>0.3</v>
      </c>
      <c r="R59" s="211">
        <v>0.4</v>
      </c>
    </row>
    <row r="60" spans="1:18" x14ac:dyDescent="0.25">
      <c r="A60" s="207" t="s">
        <v>144</v>
      </c>
      <c r="B60" s="200" t="s">
        <v>208</v>
      </c>
      <c r="C60" s="201" t="s">
        <v>219</v>
      </c>
      <c r="D60" s="168">
        <v>6.54</v>
      </c>
      <c r="E60" s="147">
        <v>55.43</v>
      </c>
      <c r="F60" s="142">
        <v>362.51</v>
      </c>
      <c r="G60" s="239">
        <f>$F60*N60</f>
        <v>0</v>
      </c>
      <c r="H60" s="239">
        <f>$F60*O60</f>
        <v>0</v>
      </c>
      <c r="I60" s="239">
        <f>$F60*P60</f>
        <v>108.753</v>
      </c>
      <c r="J60" s="239">
        <f>$F60*Q60</f>
        <v>108.753</v>
      </c>
      <c r="K60" s="239">
        <f>$F60*R60</f>
        <v>145.00399999999999</v>
      </c>
      <c r="L60" s="210">
        <f>F60-SUM(G60:K60)</f>
        <v>0</v>
      </c>
      <c r="N60" s="211"/>
      <c r="O60" s="211"/>
      <c r="P60" s="211">
        <v>0.3</v>
      </c>
      <c r="Q60" s="211">
        <v>0.3</v>
      </c>
      <c r="R60" s="211">
        <v>0.4</v>
      </c>
    </row>
    <row r="61" spans="1:18" x14ac:dyDescent="0.25">
      <c r="A61" s="207" t="s">
        <v>145</v>
      </c>
      <c r="B61" s="200" t="s">
        <v>209</v>
      </c>
      <c r="C61" s="201" t="s">
        <v>220</v>
      </c>
      <c r="D61" s="168">
        <v>73.150000000000006</v>
      </c>
      <c r="E61" s="147">
        <v>4.0200000000000005</v>
      </c>
      <c r="F61" s="142">
        <v>294.06</v>
      </c>
      <c r="G61" s="239">
        <f>$F61*N61</f>
        <v>0</v>
      </c>
      <c r="H61" s="239">
        <f>$F61*O61</f>
        <v>0</v>
      </c>
      <c r="I61" s="239">
        <f>$F61*P61</f>
        <v>88.218000000000004</v>
      </c>
      <c r="J61" s="239">
        <f>$F61*Q61</f>
        <v>88.218000000000004</v>
      </c>
      <c r="K61" s="239">
        <f>$F61*R61</f>
        <v>117.62400000000001</v>
      </c>
      <c r="L61" s="210">
        <f>F61-SUM(G61:K61)</f>
        <v>0</v>
      </c>
      <c r="N61" s="211"/>
      <c r="O61" s="211"/>
      <c r="P61" s="211">
        <v>0.3</v>
      </c>
      <c r="Q61" s="211">
        <v>0.3</v>
      </c>
      <c r="R61" s="211">
        <v>0.4</v>
      </c>
    </row>
    <row r="62" spans="1:18" x14ac:dyDescent="0.25">
      <c r="A62" s="206" t="s">
        <v>146</v>
      </c>
      <c r="B62" s="198" t="s">
        <v>210</v>
      </c>
      <c r="C62" s="201"/>
      <c r="D62" s="224"/>
      <c r="E62" s="51"/>
      <c r="F62" s="196"/>
      <c r="G62" s="238"/>
      <c r="H62" s="238"/>
      <c r="I62" s="238"/>
      <c r="J62" s="238"/>
      <c r="K62" s="238"/>
      <c r="L62" s="210"/>
      <c r="N62" s="211"/>
      <c r="O62" s="211"/>
      <c r="P62" s="211"/>
      <c r="Q62" s="211"/>
      <c r="R62" s="211"/>
    </row>
    <row r="63" spans="1:18" x14ac:dyDescent="0.25">
      <c r="A63" s="207" t="s">
        <v>147</v>
      </c>
      <c r="B63" s="200" t="s">
        <v>211</v>
      </c>
      <c r="C63" s="201" t="s">
        <v>81</v>
      </c>
      <c r="D63" s="168">
        <v>2.13</v>
      </c>
      <c r="E63" s="147">
        <v>315.52</v>
      </c>
      <c r="F63" s="142">
        <v>672.06</v>
      </c>
      <c r="G63" s="239">
        <f>$F63*N63</f>
        <v>0</v>
      </c>
      <c r="H63" s="239">
        <f>$F63*O63</f>
        <v>0</v>
      </c>
      <c r="I63" s="239">
        <f>$F63*P63</f>
        <v>201.61799999999997</v>
      </c>
      <c r="J63" s="239">
        <f>$F63*Q63</f>
        <v>201.61799999999997</v>
      </c>
      <c r="K63" s="239">
        <f>$F63*R63</f>
        <v>268.82400000000001</v>
      </c>
      <c r="L63" s="210">
        <f>F63-SUM(G63:K63)</f>
        <v>0</v>
      </c>
      <c r="N63" s="211"/>
      <c r="O63" s="211"/>
      <c r="P63" s="211">
        <v>0.3</v>
      </c>
      <c r="Q63" s="211">
        <v>0.3</v>
      </c>
      <c r="R63" s="211">
        <v>0.4</v>
      </c>
    </row>
    <row r="64" spans="1:18" x14ac:dyDescent="0.25">
      <c r="A64" s="207" t="s">
        <v>148</v>
      </c>
      <c r="B64" s="200" t="s">
        <v>212</v>
      </c>
      <c r="C64" s="201" t="s">
        <v>219</v>
      </c>
      <c r="D64" s="168">
        <v>24.72</v>
      </c>
      <c r="E64" s="147">
        <v>43.61</v>
      </c>
      <c r="F64" s="142">
        <v>1078.04</v>
      </c>
      <c r="G64" s="239">
        <f>$F64*N64</f>
        <v>0</v>
      </c>
      <c r="H64" s="239">
        <f>$F64*O64</f>
        <v>0</v>
      </c>
      <c r="I64" s="239">
        <f>$F64*P64</f>
        <v>323.41199999999998</v>
      </c>
      <c r="J64" s="239">
        <f>$F64*Q64</f>
        <v>323.41199999999998</v>
      </c>
      <c r="K64" s="239">
        <f>$F64*R64</f>
        <v>431.21600000000001</v>
      </c>
      <c r="L64" s="210">
        <f>F64-SUM(G64:K64)</f>
        <v>0</v>
      </c>
      <c r="N64" s="211"/>
      <c r="O64" s="211"/>
      <c r="P64" s="211">
        <v>0.3</v>
      </c>
      <c r="Q64" s="211">
        <v>0.3</v>
      </c>
      <c r="R64" s="211">
        <v>0.4</v>
      </c>
    </row>
    <row r="65" spans="1:18" x14ac:dyDescent="0.25">
      <c r="A65" s="207" t="s">
        <v>149</v>
      </c>
      <c r="B65" s="200" t="s">
        <v>213</v>
      </c>
      <c r="C65" s="201" t="s">
        <v>220</v>
      </c>
      <c r="D65" s="168">
        <v>93.93</v>
      </c>
      <c r="E65" s="147">
        <v>4.0200000000000005</v>
      </c>
      <c r="F65" s="142">
        <v>377.6</v>
      </c>
      <c r="G65" s="239">
        <f>$F65*N65</f>
        <v>0</v>
      </c>
      <c r="H65" s="239">
        <f>$F65*O65</f>
        <v>0</v>
      </c>
      <c r="I65" s="239">
        <f>$F65*P65</f>
        <v>113.28</v>
      </c>
      <c r="J65" s="239">
        <f>$F65*Q65</f>
        <v>113.28</v>
      </c>
      <c r="K65" s="239">
        <f>$F65*R65</f>
        <v>151.04000000000002</v>
      </c>
      <c r="L65" s="210">
        <f>F65-SUM(G65:K65)</f>
        <v>0</v>
      </c>
      <c r="N65" s="211"/>
      <c r="O65" s="211"/>
      <c r="P65" s="211">
        <v>0.3</v>
      </c>
      <c r="Q65" s="211">
        <v>0.3</v>
      </c>
      <c r="R65" s="211">
        <v>0.4</v>
      </c>
    </row>
    <row r="66" spans="1:18" x14ac:dyDescent="0.25">
      <c r="A66" s="207" t="s">
        <v>150</v>
      </c>
      <c r="B66" s="200" t="s">
        <v>214</v>
      </c>
      <c r="C66" s="201" t="s">
        <v>222</v>
      </c>
      <c r="D66" s="168">
        <v>205.92000000000002</v>
      </c>
      <c r="E66" s="147">
        <v>2.4900000000000002</v>
      </c>
      <c r="F66" s="142">
        <v>512.74</v>
      </c>
      <c r="G66" s="239">
        <f>$F66*N66</f>
        <v>0</v>
      </c>
      <c r="H66" s="239">
        <f>$F66*O66</f>
        <v>0</v>
      </c>
      <c r="I66" s="239">
        <f>$F66*P66</f>
        <v>153.822</v>
      </c>
      <c r="J66" s="239">
        <f>$F66*Q66</f>
        <v>153.822</v>
      </c>
      <c r="K66" s="239">
        <f>$F66*R66</f>
        <v>205.096</v>
      </c>
      <c r="L66" s="210">
        <f>F66-SUM(G66:K66)</f>
        <v>0</v>
      </c>
      <c r="N66" s="211"/>
      <c r="O66" s="211"/>
      <c r="P66" s="211">
        <v>0.3</v>
      </c>
      <c r="Q66" s="211">
        <v>0.3</v>
      </c>
      <c r="R66" s="211">
        <v>0.4</v>
      </c>
    </row>
    <row r="67" spans="1:18" x14ac:dyDescent="0.25">
      <c r="A67" s="206" t="s">
        <v>151</v>
      </c>
      <c r="B67" s="198" t="s">
        <v>215</v>
      </c>
      <c r="C67" s="201"/>
      <c r="D67" s="224"/>
      <c r="E67" s="51"/>
      <c r="F67" s="196"/>
      <c r="G67" s="238"/>
      <c r="H67" s="238"/>
      <c r="I67" s="238"/>
      <c r="J67" s="238"/>
      <c r="K67" s="238"/>
      <c r="L67" s="210"/>
      <c r="N67" s="211"/>
      <c r="O67" s="211"/>
      <c r="P67" s="211"/>
      <c r="Q67" s="211"/>
      <c r="R67" s="211"/>
    </row>
    <row r="68" spans="1:18" x14ac:dyDescent="0.25">
      <c r="A68" s="207" t="s">
        <v>152</v>
      </c>
      <c r="B68" s="200" t="s">
        <v>216</v>
      </c>
      <c r="C68" s="162" t="s">
        <v>219</v>
      </c>
      <c r="D68" s="168">
        <v>12.31</v>
      </c>
      <c r="E68" s="147">
        <v>80.040000000000006</v>
      </c>
      <c r="F68" s="142">
        <v>985.29</v>
      </c>
      <c r="G68" s="239">
        <f>$F68*N68</f>
        <v>0</v>
      </c>
      <c r="H68" s="239">
        <f>$F68*O68</f>
        <v>0</v>
      </c>
      <c r="I68" s="239">
        <f>$F68*P68</f>
        <v>295.58699999999999</v>
      </c>
      <c r="J68" s="239">
        <f>$F68*Q68</f>
        <v>295.58699999999999</v>
      </c>
      <c r="K68" s="239">
        <f>$F68*R68</f>
        <v>394.11599999999999</v>
      </c>
      <c r="L68" s="210">
        <f>F68-SUM(G68:K68)</f>
        <v>0</v>
      </c>
      <c r="N68" s="211"/>
      <c r="O68" s="211"/>
      <c r="P68" s="211">
        <v>0.3</v>
      </c>
      <c r="Q68" s="211">
        <v>0.3</v>
      </c>
      <c r="R68" s="211">
        <v>0.4</v>
      </c>
    </row>
    <row r="69" spans="1:18" x14ac:dyDescent="0.25">
      <c r="A69" s="207" t="s">
        <v>153</v>
      </c>
      <c r="B69" s="200" t="s">
        <v>217</v>
      </c>
      <c r="C69" s="162" t="s">
        <v>219</v>
      </c>
      <c r="D69" s="168">
        <v>6.96</v>
      </c>
      <c r="E69" s="147">
        <v>41.15</v>
      </c>
      <c r="F69" s="142">
        <v>286.39999999999998</v>
      </c>
      <c r="G69" s="239">
        <f>$F69*N69</f>
        <v>0</v>
      </c>
      <c r="H69" s="239">
        <f>$F69*O69</f>
        <v>0</v>
      </c>
      <c r="I69" s="239">
        <f>$F69*P69</f>
        <v>85.919999999999987</v>
      </c>
      <c r="J69" s="239">
        <f>$F69*Q69</f>
        <v>85.919999999999987</v>
      </c>
      <c r="K69" s="239">
        <f>$F69*R69</f>
        <v>114.56</v>
      </c>
      <c r="L69" s="210">
        <f>F69-SUM(G69:K69)</f>
        <v>0</v>
      </c>
      <c r="N69" s="211"/>
      <c r="O69" s="211"/>
      <c r="P69" s="211">
        <v>0.3</v>
      </c>
      <c r="Q69" s="211">
        <v>0.3</v>
      </c>
      <c r="R69" s="211">
        <v>0.4</v>
      </c>
    </row>
    <row r="70" spans="1:18" x14ac:dyDescent="0.25">
      <c r="A70" s="208" t="s">
        <v>154</v>
      </c>
      <c r="B70" s="202" t="s">
        <v>218</v>
      </c>
      <c r="C70" s="162" t="s">
        <v>221</v>
      </c>
      <c r="D70" s="168">
        <v>83.01</v>
      </c>
      <c r="E70" s="147">
        <v>4.0200000000000005</v>
      </c>
      <c r="F70" s="148">
        <v>333.7</v>
      </c>
      <c r="G70" s="241">
        <f>$F70*N70</f>
        <v>0</v>
      </c>
      <c r="H70" s="241">
        <f>$F70*O70</f>
        <v>0</v>
      </c>
      <c r="I70" s="241">
        <f>$F70*P70</f>
        <v>100.11</v>
      </c>
      <c r="J70" s="241">
        <f>$F70*Q70</f>
        <v>100.11</v>
      </c>
      <c r="K70" s="241">
        <f>$F70*R70</f>
        <v>133.47999999999999</v>
      </c>
      <c r="L70" s="210">
        <f>F70-SUM(G70:K70)</f>
        <v>0</v>
      </c>
      <c r="N70" s="211"/>
      <c r="O70" s="211"/>
      <c r="P70" s="211">
        <v>0.3</v>
      </c>
      <c r="Q70" s="211">
        <v>0.3</v>
      </c>
      <c r="R70" s="211">
        <v>0.4</v>
      </c>
    </row>
    <row r="71" spans="1:18" x14ac:dyDescent="0.25">
      <c r="A71" s="25"/>
      <c r="B71" s="21" t="s">
        <v>23</v>
      </c>
      <c r="C71" s="25"/>
      <c r="D71" s="169"/>
      <c r="E71" s="7"/>
      <c r="F71" s="226">
        <f>SUM(F7:F70)</f>
        <v>960724.52000000014</v>
      </c>
      <c r="G71" s="226">
        <f>SUM(G7:G70)</f>
        <v>157977.14750000002</v>
      </c>
      <c r="H71" s="226">
        <f>SUM(H7:H70)</f>
        <v>325762.39250000002</v>
      </c>
      <c r="I71" s="226">
        <f t="shared" ref="I71:K71" si="0">SUM(I7:I70)</f>
        <v>209394.21649999998</v>
      </c>
      <c r="J71" s="226">
        <f t="shared" si="0"/>
        <v>184954.64349999998</v>
      </c>
      <c r="K71" s="226">
        <f t="shared" si="0"/>
        <v>82636.119999999981</v>
      </c>
      <c r="L71" s="210"/>
    </row>
    <row r="72" spans="1:18" x14ac:dyDescent="0.25">
      <c r="A72" s="85"/>
      <c r="B72" s="86" t="s">
        <v>58</v>
      </c>
      <c r="C72" s="85"/>
      <c r="D72" s="225"/>
      <c r="E72" s="40"/>
      <c r="F72" s="227">
        <f>F71*0.15</f>
        <v>144108.67800000001</v>
      </c>
      <c r="G72" s="227">
        <f t="shared" ref="G72:K72" si="1">G71*0.15</f>
        <v>23696.572125000002</v>
      </c>
      <c r="H72" s="227">
        <f t="shared" si="1"/>
        <v>48864.358874999998</v>
      </c>
      <c r="I72" s="227">
        <f t="shared" si="1"/>
        <v>31409.132474999995</v>
      </c>
      <c r="J72" s="227">
        <f t="shared" si="1"/>
        <v>27743.196524999996</v>
      </c>
      <c r="K72" s="227">
        <f t="shared" si="1"/>
        <v>12395.417999999996</v>
      </c>
      <c r="L72" s="210"/>
    </row>
    <row r="73" spans="1:18" x14ac:dyDescent="0.25">
      <c r="A73" s="85"/>
      <c r="B73" s="86" t="s">
        <v>228</v>
      </c>
      <c r="C73" s="85"/>
      <c r="D73" s="225"/>
      <c r="E73" s="40"/>
      <c r="F73" s="227">
        <f>F71*0.05</f>
        <v>48036.22600000001</v>
      </c>
      <c r="G73" s="227">
        <f t="shared" ref="G73:K73" si="2">G71*0.05</f>
        <v>7898.8573750000014</v>
      </c>
      <c r="H73" s="227">
        <f t="shared" si="2"/>
        <v>16288.119625000001</v>
      </c>
      <c r="I73" s="227">
        <f t="shared" si="2"/>
        <v>10469.710825</v>
      </c>
      <c r="J73" s="227">
        <f t="shared" si="2"/>
        <v>9247.7321749999992</v>
      </c>
      <c r="K73" s="227">
        <f t="shared" si="2"/>
        <v>4131.8059999999996</v>
      </c>
      <c r="L73" s="210"/>
    </row>
    <row r="74" spans="1:18" x14ac:dyDescent="0.25">
      <c r="A74" s="38"/>
      <c r="B74" s="81" t="s">
        <v>60</v>
      </c>
      <c r="C74" s="38"/>
      <c r="D74" s="171"/>
      <c r="E74" s="39"/>
      <c r="F74" s="228">
        <f>SUM(F71:F73)</f>
        <v>1152869.4240000001</v>
      </c>
      <c r="G74" s="228">
        <f t="shared" ref="G74:K74" si="3">SUM(G71:G73)</f>
        <v>189572.57700000002</v>
      </c>
      <c r="H74" s="228">
        <f t="shared" si="3"/>
        <v>390914.87099999998</v>
      </c>
      <c r="I74" s="228">
        <f t="shared" si="3"/>
        <v>251273.05979999996</v>
      </c>
      <c r="J74" s="228">
        <f t="shared" si="3"/>
        <v>221945.5722</v>
      </c>
      <c r="K74" s="228">
        <f t="shared" si="3"/>
        <v>99163.343999999968</v>
      </c>
      <c r="L74" s="210"/>
    </row>
    <row r="75" spans="1:18" x14ac:dyDescent="0.25">
      <c r="A75" s="204"/>
      <c r="B75" s="205" t="s">
        <v>24</v>
      </c>
      <c r="C75" s="204"/>
      <c r="D75" s="172"/>
      <c r="E75" s="9"/>
      <c r="F75" s="229">
        <f>ROUND(F74*0.18,2)</f>
        <v>207516.5</v>
      </c>
      <c r="G75" s="229">
        <f t="shared" ref="G75:K75" si="4">ROUND(G74*0.18,2)</f>
        <v>34123.06</v>
      </c>
      <c r="H75" s="229">
        <f t="shared" si="4"/>
        <v>70364.679999999993</v>
      </c>
      <c r="I75" s="229">
        <f t="shared" si="4"/>
        <v>45229.15</v>
      </c>
      <c r="J75" s="229">
        <f t="shared" si="4"/>
        <v>39950.199999999997</v>
      </c>
      <c r="K75" s="229">
        <f t="shared" si="4"/>
        <v>17849.400000000001</v>
      </c>
      <c r="L75" s="210"/>
    </row>
    <row r="76" spans="1:18" x14ac:dyDescent="0.25">
      <c r="A76" s="28"/>
      <c r="B76" s="29" t="s">
        <v>31</v>
      </c>
      <c r="C76" s="28"/>
      <c r="D76" s="173"/>
      <c r="E76" s="31"/>
      <c r="F76" s="230">
        <f>SUM(F74:F75)</f>
        <v>1360385.9240000001</v>
      </c>
      <c r="G76" s="230">
        <f t="shared" ref="G76:K76" si="5">SUM(G74:G75)</f>
        <v>223695.63700000002</v>
      </c>
      <c r="H76" s="230">
        <f t="shared" si="5"/>
        <v>461279.55099999998</v>
      </c>
      <c r="I76" s="230">
        <f t="shared" si="5"/>
        <v>296502.20979999995</v>
      </c>
      <c r="J76" s="230">
        <f t="shared" si="5"/>
        <v>261895.77220000001</v>
      </c>
      <c r="K76" s="230">
        <f t="shared" si="5"/>
        <v>117012.74399999998</v>
      </c>
      <c r="L76" s="210"/>
    </row>
    <row r="77" spans="1:18" x14ac:dyDescent="0.25">
      <c r="L77" s="210"/>
    </row>
  </sheetData>
  <mergeCells count="6">
    <mergeCell ref="A1:K1"/>
    <mergeCell ref="A5:A6"/>
    <mergeCell ref="C5:C6"/>
    <mergeCell ref="B5:B6"/>
    <mergeCell ref="D5:F5"/>
    <mergeCell ref="G5:K5"/>
  </mergeCells>
  <phoneticPr fontId="4" type="noConversion"/>
  <pageMargins left="0.7" right="0.7" top="0.75" bottom="0.75" header="0.3" footer="0.3"/>
  <pageSetup paperSize="9" orientation="portrait" copies="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E4FB-5FF2-4C7D-BEE7-FAE5BF436E21}">
  <dimension ref="A1:R77"/>
  <sheetViews>
    <sheetView workbookViewId="0">
      <selection sqref="A1:XFD1048576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32" customFormat="1" ht="17.25" x14ac:dyDescent="0.3">
      <c r="A1" s="231" t="s">
        <v>229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3" spans="1:18" s="2" customFormat="1" x14ac:dyDescent="0.25">
      <c r="A3" s="2" t="s">
        <v>16</v>
      </c>
      <c r="B3" s="2" t="s">
        <v>91</v>
      </c>
    </row>
    <row r="5" spans="1:18" ht="16.5" customHeight="1" x14ac:dyDescent="0.25">
      <c r="A5" s="213" t="s">
        <v>2</v>
      </c>
      <c r="B5" s="213" t="s">
        <v>15</v>
      </c>
      <c r="C5" s="213" t="s">
        <v>3</v>
      </c>
      <c r="D5" s="213" t="s">
        <v>13</v>
      </c>
      <c r="E5" s="213"/>
      <c r="F5" s="213"/>
      <c r="G5" s="242" t="s">
        <v>227</v>
      </c>
      <c r="H5" s="242"/>
      <c r="I5" s="242"/>
      <c r="J5" s="242"/>
      <c r="K5" s="242"/>
      <c r="L5" s="210"/>
    </row>
    <row r="6" spans="1:18" x14ac:dyDescent="0.25">
      <c r="A6" s="213"/>
      <c r="B6" s="213"/>
      <c r="C6" s="213"/>
      <c r="D6" s="195" t="s">
        <v>5</v>
      </c>
      <c r="E6" s="195" t="s">
        <v>6</v>
      </c>
      <c r="F6" s="195" t="s">
        <v>7</v>
      </c>
      <c r="G6" s="243">
        <v>45474</v>
      </c>
      <c r="H6" s="243">
        <v>45505</v>
      </c>
      <c r="I6" s="243">
        <v>45536</v>
      </c>
      <c r="J6" s="243">
        <v>45566</v>
      </c>
      <c r="K6" s="243">
        <v>45597</v>
      </c>
      <c r="L6" s="210"/>
    </row>
    <row r="7" spans="1:18" x14ac:dyDescent="0.25">
      <c r="A7" s="219" t="s">
        <v>92</v>
      </c>
      <c r="B7" s="220" t="s">
        <v>155</v>
      </c>
      <c r="C7" s="221"/>
      <c r="D7" s="223"/>
      <c r="E7" s="81"/>
      <c r="F7" s="222"/>
      <c r="G7" s="236"/>
      <c r="H7" s="236"/>
      <c r="I7" s="236"/>
      <c r="J7" s="236"/>
      <c r="K7" s="236"/>
      <c r="L7" s="210"/>
      <c r="N7" s="211"/>
      <c r="O7" s="211"/>
      <c r="P7" s="211"/>
      <c r="Q7" s="211"/>
      <c r="R7" s="211"/>
    </row>
    <row r="8" spans="1:18" x14ac:dyDescent="0.25">
      <c r="A8" s="206" t="s">
        <v>93</v>
      </c>
      <c r="B8" s="198" t="s">
        <v>156</v>
      </c>
      <c r="C8" s="197"/>
      <c r="D8" s="135"/>
      <c r="E8" s="22"/>
      <c r="F8" s="18"/>
      <c r="G8" s="237"/>
      <c r="H8" s="237"/>
      <c r="I8" s="237"/>
      <c r="J8" s="237"/>
      <c r="K8" s="237"/>
      <c r="L8" s="210"/>
      <c r="N8" s="211"/>
      <c r="O8" s="211"/>
      <c r="P8" s="211"/>
      <c r="Q8" s="211"/>
      <c r="R8" s="211"/>
    </row>
    <row r="9" spans="1:18" x14ac:dyDescent="0.25">
      <c r="A9" s="206" t="s">
        <v>17</v>
      </c>
      <c r="B9" s="198" t="s">
        <v>157</v>
      </c>
      <c r="C9" s="199"/>
      <c r="D9" s="172"/>
      <c r="E9" s="9"/>
      <c r="F9" s="19"/>
      <c r="G9" s="238"/>
      <c r="H9" s="238"/>
      <c r="I9" s="238"/>
      <c r="J9" s="238"/>
      <c r="K9" s="238"/>
      <c r="L9" s="210"/>
      <c r="N9" s="211"/>
      <c r="O9" s="211"/>
      <c r="P9" s="211"/>
      <c r="Q9" s="211"/>
      <c r="R9" s="211"/>
    </row>
    <row r="10" spans="1:18" x14ac:dyDescent="0.25">
      <c r="A10" s="207" t="s">
        <v>94</v>
      </c>
      <c r="B10" s="200" t="s">
        <v>158</v>
      </c>
      <c r="C10" s="199" t="s">
        <v>21</v>
      </c>
      <c r="D10" s="166">
        <v>942.21</v>
      </c>
      <c r="E10" s="139">
        <v>1.33</v>
      </c>
      <c r="F10" s="142">
        <v>1253.1400000000001</v>
      </c>
      <c r="G10" s="239">
        <f>$F10*N10</f>
        <v>626.57000000000005</v>
      </c>
      <c r="H10" s="239">
        <f>$F10*O10</f>
        <v>626.57000000000005</v>
      </c>
      <c r="I10" s="239">
        <f>$F10*P10</f>
        <v>0</v>
      </c>
      <c r="J10" s="239">
        <f>$F10*Q10</f>
        <v>0</v>
      </c>
      <c r="K10" s="239">
        <f>$F10*R10</f>
        <v>0</v>
      </c>
      <c r="L10" s="210">
        <f>F10-SUM(G10:K10)</f>
        <v>0</v>
      </c>
      <c r="N10" s="211">
        <v>0.5</v>
      </c>
      <c r="O10" s="211">
        <v>0.5</v>
      </c>
      <c r="P10" s="211"/>
      <c r="Q10" s="211"/>
      <c r="R10" s="211"/>
    </row>
    <row r="11" spans="1:18" x14ac:dyDescent="0.25">
      <c r="A11" s="207" t="s">
        <v>95</v>
      </c>
      <c r="B11" s="200" t="s">
        <v>159</v>
      </c>
      <c r="C11" s="199" t="s">
        <v>219</v>
      </c>
      <c r="D11" s="166">
        <v>942.21</v>
      </c>
      <c r="E11" s="139">
        <v>1.33</v>
      </c>
      <c r="F11" s="142">
        <v>1253.1400000000001</v>
      </c>
      <c r="G11" s="239">
        <f>$F11*N11</f>
        <v>313.28500000000003</v>
      </c>
      <c r="H11" s="239">
        <f>$F11*O11</f>
        <v>313.28500000000003</v>
      </c>
      <c r="I11" s="239">
        <f>$F11*P11</f>
        <v>313.28500000000003</v>
      </c>
      <c r="J11" s="239">
        <f>$F11*Q11</f>
        <v>313.28500000000003</v>
      </c>
      <c r="K11" s="239">
        <f>$F11*R11</f>
        <v>0</v>
      </c>
      <c r="L11" s="210">
        <f>F11-SUM(G11:K11)</f>
        <v>0</v>
      </c>
      <c r="N11" s="211">
        <v>0.25</v>
      </c>
      <c r="O11" s="211">
        <v>0.25</v>
      </c>
      <c r="P11" s="211">
        <v>0.25</v>
      </c>
      <c r="Q11" s="211">
        <v>0.25</v>
      </c>
      <c r="R11" s="211"/>
    </row>
    <row r="12" spans="1:18" x14ac:dyDescent="0.25">
      <c r="A12" s="206" t="s">
        <v>96</v>
      </c>
      <c r="B12" s="198" t="s">
        <v>160</v>
      </c>
      <c r="C12" s="199"/>
      <c r="D12" s="172"/>
      <c r="E12" s="9"/>
      <c r="F12" s="19"/>
      <c r="G12" s="238"/>
      <c r="H12" s="238"/>
      <c r="I12" s="238"/>
      <c r="J12" s="238"/>
      <c r="K12" s="238"/>
      <c r="L12" s="210"/>
      <c r="N12" s="211"/>
      <c r="O12" s="211"/>
      <c r="P12" s="211"/>
      <c r="Q12" s="211"/>
      <c r="R12" s="211"/>
    </row>
    <row r="13" spans="1:18" x14ac:dyDescent="0.25">
      <c r="A13" s="206" t="s">
        <v>97</v>
      </c>
      <c r="B13" s="198" t="s">
        <v>161</v>
      </c>
      <c r="C13" s="199"/>
      <c r="D13" s="172"/>
      <c r="E13" s="9"/>
      <c r="F13" s="19"/>
      <c r="G13" s="238"/>
      <c r="H13" s="238"/>
      <c r="I13" s="238"/>
      <c r="J13" s="238"/>
      <c r="K13" s="238"/>
      <c r="L13" s="210"/>
      <c r="N13" s="211"/>
      <c r="O13" s="211"/>
      <c r="P13" s="211"/>
      <c r="Q13" s="211"/>
      <c r="R13" s="211"/>
    </row>
    <row r="14" spans="1:18" x14ac:dyDescent="0.25">
      <c r="A14" s="206" t="s">
        <v>98</v>
      </c>
      <c r="B14" s="198" t="s">
        <v>162</v>
      </c>
      <c r="C14" s="199"/>
      <c r="D14" s="172"/>
      <c r="E14" s="9"/>
      <c r="F14" s="19"/>
      <c r="G14" s="238"/>
      <c r="H14" s="238"/>
      <c r="I14" s="238"/>
      <c r="J14" s="238"/>
      <c r="K14" s="238"/>
      <c r="L14" s="210"/>
      <c r="N14" s="211"/>
      <c r="O14" s="211"/>
      <c r="P14" s="211"/>
      <c r="Q14" s="211"/>
      <c r="R14" s="211"/>
    </row>
    <row r="15" spans="1:18" x14ac:dyDescent="0.25">
      <c r="A15" s="207" t="s">
        <v>99</v>
      </c>
      <c r="B15" s="200" t="s">
        <v>163</v>
      </c>
      <c r="C15" s="199" t="s">
        <v>81</v>
      </c>
      <c r="D15" s="166">
        <v>39.81</v>
      </c>
      <c r="E15" s="139">
        <v>29.22</v>
      </c>
      <c r="F15" s="142">
        <v>1163.25</v>
      </c>
      <c r="G15" s="239">
        <f>$F15*N15</f>
        <v>581.625</v>
      </c>
      <c r="H15" s="239">
        <f>$F15*O15</f>
        <v>581.625</v>
      </c>
      <c r="I15" s="239">
        <f>$F15*P15</f>
        <v>0</v>
      </c>
      <c r="J15" s="239">
        <f>$F15*Q15</f>
        <v>0</v>
      </c>
      <c r="K15" s="239">
        <f>$F15*R15</f>
        <v>0</v>
      </c>
      <c r="L15" s="210">
        <f>F15-SUM(G15:K15)</f>
        <v>0</v>
      </c>
      <c r="N15" s="211">
        <v>0.5</v>
      </c>
      <c r="O15" s="211">
        <v>0.5</v>
      </c>
      <c r="P15" s="211"/>
      <c r="Q15" s="211"/>
      <c r="R15" s="211"/>
    </row>
    <row r="16" spans="1:18" x14ac:dyDescent="0.25">
      <c r="A16" s="207" t="s">
        <v>100</v>
      </c>
      <c r="B16" s="200" t="s">
        <v>164</v>
      </c>
      <c r="C16" s="199" t="s">
        <v>81</v>
      </c>
      <c r="D16" s="166">
        <v>1876.4</v>
      </c>
      <c r="E16" s="139">
        <v>33.36</v>
      </c>
      <c r="F16" s="142">
        <v>62596.7</v>
      </c>
      <c r="G16" s="239">
        <f>$F16*N16</f>
        <v>31298.35</v>
      </c>
      <c r="H16" s="239">
        <f>$F16*O16</f>
        <v>31298.35</v>
      </c>
      <c r="I16" s="239">
        <f>$F16*P16</f>
        <v>0</v>
      </c>
      <c r="J16" s="239">
        <f>$F16*Q16</f>
        <v>0</v>
      </c>
      <c r="K16" s="239">
        <f>$F16*R16</f>
        <v>0</v>
      </c>
      <c r="L16" s="210">
        <f>F16-SUM(G16:K16)</f>
        <v>0</v>
      </c>
      <c r="N16" s="211">
        <v>0.5</v>
      </c>
      <c r="O16" s="211">
        <v>0.5</v>
      </c>
      <c r="P16" s="211"/>
      <c r="Q16" s="211"/>
      <c r="R16" s="211"/>
    </row>
    <row r="17" spans="1:18" x14ac:dyDescent="0.25">
      <c r="A17" s="206" t="s">
        <v>101</v>
      </c>
      <c r="B17" s="198" t="s">
        <v>165</v>
      </c>
      <c r="C17" s="199"/>
      <c r="D17" s="172"/>
      <c r="E17" s="9"/>
      <c r="F17" s="19"/>
      <c r="G17" s="238"/>
      <c r="H17" s="238"/>
      <c r="I17" s="238"/>
      <c r="J17" s="238"/>
      <c r="K17" s="238"/>
      <c r="L17" s="210"/>
      <c r="N17" s="211"/>
      <c r="O17" s="211"/>
      <c r="P17" s="211"/>
      <c r="Q17" s="211"/>
      <c r="R17" s="211"/>
    </row>
    <row r="18" spans="1:18" x14ac:dyDescent="0.25">
      <c r="A18" s="207" t="s">
        <v>102</v>
      </c>
      <c r="B18" s="200" t="s">
        <v>166</v>
      </c>
      <c r="C18" s="199" t="s">
        <v>81</v>
      </c>
      <c r="D18" s="166">
        <v>1138.01</v>
      </c>
      <c r="E18" s="139">
        <v>15</v>
      </c>
      <c r="F18" s="142">
        <v>17070.150000000001</v>
      </c>
      <c r="G18" s="239">
        <f>$F18*N18</f>
        <v>0</v>
      </c>
      <c r="H18" s="239">
        <f>$F18*O18</f>
        <v>8535.0750000000007</v>
      </c>
      <c r="I18" s="239">
        <f>$F18*P18</f>
        <v>8535.0750000000007</v>
      </c>
      <c r="J18" s="239">
        <f>$F18*Q18</f>
        <v>0</v>
      </c>
      <c r="K18" s="239">
        <f>$F18*R18</f>
        <v>0</v>
      </c>
      <c r="L18" s="210">
        <f>F18-SUM(G18:K18)</f>
        <v>0</v>
      </c>
      <c r="N18" s="211"/>
      <c r="O18" s="211">
        <v>0.5</v>
      </c>
      <c r="P18" s="211">
        <v>0.5</v>
      </c>
      <c r="Q18" s="211"/>
      <c r="R18" s="211"/>
    </row>
    <row r="19" spans="1:18" x14ac:dyDescent="0.25">
      <c r="A19" s="206" t="s">
        <v>103</v>
      </c>
      <c r="B19" s="198" t="s">
        <v>167</v>
      </c>
      <c r="C19" s="197"/>
      <c r="D19" s="165"/>
      <c r="E19" s="8"/>
      <c r="F19" s="20"/>
      <c r="G19" s="240"/>
      <c r="H19" s="240"/>
      <c r="I19" s="240"/>
      <c r="J19" s="240"/>
      <c r="K19" s="240"/>
      <c r="L19" s="210"/>
      <c r="N19" s="211"/>
      <c r="O19" s="211"/>
      <c r="P19" s="211"/>
      <c r="Q19" s="211"/>
      <c r="R19" s="211"/>
    </row>
    <row r="20" spans="1:18" x14ac:dyDescent="0.25">
      <c r="A20" s="207" t="s">
        <v>104</v>
      </c>
      <c r="B20" s="200" t="s">
        <v>168</v>
      </c>
      <c r="C20" s="199" t="s">
        <v>81</v>
      </c>
      <c r="D20" s="166">
        <v>1118.06</v>
      </c>
      <c r="E20" s="139">
        <v>18.27</v>
      </c>
      <c r="F20" s="142">
        <v>20426.96</v>
      </c>
      <c r="G20" s="239">
        <f>$F20*N20</f>
        <v>6128.0879999999997</v>
      </c>
      <c r="H20" s="239">
        <f>$F20*O20</f>
        <v>10213.48</v>
      </c>
      <c r="I20" s="239">
        <f>$F20*P20</f>
        <v>4085.3919999999998</v>
      </c>
      <c r="J20" s="239">
        <f>$F20*Q20</f>
        <v>0</v>
      </c>
      <c r="K20" s="239">
        <f>$F20*R20</f>
        <v>0</v>
      </c>
      <c r="L20" s="210">
        <f>F20-SUM(G20:K20)</f>
        <v>0</v>
      </c>
      <c r="N20" s="211">
        <v>0.3</v>
      </c>
      <c r="O20" s="211">
        <v>0.5</v>
      </c>
      <c r="P20" s="211">
        <v>0.2</v>
      </c>
      <c r="Q20" s="211"/>
      <c r="R20" s="211"/>
    </row>
    <row r="21" spans="1:18" x14ac:dyDescent="0.25">
      <c r="A21" s="207" t="s">
        <v>105</v>
      </c>
      <c r="B21" s="200" t="s">
        <v>169</v>
      </c>
      <c r="C21" s="199" t="s">
        <v>22</v>
      </c>
      <c r="D21" s="166"/>
      <c r="E21" s="139"/>
      <c r="F21" s="142"/>
      <c r="G21" s="239">
        <f>$F21*N21</f>
        <v>0</v>
      </c>
      <c r="H21" s="239">
        <f>$F21*O21</f>
        <v>0</v>
      </c>
      <c r="I21" s="239">
        <f>$F21*P21</f>
        <v>0</v>
      </c>
      <c r="J21" s="239">
        <f>$F21*Q21</f>
        <v>0</v>
      </c>
      <c r="K21" s="239">
        <f>$F21*R21</f>
        <v>0</v>
      </c>
      <c r="L21" s="210">
        <f>F21-SUM(G21:K21)</f>
        <v>0</v>
      </c>
      <c r="N21" s="211">
        <v>0.3</v>
      </c>
      <c r="O21" s="211">
        <v>0.3</v>
      </c>
      <c r="P21" s="211">
        <v>0.4</v>
      </c>
      <c r="Q21" s="211"/>
      <c r="R21" s="211"/>
    </row>
    <row r="22" spans="1:18" x14ac:dyDescent="0.25">
      <c r="A22" s="207" t="s">
        <v>106</v>
      </c>
      <c r="B22" s="200" t="s">
        <v>170</v>
      </c>
      <c r="C22" s="199" t="s">
        <v>81</v>
      </c>
      <c r="D22" s="166"/>
      <c r="E22" s="139"/>
      <c r="F22" s="142"/>
      <c r="G22" s="239">
        <f>$F22*N22</f>
        <v>0</v>
      </c>
      <c r="H22" s="239">
        <f>$F22*O22</f>
        <v>0</v>
      </c>
      <c r="I22" s="239">
        <f>$F22*P22</f>
        <v>0</v>
      </c>
      <c r="J22" s="239">
        <f>$F22*Q22</f>
        <v>0</v>
      </c>
      <c r="K22" s="239">
        <f>$F22*R22</f>
        <v>0</v>
      </c>
      <c r="L22" s="210">
        <f>F22-SUM(G22:K22)</f>
        <v>0</v>
      </c>
      <c r="N22" s="211">
        <v>0.3</v>
      </c>
      <c r="O22" s="211">
        <v>0.3</v>
      </c>
      <c r="P22" s="211">
        <v>0.4</v>
      </c>
      <c r="Q22" s="211"/>
      <c r="R22" s="211"/>
    </row>
    <row r="23" spans="1:18" x14ac:dyDescent="0.25">
      <c r="A23" s="206" t="s">
        <v>107</v>
      </c>
      <c r="B23" s="198" t="s">
        <v>171</v>
      </c>
      <c r="C23" s="201"/>
      <c r="D23" s="224"/>
      <c r="E23" s="51"/>
      <c r="F23" s="196"/>
      <c r="G23" s="238"/>
      <c r="H23" s="238"/>
      <c r="I23" s="238"/>
      <c r="J23" s="238"/>
      <c r="K23" s="238"/>
      <c r="L23" s="210"/>
      <c r="N23" s="211"/>
      <c r="O23" s="211"/>
      <c r="P23" s="211"/>
      <c r="Q23" s="211"/>
      <c r="R23" s="211"/>
    </row>
    <row r="24" spans="1:18" x14ac:dyDescent="0.25">
      <c r="A24" s="207" t="s">
        <v>108</v>
      </c>
      <c r="B24" s="200" t="s">
        <v>172</v>
      </c>
      <c r="C24" s="201" t="s">
        <v>219</v>
      </c>
      <c r="D24" s="168">
        <v>70.33</v>
      </c>
      <c r="E24" s="147">
        <v>4.3600000000000003</v>
      </c>
      <c r="F24" s="142">
        <v>306.64</v>
      </c>
      <c r="G24" s="239">
        <f>$F24*N24</f>
        <v>61.328000000000003</v>
      </c>
      <c r="H24" s="239">
        <f>$F24*O24</f>
        <v>122.65600000000001</v>
      </c>
      <c r="I24" s="239">
        <f>$F24*P24</f>
        <v>122.65600000000001</v>
      </c>
      <c r="J24" s="239">
        <f>$F24*Q24</f>
        <v>0</v>
      </c>
      <c r="K24" s="239">
        <f>$F24*R24</f>
        <v>0</v>
      </c>
      <c r="L24" s="210">
        <f>F24-SUM(G24:K24)</f>
        <v>0</v>
      </c>
      <c r="N24" s="211">
        <v>0.2</v>
      </c>
      <c r="O24" s="211">
        <v>0.4</v>
      </c>
      <c r="P24" s="211">
        <v>0.4</v>
      </c>
      <c r="Q24" s="211"/>
      <c r="R24" s="211"/>
    </row>
    <row r="25" spans="1:18" x14ac:dyDescent="0.25">
      <c r="A25" s="207" t="s">
        <v>109</v>
      </c>
      <c r="B25" s="200" t="s">
        <v>173</v>
      </c>
      <c r="C25" s="201" t="s">
        <v>219</v>
      </c>
      <c r="D25" s="168">
        <v>8.73</v>
      </c>
      <c r="E25" s="147">
        <v>7.37</v>
      </c>
      <c r="F25" s="142">
        <v>64.34</v>
      </c>
      <c r="G25" s="239">
        <f>$F25*N25</f>
        <v>12.868000000000002</v>
      </c>
      <c r="H25" s="239">
        <f>$F25*O25</f>
        <v>25.736000000000004</v>
      </c>
      <c r="I25" s="239">
        <f>$F25*P25</f>
        <v>25.736000000000004</v>
      </c>
      <c r="J25" s="239">
        <f>$F25*Q25</f>
        <v>0</v>
      </c>
      <c r="K25" s="239">
        <f>$F25*R25</f>
        <v>0</v>
      </c>
      <c r="L25" s="210">
        <f>F25-SUM(G25:K25)</f>
        <v>0</v>
      </c>
      <c r="N25" s="211">
        <v>0.2</v>
      </c>
      <c r="O25" s="211">
        <v>0.4</v>
      </c>
      <c r="P25" s="211">
        <v>0.4</v>
      </c>
      <c r="Q25" s="211"/>
      <c r="R25" s="211"/>
    </row>
    <row r="26" spans="1:18" x14ac:dyDescent="0.25">
      <c r="A26" s="207" t="s">
        <v>110</v>
      </c>
      <c r="B26" s="200" t="s">
        <v>174</v>
      </c>
      <c r="C26" s="201" t="s">
        <v>219</v>
      </c>
      <c r="D26" s="168">
        <v>70.33</v>
      </c>
      <c r="E26" s="147">
        <v>11.5</v>
      </c>
      <c r="F26" s="142">
        <v>808.8</v>
      </c>
      <c r="G26" s="239">
        <f>$F26*N26</f>
        <v>161.76</v>
      </c>
      <c r="H26" s="239">
        <f>$F26*O26</f>
        <v>323.52</v>
      </c>
      <c r="I26" s="239">
        <f>$F26*P26</f>
        <v>323.52</v>
      </c>
      <c r="J26" s="239">
        <f>$F26*Q26</f>
        <v>0</v>
      </c>
      <c r="K26" s="239">
        <f>$F26*R26</f>
        <v>0</v>
      </c>
      <c r="L26" s="210">
        <f>F26-SUM(G26:K26)</f>
        <v>0</v>
      </c>
      <c r="N26" s="211">
        <v>0.2</v>
      </c>
      <c r="O26" s="211">
        <v>0.4</v>
      </c>
      <c r="P26" s="211">
        <v>0.4</v>
      </c>
      <c r="Q26" s="211"/>
      <c r="R26" s="211"/>
    </row>
    <row r="27" spans="1:18" x14ac:dyDescent="0.25">
      <c r="A27" s="207" t="s">
        <v>111</v>
      </c>
      <c r="B27" s="200" t="s">
        <v>175</v>
      </c>
      <c r="C27" s="201" t="s">
        <v>219</v>
      </c>
      <c r="D27" s="168">
        <v>8.73</v>
      </c>
      <c r="E27" s="147">
        <v>14.5</v>
      </c>
      <c r="F27" s="142">
        <v>126.59</v>
      </c>
      <c r="G27" s="239">
        <f>$F27*N27</f>
        <v>25.318000000000001</v>
      </c>
      <c r="H27" s="239">
        <f>$F27*O27</f>
        <v>50.636000000000003</v>
      </c>
      <c r="I27" s="239">
        <f>$F27*P27</f>
        <v>50.636000000000003</v>
      </c>
      <c r="J27" s="239">
        <f>$F27*Q27</f>
        <v>0</v>
      </c>
      <c r="K27" s="239">
        <f>$F27*R27</f>
        <v>0</v>
      </c>
      <c r="L27" s="210">
        <f>F27-SUM(G27:K27)</f>
        <v>0</v>
      </c>
      <c r="N27" s="211">
        <v>0.2</v>
      </c>
      <c r="O27" s="211">
        <v>0.4</v>
      </c>
      <c r="P27" s="211">
        <v>0.4</v>
      </c>
      <c r="Q27" s="211"/>
      <c r="R27" s="211"/>
    </row>
    <row r="28" spans="1:18" x14ac:dyDescent="0.25">
      <c r="A28" s="206" t="s">
        <v>112</v>
      </c>
      <c r="B28" s="198" t="s">
        <v>176</v>
      </c>
      <c r="C28" s="201"/>
      <c r="D28" s="224"/>
      <c r="E28" s="51"/>
      <c r="F28" s="196"/>
      <c r="G28" s="238"/>
      <c r="H28" s="238"/>
      <c r="I28" s="238"/>
      <c r="J28" s="238"/>
      <c r="K28" s="238"/>
      <c r="L28" s="210"/>
      <c r="N28" s="211"/>
      <c r="O28" s="211"/>
      <c r="P28" s="211"/>
      <c r="Q28" s="211"/>
      <c r="R28" s="211"/>
    </row>
    <row r="29" spans="1:18" x14ac:dyDescent="0.25">
      <c r="A29" s="206" t="s">
        <v>113</v>
      </c>
      <c r="B29" s="198" t="s">
        <v>177</v>
      </c>
      <c r="C29" s="201"/>
      <c r="D29" s="224"/>
      <c r="E29" s="51"/>
      <c r="F29" s="196"/>
      <c r="G29" s="238"/>
      <c r="H29" s="238"/>
      <c r="I29" s="238"/>
      <c r="J29" s="238"/>
      <c r="K29" s="238"/>
      <c r="L29" s="210"/>
      <c r="N29" s="211"/>
      <c r="O29" s="211"/>
      <c r="P29" s="211"/>
      <c r="Q29" s="211"/>
      <c r="R29" s="211"/>
    </row>
    <row r="30" spans="1:18" x14ac:dyDescent="0.25">
      <c r="A30" s="207" t="s">
        <v>114</v>
      </c>
      <c r="B30" s="200" t="s">
        <v>178</v>
      </c>
      <c r="C30" s="201" t="s">
        <v>81</v>
      </c>
      <c r="D30" s="168">
        <v>330.16</v>
      </c>
      <c r="E30" s="147">
        <v>184.1</v>
      </c>
      <c r="F30" s="142">
        <v>60782.46</v>
      </c>
      <c r="G30" s="239">
        <f>$F30*N30</f>
        <v>0</v>
      </c>
      <c r="H30" s="239">
        <f>$F30*O30</f>
        <v>30391.23</v>
      </c>
      <c r="I30" s="239">
        <f>$F30*P30</f>
        <v>30391.23</v>
      </c>
      <c r="J30" s="239">
        <f>$F30*Q30</f>
        <v>0</v>
      </c>
      <c r="K30" s="239">
        <f>$F30*R30</f>
        <v>0</v>
      </c>
      <c r="L30" s="210">
        <f>F30-SUM(G30:K30)</f>
        <v>0</v>
      </c>
      <c r="N30" s="211"/>
      <c r="O30" s="211">
        <v>0.5</v>
      </c>
      <c r="P30" s="211">
        <v>0.5</v>
      </c>
      <c r="Q30" s="211"/>
      <c r="R30" s="211"/>
    </row>
    <row r="31" spans="1:18" x14ac:dyDescent="0.25">
      <c r="A31" s="206" t="s">
        <v>115</v>
      </c>
      <c r="B31" s="198" t="s">
        <v>179</v>
      </c>
      <c r="C31" s="201"/>
      <c r="D31" s="224"/>
      <c r="E31" s="51"/>
      <c r="F31" s="196"/>
      <c r="G31" s="238"/>
      <c r="H31" s="238"/>
      <c r="I31" s="238"/>
      <c r="J31" s="238"/>
      <c r="K31" s="238"/>
      <c r="L31" s="210"/>
      <c r="N31" s="211"/>
      <c r="O31" s="211"/>
      <c r="P31" s="211"/>
      <c r="Q31" s="211"/>
      <c r="R31" s="211"/>
    </row>
    <row r="32" spans="1:18" x14ac:dyDescent="0.25">
      <c r="A32" s="207" t="s">
        <v>116</v>
      </c>
      <c r="B32" s="200" t="s">
        <v>180</v>
      </c>
      <c r="C32" s="201" t="s">
        <v>81</v>
      </c>
      <c r="D32" s="168">
        <v>24.24</v>
      </c>
      <c r="E32" s="147">
        <v>182.46</v>
      </c>
      <c r="F32" s="142">
        <v>4422.83</v>
      </c>
      <c r="G32" s="239">
        <f>$F32*N32</f>
        <v>0</v>
      </c>
      <c r="H32" s="239">
        <f>$F32*O32</f>
        <v>0</v>
      </c>
      <c r="I32" s="239">
        <f>$F32*P32</f>
        <v>2211.415</v>
      </c>
      <c r="J32" s="239">
        <f>$F32*Q32</f>
        <v>2211.415</v>
      </c>
      <c r="K32" s="239">
        <f>$F32*R32</f>
        <v>0</v>
      </c>
      <c r="L32" s="210">
        <f>F32-SUM(G32:K32)</f>
        <v>0</v>
      </c>
      <c r="N32" s="211"/>
      <c r="O32" s="211"/>
      <c r="P32" s="211">
        <v>0.5</v>
      </c>
      <c r="Q32" s="211">
        <v>0.5</v>
      </c>
      <c r="R32" s="211"/>
    </row>
    <row r="33" spans="1:18" x14ac:dyDescent="0.25">
      <c r="A33" s="207" t="s">
        <v>117</v>
      </c>
      <c r="B33" s="200" t="s">
        <v>181</v>
      </c>
      <c r="C33" s="201" t="s">
        <v>219</v>
      </c>
      <c r="D33" s="168">
        <v>22.63</v>
      </c>
      <c r="E33" s="147">
        <v>23.830000000000002</v>
      </c>
      <c r="F33" s="142">
        <v>539.27</v>
      </c>
      <c r="G33" s="239">
        <f>$F33*N33</f>
        <v>0</v>
      </c>
      <c r="H33" s="239">
        <f>$F33*O33</f>
        <v>215.708</v>
      </c>
      <c r="I33" s="239">
        <f>$F33*P33</f>
        <v>215.708</v>
      </c>
      <c r="J33" s="239">
        <f>$F33*Q33</f>
        <v>107.854</v>
      </c>
      <c r="K33" s="239">
        <f>$F33*R33</f>
        <v>0</v>
      </c>
      <c r="L33" s="210">
        <f>F33-SUM(G33:K33)</f>
        <v>0</v>
      </c>
      <c r="N33" s="211"/>
      <c r="O33" s="211">
        <v>0.4</v>
      </c>
      <c r="P33" s="211">
        <v>0.4</v>
      </c>
      <c r="Q33" s="211">
        <v>0.2</v>
      </c>
      <c r="R33" s="211"/>
    </row>
    <row r="34" spans="1:18" x14ac:dyDescent="0.25">
      <c r="A34" s="207" t="s">
        <v>118</v>
      </c>
      <c r="B34" s="200" t="s">
        <v>182</v>
      </c>
      <c r="C34" s="201" t="s">
        <v>81</v>
      </c>
      <c r="D34" s="168">
        <v>160.54</v>
      </c>
      <c r="E34" s="147">
        <v>207.85</v>
      </c>
      <c r="F34" s="142">
        <v>33368.239999999998</v>
      </c>
      <c r="G34" s="239">
        <f>$F34*N34</f>
        <v>33368.239999999998</v>
      </c>
      <c r="H34" s="239">
        <f>$F34*O34</f>
        <v>0</v>
      </c>
      <c r="I34" s="239">
        <f>$F34*P34</f>
        <v>0</v>
      </c>
      <c r="J34" s="239">
        <f>$F34*Q34</f>
        <v>0</v>
      </c>
      <c r="K34" s="239">
        <f>$F34*R34</f>
        <v>0</v>
      </c>
      <c r="L34" s="210">
        <f>F34-SUM(G34:K34)</f>
        <v>0</v>
      </c>
      <c r="N34" s="211">
        <v>1</v>
      </c>
      <c r="O34" s="211"/>
      <c r="P34" s="211"/>
      <c r="Q34" s="211"/>
      <c r="R34" s="211"/>
    </row>
    <row r="35" spans="1:18" x14ac:dyDescent="0.25">
      <c r="A35" s="207" t="s">
        <v>119</v>
      </c>
      <c r="B35" s="200" t="s">
        <v>183</v>
      </c>
      <c r="C35" s="201" t="s">
        <v>219</v>
      </c>
      <c r="D35" s="168">
        <v>321.08</v>
      </c>
      <c r="E35" s="147">
        <v>26.53</v>
      </c>
      <c r="F35" s="142">
        <v>8518.25</v>
      </c>
      <c r="G35" s="239">
        <f>$F35*N35</f>
        <v>8518.25</v>
      </c>
      <c r="H35" s="239">
        <f>$F35*O35</f>
        <v>0</v>
      </c>
      <c r="I35" s="239">
        <f>$F35*P35</f>
        <v>0</v>
      </c>
      <c r="J35" s="239">
        <f>$F35*Q35</f>
        <v>0</v>
      </c>
      <c r="K35" s="239">
        <f>$F35*R35</f>
        <v>0</v>
      </c>
      <c r="L35" s="210">
        <f>F35-SUM(G35:K35)</f>
        <v>0</v>
      </c>
      <c r="N35" s="211">
        <v>1</v>
      </c>
      <c r="O35" s="211"/>
      <c r="P35" s="211"/>
      <c r="Q35" s="211"/>
      <c r="R35" s="211"/>
    </row>
    <row r="36" spans="1:18" x14ac:dyDescent="0.25">
      <c r="A36" s="206" t="s">
        <v>120</v>
      </c>
      <c r="B36" s="198" t="s">
        <v>184</v>
      </c>
      <c r="C36" s="201"/>
      <c r="D36" s="224"/>
      <c r="E36" s="51"/>
      <c r="F36" s="196"/>
      <c r="G36" s="238"/>
      <c r="H36" s="238"/>
      <c r="I36" s="238"/>
      <c r="J36" s="238"/>
      <c r="K36" s="238"/>
      <c r="L36" s="210"/>
      <c r="N36" s="211"/>
      <c r="O36" s="211"/>
      <c r="P36" s="211"/>
      <c r="Q36" s="211"/>
      <c r="R36" s="211"/>
    </row>
    <row r="37" spans="1:18" x14ac:dyDescent="0.25">
      <c r="A37" s="207" t="s">
        <v>121</v>
      </c>
      <c r="B37" s="200" t="s">
        <v>185</v>
      </c>
      <c r="C37" s="201" t="s">
        <v>81</v>
      </c>
      <c r="D37" s="168">
        <v>3.15</v>
      </c>
      <c r="E37" s="147">
        <v>201.22</v>
      </c>
      <c r="F37" s="142">
        <v>633.84</v>
      </c>
      <c r="G37" s="239">
        <f>$F37*N37</f>
        <v>0</v>
      </c>
      <c r="H37" s="239">
        <f>$F37*O37</f>
        <v>0</v>
      </c>
      <c r="I37" s="239">
        <f>$F37*P37</f>
        <v>316.92</v>
      </c>
      <c r="J37" s="239">
        <f>$F37*Q37</f>
        <v>316.92</v>
      </c>
      <c r="K37" s="239">
        <f>$F37*R37</f>
        <v>0</v>
      </c>
      <c r="L37" s="210">
        <f>F37-SUM(G37:K37)</f>
        <v>0</v>
      </c>
      <c r="N37" s="211"/>
      <c r="O37" s="211"/>
      <c r="P37" s="211">
        <v>0.5</v>
      </c>
      <c r="Q37" s="211">
        <v>0.5</v>
      </c>
      <c r="R37" s="211"/>
    </row>
    <row r="38" spans="1:18" x14ac:dyDescent="0.25">
      <c r="A38" s="207" t="s">
        <v>122</v>
      </c>
      <c r="B38" s="200" t="s">
        <v>186</v>
      </c>
      <c r="C38" s="201" t="s">
        <v>219</v>
      </c>
      <c r="D38" s="168">
        <v>43.07</v>
      </c>
      <c r="E38" s="147">
        <v>24.18</v>
      </c>
      <c r="F38" s="142">
        <v>1041.43</v>
      </c>
      <c r="G38" s="239">
        <f>$F38*N38</f>
        <v>0</v>
      </c>
      <c r="H38" s="239">
        <f>$F38*O38</f>
        <v>416.57200000000006</v>
      </c>
      <c r="I38" s="239">
        <f>$F38*P38</f>
        <v>416.57200000000006</v>
      </c>
      <c r="J38" s="239">
        <f>$F38*Q38</f>
        <v>208.28600000000003</v>
      </c>
      <c r="K38" s="239">
        <f>$F38*R38</f>
        <v>0</v>
      </c>
      <c r="L38" s="210">
        <f>F38-SUM(G38:K38)</f>
        <v>0</v>
      </c>
      <c r="N38" s="211"/>
      <c r="O38" s="211">
        <v>0.4</v>
      </c>
      <c r="P38" s="211">
        <v>0.4</v>
      </c>
      <c r="Q38" s="211">
        <v>0.2</v>
      </c>
      <c r="R38" s="211"/>
    </row>
    <row r="39" spans="1:18" x14ac:dyDescent="0.25">
      <c r="A39" s="206" t="s">
        <v>123</v>
      </c>
      <c r="B39" s="198" t="s">
        <v>187</v>
      </c>
      <c r="C39" s="201"/>
      <c r="D39" s="224"/>
      <c r="E39" s="51"/>
      <c r="F39" s="196"/>
      <c r="G39" s="238"/>
      <c r="H39" s="238"/>
      <c r="I39" s="238"/>
      <c r="J39" s="238"/>
      <c r="K39" s="238"/>
      <c r="L39" s="210"/>
      <c r="N39" s="211"/>
      <c r="O39" s="211"/>
      <c r="P39" s="211"/>
      <c r="Q39" s="211"/>
      <c r="R39" s="211"/>
    </row>
    <row r="40" spans="1:18" x14ac:dyDescent="0.25">
      <c r="A40" s="206" t="s">
        <v>124</v>
      </c>
      <c r="B40" s="198" t="s">
        <v>188</v>
      </c>
      <c r="C40" s="201"/>
      <c r="D40" s="224"/>
      <c r="E40" s="51"/>
      <c r="F40" s="196"/>
      <c r="G40" s="238"/>
      <c r="H40" s="238"/>
      <c r="I40" s="238"/>
      <c r="J40" s="238"/>
      <c r="K40" s="238"/>
      <c r="L40" s="210"/>
      <c r="N40" s="211"/>
      <c r="O40" s="211"/>
      <c r="P40" s="211"/>
      <c r="Q40" s="211"/>
      <c r="R40" s="211"/>
    </row>
    <row r="41" spans="1:18" x14ac:dyDescent="0.25">
      <c r="A41" s="207" t="s">
        <v>125</v>
      </c>
      <c r="B41" s="200" t="s">
        <v>189</v>
      </c>
      <c r="C41" s="201" t="s">
        <v>81</v>
      </c>
      <c r="D41" s="168">
        <v>412.62</v>
      </c>
      <c r="E41" s="147">
        <v>286.60000000000002</v>
      </c>
      <c r="F41" s="142">
        <v>118256.89</v>
      </c>
      <c r="G41" s="239">
        <f>$F41*N41</f>
        <v>35477.066999999995</v>
      </c>
      <c r="H41" s="239">
        <f>$F41*O41</f>
        <v>82779.822999999989</v>
      </c>
      <c r="I41" s="239">
        <f>$F41*P41</f>
        <v>0</v>
      </c>
      <c r="J41" s="239">
        <f>$F41*Q41</f>
        <v>0</v>
      </c>
      <c r="K41" s="239">
        <f>$F41*R41</f>
        <v>0</v>
      </c>
      <c r="L41" s="210">
        <f>F41-SUM(G41:K41)</f>
        <v>0</v>
      </c>
      <c r="N41" s="211">
        <v>0.3</v>
      </c>
      <c r="O41" s="211">
        <v>0.7</v>
      </c>
      <c r="P41" s="211"/>
      <c r="Q41" s="211"/>
      <c r="R41" s="211"/>
    </row>
    <row r="42" spans="1:18" x14ac:dyDescent="0.25">
      <c r="A42" s="207" t="s">
        <v>126</v>
      </c>
      <c r="B42" s="200" t="s">
        <v>190</v>
      </c>
      <c r="C42" s="201" t="s">
        <v>220</v>
      </c>
      <c r="D42" s="168">
        <v>17359.560000000001</v>
      </c>
      <c r="E42" s="147">
        <v>3.4</v>
      </c>
      <c r="F42" s="142">
        <v>59022.5</v>
      </c>
      <c r="G42" s="239">
        <f>$F42*N42</f>
        <v>17706.75</v>
      </c>
      <c r="H42" s="239">
        <f>$F42*O42</f>
        <v>41315.75</v>
      </c>
      <c r="I42" s="239">
        <f>$F42*P42</f>
        <v>0</v>
      </c>
      <c r="J42" s="239">
        <f>$F42*Q42</f>
        <v>0</v>
      </c>
      <c r="K42" s="239">
        <f>$F42*R42</f>
        <v>0</v>
      </c>
      <c r="L42" s="210">
        <f>F42-SUM(G42:K42)</f>
        <v>0</v>
      </c>
      <c r="N42" s="211">
        <v>0.3</v>
      </c>
      <c r="O42" s="211">
        <v>0.7</v>
      </c>
      <c r="P42" s="211"/>
      <c r="Q42" s="211"/>
      <c r="R42" s="211"/>
    </row>
    <row r="43" spans="1:18" x14ac:dyDescent="0.25">
      <c r="A43" s="206" t="s">
        <v>127</v>
      </c>
      <c r="B43" s="198" t="s">
        <v>191</v>
      </c>
      <c r="C43" s="201"/>
      <c r="D43" s="224"/>
      <c r="E43" s="51"/>
      <c r="F43" s="196"/>
      <c r="G43" s="238"/>
      <c r="H43" s="238"/>
      <c r="I43" s="238"/>
      <c r="J43" s="238"/>
      <c r="K43" s="238"/>
      <c r="L43" s="210"/>
      <c r="N43" s="211"/>
      <c r="O43" s="211"/>
      <c r="P43" s="211"/>
      <c r="Q43" s="211"/>
      <c r="R43" s="211"/>
    </row>
    <row r="44" spans="1:18" x14ac:dyDescent="0.25">
      <c r="A44" s="207" t="s">
        <v>128</v>
      </c>
      <c r="B44" s="200" t="s">
        <v>192</v>
      </c>
      <c r="C44" s="201" t="s">
        <v>81</v>
      </c>
      <c r="D44" s="168">
        <v>6.62</v>
      </c>
      <c r="E44" s="147">
        <v>290.45</v>
      </c>
      <c r="F44" s="142">
        <v>1922.78</v>
      </c>
      <c r="G44" s="239">
        <f>$F44*N44</f>
        <v>0</v>
      </c>
      <c r="H44" s="239">
        <f>$F44*O44</f>
        <v>576.83399999999995</v>
      </c>
      <c r="I44" s="239">
        <f>$F44*P44</f>
        <v>576.83399999999995</v>
      </c>
      <c r="J44" s="239">
        <f>$F44*Q44</f>
        <v>769.11200000000008</v>
      </c>
      <c r="K44" s="239">
        <f>$F44*R44</f>
        <v>0</v>
      </c>
      <c r="L44" s="210">
        <f>F44-SUM(G44:K44)</f>
        <v>0</v>
      </c>
      <c r="N44" s="211"/>
      <c r="O44" s="211">
        <v>0.3</v>
      </c>
      <c r="P44" s="211">
        <v>0.3</v>
      </c>
      <c r="Q44" s="211">
        <v>0.4</v>
      </c>
      <c r="R44" s="211"/>
    </row>
    <row r="45" spans="1:18" x14ac:dyDescent="0.25">
      <c r="A45" s="207" t="s">
        <v>129</v>
      </c>
      <c r="B45" s="200" t="s">
        <v>193</v>
      </c>
      <c r="C45" s="201" t="s">
        <v>219</v>
      </c>
      <c r="D45" s="168">
        <v>73.44</v>
      </c>
      <c r="E45" s="147">
        <v>33.69</v>
      </c>
      <c r="F45" s="142">
        <v>2474.19</v>
      </c>
      <c r="G45" s="239">
        <f>$F45*N45</f>
        <v>0</v>
      </c>
      <c r="H45" s="239">
        <f>$F45*O45</f>
        <v>742.25699999999995</v>
      </c>
      <c r="I45" s="239">
        <f>$F45*P45</f>
        <v>742.25699999999995</v>
      </c>
      <c r="J45" s="239">
        <f>$F45*Q45</f>
        <v>989.67600000000004</v>
      </c>
      <c r="K45" s="239">
        <f>$F45*R45</f>
        <v>0</v>
      </c>
      <c r="L45" s="210">
        <f>F45-SUM(G45:K45)</f>
        <v>0</v>
      </c>
      <c r="N45" s="211"/>
      <c r="O45" s="211">
        <v>0.3</v>
      </c>
      <c r="P45" s="211">
        <v>0.3</v>
      </c>
      <c r="Q45" s="211">
        <v>0.4</v>
      </c>
      <c r="R45" s="211"/>
    </row>
    <row r="46" spans="1:18" x14ac:dyDescent="0.25">
      <c r="A46" s="207" t="s">
        <v>130</v>
      </c>
      <c r="B46" s="200" t="s">
        <v>194</v>
      </c>
      <c r="C46" s="201" t="s">
        <v>220</v>
      </c>
      <c r="D46" s="168">
        <v>415.16</v>
      </c>
      <c r="E46" s="147">
        <v>3.4</v>
      </c>
      <c r="F46" s="142">
        <v>1411.54</v>
      </c>
      <c r="G46" s="239">
        <f>$F46*N46</f>
        <v>0</v>
      </c>
      <c r="H46" s="239">
        <f>$F46*O46</f>
        <v>423.46199999999999</v>
      </c>
      <c r="I46" s="239">
        <f>$F46*P46</f>
        <v>423.46199999999999</v>
      </c>
      <c r="J46" s="239">
        <f>$F46*Q46</f>
        <v>564.61599999999999</v>
      </c>
      <c r="K46" s="239">
        <f>$F46*R46</f>
        <v>0</v>
      </c>
      <c r="L46" s="210">
        <f>F46-SUM(G46:K46)</f>
        <v>0</v>
      </c>
      <c r="N46" s="211"/>
      <c r="O46" s="211">
        <v>0.3</v>
      </c>
      <c r="P46" s="211">
        <v>0.3</v>
      </c>
      <c r="Q46" s="211">
        <v>0.4</v>
      </c>
      <c r="R46" s="211"/>
    </row>
    <row r="47" spans="1:18" x14ac:dyDescent="0.25">
      <c r="A47" s="207" t="s">
        <v>131</v>
      </c>
      <c r="B47" s="200" t="s">
        <v>195</v>
      </c>
      <c r="C47" s="201" t="s">
        <v>81</v>
      </c>
      <c r="D47" s="168">
        <v>253.95</v>
      </c>
      <c r="E47" s="147">
        <v>328.19</v>
      </c>
      <c r="F47" s="142">
        <v>83343.850000000006</v>
      </c>
      <c r="G47" s="239">
        <f>$F47*N47</f>
        <v>0</v>
      </c>
      <c r="H47" s="239">
        <f>$F47*O47</f>
        <v>25003.155000000002</v>
      </c>
      <c r="I47" s="239">
        <f>$F47*P47</f>
        <v>25003.155000000002</v>
      </c>
      <c r="J47" s="239">
        <f>$F47*Q47</f>
        <v>33337.54</v>
      </c>
      <c r="K47" s="239">
        <f>$F47*R47</f>
        <v>0</v>
      </c>
      <c r="L47" s="210">
        <f>F47-SUM(G47:K47)</f>
        <v>0</v>
      </c>
      <c r="N47" s="211"/>
      <c r="O47" s="211">
        <v>0.3</v>
      </c>
      <c r="P47" s="211">
        <v>0.3</v>
      </c>
      <c r="Q47" s="211">
        <v>0.4</v>
      </c>
      <c r="R47" s="211"/>
    </row>
    <row r="48" spans="1:18" x14ac:dyDescent="0.25">
      <c r="A48" s="207" t="s">
        <v>132</v>
      </c>
      <c r="B48" s="200" t="s">
        <v>196</v>
      </c>
      <c r="C48" s="201" t="s">
        <v>219</v>
      </c>
      <c r="D48" s="168">
        <v>2075.23</v>
      </c>
      <c r="E48" s="147">
        <v>30.970000000000002</v>
      </c>
      <c r="F48" s="142">
        <v>64269.87</v>
      </c>
      <c r="G48" s="239">
        <f>$F48*N48</f>
        <v>0</v>
      </c>
      <c r="H48" s="239">
        <f>$F48*O48</f>
        <v>19280.960999999999</v>
      </c>
      <c r="I48" s="239">
        <f>$F48*P48</f>
        <v>19280.960999999999</v>
      </c>
      <c r="J48" s="239">
        <f>$F48*Q48</f>
        <v>25707.948000000004</v>
      </c>
      <c r="K48" s="239">
        <f>$F48*R48</f>
        <v>0</v>
      </c>
      <c r="L48" s="210">
        <f>F48-SUM(G48:K48)</f>
        <v>0</v>
      </c>
      <c r="N48" s="211"/>
      <c r="O48" s="211">
        <v>0.3</v>
      </c>
      <c r="P48" s="211">
        <v>0.3</v>
      </c>
      <c r="Q48" s="211">
        <v>0.4</v>
      </c>
      <c r="R48" s="211"/>
    </row>
    <row r="49" spans="1:18" x14ac:dyDescent="0.25">
      <c r="A49" s="207" t="s">
        <v>133</v>
      </c>
      <c r="B49" s="200" t="s">
        <v>197</v>
      </c>
      <c r="C49" s="201" t="s">
        <v>221</v>
      </c>
      <c r="D49" s="168"/>
      <c r="E49" s="147"/>
      <c r="F49" s="142"/>
      <c r="G49" s="239">
        <f>$F49*N49</f>
        <v>0</v>
      </c>
      <c r="H49" s="239">
        <f>$F49*O49</f>
        <v>0</v>
      </c>
      <c r="I49" s="239">
        <f>$F49*P49</f>
        <v>0</v>
      </c>
      <c r="J49" s="239">
        <f>$F49*Q49</f>
        <v>0</v>
      </c>
      <c r="K49" s="239">
        <f>$F49*R49</f>
        <v>0</v>
      </c>
      <c r="L49" s="210">
        <f>F49-SUM(G49:K49)</f>
        <v>0</v>
      </c>
      <c r="N49" s="211"/>
      <c r="O49" s="211">
        <v>0.3</v>
      </c>
      <c r="P49" s="211">
        <v>0.3</v>
      </c>
      <c r="Q49" s="211">
        <v>0.4</v>
      </c>
      <c r="R49" s="211"/>
    </row>
    <row r="50" spans="1:18" x14ac:dyDescent="0.25">
      <c r="A50" s="206" t="s">
        <v>134</v>
      </c>
      <c r="B50" s="198" t="s">
        <v>198</v>
      </c>
      <c r="C50" s="201"/>
      <c r="D50" s="224"/>
      <c r="E50" s="51"/>
      <c r="F50" s="196"/>
      <c r="G50" s="238"/>
      <c r="H50" s="238"/>
      <c r="I50" s="238"/>
      <c r="J50" s="238"/>
      <c r="K50" s="238"/>
      <c r="L50" s="210"/>
      <c r="N50" s="211"/>
      <c r="O50" s="211"/>
      <c r="P50" s="211"/>
      <c r="Q50" s="211"/>
      <c r="R50" s="211"/>
    </row>
    <row r="51" spans="1:18" x14ac:dyDescent="0.25">
      <c r="A51" s="208" t="s">
        <v>135</v>
      </c>
      <c r="B51" s="202" t="s">
        <v>199</v>
      </c>
      <c r="C51" s="201" t="s">
        <v>81</v>
      </c>
      <c r="D51" s="168">
        <v>67.959999999999994</v>
      </c>
      <c r="E51" s="147">
        <v>291.23</v>
      </c>
      <c r="F51" s="142">
        <v>19791.990000000002</v>
      </c>
      <c r="G51" s="239">
        <f>$F51*N51</f>
        <v>0</v>
      </c>
      <c r="H51" s="239">
        <f>$F51*O51</f>
        <v>0</v>
      </c>
      <c r="I51" s="239">
        <f>$F51*P51</f>
        <v>5937.5970000000007</v>
      </c>
      <c r="J51" s="239">
        <f>$F51*Q51</f>
        <v>5937.5970000000007</v>
      </c>
      <c r="K51" s="239">
        <f>$F51*R51</f>
        <v>7916.7960000000012</v>
      </c>
      <c r="L51" s="210">
        <f>F51-SUM(G51:K51)</f>
        <v>0</v>
      </c>
      <c r="N51" s="211"/>
      <c r="O51" s="211"/>
      <c r="P51" s="211">
        <v>0.3</v>
      </c>
      <c r="Q51" s="211">
        <v>0.3</v>
      </c>
      <c r="R51" s="211">
        <v>0.4</v>
      </c>
    </row>
    <row r="52" spans="1:18" x14ac:dyDescent="0.25">
      <c r="A52" s="209" t="s">
        <v>136</v>
      </c>
      <c r="B52" s="203" t="s">
        <v>200</v>
      </c>
      <c r="C52" s="201" t="s">
        <v>219</v>
      </c>
      <c r="D52" s="168">
        <v>919.41</v>
      </c>
      <c r="E52" s="147">
        <v>37.49</v>
      </c>
      <c r="F52" s="142">
        <v>34468.68</v>
      </c>
      <c r="G52" s="239">
        <f>$F52*N52</f>
        <v>0</v>
      </c>
      <c r="H52" s="239">
        <f>$F52*O52</f>
        <v>0</v>
      </c>
      <c r="I52" s="239">
        <f>$F52*P52</f>
        <v>10340.603999999999</v>
      </c>
      <c r="J52" s="239">
        <f>$F52*Q52</f>
        <v>10340.603999999999</v>
      </c>
      <c r="K52" s="239">
        <f>$F52*R52</f>
        <v>13787.472000000002</v>
      </c>
      <c r="L52" s="210">
        <f>F52-SUM(G52:K52)</f>
        <v>0</v>
      </c>
      <c r="N52" s="211"/>
      <c r="O52" s="211"/>
      <c r="P52" s="211">
        <v>0.3</v>
      </c>
      <c r="Q52" s="211">
        <v>0.3</v>
      </c>
      <c r="R52" s="211">
        <v>0.4</v>
      </c>
    </row>
    <row r="53" spans="1:18" x14ac:dyDescent="0.25">
      <c r="A53" s="207" t="s">
        <v>137</v>
      </c>
      <c r="B53" s="200" t="s">
        <v>201</v>
      </c>
      <c r="C53" s="201" t="s">
        <v>220</v>
      </c>
      <c r="D53" s="168">
        <v>11836.1</v>
      </c>
      <c r="E53" s="147">
        <v>3.4</v>
      </c>
      <c r="F53" s="142">
        <v>40242.74</v>
      </c>
      <c r="G53" s="239">
        <f>$F53*N53</f>
        <v>0</v>
      </c>
      <c r="H53" s="239">
        <f>$F53*O53</f>
        <v>0</v>
      </c>
      <c r="I53" s="239">
        <f>$F53*P53</f>
        <v>12072.821999999998</v>
      </c>
      <c r="J53" s="239">
        <f>$F53*Q53</f>
        <v>12072.821999999998</v>
      </c>
      <c r="K53" s="239">
        <f>$F53*R53</f>
        <v>16097.096</v>
      </c>
      <c r="L53" s="210">
        <f>F53-SUM(G53:K53)</f>
        <v>0</v>
      </c>
      <c r="N53" s="211"/>
      <c r="O53" s="211"/>
      <c r="P53" s="211">
        <v>0.3</v>
      </c>
      <c r="Q53" s="211">
        <v>0.3</v>
      </c>
      <c r="R53" s="211">
        <v>0.4</v>
      </c>
    </row>
    <row r="54" spans="1:18" x14ac:dyDescent="0.25">
      <c r="A54" s="206" t="s">
        <v>138</v>
      </c>
      <c r="B54" s="198" t="s">
        <v>202</v>
      </c>
      <c r="C54" s="201"/>
      <c r="D54" s="224"/>
      <c r="E54" s="51"/>
      <c r="F54" s="196"/>
      <c r="G54" s="238"/>
      <c r="H54" s="238"/>
      <c r="I54" s="238"/>
      <c r="J54" s="238"/>
      <c r="K54" s="238"/>
      <c r="L54" s="210"/>
      <c r="N54" s="211"/>
      <c r="O54" s="211"/>
      <c r="P54" s="211"/>
      <c r="Q54" s="211"/>
      <c r="R54" s="211"/>
    </row>
    <row r="55" spans="1:18" x14ac:dyDescent="0.25">
      <c r="A55" s="207" t="s">
        <v>139</v>
      </c>
      <c r="B55" s="200" t="s">
        <v>203</v>
      </c>
      <c r="C55" s="201" t="s">
        <v>81</v>
      </c>
      <c r="D55" s="168">
        <v>36.840000000000003</v>
      </c>
      <c r="E55" s="147">
        <v>294.5</v>
      </c>
      <c r="F55" s="142">
        <v>10849.38</v>
      </c>
      <c r="G55" s="239">
        <f>$F55*N55</f>
        <v>0</v>
      </c>
      <c r="H55" s="239">
        <f>$F55*O55</f>
        <v>0</v>
      </c>
      <c r="I55" s="239">
        <f>$F55*P55</f>
        <v>3254.8139999999999</v>
      </c>
      <c r="J55" s="239">
        <f>$F55*Q55</f>
        <v>3254.8139999999999</v>
      </c>
      <c r="K55" s="239">
        <f>$F55*R55</f>
        <v>4339.7519999999995</v>
      </c>
      <c r="L55" s="210">
        <f>F55-SUM(G55:K55)</f>
        <v>0</v>
      </c>
      <c r="N55" s="211"/>
      <c r="O55" s="211"/>
      <c r="P55" s="211">
        <v>0.3</v>
      </c>
      <c r="Q55" s="211">
        <v>0.3</v>
      </c>
      <c r="R55" s="211">
        <v>0.4</v>
      </c>
    </row>
    <row r="56" spans="1:18" x14ac:dyDescent="0.25">
      <c r="A56" s="207" t="s">
        <v>140</v>
      </c>
      <c r="B56" s="200" t="s">
        <v>204</v>
      </c>
      <c r="C56" s="201" t="s">
        <v>219</v>
      </c>
      <c r="D56" s="168">
        <v>556.13</v>
      </c>
      <c r="E56" s="147">
        <v>43.56</v>
      </c>
      <c r="F56" s="142">
        <v>24225.02</v>
      </c>
      <c r="G56" s="239">
        <f>$F56*N56</f>
        <v>0</v>
      </c>
      <c r="H56" s="239">
        <f>$F56*O56</f>
        <v>0</v>
      </c>
      <c r="I56" s="239">
        <f>$F56*P56</f>
        <v>7267.5060000000003</v>
      </c>
      <c r="J56" s="239">
        <f>$F56*Q56</f>
        <v>7267.5060000000003</v>
      </c>
      <c r="K56" s="239">
        <f>$F56*R56</f>
        <v>9690.0079999999998</v>
      </c>
      <c r="L56" s="210">
        <f>F56-SUM(G56:K56)</f>
        <v>0</v>
      </c>
      <c r="N56" s="211"/>
      <c r="O56" s="211"/>
      <c r="P56" s="211">
        <v>0.3</v>
      </c>
      <c r="Q56" s="211">
        <v>0.3</v>
      </c>
      <c r="R56" s="211">
        <v>0.4</v>
      </c>
    </row>
    <row r="57" spans="1:18" x14ac:dyDescent="0.25">
      <c r="A57" s="207" t="s">
        <v>141</v>
      </c>
      <c r="B57" s="200" t="s">
        <v>205</v>
      </c>
      <c r="C57" s="201" t="s">
        <v>220</v>
      </c>
      <c r="D57" s="168">
        <v>5247.49</v>
      </c>
      <c r="E57" s="147">
        <v>3.4</v>
      </c>
      <c r="F57" s="142">
        <v>17841.47</v>
      </c>
      <c r="G57" s="239">
        <f>$F57*N57</f>
        <v>0</v>
      </c>
      <c r="H57" s="239">
        <f>$F57*O57</f>
        <v>0</v>
      </c>
      <c r="I57" s="239">
        <f>$F57*P57</f>
        <v>5352.4409999999998</v>
      </c>
      <c r="J57" s="239">
        <f>$F57*Q57</f>
        <v>5352.4409999999998</v>
      </c>
      <c r="K57" s="239">
        <f>$F57*R57</f>
        <v>7136.5880000000006</v>
      </c>
      <c r="L57" s="210">
        <f>F57-SUM(G57:K57)</f>
        <v>0</v>
      </c>
      <c r="N57" s="211"/>
      <c r="O57" s="211"/>
      <c r="P57" s="211">
        <v>0.3</v>
      </c>
      <c r="Q57" s="211">
        <v>0.3</v>
      </c>
      <c r="R57" s="211">
        <v>0.4</v>
      </c>
    </row>
    <row r="58" spans="1:18" x14ac:dyDescent="0.25">
      <c r="A58" s="206" t="s">
        <v>142</v>
      </c>
      <c r="B58" s="198" t="s">
        <v>206</v>
      </c>
      <c r="C58" s="201"/>
      <c r="D58" s="224"/>
      <c r="E58" s="51"/>
      <c r="F58" s="20"/>
      <c r="G58" s="238"/>
      <c r="H58" s="238"/>
      <c r="I58" s="238"/>
      <c r="J58" s="238"/>
      <c r="K58" s="238"/>
      <c r="L58" s="210"/>
      <c r="N58" s="211"/>
      <c r="O58" s="211"/>
      <c r="P58" s="211"/>
      <c r="Q58" s="211"/>
      <c r="R58" s="211"/>
    </row>
    <row r="59" spans="1:18" x14ac:dyDescent="0.25">
      <c r="A59" s="207" t="s">
        <v>143</v>
      </c>
      <c r="B59" s="200" t="s">
        <v>207</v>
      </c>
      <c r="C59" s="201" t="s">
        <v>22</v>
      </c>
      <c r="D59" s="168">
        <v>0.63</v>
      </c>
      <c r="E59" s="147">
        <v>325.93</v>
      </c>
      <c r="F59" s="142">
        <v>205.34</v>
      </c>
      <c r="G59" s="239">
        <f>$F59*N59</f>
        <v>0</v>
      </c>
      <c r="H59" s="239">
        <f>$F59*O59</f>
        <v>0</v>
      </c>
      <c r="I59" s="239">
        <f>$F59*P59</f>
        <v>61.601999999999997</v>
      </c>
      <c r="J59" s="239">
        <f>$F59*Q59</f>
        <v>61.601999999999997</v>
      </c>
      <c r="K59" s="239">
        <f>$F59*R59</f>
        <v>82.13600000000001</v>
      </c>
      <c r="L59" s="210">
        <f>F59-SUM(G59:K59)</f>
        <v>0</v>
      </c>
      <c r="N59" s="211"/>
      <c r="O59" s="211"/>
      <c r="P59" s="211">
        <v>0.3</v>
      </c>
      <c r="Q59" s="211">
        <v>0.3</v>
      </c>
      <c r="R59" s="211">
        <v>0.4</v>
      </c>
    </row>
    <row r="60" spans="1:18" x14ac:dyDescent="0.25">
      <c r="A60" s="207" t="s">
        <v>144</v>
      </c>
      <c r="B60" s="200" t="s">
        <v>208</v>
      </c>
      <c r="C60" s="201" t="s">
        <v>219</v>
      </c>
      <c r="D60" s="168">
        <v>6.54</v>
      </c>
      <c r="E60" s="147">
        <v>55.43</v>
      </c>
      <c r="F60" s="142">
        <v>362.51</v>
      </c>
      <c r="G60" s="239">
        <f>$F60*N60</f>
        <v>0</v>
      </c>
      <c r="H60" s="239">
        <f>$F60*O60</f>
        <v>0</v>
      </c>
      <c r="I60" s="239">
        <f>$F60*P60</f>
        <v>108.753</v>
      </c>
      <c r="J60" s="239">
        <f>$F60*Q60</f>
        <v>108.753</v>
      </c>
      <c r="K60" s="239">
        <f>$F60*R60</f>
        <v>145.00399999999999</v>
      </c>
      <c r="L60" s="210">
        <f>F60-SUM(G60:K60)</f>
        <v>0</v>
      </c>
      <c r="N60" s="211"/>
      <c r="O60" s="211"/>
      <c r="P60" s="211">
        <v>0.3</v>
      </c>
      <c r="Q60" s="211">
        <v>0.3</v>
      </c>
      <c r="R60" s="211">
        <v>0.4</v>
      </c>
    </row>
    <row r="61" spans="1:18" x14ac:dyDescent="0.25">
      <c r="A61" s="207" t="s">
        <v>145</v>
      </c>
      <c r="B61" s="200" t="s">
        <v>209</v>
      </c>
      <c r="C61" s="201" t="s">
        <v>220</v>
      </c>
      <c r="D61" s="168">
        <v>73.150000000000006</v>
      </c>
      <c r="E61" s="147">
        <v>4.0200000000000005</v>
      </c>
      <c r="F61" s="142">
        <v>294.06</v>
      </c>
      <c r="G61" s="239">
        <f>$F61*N61</f>
        <v>0</v>
      </c>
      <c r="H61" s="239">
        <f>$F61*O61</f>
        <v>0</v>
      </c>
      <c r="I61" s="239">
        <f>$F61*P61</f>
        <v>88.218000000000004</v>
      </c>
      <c r="J61" s="239">
        <f>$F61*Q61</f>
        <v>88.218000000000004</v>
      </c>
      <c r="K61" s="239">
        <f>$F61*R61</f>
        <v>117.62400000000001</v>
      </c>
      <c r="L61" s="210">
        <f>F61-SUM(G61:K61)</f>
        <v>0</v>
      </c>
      <c r="N61" s="211"/>
      <c r="O61" s="211"/>
      <c r="P61" s="211">
        <v>0.3</v>
      </c>
      <c r="Q61" s="211">
        <v>0.3</v>
      </c>
      <c r="R61" s="211">
        <v>0.4</v>
      </c>
    </row>
    <row r="62" spans="1:18" x14ac:dyDescent="0.25">
      <c r="A62" s="206" t="s">
        <v>146</v>
      </c>
      <c r="B62" s="198" t="s">
        <v>210</v>
      </c>
      <c r="C62" s="201"/>
      <c r="D62" s="224"/>
      <c r="E62" s="51"/>
      <c r="F62" s="196"/>
      <c r="G62" s="238"/>
      <c r="H62" s="238"/>
      <c r="I62" s="238"/>
      <c r="J62" s="238"/>
      <c r="K62" s="238"/>
      <c r="L62" s="210"/>
      <c r="N62" s="211"/>
      <c r="O62" s="211"/>
      <c r="P62" s="211"/>
      <c r="Q62" s="211"/>
      <c r="R62" s="211"/>
    </row>
    <row r="63" spans="1:18" x14ac:dyDescent="0.25">
      <c r="A63" s="207" t="s">
        <v>147</v>
      </c>
      <c r="B63" s="200" t="s">
        <v>211</v>
      </c>
      <c r="C63" s="201" t="s">
        <v>81</v>
      </c>
      <c r="D63" s="168">
        <v>2.17</v>
      </c>
      <c r="E63" s="147">
        <v>294.5</v>
      </c>
      <c r="F63" s="142">
        <v>639.07000000000005</v>
      </c>
      <c r="G63" s="239">
        <f>$F63*N63</f>
        <v>0</v>
      </c>
      <c r="H63" s="239">
        <f>$F63*O63</f>
        <v>0</v>
      </c>
      <c r="I63" s="239">
        <f>$F63*P63</f>
        <v>191.721</v>
      </c>
      <c r="J63" s="239">
        <f>$F63*Q63</f>
        <v>191.721</v>
      </c>
      <c r="K63" s="239">
        <f>$F63*R63</f>
        <v>255.62800000000004</v>
      </c>
      <c r="L63" s="210">
        <f>F63-SUM(G63:K63)</f>
        <v>0</v>
      </c>
      <c r="N63" s="211"/>
      <c r="O63" s="211"/>
      <c r="P63" s="211">
        <v>0.3</v>
      </c>
      <c r="Q63" s="211">
        <v>0.3</v>
      </c>
      <c r="R63" s="211">
        <v>0.4</v>
      </c>
    </row>
    <row r="64" spans="1:18" x14ac:dyDescent="0.25">
      <c r="A64" s="207" t="s">
        <v>148</v>
      </c>
      <c r="B64" s="200" t="s">
        <v>212</v>
      </c>
      <c r="C64" s="201" t="s">
        <v>219</v>
      </c>
      <c r="D64" s="168">
        <v>25.21</v>
      </c>
      <c r="E64" s="147">
        <v>25.75</v>
      </c>
      <c r="F64" s="142">
        <v>649.16</v>
      </c>
      <c r="G64" s="239">
        <f>$F64*N64</f>
        <v>0</v>
      </c>
      <c r="H64" s="239">
        <f>$F64*O64</f>
        <v>0</v>
      </c>
      <c r="I64" s="239">
        <f>$F64*P64</f>
        <v>194.74799999999999</v>
      </c>
      <c r="J64" s="239">
        <f>$F64*Q64</f>
        <v>194.74799999999999</v>
      </c>
      <c r="K64" s="239">
        <f>$F64*R64</f>
        <v>259.66399999999999</v>
      </c>
      <c r="L64" s="210">
        <f>F64-SUM(G64:K64)</f>
        <v>0</v>
      </c>
      <c r="N64" s="211"/>
      <c r="O64" s="211"/>
      <c r="P64" s="211">
        <v>0.3</v>
      </c>
      <c r="Q64" s="211">
        <v>0.3</v>
      </c>
      <c r="R64" s="211">
        <v>0.4</v>
      </c>
    </row>
    <row r="65" spans="1:18" x14ac:dyDescent="0.25">
      <c r="A65" s="207" t="s">
        <v>149</v>
      </c>
      <c r="B65" s="200" t="s">
        <v>213</v>
      </c>
      <c r="C65" s="201" t="s">
        <v>220</v>
      </c>
      <c r="D65" s="168">
        <v>95.81</v>
      </c>
      <c r="E65" s="147">
        <v>3.4</v>
      </c>
      <c r="F65" s="142">
        <v>325.75</v>
      </c>
      <c r="G65" s="239">
        <f>$F65*N65</f>
        <v>0</v>
      </c>
      <c r="H65" s="239">
        <f>$F65*O65</f>
        <v>0</v>
      </c>
      <c r="I65" s="239">
        <f>$F65*P65</f>
        <v>97.724999999999994</v>
      </c>
      <c r="J65" s="239">
        <f>$F65*Q65</f>
        <v>97.724999999999994</v>
      </c>
      <c r="K65" s="239">
        <f>$F65*R65</f>
        <v>130.30000000000001</v>
      </c>
      <c r="L65" s="210">
        <f>F65-SUM(G65:K65)</f>
        <v>0</v>
      </c>
      <c r="N65" s="211"/>
      <c r="O65" s="211"/>
      <c r="P65" s="211">
        <v>0.3</v>
      </c>
      <c r="Q65" s="211">
        <v>0.3</v>
      </c>
      <c r="R65" s="211">
        <v>0.4</v>
      </c>
    </row>
    <row r="66" spans="1:18" x14ac:dyDescent="0.25">
      <c r="A66" s="207" t="s">
        <v>150</v>
      </c>
      <c r="B66" s="200" t="s">
        <v>214</v>
      </c>
      <c r="C66" s="201" t="s">
        <v>222</v>
      </c>
      <c r="D66" s="168">
        <v>210.04</v>
      </c>
      <c r="E66" s="147">
        <v>2.39</v>
      </c>
      <c r="F66" s="142">
        <v>502</v>
      </c>
      <c r="G66" s="239">
        <f>$F66*N66</f>
        <v>0</v>
      </c>
      <c r="H66" s="239">
        <f>$F66*O66</f>
        <v>0</v>
      </c>
      <c r="I66" s="239">
        <f>$F66*P66</f>
        <v>150.6</v>
      </c>
      <c r="J66" s="239">
        <f>$F66*Q66</f>
        <v>150.6</v>
      </c>
      <c r="K66" s="239">
        <f>$F66*R66</f>
        <v>200.8</v>
      </c>
      <c r="L66" s="210">
        <f>F66-SUM(G66:K66)</f>
        <v>0</v>
      </c>
      <c r="N66" s="211"/>
      <c r="O66" s="211"/>
      <c r="P66" s="211">
        <v>0.3</v>
      </c>
      <c r="Q66" s="211">
        <v>0.3</v>
      </c>
      <c r="R66" s="211">
        <v>0.4</v>
      </c>
    </row>
    <row r="67" spans="1:18" x14ac:dyDescent="0.25">
      <c r="A67" s="206" t="s">
        <v>151</v>
      </c>
      <c r="B67" s="198" t="s">
        <v>215</v>
      </c>
      <c r="C67" s="201"/>
      <c r="D67" s="224"/>
      <c r="E67" s="51"/>
      <c r="F67" s="196"/>
      <c r="G67" s="238"/>
      <c r="H67" s="238"/>
      <c r="I67" s="238"/>
      <c r="J67" s="238"/>
      <c r="K67" s="238"/>
      <c r="L67" s="210"/>
      <c r="N67" s="211"/>
      <c r="O67" s="211"/>
      <c r="P67" s="211"/>
      <c r="Q67" s="211"/>
      <c r="R67" s="211"/>
    </row>
    <row r="68" spans="1:18" x14ac:dyDescent="0.25">
      <c r="A68" s="207" t="s">
        <v>152</v>
      </c>
      <c r="B68" s="200" t="s">
        <v>216</v>
      </c>
      <c r="C68" s="162" t="s">
        <v>219</v>
      </c>
      <c r="D68" s="168">
        <v>12.56</v>
      </c>
      <c r="E68" s="147">
        <v>59.800000000000004</v>
      </c>
      <c r="F68" s="142">
        <v>751.09</v>
      </c>
      <c r="G68" s="239">
        <f>$F68*N68</f>
        <v>0</v>
      </c>
      <c r="H68" s="239">
        <f>$F68*O68</f>
        <v>0</v>
      </c>
      <c r="I68" s="239">
        <f>$F68*P68</f>
        <v>225.327</v>
      </c>
      <c r="J68" s="239">
        <f>$F68*Q68</f>
        <v>225.327</v>
      </c>
      <c r="K68" s="239">
        <f>$F68*R68</f>
        <v>300.43600000000004</v>
      </c>
      <c r="L68" s="210">
        <f>F68-SUM(G68:K68)</f>
        <v>0</v>
      </c>
      <c r="N68" s="211"/>
      <c r="O68" s="211"/>
      <c r="P68" s="211">
        <v>0.3</v>
      </c>
      <c r="Q68" s="211">
        <v>0.3</v>
      </c>
      <c r="R68" s="211">
        <v>0.4</v>
      </c>
    </row>
    <row r="69" spans="1:18" x14ac:dyDescent="0.25">
      <c r="A69" s="207" t="s">
        <v>153</v>
      </c>
      <c r="B69" s="200" t="s">
        <v>217</v>
      </c>
      <c r="C69" s="162" t="s">
        <v>219</v>
      </c>
      <c r="D69" s="168">
        <v>7.1</v>
      </c>
      <c r="E69" s="147">
        <v>27.36</v>
      </c>
      <c r="F69" s="142">
        <v>194.26</v>
      </c>
      <c r="G69" s="239">
        <f>$F69*N69</f>
        <v>0</v>
      </c>
      <c r="H69" s="239">
        <f>$F69*O69</f>
        <v>0</v>
      </c>
      <c r="I69" s="239">
        <f>$F69*P69</f>
        <v>58.277999999999992</v>
      </c>
      <c r="J69" s="239">
        <f>$F69*Q69</f>
        <v>58.277999999999992</v>
      </c>
      <c r="K69" s="239">
        <f>$F69*R69</f>
        <v>77.704000000000008</v>
      </c>
      <c r="L69" s="210">
        <f>F69-SUM(G69:K69)</f>
        <v>0</v>
      </c>
      <c r="N69" s="211"/>
      <c r="O69" s="211"/>
      <c r="P69" s="211">
        <v>0.3</v>
      </c>
      <c r="Q69" s="211">
        <v>0.3</v>
      </c>
      <c r="R69" s="211">
        <v>0.4</v>
      </c>
    </row>
    <row r="70" spans="1:18" x14ac:dyDescent="0.25">
      <c r="A70" s="208" t="s">
        <v>154</v>
      </c>
      <c r="B70" s="202" t="s">
        <v>218</v>
      </c>
      <c r="C70" s="162" t="s">
        <v>221</v>
      </c>
      <c r="D70" s="168">
        <v>84.67</v>
      </c>
      <c r="E70" s="147">
        <v>3.4</v>
      </c>
      <c r="F70" s="148">
        <v>287.88</v>
      </c>
      <c r="G70" s="241">
        <f>$F70*N70</f>
        <v>0</v>
      </c>
      <c r="H70" s="241">
        <f>$F70*O70</f>
        <v>0</v>
      </c>
      <c r="I70" s="241">
        <f>$F70*P70</f>
        <v>86.36399999999999</v>
      </c>
      <c r="J70" s="241">
        <f>$F70*Q70</f>
        <v>86.36399999999999</v>
      </c>
      <c r="K70" s="241">
        <f>$F70*R70</f>
        <v>115.152</v>
      </c>
      <c r="L70" s="210">
        <f>F70-SUM(G70:K70)</f>
        <v>0</v>
      </c>
      <c r="N70" s="211"/>
      <c r="O70" s="211"/>
      <c r="P70" s="211">
        <v>0.3</v>
      </c>
      <c r="Q70" s="211">
        <v>0.3</v>
      </c>
      <c r="R70" s="211">
        <v>0.4</v>
      </c>
    </row>
    <row r="71" spans="1:18" x14ac:dyDescent="0.25">
      <c r="A71" s="25"/>
      <c r="B71" s="21" t="s">
        <v>23</v>
      </c>
      <c r="C71" s="25"/>
      <c r="D71" s="169"/>
      <c r="E71" s="7"/>
      <c r="F71" s="226">
        <f>SUM(F7:F70)</f>
        <v>696708.04999999993</v>
      </c>
      <c r="G71" s="226">
        <f>SUM(G7:G70)</f>
        <v>134279.49900000001</v>
      </c>
      <c r="H71" s="226">
        <f>SUM(H7:H70)</f>
        <v>253236.685</v>
      </c>
      <c r="I71" s="226">
        <f t="shared" ref="I71:K71" si="0">SUM(I7:I70)</f>
        <v>138523.93399999995</v>
      </c>
      <c r="J71" s="226">
        <f t="shared" si="0"/>
        <v>110015.77200000003</v>
      </c>
      <c r="K71" s="226">
        <f t="shared" si="0"/>
        <v>60652.160000000011</v>
      </c>
      <c r="L71" s="210"/>
    </row>
    <row r="72" spans="1:18" x14ac:dyDescent="0.25">
      <c r="A72" s="85"/>
      <c r="B72" s="86" t="s">
        <v>58</v>
      </c>
      <c r="C72" s="85"/>
      <c r="D72" s="225"/>
      <c r="E72" s="40"/>
      <c r="F72" s="233">
        <f>F71*0.15</f>
        <v>104506.20749999999</v>
      </c>
      <c r="G72" s="227">
        <f t="shared" ref="G72:K72" si="1">G71*0.15</f>
        <v>20141.924849999999</v>
      </c>
      <c r="H72" s="227">
        <f t="shared" si="1"/>
        <v>37985.50275</v>
      </c>
      <c r="I72" s="227">
        <f t="shared" si="1"/>
        <v>20778.59009999999</v>
      </c>
      <c r="J72" s="227">
        <f t="shared" si="1"/>
        <v>16502.365800000003</v>
      </c>
      <c r="K72" s="227">
        <f t="shared" si="1"/>
        <v>9097.8240000000005</v>
      </c>
      <c r="L72" s="210"/>
    </row>
    <row r="73" spans="1:18" x14ac:dyDescent="0.25">
      <c r="A73" s="85"/>
      <c r="B73" s="86" t="s">
        <v>228</v>
      </c>
      <c r="C73" s="85"/>
      <c r="D73" s="225"/>
      <c r="E73" s="40"/>
      <c r="F73" s="233">
        <f>F71*0.05</f>
        <v>34835.402499999997</v>
      </c>
      <c r="G73" s="227">
        <f t="shared" ref="G73:K73" si="2">G71*0.05</f>
        <v>6713.9749500000007</v>
      </c>
      <c r="H73" s="227">
        <f t="shared" si="2"/>
        <v>12661.83425</v>
      </c>
      <c r="I73" s="227">
        <f t="shared" si="2"/>
        <v>6926.1966999999977</v>
      </c>
      <c r="J73" s="227">
        <f t="shared" si="2"/>
        <v>5500.7886000000017</v>
      </c>
      <c r="K73" s="227">
        <f t="shared" si="2"/>
        <v>3032.6080000000006</v>
      </c>
      <c r="L73" s="210"/>
    </row>
    <row r="74" spans="1:18" x14ac:dyDescent="0.25">
      <c r="A74" s="38"/>
      <c r="B74" s="81" t="s">
        <v>60</v>
      </c>
      <c r="C74" s="38"/>
      <c r="D74" s="171"/>
      <c r="E74" s="39"/>
      <c r="F74" s="228">
        <f>SUM(F71:F73)</f>
        <v>836049.65999999992</v>
      </c>
      <c r="G74" s="228">
        <f t="shared" ref="G74:K74" si="3">SUM(G71:G73)</f>
        <v>161135.39880000002</v>
      </c>
      <c r="H74" s="228">
        <f t="shared" si="3"/>
        <v>303884.022</v>
      </c>
      <c r="I74" s="228">
        <f t="shared" si="3"/>
        <v>166228.72079999995</v>
      </c>
      <c r="J74" s="228">
        <f t="shared" si="3"/>
        <v>132018.92640000003</v>
      </c>
      <c r="K74" s="228">
        <f t="shared" si="3"/>
        <v>72782.592000000019</v>
      </c>
      <c r="L74" s="210"/>
    </row>
    <row r="75" spans="1:18" x14ac:dyDescent="0.25">
      <c r="A75" s="204"/>
      <c r="B75" s="205" t="s">
        <v>24</v>
      </c>
      <c r="C75" s="204"/>
      <c r="D75" s="172"/>
      <c r="E75" s="9"/>
      <c r="F75" s="229">
        <f>ROUND(F74*0.18,2)</f>
        <v>150488.94</v>
      </c>
      <c r="G75" s="229">
        <f t="shared" ref="G75:K75" si="4">ROUND(G74*0.18,2)</f>
        <v>29004.37</v>
      </c>
      <c r="H75" s="229">
        <f t="shared" si="4"/>
        <v>54699.12</v>
      </c>
      <c r="I75" s="229">
        <f t="shared" si="4"/>
        <v>29921.17</v>
      </c>
      <c r="J75" s="229">
        <f t="shared" si="4"/>
        <v>23763.41</v>
      </c>
      <c r="K75" s="229">
        <f t="shared" si="4"/>
        <v>13100.87</v>
      </c>
      <c r="L75" s="210"/>
    </row>
    <row r="76" spans="1:18" x14ac:dyDescent="0.25">
      <c r="A76" s="28"/>
      <c r="B76" s="29" t="s">
        <v>31</v>
      </c>
      <c r="C76" s="28"/>
      <c r="D76" s="173"/>
      <c r="E76" s="31"/>
      <c r="F76" s="230">
        <f>SUM(F74:F75)</f>
        <v>986538.59999999986</v>
      </c>
      <c r="G76" s="230">
        <f t="shared" ref="G76:K76" si="5">SUM(G74:G75)</f>
        <v>190139.76880000002</v>
      </c>
      <c r="H76" s="230">
        <f t="shared" si="5"/>
        <v>358583.14199999999</v>
      </c>
      <c r="I76" s="230">
        <f t="shared" si="5"/>
        <v>196149.89079999994</v>
      </c>
      <c r="J76" s="230">
        <f t="shared" si="5"/>
        <v>155782.33640000003</v>
      </c>
      <c r="K76" s="230">
        <f t="shared" si="5"/>
        <v>85883.462000000014</v>
      </c>
      <c r="L76" s="210"/>
    </row>
    <row r="77" spans="1:18" x14ac:dyDescent="0.25">
      <c r="L77" s="210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0230-8DF2-4360-BA5A-5A01312AC9C9}">
  <dimension ref="A1:R77"/>
  <sheetViews>
    <sheetView zoomScale="85" zoomScaleNormal="85" workbookViewId="0">
      <selection activeCell="N10" sqref="N10:R70"/>
    </sheetView>
  </sheetViews>
  <sheetFormatPr baseColWidth="10" defaultRowHeight="15" x14ac:dyDescent="0.25"/>
  <cols>
    <col min="1" max="1" width="11.42578125" style="90"/>
    <col min="2" max="2" width="80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32" customFormat="1" ht="17.25" x14ac:dyDescent="0.3">
      <c r="A1" s="231" t="s">
        <v>230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3" spans="1:18" s="2" customFormat="1" x14ac:dyDescent="0.25">
      <c r="A3" s="2" t="s">
        <v>16</v>
      </c>
      <c r="B3" s="2" t="s">
        <v>91</v>
      </c>
    </row>
    <row r="5" spans="1:18" ht="16.5" customHeight="1" x14ac:dyDescent="0.25">
      <c r="A5" s="213" t="s">
        <v>2</v>
      </c>
      <c r="B5" s="213" t="s">
        <v>15</v>
      </c>
      <c r="C5" s="213" t="s">
        <v>3</v>
      </c>
      <c r="D5" s="213" t="s">
        <v>13</v>
      </c>
      <c r="E5" s="213"/>
      <c r="F5" s="213"/>
      <c r="G5" s="234" t="s">
        <v>227</v>
      </c>
      <c r="H5" s="234"/>
      <c r="I5" s="234"/>
      <c r="J5" s="234"/>
      <c r="K5" s="234"/>
      <c r="L5" s="210"/>
    </row>
    <row r="6" spans="1:18" x14ac:dyDescent="0.25">
      <c r="A6" s="213"/>
      <c r="B6" s="213"/>
      <c r="C6" s="213"/>
      <c r="D6" s="195" t="s">
        <v>5</v>
      </c>
      <c r="E6" s="195" t="s">
        <v>6</v>
      </c>
      <c r="F6" s="195" t="s">
        <v>7</v>
      </c>
      <c r="G6" s="235">
        <v>45474</v>
      </c>
      <c r="H6" s="235">
        <v>45505</v>
      </c>
      <c r="I6" s="235">
        <v>45536</v>
      </c>
      <c r="J6" s="235">
        <v>45566</v>
      </c>
      <c r="K6" s="235">
        <v>45597</v>
      </c>
      <c r="L6" s="210"/>
    </row>
    <row r="7" spans="1:18" x14ac:dyDescent="0.25">
      <c r="A7" s="219" t="s">
        <v>92</v>
      </c>
      <c r="B7" s="220" t="s">
        <v>155</v>
      </c>
      <c r="C7" s="221"/>
      <c r="D7" s="223"/>
      <c r="E7" s="81"/>
      <c r="F7" s="222"/>
      <c r="G7" s="236"/>
      <c r="H7" s="236"/>
      <c r="I7" s="236"/>
      <c r="J7" s="236"/>
      <c r="K7" s="236"/>
      <c r="L7" s="210"/>
      <c r="N7" s="211"/>
      <c r="O7" s="211"/>
      <c r="P7" s="211"/>
      <c r="Q7" s="211"/>
      <c r="R7" s="211"/>
    </row>
    <row r="8" spans="1:18" x14ac:dyDescent="0.25">
      <c r="A8" s="206" t="s">
        <v>93</v>
      </c>
      <c r="B8" s="198" t="s">
        <v>156</v>
      </c>
      <c r="C8" s="197"/>
      <c r="D8" s="135"/>
      <c r="E8" s="22"/>
      <c r="F8" s="18"/>
      <c r="G8" s="237"/>
      <c r="H8" s="237"/>
      <c r="I8" s="237"/>
      <c r="J8" s="237"/>
      <c r="K8" s="237"/>
      <c r="L8" s="210"/>
      <c r="N8" s="211"/>
      <c r="O8" s="211"/>
      <c r="P8" s="211"/>
      <c r="Q8" s="211"/>
      <c r="R8" s="211"/>
    </row>
    <row r="9" spans="1:18" x14ac:dyDescent="0.25">
      <c r="A9" s="206" t="s">
        <v>17</v>
      </c>
      <c r="B9" s="198" t="s">
        <v>157</v>
      </c>
      <c r="C9" s="199"/>
      <c r="D9" s="172"/>
      <c r="E9" s="9"/>
      <c r="F9" s="19"/>
      <c r="G9" s="238"/>
      <c r="H9" s="238"/>
      <c r="I9" s="238"/>
      <c r="J9" s="238"/>
      <c r="K9" s="238"/>
      <c r="L9" s="210"/>
      <c r="N9" s="211"/>
      <c r="O9" s="211"/>
      <c r="P9" s="211"/>
      <c r="Q9" s="211"/>
      <c r="R9" s="211"/>
    </row>
    <row r="10" spans="1:18" x14ac:dyDescent="0.25">
      <c r="A10" s="207" t="s">
        <v>94</v>
      </c>
      <c r="B10" s="200" t="s">
        <v>158</v>
      </c>
      <c r="C10" s="199" t="s">
        <v>21</v>
      </c>
      <c r="D10" s="166">
        <v>897.34</v>
      </c>
      <c r="E10" s="139">
        <v>2.04</v>
      </c>
      <c r="F10" s="142">
        <v>1830.57</v>
      </c>
      <c r="G10" s="239">
        <f>$F10*N10</f>
        <v>915.28499999999997</v>
      </c>
      <c r="H10" s="239">
        <f>$F10*O10</f>
        <v>915.28499999999997</v>
      </c>
      <c r="I10" s="239">
        <f>$F10*P10</f>
        <v>0</v>
      </c>
      <c r="J10" s="239">
        <f>$F10*Q10</f>
        <v>0</v>
      </c>
      <c r="K10" s="239">
        <f>$F10*R10</f>
        <v>0</v>
      </c>
      <c r="L10" s="210">
        <f>F10-SUM(G10:K10)</f>
        <v>0</v>
      </c>
      <c r="N10" s="211">
        <v>0.5</v>
      </c>
      <c r="O10" s="211">
        <v>0.5</v>
      </c>
      <c r="P10" s="211"/>
      <c r="Q10" s="211"/>
      <c r="R10" s="211"/>
    </row>
    <row r="11" spans="1:18" x14ac:dyDescent="0.25">
      <c r="A11" s="207" t="s">
        <v>95</v>
      </c>
      <c r="B11" s="200" t="s">
        <v>159</v>
      </c>
      <c r="C11" s="199" t="s">
        <v>219</v>
      </c>
      <c r="D11" s="166">
        <v>897.34</v>
      </c>
      <c r="E11" s="139">
        <v>2.04</v>
      </c>
      <c r="F11" s="142">
        <v>1830.57</v>
      </c>
      <c r="G11" s="239">
        <f>$F11*N11</f>
        <v>457.64249999999998</v>
      </c>
      <c r="H11" s="239">
        <f>$F11*O11</f>
        <v>457.64249999999998</v>
      </c>
      <c r="I11" s="239">
        <f>$F11*P11</f>
        <v>457.64249999999998</v>
      </c>
      <c r="J11" s="239">
        <f>$F11*Q11</f>
        <v>457.64249999999998</v>
      </c>
      <c r="K11" s="239">
        <f>$F11*R11</f>
        <v>0</v>
      </c>
      <c r="L11" s="210">
        <f>F11-SUM(G11:K11)</f>
        <v>0</v>
      </c>
      <c r="N11" s="211">
        <v>0.25</v>
      </c>
      <c r="O11" s="211">
        <v>0.25</v>
      </c>
      <c r="P11" s="211">
        <v>0.25</v>
      </c>
      <c r="Q11" s="211">
        <v>0.25</v>
      </c>
      <c r="R11" s="211"/>
    </row>
    <row r="12" spans="1:18" x14ac:dyDescent="0.25">
      <c r="A12" s="206" t="s">
        <v>96</v>
      </c>
      <c r="B12" s="198" t="s">
        <v>160</v>
      </c>
      <c r="C12" s="199"/>
      <c r="D12" s="172"/>
      <c r="E12" s="9"/>
      <c r="F12" s="19"/>
      <c r="G12" s="238"/>
      <c r="H12" s="238"/>
      <c r="I12" s="238"/>
      <c r="J12" s="238"/>
      <c r="K12" s="238"/>
      <c r="L12" s="210"/>
      <c r="N12" s="211"/>
      <c r="O12" s="211"/>
      <c r="P12" s="211"/>
      <c r="Q12" s="211"/>
      <c r="R12" s="211"/>
    </row>
    <row r="13" spans="1:18" x14ac:dyDescent="0.25">
      <c r="A13" s="206" t="s">
        <v>97</v>
      </c>
      <c r="B13" s="198" t="s">
        <v>161</v>
      </c>
      <c r="C13" s="199"/>
      <c r="D13" s="172"/>
      <c r="E13" s="9"/>
      <c r="F13" s="19"/>
      <c r="G13" s="238"/>
      <c r="H13" s="238"/>
      <c r="I13" s="238"/>
      <c r="J13" s="238"/>
      <c r="K13" s="238"/>
      <c r="L13" s="210"/>
      <c r="N13" s="211"/>
      <c r="O13" s="211"/>
      <c r="P13" s="211"/>
      <c r="Q13" s="211"/>
      <c r="R13" s="211"/>
    </row>
    <row r="14" spans="1:18" x14ac:dyDescent="0.25">
      <c r="A14" s="206" t="s">
        <v>98</v>
      </c>
      <c r="B14" s="198" t="s">
        <v>162</v>
      </c>
      <c r="C14" s="199"/>
      <c r="D14" s="172"/>
      <c r="E14" s="9"/>
      <c r="F14" s="19"/>
      <c r="G14" s="238"/>
      <c r="H14" s="238"/>
      <c r="I14" s="238"/>
      <c r="J14" s="238"/>
      <c r="K14" s="238"/>
      <c r="L14" s="210"/>
      <c r="N14" s="211"/>
      <c r="O14" s="211"/>
      <c r="P14" s="211"/>
      <c r="Q14" s="211"/>
      <c r="R14" s="211"/>
    </row>
    <row r="15" spans="1:18" x14ac:dyDescent="0.25">
      <c r="A15" s="207" t="s">
        <v>99</v>
      </c>
      <c r="B15" s="200" t="s">
        <v>163</v>
      </c>
      <c r="C15" s="199" t="s">
        <v>81</v>
      </c>
      <c r="D15" s="166">
        <v>41.9</v>
      </c>
      <c r="E15" s="139">
        <v>46.74</v>
      </c>
      <c r="F15" s="142">
        <v>1958.41</v>
      </c>
      <c r="G15" s="239">
        <f>$F15*N15</f>
        <v>1370.8869999999999</v>
      </c>
      <c r="H15" s="239">
        <f>$F15*O15</f>
        <v>587.52300000000002</v>
      </c>
      <c r="I15" s="239">
        <f>$F15*P15</f>
        <v>0</v>
      </c>
      <c r="J15" s="239">
        <f>$F15*Q15</f>
        <v>0</v>
      </c>
      <c r="K15" s="239">
        <f>$F15*R15</f>
        <v>0</v>
      </c>
      <c r="L15" s="210">
        <f>F15-SUM(G15:K15)</f>
        <v>0</v>
      </c>
      <c r="N15" s="211">
        <v>0.7</v>
      </c>
      <c r="O15" s="211">
        <v>0.3</v>
      </c>
      <c r="P15" s="211"/>
      <c r="Q15" s="211"/>
      <c r="R15" s="211"/>
    </row>
    <row r="16" spans="1:18" x14ac:dyDescent="0.25">
      <c r="A16" s="207" t="s">
        <v>100</v>
      </c>
      <c r="B16" s="200" t="s">
        <v>164</v>
      </c>
      <c r="C16" s="199" t="s">
        <v>81</v>
      </c>
      <c r="D16" s="166">
        <v>1975.16</v>
      </c>
      <c r="E16" s="139">
        <v>50.99</v>
      </c>
      <c r="F16" s="142">
        <v>100713.41</v>
      </c>
      <c r="G16" s="239">
        <f>$F16*N16</f>
        <v>70499.387000000002</v>
      </c>
      <c r="H16" s="239">
        <f>$F16*O16</f>
        <v>30214.023000000001</v>
      </c>
      <c r="I16" s="239">
        <f>$F16*P16</f>
        <v>0</v>
      </c>
      <c r="J16" s="239">
        <f>$F16*Q16</f>
        <v>0</v>
      </c>
      <c r="K16" s="239">
        <f>$F16*R16</f>
        <v>0</v>
      </c>
      <c r="L16" s="210">
        <f>F16-SUM(G16:K16)</f>
        <v>0</v>
      </c>
      <c r="N16" s="211">
        <v>0.7</v>
      </c>
      <c r="O16" s="211">
        <v>0.3</v>
      </c>
      <c r="P16" s="211"/>
      <c r="Q16" s="211"/>
      <c r="R16" s="211"/>
    </row>
    <row r="17" spans="1:18" x14ac:dyDescent="0.25">
      <c r="A17" s="206" t="s">
        <v>101</v>
      </c>
      <c r="B17" s="198" t="s">
        <v>165</v>
      </c>
      <c r="C17" s="199"/>
      <c r="D17" s="172"/>
      <c r="E17" s="9"/>
      <c r="F17" s="19"/>
      <c r="G17" s="238"/>
      <c r="H17" s="238"/>
      <c r="I17" s="238"/>
      <c r="J17" s="238"/>
      <c r="K17" s="238"/>
      <c r="L17" s="210"/>
      <c r="N17" s="211"/>
      <c r="O17" s="211"/>
      <c r="P17" s="211"/>
      <c r="Q17" s="211"/>
      <c r="R17" s="211"/>
    </row>
    <row r="18" spans="1:18" x14ac:dyDescent="0.25">
      <c r="A18" s="207" t="s">
        <v>102</v>
      </c>
      <c r="B18" s="200" t="s">
        <v>166</v>
      </c>
      <c r="C18" s="199" t="s">
        <v>81</v>
      </c>
      <c r="D18" s="166">
        <v>1197.9100000000001</v>
      </c>
      <c r="E18" s="139">
        <v>26.01</v>
      </c>
      <c r="F18" s="142">
        <v>31157.64</v>
      </c>
      <c r="G18" s="239">
        <f>$F18*N18</f>
        <v>0</v>
      </c>
      <c r="H18" s="239">
        <f>$F18*O18</f>
        <v>9347.2919999999995</v>
      </c>
      <c r="I18" s="239">
        <f>$F18*P18</f>
        <v>21810.347999999998</v>
      </c>
      <c r="J18" s="239">
        <f>$F18*Q18</f>
        <v>0</v>
      </c>
      <c r="K18" s="239">
        <f>$F18*R18</f>
        <v>0</v>
      </c>
      <c r="L18" s="210">
        <f>F18-SUM(G18:K18)</f>
        <v>0</v>
      </c>
      <c r="N18" s="211"/>
      <c r="O18" s="211">
        <v>0.3</v>
      </c>
      <c r="P18" s="211">
        <v>0.7</v>
      </c>
      <c r="Q18" s="211"/>
      <c r="R18" s="211"/>
    </row>
    <row r="19" spans="1:18" x14ac:dyDescent="0.25">
      <c r="A19" s="206" t="s">
        <v>103</v>
      </c>
      <c r="B19" s="198" t="s">
        <v>167</v>
      </c>
      <c r="C19" s="197"/>
      <c r="D19" s="165"/>
      <c r="E19" s="8"/>
      <c r="F19" s="20"/>
      <c r="G19" s="240"/>
      <c r="H19" s="240"/>
      <c r="I19" s="240"/>
      <c r="J19" s="240"/>
      <c r="K19" s="240"/>
      <c r="L19" s="210"/>
      <c r="N19" s="211"/>
      <c r="O19" s="211"/>
      <c r="P19" s="211"/>
      <c r="Q19" s="211"/>
      <c r="R19" s="211"/>
    </row>
    <row r="20" spans="1:18" x14ac:dyDescent="0.25">
      <c r="A20" s="207" t="s">
        <v>104</v>
      </c>
      <c r="B20" s="200" t="s">
        <v>168</v>
      </c>
      <c r="C20" s="199" t="s">
        <v>81</v>
      </c>
      <c r="D20" s="166">
        <v>68.91</v>
      </c>
      <c r="E20" s="139">
        <v>17.53</v>
      </c>
      <c r="F20" s="142">
        <v>1207.99</v>
      </c>
      <c r="G20" s="239">
        <f>$F20*N20</f>
        <v>603.995</v>
      </c>
      <c r="H20" s="239">
        <f>$F20*O20</f>
        <v>603.995</v>
      </c>
      <c r="I20" s="239">
        <f>$F20*P20</f>
        <v>0</v>
      </c>
      <c r="J20" s="239">
        <f>$F20*Q20</f>
        <v>0</v>
      </c>
      <c r="K20" s="239">
        <f>$F20*R20</f>
        <v>0</v>
      </c>
      <c r="L20" s="210">
        <f>F20-SUM(G20:K20)</f>
        <v>0</v>
      </c>
      <c r="N20" s="211">
        <v>0.5</v>
      </c>
      <c r="O20" s="211">
        <v>0.5</v>
      </c>
      <c r="P20" s="211"/>
      <c r="Q20" s="211"/>
      <c r="R20" s="211"/>
    </row>
    <row r="21" spans="1:18" x14ac:dyDescent="0.25">
      <c r="A21" s="207" t="s">
        <v>105</v>
      </c>
      <c r="B21" s="200" t="s">
        <v>169</v>
      </c>
      <c r="C21" s="199" t="s">
        <v>22</v>
      </c>
      <c r="D21" s="166">
        <v>68.91</v>
      </c>
      <c r="E21" s="139">
        <v>16.02</v>
      </c>
      <c r="F21" s="142">
        <v>1103.94</v>
      </c>
      <c r="G21" s="239">
        <f>$F21*N21</f>
        <v>551.97</v>
      </c>
      <c r="H21" s="239">
        <f>$F21*O21</f>
        <v>551.97</v>
      </c>
      <c r="I21" s="239">
        <f>$F21*P21</f>
        <v>0</v>
      </c>
      <c r="J21" s="239">
        <f>$F21*Q21</f>
        <v>0</v>
      </c>
      <c r="K21" s="239">
        <f>$F21*R21</f>
        <v>0</v>
      </c>
      <c r="L21" s="210">
        <f>F21-SUM(G21:K21)</f>
        <v>0</v>
      </c>
      <c r="N21" s="211">
        <v>0.5</v>
      </c>
      <c r="O21" s="211">
        <v>0.5</v>
      </c>
      <c r="P21" s="211"/>
      <c r="Q21" s="211"/>
      <c r="R21" s="211"/>
    </row>
    <row r="22" spans="1:18" x14ac:dyDescent="0.25">
      <c r="A22" s="207" t="s">
        <v>106</v>
      </c>
      <c r="B22" s="200" t="s">
        <v>170</v>
      </c>
      <c r="C22" s="199" t="s">
        <v>81</v>
      </c>
      <c r="D22" s="166">
        <v>995.9</v>
      </c>
      <c r="E22" s="139">
        <v>21.84</v>
      </c>
      <c r="F22" s="142">
        <v>21750.46</v>
      </c>
      <c r="G22" s="239">
        <f>$F22*N22</f>
        <v>10875.23</v>
      </c>
      <c r="H22" s="239">
        <f>$F22*O22</f>
        <v>10875.23</v>
      </c>
      <c r="I22" s="239">
        <f>$F22*P22</f>
        <v>0</v>
      </c>
      <c r="J22" s="239">
        <f>$F22*Q22</f>
        <v>0</v>
      </c>
      <c r="K22" s="239">
        <f>$F22*R22</f>
        <v>0</v>
      </c>
      <c r="L22" s="210">
        <f>F22-SUM(G22:K22)</f>
        <v>0</v>
      </c>
      <c r="N22" s="211">
        <v>0.5</v>
      </c>
      <c r="O22" s="211">
        <v>0.5</v>
      </c>
      <c r="P22" s="211"/>
      <c r="Q22" s="211"/>
      <c r="R22" s="211"/>
    </row>
    <row r="23" spans="1:18" x14ac:dyDescent="0.25">
      <c r="A23" s="206" t="s">
        <v>107</v>
      </c>
      <c r="B23" s="198" t="s">
        <v>171</v>
      </c>
      <c r="C23" s="201"/>
      <c r="D23" s="224"/>
      <c r="E23" s="51"/>
      <c r="F23" s="196"/>
      <c r="G23" s="238"/>
      <c r="H23" s="238"/>
      <c r="I23" s="238"/>
      <c r="J23" s="238"/>
      <c r="K23" s="238"/>
      <c r="L23" s="210"/>
      <c r="N23" s="211"/>
      <c r="O23" s="211"/>
      <c r="P23" s="211"/>
      <c r="Q23" s="211"/>
      <c r="R23" s="211"/>
    </row>
    <row r="24" spans="1:18" x14ac:dyDescent="0.25">
      <c r="A24" s="207" t="s">
        <v>108</v>
      </c>
      <c r="B24" s="200" t="s">
        <v>172</v>
      </c>
      <c r="C24" s="201" t="s">
        <v>219</v>
      </c>
      <c r="D24" s="168">
        <v>68.95</v>
      </c>
      <c r="E24" s="147">
        <v>4.72</v>
      </c>
      <c r="F24" s="142">
        <v>325.44</v>
      </c>
      <c r="G24" s="239">
        <f>$F24*N24</f>
        <v>0</v>
      </c>
      <c r="H24" s="239">
        <f>$F24*O24</f>
        <v>0</v>
      </c>
      <c r="I24" s="239">
        <f>$F24*P24</f>
        <v>0</v>
      </c>
      <c r="J24" s="239">
        <f>$F24*Q24</f>
        <v>162.72</v>
      </c>
      <c r="K24" s="239">
        <f>$F24*R24</f>
        <v>162.72</v>
      </c>
      <c r="L24" s="210">
        <f>F24-SUM(G24:K24)</f>
        <v>0</v>
      </c>
      <c r="N24" s="211"/>
      <c r="O24" s="211"/>
      <c r="P24" s="211"/>
      <c r="Q24" s="211">
        <v>0.5</v>
      </c>
      <c r="R24" s="211">
        <v>0.5</v>
      </c>
    </row>
    <row r="25" spans="1:18" x14ac:dyDescent="0.25">
      <c r="A25" s="207" t="s">
        <v>109</v>
      </c>
      <c r="B25" s="200" t="s">
        <v>173</v>
      </c>
      <c r="C25" s="201" t="s">
        <v>219</v>
      </c>
      <c r="D25" s="168">
        <v>8.56</v>
      </c>
      <c r="E25" s="147">
        <v>7.8500000000000005</v>
      </c>
      <c r="F25" s="142">
        <v>67.2</v>
      </c>
      <c r="G25" s="239">
        <f>$F25*N25</f>
        <v>0</v>
      </c>
      <c r="H25" s="239">
        <f>$F25*O25</f>
        <v>0</v>
      </c>
      <c r="I25" s="239">
        <f>$F25*P25</f>
        <v>40.32</v>
      </c>
      <c r="J25" s="239">
        <f>$F25*Q25</f>
        <v>26.880000000000003</v>
      </c>
      <c r="K25" s="239">
        <f>$F25*R25</f>
        <v>0</v>
      </c>
      <c r="L25" s="210">
        <f>F25-SUM(G25:K25)</f>
        <v>0</v>
      </c>
      <c r="N25" s="211"/>
      <c r="O25" s="211"/>
      <c r="P25" s="211">
        <v>0.6</v>
      </c>
      <c r="Q25" s="211">
        <v>0.4</v>
      </c>
      <c r="R25" s="211"/>
    </row>
    <row r="26" spans="1:18" x14ac:dyDescent="0.25">
      <c r="A26" s="207" t="s">
        <v>110</v>
      </c>
      <c r="B26" s="200" t="s">
        <v>174</v>
      </c>
      <c r="C26" s="201" t="s">
        <v>219</v>
      </c>
      <c r="D26" s="168">
        <v>68.95</v>
      </c>
      <c r="E26" s="147">
        <v>15.19</v>
      </c>
      <c r="F26" s="142">
        <v>1047.3499999999999</v>
      </c>
      <c r="G26" s="239">
        <f>$F26*N26</f>
        <v>0</v>
      </c>
      <c r="H26" s="239">
        <f>$F26*O26</f>
        <v>0</v>
      </c>
      <c r="I26" s="239">
        <f>$F26*P26</f>
        <v>0</v>
      </c>
      <c r="J26" s="239">
        <f>$F26*Q26</f>
        <v>418.94</v>
      </c>
      <c r="K26" s="239">
        <f>$F26*R26</f>
        <v>628.41</v>
      </c>
      <c r="L26" s="210">
        <f>F26-SUM(G26:K26)</f>
        <v>0</v>
      </c>
      <c r="N26" s="211"/>
      <c r="O26" s="211"/>
      <c r="P26" s="211"/>
      <c r="Q26" s="211">
        <v>0.4</v>
      </c>
      <c r="R26" s="211">
        <v>0.6</v>
      </c>
    </row>
    <row r="27" spans="1:18" x14ac:dyDescent="0.25">
      <c r="A27" s="207" t="s">
        <v>111</v>
      </c>
      <c r="B27" s="200" t="s">
        <v>175</v>
      </c>
      <c r="C27" s="201" t="s">
        <v>219</v>
      </c>
      <c r="D27" s="168">
        <v>8.56</v>
      </c>
      <c r="E27" s="147">
        <v>21.79</v>
      </c>
      <c r="F27" s="142">
        <v>186.52</v>
      </c>
      <c r="G27" s="239">
        <f>$F27*N27</f>
        <v>0</v>
      </c>
      <c r="H27" s="239">
        <f>$F27*O27</f>
        <v>0</v>
      </c>
      <c r="I27" s="239">
        <f>$F27*P27</f>
        <v>93.26</v>
      </c>
      <c r="J27" s="239">
        <f>$F27*Q27</f>
        <v>93.26</v>
      </c>
      <c r="K27" s="239">
        <f>$F27*R27</f>
        <v>0</v>
      </c>
      <c r="L27" s="210">
        <f>F27-SUM(G27:K27)</f>
        <v>0</v>
      </c>
      <c r="N27" s="211"/>
      <c r="O27" s="211"/>
      <c r="P27" s="211">
        <v>0.5</v>
      </c>
      <c r="Q27" s="211">
        <v>0.5</v>
      </c>
      <c r="R27" s="211"/>
    </row>
    <row r="28" spans="1:18" x14ac:dyDescent="0.25">
      <c r="A28" s="206" t="s">
        <v>112</v>
      </c>
      <c r="B28" s="198" t="s">
        <v>176</v>
      </c>
      <c r="C28" s="201"/>
      <c r="D28" s="224"/>
      <c r="E28" s="51"/>
      <c r="F28" s="196"/>
      <c r="G28" s="238"/>
      <c r="H28" s="238"/>
      <c r="I28" s="238"/>
      <c r="J28" s="238"/>
      <c r="K28" s="238"/>
      <c r="L28" s="210"/>
      <c r="N28" s="211"/>
      <c r="O28" s="211"/>
      <c r="P28" s="211"/>
      <c r="Q28" s="211"/>
      <c r="R28" s="211"/>
    </row>
    <row r="29" spans="1:18" x14ac:dyDescent="0.25">
      <c r="A29" s="206" t="s">
        <v>113</v>
      </c>
      <c r="B29" s="198" t="s">
        <v>177</v>
      </c>
      <c r="C29" s="201"/>
      <c r="D29" s="224"/>
      <c r="E29" s="51"/>
      <c r="F29" s="196"/>
      <c r="G29" s="238"/>
      <c r="H29" s="238"/>
      <c r="I29" s="238"/>
      <c r="J29" s="238"/>
      <c r="K29" s="238"/>
      <c r="L29" s="210"/>
      <c r="N29" s="211"/>
      <c r="O29" s="211"/>
      <c r="P29" s="211"/>
      <c r="Q29" s="211"/>
      <c r="R29" s="211"/>
    </row>
    <row r="30" spans="1:18" x14ac:dyDescent="0.25">
      <c r="A30" s="207" t="s">
        <v>114</v>
      </c>
      <c r="B30" s="200" t="s">
        <v>178</v>
      </c>
      <c r="C30" s="201" t="s">
        <v>81</v>
      </c>
      <c r="D30" s="168">
        <v>323.69</v>
      </c>
      <c r="E30" s="147">
        <v>173.72</v>
      </c>
      <c r="F30" s="142">
        <v>56231.43</v>
      </c>
      <c r="G30" s="239">
        <f>$F30*N30</f>
        <v>0</v>
      </c>
      <c r="H30" s="239">
        <f>$F30*O30</f>
        <v>39362.000999999997</v>
      </c>
      <c r="I30" s="239">
        <f>$F30*P30</f>
        <v>16869.429</v>
      </c>
      <c r="J30" s="239">
        <f>$F30*Q30</f>
        <v>0</v>
      </c>
      <c r="K30" s="239">
        <f>$F30*R30</f>
        <v>0</v>
      </c>
      <c r="L30" s="210">
        <f>F30-SUM(G30:K30)</f>
        <v>0</v>
      </c>
      <c r="N30" s="211"/>
      <c r="O30" s="211">
        <v>0.7</v>
      </c>
      <c r="P30" s="211">
        <v>0.3</v>
      </c>
      <c r="Q30" s="211"/>
      <c r="R30" s="211"/>
    </row>
    <row r="31" spans="1:18" x14ac:dyDescent="0.25">
      <c r="A31" s="206" t="s">
        <v>115</v>
      </c>
      <c r="B31" s="198" t="s">
        <v>179</v>
      </c>
      <c r="C31" s="201"/>
      <c r="D31" s="224"/>
      <c r="E31" s="51"/>
      <c r="F31" s="196"/>
      <c r="G31" s="238"/>
      <c r="H31" s="238"/>
      <c r="I31" s="238"/>
      <c r="J31" s="238"/>
      <c r="K31" s="238"/>
      <c r="L31" s="210"/>
      <c r="N31" s="211"/>
      <c r="O31" s="211"/>
      <c r="P31" s="211"/>
      <c r="Q31" s="211"/>
      <c r="R31" s="211"/>
    </row>
    <row r="32" spans="1:18" x14ac:dyDescent="0.25">
      <c r="A32" s="207" t="s">
        <v>116</v>
      </c>
      <c r="B32" s="200" t="s">
        <v>180</v>
      </c>
      <c r="C32" s="201" t="s">
        <v>81</v>
      </c>
      <c r="D32" s="168">
        <v>24.73</v>
      </c>
      <c r="E32" s="147">
        <v>179.78</v>
      </c>
      <c r="F32" s="142">
        <v>4445.96</v>
      </c>
      <c r="G32" s="239">
        <f>$F32*N32</f>
        <v>0</v>
      </c>
      <c r="H32" s="239">
        <f>$F32*O32</f>
        <v>1333.788</v>
      </c>
      <c r="I32" s="239">
        <f>$F32*P32</f>
        <v>3112.172</v>
      </c>
      <c r="J32" s="239">
        <f>$F32*Q32</f>
        <v>0</v>
      </c>
      <c r="K32" s="239">
        <f>$F32*R32</f>
        <v>0</v>
      </c>
      <c r="L32" s="210">
        <f>F32-SUM(G32:K32)</f>
        <v>0</v>
      </c>
      <c r="N32" s="211"/>
      <c r="O32" s="211">
        <v>0.3</v>
      </c>
      <c r="P32" s="211">
        <v>0.7</v>
      </c>
      <c r="Q32" s="211"/>
      <c r="R32" s="211"/>
    </row>
    <row r="33" spans="1:18" x14ac:dyDescent="0.25">
      <c r="A33" s="207" t="s">
        <v>117</v>
      </c>
      <c r="B33" s="200" t="s">
        <v>181</v>
      </c>
      <c r="C33" s="201" t="s">
        <v>219</v>
      </c>
      <c r="D33" s="168">
        <v>23.09</v>
      </c>
      <c r="E33" s="147">
        <v>46.17</v>
      </c>
      <c r="F33" s="142">
        <v>1066.07</v>
      </c>
      <c r="G33" s="239">
        <f>$F33*N33</f>
        <v>0</v>
      </c>
      <c r="H33" s="239">
        <f>$F33*O33</f>
        <v>426.428</v>
      </c>
      <c r="I33" s="239">
        <f>$F33*P33</f>
        <v>639.64199999999994</v>
      </c>
      <c r="J33" s="239">
        <f>$F33*Q33</f>
        <v>0</v>
      </c>
      <c r="K33" s="239">
        <f>$F33*R33</f>
        <v>0</v>
      </c>
      <c r="L33" s="210">
        <f>F33-SUM(G33:K33)</f>
        <v>0</v>
      </c>
      <c r="N33" s="211"/>
      <c r="O33" s="211">
        <v>0.4</v>
      </c>
      <c r="P33" s="211">
        <v>0.6</v>
      </c>
      <c r="Q33" s="211"/>
      <c r="R33" s="211"/>
    </row>
    <row r="34" spans="1:18" x14ac:dyDescent="0.25">
      <c r="A34" s="207" t="s">
        <v>118</v>
      </c>
      <c r="B34" s="200" t="s">
        <v>182</v>
      </c>
      <c r="C34" s="201" t="s">
        <v>81</v>
      </c>
      <c r="D34" s="168">
        <v>163.82</v>
      </c>
      <c r="E34" s="147">
        <v>179.78</v>
      </c>
      <c r="F34" s="142">
        <v>29451.56</v>
      </c>
      <c r="G34" s="239">
        <f>$F34*N34</f>
        <v>29451.56</v>
      </c>
      <c r="H34" s="239">
        <f>$F34*O34</f>
        <v>0</v>
      </c>
      <c r="I34" s="239">
        <f>$F34*P34</f>
        <v>0</v>
      </c>
      <c r="J34" s="239">
        <f>$F34*Q34</f>
        <v>0</v>
      </c>
      <c r="K34" s="239">
        <f>$F34*R34</f>
        <v>0</v>
      </c>
      <c r="L34" s="210">
        <f>F34-SUM(G34:K34)</f>
        <v>0</v>
      </c>
      <c r="N34" s="211">
        <v>1</v>
      </c>
      <c r="O34" s="211"/>
      <c r="P34" s="211"/>
      <c r="Q34" s="211"/>
      <c r="R34" s="211"/>
    </row>
    <row r="35" spans="1:18" x14ac:dyDescent="0.25">
      <c r="A35" s="207" t="s">
        <v>119</v>
      </c>
      <c r="B35" s="200" t="s">
        <v>183</v>
      </c>
      <c r="C35" s="201" t="s">
        <v>219</v>
      </c>
      <c r="D35" s="168">
        <v>327.63</v>
      </c>
      <c r="E35" s="147">
        <v>37.47</v>
      </c>
      <c r="F35" s="142">
        <v>12276.3</v>
      </c>
      <c r="G35" s="239">
        <f>$F35*N35</f>
        <v>12276.3</v>
      </c>
      <c r="H35" s="239">
        <f>$F35*O35</f>
        <v>0</v>
      </c>
      <c r="I35" s="239">
        <f>$F35*P35</f>
        <v>0</v>
      </c>
      <c r="J35" s="239">
        <f>$F35*Q35</f>
        <v>0</v>
      </c>
      <c r="K35" s="239">
        <f>$F35*R35</f>
        <v>0</v>
      </c>
      <c r="L35" s="210">
        <f>F35-SUM(G35:K35)</f>
        <v>0</v>
      </c>
      <c r="N35" s="211">
        <v>1</v>
      </c>
      <c r="O35" s="211"/>
      <c r="P35" s="211"/>
      <c r="Q35" s="211"/>
      <c r="R35" s="211"/>
    </row>
    <row r="36" spans="1:18" x14ac:dyDescent="0.25">
      <c r="A36" s="206" t="s">
        <v>120</v>
      </c>
      <c r="B36" s="198" t="s">
        <v>184</v>
      </c>
      <c r="C36" s="201"/>
      <c r="D36" s="224"/>
      <c r="E36" s="51"/>
      <c r="F36" s="196"/>
      <c r="G36" s="238"/>
      <c r="H36" s="238"/>
      <c r="I36" s="238"/>
      <c r="J36" s="238"/>
      <c r="K36" s="238"/>
      <c r="L36" s="210"/>
      <c r="N36" s="211"/>
      <c r="O36" s="211"/>
      <c r="P36" s="211"/>
      <c r="Q36" s="211"/>
      <c r="R36" s="211"/>
    </row>
    <row r="37" spans="1:18" x14ac:dyDescent="0.25">
      <c r="A37" s="207" t="s">
        <v>121</v>
      </c>
      <c r="B37" s="200" t="s">
        <v>185</v>
      </c>
      <c r="C37" s="201" t="s">
        <v>81</v>
      </c>
      <c r="D37" s="168">
        <v>3.21</v>
      </c>
      <c r="E37" s="147">
        <v>260.59000000000003</v>
      </c>
      <c r="F37" s="142">
        <v>836.49</v>
      </c>
      <c r="G37" s="239">
        <f>$F37*N37</f>
        <v>0</v>
      </c>
      <c r="H37" s="239">
        <f>$F37*O37</f>
        <v>0</v>
      </c>
      <c r="I37" s="239">
        <f>$F37*P37</f>
        <v>418.245</v>
      </c>
      <c r="J37" s="239">
        <f>$F37*Q37</f>
        <v>418.245</v>
      </c>
      <c r="K37" s="239">
        <f>$F37*R37</f>
        <v>0</v>
      </c>
      <c r="L37" s="210">
        <f>F37-SUM(G37:K37)</f>
        <v>0</v>
      </c>
      <c r="N37" s="211"/>
      <c r="O37" s="211"/>
      <c r="P37" s="211">
        <v>0.5</v>
      </c>
      <c r="Q37" s="211">
        <v>0.5</v>
      </c>
      <c r="R37" s="211"/>
    </row>
    <row r="38" spans="1:18" x14ac:dyDescent="0.25">
      <c r="A38" s="207" t="s">
        <v>122</v>
      </c>
      <c r="B38" s="200" t="s">
        <v>186</v>
      </c>
      <c r="C38" s="201" t="s">
        <v>219</v>
      </c>
      <c r="D38" s="168">
        <v>43.95</v>
      </c>
      <c r="E38" s="147">
        <v>37.700000000000003</v>
      </c>
      <c r="F38" s="142">
        <v>1656.92</v>
      </c>
      <c r="G38" s="239">
        <f>$F38*N38</f>
        <v>0</v>
      </c>
      <c r="H38" s="239">
        <f>$F38*O38</f>
        <v>662.76800000000003</v>
      </c>
      <c r="I38" s="239">
        <f>$F38*P38</f>
        <v>662.76800000000003</v>
      </c>
      <c r="J38" s="239">
        <f>$F38*Q38</f>
        <v>331.38400000000001</v>
      </c>
      <c r="K38" s="239">
        <f>$F38*R38</f>
        <v>0</v>
      </c>
      <c r="L38" s="210">
        <f>F38-SUM(G38:K38)</f>
        <v>0</v>
      </c>
      <c r="N38" s="211"/>
      <c r="O38" s="211">
        <v>0.4</v>
      </c>
      <c r="P38" s="211">
        <v>0.4</v>
      </c>
      <c r="Q38" s="211">
        <v>0.2</v>
      </c>
      <c r="R38" s="211"/>
    </row>
    <row r="39" spans="1:18" x14ac:dyDescent="0.25">
      <c r="A39" s="206" t="s">
        <v>123</v>
      </c>
      <c r="B39" s="198" t="s">
        <v>187</v>
      </c>
      <c r="C39" s="201"/>
      <c r="D39" s="224"/>
      <c r="E39" s="51"/>
      <c r="F39" s="196"/>
      <c r="G39" s="238"/>
      <c r="H39" s="238"/>
      <c r="I39" s="238"/>
      <c r="J39" s="238"/>
      <c r="K39" s="238"/>
      <c r="L39" s="210"/>
      <c r="N39" s="211"/>
      <c r="O39" s="211"/>
      <c r="P39" s="211"/>
      <c r="Q39" s="211"/>
      <c r="R39" s="211"/>
    </row>
    <row r="40" spans="1:18" x14ac:dyDescent="0.25">
      <c r="A40" s="206" t="s">
        <v>124</v>
      </c>
      <c r="B40" s="198" t="s">
        <v>188</v>
      </c>
      <c r="C40" s="201"/>
      <c r="D40" s="224"/>
      <c r="E40" s="51"/>
      <c r="F40" s="196"/>
      <c r="G40" s="238"/>
      <c r="H40" s="238"/>
      <c r="I40" s="238"/>
      <c r="J40" s="238"/>
      <c r="K40" s="238"/>
      <c r="L40" s="210"/>
      <c r="N40" s="211"/>
      <c r="O40" s="211"/>
      <c r="P40" s="211"/>
      <c r="Q40" s="211"/>
      <c r="R40" s="211"/>
    </row>
    <row r="41" spans="1:18" x14ac:dyDescent="0.25">
      <c r="A41" s="207" t="s">
        <v>125</v>
      </c>
      <c r="B41" s="200" t="s">
        <v>189</v>
      </c>
      <c r="C41" s="201" t="s">
        <v>81</v>
      </c>
      <c r="D41" s="168">
        <v>396.75</v>
      </c>
      <c r="E41" s="147">
        <v>292.79000000000002</v>
      </c>
      <c r="F41" s="142">
        <v>116164.43</v>
      </c>
      <c r="G41" s="239">
        <f>$F41*N41</f>
        <v>0</v>
      </c>
      <c r="H41" s="239">
        <f>$F41*O41</f>
        <v>58082.214999999997</v>
      </c>
      <c r="I41" s="239">
        <f>$F41*P41</f>
        <v>58082.214999999997</v>
      </c>
      <c r="J41" s="239">
        <f>$F41*Q41</f>
        <v>0</v>
      </c>
      <c r="K41" s="239">
        <f>$F41*R41</f>
        <v>0</v>
      </c>
      <c r="L41" s="210">
        <f>F41-SUM(G41:K41)</f>
        <v>0</v>
      </c>
      <c r="N41" s="211"/>
      <c r="O41" s="211">
        <v>0.5</v>
      </c>
      <c r="P41" s="211">
        <v>0.5</v>
      </c>
      <c r="Q41" s="211"/>
      <c r="R41" s="211"/>
    </row>
    <row r="42" spans="1:18" x14ac:dyDescent="0.25">
      <c r="A42" s="207" t="s">
        <v>126</v>
      </c>
      <c r="B42" s="200" t="s">
        <v>190</v>
      </c>
      <c r="C42" s="201" t="s">
        <v>220</v>
      </c>
      <c r="D42" s="168">
        <v>17534.91</v>
      </c>
      <c r="E42" s="147">
        <v>4.0200000000000005</v>
      </c>
      <c r="F42" s="142">
        <v>70490.34</v>
      </c>
      <c r="G42" s="239">
        <f>$F42*N42</f>
        <v>0</v>
      </c>
      <c r="H42" s="239">
        <f>$F42*O42</f>
        <v>35245.17</v>
      </c>
      <c r="I42" s="239">
        <f>$F42*P42</f>
        <v>35245.17</v>
      </c>
      <c r="J42" s="239">
        <f>$F42*Q42</f>
        <v>0</v>
      </c>
      <c r="K42" s="239">
        <f>$F42*R42</f>
        <v>0</v>
      </c>
      <c r="L42" s="210">
        <f>F42-SUM(G42:K42)</f>
        <v>0</v>
      </c>
      <c r="N42" s="211"/>
      <c r="O42" s="211">
        <v>0.5</v>
      </c>
      <c r="P42" s="211">
        <v>0.5</v>
      </c>
      <c r="Q42" s="211"/>
      <c r="R42" s="211"/>
    </row>
    <row r="43" spans="1:18" x14ac:dyDescent="0.25">
      <c r="A43" s="206" t="s">
        <v>127</v>
      </c>
      <c r="B43" s="198" t="s">
        <v>191</v>
      </c>
      <c r="C43" s="201"/>
      <c r="D43" s="224"/>
      <c r="E43" s="51"/>
      <c r="F43" s="196"/>
      <c r="G43" s="238"/>
      <c r="H43" s="238"/>
      <c r="I43" s="238"/>
      <c r="J43" s="238"/>
      <c r="K43" s="238"/>
      <c r="L43" s="210"/>
      <c r="N43" s="211"/>
      <c r="O43" s="211"/>
      <c r="P43" s="211"/>
      <c r="Q43" s="211"/>
      <c r="R43" s="211"/>
    </row>
    <row r="44" spans="1:18" x14ac:dyDescent="0.25">
      <c r="A44" s="207" t="s">
        <v>128</v>
      </c>
      <c r="B44" s="200" t="s">
        <v>192</v>
      </c>
      <c r="C44" s="201" t="s">
        <v>81</v>
      </c>
      <c r="D44" s="168">
        <v>6.69</v>
      </c>
      <c r="E44" s="147">
        <v>454.82</v>
      </c>
      <c r="F44" s="142">
        <v>3042.75</v>
      </c>
      <c r="G44" s="239">
        <f>$F44*N44</f>
        <v>0</v>
      </c>
      <c r="H44" s="239">
        <f>$F44*O44</f>
        <v>0</v>
      </c>
      <c r="I44" s="239">
        <f>$F44*P44</f>
        <v>1825.6499999999999</v>
      </c>
      <c r="J44" s="239">
        <f>$F44*Q44</f>
        <v>1217.1000000000001</v>
      </c>
      <c r="K44" s="239">
        <f>$F44*R44</f>
        <v>0</v>
      </c>
      <c r="L44" s="210">
        <f>F44-SUM(G44:K44)</f>
        <v>0</v>
      </c>
      <c r="N44" s="211"/>
      <c r="O44" s="211"/>
      <c r="P44" s="211">
        <v>0.6</v>
      </c>
      <c r="Q44" s="211">
        <v>0.4</v>
      </c>
      <c r="R44" s="211"/>
    </row>
    <row r="45" spans="1:18" x14ac:dyDescent="0.25">
      <c r="A45" s="207" t="s">
        <v>129</v>
      </c>
      <c r="B45" s="200" t="s">
        <v>193</v>
      </c>
      <c r="C45" s="201" t="s">
        <v>219</v>
      </c>
      <c r="D45" s="168">
        <v>74.180000000000007</v>
      </c>
      <c r="E45" s="147">
        <v>59.78</v>
      </c>
      <c r="F45" s="142">
        <v>4434.4799999999996</v>
      </c>
      <c r="G45" s="239">
        <f>$F45*N45</f>
        <v>0</v>
      </c>
      <c r="H45" s="239">
        <f>$F45*O45</f>
        <v>2217.2399999999998</v>
      </c>
      <c r="I45" s="239">
        <f>$F45*P45</f>
        <v>1330.3439999999998</v>
      </c>
      <c r="J45" s="239">
        <f>$F45*Q45</f>
        <v>886.89599999999996</v>
      </c>
      <c r="K45" s="239">
        <f>$F45*R45</f>
        <v>0</v>
      </c>
      <c r="L45" s="210">
        <f>F45-SUM(G45:K45)</f>
        <v>0</v>
      </c>
      <c r="N45" s="211"/>
      <c r="O45" s="211">
        <v>0.5</v>
      </c>
      <c r="P45" s="211">
        <v>0.3</v>
      </c>
      <c r="Q45" s="211">
        <v>0.2</v>
      </c>
      <c r="R45" s="211"/>
    </row>
    <row r="46" spans="1:18" x14ac:dyDescent="0.25">
      <c r="A46" s="207" t="s">
        <v>130</v>
      </c>
      <c r="B46" s="200" t="s">
        <v>194</v>
      </c>
      <c r="C46" s="201" t="s">
        <v>220</v>
      </c>
      <c r="D46" s="168">
        <v>419.35</v>
      </c>
      <c r="E46" s="147">
        <v>4.0200000000000005</v>
      </c>
      <c r="F46" s="142">
        <v>1685.79</v>
      </c>
      <c r="G46" s="239">
        <f>$F46*N46</f>
        <v>0</v>
      </c>
      <c r="H46" s="239">
        <f>$F46*O46</f>
        <v>1180.0529999999999</v>
      </c>
      <c r="I46" s="239">
        <f>$F46*P46</f>
        <v>505.73699999999997</v>
      </c>
      <c r="J46" s="239">
        <f>$F46*Q46</f>
        <v>0</v>
      </c>
      <c r="K46" s="239">
        <f>$F46*R46</f>
        <v>0</v>
      </c>
      <c r="L46" s="210">
        <f>F46-SUM(G46:K46)</f>
        <v>0</v>
      </c>
      <c r="N46" s="211"/>
      <c r="O46" s="211">
        <v>0.7</v>
      </c>
      <c r="P46" s="211">
        <v>0.3</v>
      </c>
      <c r="Q46" s="211"/>
      <c r="R46" s="211"/>
    </row>
    <row r="47" spans="1:18" x14ac:dyDescent="0.25">
      <c r="A47" s="207" t="s">
        <v>131</v>
      </c>
      <c r="B47" s="200" t="s">
        <v>195</v>
      </c>
      <c r="C47" s="201" t="s">
        <v>81</v>
      </c>
      <c r="D47" s="168">
        <v>256.52</v>
      </c>
      <c r="E47" s="147">
        <v>417.41</v>
      </c>
      <c r="F47" s="142">
        <v>107074.01</v>
      </c>
      <c r="G47" s="239">
        <f>$F47*N47</f>
        <v>0</v>
      </c>
      <c r="H47" s="239">
        <f>$F47*O47</f>
        <v>0</v>
      </c>
      <c r="I47" s="239">
        <f>$F47*P47</f>
        <v>64244.405999999995</v>
      </c>
      <c r="J47" s="239">
        <f>$F47*Q47</f>
        <v>42829.603999999999</v>
      </c>
      <c r="K47" s="239">
        <f>$F47*R47</f>
        <v>0</v>
      </c>
      <c r="L47" s="210">
        <f>F47-SUM(G47:K47)</f>
        <v>0</v>
      </c>
      <c r="N47" s="211"/>
      <c r="O47" s="211"/>
      <c r="P47" s="211">
        <v>0.6</v>
      </c>
      <c r="Q47" s="211">
        <v>0.4</v>
      </c>
      <c r="R47" s="211"/>
    </row>
    <row r="48" spans="1:18" x14ac:dyDescent="0.25">
      <c r="A48" s="207" t="s">
        <v>132</v>
      </c>
      <c r="B48" s="200" t="s">
        <v>196</v>
      </c>
      <c r="C48" s="201" t="s">
        <v>219</v>
      </c>
      <c r="D48" s="168">
        <v>2096.19</v>
      </c>
      <c r="E48" s="147">
        <v>51.21</v>
      </c>
      <c r="F48" s="142">
        <v>107345.89</v>
      </c>
      <c r="G48" s="239">
        <f>$F48*N48</f>
        <v>0</v>
      </c>
      <c r="H48" s="239">
        <f>$F48*O48</f>
        <v>53672.945</v>
      </c>
      <c r="I48" s="239">
        <f>$F48*P48</f>
        <v>32203.767</v>
      </c>
      <c r="J48" s="239">
        <f>$F48*Q48</f>
        <v>21469.178</v>
      </c>
      <c r="K48" s="239">
        <f>$F48*R48</f>
        <v>0</v>
      </c>
      <c r="L48" s="210">
        <f>F48-SUM(G48:K48)</f>
        <v>0</v>
      </c>
      <c r="N48" s="211"/>
      <c r="O48" s="211">
        <v>0.5</v>
      </c>
      <c r="P48" s="211">
        <v>0.3</v>
      </c>
      <c r="Q48" s="211">
        <v>0.2</v>
      </c>
      <c r="R48" s="211"/>
    </row>
    <row r="49" spans="1:18" x14ac:dyDescent="0.25">
      <c r="A49" s="207" t="s">
        <v>133</v>
      </c>
      <c r="B49" s="200" t="s">
        <v>197</v>
      </c>
      <c r="C49" s="201" t="s">
        <v>221</v>
      </c>
      <c r="D49" s="168">
        <v>18595.100000000002</v>
      </c>
      <c r="E49" s="147">
        <v>4.0200000000000005</v>
      </c>
      <c r="F49" s="142">
        <v>74752.3</v>
      </c>
      <c r="G49" s="239">
        <f>$F49*N49</f>
        <v>0</v>
      </c>
      <c r="H49" s="239">
        <f>$F49*O49</f>
        <v>52326.61</v>
      </c>
      <c r="I49" s="239">
        <f>$F49*P49</f>
        <v>22425.69</v>
      </c>
      <c r="J49" s="239">
        <f>$F49*Q49</f>
        <v>0</v>
      </c>
      <c r="K49" s="239">
        <f>$F49*R49</f>
        <v>0</v>
      </c>
      <c r="L49" s="210">
        <f>F49-SUM(G49:K49)</f>
        <v>0</v>
      </c>
      <c r="N49" s="211"/>
      <c r="O49" s="211">
        <v>0.7</v>
      </c>
      <c r="P49" s="211">
        <v>0.3</v>
      </c>
      <c r="Q49" s="211"/>
      <c r="R49" s="211"/>
    </row>
    <row r="50" spans="1:18" x14ac:dyDescent="0.25">
      <c r="A50" s="206" t="s">
        <v>134</v>
      </c>
      <c r="B50" s="198" t="s">
        <v>198</v>
      </c>
      <c r="C50" s="201"/>
      <c r="D50" s="224"/>
      <c r="E50" s="51"/>
      <c r="F50" s="196"/>
      <c r="G50" s="238"/>
      <c r="H50" s="238"/>
      <c r="I50" s="238"/>
      <c r="J50" s="238"/>
      <c r="K50" s="238"/>
      <c r="L50" s="210"/>
      <c r="N50" s="211"/>
      <c r="O50" s="211"/>
      <c r="P50" s="211"/>
      <c r="Q50" s="211"/>
      <c r="R50" s="211"/>
    </row>
    <row r="51" spans="1:18" x14ac:dyDescent="0.25">
      <c r="A51" s="208" t="s">
        <v>135</v>
      </c>
      <c r="B51" s="202" t="s">
        <v>199</v>
      </c>
      <c r="C51" s="201" t="s">
        <v>81</v>
      </c>
      <c r="D51" s="168">
        <v>66.63</v>
      </c>
      <c r="E51" s="147">
        <v>442.62</v>
      </c>
      <c r="F51" s="142">
        <v>29491.77</v>
      </c>
      <c r="G51" s="239">
        <f>$F51*N51</f>
        <v>0</v>
      </c>
      <c r="H51" s="239">
        <f>$F51*O51</f>
        <v>0</v>
      </c>
      <c r="I51" s="239">
        <f>$F51*P51</f>
        <v>0</v>
      </c>
      <c r="J51" s="239">
        <f>$F51*Q51</f>
        <v>17695.061999999998</v>
      </c>
      <c r="K51" s="239">
        <f>$F51*R51</f>
        <v>11796.708000000001</v>
      </c>
      <c r="L51" s="210">
        <f>F51-SUM(G51:K51)</f>
        <v>0</v>
      </c>
      <c r="N51" s="211"/>
      <c r="O51" s="211"/>
      <c r="P51" s="211"/>
      <c r="Q51" s="211">
        <v>0.6</v>
      </c>
      <c r="R51" s="211">
        <v>0.4</v>
      </c>
    </row>
    <row r="52" spans="1:18" x14ac:dyDescent="0.25">
      <c r="A52" s="209" t="s">
        <v>136</v>
      </c>
      <c r="B52" s="203" t="s">
        <v>200</v>
      </c>
      <c r="C52" s="201" t="s">
        <v>219</v>
      </c>
      <c r="D52" s="168">
        <v>901.38</v>
      </c>
      <c r="E52" s="147">
        <v>60.480000000000004</v>
      </c>
      <c r="F52" s="142">
        <v>54515.46</v>
      </c>
      <c r="G52" s="239">
        <f>$F52*N52</f>
        <v>0</v>
      </c>
      <c r="H52" s="239">
        <f>$F52*O52</f>
        <v>0</v>
      </c>
      <c r="I52" s="239">
        <f>$F52*P52</f>
        <v>16354.637999999999</v>
      </c>
      <c r="J52" s="239">
        <f>$F52*Q52</f>
        <v>38160.822</v>
      </c>
      <c r="K52" s="239">
        <f>$F52*R52</f>
        <v>0</v>
      </c>
      <c r="L52" s="210">
        <f>F52-SUM(G52:K52)</f>
        <v>0</v>
      </c>
      <c r="N52" s="211"/>
      <c r="O52" s="211"/>
      <c r="P52" s="211">
        <v>0.3</v>
      </c>
      <c r="Q52" s="211">
        <v>0.7</v>
      </c>
      <c r="R52" s="211"/>
    </row>
    <row r="53" spans="1:18" x14ac:dyDescent="0.25">
      <c r="A53" s="207" t="s">
        <v>137</v>
      </c>
      <c r="B53" s="200" t="s">
        <v>201</v>
      </c>
      <c r="C53" s="201" t="s">
        <v>220</v>
      </c>
      <c r="D53" s="168">
        <v>11604.02</v>
      </c>
      <c r="E53" s="147">
        <v>4.0200000000000005</v>
      </c>
      <c r="F53" s="142">
        <v>46648.160000000003</v>
      </c>
      <c r="G53" s="239">
        <f>$F53*N53</f>
        <v>0</v>
      </c>
      <c r="H53" s="239">
        <f>$F53*O53</f>
        <v>0</v>
      </c>
      <c r="I53" s="239">
        <f>$F53*P53</f>
        <v>27988.896000000001</v>
      </c>
      <c r="J53" s="239">
        <f>$F53*Q53</f>
        <v>18659.264000000003</v>
      </c>
      <c r="K53" s="239">
        <f>$F53*R53</f>
        <v>0</v>
      </c>
      <c r="L53" s="210">
        <f>F53-SUM(G53:K53)</f>
        <v>0</v>
      </c>
      <c r="N53" s="211"/>
      <c r="O53" s="211"/>
      <c r="P53" s="211">
        <v>0.6</v>
      </c>
      <c r="Q53" s="211">
        <v>0.4</v>
      </c>
      <c r="R53" s="211"/>
    </row>
    <row r="54" spans="1:18" x14ac:dyDescent="0.25">
      <c r="A54" s="206" t="s">
        <v>138</v>
      </c>
      <c r="B54" s="198" t="s">
        <v>202</v>
      </c>
      <c r="C54" s="201"/>
      <c r="D54" s="224"/>
      <c r="E54" s="51"/>
      <c r="F54" s="196"/>
      <c r="G54" s="238"/>
      <c r="H54" s="238"/>
      <c r="I54" s="238"/>
      <c r="J54" s="238"/>
      <c r="K54" s="238"/>
      <c r="L54" s="210"/>
      <c r="N54" s="211"/>
      <c r="O54" s="211"/>
      <c r="P54" s="211"/>
      <c r="Q54" s="211"/>
      <c r="R54" s="211"/>
    </row>
    <row r="55" spans="1:18" x14ac:dyDescent="0.25">
      <c r="A55" s="207" t="s">
        <v>139</v>
      </c>
      <c r="B55" s="200" t="s">
        <v>203</v>
      </c>
      <c r="C55" s="201" t="s">
        <v>81</v>
      </c>
      <c r="D55" s="168">
        <v>36.119999999999997</v>
      </c>
      <c r="E55" s="147">
        <v>325.93</v>
      </c>
      <c r="F55" s="142">
        <v>11772.59</v>
      </c>
      <c r="G55" s="239">
        <f>$F55*N55</f>
        <v>0</v>
      </c>
      <c r="H55" s="239">
        <f>$F55*O55</f>
        <v>0</v>
      </c>
      <c r="I55" s="239">
        <f>$F55*P55</f>
        <v>0</v>
      </c>
      <c r="J55" s="239">
        <f>$F55*Q55</f>
        <v>7063.5540000000001</v>
      </c>
      <c r="K55" s="239">
        <f>$F55*R55</f>
        <v>4709.0360000000001</v>
      </c>
      <c r="L55" s="210">
        <f>F55-SUM(G55:K55)</f>
        <v>0</v>
      </c>
      <c r="N55" s="211"/>
      <c r="O55" s="211"/>
      <c r="P55" s="211"/>
      <c r="Q55" s="211">
        <v>0.6</v>
      </c>
      <c r="R55" s="211">
        <v>0.4</v>
      </c>
    </row>
    <row r="56" spans="1:18" x14ac:dyDescent="0.25">
      <c r="A56" s="207" t="s">
        <v>140</v>
      </c>
      <c r="B56" s="200" t="s">
        <v>204</v>
      </c>
      <c r="C56" s="201" t="s">
        <v>219</v>
      </c>
      <c r="D56" s="168">
        <v>545.23</v>
      </c>
      <c r="E56" s="147">
        <v>70.38</v>
      </c>
      <c r="F56" s="142">
        <v>38373.29</v>
      </c>
      <c r="G56" s="239">
        <f>$F56*N56</f>
        <v>0</v>
      </c>
      <c r="H56" s="239">
        <f>$F56*O56</f>
        <v>0</v>
      </c>
      <c r="I56" s="239">
        <f>$F56*P56</f>
        <v>11511.986999999999</v>
      </c>
      <c r="J56" s="239">
        <f>$F56*Q56</f>
        <v>26861.303</v>
      </c>
      <c r="K56" s="239">
        <f>$F56*R56</f>
        <v>0</v>
      </c>
      <c r="L56" s="210">
        <f>F56-SUM(G56:K56)</f>
        <v>0</v>
      </c>
      <c r="N56" s="211"/>
      <c r="O56" s="211"/>
      <c r="P56" s="211">
        <v>0.3</v>
      </c>
      <c r="Q56" s="211">
        <v>0.7</v>
      </c>
      <c r="R56" s="211"/>
    </row>
    <row r="57" spans="1:18" x14ac:dyDescent="0.25">
      <c r="A57" s="207" t="s">
        <v>141</v>
      </c>
      <c r="B57" s="200" t="s">
        <v>205</v>
      </c>
      <c r="C57" s="201" t="s">
        <v>220</v>
      </c>
      <c r="D57" s="168">
        <v>5144.6000000000004</v>
      </c>
      <c r="E57" s="147">
        <v>4.0200000000000005</v>
      </c>
      <c r="F57" s="142">
        <v>20681.29</v>
      </c>
      <c r="G57" s="239">
        <f>$F57*N57</f>
        <v>0</v>
      </c>
      <c r="H57" s="239">
        <f>$F57*O57</f>
        <v>0</v>
      </c>
      <c r="I57" s="239">
        <f>$F57*P57</f>
        <v>12408.773999999999</v>
      </c>
      <c r="J57" s="239">
        <f>$F57*Q57</f>
        <v>8272.5160000000014</v>
      </c>
      <c r="K57" s="239">
        <f>$F57*R57</f>
        <v>0</v>
      </c>
      <c r="L57" s="210">
        <f>F57-SUM(G57:K57)</f>
        <v>0</v>
      </c>
      <c r="N57" s="211"/>
      <c r="O57" s="211"/>
      <c r="P57" s="211">
        <v>0.6</v>
      </c>
      <c r="Q57" s="211">
        <v>0.4</v>
      </c>
      <c r="R57" s="211"/>
    </row>
    <row r="58" spans="1:18" x14ac:dyDescent="0.25">
      <c r="A58" s="206" t="s">
        <v>142</v>
      </c>
      <c r="B58" s="198" t="s">
        <v>206</v>
      </c>
      <c r="C58" s="201"/>
      <c r="D58" s="224"/>
      <c r="E58" s="51"/>
      <c r="F58" s="20"/>
      <c r="G58" s="238"/>
      <c r="H58" s="238"/>
      <c r="I58" s="238"/>
      <c r="J58" s="238"/>
      <c r="K58" s="238"/>
      <c r="L58" s="210"/>
      <c r="N58" s="211"/>
      <c r="O58" s="211"/>
      <c r="P58" s="211"/>
      <c r="Q58" s="211"/>
      <c r="R58" s="211"/>
    </row>
    <row r="59" spans="1:18" x14ac:dyDescent="0.25">
      <c r="A59" s="207" t="s">
        <v>143</v>
      </c>
      <c r="B59" s="200" t="s">
        <v>207</v>
      </c>
      <c r="C59" s="201" t="s">
        <v>22</v>
      </c>
      <c r="D59" s="168">
        <v>0.63</v>
      </c>
      <c r="E59" s="147">
        <v>325.93</v>
      </c>
      <c r="F59" s="142">
        <v>205.34</v>
      </c>
      <c r="G59" s="239">
        <f>$F59*N59</f>
        <v>0</v>
      </c>
      <c r="H59" s="239">
        <f>$F59*O59</f>
        <v>0</v>
      </c>
      <c r="I59" s="239">
        <f>$F59*P59</f>
        <v>0</v>
      </c>
      <c r="J59" s="239">
        <f>$F59*Q59</f>
        <v>123.20399999999999</v>
      </c>
      <c r="K59" s="239">
        <f>$F59*R59</f>
        <v>82.13600000000001</v>
      </c>
      <c r="L59" s="210">
        <f>F59-SUM(G59:K59)</f>
        <v>0</v>
      </c>
      <c r="N59" s="211"/>
      <c r="O59" s="211"/>
      <c r="P59" s="211"/>
      <c r="Q59" s="211">
        <v>0.6</v>
      </c>
      <c r="R59" s="211">
        <v>0.4</v>
      </c>
    </row>
    <row r="60" spans="1:18" x14ac:dyDescent="0.25">
      <c r="A60" s="207" t="s">
        <v>144</v>
      </c>
      <c r="B60" s="200" t="s">
        <v>208</v>
      </c>
      <c r="C60" s="201" t="s">
        <v>219</v>
      </c>
      <c r="D60" s="168">
        <v>6.54</v>
      </c>
      <c r="E60" s="147">
        <v>55.43</v>
      </c>
      <c r="F60" s="142">
        <v>362.51</v>
      </c>
      <c r="G60" s="239">
        <f>$F60*N60</f>
        <v>0</v>
      </c>
      <c r="H60" s="239">
        <f>$F60*O60</f>
        <v>0</v>
      </c>
      <c r="I60" s="239">
        <f>$F60*P60</f>
        <v>108.753</v>
      </c>
      <c r="J60" s="239">
        <f>$F60*Q60</f>
        <v>253.75699999999998</v>
      </c>
      <c r="K60" s="239">
        <f>$F60*R60</f>
        <v>0</v>
      </c>
      <c r="L60" s="210">
        <f>F60-SUM(G60:K60)</f>
        <v>0</v>
      </c>
      <c r="N60" s="211"/>
      <c r="O60" s="211"/>
      <c r="P60" s="211">
        <v>0.3</v>
      </c>
      <c r="Q60" s="211">
        <v>0.7</v>
      </c>
      <c r="R60" s="211"/>
    </row>
    <row r="61" spans="1:18" x14ac:dyDescent="0.25">
      <c r="A61" s="207" t="s">
        <v>145</v>
      </c>
      <c r="B61" s="200" t="s">
        <v>209</v>
      </c>
      <c r="C61" s="201" t="s">
        <v>220</v>
      </c>
      <c r="D61" s="168">
        <v>73.150000000000006</v>
      </c>
      <c r="E61" s="147">
        <v>4.0200000000000005</v>
      </c>
      <c r="F61" s="142">
        <v>294.06</v>
      </c>
      <c r="G61" s="239">
        <f>$F61*N61</f>
        <v>0</v>
      </c>
      <c r="H61" s="239">
        <f>$F61*O61</f>
        <v>0</v>
      </c>
      <c r="I61" s="239">
        <f>$F61*P61</f>
        <v>176.43600000000001</v>
      </c>
      <c r="J61" s="239">
        <f>$F61*Q61</f>
        <v>117.62400000000001</v>
      </c>
      <c r="K61" s="239">
        <f>$F61*R61</f>
        <v>0</v>
      </c>
      <c r="L61" s="210">
        <f>F61-SUM(G61:K61)</f>
        <v>0</v>
      </c>
      <c r="N61" s="211"/>
      <c r="O61" s="211"/>
      <c r="P61" s="211">
        <v>0.6</v>
      </c>
      <c r="Q61" s="211">
        <v>0.4</v>
      </c>
      <c r="R61" s="211"/>
    </row>
    <row r="62" spans="1:18" x14ac:dyDescent="0.25">
      <c r="A62" s="206" t="s">
        <v>146</v>
      </c>
      <c r="B62" s="198" t="s">
        <v>210</v>
      </c>
      <c r="C62" s="201"/>
      <c r="D62" s="224"/>
      <c r="E62" s="51"/>
      <c r="F62" s="196"/>
      <c r="G62" s="238"/>
      <c r="H62" s="238"/>
      <c r="I62" s="238"/>
      <c r="J62" s="238"/>
      <c r="K62" s="238"/>
      <c r="L62" s="210"/>
      <c r="N62" s="211"/>
      <c r="O62" s="211"/>
      <c r="P62" s="211"/>
      <c r="Q62" s="211"/>
      <c r="R62" s="211"/>
    </row>
    <row r="63" spans="1:18" x14ac:dyDescent="0.25">
      <c r="A63" s="207" t="s">
        <v>147</v>
      </c>
      <c r="B63" s="200" t="s">
        <v>211</v>
      </c>
      <c r="C63" s="201" t="s">
        <v>81</v>
      </c>
      <c r="D63" s="168">
        <v>2.13</v>
      </c>
      <c r="E63" s="147">
        <v>315.52</v>
      </c>
      <c r="F63" s="142">
        <v>672.06</v>
      </c>
      <c r="G63" s="239">
        <f>$F63*N63</f>
        <v>0</v>
      </c>
      <c r="H63" s="239">
        <f>$F63*O63</f>
        <v>0</v>
      </c>
      <c r="I63" s="239">
        <f>$F63*P63</f>
        <v>0</v>
      </c>
      <c r="J63" s="239">
        <f>$F63*Q63</f>
        <v>403.23599999999993</v>
      </c>
      <c r="K63" s="239">
        <f>$F63*R63</f>
        <v>268.82400000000001</v>
      </c>
      <c r="L63" s="210">
        <f>F63-SUM(G63:K63)</f>
        <v>0</v>
      </c>
      <c r="N63" s="211"/>
      <c r="O63" s="211"/>
      <c r="P63" s="211"/>
      <c r="Q63" s="211">
        <v>0.6</v>
      </c>
      <c r="R63" s="211">
        <v>0.4</v>
      </c>
    </row>
    <row r="64" spans="1:18" x14ac:dyDescent="0.25">
      <c r="A64" s="207" t="s">
        <v>148</v>
      </c>
      <c r="B64" s="200" t="s">
        <v>212</v>
      </c>
      <c r="C64" s="201" t="s">
        <v>219</v>
      </c>
      <c r="D64" s="168">
        <v>24.72</v>
      </c>
      <c r="E64" s="147">
        <v>43.61</v>
      </c>
      <c r="F64" s="142">
        <v>1078.04</v>
      </c>
      <c r="G64" s="239">
        <f>$F64*N64</f>
        <v>0</v>
      </c>
      <c r="H64" s="239">
        <f>$F64*O64</f>
        <v>0</v>
      </c>
      <c r="I64" s="239">
        <f>$F64*P64</f>
        <v>323.41199999999998</v>
      </c>
      <c r="J64" s="239">
        <f>$F64*Q64</f>
        <v>754.62799999999993</v>
      </c>
      <c r="K64" s="239">
        <f>$F64*R64</f>
        <v>0</v>
      </c>
      <c r="L64" s="210">
        <f>F64-SUM(G64:K64)</f>
        <v>0</v>
      </c>
      <c r="N64" s="211"/>
      <c r="O64" s="211"/>
      <c r="P64" s="211">
        <v>0.3</v>
      </c>
      <c r="Q64" s="211">
        <v>0.7</v>
      </c>
      <c r="R64" s="211"/>
    </row>
    <row r="65" spans="1:18" x14ac:dyDescent="0.25">
      <c r="A65" s="207" t="s">
        <v>149</v>
      </c>
      <c r="B65" s="200" t="s">
        <v>213</v>
      </c>
      <c r="C65" s="201" t="s">
        <v>220</v>
      </c>
      <c r="D65" s="168">
        <v>93.93</v>
      </c>
      <c r="E65" s="147">
        <v>4.0200000000000005</v>
      </c>
      <c r="F65" s="142">
        <v>377.6</v>
      </c>
      <c r="G65" s="239">
        <f>$F65*N65</f>
        <v>0</v>
      </c>
      <c r="H65" s="239">
        <f>$F65*O65</f>
        <v>0</v>
      </c>
      <c r="I65" s="239">
        <f>$F65*P65</f>
        <v>226.56</v>
      </c>
      <c r="J65" s="239">
        <f>$F65*Q65</f>
        <v>151.04000000000002</v>
      </c>
      <c r="K65" s="239">
        <f>$F65*R65</f>
        <v>0</v>
      </c>
      <c r="L65" s="210">
        <f>F65-SUM(G65:K65)</f>
        <v>0</v>
      </c>
      <c r="N65" s="211"/>
      <c r="O65" s="211"/>
      <c r="P65" s="211">
        <v>0.6</v>
      </c>
      <c r="Q65" s="211">
        <v>0.4</v>
      </c>
      <c r="R65" s="211"/>
    </row>
    <row r="66" spans="1:18" x14ac:dyDescent="0.25">
      <c r="A66" s="207" t="s">
        <v>150</v>
      </c>
      <c r="B66" s="200" t="s">
        <v>214</v>
      </c>
      <c r="C66" s="201" t="s">
        <v>222</v>
      </c>
      <c r="D66" s="168">
        <v>205.92000000000002</v>
      </c>
      <c r="E66" s="147">
        <v>2.4900000000000002</v>
      </c>
      <c r="F66" s="142">
        <v>512.74</v>
      </c>
      <c r="G66" s="239">
        <f>$F66*N66</f>
        <v>0</v>
      </c>
      <c r="H66" s="239">
        <f>$F66*O66</f>
        <v>0</v>
      </c>
      <c r="I66" s="239">
        <f>$F66*P66</f>
        <v>153.822</v>
      </c>
      <c r="J66" s="239">
        <f>$F66*Q66</f>
        <v>358.91800000000001</v>
      </c>
      <c r="K66" s="239">
        <f>$F66*R66</f>
        <v>0</v>
      </c>
      <c r="L66" s="210">
        <f>F66-SUM(G66:K66)</f>
        <v>0</v>
      </c>
      <c r="N66" s="211"/>
      <c r="O66" s="211"/>
      <c r="P66" s="211">
        <v>0.3</v>
      </c>
      <c r="Q66" s="211">
        <v>0.7</v>
      </c>
      <c r="R66" s="211"/>
    </row>
    <row r="67" spans="1:18" x14ac:dyDescent="0.25">
      <c r="A67" s="206" t="s">
        <v>151</v>
      </c>
      <c r="B67" s="198" t="s">
        <v>215</v>
      </c>
      <c r="C67" s="201"/>
      <c r="D67" s="224"/>
      <c r="E67" s="51"/>
      <c r="F67" s="196"/>
      <c r="G67" s="238"/>
      <c r="H67" s="238"/>
      <c r="I67" s="238"/>
      <c r="J67" s="238"/>
      <c r="K67" s="238"/>
      <c r="L67" s="210"/>
      <c r="N67" s="211"/>
      <c r="O67" s="211"/>
      <c r="P67" s="211"/>
      <c r="Q67" s="211"/>
      <c r="R67" s="211"/>
    </row>
    <row r="68" spans="1:18" x14ac:dyDescent="0.25">
      <c r="A68" s="207" t="s">
        <v>152</v>
      </c>
      <c r="B68" s="200" t="s">
        <v>216</v>
      </c>
      <c r="C68" s="162" t="s">
        <v>219</v>
      </c>
      <c r="D68" s="168">
        <v>12.31</v>
      </c>
      <c r="E68" s="147">
        <v>80.040000000000006</v>
      </c>
      <c r="F68" s="142">
        <v>985.29</v>
      </c>
      <c r="G68" s="239">
        <f>$F68*N68</f>
        <v>0</v>
      </c>
      <c r="H68" s="239">
        <f>$F68*O68</f>
        <v>0</v>
      </c>
      <c r="I68" s="239">
        <f>$F68*P68</f>
        <v>0</v>
      </c>
      <c r="J68" s="239">
        <f>$F68*Q68</f>
        <v>591.17399999999998</v>
      </c>
      <c r="K68" s="239">
        <f>$F68*R68</f>
        <v>394.11599999999999</v>
      </c>
      <c r="L68" s="210">
        <f>F68-SUM(G68:K68)</f>
        <v>0</v>
      </c>
      <c r="N68" s="211"/>
      <c r="O68" s="211"/>
      <c r="P68" s="211"/>
      <c r="Q68" s="211">
        <v>0.6</v>
      </c>
      <c r="R68" s="211">
        <v>0.4</v>
      </c>
    </row>
    <row r="69" spans="1:18" x14ac:dyDescent="0.25">
      <c r="A69" s="207" t="s">
        <v>153</v>
      </c>
      <c r="B69" s="200" t="s">
        <v>217</v>
      </c>
      <c r="C69" s="162" t="s">
        <v>219</v>
      </c>
      <c r="D69" s="168">
        <v>6.96</v>
      </c>
      <c r="E69" s="147">
        <v>41.15</v>
      </c>
      <c r="F69" s="142">
        <v>286.39999999999998</v>
      </c>
      <c r="G69" s="239">
        <f>$F69*N69</f>
        <v>0</v>
      </c>
      <c r="H69" s="239">
        <f>$F69*O69</f>
        <v>0</v>
      </c>
      <c r="I69" s="239">
        <f>$F69*P69</f>
        <v>85.919999999999987</v>
      </c>
      <c r="J69" s="239">
        <f>$F69*Q69</f>
        <v>200.47999999999996</v>
      </c>
      <c r="K69" s="239">
        <f>$F69*R69</f>
        <v>0</v>
      </c>
      <c r="L69" s="210">
        <f>F69-SUM(G69:K69)</f>
        <v>0</v>
      </c>
      <c r="N69" s="211"/>
      <c r="O69" s="211"/>
      <c r="P69" s="211">
        <v>0.3</v>
      </c>
      <c r="Q69" s="211">
        <v>0.7</v>
      </c>
      <c r="R69" s="211"/>
    </row>
    <row r="70" spans="1:18" x14ac:dyDescent="0.25">
      <c r="A70" s="208" t="s">
        <v>154</v>
      </c>
      <c r="B70" s="202" t="s">
        <v>218</v>
      </c>
      <c r="C70" s="162" t="s">
        <v>221</v>
      </c>
      <c r="D70" s="168">
        <v>83.01</v>
      </c>
      <c r="E70" s="147">
        <v>4.0200000000000005</v>
      </c>
      <c r="F70" s="148">
        <v>333.7</v>
      </c>
      <c r="G70" s="241">
        <f>$F70*N70</f>
        <v>0</v>
      </c>
      <c r="H70" s="241">
        <f>$F70*O70</f>
        <v>0</v>
      </c>
      <c r="I70" s="241">
        <f>$F70*P70</f>
        <v>100.11</v>
      </c>
      <c r="J70" s="241">
        <f>$F70*Q70</f>
        <v>233.58999999999997</v>
      </c>
      <c r="K70" s="241">
        <f>$F70*R70</f>
        <v>0</v>
      </c>
      <c r="L70" s="210">
        <f>F70-SUM(G70:K70)</f>
        <v>0</v>
      </c>
      <c r="N70" s="211"/>
      <c r="O70" s="211"/>
      <c r="P70" s="211">
        <v>0.3</v>
      </c>
      <c r="Q70" s="211">
        <v>0.7</v>
      </c>
      <c r="R70" s="211"/>
    </row>
    <row r="71" spans="1:18" x14ac:dyDescent="0.25">
      <c r="A71" s="25"/>
      <c r="B71" s="21" t="s">
        <v>23</v>
      </c>
      <c r="C71" s="25"/>
      <c r="D71" s="169"/>
      <c r="E71" s="7"/>
      <c r="F71" s="226">
        <f>SUM(F7:F70)</f>
        <v>960724.52000000014</v>
      </c>
      <c r="G71" s="226">
        <f>SUM(G7:G70)</f>
        <v>127002.25649999999</v>
      </c>
      <c r="H71" s="226">
        <f>SUM(H7:H70)</f>
        <v>298062.17849999998</v>
      </c>
      <c r="I71" s="226">
        <f t="shared" ref="I71:K71" si="0">SUM(I7:I70)</f>
        <v>329406.11349999992</v>
      </c>
      <c r="J71" s="226">
        <f t="shared" si="0"/>
        <v>188212.02150000006</v>
      </c>
      <c r="K71" s="226">
        <f t="shared" si="0"/>
        <v>18041.949999999997</v>
      </c>
      <c r="L71" s="210"/>
    </row>
    <row r="72" spans="1:18" x14ac:dyDescent="0.25">
      <c r="A72" s="85"/>
      <c r="B72" s="86" t="s">
        <v>58</v>
      </c>
      <c r="C72" s="85"/>
      <c r="D72" s="225"/>
      <c r="E72" s="40"/>
      <c r="F72" s="227">
        <f>F71*0.15</f>
        <v>144108.67800000001</v>
      </c>
      <c r="G72" s="227">
        <f t="shared" ref="G72:K72" si="1">G71*0.15</f>
        <v>19050.338474999997</v>
      </c>
      <c r="H72" s="227">
        <f t="shared" si="1"/>
        <v>44709.326774999994</v>
      </c>
      <c r="I72" s="227">
        <f t="shared" si="1"/>
        <v>49410.917024999988</v>
      </c>
      <c r="J72" s="227">
        <f t="shared" si="1"/>
        <v>28231.803225000007</v>
      </c>
      <c r="K72" s="227">
        <f t="shared" si="1"/>
        <v>2706.2924999999996</v>
      </c>
      <c r="L72" s="210"/>
    </row>
    <row r="73" spans="1:18" x14ac:dyDescent="0.25">
      <c r="A73" s="85"/>
      <c r="B73" s="86" t="s">
        <v>228</v>
      </c>
      <c r="C73" s="85"/>
      <c r="D73" s="225"/>
      <c r="E73" s="40"/>
      <c r="F73" s="227">
        <f>F71*0.05</f>
        <v>48036.22600000001</v>
      </c>
      <c r="G73" s="227">
        <f t="shared" ref="G73:K73" si="2">G71*0.05</f>
        <v>6350.1128250000002</v>
      </c>
      <c r="H73" s="227">
        <f t="shared" si="2"/>
        <v>14903.108925</v>
      </c>
      <c r="I73" s="227">
        <f t="shared" si="2"/>
        <v>16470.305674999996</v>
      </c>
      <c r="J73" s="227">
        <f t="shared" si="2"/>
        <v>9410.6010750000041</v>
      </c>
      <c r="K73" s="227">
        <f t="shared" si="2"/>
        <v>902.09749999999985</v>
      </c>
      <c r="L73" s="210"/>
    </row>
    <row r="74" spans="1:18" x14ac:dyDescent="0.25">
      <c r="A74" s="38"/>
      <c r="B74" s="81" t="s">
        <v>60</v>
      </c>
      <c r="C74" s="38"/>
      <c r="D74" s="171"/>
      <c r="E74" s="39"/>
      <c r="F74" s="228">
        <f>SUM(F71:F73)</f>
        <v>1152869.4240000001</v>
      </c>
      <c r="G74" s="228">
        <f t="shared" ref="G74:K74" si="3">SUM(G71:G73)</f>
        <v>152402.70779999997</v>
      </c>
      <c r="H74" s="228">
        <f t="shared" si="3"/>
        <v>357674.61420000001</v>
      </c>
      <c r="I74" s="228">
        <f t="shared" si="3"/>
        <v>395287.3361999999</v>
      </c>
      <c r="J74" s="228">
        <f t="shared" si="3"/>
        <v>225854.42580000008</v>
      </c>
      <c r="K74" s="228">
        <f t="shared" si="3"/>
        <v>21650.339999999997</v>
      </c>
      <c r="L74" s="210"/>
    </row>
    <row r="75" spans="1:18" x14ac:dyDescent="0.25">
      <c r="A75" s="204"/>
      <c r="B75" s="205" t="s">
        <v>24</v>
      </c>
      <c r="C75" s="204"/>
      <c r="D75" s="172"/>
      <c r="E75" s="9"/>
      <c r="F75" s="229">
        <f>ROUND(F74*0.18,2)</f>
        <v>207516.5</v>
      </c>
      <c r="G75" s="229">
        <f t="shared" ref="G75:K75" si="4">ROUND(G74*0.18,2)</f>
        <v>27432.49</v>
      </c>
      <c r="H75" s="229">
        <f t="shared" si="4"/>
        <v>64381.43</v>
      </c>
      <c r="I75" s="229">
        <f t="shared" si="4"/>
        <v>71151.72</v>
      </c>
      <c r="J75" s="229">
        <f t="shared" si="4"/>
        <v>40653.800000000003</v>
      </c>
      <c r="K75" s="229">
        <f t="shared" si="4"/>
        <v>3897.06</v>
      </c>
      <c r="L75" s="210"/>
    </row>
    <row r="76" spans="1:18" x14ac:dyDescent="0.25">
      <c r="A76" s="28"/>
      <c r="B76" s="29" t="s">
        <v>31</v>
      </c>
      <c r="C76" s="28"/>
      <c r="D76" s="173"/>
      <c r="E76" s="31"/>
      <c r="F76" s="230">
        <f>SUM(F74:F75)</f>
        <v>1360385.9240000001</v>
      </c>
      <c r="G76" s="230">
        <f t="shared" ref="G76:K76" si="5">SUM(G74:G75)</f>
        <v>179835.19779999997</v>
      </c>
      <c r="H76" s="230">
        <f t="shared" si="5"/>
        <v>422056.0442</v>
      </c>
      <c r="I76" s="230">
        <f t="shared" si="5"/>
        <v>466439.05619999988</v>
      </c>
      <c r="J76" s="230">
        <f t="shared" si="5"/>
        <v>266508.22580000007</v>
      </c>
      <c r="K76" s="230">
        <f t="shared" si="5"/>
        <v>25547.399999999998</v>
      </c>
      <c r="L76" s="210"/>
    </row>
    <row r="77" spans="1:18" x14ac:dyDescent="0.25">
      <c r="L77" s="210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4E5F-2F0E-4D4F-B21B-14F959E4FAF0}">
  <dimension ref="A1:R77"/>
  <sheetViews>
    <sheetView workbookViewId="0">
      <selection sqref="A1:XFD1048576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32" customFormat="1" ht="17.25" x14ac:dyDescent="0.3">
      <c r="A1" s="231" t="s">
        <v>229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3" spans="1:18" s="2" customFormat="1" x14ac:dyDescent="0.25">
      <c r="A3" s="2" t="s">
        <v>16</v>
      </c>
      <c r="B3" s="2" t="s">
        <v>91</v>
      </c>
    </row>
    <row r="5" spans="1:18" ht="16.5" customHeight="1" x14ac:dyDescent="0.25">
      <c r="A5" s="213" t="s">
        <v>2</v>
      </c>
      <c r="B5" s="213" t="s">
        <v>15</v>
      </c>
      <c r="C5" s="213" t="s">
        <v>3</v>
      </c>
      <c r="D5" s="213" t="s">
        <v>13</v>
      </c>
      <c r="E5" s="213"/>
      <c r="F5" s="213"/>
      <c r="G5" s="242" t="s">
        <v>227</v>
      </c>
      <c r="H5" s="242"/>
      <c r="I5" s="242"/>
      <c r="J5" s="242"/>
      <c r="K5" s="242"/>
      <c r="L5" s="210"/>
    </row>
    <row r="6" spans="1:18" x14ac:dyDescent="0.25">
      <c r="A6" s="213"/>
      <c r="B6" s="213"/>
      <c r="C6" s="213"/>
      <c r="D6" s="195" t="s">
        <v>5</v>
      </c>
      <c r="E6" s="195" t="s">
        <v>6</v>
      </c>
      <c r="F6" s="195" t="s">
        <v>7</v>
      </c>
      <c r="G6" s="243">
        <v>45474</v>
      </c>
      <c r="H6" s="243">
        <v>45505</v>
      </c>
      <c r="I6" s="243">
        <v>45536</v>
      </c>
      <c r="J6" s="243">
        <v>45566</v>
      </c>
      <c r="K6" s="243">
        <v>45597</v>
      </c>
      <c r="L6" s="210"/>
    </row>
    <row r="7" spans="1:18" x14ac:dyDescent="0.25">
      <c r="A7" s="219" t="s">
        <v>92</v>
      </c>
      <c r="B7" s="220" t="s">
        <v>155</v>
      </c>
      <c r="C7" s="221"/>
      <c r="D7" s="223"/>
      <c r="E7" s="81"/>
      <c r="F7" s="222"/>
      <c r="G7" s="236"/>
      <c r="H7" s="236"/>
      <c r="I7" s="236"/>
      <c r="J7" s="236"/>
      <c r="K7" s="236"/>
      <c r="L7" s="210"/>
      <c r="N7" s="211"/>
      <c r="O7" s="211"/>
      <c r="P7" s="211"/>
      <c r="Q7" s="211"/>
      <c r="R7" s="211"/>
    </row>
    <row r="8" spans="1:18" x14ac:dyDescent="0.25">
      <c r="A8" s="206" t="s">
        <v>93</v>
      </c>
      <c r="B8" s="198" t="s">
        <v>156</v>
      </c>
      <c r="C8" s="197"/>
      <c r="D8" s="135"/>
      <c r="E8" s="22"/>
      <c r="F8" s="18"/>
      <c r="G8" s="237"/>
      <c r="H8" s="237"/>
      <c r="I8" s="237"/>
      <c r="J8" s="237"/>
      <c r="K8" s="237"/>
      <c r="L8" s="210"/>
      <c r="N8" s="211"/>
      <c r="O8" s="211"/>
      <c r="P8" s="211"/>
      <c r="Q8" s="211"/>
      <c r="R8" s="211"/>
    </row>
    <row r="9" spans="1:18" x14ac:dyDescent="0.25">
      <c r="A9" s="206" t="s">
        <v>17</v>
      </c>
      <c r="B9" s="198" t="s">
        <v>157</v>
      </c>
      <c r="C9" s="199"/>
      <c r="D9" s="172"/>
      <c r="E9" s="9"/>
      <c r="F9" s="19"/>
      <c r="G9" s="238"/>
      <c r="H9" s="238"/>
      <c r="I9" s="238"/>
      <c r="J9" s="238"/>
      <c r="K9" s="238"/>
      <c r="L9" s="210"/>
      <c r="N9" s="211"/>
      <c r="O9" s="211"/>
      <c r="P9" s="211"/>
      <c r="Q9" s="211"/>
      <c r="R9" s="211"/>
    </row>
    <row r="10" spans="1:18" x14ac:dyDescent="0.25">
      <c r="A10" s="207" t="s">
        <v>94</v>
      </c>
      <c r="B10" s="200" t="s">
        <v>158</v>
      </c>
      <c r="C10" s="199" t="s">
        <v>21</v>
      </c>
      <c r="D10" s="166">
        <v>942.21</v>
      </c>
      <c r="E10" s="139">
        <v>1.33</v>
      </c>
      <c r="F10" s="142">
        <v>1253.1400000000001</v>
      </c>
      <c r="G10" s="239">
        <f>$F10*N10</f>
        <v>626.57000000000005</v>
      </c>
      <c r="H10" s="239">
        <f>$F10*O10</f>
        <v>626.57000000000005</v>
      </c>
      <c r="I10" s="239">
        <f>$F10*P10</f>
        <v>0</v>
      </c>
      <c r="J10" s="239">
        <f>$F10*Q10</f>
        <v>0</v>
      </c>
      <c r="K10" s="239">
        <f>$F10*R10</f>
        <v>0</v>
      </c>
      <c r="L10" s="210">
        <f>F10-SUM(G10:K10)</f>
        <v>0</v>
      </c>
      <c r="N10" s="211">
        <v>0.5</v>
      </c>
      <c r="O10" s="211">
        <v>0.5</v>
      </c>
      <c r="P10" s="211"/>
      <c r="Q10" s="211"/>
      <c r="R10" s="211"/>
    </row>
    <row r="11" spans="1:18" x14ac:dyDescent="0.25">
      <c r="A11" s="207" t="s">
        <v>95</v>
      </c>
      <c r="B11" s="200" t="s">
        <v>159</v>
      </c>
      <c r="C11" s="199" t="s">
        <v>219</v>
      </c>
      <c r="D11" s="166">
        <v>942.21</v>
      </c>
      <c r="E11" s="139">
        <v>1.33</v>
      </c>
      <c r="F11" s="142">
        <v>1253.1400000000001</v>
      </c>
      <c r="G11" s="239">
        <f>$F11*N11</f>
        <v>313.28500000000003</v>
      </c>
      <c r="H11" s="239">
        <f>$F11*O11</f>
        <v>313.28500000000003</v>
      </c>
      <c r="I11" s="239">
        <f>$F11*P11</f>
        <v>313.28500000000003</v>
      </c>
      <c r="J11" s="239">
        <f>$F11*Q11</f>
        <v>313.28500000000003</v>
      </c>
      <c r="K11" s="239">
        <f>$F11*R11</f>
        <v>0</v>
      </c>
      <c r="L11" s="210">
        <f>F11-SUM(G11:K11)</f>
        <v>0</v>
      </c>
      <c r="N11" s="211">
        <v>0.25</v>
      </c>
      <c r="O11" s="211">
        <v>0.25</v>
      </c>
      <c r="P11" s="211">
        <v>0.25</v>
      </c>
      <c r="Q11" s="211">
        <v>0.25</v>
      </c>
      <c r="R11" s="211"/>
    </row>
    <row r="12" spans="1:18" x14ac:dyDescent="0.25">
      <c r="A12" s="206" t="s">
        <v>96</v>
      </c>
      <c r="B12" s="198" t="s">
        <v>160</v>
      </c>
      <c r="C12" s="199"/>
      <c r="D12" s="172"/>
      <c r="E12" s="9"/>
      <c r="F12" s="19"/>
      <c r="G12" s="238"/>
      <c r="H12" s="238"/>
      <c r="I12" s="238"/>
      <c r="J12" s="238"/>
      <c r="K12" s="238"/>
      <c r="L12" s="210"/>
      <c r="N12" s="211"/>
      <c r="O12" s="211"/>
      <c r="P12" s="211"/>
      <c r="Q12" s="211"/>
      <c r="R12" s="211"/>
    </row>
    <row r="13" spans="1:18" x14ac:dyDescent="0.25">
      <c r="A13" s="206" t="s">
        <v>97</v>
      </c>
      <c r="B13" s="198" t="s">
        <v>161</v>
      </c>
      <c r="C13" s="199"/>
      <c r="D13" s="172"/>
      <c r="E13" s="9"/>
      <c r="F13" s="19"/>
      <c r="G13" s="238"/>
      <c r="H13" s="238"/>
      <c r="I13" s="238"/>
      <c r="J13" s="238"/>
      <c r="K13" s="238"/>
      <c r="L13" s="210"/>
      <c r="N13" s="211"/>
      <c r="O13" s="211"/>
      <c r="P13" s="211"/>
      <c r="Q13" s="211"/>
      <c r="R13" s="211"/>
    </row>
    <row r="14" spans="1:18" x14ac:dyDescent="0.25">
      <c r="A14" s="206" t="s">
        <v>98</v>
      </c>
      <c r="B14" s="198" t="s">
        <v>162</v>
      </c>
      <c r="C14" s="199"/>
      <c r="D14" s="172"/>
      <c r="E14" s="9"/>
      <c r="F14" s="19"/>
      <c r="G14" s="238"/>
      <c r="H14" s="238"/>
      <c r="I14" s="238"/>
      <c r="J14" s="238"/>
      <c r="K14" s="238"/>
      <c r="L14" s="210"/>
      <c r="N14" s="211"/>
      <c r="O14" s="211"/>
      <c r="P14" s="211"/>
      <c r="Q14" s="211"/>
      <c r="R14" s="211"/>
    </row>
    <row r="15" spans="1:18" x14ac:dyDescent="0.25">
      <c r="A15" s="207" t="s">
        <v>99</v>
      </c>
      <c r="B15" s="200" t="s">
        <v>163</v>
      </c>
      <c r="C15" s="199" t="s">
        <v>81</v>
      </c>
      <c r="D15" s="166">
        <v>39.81</v>
      </c>
      <c r="E15" s="139">
        <v>29.22</v>
      </c>
      <c r="F15" s="142">
        <v>1163.25</v>
      </c>
      <c r="G15" s="239">
        <f>$F15*N15</f>
        <v>814.27499999999998</v>
      </c>
      <c r="H15" s="239">
        <f>$F15*O15</f>
        <v>348.97499999999997</v>
      </c>
      <c r="I15" s="239">
        <f>$F15*P15</f>
        <v>0</v>
      </c>
      <c r="J15" s="239">
        <f>$F15*Q15</f>
        <v>0</v>
      </c>
      <c r="K15" s="239">
        <f>$F15*R15</f>
        <v>0</v>
      </c>
      <c r="L15" s="210">
        <f>F15-SUM(G15:K15)</f>
        <v>0</v>
      </c>
      <c r="N15" s="211">
        <v>0.7</v>
      </c>
      <c r="O15" s="211">
        <v>0.3</v>
      </c>
      <c r="P15" s="211"/>
      <c r="Q15" s="211"/>
      <c r="R15" s="211"/>
    </row>
    <row r="16" spans="1:18" x14ac:dyDescent="0.25">
      <c r="A16" s="207" t="s">
        <v>100</v>
      </c>
      <c r="B16" s="200" t="s">
        <v>164</v>
      </c>
      <c r="C16" s="199" t="s">
        <v>81</v>
      </c>
      <c r="D16" s="166">
        <v>1876.4</v>
      </c>
      <c r="E16" s="139">
        <v>33.36</v>
      </c>
      <c r="F16" s="142">
        <v>62596.7</v>
      </c>
      <c r="G16" s="239">
        <f>$F16*N16</f>
        <v>43817.689999999995</v>
      </c>
      <c r="H16" s="239">
        <f>$F16*O16</f>
        <v>18779.009999999998</v>
      </c>
      <c r="I16" s="239">
        <f>$F16*P16</f>
        <v>0</v>
      </c>
      <c r="J16" s="239">
        <f>$F16*Q16</f>
        <v>0</v>
      </c>
      <c r="K16" s="239">
        <f>$F16*R16</f>
        <v>0</v>
      </c>
      <c r="L16" s="210">
        <f>F16-SUM(G16:K16)</f>
        <v>0</v>
      </c>
      <c r="N16" s="211">
        <v>0.7</v>
      </c>
      <c r="O16" s="211">
        <v>0.3</v>
      </c>
      <c r="P16" s="211"/>
      <c r="Q16" s="211"/>
      <c r="R16" s="211"/>
    </row>
    <row r="17" spans="1:18" x14ac:dyDescent="0.25">
      <c r="A17" s="206" t="s">
        <v>101</v>
      </c>
      <c r="B17" s="198" t="s">
        <v>165</v>
      </c>
      <c r="C17" s="199"/>
      <c r="D17" s="172"/>
      <c r="E17" s="9"/>
      <c r="F17" s="19"/>
      <c r="G17" s="238"/>
      <c r="H17" s="238"/>
      <c r="I17" s="238"/>
      <c r="J17" s="238"/>
      <c r="K17" s="238"/>
      <c r="L17" s="210"/>
      <c r="N17" s="211"/>
      <c r="O17" s="211"/>
      <c r="P17" s="211"/>
      <c r="Q17" s="211"/>
      <c r="R17" s="211"/>
    </row>
    <row r="18" spans="1:18" x14ac:dyDescent="0.25">
      <c r="A18" s="207" t="s">
        <v>102</v>
      </c>
      <c r="B18" s="200" t="s">
        <v>166</v>
      </c>
      <c r="C18" s="199" t="s">
        <v>81</v>
      </c>
      <c r="D18" s="166">
        <v>1138.01</v>
      </c>
      <c r="E18" s="139">
        <v>15</v>
      </c>
      <c r="F18" s="142">
        <v>17070.150000000001</v>
      </c>
      <c r="G18" s="239">
        <f>$F18*N18</f>
        <v>0</v>
      </c>
      <c r="H18" s="239">
        <f>$F18*O18</f>
        <v>5121.0450000000001</v>
      </c>
      <c r="I18" s="239">
        <f>$F18*P18</f>
        <v>11949.105</v>
      </c>
      <c r="J18" s="239">
        <f>$F18*Q18</f>
        <v>0</v>
      </c>
      <c r="K18" s="239">
        <f>$F18*R18</f>
        <v>0</v>
      </c>
      <c r="L18" s="210">
        <f>F18-SUM(G18:K18)</f>
        <v>0</v>
      </c>
      <c r="N18" s="211"/>
      <c r="O18" s="211">
        <v>0.3</v>
      </c>
      <c r="P18" s="211">
        <v>0.7</v>
      </c>
      <c r="Q18" s="211"/>
      <c r="R18" s="211"/>
    </row>
    <row r="19" spans="1:18" x14ac:dyDescent="0.25">
      <c r="A19" s="206" t="s">
        <v>103</v>
      </c>
      <c r="B19" s="198" t="s">
        <v>167</v>
      </c>
      <c r="C19" s="197"/>
      <c r="D19" s="165"/>
      <c r="E19" s="8"/>
      <c r="F19" s="20"/>
      <c r="G19" s="240"/>
      <c r="H19" s="240"/>
      <c r="I19" s="240"/>
      <c r="J19" s="240"/>
      <c r="K19" s="240"/>
      <c r="L19" s="210"/>
      <c r="N19" s="211"/>
      <c r="O19" s="211"/>
      <c r="P19" s="211"/>
      <c r="Q19" s="211"/>
      <c r="R19" s="211"/>
    </row>
    <row r="20" spans="1:18" x14ac:dyDescent="0.25">
      <c r="A20" s="207" t="s">
        <v>104</v>
      </c>
      <c r="B20" s="200" t="s">
        <v>168</v>
      </c>
      <c r="C20" s="199" t="s">
        <v>81</v>
      </c>
      <c r="D20" s="166">
        <v>1118.06</v>
      </c>
      <c r="E20" s="139">
        <v>18.27</v>
      </c>
      <c r="F20" s="142">
        <v>20426.96</v>
      </c>
      <c r="G20" s="239">
        <f>$F20*N20</f>
        <v>10213.48</v>
      </c>
      <c r="H20" s="239">
        <f>$F20*O20</f>
        <v>10213.48</v>
      </c>
      <c r="I20" s="239">
        <f>$F20*P20</f>
        <v>0</v>
      </c>
      <c r="J20" s="239">
        <f>$F20*Q20</f>
        <v>0</v>
      </c>
      <c r="K20" s="239">
        <f>$F20*R20</f>
        <v>0</v>
      </c>
      <c r="L20" s="210">
        <f>F20-SUM(G20:K20)</f>
        <v>0</v>
      </c>
      <c r="N20" s="211">
        <v>0.5</v>
      </c>
      <c r="O20" s="211">
        <v>0.5</v>
      </c>
      <c r="P20" s="211"/>
      <c r="Q20" s="211"/>
      <c r="R20" s="211"/>
    </row>
    <row r="21" spans="1:18" x14ac:dyDescent="0.25">
      <c r="A21" s="207" t="s">
        <v>105</v>
      </c>
      <c r="B21" s="200" t="s">
        <v>169</v>
      </c>
      <c r="C21" s="199" t="s">
        <v>22</v>
      </c>
      <c r="D21" s="166"/>
      <c r="E21" s="139"/>
      <c r="F21" s="142"/>
      <c r="G21" s="239">
        <f>$F21*N21</f>
        <v>0</v>
      </c>
      <c r="H21" s="239">
        <f>$F21*O21</f>
        <v>0</v>
      </c>
      <c r="I21" s="239">
        <f>$F21*P21</f>
        <v>0</v>
      </c>
      <c r="J21" s="239">
        <f>$F21*Q21</f>
        <v>0</v>
      </c>
      <c r="K21" s="239">
        <f>$F21*R21</f>
        <v>0</v>
      </c>
      <c r="L21" s="210">
        <f>F21-SUM(G21:K21)</f>
        <v>0</v>
      </c>
      <c r="N21" s="211">
        <v>0.5</v>
      </c>
      <c r="O21" s="211">
        <v>0.5</v>
      </c>
      <c r="P21" s="211"/>
      <c r="Q21" s="211"/>
      <c r="R21" s="211"/>
    </row>
    <row r="22" spans="1:18" x14ac:dyDescent="0.25">
      <c r="A22" s="207" t="s">
        <v>106</v>
      </c>
      <c r="B22" s="200" t="s">
        <v>170</v>
      </c>
      <c r="C22" s="199" t="s">
        <v>81</v>
      </c>
      <c r="D22" s="166"/>
      <c r="E22" s="139"/>
      <c r="F22" s="142"/>
      <c r="G22" s="239">
        <f>$F22*N22</f>
        <v>0</v>
      </c>
      <c r="H22" s="239">
        <f>$F22*O22</f>
        <v>0</v>
      </c>
      <c r="I22" s="239">
        <f>$F22*P22</f>
        <v>0</v>
      </c>
      <c r="J22" s="239">
        <f>$F22*Q22</f>
        <v>0</v>
      </c>
      <c r="K22" s="239">
        <f>$F22*R22</f>
        <v>0</v>
      </c>
      <c r="L22" s="210">
        <f>F22-SUM(G22:K22)</f>
        <v>0</v>
      </c>
      <c r="N22" s="211">
        <v>0.5</v>
      </c>
      <c r="O22" s="211">
        <v>0.5</v>
      </c>
      <c r="P22" s="211"/>
      <c r="Q22" s="211"/>
      <c r="R22" s="211"/>
    </row>
    <row r="23" spans="1:18" x14ac:dyDescent="0.25">
      <c r="A23" s="206" t="s">
        <v>107</v>
      </c>
      <c r="B23" s="198" t="s">
        <v>171</v>
      </c>
      <c r="C23" s="201"/>
      <c r="D23" s="224"/>
      <c r="E23" s="51"/>
      <c r="F23" s="196"/>
      <c r="G23" s="238"/>
      <c r="H23" s="238"/>
      <c r="I23" s="238"/>
      <c r="J23" s="238"/>
      <c r="K23" s="238"/>
      <c r="L23" s="210"/>
      <c r="N23" s="211"/>
      <c r="O23" s="211"/>
      <c r="P23" s="211"/>
      <c r="Q23" s="211"/>
      <c r="R23" s="211"/>
    </row>
    <row r="24" spans="1:18" x14ac:dyDescent="0.25">
      <c r="A24" s="207" t="s">
        <v>108</v>
      </c>
      <c r="B24" s="200" t="s">
        <v>172</v>
      </c>
      <c r="C24" s="201" t="s">
        <v>219</v>
      </c>
      <c r="D24" s="168">
        <v>70.33</v>
      </c>
      <c r="E24" s="147">
        <v>4.3600000000000003</v>
      </c>
      <c r="F24" s="142">
        <v>306.64</v>
      </c>
      <c r="G24" s="239">
        <f>$F24*N24</f>
        <v>0</v>
      </c>
      <c r="H24" s="239">
        <f>$F24*O24</f>
        <v>0</v>
      </c>
      <c r="I24" s="239">
        <f>$F24*P24</f>
        <v>0</v>
      </c>
      <c r="J24" s="239">
        <f>$F24*Q24</f>
        <v>153.32</v>
      </c>
      <c r="K24" s="239">
        <f>$F24*R24</f>
        <v>153.32</v>
      </c>
      <c r="L24" s="210">
        <f>F24-SUM(G24:K24)</f>
        <v>0</v>
      </c>
      <c r="N24" s="211"/>
      <c r="O24" s="211"/>
      <c r="P24" s="211"/>
      <c r="Q24" s="211">
        <v>0.5</v>
      </c>
      <c r="R24" s="211">
        <v>0.5</v>
      </c>
    </row>
    <row r="25" spans="1:18" x14ac:dyDescent="0.25">
      <c r="A25" s="207" t="s">
        <v>109</v>
      </c>
      <c r="B25" s="200" t="s">
        <v>173</v>
      </c>
      <c r="C25" s="201" t="s">
        <v>219</v>
      </c>
      <c r="D25" s="168">
        <v>8.73</v>
      </c>
      <c r="E25" s="147">
        <v>7.37</v>
      </c>
      <c r="F25" s="142">
        <v>64.34</v>
      </c>
      <c r="G25" s="239">
        <f>$F25*N25</f>
        <v>0</v>
      </c>
      <c r="H25" s="239">
        <f>$F25*O25</f>
        <v>0</v>
      </c>
      <c r="I25" s="239">
        <f>$F25*P25</f>
        <v>38.603999999999999</v>
      </c>
      <c r="J25" s="239">
        <f>$F25*Q25</f>
        <v>25.736000000000004</v>
      </c>
      <c r="K25" s="239">
        <f>$F25*R25</f>
        <v>0</v>
      </c>
      <c r="L25" s="210">
        <f>F25-SUM(G25:K25)</f>
        <v>0</v>
      </c>
      <c r="N25" s="211"/>
      <c r="O25" s="211"/>
      <c r="P25" s="211">
        <v>0.6</v>
      </c>
      <c r="Q25" s="211">
        <v>0.4</v>
      </c>
      <c r="R25" s="211"/>
    </row>
    <row r="26" spans="1:18" x14ac:dyDescent="0.25">
      <c r="A26" s="207" t="s">
        <v>110</v>
      </c>
      <c r="B26" s="200" t="s">
        <v>174</v>
      </c>
      <c r="C26" s="201" t="s">
        <v>219</v>
      </c>
      <c r="D26" s="168">
        <v>70.33</v>
      </c>
      <c r="E26" s="147">
        <v>11.5</v>
      </c>
      <c r="F26" s="142">
        <v>808.8</v>
      </c>
      <c r="G26" s="239">
        <f>$F26*N26</f>
        <v>0</v>
      </c>
      <c r="H26" s="239">
        <f>$F26*O26</f>
        <v>0</v>
      </c>
      <c r="I26" s="239">
        <f>$F26*P26</f>
        <v>0</v>
      </c>
      <c r="J26" s="239">
        <f>$F26*Q26</f>
        <v>323.52</v>
      </c>
      <c r="K26" s="239">
        <f>$F26*R26</f>
        <v>485.28</v>
      </c>
      <c r="L26" s="210">
        <f>F26-SUM(G26:K26)</f>
        <v>0</v>
      </c>
      <c r="N26" s="211"/>
      <c r="O26" s="211"/>
      <c r="P26" s="211"/>
      <c r="Q26" s="211">
        <v>0.4</v>
      </c>
      <c r="R26" s="211">
        <v>0.6</v>
      </c>
    </row>
    <row r="27" spans="1:18" x14ac:dyDescent="0.25">
      <c r="A27" s="207" t="s">
        <v>111</v>
      </c>
      <c r="B27" s="200" t="s">
        <v>175</v>
      </c>
      <c r="C27" s="201" t="s">
        <v>219</v>
      </c>
      <c r="D27" s="168">
        <v>8.73</v>
      </c>
      <c r="E27" s="147">
        <v>14.5</v>
      </c>
      <c r="F27" s="142">
        <v>126.59</v>
      </c>
      <c r="G27" s="239">
        <f>$F27*N27</f>
        <v>0</v>
      </c>
      <c r="H27" s="239">
        <f>$F27*O27</f>
        <v>0</v>
      </c>
      <c r="I27" s="239">
        <f>$F27*P27</f>
        <v>63.295000000000002</v>
      </c>
      <c r="J27" s="239">
        <f>$F27*Q27</f>
        <v>63.295000000000002</v>
      </c>
      <c r="K27" s="239">
        <f>$F27*R27</f>
        <v>0</v>
      </c>
      <c r="L27" s="210">
        <f>F27-SUM(G27:K27)</f>
        <v>0</v>
      </c>
      <c r="N27" s="211"/>
      <c r="O27" s="211"/>
      <c r="P27" s="211">
        <v>0.5</v>
      </c>
      <c r="Q27" s="211">
        <v>0.5</v>
      </c>
      <c r="R27" s="211"/>
    </row>
    <row r="28" spans="1:18" x14ac:dyDescent="0.25">
      <c r="A28" s="206" t="s">
        <v>112</v>
      </c>
      <c r="B28" s="198" t="s">
        <v>176</v>
      </c>
      <c r="C28" s="201"/>
      <c r="D28" s="224"/>
      <c r="E28" s="51"/>
      <c r="F28" s="196"/>
      <c r="G28" s="238"/>
      <c r="H28" s="238"/>
      <c r="I28" s="238"/>
      <c r="J28" s="238"/>
      <c r="K28" s="238"/>
      <c r="L28" s="210"/>
      <c r="N28" s="211"/>
      <c r="O28" s="211"/>
      <c r="P28" s="211"/>
      <c r="Q28" s="211"/>
      <c r="R28" s="211"/>
    </row>
    <row r="29" spans="1:18" x14ac:dyDescent="0.25">
      <c r="A29" s="206" t="s">
        <v>113</v>
      </c>
      <c r="B29" s="198" t="s">
        <v>177</v>
      </c>
      <c r="C29" s="201"/>
      <c r="D29" s="224"/>
      <c r="E29" s="51"/>
      <c r="F29" s="196"/>
      <c r="G29" s="238"/>
      <c r="H29" s="238"/>
      <c r="I29" s="238"/>
      <c r="J29" s="238"/>
      <c r="K29" s="238"/>
      <c r="L29" s="210"/>
      <c r="N29" s="211"/>
      <c r="O29" s="211"/>
      <c r="P29" s="211"/>
      <c r="Q29" s="211"/>
      <c r="R29" s="211"/>
    </row>
    <row r="30" spans="1:18" x14ac:dyDescent="0.25">
      <c r="A30" s="207" t="s">
        <v>114</v>
      </c>
      <c r="B30" s="200" t="s">
        <v>178</v>
      </c>
      <c r="C30" s="201" t="s">
        <v>81</v>
      </c>
      <c r="D30" s="168">
        <v>330.16</v>
      </c>
      <c r="E30" s="147">
        <v>184.1</v>
      </c>
      <c r="F30" s="142">
        <v>60782.46</v>
      </c>
      <c r="G30" s="239">
        <f>$F30*N30</f>
        <v>0</v>
      </c>
      <c r="H30" s="239">
        <f>$F30*O30</f>
        <v>42547.721999999994</v>
      </c>
      <c r="I30" s="239">
        <f>$F30*P30</f>
        <v>18234.737999999998</v>
      </c>
      <c r="J30" s="239">
        <f>$F30*Q30</f>
        <v>0</v>
      </c>
      <c r="K30" s="239">
        <f>$F30*R30</f>
        <v>0</v>
      </c>
      <c r="L30" s="210">
        <f>F30-SUM(G30:K30)</f>
        <v>0</v>
      </c>
      <c r="N30" s="211"/>
      <c r="O30" s="211">
        <v>0.7</v>
      </c>
      <c r="P30" s="211">
        <v>0.3</v>
      </c>
      <c r="Q30" s="211"/>
      <c r="R30" s="211"/>
    </row>
    <row r="31" spans="1:18" x14ac:dyDescent="0.25">
      <c r="A31" s="206" t="s">
        <v>115</v>
      </c>
      <c r="B31" s="198" t="s">
        <v>179</v>
      </c>
      <c r="C31" s="201"/>
      <c r="D31" s="224"/>
      <c r="E31" s="51"/>
      <c r="F31" s="196"/>
      <c r="G31" s="238"/>
      <c r="H31" s="238"/>
      <c r="I31" s="238"/>
      <c r="J31" s="238"/>
      <c r="K31" s="238"/>
      <c r="L31" s="210"/>
      <c r="N31" s="211"/>
      <c r="O31" s="211"/>
      <c r="P31" s="211"/>
      <c r="Q31" s="211"/>
      <c r="R31" s="211"/>
    </row>
    <row r="32" spans="1:18" x14ac:dyDescent="0.25">
      <c r="A32" s="207" t="s">
        <v>116</v>
      </c>
      <c r="B32" s="200" t="s">
        <v>180</v>
      </c>
      <c r="C32" s="201" t="s">
        <v>81</v>
      </c>
      <c r="D32" s="168">
        <v>24.24</v>
      </c>
      <c r="E32" s="147">
        <v>182.46</v>
      </c>
      <c r="F32" s="142">
        <v>4422.83</v>
      </c>
      <c r="G32" s="239">
        <f>$F32*N32</f>
        <v>0</v>
      </c>
      <c r="H32" s="239">
        <f>$F32*O32</f>
        <v>1326.8489999999999</v>
      </c>
      <c r="I32" s="239">
        <f>$F32*P32</f>
        <v>3095.9809999999998</v>
      </c>
      <c r="J32" s="239">
        <f>$F32*Q32</f>
        <v>0</v>
      </c>
      <c r="K32" s="239">
        <f>$F32*R32</f>
        <v>0</v>
      </c>
      <c r="L32" s="210">
        <f>F32-SUM(G32:K32)</f>
        <v>0</v>
      </c>
      <c r="N32" s="211"/>
      <c r="O32" s="211">
        <v>0.3</v>
      </c>
      <c r="P32" s="211">
        <v>0.7</v>
      </c>
      <c r="Q32" s="211"/>
      <c r="R32" s="211"/>
    </row>
    <row r="33" spans="1:18" x14ac:dyDescent="0.25">
      <c r="A33" s="207" t="s">
        <v>117</v>
      </c>
      <c r="B33" s="200" t="s">
        <v>181</v>
      </c>
      <c r="C33" s="201" t="s">
        <v>219</v>
      </c>
      <c r="D33" s="168">
        <v>22.63</v>
      </c>
      <c r="E33" s="147">
        <v>23.830000000000002</v>
      </c>
      <c r="F33" s="142">
        <v>539.27</v>
      </c>
      <c r="G33" s="239">
        <f>$F33*N33</f>
        <v>0</v>
      </c>
      <c r="H33" s="239">
        <f>$F33*O33</f>
        <v>215.708</v>
      </c>
      <c r="I33" s="239">
        <f>$F33*P33</f>
        <v>323.56199999999995</v>
      </c>
      <c r="J33" s="239">
        <f>$F33*Q33</f>
        <v>0</v>
      </c>
      <c r="K33" s="239">
        <f>$F33*R33</f>
        <v>0</v>
      </c>
      <c r="L33" s="210">
        <f>F33-SUM(G33:K33)</f>
        <v>0</v>
      </c>
      <c r="N33" s="211"/>
      <c r="O33" s="211">
        <v>0.4</v>
      </c>
      <c r="P33" s="211">
        <v>0.6</v>
      </c>
      <c r="Q33" s="211"/>
      <c r="R33" s="211"/>
    </row>
    <row r="34" spans="1:18" x14ac:dyDescent="0.25">
      <c r="A34" s="207" t="s">
        <v>118</v>
      </c>
      <c r="B34" s="200" t="s">
        <v>182</v>
      </c>
      <c r="C34" s="201" t="s">
        <v>81</v>
      </c>
      <c r="D34" s="168">
        <v>160.54</v>
      </c>
      <c r="E34" s="147">
        <v>207.85</v>
      </c>
      <c r="F34" s="142">
        <v>33368.239999999998</v>
      </c>
      <c r="G34" s="239">
        <f>$F34*N34</f>
        <v>33368.239999999998</v>
      </c>
      <c r="H34" s="239">
        <f>$F34*O34</f>
        <v>0</v>
      </c>
      <c r="I34" s="239">
        <f>$F34*P34</f>
        <v>0</v>
      </c>
      <c r="J34" s="239">
        <f>$F34*Q34</f>
        <v>0</v>
      </c>
      <c r="K34" s="239">
        <f>$F34*R34</f>
        <v>0</v>
      </c>
      <c r="L34" s="210">
        <f>F34-SUM(G34:K34)</f>
        <v>0</v>
      </c>
      <c r="N34" s="211">
        <v>1</v>
      </c>
      <c r="O34" s="211"/>
      <c r="P34" s="211"/>
      <c r="Q34" s="211"/>
      <c r="R34" s="211"/>
    </row>
    <row r="35" spans="1:18" x14ac:dyDescent="0.25">
      <c r="A35" s="207" t="s">
        <v>119</v>
      </c>
      <c r="B35" s="200" t="s">
        <v>183</v>
      </c>
      <c r="C35" s="201" t="s">
        <v>219</v>
      </c>
      <c r="D35" s="168">
        <v>321.08</v>
      </c>
      <c r="E35" s="147">
        <v>26.53</v>
      </c>
      <c r="F35" s="142">
        <v>8518.25</v>
      </c>
      <c r="G35" s="239">
        <f>$F35*N35</f>
        <v>8518.25</v>
      </c>
      <c r="H35" s="239">
        <f>$F35*O35</f>
        <v>0</v>
      </c>
      <c r="I35" s="239">
        <f>$F35*P35</f>
        <v>0</v>
      </c>
      <c r="J35" s="239">
        <f>$F35*Q35</f>
        <v>0</v>
      </c>
      <c r="K35" s="239">
        <f>$F35*R35</f>
        <v>0</v>
      </c>
      <c r="L35" s="210">
        <f>F35-SUM(G35:K35)</f>
        <v>0</v>
      </c>
      <c r="N35" s="211">
        <v>1</v>
      </c>
      <c r="O35" s="211"/>
      <c r="P35" s="211"/>
      <c r="Q35" s="211"/>
      <c r="R35" s="211"/>
    </row>
    <row r="36" spans="1:18" x14ac:dyDescent="0.25">
      <c r="A36" s="206" t="s">
        <v>120</v>
      </c>
      <c r="B36" s="198" t="s">
        <v>184</v>
      </c>
      <c r="C36" s="201"/>
      <c r="D36" s="224"/>
      <c r="E36" s="51"/>
      <c r="F36" s="196"/>
      <c r="G36" s="238"/>
      <c r="H36" s="238"/>
      <c r="I36" s="238"/>
      <c r="J36" s="238"/>
      <c r="K36" s="238"/>
      <c r="L36" s="210"/>
      <c r="N36" s="211"/>
      <c r="O36" s="211"/>
      <c r="P36" s="211"/>
      <c r="Q36" s="211"/>
      <c r="R36" s="211"/>
    </row>
    <row r="37" spans="1:18" x14ac:dyDescent="0.25">
      <c r="A37" s="207" t="s">
        <v>121</v>
      </c>
      <c r="B37" s="200" t="s">
        <v>185</v>
      </c>
      <c r="C37" s="201" t="s">
        <v>81</v>
      </c>
      <c r="D37" s="168">
        <v>3.15</v>
      </c>
      <c r="E37" s="147">
        <v>201.22</v>
      </c>
      <c r="F37" s="142">
        <v>633.84</v>
      </c>
      <c r="G37" s="239">
        <f>$F37*N37</f>
        <v>0</v>
      </c>
      <c r="H37" s="239">
        <f>$F37*O37</f>
        <v>0</v>
      </c>
      <c r="I37" s="239">
        <f>$F37*P37</f>
        <v>316.92</v>
      </c>
      <c r="J37" s="239">
        <f>$F37*Q37</f>
        <v>316.92</v>
      </c>
      <c r="K37" s="239">
        <f>$F37*R37</f>
        <v>0</v>
      </c>
      <c r="L37" s="210">
        <f>F37-SUM(G37:K37)</f>
        <v>0</v>
      </c>
      <c r="N37" s="211"/>
      <c r="O37" s="211"/>
      <c r="P37" s="211">
        <v>0.5</v>
      </c>
      <c r="Q37" s="211">
        <v>0.5</v>
      </c>
      <c r="R37" s="211"/>
    </row>
    <row r="38" spans="1:18" x14ac:dyDescent="0.25">
      <c r="A38" s="207" t="s">
        <v>122</v>
      </c>
      <c r="B38" s="200" t="s">
        <v>186</v>
      </c>
      <c r="C38" s="201" t="s">
        <v>219</v>
      </c>
      <c r="D38" s="168">
        <v>43.07</v>
      </c>
      <c r="E38" s="147">
        <v>24.18</v>
      </c>
      <c r="F38" s="142">
        <v>1041.43</v>
      </c>
      <c r="G38" s="239">
        <f>$F38*N38</f>
        <v>0</v>
      </c>
      <c r="H38" s="239">
        <f>$F38*O38</f>
        <v>416.57200000000006</v>
      </c>
      <c r="I38" s="239">
        <f>$F38*P38</f>
        <v>416.57200000000006</v>
      </c>
      <c r="J38" s="239">
        <f>$F38*Q38</f>
        <v>208.28600000000003</v>
      </c>
      <c r="K38" s="239">
        <f>$F38*R38</f>
        <v>0</v>
      </c>
      <c r="L38" s="210">
        <f>F38-SUM(G38:K38)</f>
        <v>0</v>
      </c>
      <c r="N38" s="211"/>
      <c r="O38" s="211">
        <v>0.4</v>
      </c>
      <c r="P38" s="211">
        <v>0.4</v>
      </c>
      <c r="Q38" s="211">
        <v>0.2</v>
      </c>
      <c r="R38" s="211"/>
    </row>
    <row r="39" spans="1:18" x14ac:dyDescent="0.25">
      <c r="A39" s="206" t="s">
        <v>123</v>
      </c>
      <c r="B39" s="198" t="s">
        <v>187</v>
      </c>
      <c r="C39" s="201"/>
      <c r="D39" s="224"/>
      <c r="E39" s="51"/>
      <c r="F39" s="196"/>
      <c r="G39" s="238"/>
      <c r="H39" s="238"/>
      <c r="I39" s="238"/>
      <c r="J39" s="238"/>
      <c r="K39" s="238"/>
      <c r="L39" s="210"/>
      <c r="N39" s="211"/>
      <c r="O39" s="211"/>
      <c r="P39" s="211"/>
      <c r="Q39" s="211"/>
      <c r="R39" s="211"/>
    </row>
    <row r="40" spans="1:18" x14ac:dyDescent="0.25">
      <c r="A40" s="206" t="s">
        <v>124</v>
      </c>
      <c r="B40" s="198" t="s">
        <v>188</v>
      </c>
      <c r="C40" s="201"/>
      <c r="D40" s="224"/>
      <c r="E40" s="51"/>
      <c r="F40" s="196"/>
      <c r="G40" s="238"/>
      <c r="H40" s="238"/>
      <c r="I40" s="238"/>
      <c r="J40" s="238"/>
      <c r="K40" s="238"/>
      <c r="L40" s="210"/>
      <c r="N40" s="211"/>
      <c r="O40" s="211"/>
      <c r="P40" s="211"/>
      <c r="Q40" s="211"/>
      <c r="R40" s="211"/>
    </row>
    <row r="41" spans="1:18" x14ac:dyDescent="0.25">
      <c r="A41" s="207" t="s">
        <v>125</v>
      </c>
      <c r="B41" s="200" t="s">
        <v>189</v>
      </c>
      <c r="C41" s="201" t="s">
        <v>81</v>
      </c>
      <c r="D41" s="168">
        <v>412.62</v>
      </c>
      <c r="E41" s="147">
        <v>286.60000000000002</v>
      </c>
      <c r="F41" s="142">
        <v>118256.89</v>
      </c>
      <c r="G41" s="239">
        <f>$F41*N41</f>
        <v>0</v>
      </c>
      <c r="H41" s="239">
        <f>$F41*O41</f>
        <v>59128.445</v>
      </c>
      <c r="I41" s="239">
        <f>$F41*P41</f>
        <v>59128.445</v>
      </c>
      <c r="J41" s="239">
        <f>$F41*Q41</f>
        <v>0</v>
      </c>
      <c r="K41" s="239">
        <f>$F41*R41</f>
        <v>0</v>
      </c>
      <c r="L41" s="210">
        <f>F41-SUM(G41:K41)</f>
        <v>0</v>
      </c>
      <c r="N41" s="211"/>
      <c r="O41" s="211">
        <v>0.5</v>
      </c>
      <c r="P41" s="211">
        <v>0.5</v>
      </c>
      <c r="Q41" s="211"/>
      <c r="R41" s="211"/>
    </row>
    <row r="42" spans="1:18" x14ac:dyDescent="0.25">
      <c r="A42" s="207" t="s">
        <v>126</v>
      </c>
      <c r="B42" s="200" t="s">
        <v>190</v>
      </c>
      <c r="C42" s="201" t="s">
        <v>220</v>
      </c>
      <c r="D42" s="168">
        <v>17359.560000000001</v>
      </c>
      <c r="E42" s="147">
        <v>3.4</v>
      </c>
      <c r="F42" s="142">
        <v>59022.5</v>
      </c>
      <c r="G42" s="239">
        <f>$F42*N42</f>
        <v>0</v>
      </c>
      <c r="H42" s="239">
        <f>$F42*O42</f>
        <v>29511.25</v>
      </c>
      <c r="I42" s="239">
        <f>$F42*P42</f>
        <v>29511.25</v>
      </c>
      <c r="J42" s="239">
        <f>$F42*Q42</f>
        <v>0</v>
      </c>
      <c r="K42" s="239">
        <f>$F42*R42</f>
        <v>0</v>
      </c>
      <c r="L42" s="210">
        <f>F42-SUM(G42:K42)</f>
        <v>0</v>
      </c>
      <c r="N42" s="211"/>
      <c r="O42" s="211">
        <v>0.5</v>
      </c>
      <c r="P42" s="211">
        <v>0.5</v>
      </c>
      <c r="Q42" s="211"/>
      <c r="R42" s="211"/>
    </row>
    <row r="43" spans="1:18" x14ac:dyDescent="0.25">
      <c r="A43" s="206" t="s">
        <v>127</v>
      </c>
      <c r="B43" s="198" t="s">
        <v>191</v>
      </c>
      <c r="C43" s="201"/>
      <c r="D43" s="224"/>
      <c r="E43" s="51"/>
      <c r="F43" s="196"/>
      <c r="G43" s="238"/>
      <c r="H43" s="238"/>
      <c r="I43" s="238"/>
      <c r="J43" s="238"/>
      <c r="K43" s="238"/>
      <c r="L43" s="210"/>
      <c r="N43" s="211"/>
      <c r="O43" s="211"/>
      <c r="P43" s="211"/>
      <c r="Q43" s="211"/>
      <c r="R43" s="211"/>
    </row>
    <row r="44" spans="1:18" x14ac:dyDescent="0.25">
      <c r="A44" s="207" t="s">
        <v>128</v>
      </c>
      <c r="B44" s="200" t="s">
        <v>192</v>
      </c>
      <c r="C44" s="201" t="s">
        <v>81</v>
      </c>
      <c r="D44" s="168">
        <v>6.62</v>
      </c>
      <c r="E44" s="147">
        <v>290.45</v>
      </c>
      <c r="F44" s="142">
        <v>1922.78</v>
      </c>
      <c r="G44" s="239">
        <f>$F44*N44</f>
        <v>0</v>
      </c>
      <c r="H44" s="239">
        <f>$F44*O44</f>
        <v>0</v>
      </c>
      <c r="I44" s="239">
        <f>$F44*P44</f>
        <v>1153.6679999999999</v>
      </c>
      <c r="J44" s="239">
        <f>$F44*Q44</f>
        <v>769.11200000000008</v>
      </c>
      <c r="K44" s="239">
        <f>$F44*R44</f>
        <v>0</v>
      </c>
      <c r="L44" s="210">
        <f>F44-SUM(G44:K44)</f>
        <v>0</v>
      </c>
      <c r="N44" s="211"/>
      <c r="O44" s="211"/>
      <c r="P44" s="211">
        <v>0.6</v>
      </c>
      <c r="Q44" s="211">
        <v>0.4</v>
      </c>
      <c r="R44" s="211"/>
    </row>
    <row r="45" spans="1:18" x14ac:dyDescent="0.25">
      <c r="A45" s="207" t="s">
        <v>129</v>
      </c>
      <c r="B45" s="200" t="s">
        <v>193</v>
      </c>
      <c r="C45" s="201" t="s">
        <v>219</v>
      </c>
      <c r="D45" s="168">
        <v>73.44</v>
      </c>
      <c r="E45" s="147">
        <v>33.69</v>
      </c>
      <c r="F45" s="142">
        <v>2474.19</v>
      </c>
      <c r="G45" s="239">
        <f>$F45*N45</f>
        <v>0</v>
      </c>
      <c r="H45" s="239">
        <f>$F45*O45</f>
        <v>1237.095</v>
      </c>
      <c r="I45" s="239">
        <f>$F45*P45</f>
        <v>742.25699999999995</v>
      </c>
      <c r="J45" s="239">
        <f>$F45*Q45</f>
        <v>494.83800000000002</v>
      </c>
      <c r="K45" s="239">
        <f>$F45*R45</f>
        <v>0</v>
      </c>
      <c r="L45" s="210">
        <f>F45-SUM(G45:K45)</f>
        <v>0</v>
      </c>
      <c r="N45" s="211"/>
      <c r="O45" s="211">
        <v>0.5</v>
      </c>
      <c r="P45" s="211">
        <v>0.3</v>
      </c>
      <c r="Q45" s="211">
        <v>0.2</v>
      </c>
      <c r="R45" s="211"/>
    </row>
    <row r="46" spans="1:18" x14ac:dyDescent="0.25">
      <c r="A46" s="207" t="s">
        <v>130</v>
      </c>
      <c r="B46" s="200" t="s">
        <v>194</v>
      </c>
      <c r="C46" s="201" t="s">
        <v>220</v>
      </c>
      <c r="D46" s="168">
        <v>415.16</v>
      </c>
      <c r="E46" s="147">
        <v>3.4</v>
      </c>
      <c r="F46" s="142">
        <v>1411.54</v>
      </c>
      <c r="G46" s="239">
        <f>$F46*N46</f>
        <v>0</v>
      </c>
      <c r="H46" s="239">
        <f>$F46*O46</f>
        <v>988.07799999999986</v>
      </c>
      <c r="I46" s="239">
        <f>$F46*P46</f>
        <v>423.46199999999999</v>
      </c>
      <c r="J46" s="239">
        <f>$F46*Q46</f>
        <v>0</v>
      </c>
      <c r="K46" s="239">
        <f>$F46*R46</f>
        <v>0</v>
      </c>
      <c r="L46" s="210">
        <f>F46-SUM(G46:K46)</f>
        <v>0</v>
      </c>
      <c r="N46" s="211"/>
      <c r="O46" s="211">
        <v>0.7</v>
      </c>
      <c r="P46" s="211">
        <v>0.3</v>
      </c>
      <c r="Q46" s="211"/>
      <c r="R46" s="211"/>
    </row>
    <row r="47" spans="1:18" x14ac:dyDescent="0.25">
      <c r="A47" s="207" t="s">
        <v>131</v>
      </c>
      <c r="B47" s="200" t="s">
        <v>195</v>
      </c>
      <c r="C47" s="201" t="s">
        <v>81</v>
      </c>
      <c r="D47" s="168">
        <v>253.95</v>
      </c>
      <c r="E47" s="147">
        <v>328.19</v>
      </c>
      <c r="F47" s="142">
        <v>83343.850000000006</v>
      </c>
      <c r="G47" s="239">
        <f>$F47*N47</f>
        <v>0</v>
      </c>
      <c r="H47" s="239">
        <f>$F47*O47</f>
        <v>0</v>
      </c>
      <c r="I47" s="239">
        <f>$F47*P47</f>
        <v>50006.310000000005</v>
      </c>
      <c r="J47" s="239">
        <f>$F47*Q47</f>
        <v>33337.54</v>
      </c>
      <c r="K47" s="239">
        <f>$F47*R47</f>
        <v>0</v>
      </c>
      <c r="L47" s="210">
        <f>F47-SUM(G47:K47)</f>
        <v>0</v>
      </c>
      <c r="N47" s="211"/>
      <c r="O47" s="211"/>
      <c r="P47" s="211">
        <v>0.6</v>
      </c>
      <c r="Q47" s="211">
        <v>0.4</v>
      </c>
      <c r="R47" s="211"/>
    </row>
    <row r="48" spans="1:18" x14ac:dyDescent="0.25">
      <c r="A48" s="207" t="s">
        <v>132</v>
      </c>
      <c r="B48" s="200" t="s">
        <v>196</v>
      </c>
      <c r="C48" s="201" t="s">
        <v>219</v>
      </c>
      <c r="D48" s="168">
        <v>2075.23</v>
      </c>
      <c r="E48" s="147">
        <v>30.970000000000002</v>
      </c>
      <c r="F48" s="142">
        <v>64269.87</v>
      </c>
      <c r="G48" s="239">
        <f>$F48*N48</f>
        <v>0</v>
      </c>
      <c r="H48" s="239">
        <f>$F48*O48</f>
        <v>32134.935000000001</v>
      </c>
      <c r="I48" s="239">
        <f>$F48*P48</f>
        <v>19280.960999999999</v>
      </c>
      <c r="J48" s="239">
        <f>$F48*Q48</f>
        <v>12853.974000000002</v>
      </c>
      <c r="K48" s="239">
        <f>$F48*R48</f>
        <v>0</v>
      </c>
      <c r="L48" s="210">
        <f>F48-SUM(G48:K48)</f>
        <v>0</v>
      </c>
      <c r="N48" s="211"/>
      <c r="O48" s="211">
        <v>0.5</v>
      </c>
      <c r="P48" s="211">
        <v>0.3</v>
      </c>
      <c r="Q48" s="211">
        <v>0.2</v>
      </c>
      <c r="R48" s="211"/>
    </row>
    <row r="49" spans="1:18" x14ac:dyDescent="0.25">
      <c r="A49" s="207" t="s">
        <v>133</v>
      </c>
      <c r="B49" s="200" t="s">
        <v>197</v>
      </c>
      <c r="C49" s="201" t="s">
        <v>221</v>
      </c>
      <c r="D49" s="168"/>
      <c r="E49" s="147"/>
      <c r="F49" s="142"/>
      <c r="G49" s="239">
        <f>$F49*N49</f>
        <v>0</v>
      </c>
      <c r="H49" s="239">
        <f>$F49*O49</f>
        <v>0</v>
      </c>
      <c r="I49" s="239">
        <f>$F49*P49</f>
        <v>0</v>
      </c>
      <c r="J49" s="239">
        <f>$F49*Q49</f>
        <v>0</v>
      </c>
      <c r="K49" s="239">
        <f>$F49*R49</f>
        <v>0</v>
      </c>
      <c r="L49" s="210">
        <f>F49-SUM(G49:K49)</f>
        <v>0</v>
      </c>
      <c r="N49" s="211"/>
      <c r="O49" s="211">
        <v>0.7</v>
      </c>
      <c r="P49" s="211">
        <v>0.3</v>
      </c>
      <c r="Q49" s="211"/>
      <c r="R49" s="211"/>
    </row>
    <row r="50" spans="1:18" x14ac:dyDescent="0.25">
      <c r="A50" s="206" t="s">
        <v>134</v>
      </c>
      <c r="B50" s="198" t="s">
        <v>198</v>
      </c>
      <c r="C50" s="201"/>
      <c r="D50" s="224"/>
      <c r="E50" s="51"/>
      <c r="F50" s="196"/>
      <c r="G50" s="238"/>
      <c r="H50" s="238"/>
      <c r="I50" s="238"/>
      <c r="J50" s="238"/>
      <c r="K50" s="238"/>
      <c r="L50" s="210"/>
      <c r="N50" s="211"/>
      <c r="O50" s="211"/>
      <c r="P50" s="211"/>
      <c r="Q50" s="211"/>
      <c r="R50" s="211"/>
    </row>
    <row r="51" spans="1:18" x14ac:dyDescent="0.25">
      <c r="A51" s="208" t="s">
        <v>135</v>
      </c>
      <c r="B51" s="202" t="s">
        <v>199</v>
      </c>
      <c r="C51" s="201" t="s">
        <v>81</v>
      </c>
      <c r="D51" s="168">
        <v>67.959999999999994</v>
      </c>
      <c r="E51" s="147">
        <v>291.23</v>
      </c>
      <c r="F51" s="142">
        <v>19791.990000000002</v>
      </c>
      <c r="G51" s="239">
        <f>$F51*N51</f>
        <v>0</v>
      </c>
      <c r="H51" s="239">
        <f>$F51*O51</f>
        <v>0</v>
      </c>
      <c r="I51" s="239">
        <f>$F51*P51</f>
        <v>0</v>
      </c>
      <c r="J51" s="239">
        <f>$F51*Q51</f>
        <v>11875.194000000001</v>
      </c>
      <c r="K51" s="239">
        <f>$F51*R51</f>
        <v>7916.7960000000012</v>
      </c>
      <c r="L51" s="210">
        <f>F51-SUM(G51:K51)</f>
        <v>0</v>
      </c>
      <c r="N51" s="211"/>
      <c r="O51" s="211"/>
      <c r="P51" s="211"/>
      <c r="Q51" s="211">
        <v>0.6</v>
      </c>
      <c r="R51" s="211">
        <v>0.4</v>
      </c>
    </row>
    <row r="52" spans="1:18" x14ac:dyDescent="0.25">
      <c r="A52" s="209" t="s">
        <v>136</v>
      </c>
      <c r="B52" s="203" t="s">
        <v>200</v>
      </c>
      <c r="C52" s="201" t="s">
        <v>219</v>
      </c>
      <c r="D52" s="168">
        <v>919.41</v>
      </c>
      <c r="E52" s="147">
        <v>37.49</v>
      </c>
      <c r="F52" s="142">
        <v>34468.68</v>
      </c>
      <c r="G52" s="239">
        <f>$F52*N52</f>
        <v>0</v>
      </c>
      <c r="H52" s="239">
        <f>$F52*O52</f>
        <v>0</v>
      </c>
      <c r="I52" s="239">
        <f>$F52*P52</f>
        <v>10340.603999999999</v>
      </c>
      <c r="J52" s="239">
        <f>$F52*Q52</f>
        <v>24128.075999999997</v>
      </c>
      <c r="K52" s="239">
        <f>$F52*R52</f>
        <v>0</v>
      </c>
      <c r="L52" s="210">
        <f>F52-SUM(G52:K52)</f>
        <v>0</v>
      </c>
      <c r="N52" s="211"/>
      <c r="O52" s="211"/>
      <c r="P52" s="211">
        <v>0.3</v>
      </c>
      <c r="Q52" s="211">
        <v>0.7</v>
      </c>
      <c r="R52" s="211"/>
    </row>
    <row r="53" spans="1:18" x14ac:dyDescent="0.25">
      <c r="A53" s="207" t="s">
        <v>137</v>
      </c>
      <c r="B53" s="200" t="s">
        <v>201</v>
      </c>
      <c r="C53" s="201" t="s">
        <v>220</v>
      </c>
      <c r="D53" s="168">
        <v>11836.1</v>
      </c>
      <c r="E53" s="147">
        <v>3.4</v>
      </c>
      <c r="F53" s="142">
        <v>40242.74</v>
      </c>
      <c r="G53" s="239">
        <f>$F53*N53</f>
        <v>0</v>
      </c>
      <c r="H53" s="239">
        <f>$F53*O53</f>
        <v>0</v>
      </c>
      <c r="I53" s="239">
        <f>$F53*P53</f>
        <v>24145.643999999997</v>
      </c>
      <c r="J53" s="239">
        <f>$F53*Q53</f>
        <v>16097.096</v>
      </c>
      <c r="K53" s="239">
        <f>$F53*R53</f>
        <v>0</v>
      </c>
      <c r="L53" s="210">
        <f>F53-SUM(G53:K53)</f>
        <v>0</v>
      </c>
      <c r="N53" s="211"/>
      <c r="O53" s="211"/>
      <c r="P53" s="211">
        <v>0.6</v>
      </c>
      <c r="Q53" s="211">
        <v>0.4</v>
      </c>
      <c r="R53" s="211"/>
    </row>
    <row r="54" spans="1:18" x14ac:dyDescent="0.25">
      <c r="A54" s="206" t="s">
        <v>138</v>
      </c>
      <c r="B54" s="198" t="s">
        <v>202</v>
      </c>
      <c r="C54" s="201"/>
      <c r="D54" s="224"/>
      <c r="E54" s="51"/>
      <c r="F54" s="196"/>
      <c r="G54" s="238"/>
      <c r="H54" s="238"/>
      <c r="I54" s="238"/>
      <c r="J54" s="238"/>
      <c r="K54" s="238"/>
      <c r="L54" s="210"/>
      <c r="N54" s="211"/>
      <c r="O54" s="211"/>
      <c r="P54" s="211"/>
      <c r="Q54" s="211"/>
      <c r="R54" s="211"/>
    </row>
    <row r="55" spans="1:18" x14ac:dyDescent="0.25">
      <c r="A55" s="207" t="s">
        <v>139</v>
      </c>
      <c r="B55" s="200" t="s">
        <v>203</v>
      </c>
      <c r="C55" s="201" t="s">
        <v>81</v>
      </c>
      <c r="D55" s="168">
        <v>36.840000000000003</v>
      </c>
      <c r="E55" s="147">
        <v>294.5</v>
      </c>
      <c r="F55" s="142">
        <v>10849.38</v>
      </c>
      <c r="G55" s="239">
        <f>$F55*N55</f>
        <v>0</v>
      </c>
      <c r="H55" s="239">
        <f>$F55*O55</f>
        <v>0</v>
      </c>
      <c r="I55" s="239">
        <f>$F55*P55</f>
        <v>0</v>
      </c>
      <c r="J55" s="239">
        <f>$F55*Q55</f>
        <v>6509.6279999999997</v>
      </c>
      <c r="K55" s="239">
        <f>$F55*R55</f>
        <v>4339.7519999999995</v>
      </c>
      <c r="L55" s="210">
        <f>F55-SUM(G55:K55)</f>
        <v>0</v>
      </c>
      <c r="N55" s="211"/>
      <c r="O55" s="211"/>
      <c r="P55" s="211"/>
      <c r="Q55" s="211">
        <v>0.6</v>
      </c>
      <c r="R55" s="211">
        <v>0.4</v>
      </c>
    </row>
    <row r="56" spans="1:18" x14ac:dyDescent="0.25">
      <c r="A56" s="207" t="s">
        <v>140</v>
      </c>
      <c r="B56" s="200" t="s">
        <v>204</v>
      </c>
      <c r="C56" s="201" t="s">
        <v>219</v>
      </c>
      <c r="D56" s="168">
        <v>556.13</v>
      </c>
      <c r="E56" s="147">
        <v>43.56</v>
      </c>
      <c r="F56" s="142">
        <v>24225.02</v>
      </c>
      <c r="G56" s="239">
        <f>$F56*N56</f>
        <v>0</v>
      </c>
      <c r="H56" s="239">
        <f>$F56*O56</f>
        <v>0</v>
      </c>
      <c r="I56" s="239">
        <f>$F56*P56</f>
        <v>7267.5060000000003</v>
      </c>
      <c r="J56" s="239">
        <f>$F56*Q56</f>
        <v>16957.513999999999</v>
      </c>
      <c r="K56" s="239">
        <f>$F56*R56</f>
        <v>0</v>
      </c>
      <c r="L56" s="210">
        <f>F56-SUM(G56:K56)</f>
        <v>0</v>
      </c>
      <c r="N56" s="211"/>
      <c r="O56" s="211"/>
      <c r="P56" s="211">
        <v>0.3</v>
      </c>
      <c r="Q56" s="211">
        <v>0.7</v>
      </c>
      <c r="R56" s="211"/>
    </row>
    <row r="57" spans="1:18" x14ac:dyDescent="0.25">
      <c r="A57" s="207" t="s">
        <v>141</v>
      </c>
      <c r="B57" s="200" t="s">
        <v>205</v>
      </c>
      <c r="C57" s="201" t="s">
        <v>220</v>
      </c>
      <c r="D57" s="168">
        <v>5247.49</v>
      </c>
      <c r="E57" s="147">
        <v>3.4</v>
      </c>
      <c r="F57" s="142">
        <v>17841.47</v>
      </c>
      <c r="G57" s="239">
        <f>$F57*N57</f>
        <v>0</v>
      </c>
      <c r="H57" s="239">
        <f>$F57*O57</f>
        <v>0</v>
      </c>
      <c r="I57" s="239">
        <f>$F57*P57</f>
        <v>10704.882</v>
      </c>
      <c r="J57" s="239">
        <f>$F57*Q57</f>
        <v>7136.5880000000006</v>
      </c>
      <c r="K57" s="239">
        <f>$F57*R57</f>
        <v>0</v>
      </c>
      <c r="L57" s="210">
        <f>F57-SUM(G57:K57)</f>
        <v>0</v>
      </c>
      <c r="N57" s="211"/>
      <c r="O57" s="211"/>
      <c r="P57" s="211">
        <v>0.6</v>
      </c>
      <c r="Q57" s="211">
        <v>0.4</v>
      </c>
      <c r="R57" s="211"/>
    </row>
    <row r="58" spans="1:18" x14ac:dyDescent="0.25">
      <c r="A58" s="206" t="s">
        <v>142</v>
      </c>
      <c r="B58" s="198" t="s">
        <v>206</v>
      </c>
      <c r="C58" s="201"/>
      <c r="D58" s="224"/>
      <c r="E58" s="51"/>
      <c r="F58" s="20"/>
      <c r="G58" s="238"/>
      <c r="H58" s="238"/>
      <c r="I58" s="238"/>
      <c r="J58" s="238"/>
      <c r="K58" s="238"/>
      <c r="L58" s="210"/>
      <c r="N58" s="211"/>
      <c r="O58" s="211"/>
      <c r="P58" s="211"/>
      <c r="Q58" s="211"/>
      <c r="R58" s="211"/>
    </row>
    <row r="59" spans="1:18" x14ac:dyDescent="0.25">
      <c r="A59" s="207" t="s">
        <v>143</v>
      </c>
      <c r="B59" s="200" t="s">
        <v>207</v>
      </c>
      <c r="C59" s="201" t="s">
        <v>22</v>
      </c>
      <c r="D59" s="168">
        <v>0.63</v>
      </c>
      <c r="E59" s="147">
        <v>325.93</v>
      </c>
      <c r="F59" s="142">
        <v>205.34</v>
      </c>
      <c r="G59" s="239">
        <f>$F59*N59</f>
        <v>0</v>
      </c>
      <c r="H59" s="239">
        <f>$F59*O59</f>
        <v>0</v>
      </c>
      <c r="I59" s="239">
        <f>$F59*P59</f>
        <v>0</v>
      </c>
      <c r="J59" s="239">
        <f>$F59*Q59</f>
        <v>123.20399999999999</v>
      </c>
      <c r="K59" s="239">
        <f>$F59*R59</f>
        <v>82.13600000000001</v>
      </c>
      <c r="L59" s="210">
        <f>F59-SUM(G59:K59)</f>
        <v>0</v>
      </c>
      <c r="N59" s="211"/>
      <c r="O59" s="211"/>
      <c r="P59" s="211"/>
      <c r="Q59" s="211">
        <v>0.6</v>
      </c>
      <c r="R59" s="211">
        <v>0.4</v>
      </c>
    </row>
    <row r="60" spans="1:18" x14ac:dyDescent="0.25">
      <c r="A60" s="207" t="s">
        <v>144</v>
      </c>
      <c r="B60" s="200" t="s">
        <v>208</v>
      </c>
      <c r="C60" s="201" t="s">
        <v>219</v>
      </c>
      <c r="D60" s="168">
        <v>6.54</v>
      </c>
      <c r="E60" s="147">
        <v>55.43</v>
      </c>
      <c r="F60" s="142">
        <v>362.51</v>
      </c>
      <c r="G60" s="239">
        <f>$F60*N60</f>
        <v>0</v>
      </c>
      <c r="H60" s="239">
        <f>$F60*O60</f>
        <v>0</v>
      </c>
      <c r="I60" s="239">
        <f>$F60*P60</f>
        <v>108.753</v>
      </c>
      <c r="J60" s="239">
        <f>$F60*Q60</f>
        <v>253.75699999999998</v>
      </c>
      <c r="K60" s="239">
        <f>$F60*R60</f>
        <v>0</v>
      </c>
      <c r="L60" s="210">
        <f>F60-SUM(G60:K60)</f>
        <v>0</v>
      </c>
      <c r="N60" s="211"/>
      <c r="O60" s="211"/>
      <c r="P60" s="211">
        <v>0.3</v>
      </c>
      <c r="Q60" s="211">
        <v>0.7</v>
      </c>
      <c r="R60" s="211"/>
    </row>
    <row r="61" spans="1:18" x14ac:dyDescent="0.25">
      <c r="A61" s="207" t="s">
        <v>145</v>
      </c>
      <c r="B61" s="200" t="s">
        <v>209</v>
      </c>
      <c r="C61" s="201" t="s">
        <v>220</v>
      </c>
      <c r="D61" s="168">
        <v>73.150000000000006</v>
      </c>
      <c r="E61" s="147">
        <v>4.0200000000000005</v>
      </c>
      <c r="F61" s="142">
        <v>294.06</v>
      </c>
      <c r="G61" s="239">
        <f>$F61*N61</f>
        <v>0</v>
      </c>
      <c r="H61" s="239">
        <f>$F61*O61</f>
        <v>0</v>
      </c>
      <c r="I61" s="239">
        <f>$F61*P61</f>
        <v>176.43600000000001</v>
      </c>
      <c r="J61" s="239">
        <f>$F61*Q61</f>
        <v>117.62400000000001</v>
      </c>
      <c r="K61" s="239">
        <f>$F61*R61</f>
        <v>0</v>
      </c>
      <c r="L61" s="210">
        <f>F61-SUM(G61:K61)</f>
        <v>0</v>
      </c>
      <c r="N61" s="211"/>
      <c r="O61" s="211"/>
      <c r="P61" s="211">
        <v>0.6</v>
      </c>
      <c r="Q61" s="211">
        <v>0.4</v>
      </c>
      <c r="R61" s="211"/>
    </row>
    <row r="62" spans="1:18" x14ac:dyDescent="0.25">
      <c r="A62" s="206" t="s">
        <v>146</v>
      </c>
      <c r="B62" s="198" t="s">
        <v>210</v>
      </c>
      <c r="C62" s="201"/>
      <c r="D62" s="224"/>
      <c r="E62" s="51"/>
      <c r="F62" s="196"/>
      <c r="G62" s="238"/>
      <c r="H62" s="238"/>
      <c r="I62" s="238"/>
      <c r="J62" s="238"/>
      <c r="K62" s="238"/>
      <c r="L62" s="210"/>
      <c r="N62" s="211"/>
      <c r="O62" s="211"/>
      <c r="P62" s="211"/>
      <c r="Q62" s="211"/>
      <c r="R62" s="211"/>
    </row>
    <row r="63" spans="1:18" x14ac:dyDescent="0.25">
      <c r="A63" s="207" t="s">
        <v>147</v>
      </c>
      <c r="B63" s="200" t="s">
        <v>211</v>
      </c>
      <c r="C63" s="201" t="s">
        <v>81</v>
      </c>
      <c r="D63" s="168">
        <v>2.17</v>
      </c>
      <c r="E63" s="147">
        <v>294.5</v>
      </c>
      <c r="F63" s="142">
        <v>639.07000000000005</v>
      </c>
      <c r="G63" s="239">
        <f>$F63*N63</f>
        <v>0</v>
      </c>
      <c r="H63" s="239">
        <f>$F63*O63</f>
        <v>0</v>
      </c>
      <c r="I63" s="239">
        <f>$F63*P63</f>
        <v>0</v>
      </c>
      <c r="J63" s="239">
        <f>$F63*Q63</f>
        <v>383.44200000000001</v>
      </c>
      <c r="K63" s="239">
        <f>$F63*R63</f>
        <v>255.62800000000004</v>
      </c>
      <c r="L63" s="210">
        <f>F63-SUM(G63:K63)</f>
        <v>0</v>
      </c>
      <c r="N63" s="211"/>
      <c r="O63" s="211"/>
      <c r="P63" s="211"/>
      <c r="Q63" s="211">
        <v>0.6</v>
      </c>
      <c r="R63" s="211">
        <v>0.4</v>
      </c>
    </row>
    <row r="64" spans="1:18" x14ac:dyDescent="0.25">
      <c r="A64" s="207" t="s">
        <v>148</v>
      </c>
      <c r="B64" s="200" t="s">
        <v>212</v>
      </c>
      <c r="C64" s="201" t="s">
        <v>219</v>
      </c>
      <c r="D64" s="168">
        <v>25.21</v>
      </c>
      <c r="E64" s="147">
        <v>25.75</v>
      </c>
      <c r="F64" s="142">
        <v>649.16</v>
      </c>
      <c r="G64" s="239">
        <f>$F64*N64</f>
        <v>0</v>
      </c>
      <c r="H64" s="239">
        <f>$F64*O64</f>
        <v>0</v>
      </c>
      <c r="I64" s="239">
        <f>$F64*P64</f>
        <v>194.74799999999999</v>
      </c>
      <c r="J64" s="239">
        <f>$F64*Q64</f>
        <v>454.41199999999992</v>
      </c>
      <c r="K64" s="239">
        <f>$F64*R64</f>
        <v>0</v>
      </c>
      <c r="L64" s="210">
        <f>F64-SUM(G64:K64)</f>
        <v>0</v>
      </c>
      <c r="N64" s="211"/>
      <c r="O64" s="211"/>
      <c r="P64" s="211">
        <v>0.3</v>
      </c>
      <c r="Q64" s="211">
        <v>0.7</v>
      </c>
      <c r="R64" s="211"/>
    </row>
    <row r="65" spans="1:18" x14ac:dyDescent="0.25">
      <c r="A65" s="207" t="s">
        <v>149</v>
      </c>
      <c r="B65" s="200" t="s">
        <v>213</v>
      </c>
      <c r="C65" s="201" t="s">
        <v>220</v>
      </c>
      <c r="D65" s="168">
        <v>95.81</v>
      </c>
      <c r="E65" s="147">
        <v>3.4</v>
      </c>
      <c r="F65" s="142">
        <v>325.75</v>
      </c>
      <c r="G65" s="239">
        <f>$F65*N65</f>
        <v>0</v>
      </c>
      <c r="H65" s="239">
        <f>$F65*O65</f>
        <v>0</v>
      </c>
      <c r="I65" s="239">
        <f>$F65*P65</f>
        <v>195.45</v>
      </c>
      <c r="J65" s="239">
        <f>$F65*Q65</f>
        <v>130.30000000000001</v>
      </c>
      <c r="K65" s="239">
        <f>$F65*R65</f>
        <v>0</v>
      </c>
      <c r="L65" s="210">
        <f>F65-SUM(G65:K65)</f>
        <v>0</v>
      </c>
      <c r="N65" s="211"/>
      <c r="O65" s="211"/>
      <c r="P65" s="211">
        <v>0.6</v>
      </c>
      <c r="Q65" s="211">
        <v>0.4</v>
      </c>
      <c r="R65" s="211"/>
    </row>
    <row r="66" spans="1:18" x14ac:dyDescent="0.25">
      <c r="A66" s="207" t="s">
        <v>150</v>
      </c>
      <c r="B66" s="200" t="s">
        <v>214</v>
      </c>
      <c r="C66" s="201" t="s">
        <v>222</v>
      </c>
      <c r="D66" s="168">
        <v>210.04</v>
      </c>
      <c r="E66" s="147">
        <v>2.39</v>
      </c>
      <c r="F66" s="142">
        <v>502</v>
      </c>
      <c r="G66" s="239">
        <f>$F66*N66</f>
        <v>0</v>
      </c>
      <c r="H66" s="239">
        <f>$F66*O66</f>
        <v>0</v>
      </c>
      <c r="I66" s="239">
        <f>$F66*P66</f>
        <v>150.6</v>
      </c>
      <c r="J66" s="239">
        <f>$F66*Q66</f>
        <v>351.4</v>
      </c>
      <c r="K66" s="239">
        <f>$F66*R66</f>
        <v>0</v>
      </c>
      <c r="L66" s="210">
        <f>F66-SUM(G66:K66)</f>
        <v>0</v>
      </c>
      <c r="N66" s="211"/>
      <c r="O66" s="211"/>
      <c r="P66" s="211">
        <v>0.3</v>
      </c>
      <c r="Q66" s="211">
        <v>0.7</v>
      </c>
      <c r="R66" s="211"/>
    </row>
    <row r="67" spans="1:18" x14ac:dyDescent="0.25">
      <c r="A67" s="206" t="s">
        <v>151</v>
      </c>
      <c r="B67" s="198" t="s">
        <v>215</v>
      </c>
      <c r="C67" s="201"/>
      <c r="D67" s="224"/>
      <c r="E67" s="51"/>
      <c r="F67" s="196"/>
      <c r="G67" s="238"/>
      <c r="H67" s="238"/>
      <c r="I67" s="238"/>
      <c r="J67" s="238"/>
      <c r="K67" s="238"/>
      <c r="L67" s="210"/>
      <c r="N67" s="211"/>
      <c r="O67" s="211"/>
      <c r="P67" s="211"/>
      <c r="Q67" s="211"/>
      <c r="R67" s="211"/>
    </row>
    <row r="68" spans="1:18" x14ac:dyDescent="0.25">
      <c r="A68" s="207" t="s">
        <v>152</v>
      </c>
      <c r="B68" s="200" t="s">
        <v>216</v>
      </c>
      <c r="C68" s="162" t="s">
        <v>219</v>
      </c>
      <c r="D68" s="168">
        <v>12.56</v>
      </c>
      <c r="E68" s="147">
        <v>59.800000000000004</v>
      </c>
      <c r="F68" s="142">
        <v>751.09</v>
      </c>
      <c r="G68" s="239">
        <f>$F68*N68</f>
        <v>0</v>
      </c>
      <c r="H68" s="239">
        <f>$F68*O68</f>
        <v>0</v>
      </c>
      <c r="I68" s="239">
        <f>$F68*P68</f>
        <v>0</v>
      </c>
      <c r="J68" s="239">
        <f>$F68*Q68</f>
        <v>450.654</v>
      </c>
      <c r="K68" s="239">
        <f>$F68*R68</f>
        <v>300.43600000000004</v>
      </c>
      <c r="L68" s="210">
        <f>F68-SUM(G68:K68)</f>
        <v>0</v>
      </c>
      <c r="N68" s="211"/>
      <c r="O68" s="211"/>
      <c r="P68" s="211"/>
      <c r="Q68" s="211">
        <v>0.6</v>
      </c>
      <c r="R68" s="211">
        <v>0.4</v>
      </c>
    </row>
    <row r="69" spans="1:18" x14ac:dyDescent="0.25">
      <c r="A69" s="207" t="s">
        <v>153</v>
      </c>
      <c r="B69" s="200" t="s">
        <v>217</v>
      </c>
      <c r="C69" s="162" t="s">
        <v>219</v>
      </c>
      <c r="D69" s="168">
        <v>7.1</v>
      </c>
      <c r="E69" s="147">
        <v>27.36</v>
      </c>
      <c r="F69" s="142">
        <v>194.26</v>
      </c>
      <c r="G69" s="239">
        <f>$F69*N69</f>
        <v>0</v>
      </c>
      <c r="H69" s="239">
        <f>$F69*O69</f>
        <v>0</v>
      </c>
      <c r="I69" s="239">
        <f>$F69*P69</f>
        <v>58.277999999999992</v>
      </c>
      <c r="J69" s="239">
        <f>$F69*Q69</f>
        <v>135.98199999999997</v>
      </c>
      <c r="K69" s="239">
        <f>$F69*R69</f>
        <v>0</v>
      </c>
      <c r="L69" s="210">
        <f>F69-SUM(G69:K69)</f>
        <v>0</v>
      </c>
      <c r="N69" s="211"/>
      <c r="O69" s="211"/>
      <c r="P69" s="211">
        <v>0.3</v>
      </c>
      <c r="Q69" s="211">
        <v>0.7</v>
      </c>
      <c r="R69" s="211"/>
    </row>
    <row r="70" spans="1:18" x14ac:dyDescent="0.25">
      <c r="A70" s="208" t="s">
        <v>154</v>
      </c>
      <c r="B70" s="202" t="s">
        <v>218</v>
      </c>
      <c r="C70" s="162" t="s">
        <v>221</v>
      </c>
      <c r="D70" s="168">
        <v>84.67</v>
      </c>
      <c r="E70" s="147">
        <v>3.4</v>
      </c>
      <c r="F70" s="148">
        <v>287.88</v>
      </c>
      <c r="G70" s="241">
        <f>$F70*N70</f>
        <v>0</v>
      </c>
      <c r="H70" s="241">
        <f>$F70*O70</f>
        <v>0</v>
      </c>
      <c r="I70" s="241">
        <f>$F70*P70</f>
        <v>86.36399999999999</v>
      </c>
      <c r="J70" s="241">
        <f>$F70*Q70</f>
        <v>201.51599999999999</v>
      </c>
      <c r="K70" s="241">
        <f>$F70*R70</f>
        <v>0</v>
      </c>
      <c r="L70" s="210">
        <f>F70-SUM(G70:K70)</f>
        <v>0</v>
      </c>
      <c r="N70" s="211"/>
      <c r="O70" s="211"/>
      <c r="P70" s="211">
        <v>0.3</v>
      </c>
      <c r="Q70" s="211">
        <v>0.7</v>
      </c>
      <c r="R70" s="211"/>
    </row>
    <row r="71" spans="1:18" x14ac:dyDescent="0.25">
      <c r="A71" s="25"/>
      <c r="B71" s="21" t="s">
        <v>23</v>
      </c>
      <c r="C71" s="25"/>
      <c r="D71" s="169"/>
      <c r="E71" s="7"/>
      <c r="F71" s="226">
        <f>SUM(F7:F70)</f>
        <v>696708.04999999993</v>
      </c>
      <c r="G71" s="226">
        <f>SUM(G7:G70)</f>
        <v>97671.789999999979</v>
      </c>
      <c r="H71" s="226">
        <f>SUM(H7:H70)</f>
        <v>202909.019</v>
      </c>
      <c r="I71" s="226">
        <f t="shared" ref="I71:K71" si="0">SUM(I7:I70)</f>
        <v>248427.68</v>
      </c>
      <c r="J71" s="226">
        <f t="shared" si="0"/>
        <v>134166.21300000002</v>
      </c>
      <c r="K71" s="226">
        <f t="shared" si="0"/>
        <v>13533.348000000002</v>
      </c>
      <c r="L71" s="210"/>
    </row>
    <row r="72" spans="1:18" x14ac:dyDescent="0.25">
      <c r="A72" s="85"/>
      <c r="B72" s="86" t="s">
        <v>58</v>
      </c>
      <c r="C72" s="85"/>
      <c r="D72" s="225"/>
      <c r="E72" s="40"/>
      <c r="F72" s="233">
        <f>F71*0.15</f>
        <v>104506.20749999999</v>
      </c>
      <c r="G72" s="227">
        <f t="shared" ref="G72:K72" si="1">G71*0.15</f>
        <v>14650.768499999996</v>
      </c>
      <c r="H72" s="227">
        <f t="shared" si="1"/>
        <v>30436.352849999999</v>
      </c>
      <c r="I72" s="227">
        <f t="shared" si="1"/>
        <v>37264.151999999995</v>
      </c>
      <c r="J72" s="227">
        <f t="shared" si="1"/>
        <v>20124.931950000002</v>
      </c>
      <c r="K72" s="227">
        <f t="shared" si="1"/>
        <v>2030.0022000000001</v>
      </c>
      <c r="L72" s="210"/>
    </row>
    <row r="73" spans="1:18" x14ac:dyDescent="0.25">
      <c r="A73" s="85"/>
      <c r="B73" s="86" t="s">
        <v>228</v>
      </c>
      <c r="C73" s="85"/>
      <c r="D73" s="225"/>
      <c r="E73" s="40"/>
      <c r="F73" s="233">
        <f>F71*0.05</f>
        <v>34835.402499999997</v>
      </c>
      <c r="G73" s="227">
        <f t="shared" ref="G73:K73" si="2">G71*0.05</f>
        <v>4883.5894999999991</v>
      </c>
      <c r="H73" s="227">
        <f t="shared" si="2"/>
        <v>10145.45095</v>
      </c>
      <c r="I73" s="227">
        <f t="shared" si="2"/>
        <v>12421.384</v>
      </c>
      <c r="J73" s="227">
        <f t="shared" si="2"/>
        <v>6708.3106500000013</v>
      </c>
      <c r="K73" s="227">
        <f t="shared" si="2"/>
        <v>676.66740000000016</v>
      </c>
      <c r="L73" s="210"/>
    </row>
    <row r="74" spans="1:18" x14ac:dyDescent="0.25">
      <c r="A74" s="38"/>
      <c r="B74" s="81" t="s">
        <v>60</v>
      </c>
      <c r="C74" s="38"/>
      <c r="D74" s="171"/>
      <c r="E74" s="39"/>
      <c r="F74" s="228">
        <f>SUM(F71:F73)</f>
        <v>836049.65999999992</v>
      </c>
      <c r="G74" s="228">
        <f t="shared" ref="G74:K74" si="3">SUM(G71:G73)</f>
        <v>117206.14799999997</v>
      </c>
      <c r="H74" s="228">
        <f t="shared" si="3"/>
        <v>243490.82279999999</v>
      </c>
      <c r="I74" s="228">
        <f t="shared" si="3"/>
        <v>298113.21600000001</v>
      </c>
      <c r="J74" s="228">
        <f t="shared" si="3"/>
        <v>160999.45560000002</v>
      </c>
      <c r="K74" s="228">
        <f t="shared" si="3"/>
        <v>16240.017600000003</v>
      </c>
      <c r="L74" s="210"/>
    </row>
    <row r="75" spans="1:18" x14ac:dyDescent="0.25">
      <c r="A75" s="204"/>
      <c r="B75" s="205" t="s">
        <v>24</v>
      </c>
      <c r="C75" s="204"/>
      <c r="D75" s="172"/>
      <c r="E75" s="9"/>
      <c r="F75" s="229">
        <f>ROUND(F74*0.18,2)</f>
        <v>150488.94</v>
      </c>
      <c r="G75" s="229">
        <f t="shared" ref="G75:K75" si="4">ROUND(G74*0.18,2)</f>
        <v>21097.11</v>
      </c>
      <c r="H75" s="229">
        <f t="shared" si="4"/>
        <v>43828.35</v>
      </c>
      <c r="I75" s="229">
        <f t="shared" si="4"/>
        <v>53660.38</v>
      </c>
      <c r="J75" s="229">
        <f t="shared" si="4"/>
        <v>28979.9</v>
      </c>
      <c r="K75" s="229">
        <f t="shared" si="4"/>
        <v>2923.2</v>
      </c>
      <c r="L75" s="210"/>
    </row>
    <row r="76" spans="1:18" x14ac:dyDescent="0.25">
      <c r="A76" s="28"/>
      <c r="B76" s="29" t="s">
        <v>31</v>
      </c>
      <c r="C76" s="28"/>
      <c r="D76" s="173"/>
      <c r="E76" s="31"/>
      <c r="F76" s="230">
        <f>SUM(F74:F75)</f>
        <v>986538.59999999986</v>
      </c>
      <c r="G76" s="230">
        <f t="shared" ref="G76:K76" si="5">SUM(G74:G75)</f>
        <v>138303.25799999997</v>
      </c>
      <c r="H76" s="230">
        <f t="shared" si="5"/>
        <v>287319.1728</v>
      </c>
      <c r="I76" s="230">
        <f t="shared" si="5"/>
        <v>351773.59600000002</v>
      </c>
      <c r="J76" s="230">
        <f t="shared" si="5"/>
        <v>189979.35560000001</v>
      </c>
      <c r="K76" s="230">
        <f t="shared" si="5"/>
        <v>19163.217600000004</v>
      </c>
      <c r="L76" s="210"/>
    </row>
    <row r="77" spans="1:18" x14ac:dyDescent="0.25">
      <c r="L77" s="210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C157-2262-4B6C-BF5B-6C50704AFFCB}">
  <dimension ref="A1:R77"/>
  <sheetViews>
    <sheetView zoomScale="85" zoomScaleNormal="85" workbookViewId="0">
      <selection activeCell="M14" sqref="M14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32" customFormat="1" ht="17.25" x14ac:dyDescent="0.3">
      <c r="A1" s="231" t="s">
        <v>229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</row>
    <row r="3" spans="1:18" s="2" customFormat="1" x14ac:dyDescent="0.25">
      <c r="A3" s="2" t="s">
        <v>16</v>
      </c>
      <c r="B3" s="2" t="s">
        <v>91</v>
      </c>
    </row>
    <row r="5" spans="1:18" ht="16.5" customHeight="1" x14ac:dyDescent="0.25">
      <c r="A5" s="213" t="s">
        <v>2</v>
      </c>
      <c r="B5" s="213" t="s">
        <v>15</v>
      </c>
      <c r="C5" s="213" t="s">
        <v>3</v>
      </c>
      <c r="D5" s="213" t="s">
        <v>13</v>
      </c>
      <c r="E5" s="213"/>
      <c r="F5" s="213"/>
      <c r="G5" s="242" t="s">
        <v>227</v>
      </c>
      <c r="H5" s="242"/>
      <c r="I5" s="242"/>
      <c r="J5" s="242"/>
      <c r="K5" s="242"/>
      <c r="L5" s="210"/>
    </row>
    <row r="6" spans="1:18" x14ac:dyDescent="0.25">
      <c r="A6" s="213"/>
      <c r="B6" s="213"/>
      <c r="C6" s="213"/>
      <c r="D6" s="195" t="s">
        <v>5</v>
      </c>
      <c r="E6" s="195" t="s">
        <v>6</v>
      </c>
      <c r="F6" s="195" t="s">
        <v>7</v>
      </c>
      <c r="G6" s="243">
        <v>45474</v>
      </c>
      <c r="H6" s="243">
        <v>45505</v>
      </c>
      <c r="I6" s="243">
        <v>45536</v>
      </c>
      <c r="J6" s="243">
        <v>45566</v>
      </c>
      <c r="K6" s="243">
        <v>45597</v>
      </c>
      <c r="L6" s="210"/>
    </row>
    <row r="7" spans="1:18" x14ac:dyDescent="0.25">
      <c r="A7" s="219" t="s">
        <v>92</v>
      </c>
      <c r="B7" s="220" t="s">
        <v>155</v>
      </c>
      <c r="C7" s="221"/>
      <c r="D7" s="223"/>
      <c r="E7" s="81"/>
      <c r="F7" s="222"/>
      <c r="G7" s="236"/>
      <c r="H7" s="236"/>
      <c r="I7" s="236"/>
      <c r="J7" s="236"/>
      <c r="K7" s="236"/>
      <c r="L7" s="210"/>
      <c r="N7" s="211"/>
      <c r="O7" s="211"/>
      <c r="P7" s="211"/>
      <c r="Q7" s="211"/>
      <c r="R7" s="211"/>
    </row>
    <row r="8" spans="1:18" x14ac:dyDescent="0.25">
      <c r="A8" s="206" t="s">
        <v>93</v>
      </c>
      <c r="B8" s="198" t="s">
        <v>156</v>
      </c>
      <c r="C8" s="197"/>
      <c r="D8" s="135"/>
      <c r="E8" s="22"/>
      <c r="F8" s="18"/>
      <c r="G8" s="237"/>
      <c r="H8" s="237"/>
      <c r="I8" s="237"/>
      <c r="J8" s="237"/>
      <c r="K8" s="237"/>
      <c r="L8" s="210"/>
      <c r="N8" s="211"/>
      <c r="O8" s="211"/>
      <c r="P8" s="211"/>
      <c r="Q8" s="211"/>
      <c r="R8" s="211"/>
    </row>
    <row r="9" spans="1:18" x14ac:dyDescent="0.25">
      <c r="A9" s="206" t="s">
        <v>17</v>
      </c>
      <c r="B9" s="198" t="s">
        <v>157</v>
      </c>
      <c r="C9" s="199"/>
      <c r="D9" s="172"/>
      <c r="E9" s="9"/>
      <c r="F9" s="19"/>
      <c r="G9" s="238"/>
      <c r="H9" s="238"/>
      <c r="I9" s="238"/>
      <c r="J9" s="238"/>
      <c r="K9" s="238"/>
      <c r="L9" s="210"/>
      <c r="N9" s="211"/>
      <c r="O9" s="211"/>
      <c r="P9" s="211"/>
      <c r="Q9" s="211"/>
      <c r="R9" s="211"/>
    </row>
    <row r="10" spans="1:18" x14ac:dyDescent="0.25">
      <c r="A10" s="207" t="s">
        <v>94</v>
      </c>
      <c r="B10" s="200" t="s">
        <v>158</v>
      </c>
      <c r="C10" s="199" t="s">
        <v>21</v>
      </c>
      <c r="D10" s="166"/>
      <c r="E10" s="139"/>
      <c r="F10" s="142"/>
      <c r="G10" s="239">
        <f>$F10*N10</f>
        <v>0</v>
      </c>
      <c r="H10" s="239">
        <f>$F10*O10</f>
        <v>0</v>
      </c>
      <c r="I10" s="239">
        <f>$F10*P10</f>
        <v>0</v>
      </c>
      <c r="J10" s="239">
        <f>$F10*Q10</f>
        <v>0</v>
      </c>
      <c r="K10" s="239">
        <f>$F10*R10</f>
        <v>0</v>
      </c>
      <c r="L10" s="210">
        <f>F10-SUM(G10:K10)</f>
        <v>0</v>
      </c>
      <c r="N10" s="211"/>
      <c r="O10" s="211"/>
      <c r="P10" s="211"/>
      <c r="Q10" s="211"/>
      <c r="R10" s="211"/>
    </row>
    <row r="11" spans="1:18" x14ac:dyDescent="0.25">
      <c r="A11" s="207" t="s">
        <v>95</v>
      </c>
      <c r="B11" s="200" t="s">
        <v>159</v>
      </c>
      <c r="C11" s="199" t="s">
        <v>219</v>
      </c>
      <c r="D11" s="166"/>
      <c r="E11" s="139"/>
      <c r="F11" s="142"/>
      <c r="G11" s="239">
        <f>$F11*N11</f>
        <v>0</v>
      </c>
      <c r="H11" s="239">
        <f>$F11*O11</f>
        <v>0</v>
      </c>
      <c r="I11" s="239">
        <f>$F11*P11</f>
        <v>0</v>
      </c>
      <c r="J11" s="239">
        <f>$F11*Q11</f>
        <v>0</v>
      </c>
      <c r="K11" s="239">
        <f>$F11*R11</f>
        <v>0</v>
      </c>
      <c r="L11" s="210">
        <f>F11-SUM(G11:K11)</f>
        <v>0</v>
      </c>
      <c r="N11" s="211"/>
      <c r="O11" s="211"/>
      <c r="P11" s="211"/>
      <c r="Q11" s="211"/>
      <c r="R11" s="211"/>
    </row>
    <row r="12" spans="1:18" x14ac:dyDescent="0.25">
      <c r="A12" s="206" t="s">
        <v>96</v>
      </c>
      <c r="B12" s="198" t="s">
        <v>160</v>
      </c>
      <c r="C12" s="199"/>
      <c r="D12" s="172"/>
      <c r="E12" s="9"/>
      <c r="F12" s="19"/>
      <c r="G12" s="238"/>
      <c r="H12" s="238"/>
      <c r="I12" s="238"/>
      <c r="J12" s="238"/>
      <c r="K12" s="238"/>
      <c r="L12" s="210"/>
      <c r="N12" s="211"/>
      <c r="O12" s="211"/>
      <c r="P12" s="211"/>
      <c r="Q12" s="211"/>
      <c r="R12" s="211"/>
    </row>
    <row r="13" spans="1:18" x14ac:dyDescent="0.25">
      <c r="A13" s="206" t="s">
        <v>97</v>
      </c>
      <c r="B13" s="198" t="s">
        <v>161</v>
      </c>
      <c r="C13" s="199"/>
      <c r="D13" s="172"/>
      <c r="E13" s="9"/>
      <c r="F13" s="19"/>
      <c r="G13" s="238"/>
      <c r="H13" s="238"/>
      <c r="I13" s="238"/>
      <c r="J13" s="238"/>
      <c r="K13" s="238"/>
      <c r="L13" s="210"/>
      <c r="N13" s="211"/>
      <c r="O13" s="211"/>
      <c r="P13" s="211"/>
      <c r="Q13" s="211"/>
      <c r="R13" s="211"/>
    </row>
    <row r="14" spans="1:18" x14ac:dyDescent="0.25">
      <c r="A14" s="206" t="s">
        <v>98</v>
      </c>
      <c r="B14" s="198" t="s">
        <v>162</v>
      </c>
      <c r="C14" s="199"/>
      <c r="D14" s="172"/>
      <c r="E14" s="9"/>
      <c r="F14" s="19"/>
      <c r="G14" s="238"/>
      <c r="H14" s="238"/>
      <c r="I14" s="238"/>
      <c r="J14" s="238"/>
      <c r="K14" s="238"/>
      <c r="L14" s="210"/>
      <c r="N14" s="211"/>
      <c r="O14" s="211"/>
      <c r="P14" s="211"/>
      <c r="Q14" s="211"/>
      <c r="R14" s="211"/>
    </row>
    <row r="15" spans="1:18" x14ac:dyDescent="0.25">
      <c r="A15" s="207" t="s">
        <v>99</v>
      </c>
      <c r="B15" s="200" t="s">
        <v>163</v>
      </c>
      <c r="C15" s="199" t="s">
        <v>81</v>
      </c>
      <c r="D15" s="166"/>
      <c r="E15" s="139"/>
      <c r="F15" s="142"/>
      <c r="G15" s="239">
        <f>$F15*N15</f>
        <v>0</v>
      </c>
      <c r="H15" s="239">
        <f>$F15*O15</f>
        <v>0</v>
      </c>
      <c r="I15" s="239">
        <f>$F15*P15</f>
        <v>0</v>
      </c>
      <c r="J15" s="239">
        <f>$F15*Q15</f>
        <v>0</v>
      </c>
      <c r="K15" s="239">
        <f>$F15*R15</f>
        <v>0</v>
      </c>
      <c r="L15" s="210">
        <f>F15-SUM(G15:K15)</f>
        <v>0</v>
      </c>
      <c r="N15" s="211"/>
      <c r="O15" s="211"/>
      <c r="P15" s="211"/>
      <c r="Q15" s="211"/>
      <c r="R15" s="211"/>
    </row>
    <row r="16" spans="1:18" x14ac:dyDescent="0.25">
      <c r="A16" s="207" t="s">
        <v>100</v>
      </c>
      <c r="B16" s="200" t="s">
        <v>164</v>
      </c>
      <c r="C16" s="199" t="s">
        <v>81</v>
      </c>
      <c r="D16" s="166"/>
      <c r="E16" s="139"/>
      <c r="F16" s="142"/>
      <c r="G16" s="239">
        <f>$F16*N16</f>
        <v>0</v>
      </c>
      <c r="H16" s="239">
        <f>$F16*O16</f>
        <v>0</v>
      </c>
      <c r="I16" s="239">
        <f>$F16*P16</f>
        <v>0</v>
      </c>
      <c r="J16" s="239">
        <f>$F16*Q16</f>
        <v>0</v>
      </c>
      <c r="K16" s="239">
        <f>$F16*R16</f>
        <v>0</v>
      </c>
      <c r="L16" s="210">
        <f>F16-SUM(G16:K16)</f>
        <v>0</v>
      </c>
      <c r="N16" s="211"/>
      <c r="O16" s="211"/>
      <c r="P16" s="211"/>
      <c r="Q16" s="211"/>
      <c r="R16" s="211"/>
    </row>
    <row r="17" spans="1:18" x14ac:dyDescent="0.25">
      <c r="A17" s="206" t="s">
        <v>101</v>
      </c>
      <c r="B17" s="198" t="s">
        <v>165</v>
      </c>
      <c r="C17" s="199"/>
      <c r="D17" s="172"/>
      <c r="E17" s="9"/>
      <c r="F17" s="19"/>
      <c r="G17" s="238"/>
      <c r="H17" s="238"/>
      <c r="I17" s="238"/>
      <c r="J17" s="238"/>
      <c r="K17" s="238"/>
      <c r="L17" s="210"/>
      <c r="N17" s="211"/>
      <c r="O17" s="211"/>
      <c r="P17" s="211"/>
      <c r="Q17" s="211"/>
      <c r="R17" s="211"/>
    </row>
    <row r="18" spans="1:18" x14ac:dyDescent="0.25">
      <c r="A18" s="207" t="s">
        <v>102</v>
      </c>
      <c r="B18" s="200" t="s">
        <v>166</v>
      </c>
      <c r="C18" s="199" t="s">
        <v>81</v>
      </c>
      <c r="D18" s="166"/>
      <c r="E18" s="139"/>
      <c r="F18" s="142"/>
      <c r="G18" s="239">
        <f>$F18*N18</f>
        <v>0</v>
      </c>
      <c r="H18" s="239">
        <f>$F18*O18</f>
        <v>0</v>
      </c>
      <c r="I18" s="239">
        <f>$F18*P18</f>
        <v>0</v>
      </c>
      <c r="J18" s="239">
        <f>$F18*Q18</f>
        <v>0</v>
      </c>
      <c r="K18" s="239">
        <f>$F18*R18</f>
        <v>0</v>
      </c>
      <c r="L18" s="210">
        <f>F18-SUM(G18:K18)</f>
        <v>0</v>
      </c>
      <c r="N18" s="211"/>
      <c r="O18" s="211"/>
      <c r="P18" s="211"/>
      <c r="Q18" s="211"/>
      <c r="R18" s="211"/>
    </row>
    <row r="19" spans="1:18" x14ac:dyDescent="0.25">
      <c r="A19" s="206" t="s">
        <v>103</v>
      </c>
      <c r="B19" s="198" t="s">
        <v>167</v>
      </c>
      <c r="C19" s="197"/>
      <c r="D19" s="165"/>
      <c r="E19" s="8"/>
      <c r="F19" s="20"/>
      <c r="G19" s="240"/>
      <c r="H19" s="240"/>
      <c r="I19" s="240"/>
      <c r="J19" s="240"/>
      <c r="K19" s="240"/>
      <c r="L19" s="210"/>
      <c r="N19" s="211"/>
      <c r="O19" s="211"/>
      <c r="P19" s="211"/>
      <c r="Q19" s="211"/>
      <c r="R19" s="211"/>
    </row>
    <row r="20" spans="1:18" x14ac:dyDescent="0.25">
      <c r="A20" s="207" t="s">
        <v>104</v>
      </c>
      <c r="B20" s="200" t="s">
        <v>168</v>
      </c>
      <c r="C20" s="199" t="s">
        <v>81</v>
      </c>
      <c r="D20" s="166"/>
      <c r="E20" s="139"/>
      <c r="F20" s="142"/>
      <c r="G20" s="239">
        <f>$F20*N20</f>
        <v>0</v>
      </c>
      <c r="H20" s="239">
        <f>$F20*O20</f>
        <v>0</v>
      </c>
      <c r="I20" s="239">
        <f>$F20*P20</f>
        <v>0</v>
      </c>
      <c r="J20" s="239">
        <f>$F20*Q20</f>
        <v>0</v>
      </c>
      <c r="K20" s="239">
        <f>$F20*R20</f>
        <v>0</v>
      </c>
      <c r="L20" s="210">
        <f>F20-SUM(G20:K20)</f>
        <v>0</v>
      </c>
      <c r="N20" s="211"/>
      <c r="O20" s="211"/>
      <c r="P20" s="211"/>
      <c r="Q20" s="211"/>
      <c r="R20" s="211"/>
    </row>
    <row r="21" spans="1:18" x14ac:dyDescent="0.25">
      <c r="A21" s="207" t="s">
        <v>105</v>
      </c>
      <c r="B21" s="200" t="s">
        <v>169</v>
      </c>
      <c r="C21" s="199" t="s">
        <v>22</v>
      </c>
      <c r="D21" s="166"/>
      <c r="E21" s="139"/>
      <c r="F21" s="142"/>
      <c r="G21" s="239">
        <f>$F21*N21</f>
        <v>0</v>
      </c>
      <c r="H21" s="239">
        <f>$F21*O21</f>
        <v>0</v>
      </c>
      <c r="I21" s="239">
        <f>$F21*P21</f>
        <v>0</v>
      </c>
      <c r="J21" s="239">
        <f>$F21*Q21</f>
        <v>0</v>
      </c>
      <c r="K21" s="239">
        <f>$F21*R21</f>
        <v>0</v>
      </c>
      <c r="L21" s="210">
        <f>F21-SUM(G21:K21)</f>
        <v>0</v>
      </c>
      <c r="N21" s="211"/>
      <c r="O21" s="211"/>
      <c r="P21" s="211"/>
      <c r="Q21" s="211"/>
      <c r="R21" s="211"/>
    </row>
    <row r="22" spans="1:18" x14ac:dyDescent="0.25">
      <c r="A22" s="207" t="s">
        <v>106</v>
      </c>
      <c r="B22" s="200" t="s">
        <v>170</v>
      </c>
      <c r="C22" s="199" t="s">
        <v>81</v>
      </c>
      <c r="D22" s="166"/>
      <c r="E22" s="139"/>
      <c r="F22" s="142"/>
      <c r="G22" s="239">
        <f>$F22*N22</f>
        <v>0</v>
      </c>
      <c r="H22" s="239">
        <f>$F22*O22</f>
        <v>0</v>
      </c>
      <c r="I22" s="239">
        <f>$F22*P22</f>
        <v>0</v>
      </c>
      <c r="J22" s="239">
        <f>$F22*Q22</f>
        <v>0</v>
      </c>
      <c r="K22" s="239">
        <f>$F22*R22</f>
        <v>0</v>
      </c>
      <c r="L22" s="210">
        <f>F22-SUM(G22:K22)</f>
        <v>0</v>
      </c>
      <c r="N22" s="211"/>
      <c r="O22" s="211"/>
      <c r="P22" s="211"/>
      <c r="Q22" s="211"/>
      <c r="R22" s="211"/>
    </row>
    <row r="23" spans="1:18" x14ac:dyDescent="0.25">
      <c r="A23" s="206" t="s">
        <v>107</v>
      </c>
      <c r="B23" s="198" t="s">
        <v>171</v>
      </c>
      <c r="C23" s="201"/>
      <c r="D23" s="224"/>
      <c r="E23" s="51"/>
      <c r="F23" s="196"/>
      <c r="G23" s="238"/>
      <c r="H23" s="238"/>
      <c r="I23" s="238"/>
      <c r="J23" s="238"/>
      <c r="K23" s="238"/>
      <c r="L23" s="210"/>
      <c r="N23" s="211"/>
      <c r="O23" s="211"/>
      <c r="P23" s="211"/>
      <c r="Q23" s="211"/>
      <c r="R23" s="211"/>
    </row>
    <row r="24" spans="1:18" x14ac:dyDescent="0.25">
      <c r="A24" s="207" t="s">
        <v>108</v>
      </c>
      <c r="B24" s="200" t="s">
        <v>172</v>
      </c>
      <c r="C24" s="201" t="s">
        <v>219</v>
      </c>
      <c r="D24" s="168"/>
      <c r="E24" s="147"/>
      <c r="F24" s="142"/>
      <c r="G24" s="239">
        <f>$F24*N24</f>
        <v>0</v>
      </c>
      <c r="H24" s="239">
        <f>$F24*O24</f>
        <v>0</v>
      </c>
      <c r="I24" s="239">
        <f>$F24*P24</f>
        <v>0</v>
      </c>
      <c r="J24" s="239">
        <f>$F24*Q24</f>
        <v>0</v>
      </c>
      <c r="K24" s="239">
        <f>$F24*R24</f>
        <v>0</v>
      </c>
      <c r="L24" s="210">
        <f>F24-SUM(G24:K24)</f>
        <v>0</v>
      </c>
      <c r="N24" s="211"/>
      <c r="O24" s="211"/>
      <c r="P24" s="211"/>
      <c r="Q24" s="211"/>
      <c r="R24" s="211"/>
    </row>
    <row r="25" spans="1:18" x14ac:dyDescent="0.25">
      <c r="A25" s="207" t="s">
        <v>109</v>
      </c>
      <c r="B25" s="200" t="s">
        <v>173</v>
      </c>
      <c r="C25" s="201" t="s">
        <v>219</v>
      </c>
      <c r="D25" s="168"/>
      <c r="E25" s="147"/>
      <c r="F25" s="142"/>
      <c r="G25" s="239">
        <f>$F25*N25</f>
        <v>0</v>
      </c>
      <c r="H25" s="239">
        <f>$F25*O25</f>
        <v>0</v>
      </c>
      <c r="I25" s="239">
        <f>$F25*P25</f>
        <v>0</v>
      </c>
      <c r="J25" s="239">
        <f>$F25*Q25</f>
        <v>0</v>
      </c>
      <c r="K25" s="239">
        <f>$F25*R25</f>
        <v>0</v>
      </c>
      <c r="L25" s="210">
        <f>F25-SUM(G25:K25)</f>
        <v>0</v>
      </c>
      <c r="N25" s="211"/>
      <c r="O25" s="211"/>
      <c r="P25" s="211"/>
      <c r="Q25" s="211"/>
      <c r="R25" s="211"/>
    </row>
    <row r="26" spans="1:18" x14ac:dyDescent="0.25">
      <c r="A26" s="207" t="s">
        <v>110</v>
      </c>
      <c r="B26" s="200" t="s">
        <v>174</v>
      </c>
      <c r="C26" s="201" t="s">
        <v>219</v>
      </c>
      <c r="D26" s="168"/>
      <c r="E26" s="147"/>
      <c r="F26" s="142"/>
      <c r="G26" s="239">
        <f>$F26*N26</f>
        <v>0</v>
      </c>
      <c r="H26" s="239">
        <f>$F26*O26</f>
        <v>0</v>
      </c>
      <c r="I26" s="239">
        <f>$F26*P26</f>
        <v>0</v>
      </c>
      <c r="J26" s="239">
        <f>$F26*Q26</f>
        <v>0</v>
      </c>
      <c r="K26" s="239">
        <f>$F26*R26</f>
        <v>0</v>
      </c>
      <c r="L26" s="210">
        <f>F26-SUM(G26:K26)</f>
        <v>0</v>
      </c>
      <c r="N26" s="211"/>
      <c r="O26" s="211"/>
      <c r="P26" s="211"/>
      <c r="Q26" s="211"/>
      <c r="R26" s="211"/>
    </row>
    <row r="27" spans="1:18" x14ac:dyDescent="0.25">
      <c r="A27" s="207" t="s">
        <v>111</v>
      </c>
      <c r="B27" s="200" t="s">
        <v>175</v>
      </c>
      <c r="C27" s="201" t="s">
        <v>219</v>
      </c>
      <c r="D27" s="168"/>
      <c r="E27" s="147"/>
      <c r="F27" s="142"/>
      <c r="G27" s="239">
        <f>$F27*N27</f>
        <v>0</v>
      </c>
      <c r="H27" s="239">
        <f>$F27*O27</f>
        <v>0</v>
      </c>
      <c r="I27" s="239">
        <f>$F27*P27</f>
        <v>0</v>
      </c>
      <c r="J27" s="239">
        <f>$F27*Q27</f>
        <v>0</v>
      </c>
      <c r="K27" s="239">
        <f>$F27*R27</f>
        <v>0</v>
      </c>
      <c r="L27" s="210">
        <f>F27-SUM(G27:K27)</f>
        <v>0</v>
      </c>
      <c r="N27" s="211"/>
      <c r="O27" s="211"/>
      <c r="P27" s="211"/>
      <c r="Q27" s="211"/>
      <c r="R27" s="211"/>
    </row>
    <row r="28" spans="1:18" x14ac:dyDescent="0.25">
      <c r="A28" s="206" t="s">
        <v>112</v>
      </c>
      <c r="B28" s="198" t="s">
        <v>176</v>
      </c>
      <c r="C28" s="201"/>
      <c r="D28" s="224"/>
      <c r="E28" s="51"/>
      <c r="F28" s="196"/>
      <c r="G28" s="238"/>
      <c r="H28" s="238"/>
      <c r="I28" s="238"/>
      <c r="J28" s="238"/>
      <c r="K28" s="238"/>
      <c r="L28" s="210"/>
      <c r="N28" s="211"/>
      <c r="O28" s="211"/>
      <c r="P28" s="211"/>
      <c r="Q28" s="211"/>
      <c r="R28" s="211"/>
    </row>
    <row r="29" spans="1:18" x14ac:dyDescent="0.25">
      <c r="A29" s="206" t="s">
        <v>113</v>
      </c>
      <c r="B29" s="198" t="s">
        <v>177</v>
      </c>
      <c r="C29" s="201"/>
      <c r="D29" s="224"/>
      <c r="E29" s="51"/>
      <c r="F29" s="196"/>
      <c r="G29" s="238"/>
      <c r="H29" s="238"/>
      <c r="I29" s="238"/>
      <c r="J29" s="238"/>
      <c r="K29" s="238"/>
      <c r="L29" s="210"/>
      <c r="N29" s="211"/>
      <c r="O29" s="211"/>
      <c r="P29" s="211"/>
      <c r="Q29" s="211"/>
      <c r="R29" s="211"/>
    </row>
    <row r="30" spans="1:18" x14ac:dyDescent="0.25">
      <c r="A30" s="207" t="s">
        <v>114</v>
      </c>
      <c r="B30" s="200" t="s">
        <v>178</v>
      </c>
      <c r="C30" s="201" t="s">
        <v>81</v>
      </c>
      <c r="D30" s="168"/>
      <c r="E30" s="147"/>
      <c r="F30" s="142"/>
      <c r="G30" s="239">
        <f>$F30*N30</f>
        <v>0</v>
      </c>
      <c r="H30" s="239">
        <f>$F30*O30</f>
        <v>0</v>
      </c>
      <c r="I30" s="239">
        <f>$F30*P30</f>
        <v>0</v>
      </c>
      <c r="J30" s="239">
        <f>$F30*Q30</f>
        <v>0</v>
      </c>
      <c r="K30" s="239">
        <f>$F30*R30</f>
        <v>0</v>
      </c>
      <c r="L30" s="210">
        <f>F30-SUM(G30:K30)</f>
        <v>0</v>
      </c>
      <c r="N30" s="211"/>
      <c r="O30" s="211"/>
      <c r="P30" s="211"/>
      <c r="Q30" s="211"/>
      <c r="R30" s="211"/>
    </row>
    <row r="31" spans="1:18" x14ac:dyDescent="0.25">
      <c r="A31" s="206" t="s">
        <v>115</v>
      </c>
      <c r="B31" s="198" t="s">
        <v>179</v>
      </c>
      <c r="C31" s="201"/>
      <c r="D31" s="224"/>
      <c r="E31" s="51"/>
      <c r="F31" s="196"/>
      <c r="G31" s="238"/>
      <c r="H31" s="238"/>
      <c r="I31" s="238"/>
      <c r="J31" s="238"/>
      <c r="K31" s="238"/>
      <c r="L31" s="210"/>
      <c r="N31" s="211"/>
      <c r="O31" s="211"/>
      <c r="P31" s="211"/>
      <c r="Q31" s="211"/>
      <c r="R31" s="211"/>
    </row>
    <row r="32" spans="1:18" x14ac:dyDescent="0.25">
      <c r="A32" s="207" t="s">
        <v>116</v>
      </c>
      <c r="B32" s="200" t="s">
        <v>180</v>
      </c>
      <c r="C32" s="201" t="s">
        <v>81</v>
      </c>
      <c r="D32" s="168"/>
      <c r="E32" s="147"/>
      <c r="F32" s="142"/>
      <c r="G32" s="239">
        <f>$F32*N32</f>
        <v>0</v>
      </c>
      <c r="H32" s="239">
        <f>$F32*O32</f>
        <v>0</v>
      </c>
      <c r="I32" s="239">
        <f>$F32*P32</f>
        <v>0</v>
      </c>
      <c r="J32" s="239">
        <f>$F32*Q32</f>
        <v>0</v>
      </c>
      <c r="K32" s="239">
        <f>$F32*R32</f>
        <v>0</v>
      </c>
      <c r="L32" s="210">
        <f>F32-SUM(G32:K32)</f>
        <v>0</v>
      </c>
      <c r="N32" s="211"/>
      <c r="O32" s="211"/>
      <c r="P32" s="211"/>
      <c r="Q32" s="211"/>
      <c r="R32" s="211"/>
    </row>
    <row r="33" spans="1:18" x14ac:dyDescent="0.25">
      <c r="A33" s="207" t="s">
        <v>117</v>
      </c>
      <c r="B33" s="200" t="s">
        <v>181</v>
      </c>
      <c r="C33" s="201" t="s">
        <v>219</v>
      </c>
      <c r="D33" s="168"/>
      <c r="E33" s="147"/>
      <c r="F33" s="142"/>
      <c r="G33" s="239">
        <f>$F33*N33</f>
        <v>0</v>
      </c>
      <c r="H33" s="239">
        <f>$F33*O33</f>
        <v>0</v>
      </c>
      <c r="I33" s="239">
        <f>$F33*P33</f>
        <v>0</v>
      </c>
      <c r="J33" s="239">
        <f>$F33*Q33</f>
        <v>0</v>
      </c>
      <c r="K33" s="239">
        <f>$F33*R33</f>
        <v>0</v>
      </c>
      <c r="L33" s="210">
        <f>F33-SUM(G33:K33)</f>
        <v>0</v>
      </c>
      <c r="N33" s="211"/>
      <c r="O33" s="211"/>
      <c r="P33" s="211"/>
      <c r="Q33" s="211"/>
      <c r="R33" s="211"/>
    </row>
    <row r="34" spans="1:18" x14ac:dyDescent="0.25">
      <c r="A34" s="207" t="s">
        <v>118</v>
      </c>
      <c r="B34" s="200" t="s">
        <v>182</v>
      </c>
      <c r="C34" s="201" t="s">
        <v>81</v>
      </c>
      <c r="D34" s="168"/>
      <c r="E34" s="147"/>
      <c r="F34" s="142"/>
      <c r="G34" s="239">
        <f>$F34*N34</f>
        <v>0</v>
      </c>
      <c r="H34" s="239">
        <f>$F34*O34</f>
        <v>0</v>
      </c>
      <c r="I34" s="239">
        <f>$F34*P34</f>
        <v>0</v>
      </c>
      <c r="J34" s="239">
        <f>$F34*Q34</f>
        <v>0</v>
      </c>
      <c r="K34" s="239">
        <f>$F34*R34</f>
        <v>0</v>
      </c>
      <c r="L34" s="210">
        <f>F34-SUM(G34:K34)</f>
        <v>0</v>
      </c>
      <c r="N34" s="211"/>
      <c r="O34" s="211"/>
      <c r="P34" s="211"/>
      <c r="Q34" s="211"/>
      <c r="R34" s="211"/>
    </row>
    <row r="35" spans="1:18" x14ac:dyDescent="0.25">
      <c r="A35" s="207" t="s">
        <v>119</v>
      </c>
      <c r="B35" s="200" t="s">
        <v>183</v>
      </c>
      <c r="C35" s="201" t="s">
        <v>219</v>
      </c>
      <c r="D35" s="168"/>
      <c r="E35" s="147"/>
      <c r="F35" s="142"/>
      <c r="G35" s="239">
        <f>$F35*N35</f>
        <v>0</v>
      </c>
      <c r="H35" s="239">
        <f>$F35*O35</f>
        <v>0</v>
      </c>
      <c r="I35" s="239">
        <f>$F35*P35</f>
        <v>0</v>
      </c>
      <c r="J35" s="239">
        <f>$F35*Q35</f>
        <v>0</v>
      </c>
      <c r="K35" s="239">
        <f>$F35*R35</f>
        <v>0</v>
      </c>
      <c r="L35" s="210">
        <f>F35-SUM(G35:K35)</f>
        <v>0</v>
      </c>
      <c r="N35" s="211"/>
      <c r="O35" s="211"/>
      <c r="P35" s="211"/>
      <c r="Q35" s="211"/>
      <c r="R35" s="211"/>
    </row>
    <row r="36" spans="1:18" x14ac:dyDescent="0.25">
      <c r="A36" s="206" t="s">
        <v>120</v>
      </c>
      <c r="B36" s="198" t="s">
        <v>184</v>
      </c>
      <c r="C36" s="201"/>
      <c r="D36" s="224"/>
      <c r="E36" s="51"/>
      <c r="F36" s="196"/>
      <c r="G36" s="238"/>
      <c r="H36" s="238"/>
      <c r="I36" s="238"/>
      <c r="J36" s="238"/>
      <c r="K36" s="238"/>
      <c r="L36" s="210"/>
      <c r="N36" s="211"/>
      <c r="O36" s="211"/>
      <c r="P36" s="211"/>
      <c r="Q36" s="211"/>
      <c r="R36" s="211"/>
    </row>
    <row r="37" spans="1:18" x14ac:dyDescent="0.25">
      <c r="A37" s="207" t="s">
        <v>121</v>
      </c>
      <c r="B37" s="200" t="s">
        <v>185</v>
      </c>
      <c r="C37" s="201" t="s">
        <v>81</v>
      </c>
      <c r="D37" s="168"/>
      <c r="E37" s="147"/>
      <c r="F37" s="142"/>
      <c r="G37" s="239">
        <f>$F37*N37</f>
        <v>0</v>
      </c>
      <c r="H37" s="239">
        <f>$F37*O37</f>
        <v>0</v>
      </c>
      <c r="I37" s="239">
        <f>$F37*P37</f>
        <v>0</v>
      </c>
      <c r="J37" s="239">
        <f>$F37*Q37</f>
        <v>0</v>
      </c>
      <c r="K37" s="239">
        <f>$F37*R37</f>
        <v>0</v>
      </c>
      <c r="L37" s="210">
        <f>F37-SUM(G37:K37)</f>
        <v>0</v>
      </c>
      <c r="N37" s="211"/>
      <c r="O37" s="211"/>
      <c r="P37" s="211"/>
      <c r="Q37" s="211"/>
      <c r="R37" s="211"/>
    </row>
    <row r="38" spans="1:18" x14ac:dyDescent="0.25">
      <c r="A38" s="207" t="s">
        <v>122</v>
      </c>
      <c r="B38" s="200" t="s">
        <v>186</v>
      </c>
      <c r="C38" s="201" t="s">
        <v>219</v>
      </c>
      <c r="D38" s="168"/>
      <c r="E38" s="147"/>
      <c r="F38" s="142"/>
      <c r="G38" s="239">
        <f>$F38*N38</f>
        <v>0</v>
      </c>
      <c r="H38" s="239">
        <f>$F38*O38</f>
        <v>0</v>
      </c>
      <c r="I38" s="239">
        <f>$F38*P38</f>
        <v>0</v>
      </c>
      <c r="J38" s="239">
        <f>$F38*Q38</f>
        <v>0</v>
      </c>
      <c r="K38" s="239">
        <f>$F38*R38</f>
        <v>0</v>
      </c>
      <c r="L38" s="210">
        <f>F38-SUM(G38:K38)</f>
        <v>0</v>
      </c>
      <c r="N38" s="211"/>
      <c r="O38" s="211"/>
      <c r="P38" s="211"/>
      <c r="Q38" s="211"/>
      <c r="R38" s="211"/>
    </row>
    <row r="39" spans="1:18" x14ac:dyDescent="0.25">
      <c r="A39" s="206" t="s">
        <v>123</v>
      </c>
      <c r="B39" s="198" t="s">
        <v>187</v>
      </c>
      <c r="C39" s="201"/>
      <c r="D39" s="224"/>
      <c r="E39" s="51"/>
      <c r="F39" s="196"/>
      <c r="G39" s="238"/>
      <c r="H39" s="238"/>
      <c r="I39" s="238"/>
      <c r="J39" s="238"/>
      <c r="K39" s="238"/>
      <c r="L39" s="210"/>
      <c r="N39" s="211"/>
      <c r="O39" s="211"/>
      <c r="P39" s="211"/>
      <c r="Q39" s="211"/>
      <c r="R39" s="211"/>
    </row>
    <row r="40" spans="1:18" x14ac:dyDescent="0.25">
      <c r="A40" s="206" t="s">
        <v>124</v>
      </c>
      <c r="B40" s="198" t="s">
        <v>188</v>
      </c>
      <c r="C40" s="201"/>
      <c r="D40" s="224"/>
      <c r="E40" s="51"/>
      <c r="F40" s="196"/>
      <c r="G40" s="238"/>
      <c r="H40" s="238"/>
      <c r="I40" s="238"/>
      <c r="J40" s="238"/>
      <c r="K40" s="238"/>
      <c r="L40" s="210"/>
      <c r="N40" s="211"/>
      <c r="O40" s="211"/>
      <c r="P40" s="211"/>
      <c r="Q40" s="211"/>
      <c r="R40" s="211"/>
    </row>
    <row r="41" spans="1:18" x14ac:dyDescent="0.25">
      <c r="A41" s="207" t="s">
        <v>125</v>
      </c>
      <c r="B41" s="200" t="s">
        <v>189</v>
      </c>
      <c r="C41" s="201" t="s">
        <v>81</v>
      </c>
      <c r="D41" s="168"/>
      <c r="E41" s="147"/>
      <c r="F41" s="142"/>
      <c r="G41" s="239">
        <f>$F41*N41</f>
        <v>0</v>
      </c>
      <c r="H41" s="239">
        <f>$F41*O41</f>
        <v>0</v>
      </c>
      <c r="I41" s="239">
        <f>$F41*P41</f>
        <v>0</v>
      </c>
      <c r="J41" s="239">
        <f>$F41*Q41</f>
        <v>0</v>
      </c>
      <c r="K41" s="239">
        <f>$F41*R41</f>
        <v>0</v>
      </c>
      <c r="L41" s="210">
        <f>F41-SUM(G41:K41)</f>
        <v>0</v>
      </c>
      <c r="N41" s="211"/>
      <c r="O41" s="211"/>
      <c r="P41" s="211"/>
      <c r="Q41" s="211"/>
      <c r="R41" s="211"/>
    </row>
    <row r="42" spans="1:18" x14ac:dyDescent="0.25">
      <c r="A42" s="207" t="s">
        <v>126</v>
      </c>
      <c r="B42" s="200" t="s">
        <v>190</v>
      </c>
      <c r="C42" s="201" t="s">
        <v>220</v>
      </c>
      <c r="D42" s="168"/>
      <c r="E42" s="147"/>
      <c r="F42" s="142"/>
      <c r="G42" s="239">
        <f>$F42*N42</f>
        <v>0</v>
      </c>
      <c r="H42" s="239">
        <f>$F42*O42</f>
        <v>0</v>
      </c>
      <c r="I42" s="239">
        <f>$F42*P42</f>
        <v>0</v>
      </c>
      <c r="J42" s="239">
        <f>$F42*Q42</f>
        <v>0</v>
      </c>
      <c r="K42" s="239">
        <f>$F42*R42</f>
        <v>0</v>
      </c>
      <c r="L42" s="210">
        <f>F42-SUM(G42:K42)</f>
        <v>0</v>
      </c>
      <c r="N42" s="211"/>
      <c r="O42" s="211"/>
      <c r="P42" s="211"/>
      <c r="Q42" s="211"/>
      <c r="R42" s="211"/>
    </row>
    <row r="43" spans="1:18" x14ac:dyDescent="0.25">
      <c r="A43" s="206" t="s">
        <v>127</v>
      </c>
      <c r="B43" s="198" t="s">
        <v>191</v>
      </c>
      <c r="C43" s="201"/>
      <c r="D43" s="224"/>
      <c r="E43" s="51"/>
      <c r="F43" s="196"/>
      <c r="G43" s="238"/>
      <c r="H43" s="238"/>
      <c r="I43" s="238"/>
      <c r="J43" s="238"/>
      <c r="K43" s="238"/>
      <c r="L43" s="210"/>
      <c r="N43" s="211"/>
      <c r="O43" s="211"/>
      <c r="P43" s="211"/>
      <c r="Q43" s="211"/>
      <c r="R43" s="211"/>
    </row>
    <row r="44" spans="1:18" x14ac:dyDescent="0.25">
      <c r="A44" s="207" t="s">
        <v>128</v>
      </c>
      <c r="B44" s="200" t="s">
        <v>192</v>
      </c>
      <c r="C44" s="201" t="s">
        <v>81</v>
      </c>
      <c r="D44" s="168"/>
      <c r="E44" s="147"/>
      <c r="F44" s="142"/>
      <c r="G44" s="239">
        <f>$F44*N44</f>
        <v>0</v>
      </c>
      <c r="H44" s="239">
        <f>$F44*O44</f>
        <v>0</v>
      </c>
      <c r="I44" s="239">
        <f>$F44*P44</f>
        <v>0</v>
      </c>
      <c r="J44" s="239">
        <f>$F44*Q44</f>
        <v>0</v>
      </c>
      <c r="K44" s="239">
        <f>$F44*R44</f>
        <v>0</v>
      </c>
      <c r="L44" s="210">
        <f>F44-SUM(G44:K44)</f>
        <v>0</v>
      </c>
      <c r="N44" s="211"/>
      <c r="O44" s="211"/>
      <c r="P44" s="211"/>
      <c r="Q44" s="211"/>
      <c r="R44" s="211"/>
    </row>
    <row r="45" spans="1:18" x14ac:dyDescent="0.25">
      <c r="A45" s="207" t="s">
        <v>129</v>
      </c>
      <c r="B45" s="200" t="s">
        <v>193</v>
      </c>
      <c r="C45" s="201" t="s">
        <v>219</v>
      </c>
      <c r="D45" s="168"/>
      <c r="E45" s="147"/>
      <c r="F45" s="142"/>
      <c r="G45" s="239">
        <f>$F45*N45</f>
        <v>0</v>
      </c>
      <c r="H45" s="239">
        <f>$F45*O45</f>
        <v>0</v>
      </c>
      <c r="I45" s="239">
        <f>$F45*P45</f>
        <v>0</v>
      </c>
      <c r="J45" s="239">
        <f>$F45*Q45</f>
        <v>0</v>
      </c>
      <c r="K45" s="239">
        <f>$F45*R45</f>
        <v>0</v>
      </c>
      <c r="L45" s="210">
        <f>F45-SUM(G45:K45)</f>
        <v>0</v>
      </c>
      <c r="N45" s="211"/>
      <c r="O45" s="211"/>
      <c r="P45" s="211"/>
      <c r="Q45" s="211"/>
      <c r="R45" s="211"/>
    </row>
    <row r="46" spans="1:18" x14ac:dyDescent="0.25">
      <c r="A46" s="207" t="s">
        <v>130</v>
      </c>
      <c r="B46" s="200" t="s">
        <v>194</v>
      </c>
      <c r="C46" s="201" t="s">
        <v>220</v>
      </c>
      <c r="D46" s="168"/>
      <c r="E46" s="147"/>
      <c r="F46" s="142"/>
      <c r="G46" s="239">
        <f>$F46*N46</f>
        <v>0</v>
      </c>
      <c r="H46" s="239">
        <f>$F46*O46</f>
        <v>0</v>
      </c>
      <c r="I46" s="239">
        <f>$F46*P46</f>
        <v>0</v>
      </c>
      <c r="J46" s="239">
        <f>$F46*Q46</f>
        <v>0</v>
      </c>
      <c r="K46" s="239">
        <f>$F46*R46</f>
        <v>0</v>
      </c>
      <c r="L46" s="210">
        <f>F46-SUM(G46:K46)</f>
        <v>0</v>
      </c>
      <c r="N46" s="211"/>
      <c r="O46" s="211"/>
      <c r="P46" s="211"/>
      <c r="Q46" s="211"/>
      <c r="R46" s="211"/>
    </row>
    <row r="47" spans="1:18" x14ac:dyDescent="0.25">
      <c r="A47" s="207" t="s">
        <v>131</v>
      </c>
      <c r="B47" s="200" t="s">
        <v>195</v>
      </c>
      <c r="C47" s="201" t="s">
        <v>81</v>
      </c>
      <c r="D47" s="168"/>
      <c r="E47" s="147"/>
      <c r="F47" s="142"/>
      <c r="G47" s="239">
        <f>$F47*N47</f>
        <v>0</v>
      </c>
      <c r="H47" s="239">
        <f>$F47*O47</f>
        <v>0</v>
      </c>
      <c r="I47" s="239">
        <f>$F47*P47</f>
        <v>0</v>
      </c>
      <c r="J47" s="239">
        <f>$F47*Q47</f>
        <v>0</v>
      </c>
      <c r="K47" s="239">
        <f>$F47*R47</f>
        <v>0</v>
      </c>
      <c r="L47" s="210">
        <f>F47-SUM(G47:K47)</f>
        <v>0</v>
      </c>
      <c r="N47" s="211"/>
      <c r="O47" s="211"/>
      <c r="P47" s="211"/>
      <c r="Q47" s="211"/>
      <c r="R47" s="211"/>
    </row>
    <row r="48" spans="1:18" x14ac:dyDescent="0.25">
      <c r="A48" s="207" t="s">
        <v>132</v>
      </c>
      <c r="B48" s="200" t="s">
        <v>196</v>
      </c>
      <c r="C48" s="201" t="s">
        <v>219</v>
      </c>
      <c r="D48" s="168"/>
      <c r="E48" s="147"/>
      <c r="F48" s="142"/>
      <c r="G48" s="239">
        <f>$F48*N48</f>
        <v>0</v>
      </c>
      <c r="H48" s="239">
        <f>$F48*O48</f>
        <v>0</v>
      </c>
      <c r="I48" s="239">
        <f>$F48*P48</f>
        <v>0</v>
      </c>
      <c r="J48" s="239">
        <f>$F48*Q48</f>
        <v>0</v>
      </c>
      <c r="K48" s="239">
        <f>$F48*R48</f>
        <v>0</v>
      </c>
      <c r="L48" s="210">
        <f>F48-SUM(G48:K48)</f>
        <v>0</v>
      </c>
      <c r="N48" s="211"/>
      <c r="O48" s="211"/>
      <c r="P48" s="211"/>
      <c r="Q48" s="211"/>
      <c r="R48" s="211"/>
    </row>
    <row r="49" spans="1:18" x14ac:dyDescent="0.25">
      <c r="A49" s="207" t="s">
        <v>133</v>
      </c>
      <c r="B49" s="200" t="s">
        <v>197</v>
      </c>
      <c r="C49" s="201" t="s">
        <v>221</v>
      </c>
      <c r="D49" s="168"/>
      <c r="E49" s="147"/>
      <c r="F49" s="142"/>
      <c r="G49" s="239">
        <f>$F49*N49</f>
        <v>0</v>
      </c>
      <c r="H49" s="239">
        <f>$F49*O49</f>
        <v>0</v>
      </c>
      <c r="I49" s="239">
        <f>$F49*P49</f>
        <v>0</v>
      </c>
      <c r="J49" s="239">
        <f>$F49*Q49</f>
        <v>0</v>
      </c>
      <c r="K49" s="239">
        <f>$F49*R49</f>
        <v>0</v>
      </c>
      <c r="L49" s="210">
        <f>F49-SUM(G49:K49)</f>
        <v>0</v>
      </c>
      <c r="N49" s="211"/>
      <c r="O49" s="211"/>
      <c r="P49" s="211"/>
      <c r="Q49" s="211"/>
      <c r="R49" s="211"/>
    </row>
    <row r="50" spans="1:18" x14ac:dyDescent="0.25">
      <c r="A50" s="206" t="s">
        <v>134</v>
      </c>
      <c r="B50" s="198" t="s">
        <v>198</v>
      </c>
      <c r="C50" s="201"/>
      <c r="D50" s="224"/>
      <c r="E50" s="51"/>
      <c r="F50" s="196"/>
      <c r="G50" s="238"/>
      <c r="H50" s="238"/>
      <c r="I50" s="238"/>
      <c r="J50" s="238"/>
      <c r="K50" s="238"/>
      <c r="L50" s="210"/>
      <c r="N50" s="211"/>
      <c r="O50" s="211"/>
      <c r="P50" s="211"/>
      <c r="Q50" s="211"/>
      <c r="R50" s="211"/>
    </row>
    <row r="51" spans="1:18" x14ac:dyDescent="0.25">
      <c r="A51" s="208" t="s">
        <v>135</v>
      </c>
      <c r="B51" s="202" t="s">
        <v>199</v>
      </c>
      <c r="C51" s="201" t="s">
        <v>81</v>
      </c>
      <c r="D51" s="168"/>
      <c r="E51" s="147"/>
      <c r="F51" s="142"/>
      <c r="G51" s="239">
        <f>$F51*N51</f>
        <v>0</v>
      </c>
      <c r="H51" s="239">
        <f>$F51*O51</f>
        <v>0</v>
      </c>
      <c r="I51" s="239">
        <f>$F51*P51</f>
        <v>0</v>
      </c>
      <c r="J51" s="239">
        <f>$F51*Q51</f>
        <v>0</v>
      </c>
      <c r="K51" s="239">
        <f>$F51*R51</f>
        <v>0</v>
      </c>
      <c r="L51" s="210">
        <f>F51-SUM(G51:K51)</f>
        <v>0</v>
      </c>
      <c r="N51" s="211"/>
      <c r="O51" s="211"/>
      <c r="P51" s="211"/>
      <c r="Q51" s="211"/>
      <c r="R51" s="211"/>
    </row>
    <row r="52" spans="1:18" x14ac:dyDescent="0.25">
      <c r="A52" s="209" t="s">
        <v>136</v>
      </c>
      <c r="B52" s="203" t="s">
        <v>200</v>
      </c>
      <c r="C52" s="201" t="s">
        <v>219</v>
      </c>
      <c r="D52" s="168"/>
      <c r="E52" s="147"/>
      <c r="F52" s="142"/>
      <c r="G52" s="239">
        <f>$F52*N52</f>
        <v>0</v>
      </c>
      <c r="H52" s="239">
        <f>$F52*O52</f>
        <v>0</v>
      </c>
      <c r="I52" s="239">
        <f>$F52*P52</f>
        <v>0</v>
      </c>
      <c r="J52" s="239">
        <f>$F52*Q52</f>
        <v>0</v>
      </c>
      <c r="K52" s="239">
        <f>$F52*R52</f>
        <v>0</v>
      </c>
      <c r="L52" s="210">
        <f>F52-SUM(G52:K52)</f>
        <v>0</v>
      </c>
      <c r="N52" s="211"/>
      <c r="O52" s="211"/>
      <c r="P52" s="211"/>
      <c r="Q52" s="211"/>
      <c r="R52" s="211"/>
    </row>
    <row r="53" spans="1:18" x14ac:dyDescent="0.25">
      <c r="A53" s="207" t="s">
        <v>137</v>
      </c>
      <c r="B53" s="200" t="s">
        <v>201</v>
      </c>
      <c r="C53" s="201" t="s">
        <v>220</v>
      </c>
      <c r="D53" s="168"/>
      <c r="E53" s="147"/>
      <c r="F53" s="142"/>
      <c r="G53" s="239">
        <f>$F53*N53</f>
        <v>0</v>
      </c>
      <c r="H53" s="239">
        <f>$F53*O53</f>
        <v>0</v>
      </c>
      <c r="I53" s="239">
        <f>$F53*P53</f>
        <v>0</v>
      </c>
      <c r="J53" s="239">
        <f>$F53*Q53</f>
        <v>0</v>
      </c>
      <c r="K53" s="239">
        <f>$F53*R53</f>
        <v>0</v>
      </c>
      <c r="L53" s="210">
        <f>F53-SUM(G53:K53)</f>
        <v>0</v>
      </c>
      <c r="N53" s="211"/>
      <c r="O53" s="211"/>
      <c r="P53" s="211"/>
      <c r="Q53" s="211"/>
      <c r="R53" s="211"/>
    </row>
    <row r="54" spans="1:18" x14ac:dyDescent="0.25">
      <c r="A54" s="206" t="s">
        <v>138</v>
      </c>
      <c r="B54" s="198" t="s">
        <v>202</v>
      </c>
      <c r="C54" s="201"/>
      <c r="D54" s="224"/>
      <c r="E54" s="51"/>
      <c r="F54" s="196"/>
      <c r="G54" s="238"/>
      <c r="H54" s="238"/>
      <c r="I54" s="238"/>
      <c r="J54" s="238"/>
      <c r="K54" s="238"/>
      <c r="L54" s="210"/>
      <c r="N54" s="211"/>
      <c r="O54" s="211"/>
      <c r="P54" s="211"/>
      <c r="Q54" s="211"/>
      <c r="R54" s="211"/>
    </row>
    <row r="55" spans="1:18" x14ac:dyDescent="0.25">
      <c r="A55" s="207" t="s">
        <v>139</v>
      </c>
      <c r="B55" s="200" t="s">
        <v>203</v>
      </c>
      <c r="C55" s="201" t="s">
        <v>81</v>
      </c>
      <c r="D55" s="168"/>
      <c r="E55" s="147"/>
      <c r="F55" s="142"/>
      <c r="G55" s="239">
        <f>$F55*N55</f>
        <v>0</v>
      </c>
      <c r="H55" s="239">
        <f>$F55*O55</f>
        <v>0</v>
      </c>
      <c r="I55" s="239">
        <f>$F55*P55</f>
        <v>0</v>
      </c>
      <c r="J55" s="239">
        <f>$F55*Q55</f>
        <v>0</v>
      </c>
      <c r="K55" s="239">
        <f>$F55*R55</f>
        <v>0</v>
      </c>
      <c r="L55" s="210">
        <f>F55-SUM(G55:K55)</f>
        <v>0</v>
      </c>
      <c r="N55" s="211"/>
      <c r="O55" s="211"/>
      <c r="P55" s="211"/>
      <c r="Q55" s="211"/>
      <c r="R55" s="211"/>
    </row>
    <row r="56" spans="1:18" x14ac:dyDescent="0.25">
      <c r="A56" s="207" t="s">
        <v>140</v>
      </c>
      <c r="B56" s="200" t="s">
        <v>204</v>
      </c>
      <c r="C56" s="201" t="s">
        <v>219</v>
      </c>
      <c r="D56" s="168"/>
      <c r="E56" s="147"/>
      <c r="F56" s="142"/>
      <c r="G56" s="239">
        <f>$F56*N56</f>
        <v>0</v>
      </c>
      <c r="H56" s="239">
        <f>$F56*O56</f>
        <v>0</v>
      </c>
      <c r="I56" s="239">
        <f>$F56*P56</f>
        <v>0</v>
      </c>
      <c r="J56" s="239">
        <f>$F56*Q56</f>
        <v>0</v>
      </c>
      <c r="K56" s="239">
        <f>$F56*R56</f>
        <v>0</v>
      </c>
      <c r="L56" s="210">
        <f>F56-SUM(G56:K56)</f>
        <v>0</v>
      </c>
      <c r="N56" s="211"/>
      <c r="O56" s="211"/>
      <c r="P56" s="211"/>
      <c r="Q56" s="211"/>
      <c r="R56" s="211"/>
    </row>
    <row r="57" spans="1:18" x14ac:dyDescent="0.25">
      <c r="A57" s="207" t="s">
        <v>141</v>
      </c>
      <c r="B57" s="200" t="s">
        <v>205</v>
      </c>
      <c r="C57" s="201" t="s">
        <v>220</v>
      </c>
      <c r="D57" s="168"/>
      <c r="E57" s="147"/>
      <c r="F57" s="142"/>
      <c r="G57" s="239">
        <f>$F57*N57</f>
        <v>0</v>
      </c>
      <c r="H57" s="239">
        <f>$F57*O57</f>
        <v>0</v>
      </c>
      <c r="I57" s="239">
        <f>$F57*P57</f>
        <v>0</v>
      </c>
      <c r="J57" s="239">
        <f>$F57*Q57</f>
        <v>0</v>
      </c>
      <c r="K57" s="239">
        <f>$F57*R57</f>
        <v>0</v>
      </c>
      <c r="L57" s="210">
        <f>F57-SUM(G57:K57)</f>
        <v>0</v>
      </c>
      <c r="N57" s="211"/>
      <c r="O57" s="211"/>
      <c r="P57" s="211"/>
      <c r="Q57" s="211"/>
      <c r="R57" s="211"/>
    </row>
    <row r="58" spans="1:18" x14ac:dyDescent="0.25">
      <c r="A58" s="206" t="s">
        <v>142</v>
      </c>
      <c r="B58" s="198" t="s">
        <v>206</v>
      </c>
      <c r="C58" s="201"/>
      <c r="D58" s="224"/>
      <c r="E58" s="51"/>
      <c r="F58" s="20"/>
      <c r="G58" s="238"/>
      <c r="H58" s="238"/>
      <c r="I58" s="238"/>
      <c r="J58" s="238"/>
      <c r="K58" s="238"/>
      <c r="L58" s="210"/>
      <c r="N58" s="211"/>
      <c r="O58" s="211"/>
      <c r="P58" s="211"/>
      <c r="Q58" s="211"/>
      <c r="R58" s="211"/>
    </row>
    <row r="59" spans="1:18" x14ac:dyDescent="0.25">
      <c r="A59" s="207" t="s">
        <v>143</v>
      </c>
      <c r="B59" s="200" t="s">
        <v>207</v>
      </c>
      <c r="C59" s="201" t="s">
        <v>22</v>
      </c>
      <c r="D59" s="168"/>
      <c r="E59" s="147"/>
      <c r="F59" s="142"/>
      <c r="G59" s="239">
        <f>$F59*N59</f>
        <v>0</v>
      </c>
      <c r="H59" s="239">
        <f>$F59*O59</f>
        <v>0</v>
      </c>
      <c r="I59" s="239">
        <f>$F59*P59</f>
        <v>0</v>
      </c>
      <c r="J59" s="239">
        <f>$F59*Q59</f>
        <v>0</v>
      </c>
      <c r="K59" s="239">
        <f>$F59*R59</f>
        <v>0</v>
      </c>
      <c r="L59" s="210">
        <f>F59-SUM(G59:K59)</f>
        <v>0</v>
      </c>
      <c r="N59" s="211"/>
      <c r="O59" s="211"/>
      <c r="P59" s="211"/>
      <c r="Q59" s="211"/>
      <c r="R59" s="211"/>
    </row>
    <row r="60" spans="1:18" x14ac:dyDescent="0.25">
      <c r="A60" s="207" t="s">
        <v>144</v>
      </c>
      <c r="B60" s="200" t="s">
        <v>208</v>
      </c>
      <c r="C60" s="201" t="s">
        <v>219</v>
      </c>
      <c r="D60" s="168"/>
      <c r="E60" s="147"/>
      <c r="F60" s="142"/>
      <c r="G60" s="239">
        <f>$F60*N60</f>
        <v>0</v>
      </c>
      <c r="H60" s="239">
        <f>$F60*O60</f>
        <v>0</v>
      </c>
      <c r="I60" s="239">
        <f>$F60*P60</f>
        <v>0</v>
      </c>
      <c r="J60" s="239">
        <f>$F60*Q60</f>
        <v>0</v>
      </c>
      <c r="K60" s="239">
        <f>$F60*R60</f>
        <v>0</v>
      </c>
      <c r="L60" s="210">
        <f>F60-SUM(G60:K60)</f>
        <v>0</v>
      </c>
      <c r="N60" s="211"/>
      <c r="O60" s="211"/>
      <c r="P60" s="211"/>
      <c r="Q60" s="211"/>
      <c r="R60" s="211"/>
    </row>
    <row r="61" spans="1:18" x14ac:dyDescent="0.25">
      <c r="A61" s="207" t="s">
        <v>145</v>
      </c>
      <c r="B61" s="200" t="s">
        <v>209</v>
      </c>
      <c r="C61" s="201" t="s">
        <v>220</v>
      </c>
      <c r="D61" s="168"/>
      <c r="E61" s="147"/>
      <c r="F61" s="142"/>
      <c r="G61" s="239">
        <f>$F61*N61</f>
        <v>0</v>
      </c>
      <c r="H61" s="239">
        <f>$F61*O61</f>
        <v>0</v>
      </c>
      <c r="I61" s="239">
        <f>$F61*P61</f>
        <v>0</v>
      </c>
      <c r="J61" s="239">
        <f>$F61*Q61</f>
        <v>0</v>
      </c>
      <c r="K61" s="239">
        <f>$F61*R61</f>
        <v>0</v>
      </c>
      <c r="L61" s="210">
        <f>F61-SUM(G61:K61)</f>
        <v>0</v>
      </c>
      <c r="N61" s="211"/>
      <c r="O61" s="211"/>
      <c r="P61" s="211"/>
      <c r="Q61" s="211"/>
      <c r="R61" s="211"/>
    </row>
    <row r="62" spans="1:18" x14ac:dyDescent="0.25">
      <c r="A62" s="206" t="s">
        <v>146</v>
      </c>
      <c r="B62" s="198" t="s">
        <v>210</v>
      </c>
      <c r="C62" s="201"/>
      <c r="D62" s="224"/>
      <c r="E62" s="51"/>
      <c r="F62" s="196"/>
      <c r="G62" s="238"/>
      <c r="H62" s="238"/>
      <c r="I62" s="238"/>
      <c r="J62" s="238"/>
      <c r="K62" s="238"/>
      <c r="L62" s="210"/>
      <c r="N62" s="211"/>
      <c r="O62" s="211"/>
      <c r="P62" s="211"/>
      <c r="Q62" s="211"/>
      <c r="R62" s="211"/>
    </row>
    <row r="63" spans="1:18" x14ac:dyDescent="0.25">
      <c r="A63" s="207" t="s">
        <v>147</v>
      </c>
      <c r="B63" s="200" t="s">
        <v>211</v>
      </c>
      <c r="C63" s="201" t="s">
        <v>81</v>
      </c>
      <c r="D63" s="168"/>
      <c r="E63" s="147"/>
      <c r="F63" s="142"/>
      <c r="G63" s="239">
        <f>$F63*N63</f>
        <v>0</v>
      </c>
      <c r="H63" s="239">
        <f>$F63*O63</f>
        <v>0</v>
      </c>
      <c r="I63" s="239">
        <f>$F63*P63</f>
        <v>0</v>
      </c>
      <c r="J63" s="239">
        <f>$F63*Q63</f>
        <v>0</v>
      </c>
      <c r="K63" s="239">
        <f>$F63*R63</f>
        <v>0</v>
      </c>
      <c r="L63" s="210">
        <f>F63-SUM(G63:K63)</f>
        <v>0</v>
      </c>
      <c r="N63" s="211"/>
      <c r="O63" s="211"/>
      <c r="P63" s="211"/>
      <c r="Q63" s="211"/>
      <c r="R63" s="211"/>
    </row>
    <row r="64" spans="1:18" x14ac:dyDescent="0.25">
      <c r="A64" s="207" t="s">
        <v>148</v>
      </c>
      <c r="B64" s="200" t="s">
        <v>212</v>
      </c>
      <c r="C64" s="201" t="s">
        <v>219</v>
      </c>
      <c r="D64" s="168"/>
      <c r="E64" s="147"/>
      <c r="F64" s="142"/>
      <c r="G64" s="239">
        <f>$F64*N64</f>
        <v>0</v>
      </c>
      <c r="H64" s="239">
        <f>$F64*O64</f>
        <v>0</v>
      </c>
      <c r="I64" s="239">
        <f>$F64*P64</f>
        <v>0</v>
      </c>
      <c r="J64" s="239">
        <f>$F64*Q64</f>
        <v>0</v>
      </c>
      <c r="K64" s="239">
        <f>$F64*R64</f>
        <v>0</v>
      </c>
      <c r="L64" s="210">
        <f>F64-SUM(G64:K64)</f>
        <v>0</v>
      </c>
      <c r="N64" s="211"/>
      <c r="O64" s="211"/>
      <c r="P64" s="211"/>
      <c r="Q64" s="211"/>
      <c r="R64" s="211"/>
    </row>
    <row r="65" spans="1:18" x14ac:dyDescent="0.25">
      <c r="A65" s="207" t="s">
        <v>149</v>
      </c>
      <c r="B65" s="200" t="s">
        <v>213</v>
      </c>
      <c r="C65" s="201" t="s">
        <v>220</v>
      </c>
      <c r="D65" s="168"/>
      <c r="E65" s="147"/>
      <c r="F65" s="142"/>
      <c r="G65" s="239">
        <f>$F65*N65</f>
        <v>0</v>
      </c>
      <c r="H65" s="239">
        <f>$F65*O65</f>
        <v>0</v>
      </c>
      <c r="I65" s="239">
        <f>$F65*P65</f>
        <v>0</v>
      </c>
      <c r="J65" s="239">
        <f>$F65*Q65</f>
        <v>0</v>
      </c>
      <c r="K65" s="239">
        <f>$F65*R65</f>
        <v>0</v>
      </c>
      <c r="L65" s="210">
        <f>F65-SUM(G65:K65)</f>
        <v>0</v>
      </c>
      <c r="N65" s="211"/>
      <c r="O65" s="211"/>
      <c r="P65" s="211"/>
      <c r="Q65" s="211"/>
      <c r="R65" s="211"/>
    </row>
    <row r="66" spans="1:18" x14ac:dyDescent="0.25">
      <c r="A66" s="207" t="s">
        <v>150</v>
      </c>
      <c r="B66" s="200" t="s">
        <v>214</v>
      </c>
      <c r="C66" s="201" t="s">
        <v>222</v>
      </c>
      <c r="D66" s="168"/>
      <c r="E66" s="147"/>
      <c r="F66" s="142"/>
      <c r="G66" s="239">
        <f>$F66*N66</f>
        <v>0</v>
      </c>
      <c r="H66" s="239">
        <f>$F66*O66</f>
        <v>0</v>
      </c>
      <c r="I66" s="239">
        <f>$F66*P66</f>
        <v>0</v>
      </c>
      <c r="J66" s="239">
        <f>$F66*Q66</f>
        <v>0</v>
      </c>
      <c r="K66" s="239">
        <f>$F66*R66</f>
        <v>0</v>
      </c>
      <c r="L66" s="210">
        <f>F66-SUM(G66:K66)</f>
        <v>0</v>
      </c>
      <c r="N66" s="211"/>
      <c r="O66" s="211"/>
      <c r="P66" s="211"/>
      <c r="Q66" s="211"/>
      <c r="R66" s="211"/>
    </row>
    <row r="67" spans="1:18" x14ac:dyDescent="0.25">
      <c r="A67" s="206" t="s">
        <v>151</v>
      </c>
      <c r="B67" s="198" t="s">
        <v>215</v>
      </c>
      <c r="C67" s="201"/>
      <c r="D67" s="224"/>
      <c r="E67" s="51"/>
      <c r="F67" s="196"/>
      <c r="G67" s="238"/>
      <c r="H67" s="238"/>
      <c r="I67" s="238"/>
      <c r="J67" s="238"/>
      <c r="K67" s="238"/>
      <c r="L67" s="210"/>
      <c r="N67" s="211"/>
      <c r="O67" s="211"/>
      <c r="P67" s="211"/>
      <c r="Q67" s="211"/>
      <c r="R67" s="211"/>
    </row>
    <row r="68" spans="1:18" x14ac:dyDescent="0.25">
      <c r="A68" s="207" t="s">
        <v>152</v>
      </c>
      <c r="B68" s="200" t="s">
        <v>216</v>
      </c>
      <c r="C68" s="162" t="s">
        <v>219</v>
      </c>
      <c r="D68" s="168"/>
      <c r="E68" s="147"/>
      <c r="F68" s="142"/>
      <c r="G68" s="239">
        <f>$F68*N68</f>
        <v>0</v>
      </c>
      <c r="H68" s="239">
        <f>$F68*O68</f>
        <v>0</v>
      </c>
      <c r="I68" s="239">
        <f>$F68*P68</f>
        <v>0</v>
      </c>
      <c r="J68" s="239">
        <f>$F68*Q68</f>
        <v>0</v>
      </c>
      <c r="K68" s="239">
        <f>$F68*R68</f>
        <v>0</v>
      </c>
      <c r="L68" s="210">
        <f>F68-SUM(G68:K68)</f>
        <v>0</v>
      </c>
      <c r="N68" s="211"/>
      <c r="O68" s="211"/>
      <c r="P68" s="211"/>
      <c r="Q68" s="211"/>
      <c r="R68" s="211"/>
    </row>
    <row r="69" spans="1:18" x14ac:dyDescent="0.25">
      <c r="A69" s="207" t="s">
        <v>153</v>
      </c>
      <c r="B69" s="200" t="s">
        <v>217</v>
      </c>
      <c r="C69" s="162" t="s">
        <v>219</v>
      </c>
      <c r="D69" s="168"/>
      <c r="E69" s="147"/>
      <c r="F69" s="142"/>
      <c r="G69" s="239">
        <f>$F69*N69</f>
        <v>0</v>
      </c>
      <c r="H69" s="239">
        <f>$F69*O69</f>
        <v>0</v>
      </c>
      <c r="I69" s="239">
        <f>$F69*P69</f>
        <v>0</v>
      </c>
      <c r="J69" s="239">
        <f>$F69*Q69</f>
        <v>0</v>
      </c>
      <c r="K69" s="239">
        <f>$F69*R69</f>
        <v>0</v>
      </c>
      <c r="L69" s="210">
        <f>F69-SUM(G69:K69)</f>
        <v>0</v>
      </c>
      <c r="N69" s="211"/>
      <c r="O69" s="211"/>
      <c r="P69" s="211"/>
      <c r="Q69" s="211"/>
      <c r="R69" s="211"/>
    </row>
    <row r="70" spans="1:18" x14ac:dyDescent="0.25">
      <c r="A70" s="208" t="s">
        <v>154</v>
      </c>
      <c r="B70" s="202" t="s">
        <v>218</v>
      </c>
      <c r="C70" s="162" t="s">
        <v>221</v>
      </c>
      <c r="D70" s="168"/>
      <c r="E70" s="147"/>
      <c r="F70" s="148"/>
      <c r="G70" s="241">
        <f>$F70*N70</f>
        <v>0</v>
      </c>
      <c r="H70" s="241">
        <f>$F70*O70</f>
        <v>0</v>
      </c>
      <c r="I70" s="241">
        <f>$F70*P70</f>
        <v>0</v>
      </c>
      <c r="J70" s="241">
        <f>$F70*Q70</f>
        <v>0</v>
      </c>
      <c r="K70" s="241">
        <f>$F70*R70</f>
        <v>0</v>
      </c>
      <c r="L70" s="210">
        <f>F70-SUM(G70:K70)</f>
        <v>0</v>
      </c>
      <c r="N70" s="211"/>
      <c r="O70" s="211"/>
      <c r="P70" s="211">
        <v>0.3</v>
      </c>
      <c r="Q70" s="211">
        <v>0.7</v>
      </c>
      <c r="R70" s="211"/>
    </row>
    <row r="71" spans="1:18" x14ac:dyDescent="0.25">
      <c r="A71" s="25"/>
      <c r="B71" s="21" t="s">
        <v>23</v>
      </c>
      <c r="C71" s="25"/>
      <c r="D71" s="169"/>
      <c r="E71" s="7"/>
      <c r="F71" s="226">
        <f>SUM(F7:F70)</f>
        <v>0</v>
      </c>
      <c r="G71" s="226">
        <f>SUM(G7:G70)</f>
        <v>0</v>
      </c>
      <c r="H71" s="226">
        <f>SUM(H7:H70)</f>
        <v>0</v>
      </c>
      <c r="I71" s="226">
        <f t="shared" ref="I71:K71" si="0">SUM(I7:I70)</f>
        <v>0</v>
      </c>
      <c r="J71" s="226">
        <f t="shared" si="0"/>
        <v>0</v>
      </c>
      <c r="K71" s="226">
        <f t="shared" si="0"/>
        <v>0</v>
      </c>
      <c r="L71" s="210"/>
    </row>
    <row r="72" spans="1:18" x14ac:dyDescent="0.25">
      <c r="A72" s="85"/>
      <c r="B72" s="86" t="s">
        <v>58</v>
      </c>
      <c r="C72" s="85"/>
      <c r="D72" s="225"/>
      <c r="E72" s="40"/>
      <c r="F72" s="233">
        <f>F71*0.15</f>
        <v>0</v>
      </c>
      <c r="G72" s="227">
        <f t="shared" ref="G72:K72" si="1">G71*0.15</f>
        <v>0</v>
      </c>
      <c r="H72" s="227">
        <f t="shared" si="1"/>
        <v>0</v>
      </c>
      <c r="I72" s="227">
        <f t="shared" si="1"/>
        <v>0</v>
      </c>
      <c r="J72" s="227">
        <f t="shared" si="1"/>
        <v>0</v>
      </c>
      <c r="K72" s="227">
        <f t="shared" si="1"/>
        <v>0</v>
      </c>
      <c r="L72" s="210"/>
    </row>
    <row r="73" spans="1:18" x14ac:dyDescent="0.25">
      <c r="A73" s="85"/>
      <c r="B73" s="86" t="s">
        <v>228</v>
      </c>
      <c r="C73" s="85"/>
      <c r="D73" s="225"/>
      <c r="E73" s="40"/>
      <c r="F73" s="233">
        <f>F71*0.05</f>
        <v>0</v>
      </c>
      <c r="G73" s="227">
        <f t="shared" ref="G73:K73" si="2">G71*0.05</f>
        <v>0</v>
      </c>
      <c r="H73" s="227">
        <f t="shared" si="2"/>
        <v>0</v>
      </c>
      <c r="I73" s="227">
        <f t="shared" si="2"/>
        <v>0</v>
      </c>
      <c r="J73" s="227">
        <f t="shared" si="2"/>
        <v>0</v>
      </c>
      <c r="K73" s="227">
        <f t="shared" si="2"/>
        <v>0</v>
      </c>
      <c r="L73" s="210"/>
    </row>
    <row r="74" spans="1:18" x14ac:dyDescent="0.25">
      <c r="A74" s="38"/>
      <c r="B74" s="81" t="s">
        <v>60</v>
      </c>
      <c r="C74" s="38"/>
      <c r="D74" s="171"/>
      <c r="E74" s="39"/>
      <c r="F74" s="228">
        <f>SUM(F71:F73)</f>
        <v>0</v>
      </c>
      <c r="G74" s="228">
        <f t="shared" ref="G74:K74" si="3">SUM(G71:G73)</f>
        <v>0</v>
      </c>
      <c r="H74" s="228">
        <f t="shared" si="3"/>
        <v>0</v>
      </c>
      <c r="I74" s="228">
        <f t="shared" si="3"/>
        <v>0</v>
      </c>
      <c r="J74" s="228">
        <f t="shared" si="3"/>
        <v>0</v>
      </c>
      <c r="K74" s="228">
        <f t="shared" si="3"/>
        <v>0</v>
      </c>
      <c r="L74" s="210"/>
    </row>
    <row r="75" spans="1:18" x14ac:dyDescent="0.25">
      <c r="A75" s="204"/>
      <c r="B75" s="205" t="s">
        <v>24</v>
      </c>
      <c r="C75" s="204"/>
      <c r="D75" s="172"/>
      <c r="E75" s="9"/>
      <c r="F75" s="229">
        <f>ROUND(F74*0.18,2)</f>
        <v>0</v>
      </c>
      <c r="G75" s="229">
        <f t="shared" ref="G75:K75" si="4">ROUND(G74*0.18,2)</f>
        <v>0</v>
      </c>
      <c r="H75" s="229">
        <f t="shared" si="4"/>
        <v>0</v>
      </c>
      <c r="I75" s="229">
        <f t="shared" si="4"/>
        <v>0</v>
      </c>
      <c r="J75" s="229">
        <f t="shared" si="4"/>
        <v>0</v>
      </c>
      <c r="K75" s="229">
        <f t="shared" si="4"/>
        <v>0</v>
      </c>
      <c r="L75" s="210"/>
    </row>
    <row r="76" spans="1:18" x14ac:dyDescent="0.25">
      <c r="A76" s="28"/>
      <c r="B76" s="29" t="s">
        <v>31</v>
      </c>
      <c r="C76" s="28"/>
      <c r="D76" s="173"/>
      <c r="E76" s="31"/>
      <c r="F76" s="230">
        <f>SUM(F74:F75)</f>
        <v>0</v>
      </c>
      <c r="G76" s="230">
        <f t="shared" ref="G76:K76" si="5">SUM(G74:G75)</f>
        <v>0</v>
      </c>
      <c r="H76" s="230">
        <f t="shared" si="5"/>
        <v>0</v>
      </c>
      <c r="I76" s="230">
        <f t="shared" si="5"/>
        <v>0</v>
      </c>
      <c r="J76" s="230">
        <f t="shared" si="5"/>
        <v>0</v>
      </c>
      <c r="K76" s="230">
        <f t="shared" si="5"/>
        <v>0</v>
      </c>
      <c r="L76" s="210"/>
    </row>
    <row r="77" spans="1:18" x14ac:dyDescent="0.25">
      <c r="L77" s="210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F83D-50EC-40C9-9676-5B102AEEEE20}">
  <dimension ref="A1:A6"/>
  <sheetViews>
    <sheetView tabSelected="1" workbookViewId="0">
      <selection activeCell="A7" sqref="A7"/>
    </sheetView>
  </sheetViews>
  <sheetFormatPr baseColWidth="10" defaultRowHeight="15" x14ac:dyDescent="0.25"/>
  <sheetData>
    <row r="1" spans="1:1" x14ac:dyDescent="0.25">
      <c r="A1" t="s">
        <v>242</v>
      </c>
    </row>
    <row r="3" spans="1:1" x14ac:dyDescent="0.25">
      <c r="A3" t="s">
        <v>16</v>
      </c>
    </row>
    <row r="4" spans="1:1" x14ac:dyDescent="0.25">
      <c r="A4" t="s">
        <v>243</v>
      </c>
    </row>
    <row r="6" spans="1:1" x14ac:dyDescent="0.25">
      <c r="A6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PRESUPUESTOS</vt:lpstr>
      <vt:lpstr>COMPARATIVO</vt:lpstr>
      <vt:lpstr>RESUMEN - ANALISIS</vt:lpstr>
      <vt:lpstr>DIFERENCIAS</vt:lpstr>
      <vt:lpstr>COSTOS INCURRIDOS</vt:lpstr>
      <vt:lpstr>CRONOG CONT VENTA</vt:lpstr>
      <vt:lpstr>CRONOG CONT META</vt:lpstr>
      <vt:lpstr>CRONOG INTERNO VENTA</vt:lpstr>
      <vt:lpstr>CRONOG INTERNO META</vt:lpstr>
      <vt:lpstr>CRONOG COSTOS REALES</vt:lpstr>
      <vt:lpstr>CURVAS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2020-10-30T16:19:31Z</dcterms:created>
  <dcterms:modified xsi:type="dcterms:W3CDTF">2024-06-28T00:05:12Z</dcterms:modified>
</cp:coreProperties>
</file>