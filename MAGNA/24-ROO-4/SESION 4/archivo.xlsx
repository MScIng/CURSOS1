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bril 2024\Sesion 04 - Resultado Operativo\"/>
    </mc:Choice>
  </mc:AlternateContent>
  <xr:revisionPtr revIDLastSave="0" documentId="13_ncr:1_{F434FE07-5FFD-4522-92A6-97D0923EBF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ESUPUESTOS" sheetId="1" r:id="rId1"/>
    <sheet name="COMPARATIVO" sheetId="2" r:id="rId2"/>
    <sheet name="RESUMEN - ANALISIS" sheetId="3" r:id="rId3"/>
    <sheet name="COSTOS INCURRIDOS" sheetId="4" r:id="rId4"/>
    <sheet name="CRONOG CONT VENTA" sheetId="5" r:id="rId5"/>
    <sheet name="CRONOG CONT META" sheetId="6" r:id="rId6"/>
    <sheet name="CRONOG INTERNO VENTA" sheetId="7" r:id="rId7"/>
    <sheet name="CRONOG INTERNO META" sheetId="8" r:id="rId8"/>
    <sheet name="CRONOG COSTOS REALE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3" l="1"/>
  <c r="I8" i="3"/>
  <c r="I9" i="3"/>
  <c r="I10" i="3"/>
  <c r="I11" i="3"/>
  <c r="H8" i="3"/>
  <c r="H9" i="3"/>
  <c r="H10" i="3"/>
  <c r="H11" i="3"/>
  <c r="G11" i="3" s="1"/>
  <c r="E8" i="3"/>
  <c r="F8" i="3"/>
  <c r="E9" i="3"/>
  <c r="F9" i="3"/>
  <c r="E10" i="3"/>
  <c r="F10" i="3"/>
  <c r="G10" i="3"/>
  <c r="E11" i="3"/>
  <c r="F11" i="3"/>
  <c r="C8" i="3"/>
  <c r="D8" i="3" s="1"/>
  <c r="C9" i="3"/>
  <c r="C10" i="3"/>
  <c r="D10" i="3" s="1"/>
  <c r="C11" i="3"/>
  <c r="C7" i="3"/>
  <c r="E10" i="2"/>
  <c r="J10" i="2"/>
  <c r="L10" i="2"/>
  <c r="N10" i="2"/>
  <c r="O10" i="2"/>
  <c r="P10" i="2" s="1"/>
  <c r="Q10" i="2"/>
  <c r="F10" i="2" s="1"/>
  <c r="E11" i="2"/>
  <c r="J11" i="2"/>
  <c r="L11" i="2"/>
  <c r="N11" i="2"/>
  <c r="Q11" i="2"/>
  <c r="R11" i="2" s="1"/>
  <c r="E15" i="2"/>
  <c r="G15" i="2" s="1"/>
  <c r="J15" i="2"/>
  <c r="H15" i="2" s="1"/>
  <c r="I15" i="2" s="1"/>
  <c r="K15" i="2"/>
  <c r="L15" i="2"/>
  <c r="N15" i="2" s="1"/>
  <c r="Q15" i="2"/>
  <c r="F15" i="2" s="1"/>
  <c r="E16" i="2"/>
  <c r="F16" i="2"/>
  <c r="H16" i="2" s="1"/>
  <c r="G16" i="2"/>
  <c r="J16" i="2"/>
  <c r="L16" i="2"/>
  <c r="N16" i="2" s="1"/>
  <c r="O16" i="2"/>
  <c r="P16" i="2"/>
  <c r="Q16" i="2"/>
  <c r="R16" i="2" s="1"/>
  <c r="E18" i="2"/>
  <c r="G18" i="2" s="1"/>
  <c r="J18" i="2"/>
  <c r="H18" i="2" s="1"/>
  <c r="L18" i="2"/>
  <c r="N18" i="2"/>
  <c r="Q18" i="2"/>
  <c r="F18" i="2" s="1"/>
  <c r="E20" i="2"/>
  <c r="J20" i="2"/>
  <c r="K20" i="2"/>
  <c r="L20" i="2"/>
  <c r="N20" i="2" s="1"/>
  <c r="Q20" i="2"/>
  <c r="F20" i="2" s="1"/>
  <c r="G20" i="2" s="1"/>
  <c r="E21" i="2"/>
  <c r="G21" i="2" s="1"/>
  <c r="F21" i="2"/>
  <c r="J21" i="2"/>
  <c r="H21" i="2" s="1"/>
  <c r="L21" i="2"/>
  <c r="R21" i="2" s="1"/>
  <c r="N21" i="2"/>
  <c r="O21" i="2"/>
  <c r="P21" i="2" s="1"/>
  <c r="Q21" i="2"/>
  <c r="E22" i="2"/>
  <c r="K22" i="2" s="1"/>
  <c r="J22" i="2"/>
  <c r="L22" i="2"/>
  <c r="N22" i="2" s="1"/>
  <c r="Q22" i="2"/>
  <c r="F22" i="2" s="1"/>
  <c r="R22" i="2"/>
  <c r="E23" i="2"/>
  <c r="J23" i="2"/>
  <c r="K23" i="2"/>
  <c r="L23" i="2"/>
  <c r="N23" i="2" s="1"/>
  <c r="Q23" i="2"/>
  <c r="F23" i="2" s="1"/>
  <c r="G23" i="2" s="1"/>
  <c r="E24" i="2"/>
  <c r="I24" i="2" s="1"/>
  <c r="F24" i="2"/>
  <c r="G24" i="2"/>
  <c r="J24" i="2"/>
  <c r="H24" i="2" s="1"/>
  <c r="L24" i="2"/>
  <c r="N24" i="2" s="1"/>
  <c r="O24" i="2"/>
  <c r="P24" i="2"/>
  <c r="Q24" i="2"/>
  <c r="R24" i="2" s="1"/>
  <c r="E25" i="2"/>
  <c r="K25" i="2" s="1"/>
  <c r="J25" i="2"/>
  <c r="H25" i="2" s="1"/>
  <c r="I25" i="2" s="1"/>
  <c r="L25" i="2"/>
  <c r="N25" i="2"/>
  <c r="Q25" i="2"/>
  <c r="F25" i="2" s="1"/>
  <c r="G25" i="2" s="1"/>
  <c r="R25" i="2"/>
  <c r="E26" i="2"/>
  <c r="G26" i="2" s="1"/>
  <c r="J26" i="2"/>
  <c r="H26" i="2" s="1"/>
  <c r="L26" i="2"/>
  <c r="N26" i="2"/>
  <c r="Q26" i="2"/>
  <c r="F26" i="2" s="1"/>
  <c r="E27" i="2"/>
  <c r="J27" i="2"/>
  <c r="L27" i="2"/>
  <c r="N27" i="2"/>
  <c r="Q27" i="2"/>
  <c r="R27" i="2" s="1"/>
  <c r="E28" i="2"/>
  <c r="J28" i="2"/>
  <c r="H28" i="2" s="1"/>
  <c r="I28" i="2" s="1"/>
  <c r="K28" i="2"/>
  <c r="L28" i="2"/>
  <c r="N28" i="2" s="1"/>
  <c r="Q28" i="2"/>
  <c r="F28" i="2" s="1"/>
  <c r="G28" i="2" s="1"/>
  <c r="E29" i="2"/>
  <c r="G29" i="2" s="1"/>
  <c r="F29" i="2"/>
  <c r="J29" i="2"/>
  <c r="H29" i="2" s="1"/>
  <c r="L29" i="2"/>
  <c r="R29" i="2" s="1"/>
  <c r="N29" i="2"/>
  <c r="O29" i="2"/>
  <c r="P29" i="2" s="1"/>
  <c r="Q29" i="2"/>
  <c r="E30" i="2"/>
  <c r="K30" i="2" s="1"/>
  <c r="J30" i="2"/>
  <c r="L30" i="2"/>
  <c r="N30" i="2" s="1"/>
  <c r="Q30" i="2"/>
  <c r="F30" i="2" s="1"/>
  <c r="R30" i="2"/>
  <c r="E31" i="2"/>
  <c r="J31" i="2"/>
  <c r="K31" i="2"/>
  <c r="L31" i="2"/>
  <c r="N31" i="2" s="1"/>
  <c r="Q31" i="2"/>
  <c r="F31" i="2" s="1"/>
  <c r="G31" i="2" s="1"/>
  <c r="E32" i="2"/>
  <c r="I32" i="2" s="1"/>
  <c r="F32" i="2"/>
  <c r="G32" i="2"/>
  <c r="J32" i="2"/>
  <c r="H32" i="2" s="1"/>
  <c r="L32" i="2"/>
  <c r="N32" i="2" s="1"/>
  <c r="O32" i="2"/>
  <c r="P32" i="2"/>
  <c r="Q32" i="2"/>
  <c r="R32" i="2" s="1"/>
  <c r="E33" i="2"/>
  <c r="K33" i="2" s="1"/>
  <c r="J33" i="2"/>
  <c r="H33" i="2" s="1"/>
  <c r="I33" i="2" s="1"/>
  <c r="L33" i="2"/>
  <c r="N33" i="2"/>
  <c r="Q33" i="2"/>
  <c r="F33" i="2" s="1"/>
  <c r="G33" i="2" s="1"/>
  <c r="R33" i="2"/>
  <c r="E34" i="2"/>
  <c r="J34" i="2"/>
  <c r="L34" i="2"/>
  <c r="N34" i="2"/>
  <c r="Q34" i="2"/>
  <c r="F34" i="2" s="1"/>
  <c r="E35" i="2"/>
  <c r="J35" i="2"/>
  <c r="L35" i="2"/>
  <c r="N35" i="2"/>
  <c r="Q35" i="2"/>
  <c r="R35" i="2" s="1"/>
  <c r="E36" i="2"/>
  <c r="J36" i="2"/>
  <c r="H36" i="2" s="1"/>
  <c r="I36" i="2" s="1"/>
  <c r="K36" i="2"/>
  <c r="L36" i="2"/>
  <c r="N36" i="2" s="1"/>
  <c r="Q36" i="2"/>
  <c r="F36" i="2" s="1"/>
  <c r="G36" i="2" s="1"/>
  <c r="E37" i="2"/>
  <c r="G37" i="2" s="1"/>
  <c r="F37" i="2"/>
  <c r="J37" i="2"/>
  <c r="H37" i="2" s="1"/>
  <c r="L37" i="2"/>
  <c r="R37" i="2" s="1"/>
  <c r="N37" i="2"/>
  <c r="O37" i="2"/>
  <c r="P37" i="2" s="1"/>
  <c r="Q37" i="2"/>
  <c r="E38" i="2"/>
  <c r="J38" i="2"/>
  <c r="K38" i="2" s="1"/>
  <c r="L38" i="2"/>
  <c r="N38" i="2" s="1"/>
  <c r="Q38" i="2"/>
  <c r="F38" i="2" s="1"/>
  <c r="R38" i="2"/>
  <c r="E39" i="2"/>
  <c r="F39" i="2"/>
  <c r="G39" i="2"/>
  <c r="J39" i="2"/>
  <c r="H39" i="2" s="1"/>
  <c r="I39" i="2" s="1"/>
  <c r="K39" i="2"/>
  <c r="L39" i="2"/>
  <c r="N39" i="2" s="1"/>
  <c r="O39" i="2"/>
  <c r="Q39" i="2"/>
  <c r="E40" i="2"/>
  <c r="I40" i="2" s="1"/>
  <c r="F40" i="2"/>
  <c r="G40" i="2"/>
  <c r="J40" i="2"/>
  <c r="H40" i="2" s="1"/>
  <c r="L40" i="2"/>
  <c r="R40" i="2" s="1"/>
  <c r="O40" i="2"/>
  <c r="P40" i="2"/>
  <c r="Q40" i="2"/>
  <c r="E41" i="2"/>
  <c r="K41" i="2" s="1"/>
  <c r="J41" i="2"/>
  <c r="H41" i="2" s="1"/>
  <c r="I41" i="2" s="1"/>
  <c r="L41" i="2"/>
  <c r="N41" i="2"/>
  <c r="Q41" i="2"/>
  <c r="F41" i="2" s="1"/>
  <c r="G41" i="2" s="1"/>
  <c r="R41" i="2"/>
  <c r="E42" i="2"/>
  <c r="G42" i="2" s="1"/>
  <c r="J42" i="2"/>
  <c r="H42" i="2" s="1"/>
  <c r="L42" i="2"/>
  <c r="N42" i="2"/>
  <c r="Q42" i="2"/>
  <c r="F42" i="2" s="1"/>
  <c r="E43" i="2"/>
  <c r="J43" i="2"/>
  <c r="L43" i="2"/>
  <c r="N43" i="2"/>
  <c r="Q43" i="2"/>
  <c r="R43" i="2" s="1"/>
  <c r="E44" i="2"/>
  <c r="G44" i="2" s="1"/>
  <c r="J44" i="2"/>
  <c r="H44" i="2" s="1"/>
  <c r="I44" i="2" s="1"/>
  <c r="K44" i="2"/>
  <c r="L44" i="2"/>
  <c r="N44" i="2"/>
  <c r="Q44" i="2"/>
  <c r="F44" i="2" s="1"/>
  <c r="E45" i="2"/>
  <c r="G45" i="2" s="1"/>
  <c r="F45" i="2"/>
  <c r="H45" i="2" s="1"/>
  <c r="J45" i="2"/>
  <c r="L45" i="2"/>
  <c r="R45" i="2" s="1"/>
  <c r="N45" i="2"/>
  <c r="O45" i="2"/>
  <c r="P45" i="2" s="1"/>
  <c r="Q45" i="2"/>
  <c r="E46" i="2"/>
  <c r="J46" i="2"/>
  <c r="K46" i="2"/>
  <c r="L46" i="2"/>
  <c r="N46" i="2" s="1"/>
  <c r="Q46" i="2"/>
  <c r="F46" i="2" s="1"/>
  <c r="R46" i="2"/>
  <c r="E47" i="2"/>
  <c r="F47" i="2"/>
  <c r="G47" i="2" s="1"/>
  <c r="J47" i="2"/>
  <c r="H47" i="2" s="1"/>
  <c r="I47" i="2" s="1"/>
  <c r="K47" i="2"/>
  <c r="L47" i="2"/>
  <c r="O47" i="2"/>
  <c r="P47" i="2" s="1"/>
  <c r="Q47" i="2"/>
  <c r="E48" i="2"/>
  <c r="K48" i="2" s="1"/>
  <c r="F48" i="2"/>
  <c r="G48" i="2"/>
  <c r="J48" i="2"/>
  <c r="H48" i="2" s="1"/>
  <c r="I48" i="2" s="1"/>
  <c r="L48" i="2"/>
  <c r="R48" i="2" s="1"/>
  <c r="O48" i="2"/>
  <c r="P48" i="2"/>
  <c r="Q48" i="2"/>
  <c r="E49" i="2"/>
  <c r="K49" i="2" s="1"/>
  <c r="J49" i="2"/>
  <c r="L49" i="2"/>
  <c r="N49" i="2" s="1"/>
  <c r="Q49" i="2"/>
  <c r="F49" i="2" s="1"/>
  <c r="G49" i="2" s="1"/>
  <c r="R49" i="2"/>
  <c r="E50" i="2"/>
  <c r="J50" i="2"/>
  <c r="H50" i="2" s="1"/>
  <c r="L50" i="2"/>
  <c r="N50" i="2"/>
  <c r="Q50" i="2"/>
  <c r="F50" i="2" s="1"/>
  <c r="E51" i="2"/>
  <c r="J51" i="2"/>
  <c r="L51" i="2"/>
  <c r="N51" i="2"/>
  <c r="Q51" i="2"/>
  <c r="E52" i="2"/>
  <c r="J52" i="2"/>
  <c r="K52" i="2"/>
  <c r="L52" i="2"/>
  <c r="N52" i="2"/>
  <c r="Q52" i="2"/>
  <c r="F52" i="2" s="1"/>
  <c r="E53" i="2"/>
  <c r="F53" i="2"/>
  <c r="H53" i="2" s="1"/>
  <c r="J53" i="2"/>
  <c r="L53" i="2"/>
  <c r="N53" i="2"/>
  <c r="O53" i="2"/>
  <c r="P53" i="2" s="1"/>
  <c r="Q53" i="2"/>
  <c r="R53" i="2" s="1"/>
  <c r="E54" i="2"/>
  <c r="J54" i="2"/>
  <c r="K54" i="2"/>
  <c r="L54" i="2"/>
  <c r="N54" i="2" s="1"/>
  <c r="Q54" i="2"/>
  <c r="F54" i="2" s="1"/>
  <c r="R54" i="2"/>
  <c r="E55" i="2"/>
  <c r="F55" i="2"/>
  <c r="G55" i="2" s="1"/>
  <c r="J55" i="2"/>
  <c r="H55" i="2" s="1"/>
  <c r="I55" i="2" s="1"/>
  <c r="K55" i="2"/>
  <c r="L55" i="2"/>
  <c r="O55" i="2"/>
  <c r="Q55" i="2"/>
  <c r="E56" i="2"/>
  <c r="K56" i="2" s="1"/>
  <c r="F56" i="2"/>
  <c r="G56" i="2"/>
  <c r="J56" i="2"/>
  <c r="H56" i="2" s="1"/>
  <c r="I56" i="2" s="1"/>
  <c r="L56" i="2"/>
  <c r="R56" i="2" s="1"/>
  <c r="O56" i="2"/>
  <c r="P56" i="2"/>
  <c r="Q56" i="2"/>
  <c r="E57" i="2"/>
  <c r="K57" i="2" s="1"/>
  <c r="J57" i="2"/>
  <c r="L57" i="2"/>
  <c r="N57" i="2" s="1"/>
  <c r="Q57" i="2"/>
  <c r="F57" i="2" s="1"/>
  <c r="G57" i="2" s="1"/>
  <c r="R57" i="2"/>
  <c r="E58" i="2"/>
  <c r="J58" i="2"/>
  <c r="L58" i="2"/>
  <c r="N58" i="2"/>
  <c r="Q58" i="2"/>
  <c r="F58" i="2" s="1"/>
  <c r="E59" i="2"/>
  <c r="J59" i="2"/>
  <c r="L59" i="2"/>
  <c r="N59" i="2"/>
  <c r="Q59" i="2"/>
  <c r="E60" i="2"/>
  <c r="G60" i="2" s="1"/>
  <c r="J60" i="2"/>
  <c r="K60" i="2"/>
  <c r="L60" i="2"/>
  <c r="N60" i="2"/>
  <c r="Q60" i="2"/>
  <c r="F60" i="2" s="1"/>
  <c r="E61" i="2"/>
  <c r="F61" i="2"/>
  <c r="H61" i="2" s="1"/>
  <c r="J61" i="2"/>
  <c r="L61" i="2"/>
  <c r="N61" i="2"/>
  <c r="O61" i="2"/>
  <c r="P61" i="2" s="1"/>
  <c r="Q61" i="2"/>
  <c r="R61" i="2" s="1"/>
  <c r="E62" i="2"/>
  <c r="J62" i="2"/>
  <c r="K62" i="2"/>
  <c r="L62" i="2"/>
  <c r="N62" i="2" s="1"/>
  <c r="Q62" i="2"/>
  <c r="F62" i="2" s="1"/>
  <c r="R62" i="2"/>
  <c r="E63" i="2"/>
  <c r="F63" i="2"/>
  <c r="G63" i="2" s="1"/>
  <c r="J63" i="2"/>
  <c r="H63" i="2" s="1"/>
  <c r="I63" i="2" s="1"/>
  <c r="K63" i="2"/>
  <c r="L63" i="2"/>
  <c r="O63" i="2"/>
  <c r="P63" i="2" s="1"/>
  <c r="Q63" i="2"/>
  <c r="E64" i="2"/>
  <c r="K64" i="2" s="1"/>
  <c r="F64" i="2"/>
  <c r="G64" i="2"/>
  <c r="J64" i="2"/>
  <c r="H64" i="2" s="1"/>
  <c r="I64" i="2" s="1"/>
  <c r="L64" i="2"/>
  <c r="R64" i="2" s="1"/>
  <c r="O64" i="2"/>
  <c r="P64" i="2"/>
  <c r="Q64" i="2"/>
  <c r="E65" i="2"/>
  <c r="J65" i="2"/>
  <c r="H65" i="2" s="1"/>
  <c r="I65" i="2" s="1"/>
  <c r="L65" i="2"/>
  <c r="N65" i="2" s="1"/>
  <c r="Q65" i="2"/>
  <c r="F65" i="2" s="1"/>
  <c r="G65" i="2" s="1"/>
  <c r="R65" i="2"/>
  <c r="E66" i="2"/>
  <c r="J66" i="2"/>
  <c r="L66" i="2"/>
  <c r="N66" i="2"/>
  <c r="Q66" i="2"/>
  <c r="F66" i="2" s="1"/>
  <c r="E67" i="2"/>
  <c r="J67" i="2"/>
  <c r="L67" i="2"/>
  <c r="N67" i="2"/>
  <c r="Q67" i="2"/>
  <c r="E68" i="2"/>
  <c r="G68" i="2" s="1"/>
  <c r="J68" i="2"/>
  <c r="H68" i="2" s="1"/>
  <c r="K68" i="2"/>
  <c r="L68" i="2"/>
  <c r="N68" i="2"/>
  <c r="Q68" i="2"/>
  <c r="F68" i="2" s="1"/>
  <c r="E69" i="2"/>
  <c r="F69" i="2"/>
  <c r="H69" i="2" s="1"/>
  <c r="J69" i="2"/>
  <c r="L69" i="2"/>
  <c r="N69" i="2"/>
  <c r="O69" i="2"/>
  <c r="P69" i="2" s="1"/>
  <c r="Q69" i="2"/>
  <c r="R69" i="2" s="1"/>
  <c r="E70" i="2"/>
  <c r="J70" i="2"/>
  <c r="K70" i="2"/>
  <c r="L70" i="2"/>
  <c r="N70" i="2" s="1"/>
  <c r="Q70" i="2"/>
  <c r="O70" i="2" s="1"/>
  <c r="P70" i="2" s="1"/>
  <c r="R70" i="2"/>
  <c r="T10" i="1"/>
  <c r="N70" i="1"/>
  <c r="N69" i="1"/>
  <c r="N68" i="1"/>
  <c r="N66" i="1"/>
  <c r="N65" i="1"/>
  <c r="N64" i="1"/>
  <c r="N63" i="1"/>
  <c r="N61" i="1"/>
  <c r="N60" i="1"/>
  <c r="N59" i="1"/>
  <c r="N57" i="1"/>
  <c r="N56" i="1"/>
  <c r="N55" i="1"/>
  <c r="N48" i="1"/>
  <c r="N47" i="1"/>
  <c r="N46" i="1"/>
  <c r="N45" i="1"/>
  <c r="N44" i="1"/>
  <c r="N42" i="1"/>
  <c r="N41" i="1"/>
  <c r="N38" i="1"/>
  <c r="N37" i="1"/>
  <c r="N35" i="1"/>
  <c r="N34" i="1"/>
  <c r="N33" i="1"/>
  <c r="N32" i="1"/>
  <c r="N30" i="1"/>
  <c r="N27" i="1"/>
  <c r="N26" i="1"/>
  <c r="N25" i="1"/>
  <c r="N24" i="1"/>
  <c r="N22" i="1"/>
  <c r="N18" i="1"/>
  <c r="N16" i="1"/>
  <c r="N15" i="1"/>
  <c r="N11" i="1"/>
  <c r="N10" i="1"/>
  <c r="K22" i="1"/>
  <c r="G9" i="3" l="1"/>
  <c r="G8" i="3"/>
  <c r="D11" i="3"/>
  <c r="D9" i="3"/>
  <c r="G53" i="2"/>
  <c r="H62" i="2"/>
  <c r="I62" i="2" s="1"/>
  <c r="G62" i="2"/>
  <c r="G50" i="2"/>
  <c r="I50" i="2"/>
  <c r="K50" i="2"/>
  <c r="H60" i="2"/>
  <c r="H57" i="2"/>
  <c r="I57" i="2" s="1"/>
  <c r="H38" i="2"/>
  <c r="I38" i="2" s="1"/>
  <c r="G38" i="2"/>
  <c r="H34" i="2"/>
  <c r="G34" i="2"/>
  <c r="H23" i="2"/>
  <c r="I23" i="2" s="1"/>
  <c r="H46" i="2"/>
  <c r="I46" i="2" s="1"/>
  <c r="G46" i="2"/>
  <c r="K65" i="2"/>
  <c r="R67" i="2"/>
  <c r="F67" i="2"/>
  <c r="O67" i="2"/>
  <c r="P67" i="2" s="1"/>
  <c r="H66" i="2"/>
  <c r="N63" i="2"/>
  <c r="R63" i="2"/>
  <c r="R59" i="2"/>
  <c r="F59" i="2"/>
  <c r="O59" i="2"/>
  <c r="P59" i="2" s="1"/>
  <c r="H54" i="2"/>
  <c r="I54" i="2" s="1"/>
  <c r="G54" i="2"/>
  <c r="H20" i="2"/>
  <c r="I20" i="2" s="1"/>
  <c r="R51" i="2"/>
  <c r="F51" i="2"/>
  <c r="O51" i="2"/>
  <c r="P51" i="2" s="1"/>
  <c r="H30" i="2"/>
  <c r="I30" i="2" s="1"/>
  <c r="G30" i="2"/>
  <c r="N47" i="2"/>
  <c r="R47" i="2"/>
  <c r="G69" i="2"/>
  <c r="G66" i="2"/>
  <c r="I66" i="2"/>
  <c r="K66" i="2"/>
  <c r="G61" i="2"/>
  <c r="H58" i="2"/>
  <c r="I58" i="2" s="1"/>
  <c r="P55" i="2"/>
  <c r="H52" i="2"/>
  <c r="H49" i="2"/>
  <c r="I49" i="2" s="1"/>
  <c r="H31" i="2"/>
  <c r="I31" i="2" s="1"/>
  <c r="I16" i="2"/>
  <c r="H10" i="2"/>
  <c r="I10" i="2" s="1"/>
  <c r="G58" i="2"/>
  <c r="K58" i="2"/>
  <c r="N55" i="2"/>
  <c r="R55" i="2"/>
  <c r="G52" i="2"/>
  <c r="H22" i="2"/>
  <c r="I22" i="2" s="1"/>
  <c r="G22" i="2"/>
  <c r="G10" i="2"/>
  <c r="R68" i="2"/>
  <c r="I68" i="2"/>
  <c r="N64" i="2"/>
  <c r="R60" i="2"/>
  <c r="I60" i="2"/>
  <c r="N56" i="2"/>
  <c r="R52" i="2"/>
  <c r="I52" i="2"/>
  <c r="N48" i="2"/>
  <c r="R44" i="2"/>
  <c r="O43" i="2"/>
  <c r="P43" i="2" s="1"/>
  <c r="F43" i="2"/>
  <c r="K42" i="2"/>
  <c r="N40" i="2"/>
  <c r="R36" i="2"/>
  <c r="O35" i="2"/>
  <c r="P35" i="2" s="1"/>
  <c r="F35" i="2"/>
  <c r="K34" i="2"/>
  <c r="R28" i="2"/>
  <c r="O27" i="2"/>
  <c r="P27" i="2" s="1"/>
  <c r="F27" i="2"/>
  <c r="K26" i="2"/>
  <c r="R20" i="2"/>
  <c r="K18" i="2"/>
  <c r="O11" i="2"/>
  <c r="P11" i="2" s="1"/>
  <c r="F11" i="2"/>
  <c r="K10" i="2"/>
  <c r="F70" i="2"/>
  <c r="O62" i="2"/>
  <c r="P62" i="2" s="1"/>
  <c r="K61" i="2"/>
  <c r="K53" i="2"/>
  <c r="O46" i="2"/>
  <c r="P46" i="2" s="1"/>
  <c r="K45" i="2"/>
  <c r="O38" i="2"/>
  <c r="P38" i="2" s="1"/>
  <c r="R31" i="2"/>
  <c r="O30" i="2"/>
  <c r="P30" i="2" s="1"/>
  <c r="K29" i="2"/>
  <c r="R23" i="2"/>
  <c r="O22" i="2"/>
  <c r="P22" i="2" s="1"/>
  <c r="K21" i="2"/>
  <c r="R15" i="2"/>
  <c r="O54" i="2"/>
  <c r="P54" i="2" s="1"/>
  <c r="K37" i="2"/>
  <c r="R66" i="2"/>
  <c r="O65" i="2"/>
  <c r="P65" i="2" s="1"/>
  <c r="R58" i="2"/>
  <c r="O57" i="2"/>
  <c r="P57" i="2" s="1"/>
  <c r="R50" i="2"/>
  <c r="O49" i="2"/>
  <c r="P49" i="2" s="1"/>
  <c r="R42" i="2"/>
  <c r="I42" i="2"/>
  <c r="O41" i="2"/>
  <c r="P41" i="2" s="1"/>
  <c r="K40" i="2"/>
  <c r="R34" i="2"/>
  <c r="I34" i="2"/>
  <c r="O33" i="2"/>
  <c r="P33" i="2" s="1"/>
  <c r="K32" i="2"/>
  <c r="R26" i="2"/>
  <c r="I26" i="2"/>
  <c r="O25" i="2"/>
  <c r="P25" i="2" s="1"/>
  <c r="K24" i="2"/>
  <c r="R18" i="2"/>
  <c r="I18" i="2"/>
  <c r="K16" i="2"/>
  <c r="R10" i="2"/>
  <c r="R39" i="2"/>
  <c r="I69" i="2"/>
  <c r="O68" i="2"/>
  <c r="P68" i="2" s="1"/>
  <c r="K67" i="2"/>
  <c r="I61" i="2"/>
  <c r="O60" i="2"/>
  <c r="P60" i="2" s="1"/>
  <c r="K59" i="2"/>
  <c r="I53" i="2"/>
  <c r="O52" i="2"/>
  <c r="P52" i="2" s="1"/>
  <c r="K51" i="2"/>
  <c r="I45" i="2"/>
  <c r="O44" i="2"/>
  <c r="P44" i="2" s="1"/>
  <c r="K43" i="2"/>
  <c r="P39" i="2"/>
  <c r="I37" i="2"/>
  <c r="O36" i="2"/>
  <c r="P36" i="2" s="1"/>
  <c r="K35" i="2"/>
  <c r="I29" i="2"/>
  <c r="O28" i="2"/>
  <c r="P28" i="2" s="1"/>
  <c r="K27" i="2"/>
  <c r="I21" i="2"/>
  <c r="O20" i="2"/>
  <c r="P20" i="2" s="1"/>
  <c r="K11" i="2"/>
  <c r="K69" i="2"/>
  <c r="O31" i="2"/>
  <c r="P31" i="2" s="1"/>
  <c r="O23" i="2"/>
  <c r="P23" i="2" s="1"/>
  <c r="O15" i="2"/>
  <c r="P15" i="2" s="1"/>
  <c r="O66" i="2"/>
  <c r="P66" i="2" s="1"/>
  <c r="O58" i="2"/>
  <c r="P58" i="2" s="1"/>
  <c r="O50" i="2"/>
  <c r="P50" i="2" s="1"/>
  <c r="O42" i="2"/>
  <c r="P42" i="2" s="1"/>
  <c r="O34" i="2"/>
  <c r="P34" i="2" s="1"/>
  <c r="O26" i="2"/>
  <c r="P26" i="2" s="1"/>
  <c r="O18" i="2"/>
  <c r="P18" i="2" s="1"/>
  <c r="G43" i="2" l="1"/>
  <c r="H43" i="2"/>
  <c r="I43" i="2" s="1"/>
  <c r="G67" i="2"/>
  <c r="H67" i="2"/>
  <c r="I67" i="2" s="1"/>
  <c r="H35" i="2"/>
  <c r="I35" i="2" s="1"/>
  <c r="G35" i="2"/>
  <c r="G59" i="2"/>
  <c r="H59" i="2"/>
  <c r="I59" i="2" s="1"/>
  <c r="H11" i="2"/>
  <c r="I11" i="2" s="1"/>
  <c r="G11" i="2"/>
  <c r="G51" i="2"/>
  <c r="H51" i="2"/>
  <c r="I51" i="2" s="1"/>
  <c r="H70" i="2"/>
  <c r="I70" i="2" s="1"/>
  <c r="G70" i="2"/>
  <c r="H27" i="2"/>
  <c r="I27" i="2" s="1"/>
  <c r="G27" i="2"/>
  <c r="K70" i="1" l="1"/>
  <c r="K69" i="1"/>
  <c r="K68" i="1"/>
  <c r="K66" i="1"/>
  <c r="K65" i="1"/>
  <c r="K64" i="1"/>
  <c r="K63" i="1"/>
  <c r="K61" i="1"/>
  <c r="K60" i="1"/>
  <c r="K59" i="1"/>
  <c r="K57" i="1"/>
  <c r="K56" i="1"/>
  <c r="K55" i="1"/>
  <c r="K53" i="1"/>
  <c r="K52" i="1"/>
  <c r="K51" i="1"/>
  <c r="K48" i="1"/>
  <c r="K47" i="1"/>
  <c r="K46" i="1"/>
  <c r="K45" i="1"/>
  <c r="K44" i="1"/>
  <c r="K42" i="1"/>
  <c r="K41" i="1"/>
  <c r="K38" i="1"/>
  <c r="K37" i="1"/>
  <c r="K35" i="1"/>
  <c r="K34" i="1"/>
  <c r="K33" i="1"/>
  <c r="K32" i="1"/>
  <c r="K30" i="1"/>
  <c r="K27" i="1"/>
  <c r="K26" i="1"/>
  <c r="K25" i="1"/>
  <c r="K24" i="1"/>
  <c r="K18" i="1"/>
  <c r="K16" i="1"/>
  <c r="K15" i="1"/>
  <c r="K11" i="1"/>
  <c r="K10" i="1"/>
  <c r="G70" i="1" l="1"/>
  <c r="G69" i="1"/>
  <c r="G68" i="1"/>
  <c r="G66" i="1"/>
  <c r="G65" i="1"/>
  <c r="G64" i="1"/>
  <c r="G63" i="1"/>
  <c r="G61" i="1"/>
  <c r="G60" i="1"/>
  <c r="G59" i="1"/>
  <c r="G57" i="1"/>
  <c r="G56" i="1"/>
  <c r="G55" i="1"/>
  <c r="G53" i="1"/>
  <c r="G52" i="1"/>
  <c r="G51" i="1"/>
  <c r="G49" i="1"/>
  <c r="G48" i="1"/>
  <c r="G47" i="1"/>
  <c r="G46" i="1"/>
  <c r="G45" i="1"/>
  <c r="G44" i="1"/>
  <c r="G42" i="1"/>
  <c r="G41" i="1"/>
  <c r="G38" i="1"/>
  <c r="G37" i="1"/>
  <c r="G35" i="1"/>
  <c r="G34" i="1"/>
  <c r="G33" i="1"/>
  <c r="G32" i="1"/>
  <c r="G30" i="1"/>
  <c r="G27" i="1"/>
  <c r="G26" i="1"/>
  <c r="G25" i="1"/>
  <c r="G24" i="1"/>
  <c r="G22" i="1"/>
  <c r="G21" i="1"/>
  <c r="G20" i="1"/>
  <c r="G18" i="1"/>
  <c r="G16" i="1"/>
  <c r="G15" i="1"/>
  <c r="G11" i="1"/>
  <c r="G10" i="1"/>
  <c r="J83" i="2" l="1"/>
  <c r="L85" i="2"/>
  <c r="F22" i="9"/>
  <c r="I22" i="9" s="1"/>
  <c r="F21" i="9"/>
  <c r="I21" i="9" s="1"/>
  <c r="F19" i="9"/>
  <c r="I19" i="9" s="1"/>
  <c r="F17" i="9"/>
  <c r="I17" i="9" s="1"/>
  <c r="F16" i="9"/>
  <c r="I16" i="9" s="1"/>
  <c r="F15" i="9"/>
  <c r="I15" i="9" s="1"/>
  <c r="F13" i="9"/>
  <c r="I13" i="9" s="1"/>
  <c r="F12" i="9"/>
  <c r="I12" i="9" s="1"/>
  <c r="F11" i="9"/>
  <c r="I11" i="9" s="1"/>
  <c r="F10" i="9"/>
  <c r="I10" i="9" s="1"/>
  <c r="F8" i="9"/>
  <c r="F22" i="8"/>
  <c r="I22" i="8" s="1"/>
  <c r="F21" i="8"/>
  <c r="I21" i="8" s="1"/>
  <c r="F19" i="8"/>
  <c r="I19" i="8" s="1"/>
  <c r="F17" i="8"/>
  <c r="I17" i="8" s="1"/>
  <c r="F16" i="8"/>
  <c r="I16" i="8" s="1"/>
  <c r="F15" i="8"/>
  <c r="I15" i="8" s="1"/>
  <c r="F13" i="8"/>
  <c r="I13" i="8" s="1"/>
  <c r="F12" i="8"/>
  <c r="I12" i="8" s="1"/>
  <c r="F11" i="8"/>
  <c r="I11" i="8" s="1"/>
  <c r="F10" i="8"/>
  <c r="I10" i="8" s="1"/>
  <c r="F8" i="8"/>
  <c r="F23" i="8" s="1"/>
  <c r="H22" i="7"/>
  <c r="F22" i="7"/>
  <c r="I22" i="7" s="1"/>
  <c r="F21" i="7"/>
  <c r="I21" i="7" s="1"/>
  <c r="F19" i="7"/>
  <c r="I19" i="7" s="1"/>
  <c r="F17" i="7"/>
  <c r="I17" i="7" s="1"/>
  <c r="H16" i="7"/>
  <c r="F16" i="7"/>
  <c r="I16" i="7" s="1"/>
  <c r="F15" i="7"/>
  <c r="I15" i="7" s="1"/>
  <c r="H13" i="7"/>
  <c r="F13" i="7"/>
  <c r="I13" i="7" s="1"/>
  <c r="F12" i="7"/>
  <c r="I12" i="7" s="1"/>
  <c r="H11" i="7"/>
  <c r="F11" i="7"/>
  <c r="I11" i="7" s="1"/>
  <c r="F10" i="7"/>
  <c r="I10" i="7" s="1"/>
  <c r="H8" i="7"/>
  <c r="F8" i="7"/>
  <c r="I8" i="7" s="1"/>
  <c r="I23" i="7" s="1"/>
  <c r="F22" i="6"/>
  <c r="I22" i="6" s="1"/>
  <c r="F21" i="6"/>
  <c r="I21" i="6" s="1"/>
  <c r="F19" i="6"/>
  <c r="I19" i="6" s="1"/>
  <c r="F17" i="6"/>
  <c r="I17" i="6" s="1"/>
  <c r="F16" i="6"/>
  <c r="I16" i="6" s="1"/>
  <c r="F15" i="6"/>
  <c r="I15" i="6" s="1"/>
  <c r="F13" i="6"/>
  <c r="I13" i="6" s="1"/>
  <c r="F12" i="6"/>
  <c r="I12" i="6" s="1"/>
  <c r="F11" i="6"/>
  <c r="I11" i="6" s="1"/>
  <c r="F10" i="6"/>
  <c r="I10" i="6" s="1"/>
  <c r="F8" i="6"/>
  <c r="I8" i="6" s="1"/>
  <c r="G21" i="5"/>
  <c r="I17" i="5"/>
  <c r="I15" i="5"/>
  <c r="H15" i="5"/>
  <c r="G15" i="5"/>
  <c r="F22" i="5"/>
  <c r="G22" i="5" s="1"/>
  <c r="F21" i="5"/>
  <c r="I21" i="5" s="1"/>
  <c r="F19" i="5"/>
  <c r="I19" i="5" s="1"/>
  <c r="F17" i="5"/>
  <c r="H17" i="5" s="1"/>
  <c r="F16" i="5"/>
  <c r="I16" i="5" s="1"/>
  <c r="F15" i="5"/>
  <c r="F13" i="5"/>
  <c r="I13" i="5" s="1"/>
  <c r="F12" i="5"/>
  <c r="H12" i="5" s="1"/>
  <c r="F11" i="5"/>
  <c r="G11" i="5" s="1"/>
  <c r="F10" i="5"/>
  <c r="I10" i="5" s="1"/>
  <c r="F8" i="5"/>
  <c r="H8" i="5" s="1"/>
  <c r="K12" i="4"/>
  <c r="K4" i="4"/>
  <c r="G12" i="4"/>
  <c r="G4" i="4"/>
  <c r="F23" i="9" l="1"/>
  <c r="G8" i="5"/>
  <c r="G16" i="5"/>
  <c r="I8" i="5"/>
  <c r="G19" i="5"/>
  <c r="G10" i="5"/>
  <c r="H19" i="5"/>
  <c r="H21" i="5"/>
  <c r="H10" i="5"/>
  <c r="H11" i="5"/>
  <c r="H23" i="5" s="1"/>
  <c r="I12" i="5"/>
  <c r="G13" i="5"/>
  <c r="F23" i="5"/>
  <c r="H13" i="5"/>
  <c r="G17" i="5"/>
  <c r="H22" i="5"/>
  <c r="I11" i="5"/>
  <c r="I22" i="5"/>
  <c r="G12" i="5"/>
  <c r="H16" i="5"/>
  <c r="F24" i="9"/>
  <c r="F26" i="9" s="1"/>
  <c r="G8" i="9"/>
  <c r="G11" i="9"/>
  <c r="G19" i="9"/>
  <c r="H8" i="9"/>
  <c r="H11" i="9"/>
  <c r="H13" i="9"/>
  <c r="H16" i="9"/>
  <c r="H19" i="9"/>
  <c r="H22" i="9"/>
  <c r="G13" i="9"/>
  <c r="G16" i="9"/>
  <c r="G22" i="9"/>
  <c r="I8" i="9"/>
  <c r="I23" i="9" s="1"/>
  <c r="G10" i="9"/>
  <c r="G12" i="9"/>
  <c r="G15" i="9"/>
  <c r="G17" i="9"/>
  <c r="G21" i="9"/>
  <c r="H10" i="9"/>
  <c r="H12" i="9"/>
  <c r="H15" i="9"/>
  <c r="H17" i="9"/>
  <c r="H21" i="9"/>
  <c r="F24" i="8"/>
  <c r="F26" i="8" s="1"/>
  <c r="G8" i="8"/>
  <c r="G11" i="8"/>
  <c r="G13" i="8"/>
  <c r="G16" i="8"/>
  <c r="G19" i="8"/>
  <c r="G22" i="8"/>
  <c r="H8" i="8"/>
  <c r="H11" i="8"/>
  <c r="H13" i="8"/>
  <c r="H16" i="8"/>
  <c r="H19" i="8"/>
  <c r="H22" i="8"/>
  <c r="I8" i="8"/>
  <c r="I23" i="8" s="1"/>
  <c r="G10" i="8"/>
  <c r="G12" i="8"/>
  <c r="G15" i="8"/>
  <c r="G17" i="8"/>
  <c r="G21" i="8"/>
  <c r="H10" i="8"/>
  <c r="H12" i="8"/>
  <c r="H15" i="8"/>
  <c r="H17" i="8"/>
  <c r="H21" i="8"/>
  <c r="I24" i="7"/>
  <c r="I25" i="7"/>
  <c r="F23" i="7"/>
  <c r="G10" i="7"/>
  <c r="G17" i="7"/>
  <c r="H10" i="7"/>
  <c r="H12" i="7"/>
  <c r="H15" i="7"/>
  <c r="H17" i="7"/>
  <c r="H21" i="7"/>
  <c r="G12" i="7"/>
  <c r="G15" i="7"/>
  <c r="G21" i="7"/>
  <c r="G8" i="7"/>
  <c r="G11" i="7"/>
  <c r="G13" i="7"/>
  <c r="G16" i="7"/>
  <c r="G19" i="7"/>
  <c r="G22" i="7"/>
  <c r="H19" i="7"/>
  <c r="I23" i="6"/>
  <c r="I24" i="6" s="1"/>
  <c r="F23" i="6"/>
  <c r="F24" i="6" s="1"/>
  <c r="G10" i="6"/>
  <c r="G12" i="6"/>
  <c r="G15" i="6"/>
  <c r="G17" i="6"/>
  <c r="G21" i="6"/>
  <c r="H10" i="6"/>
  <c r="H12" i="6"/>
  <c r="H15" i="6"/>
  <c r="H17" i="6"/>
  <c r="H21" i="6"/>
  <c r="G8" i="6"/>
  <c r="G11" i="6"/>
  <c r="G13" i="6"/>
  <c r="G16" i="6"/>
  <c r="G19" i="6"/>
  <c r="G22" i="6"/>
  <c r="H8" i="6"/>
  <c r="H11" i="6"/>
  <c r="H13" i="6"/>
  <c r="H16" i="6"/>
  <c r="H19" i="6"/>
  <c r="H22" i="6"/>
  <c r="F24" i="5"/>
  <c r="F25" i="5"/>
  <c r="F21" i="3"/>
  <c r="F22" i="3" s="1"/>
  <c r="N12" i="3"/>
  <c r="M12" i="3"/>
  <c r="L12" i="3"/>
  <c r="K12" i="3"/>
  <c r="J12" i="3"/>
  <c r="I7" i="3"/>
  <c r="I23" i="5" l="1"/>
  <c r="I25" i="5" s="1"/>
  <c r="F26" i="5"/>
  <c r="F27" i="5" s="1"/>
  <c r="F28" i="5" s="1"/>
  <c r="G23" i="5"/>
  <c r="G24" i="5"/>
  <c r="G25" i="5"/>
  <c r="G26" i="5" s="1"/>
  <c r="G27" i="5" s="1"/>
  <c r="H24" i="5"/>
  <c r="H26" i="5" s="1"/>
  <c r="H27" i="5" s="1"/>
  <c r="H28" i="5" s="1"/>
  <c r="H25" i="5"/>
  <c r="F27" i="9"/>
  <c r="F28" i="9" s="1"/>
  <c r="I24" i="9"/>
  <c r="I26" i="9" s="1"/>
  <c r="H23" i="9"/>
  <c r="G23" i="9"/>
  <c r="G23" i="8"/>
  <c r="G24" i="8" s="1"/>
  <c r="G26" i="8" s="1"/>
  <c r="F27" i="8"/>
  <c r="F28" i="8" s="1"/>
  <c r="I24" i="8"/>
  <c r="I26" i="8" s="1"/>
  <c r="H23" i="8"/>
  <c r="I26" i="7"/>
  <c r="I27" i="7" s="1"/>
  <c r="I28" i="7" s="1"/>
  <c r="H23" i="7"/>
  <c r="H24" i="7" s="1"/>
  <c r="G23" i="7"/>
  <c r="F24" i="7"/>
  <c r="F26" i="7" s="1"/>
  <c r="F25" i="7"/>
  <c r="I26" i="6"/>
  <c r="G23" i="6"/>
  <c r="G24" i="6" s="1"/>
  <c r="H23" i="6"/>
  <c r="H24" i="6" s="1"/>
  <c r="K71" i="1"/>
  <c r="K72" i="1" s="1"/>
  <c r="K74" i="1" s="1"/>
  <c r="K75" i="1" s="1"/>
  <c r="K76" i="1" s="1"/>
  <c r="O11" i="3"/>
  <c r="I12" i="3"/>
  <c r="C17" i="3" s="1"/>
  <c r="G71" i="1"/>
  <c r="I24" i="5" l="1"/>
  <c r="I26" i="5" s="1"/>
  <c r="I27" i="5" s="1"/>
  <c r="I28" i="5" s="1"/>
  <c r="G28" i="5"/>
  <c r="T71" i="1"/>
  <c r="T72" i="1" s="1"/>
  <c r="T74" i="1" s="1"/>
  <c r="T75" i="1" s="1"/>
  <c r="T76" i="1" s="1"/>
  <c r="I27" i="9"/>
  <c r="I28" i="9" s="1"/>
  <c r="H24" i="9"/>
  <c r="H26" i="9" s="1"/>
  <c r="G24" i="9"/>
  <c r="G26" i="9" s="1"/>
  <c r="G27" i="8"/>
  <c r="G28" i="8" s="1"/>
  <c r="I27" i="8"/>
  <c r="I28" i="8" s="1"/>
  <c r="H24" i="8"/>
  <c r="H26" i="8" s="1"/>
  <c r="H25" i="7"/>
  <c r="H26" i="7" s="1"/>
  <c r="H27" i="7" s="1"/>
  <c r="H28" i="7" s="1"/>
  <c r="F28" i="7"/>
  <c r="F27" i="7"/>
  <c r="G24" i="7"/>
  <c r="G25" i="7"/>
  <c r="F26" i="6"/>
  <c r="F27" i="6" s="1"/>
  <c r="F28" i="6" s="1"/>
  <c r="I27" i="6"/>
  <c r="I28" i="6" s="1"/>
  <c r="G26" i="6"/>
  <c r="G72" i="1"/>
  <c r="G73" i="1"/>
  <c r="O8" i="3"/>
  <c r="N71" i="2"/>
  <c r="K71" i="2"/>
  <c r="F7" i="3"/>
  <c r="H7" i="3"/>
  <c r="G27" i="9" l="1"/>
  <c r="G28" i="9" s="1"/>
  <c r="H27" i="9"/>
  <c r="H28" i="9" s="1"/>
  <c r="H27" i="8"/>
  <c r="H28" i="8" s="1"/>
  <c r="G26" i="7"/>
  <c r="H26" i="6"/>
  <c r="H27" i="6" s="1"/>
  <c r="H28" i="6" s="1"/>
  <c r="G27" i="6"/>
  <c r="G28" i="6" s="1"/>
  <c r="G74" i="1"/>
  <c r="G75" i="1" s="1"/>
  <c r="G76" i="1" s="1"/>
  <c r="K77" i="1" s="1"/>
  <c r="E7" i="3"/>
  <c r="D7" i="3" s="1"/>
  <c r="K72" i="2"/>
  <c r="K73" i="2"/>
  <c r="N72" i="2"/>
  <c r="G71" i="2"/>
  <c r="P71" i="2"/>
  <c r="C12" i="3"/>
  <c r="E19" i="3" s="1"/>
  <c r="H19" i="3" s="1"/>
  <c r="I71" i="2"/>
  <c r="O9" i="3"/>
  <c r="H12" i="3"/>
  <c r="R71" i="2"/>
  <c r="G27" i="7" l="1"/>
  <c r="G28" i="7" s="1"/>
  <c r="K74" i="2"/>
  <c r="K75" i="2" s="1"/>
  <c r="K76" i="2" s="1"/>
  <c r="E12" i="3"/>
  <c r="C19" i="3" s="1"/>
  <c r="C21" i="3" s="1"/>
  <c r="C22" i="3" s="1"/>
  <c r="N74" i="2"/>
  <c r="N75" i="2" s="1"/>
  <c r="N76" i="2" s="1"/>
  <c r="R72" i="2"/>
  <c r="R74" i="2" s="1"/>
  <c r="R75" i="2" s="1"/>
  <c r="R76" i="2" s="1"/>
  <c r="P72" i="2"/>
  <c r="I73" i="2"/>
  <c r="I72" i="2"/>
  <c r="G73" i="2"/>
  <c r="G72" i="2"/>
  <c r="F12" i="3"/>
  <c r="E17" i="3" s="1"/>
  <c r="H17" i="3" s="1"/>
  <c r="O12" i="3"/>
  <c r="G7" i="3"/>
  <c r="P74" i="2" l="1"/>
  <c r="P75" i="2" s="1"/>
  <c r="P76" i="2" s="1"/>
  <c r="G74" i="2"/>
  <c r="G75" i="2" s="1"/>
  <c r="G76" i="2" s="1"/>
  <c r="I74" i="2"/>
  <c r="I75" i="2" s="1"/>
  <c r="I76" i="2" s="1"/>
  <c r="E21" i="3"/>
  <c r="E22" i="3" s="1"/>
</calcChain>
</file>

<file path=xl/sharedStrings.xml><?xml version="1.0" encoding="utf-8"?>
<sst xmlns="http://schemas.openxmlformats.org/spreadsheetml/2006/main" count="611" uniqueCount="262">
  <si>
    <t>ANALISIS DE PRESUPUESTOS</t>
  </si>
  <si>
    <t>PC</t>
  </si>
  <si>
    <t>ITEM</t>
  </si>
  <si>
    <t>UND</t>
  </si>
  <si>
    <t>RESUMEN</t>
  </si>
  <si>
    <t>METRADO</t>
  </si>
  <si>
    <t>P.U. (S/.)</t>
  </si>
  <si>
    <t>PARCIAL (S/.)</t>
  </si>
  <si>
    <t>MANO DE OBRA</t>
  </si>
  <si>
    <t>MATERIALES</t>
  </si>
  <si>
    <t>EQUIPOS</t>
  </si>
  <si>
    <t>SERVICIOS</t>
  </si>
  <si>
    <t>SUBCONTRATOS</t>
  </si>
  <si>
    <t>CONTRACTUAL</t>
  </si>
  <si>
    <t>META ACTUALIZADO</t>
  </si>
  <si>
    <t>DESCRIPCION</t>
  </si>
  <si>
    <t>PROYECTO:</t>
  </si>
  <si>
    <t>01.00.00</t>
  </si>
  <si>
    <t>01.01.00</t>
  </si>
  <si>
    <t>01.01.01</t>
  </si>
  <si>
    <t>01.02.00</t>
  </si>
  <si>
    <t>01.02.01</t>
  </si>
  <si>
    <t>01.02.02</t>
  </si>
  <si>
    <t>01.02.03</t>
  </si>
  <si>
    <t>01.02.04</t>
  </si>
  <si>
    <t>01.03.00</t>
  </si>
  <si>
    <t>01.03.01</t>
  </si>
  <si>
    <t>01.03.02</t>
  </si>
  <si>
    <t>01.03.03</t>
  </si>
  <si>
    <t>01.04.00</t>
  </si>
  <si>
    <t>01.04.01</t>
  </si>
  <si>
    <t>01.05.00</t>
  </si>
  <si>
    <t>01.05.01</t>
  </si>
  <si>
    <t>01.05.02</t>
  </si>
  <si>
    <t>VEREDAS</t>
  </si>
  <si>
    <t>TRABAJOS PRELIMINARES</t>
  </si>
  <si>
    <t>TRAZO Y REPLANTEO</t>
  </si>
  <si>
    <t>MOVIMIENTO DE TIERRAS</t>
  </si>
  <si>
    <t>CORTE A NIVEL DE SUBRASANTE MANUAL</t>
  </si>
  <si>
    <t>ELIMINACION DE MATERIAL EXCEDENTE CON VOLQUETE, CARGUIO A MANO</t>
  </si>
  <si>
    <t>NIVELACION Y COMPACTACION DE SUB RASANTE MANUAL</t>
  </si>
  <si>
    <t>CONFORMACION DE BASE GRANULAR (e=0.10m.)</t>
  </si>
  <si>
    <t>OBRAS DE CONCRETO SIMPLE</t>
  </si>
  <si>
    <t>LOSA DE CONCRETO F'C=140 KG/CM2,e=0.09m. VEREDAS</t>
  </si>
  <si>
    <t>ENCOFRADO Y DESENCOFRADO VEREDAS</t>
  </si>
  <si>
    <t>CONCRETO F'C=140 KG/CM2 EN SARDINELES VEREDAS</t>
  </si>
  <si>
    <t>JUNTAS</t>
  </si>
  <si>
    <t>JUNTAS EN VEREDAS</t>
  </si>
  <si>
    <t>VARIOS</t>
  </si>
  <si>
    <t>ADECUACION DE TAPAS DE DESAGUE</t>
  </si>
  <si>
    <t>CURADO DE OBRAS DE CONCRETO</t>
  </si>
  <si>
    <t>M2</t>
  </si>
  <si>
    <t>M3</t>
  </si>
  <si>
    <t>M</t>
  </si>
  <si>
    <t>COSTO DIRECTO</t>
  </si>
  <si>
    <t>IGV (18.00%)</t>
  </si>
  <si>
    <t>ANALISIS DE AVANCE</t>
  </si>
  <si>
    <t>METRADO CONTRATO</t>
  </si>
  <si>
    <t>PREVISTO</t>
  </si>
  <si>
    <t>METRADO EJECUTADO</t>
  </si>
  <si>
    <t>METRADO REAL</t>
  </si>
  <si>
    <t>METRADO POR EJECUT</t>
  </si>
  <si>
    <t>COSTO TOTAL (INC. IGV)</t>
  </si>
  <si>
    <t>COSTO TOTAL VENTA</t>
  </si>
  <si>
    <t>%</t>
  </si>
  <si>
    <t>COSTO EJECUTADO VENTA</t>
  </si>
  <si>
    <t>COSTO TOTAL META</t>
  </si>
  <si>
    <t>COSTO EJECUTADO META</t>
  </si>
  <si>
    <t>COSTO REAL</t>
  </si>
  <si>
    <t>COSTO EJECUTADO REAL</t>
  </si>
  <si>
    <t>CONCRETO</t>
  </si>
  <si>
    <t>TOTALES</t>
  </si>
  <si>
    <t>META TOTAL</t>
  </si>
  <si>
    <t>META ANTERIOR</t>
  </si>
  <si>
    <t>DIFERENCIA</t>
  </si>
  <si>
    <t>TOTAL COSTO VENTA</t>
  </si>
  <si>
    <t>RESULTADO OPERATIVO</t>
  </si>
  <si>
    <t>PARTIDA DE CONTROL</t>
  </si>
  <si>
    <t>CODIGO</t>
  </si>
  <si>
    <t>COSTO PREVISTO</t>
  </si>
  <si>
    <t>TOTAL COSTO REAL</t>
  </si>
  <si>
    <t>PREVISTO ACTUAL</t>
  </si>
  <si>
    <t>PREVISTO PENDIENTE</t>
  </si>
  <si>
    <t>PREVISTO TOTAL</t>
  </si>
  <si>
    <t>VENTA ACTUAL</t>
  </si>
  <si>
    <t>VENTA PENDIENTE</t>
  </si>
  <si>
    <t>VENTA TOTAL</t>
  </si>
  <si>
    <t>BRECHA 
(META - REAL)</t>
  </si>
  <si>
    <t>MARGEN DE UTILIDAD</t>
  </si>
  <si>
    <t>GASTOS GENERALES (10%)</t>
  </si>
  <si>
    <t>UTILIDAD (8%)</t>
  </si>
  <si>
    <t>SUBTOTAL</t>
  </si>
  <si>
    <t>OBRAS DE CONCRETO</t>
  </si>
  <si>
    <t>Ejecutarla mediante cuadrillas de casa</t>
  </si>
  <si>
    <t>Subcontrato a todo costo</t>
  </si>
  <si>
    <t>Ejecutarla mediante cuadrillas de casa con equipos alquilados</t>
  </si>
  <si>
    <t>Casa</t>
  </si>
  <si>
    <t>Cantidad de personal, equipos, materiales, viaticos, alquileres</t>
  </si>
  <si>
    <t>Pedir cotizaciones</t>
  </si>
  <si>
    <t>Planificar personal y buscar empresas que alquilen equipos</t>
  </si>
  <si>
    <t>Planificar personal, materiales y equipos</t>
  </si>
  <si>
    <t>Definir precios</t>
  </si>
  <si>
    <t>META INICIAL -MES ANTERIOR</t>
  </si>
  <si>
    <t>PROVEEDOR</t>
  </si>
  <si>
    <t>CANTIDAD</t>
  </si>
  <si>
    <t>P.U.</t>
  </si>
  <si>
    <t>TIPO DE COSTO</t>
  </si>
  <si>
    <t>ORDENES DE COMPRA</t>
  </si>
  <si>
    <t>ORDENES DE SERVICIO</t>
  </si>
  <si>
    <t>MATERIAL AFIRMADO</t>
  </si>
  <si>
    <t>CANTERA ECONOMICA</t>
  </si>
  <si>
    <t>UNIDAD</t>
  </si>
  <si>
    <t>m3</t>
  </si>
  <si>
    <t>ALQUILER DE VOLQUETES</t>
  </si>
  <si>
    <t>NEGOCIOS DIAZ</t>
  </si>
  <si>
    <t>hm</t>
  </si>
  <si>
    <t>METRADO UTILIZADO</t>
  </si>
  <si>
    <t>SUB TOTAL</t>
  </si>
  <si>
    <t>MES 1</t>
  </si>
  <si>
    <t>MES 2</t>
  </si>
  <si>
    <t>MES 3</t>
  </si>
  <si>
    <t>EN FUNCION DE LOS COSTOS ACTUALIZADOS DEL RESULTADOS OPERATIVOS</t>
  </si>
  <si>
    <t>reales</t>
  </si>
  <si>
    <t>presup</t>
  </si>
  <si>
    <t>ACUM A MARZO 2023</t>
  </si>
  <si>
    <t>ANALISIS DE PRECIOS VENTA</t>
  </si>
  <si>
    <t>I.E. N° 1182 "EL BOSQUE" - CERCO + INGRESOS Y CASETAS</t>
  </si>
  <si>
    <t>01</t>
  </si>
  <si>
    <t>01.02</t>
  </si>
  <si>
    <t>01.02.04.01</t>
  </si>
  <si>
    <t>01.02.04.02</t>
  </si>
  <si>
    <t>02</t>
  </si>
  <si>
    <t>02.01</t>
  </si>
  <si>
    <t>02.01.01</t>
  </si>
  <si>
    <t>02.01.01.01</t>
  </si>
  <si>
    <t>02.01.01.02</t>
  </si>
  <si>
    <t>02.01.03</t>
  </si>
  <si>
    <t>02.01.03.01</t>
  </si>
  <si>
    <t>02.01.04</t>
  </si>
  <si>
    <t>02.01.04.01</t>
  </si>
  <si>
    <t>02.01.04.02</t>
  </si>
  <si>
    <t>02.01.04.03</t>
  </si>
  <si>
    <t>02.01.05</t>
  </si>
  <si>
    <t>02.01.05.01</t>
  </si>
  <si>
    <t>02.01.05.02</t>
  </si>
  <si>
    <t>02.01.05.05</t>
  </si>
  <si>
    <t>02.01.05.06</t>
  </si>
  <si>
    <t>02.02</t>
  </si>
  <si>
    <t>02.02.01</t>
  </si>
  <si>
    <t>02.02.01.01</t>
  </si>
  <si>
    <t>02.02.02</t>
  </si>
  <si>
    <t>02.02.02.02</t>
  </si>
  <si>
    <t>02.02.02.03</t>
  </si>
  <si>
    <t>02.02.02.04</t>
  </si>
  <si>
    <t>02.02.02.05</t>
  </si>
  <si>
    <t>02.02.03</t>
  </si>
  <si>
    <t>02.02.03.01</t>
  </si>
  <si>
    <t>02.02.03.02</t>
  </si>
  <si>
    <t>02.03</t>
  </si>
  <si>
    <t>02.03.02</t>
  </si>
  <si>
    <t>02.03.02.01</t>
  </si>
  <si>
    <t>02.03.02.03</t>
  </si>
  <si>
    <t>02.03.05</t>
  </si>
  <si>
    <t>02.03.05.02</t>
  </si>
  <si>
    <t>02.03.05.04</t>
  </si>
  <si>
    <t>02.03.05.05</t>
  </si>
  <si>
    <t>02.03.05.07</t>
  </si>
  <si>
    <t>02.03.05.09</t>
  </si>
  <si>
    <t>02.03.05.11</t>
  </si>
  <si>
    <t>02.03.06</t>
  </si>
  <si>
    <t>02.03.06.02</t>
  </si>
  <si>
    <t>02.03.06.06</t>
  </si>
  <si>
    <t>02.03.06.10</t>
  </si>
  <si>
    <t>02.03.07</t>
  </si>
  <si>
    <t>02.03.07.02</t>
  </si>
  <si>
    <t>02.03.07.06</t>
  </si>
  <si>
    <t>02.03.07.08</t>
  </si>
  <si>
    <t>02.03.08</t>
  </si>
  <si>
    <t>02.03.08.01</t>
  </si>
  <si>
    <t>02.03.08.03</t>
  </si>
  <si>
    <t>02.03.08.04</t>
  </si>
  <si>
    <t>02.03.09</t>
  </si>
  <si>
    <t>02.03.09.01</t>
  </si>
  <si>
    <t>02.03.09.03</t>
  </si>
  <si>
    <t>02.03.09.04</t>
  </si>
  <si>
    <t>02.03.09.05</t>
  </si>
  <si>
    <t>02.03.15</t>
  </si>
  <si>
    <t>02.03.15.01</t>
  </si>
  <si>
    <t>02.03.15.03</t>
  </si>
  <si>
    <t>02.03.15.04</t>
  </si>
  <si>
    <t>OBRAS PROVISIONALES, TRABAJOS PRELIMINARES, SEGURIDAD Y SALUD</t>
  </si>
  <si>
    <t xml:space="preserve">   Trabajos Preliminares</t>
  </si>
  <si>
    <t xml:space="preserve">      Trazo, Niveles y Replanteo</t>
  </si>
  <si>
    <t xml:space="preserve">         TRAZO Y REPLANTEO PRELIMINAR</t>
  </si>
  <si>
    <t xml:space="preserve">         TRAZO Y REPLANTEO DURANTE EL PROCESO</t>
  </si>
  <si>
    <t>ESTRUCTURAS</t>
  </si>
  <si>
    <t xml:space="preserve">   Movimiento de Tierras</t>
  </si>
  <si>
    <t xml:space="preserve">      Excavaciones</t>
  </si>
  <si>
    <t xml:space="preserve">         EXCAV.ZANJAS Y ZAPATA RT&gt;2kg/cm2 H=1.5m</t>
  </si>
  <si>
    <t xml:space="preserve">         EXCAV.ZANJAS Y ZAPATA RT&gt;2kg/cm2 H=2.0m</t>
  </si>
  <si>
    <t xml:space="preserve">      Rellenos</t>
  </si>
  <si>
    <t xml:space="preserve">         RELLENO COMPACTADO C/EQUIPO MAT/PROPIO</t>
  </si>
  <si>
    <t xml:space="preserve">      Eliminacion de Material Excedente</t>
  </si>
  <si>
    <t xml:space="preserve">         ACARREO INTERNO, MATERIAL PROCEDENTE DE EXCAVACIONES</t>
  </si>
  <si>
    <t xml:space="preserve">         ELIMINACION MATERIAL EXCEDENTE ACARREADO</t>
  </si>
  <si>
    <t xml:space="preserve">         ELIMINACION MATERIAL EXCEDENTE C/MAQUINA</t>
  </si>
  <si>
    <t xml:space="preserve">      Nivelacion Interior y Apisonado</t>
  </si>
  <si>
    <t xml:space="preserve">         ESCARIFICADO Y COMPACTACION CON PLANCHA COMPACTADORA  e = 30 cm</t>
  </si>
  <si>
    <t xml:space="preserve">         ESCARIFICADO Y COMPACTACION CON PLANCHA COMPACTADORA H=0.60m (02 CAPAS 30cm c/u)</t>
  </si>
  <si>
    <t xml:space="preserve">         AFIRMADO DE 8" PARA PISOS,PATIOS Y VEREDAS,COMPACTADO.</t>
  </si>
  <si>
    <t xml:space="preserve">         AFIRMADO DE 12" EN PISOS INTERIOR/EXTERIOR,COMPACTADO.</t>
  </si>
  <si>
    <t xml:space="preserve">   Obras de Concreto Simple</t>
  </si>
  <si>
    <t xml:space="preserve">      Falsos Cimientos</t>
  </si>
  <si>
    <t xml:space="preserve">         SUBCIMIENTO, SUBZAPATA MEZCLA 1:12 + 30 % P.G.</t>
  </si>
  <si>
    <t xml:space="preserve">      Cimientos</t>
  </si>
  <si>
    <t xml:space="preserve">         CIMIENTOS CORRIDOS 1:10 + 30 % P.G. f'c &gt;=100Kg/cm2</t>
  </si>
  <si>
    <t xml:space="preserve">         CIMIENTO CORRIDO - ENCOFRADO Y DESENCOFRADO</t>
  </si>
  <si>
    <t xml:space="preserve">         CALZADURA: CONCRETO C:H 1:10 + 30 % P.G.</t>
  </si>
  <si>
    <t xml:space="preserve">         CALZADURA: ENCOFRADO Y DESENCOFRADO</t>
  </si>
  <si>
    <t xml:space="preserve">      Sobrecimientos</t>
  </si>
  <si>
    <t xml:space="preserve">         SOBRECIMIENTO, CONCRETO 1:8 + 25% P.M.  f'c &gt;=100Kg/cm2</t>
  </si>
  <si>
    <t xml:space="preserve">         SOBRECIMIENTO, ENCOFRADO Y DESENCOFRADO</t>
  </si>
  <si>
    <t xml:space="preserve">   Obras de Concreto Armado</t>
  </si>
  <si>
    <t xml:space="preserve">      Zapatas</t>
  </si>
  <si>
    <t xml:space="preserve">         ZAPATAS.- CONCRETO 210 kg/cm2</t>
  </si>
  <si>
    <t xml:space="preserve">         ZAPATAS.- ACERO Fy=4200 kg/cm2</t>
  </si>
  <si>
    <t xml:space="preserve">      Placas y Muros de Contención</t>
  </si>
  <si>
    <t xml:space="preserve">         PLACAS, CONCRETO F'c=210 kg/cm2 - 1 piso</t>
  </si>
  <si>
    <t xml:space="preserve">         PLACAS, ENCOFRADO Y DESENCOFRADO</t>
  </si>
  <si>
    <t xml:space="preserve">         PLACAS, ACERO Fy=4200 kg/cm2</t>
  </si>
  <si>
    <t xml:space="preserve">         MUROS DE CONTENC.- CONCRETO 210 kg/cm2</t>
  </si>
  <si>
    <t xml:space="preserve">         MUROS DE CONTENC.- ENCOF. Y DESENCOFRADO</t>
  </si>
  <si>
    <t xml:space="preserve">         MUROS DE CONTENC.- ACERO Fy=4200 kg/cm2</t>
  </si>
  <si>
    <t xml:space="preserve">      Columnas</t>
  </si>
  <si>
    <t xml:space="preserve">         COLUMNAS - CONCRETO 210 KG/CM² - 1 PISO</t>
  </si>
  <si>
    <t xml:space="preserve">         COLUMNAS.- ENCOFRADO Y DESENCOFRADO</t>
  </si>
  <si>
    <t xml:space="preserve">         COLUMNAS.- ACERO Fy=4200 kg/cm2</t>
  </si>
  <si>
    <t xml:space="preserve">      Vigas</t>
  </si>
  <si>
    <t xml:space="preserve">         VIGAS.- CONCRETO 210 kg/cm2 - 1 piso</t>
  </si>
  <si>
    <t xml:space="preserve">         VIGAS.- ENCOFRADO Y DESENCOFRADO</t>
  </si>
  <si>
    <t xml:space="preserve">         VIGAS.- ACERO Fy=4200 kg/cm2</t>
  </si>
  <si>
    <t xml:space="preserve">      Losas Macizas</t>
  </si>
  <si>
    <t xml:space="preserve">         LOSAS MACIZAS.- CONC.210 kg/cm2 - 1 PISO</t>
  </si>
  <si>
    <t xml:space="preserve">         LOSAS MACIZAS.- ENCOFRADO Y DESENCOFRADO</t>
  </si>
  <si>
    <t xml:space="preserve">         LOSAS MACIZAS.- ACERO Fy=4,200 kg/cm2</t>
  </si>
  <si>
    <t xml:space="preserve">      Losas Aligeradas</t>
  </si>
  <si>
    <t xml:space="preserve">         LOSA ALIGERADA - CONCRETO 210 kg/cm2 - 1 PISO</t>
  </si>
  <si>
    <t xml:space="preserve">         LOSA ALIGERADA.- ENCOFRADO Y DESENCOFRADO</t>
  </si>
  <si>
    <t xml:space="preserve">         LOSA ALIGERADA.- ACERO Fy=4,200 kg/cm2</t>
  </si>
  <si>
    <t xml:space="preserve">         LOSA ALIGERADA.- LADR. HUECO 15x30x30</t>
  </si>
  <si>
    <t xml:space="preserve">      Gradas Armadas en Pisos</t>
  </si>
  <si>
    <t xml:space="preserve">         GRADAS EN PISO, CONCRETO F'c=175 kg/cm2.</t>
  </si>
  <si>
    <t xml:space="preserve">         GRADAS, ENCOFRADO Y DESENCOFRADO</t>
  </si>
  <si>
    <t xml:space="preserve">         GRADAS EN PISO, ACERO fy=4200kg/cm2</t>
  </si>
  <si>
    <t>m2</t>
  </si>
  <si>
    <t>KG</t>
  </si>
  <si>
    <t>kg</t>
  </si>
  <si>
    <t>und</t>
  </si>
  <si>
    <t>PRESUPUESTO CONTRACTUAL</t>
  </si>
  <si>
    <t>OBRAS PROVISIONALES</t>
  </si>
  <si>
    <t>ENCOFRADO</t>
  </si>
  <si>
    <t>ACERO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</si>
</sst>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_-;\-* #,##0.0000_-;_-* &quot;-&quot;??_-;_-@_-"/>
    <numFmt numFmtId="166" formatCode="#,##0.00_ ;[Red]\-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2" xfId="0" applyBorder="1"/>
    <xf numFmtId="43" fontId="2" fillId="0" borderId="4" xfId="1" applyFont="1" applyBorder="1"/>
    <xf numFmtId="43" fontId="2" fillId="0" borderId="5" xfId="1" applyFont="1" applyBorder="1"/>
    <xf numFmtId="43" fontId="0" fillId="0" borderId="5" xfId="1" applyFont="1" applyBorder="1"/>
    <xf numFmtId="43" fontId="0" fillId="0" borderId="6" xfId="1" applyFont="1" applyBorder="1"/>
    <xf numFmtId="43" fontId="2" fillId="0" borderId="7" xfId="1" applyFont="1" applyBorder="1"/>
    <xf numFmtId="43" fontId="2" fillId="0" borderId="8" xfId="1" applyFont="1" applyBorder="1"/>
    <xf numFmtId="43" fontId="0" fillId="0" borderId="8" xfId="1" applyFont="1" applyBorder="1"/>
    <xf numFmtId="43" fontId="2" fillId="0" borderId="10" xfId="1" applyFont="1" applyBorder="1"/>
    <xf numFmtId="43" fontId="0" fillId="0" borderId="11" xfId="1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3" xfId="0" applyFont="1" applyBorder="1"/>
    <xf numFmtId="0" fontId="2" fillId="0" borderId="14" xfId="0" applyFont="1" applyBorder="1"/>
    <xf numFmtId="43" fontId="0" fillId="0" borderId="14" xfId="1" applyFont="1" applyBorder="1"/>
    <xf numFmtId="43" fontId="2" fillId="0" borderId="14" xfId="1" applyFont="1" applyBorder="1"/>
    <xf numFmtId="43" fontId="0" fillId="0" borderId="15" xfId="1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5" xfId="0" applyBorder="1"/>
    <xf numFmtId="0" fontId="0" fillId="0" borderId="6" xfId="0" applyBorder="1"/>
    <xf numFmtId="0" fontId="2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43" fontId="2" fillId="0" borderId="13" xfId="1" applyFont="1" applyBorder="1"/>
    <xf numFmtId="0" fontId="2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/>
    <xf numFmtId="43" fontId="2" fillId="0" borderId="12" xfId="1" applyFont="1" applyBorder="1"/>
    <xf numFmtId="43" fontId="2" fillId="0" borderId="6" xfId="1" applyFont="1" applyBorder="1"/>
    <xf numFmtId="43" fontId="2" fillId="0" borderId="15" xfId="1" applyFont="1" applyBorder="1"/>
    <xf numFmtId="43" fontId="2" fillId="0" borderId="9" xfId="1" applyFont="1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43" fontId="2" fillId="0" borderId="19" xfId="1" applyFont="1" applyBorder="1"/>
    <xf numFmtId="43" fontId="0" fillId="0" borderId="19" xfId="1" applyFont="1" applyBorder="1"/>
    <xf numFmtId="0" fontId="2" fillId="0" borderId="17" xfId="0" applyFont="1" applyBorder="1" applyAlignment="1">
      <alignment horizontal="center"/>
    </xf>
    <xf numFmtId="43" fontId="2" fillId="0" borderId="17" xfId="1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0" xfId="0" applyFont="1" applyAlignment="1">
      <alignment horizontal="left"/>
    </xf>
    <xf numFmtId="43" fontId="2" fillId="0" borderId="21" xfId="1" applyFont="1" applyBorder="1"/>
    <xf numFmtId="43" fontId="0" fillId="0" borderId="2" xfId="1" applyFont="1" applyBorder="1"/>
    <xf numFmtId="43" fontId="0" fillId="0" borderId="16" xfId="1" applyFont="1" applyBorder="1"/>
    <xf numFmtId="0" fontId="0" fillId="0" borderId="21" xfId="0" applyBorder="1"/>
    <xf numFmtId="0" fontId="0" fillId="0" borderId="11" xfId="0" applyBorder="1"/>
    <xf numFmtId="43" fontId="0" fillId="0" borderId="21" xfId="1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43" fontId="2" fillId="5" borderId="10" xfId="1" applyFont="1" applyFill="1" applyBorder="1"/>
    <xf numFmtId="43" fontId="2" fillId="5" borderId="4" xfId="1" applyFont="1" applyFill="1" applyBorder="1"/>
    <xf numFmtId="43" fontId="2" fillId="5" borderId="11" xfId="1" applyFont="1" applyFill="1" applyBorder="1"/>
    <xf numFmtId="43" fontId="2" fillId="5" borderId="5" xfId="1" applyFont="1" applyFill="1" applyBorder="1"/>
    <xf numFmtId="43" fontId="0" fillId="5" borderId="11" xfId="1" applyFont="1" applyFill="1" applyBorder="1"/>
    <xf numFmtId="43" fontId="0" fillId="5" borderId="5" xfId="1" applyFont="1" applyFill="1" applyBorder="1"/>
    <xf numFmtId="43" fontId="0" fillId="5" borderId="6" xfId="1" applyFont="1" applyFill="1" applyBorder="1"/>
    <xf numFmtId="43" fontId="2" fillId="5" borderId="19" xfId="1" applyFont="1" applyFill="1" applyBorder="1"/>
    <xf numFmtId="43" fontId="0" fillId="5" borderId="19" xfId="1" applyFont="1" applyFill="1" applyBorder="1"/>
    <xf numFmtId="43" fontId="2" fillId="5" borderId="17" xfId="1" applyFont="1" applyFill="1" applyBorder="1"/>
    <xf numFmtId="43" fontId="2" fillId="5" borderId="21" xfId="1" applyFont="1" applyFill="1" applyBorder="1"/>
    <xf numFmtId="43" fontId="0" fillId="5" borderId="16" xfId="1" applyFont="1" applyFill="1" applyBorder="1"/>
    <xf numFmtId="43" fontId="0" fillId="5" borderId="2" xfId="1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3" fontId="2" fillId="2" borderId="1" xfId="0" applyNumberFormat="1" applyFont="1" applyFill="1" applyBorder="1"/>
    <xf numFmtId="0" fontId="2" fillId="2" borderId="20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20" xfId="1" applyFont="1" applyFill="1" applyBorder="1" applyAlignment="1">
      <alignment horizontal="center"/>
    </xf>
    <xf numFmtId="10" fontId="2" fillId="2" borderId="1" xfId="2" applyNumberFormat="1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9" xfId="0" applyFont="1" applyBorder="1"/>
    <xf numFmtId="43" fontId="2" fillId="0" borderId="23" xfId="1" applyFont="1" applyBorder="1"/>
    <xf numFmtId="43" fontId="2" fillId="0" borderId="22" xfId="1" applyFont="1" applyBorder="1"/>
    <xf numFmtId="0" fontId="0" fillId="0" borderId="22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9" xfId="0" applyFont="1" applyBorder="1"/>
    <xf numFmtId="43" fontId="1" fillId="0" borderId="21" xfId="1" applyFont="1" applyBorder="1"/>
    <xf numFmtId="43" fontId="1" fillId="0" borderId="19" xfId="1" applyFont="1" applyBorder="1"/>
    <xf numFmtId="43" fontId="1" fillId="0" borderId="23" xfId="1" applyFont="1" applyBorder="1"/>
    <xf numFmtId="0" fontId="0" fillId="0" borderId="0" xfId="0" applyFont="1"/>
    <xf numFmtId="43" fontId="1" fillId="0" borderId="22" xfId="1" applyFont="1" applyBorder="1"/>
    <xf numFmtId="43" fontId="0" fillId="0" borderId="0" xfId="0" applyNumberFormat="1"/>
    <xf numFmtId="0" fontId="2" fillId="0" borderId="18" xfId="0" applyFont="1" applyBorder="1" applyAlignment="1">
      <alignment horizontal="center"/>
    </xf>
    <xf numFmtId="0" fontId="2" fillId="3" borderId="10" xfId="0" applyFont="1" applyFill="1" applyBorder="1"/>
    <xf numFmtId="0" fontId="2" fillId="3" borderId="11" xfId="0" applyFont="1" applyFill="1" applyBorder="1"/>
    <xf numFmtId="43" fontId="0" fillId="3" borderId="11" xfId="1" applyFont="1" applyFill="1" applyBorder="1"/>
    <xf numFmtId="43" fontId="2" fillId="3" borderId="11" xfId="1" applyFont="1" applyFill="1" applyBorder="1"/>
    <xf numFmtId="43" fontId="0" fillId="3" borderId="12" xfId="1" applyFont="1" applyFill="1" applyBorder="1"/>
    <xf numFmtId="43" fontId="2" fillId="3" borderId="10" xfId="1" applyFont="1" applyFill="1" applyBorder="1"/>
    <xf numFmtId="43" fontId="1" fillId="3" borderId="21" xfId="1" applyFont="1" applyFill="1" applyBorder="1"/>
    <xf numFmtId="43" fontId="2" fillId="3" borderId="21" xfId="1" applyFont="1" applyFill="1" applyBorder="1"/>
    <xf numFmtId="43" fontId="2" fillId="3" borderId="12" xfId="1" applyFont="1" applyFill="1" applyBorder="1"/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0" fillId="0" borderId="0" xfId="0" applyNumberFormat="1"/>
    <xf numFmtId="43" fontId="2" fillId="6" borderId="1" xfId="0" applyNumberFormat="1" applyFont="1" applyFill="1" applyBorder="1"/>
    <xf numFmtId="43" fontId="2" fillId="7" borderId="1" xfId="1" applyFont="1" applyFill="1" applyBorder="1" applyAlignment="1">
      <alignment horizontal="center"/>
    </xf>
    <xf numFmtId="43" fontId="0" fillId="7" borderId="5" xfId="1" applyFont="1" applyFill="1" applyBorder="1"/>
    <xf numFmtId="43" fontId="2" fillId="7" borderId="13" xfId="1" applyFont="1" applyFill="1" applyBorder="1"/>
    <xf numFmtId="43" fontId="0" fillId="6" borderId="0" xfId="0" applyNumberFormat="1" applyFill="1"/>
    <xf numFmtId="43" fontId="1" fillId="6" borderId="23" xfId="1" applyFont="1" applyFill="1" applyBorder="1"/>
    <xf numFmtId="0" fontId="2" fillId="0" borderId="4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4" xfId="0" applyFont="1" applyFill="1" applyBorder="1"/>
    <xf numFmtId="0" fontId="2" fillId="0" borderId="5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5" xfId="0" applyFont="1" applyFill="1" applyBorder="1"/>
    <xf numFmtId="0" fontId="0" fillId="0" borderId="5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6" xfId="0" applyFill="1" applyBorder="1"/>
    <xf numFmtId="0" fontId="2" fillId="0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3" fontId="2" fillId="8" borderId="13" xfId="1" applyFont="1" applyFill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43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0" fontId="0" fillId="0" borderId="0" xfId="2" applyNumberFormat="1" applyFont="1"/>
    <xf numFmtId="2" fontId="0" fillId="0" borderId="0" xfId="0" applyNumberFormat="1"/>
    <xf numFmtId="166" fontId="2" fillId="6" borderId="19" xfId="0" applyNumberFormat="1" applyFont="1" applyFill="1" applyBorder="1"/>
    <xf numFmtId="166" fontId="0" fillId="6" borderId="5" xfId="0" applyNumberFormat="1" applyFill="1" applyBorder="1"/>
    <xf numFmtId="166" fontId="0" fillId="6" borderId="16" xfId="0" applyNumberFormat="1" applyFill="1" applyBorder="1"/>
    <xf numFmtId="166" fontId="2" fillId="2" borderId="1" xfId="0" applyNumberFormat="1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10" xfId="0" applyFont="1" applyFill="1" applyBorder="1"/>
    <xf numFmtId="0" fontId="2" fillId="0" borderId="11" xfId="0" applyFont="1" applyFill="1" applyBorder="1"/>
    <xf numFmtId="0" fontId="0" fillId="0" borderId="8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left"/>
    </xf>
    <xf numFmtId="0" fontId="0" fillId="0" borderId="5" xfId="0" applyFont="1" applyFill="1" applyBorder="1"/>
    <xf numFmtId="43" fontId="1" fillId="0" borderId="5" xfId="1" applyFont="1" applyBorder="1"/>
    <xf numFmtId="43" fontId="1" fillId="5" borderId="11" xfId="1" applyFont="1" applyFill="1" applyBorder="1"/>
    <xf numFmtId="43" fontId="1" fillId="5" borderId="5" xfId="1" applyFont="1" applyFill="1" applyBorder="1"/>
    <xf numFmtId="43" fontId="1" fillId="0" borderId="14" xfId="1" applyFont="1" applyBorder="1"/>
    <xf numFmtId="43" fontId="1" fillId="0" borderId="8" xfId="1" applyFont="1" applyBorder="1"/>
    <xf numFmtId="0" fontId="0" fillId="0" borderId="24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left"/>
    </xf>
    <xf numFmtId="0" fontId="0" fillId="0" borderId="16" xfId="0" applyFont="1" applyFill="1" applyBorder="1"/>
    <xf numFmtId="43" fontId="1" fillId="0" borderId="16" xfId="1" applyFont="1" applyBorder="1"/>
    <xf numFmtId="43" fontId="1" fillId="0" borderId="25" xfId="1" applyFont="1" applyBorder="1"/>
    <xf numFmtId="43" fontId="1" fillId="0" borderId="24" xfId="1" applyFont="1" applyBorder="1"/>
    <xf numFmtId="43" fontId="1" fillId="5" borderId="2" xfId="1" applyFont="1" applyFill="1" applyBorder="1"/>
    <xf numFmtId="43" fontId="1" fillId="5" borderId="16" xfId="1" applyFont="1" applyFill="1" applyBorder="1"/>
    <xf numFmtId="0" fontId="2" fillId="0" borderId="24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left"/>
    </xf>
    <xf numFmtId="0" fontId="2" fillId="0" borderId="16" xfId="0" applyFont="1" applyFill="1" applyBorder="1"/>
    <xf numFmtId="43" fontId="2" fillId="0" borderId="16" xfId="1" applyFont="1" applyBorder="1"/>
    <xf numFmtId="43" fontId="2" fillId="0" borderId="25" xfId="1" applyFont="1" applyBorder="1"/>
    <xf numFmtId="43" fontId="2" fillId="0" borderId="24" xfId="1" applyFont="1" applyBorder="1"/>
    <xf numFmtId="43" fontId="2" fillId="5" borderId="2" xfId="1" applyFont="1" applyFill="1" applyBorder="1"/>
    <xf numFmtId="43" fontId="2" fillId="5" borderId="16" xfId="1" applyFont="1" applyFill="1" applyBorder="1"/>
    <xf numFmtId="0" fontId="0" fillId="0" borderId="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/>
    <xf numFmtId="43" fontId="2" fillId="0" borderId="11" xfId="1" applyFont="1" applyFill="1" applyBorder="1"/>
    <xf numFmtId="43" fontId="1" fillId="0" borderId="11" xfId="1" applyFont="1" applyFill="1" applyBorder="1"/>
    <xf numFmtId="43" fontId="2" fillId="0" borderId="2" xfId="1" applyFont="1" applyFill="1" applyBorder="1"/>
    <xf numFmtId="43" fontId="1" fillId="0" borderId="2" xfId="1" applyFont="1" applyFill="1" applyBorder="1"/>
    <xf numFmtId="43" fontId="2" fillId="0" borderId="10" xfId="1" applyFont="1" applyFill="1" applyBorder="1"/>
    <xf numFmtId="43" fontId="1" fillId="0" borderId="21" xfId="1" applyFont="1" applyFill="1" applyBorder="1"/>
    <xf numFmtId="43" fontId="2" fillId="0" borderId="21" xfId="1" applyFont="1" applyFill="1" applyBorder="1"/>
    <xf numFmtId="43" fontId="0" fillId="0" borderId="11" xfId="1" applyFont="1" applyFill="1" applyBorder="1"/>
    <xf numFmtId="43" fontId="2" fillId="0" borderId="12" xfId="1" applyFont="1" applyFill="1" applyBorder="1"/>
    <xf numFmtId="43" fontId="2" fillId="0" borderId="5" xfId="1" applyFont="1" applyFill="1" applyBorder="1"/>
    <xf numFmtId="43" fontId="1" fillId="0" borderId="5" xfId="1" applyFont="1" applyFill="1" applyBorder="1"/>
    <xf numFmtId="43" fontId="2" fillId="0" borderId="16" xfId="1" applyFont="1" applyFill="1" applyBorder="1"/>
    <xf numFmtId="43" fontId="1" fillId="0" borderId="16" xfId="1" applyFont="1" applyFill="1" applyBorder="1"/>
    <xf numFmtId="43" fontId="2" fillId="0" borderId="4" xfId="1" applyFont="1" applyFill="1" applyBorder="1"/>
    <xf numFmtId="43" fontId="1" fillId="0" borderId="19" xfId="1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3" fontId="2" fillId="0" borderId="7" xfId="1" applyFont="1" applyFill="1" applyBorder="1"/>
    <xf numFmtId="43" fontId="2" fillId="0" borderId="8" xfId="1" applyFont="1" applyFill="1" applyBorder="1"/>
    <xf numFmtId="43" fontId="1" fillId="0" borderId="8" xfId="1" applyFont="1" applyFill="1" applyBorder="1"/>
    <xf numFmtId="43" fontId="2" fillId="0" borderId="24" xfId="1" applyFont="1" applyFill="1" applyBorder="1"/>
    <xf numFmtId="43" fontId="1" fillId="0" borderId="24" xfId="1" applyFont="1" applyFill="1" applyBorder="1"/>
    <xf numFmtId="43" fontId="1" fillId="0" borderId="22" xfId="1" applyFont="1" applyFill="1" applyBorder="1"/>
    <xf numFmtId="43" fontId="2" fillId="0" borderId="22" xfId="1" applyFont="1" applyFill="1" applyBorder="1"/>
    <xf numFmtId="43" fontId="0" fillId="0" borderId="8" xfId="1" applyFont="1" applyFill="1" applyBorder="1"/>
    <xf numFmtId="43" fontId="2" fillId="0" borderId="9" xfId="1" applyFont="1" applyFill="1" applyBorder="1"/>
    <xf numFmtId="0" fontId="0" fillId="0" borderId="3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43" fontId="0" fillId="0" borderId="19" xfId="1" applyFont="1" applyFill="1" applyBorder="1"/>
    <xf numFmtId="43" fontId="2" fillId="0" borderId="19" xfId="1" applyFont="1" applyFill="1" applyBorder="1"/>
    <xf numFmtId="43" fontId="0" fillId="0" borderId="5" xfId="1" applyFont="1" applyFill="1" applyBorder="1"/>
    <xf numFmtId="10" fontId="0" fillId="0" borderId="11" xfId="2" applyNumberFormat="1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99FF99"/>
      <color rgb="FFFFFFB7"/>
      <color rgb="FFC7E8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"/>
  <sheetViews>
    <sheetView tabSelected="1" topLeftCell="A4" zoomScale="85" zoomScaleNormal="85" workbookViewId="0">
      <selection activeCell="H58" sqref="H58"/>
    </sheetView>
  </sheetViews>
  <sheetFormatPr baseColWidth="10" defaultRowHeight="15" x14ac:dyDescent="0.25"/>
  <cols>
    <col min="1" max="1" width="11.42578125" style="1"/>
    <col min="3" max="3" width="52.7109375" customWidth="1"/>
    <col min="5" max="5" width="11.5703125" style="190" customWidth="1"/>
    <col min="6" max="6" width="12" customWidth="1"/>
    <col min="7" max="7" width="14.5703125" customWidth="1"/>
    <col min="8" max="8" width="5.42578125" customWidth="1"/>
    <col min="9" max="9" width="11.140625" customWidth="1"/>
    <col min="10" max="10" width="11.28515625" customWidth="1"/>
    <col min="11" max="11" width="14" customWidth="1"/>
    <col min="12" max="12" width="5.85546875" customWidth="1"/>
    <col min="14" max="14" width="11.5703125" customWidth="1"/>
    <col min="15" max="15" width="15.5703125" customWidth="1"/>
    <col min="16" max="16" width="13.5703125" customWidth="1"/>
    <col min="17" max="17" width="13.42578125" customWidth="1"/>
    <col min="18" max="18" width="13.5703125" customWidth="1"/>
    <col min="19" max="19" width="17.140625" customWidth="1"/>
    <col min="20" max="20" width="14.5703125" customWidth="1"/>
  </cols>
  <sheetData>
    <row r="1" spans="1:20" s="2" customFormat="1" x14ac:dyDescent="0.25">
      <c r="A1" s="53" t="s">
        <v>0</v>
      </c>
      <c r="E1" s="189"/>
    </row>
    <row r="2" spans="1:20" x14ac:dyDescent="0.25">
      <c r="M2" s="99"/>
    </row>
    <row r="3" spans="1:20" s="2" customFormat="1" x14ac:dyDescent="0.25">
      <c r="A3" s="5" t="s">
        <v>16</v>
      </c>
      <c r="B3" s="2" t="s">
        <v>126</v>
      </c>
      <c r="E3" s="189"/>
    </row>
    <row r="5" spans="1:20" ht="15" customHeight="1" x14ac:dyDescent="0.25">
      <c r="A5" s="207" t="s">
        <v>1</v>
      </c>
      <c r="B5" s="207" t="s">
        <v>2</v>
      </c>
      <c r="C5" s="207" t="s">
        <v>15</v>
      </c>
      <c r="D5" s="207" t="s">
        <v>3</v>
      </c>
      <c r="E5" s="207" t="s">
        <v>13</v>
      </c>
      <c r="F5" s="207"/>
      <c r="G5" s="207"/>
      <c r="H5" s="3"/>
      <c r="I5" s="208" t="s">
        <v>102</v>
      </c>
      <c r="J5" s="208"/>
      <c r="K5" s="208"/>
      <c r="L5" s="3"/>
      <c r="M5" s="206" t="s">
        <v>14</v>
      </c>
      <c r="N5" s="206"/>
      <c r="O5" s="206"/>
      <c r="P5" s="206"/>
      <c r="Q5" s="206"/>
      <c r="R5" s="206"/>
      <c r="S5" s="206"/>
      <c r="T5" s="206"/>
    </row>
    <row r="6" spans="1:20" x14ac:dyDescent="0.25">
      <c r="A6" s="209"/>
      <c r="B6" s="209"/>
      <c r="C6" s="209"/>
      <c r="D6" s="209"/>
      <c r="E6" s="155" t="s">
        <v>5</v>
      </c>
      <c r="F6" s="60" t="s">
        <v>6</v>
      </c>
      <c r="G6" s="60" t="s">
        <v>7</v>
      </c>
      <c r="H6" s="3"/>
      <c r="I6" s="61" t="s">
        <v>5</v>
      </c>
      <c r="J6" s="61" t="s">
        <v>6</v>
      </c>
      <c r="K6" s="61" t="s">
        <v>7</v>
      </c>
      <c r="L6" s="3"/>
      <c r="M6" s="62" t="s">
        <v>5</v>
      </c>
      <c r="N6" s="62" t="s">
        <v>6</v>
      </c>
      <c r="O6" s="62" t="s">
        <v>8</v>
      </c>
      <c r="P6" s="62" t="s">
        <v>9</v>
      </c>
      <c r="Q6" s="62" t="s">
        <v>10</v>
      </c>
      <c r="R6" s="62" t="s">
        <v>11</v>
      </c>
      <c r="S6" s="62" t="s">
        <v>12</v>
      </c>
      <c r="T6" s="62" t="s">
        <v>7</v>
      </c>
    </row>
    <row r="7" spans="1:20" s="2" customFormat="1" x14ac:dyDescent="0.25">
      <c r="A7" s="50"/>
      <c r="B7" s="158" t="s">
        <v>127</v>
      </c>
      <c r="C7" s="121" t="s">
        <v>190</v>
      </c>
      <c r="D7" s="119"/>
      <c r="E7" s="160"/>
      <c r="F7" s="23"/>
      <c r="G7" s="18"/>
      <c r="I7" s="16"/>
      <c r="J7" s="121"/>
      <c r="K7" s="18"/>
      <c r="M7" s="213"/>
      <c r="N7" s="7"/>
      <c r="O7" s="63"/>
      <c r="P7" s="64"/>
      <c r="Q7" s="64"/>
      <c r="R7" s="64"/>
      <c r="S7" s="64"/>
      <c r="T7" s="7"/>
    </row>
    <row r="8" spans="1:20" s="2" customFormat="1" x14ac:dyDescent="0.25">
      <c r="A8" s="131"/>
      <c r="B8" s="159" t="s">
        <v>128</v>
      </c>
      <c r="C8" s="124" t="s">
        <v>191</v>
      </c>
      <c r="D8" s="122"/>
      <c r="E8" s="161"/>
      <c r="F8" s="24"/>
      <c r="G8" s="19"/>
      <c r="I8" s="17"/>
      <c r="J8" s="124"/>
      <c r="K8" s="19"/>
      <c r="M8" s="214"/>
      <c r="N8" s="8"/>
      <c r="O8" s="65"/>
      <c r="P8" s="66"/>
      <c r="Q8" s="66"/>
      <c r="R8" s="66"/>
      <c r="S8" s="66"/>
      <c r="T8" s="200"/>
    </row>
    <row r="9" spans="1:20" s="2" customFormat="1" x14ac:dyDescent="0.25">
      <c r="A9" s="131"/>
      <c r="B9" s="159" t="s">
        <v>24</v>
      </c>
      <c r="C9" s="124" t="s">
        <v>192</v>
      </c>
      <c r="D9" s="122"/>
      <c r="E9" s="191"/>
      <c r="F9" s="8"/>
      <c r="G9" s="21"/>
      <c r="I9" s="12"/>
      <c r="J9" s="200"/>
      <c r="K9" s="21"/>
      <c r="M9" s="214"/>
      <c r="N9" s="8"/>
      <c r="O9" s="65"/>
      <c r="P9" s="66"/>
      <c r="Q9" s="66"/>
      <c r="R9" s="66"/>
      <c r="S9" s="66"/>
      <c r="T9" s="200"/>
    </row>
    <row r="10" spans="1:20" s="97" customFormat="1" x14ac:dyDescent="0.25">
      <c r="A10" s="162">
        <v>100</v>
      </c>
      <c r="B10" s="163" t="s">
        <v>129</v>
      </c>
      <c r="C10" s="164" t="s">
        <v>193</v>
      </c>
      <c r="D10" s="186" t="s">
        <v>51</v>
      </c>
      <c r="E10" s="192">
        <v>897.34</v>
      </c>
      <c r="F10" s="165">
        <v>2.04</v>
      </c>
      <c r="G10" s="168">
        <f t="shared" ref="G10:G11" si="0">ROUND(E10*F10,2)</f>
        <v>1830.57</v>
      </c>
      <c r="I10" s="169">
        <v>942.21</v>
      </c>
      <c r="J10" s="201">
        <v>1.33</v>
      </c>
      <c r="K10" s="168">
        <f t="shared" ref="K10:K11" si="1">ROUND(I10*J10,2)</f>
        <v>1253.1400000000001</v>
      </c>
      <c r="M10" s="215">
        <v>935</v>
      </c>
      <c r="N10" s="165">
        <f>SUM(O10:S10)</f>
        <v>1.47</v>
      </c>
      <c r="O10" s="166">
        <v>0.52</v>
      </c>
      <c r="P10" s="167">
        <v>0.7</v>
      </c>
      <c r="Q10" s="167">
        <v>0.25</v>
      </c>
      <c r="R10" s="167"/>
      <c r="S10" s="167"/>
      <c r="T10" s="201">
        <f>ROUND(M10*N10,2)</f>
        <v>1374.45</v>
      </c>
    </row>
    <row r="11" spans="1:20" s="97" customFormat="1" x14ac:dyDescent="0.25">
      <c r="A11" s="162">
        <v>100</v>
      </c>
      <c r="B11" s="163" t="s">
        <v>130</v>
      </c>
      <c r="C11" s="164" t="s">
        <v>194</v>
      </c>
      <c r="D11" s="186" t="s">
        <v>254</v>
      </c>
      <c r="E11" s="192">
        <v>897.34</v>
      </c>
      <c r="F11" s="165">
        <v>2.04</v>
      </c>
      <c r="G11" s="168">
        <f t="shared" si="0"/>
        <v>1830.57</v>
      </c>
      <c r="I11" s="169">
        <v>942.21</v>
      </c>
      <c r="J11" s="201">
        <v>1.33</v>
      </c>
      <c r="K11" s="168">
        <f t="shared" si="1"/>
        <v>1253.1400000000001</v>
      </c>
      <c r="M11" s="215"/>
      <c r="N11" s="165">
        <f>SUM(O11:S11)</f>
        <v>0</v>
      </c>
      <c r="O11" s="166"/>
      <c r="P11" s="167"/>
      <c r="Q11" s="167"/>
      <c r="R11" s="167"/>
      <c r="S11" s="167"/>
      <c r="T11" s="201"/>
    </row>
    <row r="12" spans="1:20" s="2" customFormat="1" x14ac:dyDescent="0.25">
      <c r="A12" s="131"/>
      <c r="B12" s="159" t="s">
        <v>131</v>
      </c>
      <c r="C12" s="124" t="s">
        <v>195</v>
      </c>
      <c r="D12" s="122"/>
      <c r="E12" s="191"/>
      <c r="F12" s="8"/>
      <c r="G12" s="21"/>
      <c r="I12" s="12"/>
      <c r="J12" s="200"/>
      <c r="K12" s="21"/>
      <c r="M12" s="214"/>
      <c r="N12" s="8"/>
      <c r="O12" s="65"/>
      <c r="P12" s="66"/>
      <c r="Q12" s="66"/>
      <c r="R12" s="66"/>
      <c r="S12" s="66"/>
      <c r="T12" s="8"/>
    </row>
    <row r="13" spans="1:20" s="2" customFormat="1" x14ac:dyDescent="0.25">
      <c r="A13" s="131"/>
      <c r="B13" s="159" t="s">
        <v>132</v>
      </c>
      <c r="C13" s="124" t="s">
        <v>196</v>
      </c>
      <c r="D13" s="122"/>
      <c r="E13" s="191"/>
      <c r="F13" s="8"/>
      <c r="G13" s="21"/>
      <c r="I13" s="12"/>
      <c r="J13" s="200"/>
      <c r="K13" s="21"/>
      <c r="M13" s="214"/>
      <c r="N13" s="8"/>
      <c r="O13" s="65"/>
      <c r="P13" s="66"/>
      <c r="Q13" s="66"/>
      <c r="R13" s="66"/>
      <c r="S13" s="66"/>
      <c r="T13" s="8"/>
    </row>
    <row r="14" spans="1:20" s="2" customFormat="1" x14ac:dyDescent="0.25">
      <c r="A14" s="131"/>
      <c r="B14" s="159" t="s">
        <v>133</v>
      </c>
      <c r="C14" s="124" t="s">
        <v>197</v>
      </c>
      <c r="D14" s="122"/>
      <c r="E14" s="191"/>
      <c r="F14" s="8"/>
      <c r="G14" s="21"/>
      <c r="I14" s="12"/>
      <c r="J14" s="200"/>
      <c r="K14" s="21"/>
      <c r="M14" s="214"/>
      <c r="N14" s="8"/>
      <c r="O14" s="65"/>
      <c r="P14" s="66"/>
      <c r="Q14" s="66"/>
      <c r="R14" s="66"/>
      <c r="S14" s="66"/>
      <c r="T14" s="8"/>
    </row>
    <row r="15" spans="1:20" s="97" customFormat="1" x14ac:dyDescent="0.25">
      <c r="A15" s="162">
        <v>200</v>
      </c>
      <c r="B15" s="163" t="s">
        <v>134</v>
      </c>
      <c r="C15" s="164" t="s">
        <v>198</v>
      </c>
      <c r="D15" s="186" t="s">
        <v>112</v>
      </c>
      <c r="E15" s="192">
        <v>41.9</v>
      </c>
      <c r="F15" s="165">
        <v>46.74</v>
      </c>
      <c r="G15" s="168">
        <f t="shared" ref="G15:G16" si="2">ROUND(E15*F15,2)</f>
        <v>1958.41</v>
      </c>
      <c r="I15" s="169">
        <v>39.81</v>
      </c>
      <c r="J15" s="201">
        <v>29.22</v>
      </c>
      <c r="K15" s="168">
        <f t="shared" ref="K15:K16" si="3">ROUND(I15*J15,2)</f>
        <v>1163.25</v>
      </c>
      <c r="M15" s="215"/>
      <c r="N15" s="165">
        <f t="shared" ref="N15:N16" si="4">SUM(O15:S15)</f>
        <v>0</v>
      </c>
      <c r="O15" s="166"/>
      <c r="P15" s="167"/>
      <c r="Q15" s="167"/>
      <c r="R15" s="167"/>
      <c r="S15" s="167"/>
      <c r="T15" s="165"/>
    </row>
    <row r="16" spans="1:20" s="97" customFormat="1" x14ac:dyDescent="0.25">
      <c r="A16" s="162">
        <v>200</v>
      </c>
      <c r="B16" s="163" t="s">
        <v>135</v>
      </c>
      <c r="C16" s="164" t="s">
        <v>199</v>
      </c>
      <c r="D16" s="186" t="s">
        <v>112</v>
      </c>
      <c r="E16" s="192">
        <v>1975.16</v>
      </c>
      <c r="F16" s="165">
        <v>50.99</v>
      </c>
      <c r="G16" s="168">
        <f t="shared" si="2"/>
        <v>100713.41</v>
      </c>
      <c r="I16" s="169">
        <v>1876.4</v>
      </c>
      <c r="J16" s="201">
        <v>33.36</v>
      </c>
      <c r="K16" s="168">
        <f t="shared" si="3"/>
        <v>62596.7</v>
      </c>
      <c r="M16" s="215"/>
      <c r="N16" s="165">
        <f t="shared" si="4"/>
        <v>0</v>
      </c>
      <c r="O16" s="166"/>
      <c r="P16" s="167"/>
      <c r="Q16" s="167"/>
      <c r="R16" s="167"/>
      <c r="S16" s="167"/>
      <c r="T16" s="165"/>
    </row>
    <row r="17" spans="1:20" s="2" customFormat="1" x14ac:dyDescent="0.25">
      <c r="A17" s="131"/>
      <c r="B17" s="159" t="s">
        <v>136</v>
      </c>
      <c r="C17" s="124" t="s">
        <v>200</v>
      </c>
      <c r="D17" s="122"/>
      <c r="E17" s="191"/>
      <c r="F17" s="8"/>
      <c r="G17" s="21"/>
      <c r="I17" s="12"/>
      <c r="J17" s="200"/>
      <c r="K17" s="21"/>
      <c r="M17" s="214"/>
      <c r="N17" s="8"/>
      <c r="O17" s="65"/>
      <c r="P17" s="66"/>
      <c r="Q17" s="66"/>
      <c r="R17" s="66"/>
      <c r="S17" s="66"/>
      <c r="T17" s="8"/>
    </row>
    <row r="18" spans="1:20" s="97" customFormat="1" x14ac:dyDescent="0.25">
      <c r="A18" s="162">
        <v>200</v>
      </c>
      <c r="B18" s="163" t="s">
        <v>137</v>
      </c>
      <c r="C18" s="164" t="s">
        <v>201</v>
      </c>
      <c r="D18" s="186" t="s">
        <v>112</v>
      </c>
      <c r="E18" s="192">
        <v>1197.9100000000001</v>
      </c>
      <c r="F18" s="165">
        <v>26.01</v>
      </c>
      <c r="G18" s="168">
        <f t="shared" ref="G18" si="5">ROUND(E18*F18,2)</f>
        <v>31157.64</v>
      </c>
      <c r="I18" s="169">
        <v>1138.01</v>
      </c>
      <c r="J18" s="201">
        <v>15</v>
      </c>
      <c r="K18" s="168">
        <f t="shared" ref="K18" si="6">ROUND(I18*J18,2)</f>
        <v>17070.150000000001</v>
      </c>
      <c r="M18" s="215"/>
      <c r="N18" s="165">
        <f>SUM(O18:S18)</f>
        <v>0</v>
      </c>
      <c r="O18" s="166"/>
      <c r="P18" s="167"/>
      <c r="Q18" s="167"/>
      <c r="R18" s="167"/>
      <c r="S18" s="167"/>
      <c r="T18" s="165"/>
    </row>
    <row r="19" spans="1:20" s="2" customFormat="1" x14ac:dyDescent="0.25">
      <c r="A19" s="131"/>
      <c r="B19" s="159" t="s">
        <v>138</v>
      </c>
      <c r="C19" s="124" t="s">
        <v>202</v>
      </c>
      <c r="D19" s="122"/>
      <c r="E19" s="191"/>
      <c r="F19" s="8"/>
      <c r="G19" s="21"/>
      <c r="I19" s="12"/>
      <c r="J19" s="200"/>
      <c r="K19" s="21"/>
      <c r="M19" s="214"/>
      <c r="N19" s="8"/>
      <c r="O19" s="65"/>
      <c r="P19" s="66"/>
      <c r="Q19" s="66"/>
      <c r="R19" s="66"/>
      <c r="S19" s="66"/>
      <c r="T19" s="8"/>
    </row>
    <row r="20" spans="1:20" s="97" customFormat="1" x14ac:dyDescent="0.25">
      <c r="A20" s="162">
        <v>200</v>
      </c>
      <c r="B20" s="163" t="s">
        <v>139</v>
      </c>
      <c r="C20" s="164" t="s">
        <v>203</v>
      </c>
      <c r="D20" s="186" t="s">
        <v>112</v>
      </c>
      <c r="E20" s="192">
        <v>68.91</v>
      </c>
      <c r="F20" s="165">
        <v>17.53</v>
      </c>
      <c r="G20" s="168">
        <f t="shared" ref="G20:G22" si="7">ROUND(E20*F20,2)</f>
        <v>1207.99</v>
      </c>
      <c r="I20" s="169"/>
      <c r="J20" s="201"/>
      <c r="K20" s="168"/>
      <c r="M20" s="215"/>
      <c r="N20" s="165"/>
      <c r="O20" s="166"/>
      <c r="P20" s="167"/>
      <c r="Q20" s="167"/>
      <c r="R20" s="167"/>
      <c r="S20" s="167"/>
      <c r="T20" s="165"/>
    </row>
    <row r="21" spans="1:20" s="97" customFormat="1" x14ac:dyDescent="0.25">
      <c r="A21" s="162">
        <v>200</v>
      </c>
      <c r="B21" s="163" t="s">
        <v>140</v>
      </c>
      <c r="C21" s="164" t="s">
        <v>204</v>
      </c>
      <c r="D21" s="186" t="s">
        <v>52</v>
      </c>
      <c r="E21" s="192">
        <v>68.91</v>
      </c>
      <c r="F21" s="165">
        <v>16.02</v>
      </c>
      <c r="G21" s="168">
        <f t="shared" si="7"/>
        <v>1103.94</v>
      </c>
      <c r="I21" s="169"/>
      <c r="J21" s="201"/>
      <c r="K21" s="168"/>
      <c r="M21" s="215"/>
      <c r="N21" s="165"/>
      <c r="O21" s="166"/>
      <c r="P21" s="167"/>
      <c r="Q21" s="167"/>
      <c r="R21" s="167"/>
      <c r="S21" s="167"/>
      <c r="T21" s="165"/>
    </row>
    <row r="22" spans="1:20" s="97" customFormat="1" x14ac:dyDescent="0.25">
      <c r="A22" s="162">
        <v>200</v>
      </c>
      <c r="B22" s="163" t="s">
        <v>141</v>
      </c>
      <c r="C22" s="164" t="s">
        <v>205</v>
      </c>
      <c r="D22" s="186" t="s">
        <v>112</v>
      </c>
      <c r="E22" s="192">
        <v>995.9</v>
      </c>
      <c r="F22" s="165">
        <v>21.84</v>
      </c>
      <c r="G22" s="168">
        <f t="shared" si="7"/>
        <v>21750.46</v>
      </c>
      <c r="I22" s="169">
        <v>1118.06</v>
      </c>
      <c r="J22" s="201">
        <v>18.27</v>
      </c>
      <c r="K22" s="168">
        <f t="shared" ref="K22" si="8">ROUND(I22*J22,2)</f>
        <v>20426.96</v>
      </c>
      <c r="M22" s="215"/>
      <c r="N22" s="165">
        <f>SUM(O22:S22)</f>
        <v>0</v>
      </c>
      <c r="O22" s="166"/>
      <c r="P22" s="167"/>
      <c r="Q22" s="167"/>
      <c r="R22" s="167"/>
      <c r="S22" s="167"/>
      <c r="T22" s="165"/>
    </row>
    <row r="23" spans="1:20" s="2" customFormat="1" x14ac:dyDescent="0.25">
      <c r="A23" s="178"/>
      <c r="B23" s="179" t="s">
        <v>142</v>
      </c>
      <c r="C23" s="180" t="s">
        <v>206</v>
      </c>
      <c r="D23" s="187"/>
      <c r="E23" s="193"/>
      <c r="F23" s="181"/>
      <c r="G23" s="182"/>
      <c r="I23" s="183"/>
      <c r="J23" s="202"/>
      <c r="K23" s="182"/>
      <c r="M23" s="216"/>
      <c r="N23" s="181"/>
      <c r="O23" s="184"/>
      <c r="P23" s="185"/>
      <c r="Q23" s="185"/>
      <c r="R23" s="185"/>
      <c r="S23" s="185"/>
      <c r="T23" s="181"/>
    </row>
    <row r="24" spans="1:20" s="97" customFormat="1" x14ac:dyDescent="0.25">
      <c r="A24" s="170">
        <v>200</v>
      </c>
      <c r="B24" s="171" t="s">
        <v>143</v>
      </c>
      <c r="C24" s="172" t="s">
        <v>207</v>
      </c>
      <c r="D24" s="188" t="s">
        <v>254</v>
      </c>
      <c r="E24" s="194">
        <v>68.95</v>
      </c>
      <c r="F24" s="173">
        <v>4.72</v>
      </c>
      <c r="G24" s="168">
        <f t="shared" ref="G24:G27" si="9">ROUND(E24*F24,2)</f>
        <v>325.44</v>
      </c>
      <c r="I24" s="175">
        <v>70.33</v>
      </c>
      <c r="J24" s="203">
        <v>4.3600000000000003</v>
      </c>
      <c r="K24" s="168">
        <f t="shared" ref="K24:K27" si="10">ROUND(I24*J24,2)</f>
        <v>306.64</v>
      </c>
      <c r="M24" s="217"/>
      <c r="N24" s="165">
        <f t="shared" ref="N24:N27" si="11">SUM(O24:S24)</f>
        <v>0</v>
      </c>
      <c r="O24" s="176"/>
      <c r="P24" s="177"/>
      <c r="Q24" s="177"/>
      <c r="R24" s="177"/>
      <c r="S24" s="177"/>
      <c r="T24" s="173"/>
    </row>
    <row r="25" spans="1:20" s="97" customFormat="1" x14ac:dyDescent="0.25">
      <c r="A25" s="170">
        <v>200</v>
      </c>
      <c r="B25" s="171" t="s">
        <v>144</v>
      </c>
      <c r="C25" s="172" t="s">
        <v>208</v>
      </c>
      <c r="D25" s="188" t="s">
        <v>254</v>
      </c>
      <c r="E25" s="194">
        <v>8.56</v>
      </c>
      <c r="F25" s="173">
        <v>7.8500000000000005</v>
      </c>
      <c r="G25" s="168">
        <f t="shared" si="9"/>
        <v>67.2</v>
      </c>
      <c r="I25" s="175">
        <v>8.73</v>
      </c>
      <c r="J25" s="203">
        <v>7.37</v>
      </c>
      <c r="K25" s="168">
        <f t="shared" si="10"/>
        <v>64.34</v>
      </c>
      <c r="M25" s="217"/>
      <c r="N25" s="165">
        <f t="shared" si="11"/>
        <v>0</v>
      </c>
      <c r="O25" s="176"/>
      <c r="P25" s="177"/>
      <c r="Q25" s="177"/>
      <c r="R25" s="177"/>
      <c r="S25" s="177"/>
      <c r="T25" s="173"/>
    </row>
    <row r="26" spans="1:20" s="97" customFormat="1" x14ac:dyDescent="0.25">
      <c r="A26" s="170">
        <v>200</v>
      </c>
      <c r="B26" s="171" t="s">
        <v>145</v>
      </c>
      <c r="C26" s="172" t="s">
        <v>209</v>
      </c>
      <c r="D26" s="188" t="s">
        <v>254</v>
      </c>
      <c r="E26" s="194">
        <v>68.95</v>
      </c>
      <c r="F26" s="173">
        <v>15.19</v>
      </c>
      <c r="G26" s="168">
        <f t="shared" si="9"/>
        <v>1047.3499999999999</v>
      </c>
      <c r="I26" s="175">
        <v>70.33</v>
      </c>
      <c r="J26" s="203">
        <v>11.5</v>
      </c>
      <c r="K26" s="168">
        <f t="shared" si="10"/>
        <v>808.8</v>
      </c>
      <c r="M26" s="217"/>
      <c r="N26" s="165">
        <f t="shared" si="11"/>
        <v>0</v>
      </c>
      <c r="O26" s="176"/>
      <c r="P26" s="177"/>
      <c r="Q26" s="177"/>
      <c r="R26" s="177"/>
      <c r="S26" s="177"/>
      <c r="T26" s="173"/>
    </row>
    <row r="27" spans="1:20" s="97" customFormat="1" x14ac:dyDescent="0.25">
      <c r="A27" s="170">
        <v>200</v>
      </c>
      <c r="B27" s="171" t="s">
        <v>146</v>
      </c>
      <c r="C27" s="172" t="s">
        <v>210</v>
      </c>
      <c r="D27" s="188" t="s">
        <v>254</v>
      </c>
      <c r="E27" s="194">
        <v>8.56</v>
      </c>
      <c r="F27" s="173">
        <v>21.79</v>
      </c>
      <c r="G27" s="168">
        <f t="shared" si="9"/>
        <v>186.52</v>
      </c>
      <c r="I27" s="175">
        <v>8.73</v>
      </c>
      <c r="J27" s="203">
        <v>14.5</v>
      </c>
      <c r="K27" s="168">
        <f t="shared" si="10"/>
        <v>126.59</v>
      </c>
      <c r="M27" s="217"/>
      <c r="N27" s="165">
        <f t="shared" si="11"/>
        <v>0</v>
      </c>
      <c r="O27" s="176"/>
      <c r="P27" s="177"/>
      <c r="Q27" s="177"/>
      <c r="R27" s="177"/>
      <c r="S27" s="177"/>
      <c r="T27" s="173"/>
    </row>
    <row r="28" spans="1:20" s="2" customFormat="1" x14ac:dyDescent="0.25">
      <c r="A28" s="178"/>
      <c r="B28" s="179" t="s">
        <v>147</v>
      </c>
      <c r="C28" s="180" t="s">
        <v>211</v>
      </c>
      <c r="D28" s="187"/>
      <c r="E28" s="193"/>
      <c r="F28" s="181"/>
      <c r="G28" s="182"/>
      <c r="I28" s="183"/>
      <c r="J28" s="202"/>
      <c r="K28" s="182"/>
      <c r="M28" s="216"/>
      <c r="N28" s="181"/>
      <c r="O28" s="184"/>
      <c r="P28" s="185"/>
      <c r="Q28" s="185"/>
      <c r="R28" s="185"/>
      <c r="S28" s="185"/>
      <c r="T28" s="181"/>
    </row>
    <row r="29" spans="1:20" s="2" customFormat="1" x14ac:dyDescent="0.25">
      <c r="A29" s="178"/>
      <c r="B29" s="179" t="s">
        <v>148</v>
      </c>
      <c r="C29" s="180" t="s">
        <v>212</v>
      </c>
      <c r="D29" s="187"/>
      <c r="E29" s="193"/>
      <c r="F29" s="181"/>
      <c r="G29" s="182"/>
      <c r="I29" s="183"/>
      <c r="J29" s="202"/>
      <c r="K29" s="182"/>
      <c r="M29" s="216"/>
      <c r="N29" s="181"/>
      <c r="O29" s="184"/>
      <c r="P29" s="185"/>
      <c r="Q29" s="185"/>
      <c r="R29" s="185"/>
      <c r="S29" s="185"/>
      <c r="T29" s="181"/>
    </row>
    <row r="30" spans="1:20" s="97" customFormat="1" x14ac:dyDescent="0.25">
      <c r="A30" s="170">
        <v>300</v>
      </c>
      <c r="B30" s="171" t="s">
        <v>149</v>
      </c>
      <c r="C30" s="172" t="s">
        <v>213</v>
      </c>
      <c r="D30" s="188" t="s">
        <v>112</v>
      </c>
      <c r="E30" s="194">
        <v>323.69</v>
      </c>
      <c r="F30" s="173">
        <v>173.72</v>
      </c>
      <c r="G30" s="168">
        <f t="shared" ref="G30" si="12">ROUND(E30*F30,2)</f>
        <v>56231.43</v>
      </c>
      <c r="I30" s="175">
        <v>330.16</v>
      </c>
      <c r="J30" s="203">
        <v>184.1</v>
      </c>
      <c r="K30" s="168">
        <f t="shared" ref="K30" si="13">ROUND(I30*J30,2)</f>
        <v>60782.46</v>
      </c>
      <c r="M30" s="217"/>
      <c r="N30" s="165">
        <f>SUM(O30:S30)</f>
        <v>0</v>
      </c>
      <c r="O30" s="176"/>
      <c r="P30" s="177"/>
      <c r="Q30" s="177"/>
      <c r="R30" s="177"/>
      <c r="S30" s="177"/>
      <c r="T30" s="173"/>
    </row>
    <row r="31" spans="1:20" s="2" customFormat="1" x14ac:dyDescent="0.25">
      <c r="A31" s="178"/>
      <c r="B31" s="179" t="s">
        <v>150</v>
      </c>
      <c r="C31" s="180" t="s">
        <v>214</v>
      </c>
      <c r="D31" s="187"/>
      <c r="E31" s="193"/>
      <c r="F31" s="181"/>
      <c r="G31" s="182"/>
      <c r="I31" s="183"/>
      <c r="J31" s="202"/>
      <c r="K31" s="182"/>
      <c r="M31" s="216"/>
      <c r="N31" s="181"/>
      <c r="O31" s="184"/>
      <c r="P31" s="185"/>
      <c r="Q31" s="185"/>
      <c r="R31" s="185"/>
      <c r="S31" s="185"/>
      <c r="T31" s="181"/>
    </row>
    <row r="32" spans="1:20" s="97" customFormat="1" x14ac:dyDescent="0.25">
      <c r="A32" s="170">
        <v>300</v>
      </c>
      <c r="B32" s="171" t="s">
        <v>151</v>
      </c>
      <c r="C32" s="172" t="s">
        <v>215</v>
      </c>
      <c r="D32" s="188" t="s">
        <v>112</v>
      </c>
      <c r="E32" s="194">
        <v>24.73</v>
      </c>
      <c r="F32" s="173">
        <v>179.78</v>
      </c>
      <c r="G32" s="168">
        <f t="shared" ref="G32:G35" si="14">ROUND(E32*F32,2)</f>
        <v>4445.96</v>
      </c>
      <c r="I32" s="175">
        <v>24.24</v>
      </c>
      <c r="J32" s="203">
        <v>182.46</v>
      </c>
      <c r="K32" s="168">
        <f t="shared" ref="K32:K35" si="15">ROUND(I32*J32,2)</f>
        <v>4422.83</v>
      </c>
      <c r="M32" s="217"/>
      <c r="N32" s="165">
        <f t="shared" ref="N32:N35" si="16">SUM(O32:S32)</f>
        <v>0</v>
      </c>
      <c r="O32" s="176"/>
      <c r="P32" s="177"/>
      <c r="Q32" s="177"/>
      <c r="R32" s="177"/>
      <c r="S32" s="177"/>
      <c r="T32" s="173"/>
    </row>
    <row r="33" spans="1:20" s="97" customFormat="1" x14ac:dyDescent="0.25">
      <c r="A33" s="170">
        <v>400</v>
      </c>
      <c r="B33" s="171" t="s">
        <v>152</v>
      </c>
      <c r="C33" s="172" t="s">
        <v>216</v>
      </c>
      <c r="D33" s="188" t="s">
        <v>254</v>
      </c>
      <c r="E33" s="194">
        <v>23.09</v>
      </c>
      <c r="F33" s="173">
        <v>46.17</v>
      </c>
      <c r="G33" s="168">
        <f t="shared" si="14"/>
        <v>1066.07</v>
      </c>
      <c r="I33" s="175">
        <v>22.63</v>
      </c>
      <c r="J33" s="203">
        <v>23.830000000000002</v>
      </c>
      <c r="K33" s="168">
        <f t="shared" si="15"/>
        <v>539.27</v>
      </c>
      <c r="M33" s="217"/>
      <c r="N33" s="165">
        <f t="shared" si="16"/>
        <v>0</v>
      </c>
      <c r="O33" s="176"/>
      <c r="P33" s="177"/>
      <c r="Q33" s="177"/>
      <c r="R33" s="177"/>
      <c r="S33" s="177"/>
      <c r="T33" s="173"/>
    </row>
    <row r="34" spans="1:20" s="97" customFormat="1" x14ac:dyDescent="0.25">
      <c r="A34" s="170">
        <v>300</v>
      </c>
      <c r="B34" s="171" t="s">
        <v>153</v>
      </c>
      <c r="C34" s="172" t="s">
        <v>217</v>
      </c>
      <c r="D34" s="188" t="s">
        <v>112</v>
      </c>
      <c r="E34" s="194">
        <v>163.82</v>
      </c>
      <c r="F34" s="173">
        <v>179.78</v>
      </c>
      <c r="G34" s="168">
        <f t="shared" si="14"/>
        <v>29451.56</v>
      </c>
      <c r="I34" s="175">
        <v>160.54</v>
      </c>
      <c r="J34" s="203">
        <v>207.85</v>
      </c>
      <c r="K34" s="168">
        <f t="shared" si="15"/>
        <v>33368.239999999998</v>
      </c>
      <c r="M34" s="217"/>
      <c r="N34" s="165">
        <f t="shared" si="16"/>
        <v>0</v>
      </c>
      <c r="O34" s="176"/>
      <c r="P34" s="177"/>
      <c r="Q34" s="177"/>
      <c r="R34" s="177"/>
      <c r="S34" s="177"/>
      <c r="T34" s="173"/>
    </row>
    <row r="35" spans="1:20" s="97" customFormat="1" x14ac:dyDescent="0.25">
      <c r="A35" s="170">
        <v>400</v>
      </c>
      <c r="B35" s="171" t="s">
        <v>154</v>
      </c>
      <c r="C35" s="172" t="s">
        <v>218</v>
      </c>
      <c r="D35" s="188" t="s">
        <v>254</v>
      </c>
      <c r="E35" s="194">
        <v>327.63</v>
      </c>
      <c r="F35" s="173">
        <v>37.47</v>
      </c>
      <c r="G35" s="168">
        <f t="shared" si="14"/>
        <v>12276.3</v>
      </c>
      <c r="I35" s="175">
        <v>321.08</v>
      </c>
      <c r="J35" s="203">
        <v>26.53</v>
      </c>
      <c r="K35" s="168">
        <f t="shared" si="15"/>
        <v>8518.25</v>
      </c>
      <c r="M35" s="217"/>
      <c r="N35" s="165">
        <f t="shared" si="16"/>
        <v>0</v>
      </c>
      <c r="O35" s="176"/>
      <c r="P35" s="177"/>
      <c r="Q35" s="177"/>
      <c r="R35" s="177"/>
      <c r="S35" s="177"/>
      <c r="T35" s="173"/>
    </row>
    <row r="36" spans="1:20" s="2" customFormat="1" x14ac:dyDescent="0.25">
      <c r="A36" s="178"/>
      <c r="B36" s="179" t="s">
        <v>155</v>
      </c>
      <c r="C36" s="180" t="s">
        <v>219</v>
      </c>
      <c r="D36" s="187"/>
      <c r="E36" s="193"/>
      <c r="F36" s="181"/>
      <c r="G36" s="182"/>
      <c r="I36" s="183"/>
      <c r="J36" s="202"/>
      <c r="K36" s="182"/>
      <c r="M36" s="216"/>
      <c r="N36" s="181"/>
      <c r="O36" s="184"/>
      <c r="P36" s="185"/>
      <c r="Q36" s="185"/>
      <c r="R36" s="185"/>
      <c r="S36" s="185"/>
      <c r="T36" s="181"/>
    </row>
    <row r="37" spans="1:20" s="97" customFormat="1" x14ac:dyDescent="0.25">
      <c r="A37" s="170">
        <v>300</v>
      </c>
      <c r="B37" s="171" t="s">
        <v>156</v>
      </c>
      <c r="C37" s="172" t="s">
        <v>220</v>
      </c>
      <c r="D37" s="186" t="s">
        <v>112</v>
      </c>
      <c r="E37" s="194">
        <v>3.21</v>
      </c>
      <c r="F37" s="173">
        <v>260.59000000000003</v>
      </c>
      <c r="G37" s="168">
        <f t="shared" ref="G37:G38" si="17">ROUND(E37*F37,2)</f>
        <v>836.49</v>
      </c>
      <c r="I37" s="175">
        <v>3.15</v>
      </c>
      <c r="J37" s="203">
        <v>201.22</v>
      </c>
      <c r="K37" s="168">
        <f t="shared" ref="K37:K38" si="18">ROUND(I37*J37,2)</f>
        <v>633.84</v>
      </c>
      <c r="M37" s="217"/>
      <c r="N37" s="165">
        <f t="shared" ref="N37:N38" si="19">SUM(O37:S37)</f>
        <v>0</v>
      </c>
      <c r="O37" s="176"/>
      <c r="P37" s="177"/>
      <c r="Q37" s="177"/>
      <c r="R37" s="177"/>
      <c r="S37" s="177"/>
      <c r="T37" s="173"/>
    </row>
    <row r="38" spans="1:20" s="97" customFormat="1" x14ac:dyDescent="0.25">
      <c r="A38" s="170">
        <v>400</v>
      </c>
      <c r="B38" s="171" t="s">
        <v>157</v>
      </c>
      <c r="C38" s="172" t="s">
        <v>221</v>
      </c>
      <c r="D38" s="188" t="s">
        <v>254</v>
      </c>
      <c r="E38" s="194">
        <v>43.95</v>
      </c>
      <c r="F38" s="173">
        <v>37.700000000000003</v>
      </c>
      <c r="G38" s="168">
        <f t="shared" si="17"/>
        <v>1656.92</v>
      </c>
      <c r="I38" s="175">
        <v>43.07</v>
      </c>
      <c r="J38" s="203">
        <v>24.18</v>
      </c>
      <c r="K38" s="168">
        <f t="shared" si="18"/>
        <v>1041.43</v>
      </c>
      <c r="M38" s="217"/>
      <c r="N38" s="165">
        <f t="shared" si="19"/>
        <v>0</v>
      </c>
      <c r="O38" s="176"/>
      <c r="P38" s="177"/>
      <c r="Q38" s="177"/>
      <c r="R38" s="177"/>
      <c r="S38" s="177"/>
      <c r="T38" s="173"/>
    </row>
    <row r="39" spans="1:20" s="2" customFormat="1" x14ac:dyDescent="0.25">
      <c r="A39" s="178"/>
      <c r="B39" s="179" t="s">
        <v>158</v>
      </c>
      <c r="C39" s="180" t="s">
        <v>222</v>
      </c>
      <c r="D39" s="187"/>
      <c r="E39" s="193"/>
      <c r="F39" s="181"/>
      <c r="G39" s="182"/>
      <c r="I39" s="183"/>
      <c r="J39" s="202"/>
      <c r="K39" s="182"/>
      <c r="M39" s="216"/>
      <c r="N39" s="181"/>
      <c r="O39" s="184"/>
      <c r="P39" s="185"/>
      <c r="Q39" s="185"/>
      <c r="R39" s="185"/>
      <c r="S39" s="185"/>
      <c r="T39" s="181"/>
    </row>
    <row r="40" spans="1:20" s="2" customFormat="1" x14ac:dyDescent="0.25">
      <c r="A40" s="178"/>
      <c r="B40" s="179" t="s">
        <v>159</v>
      </c>
      <c r="C40" s="180" t="s">
        <v>223</v>
      </c>
      <c r="D40" s="187"/>
      <c r="E40" s="193"/>
      <c r="F40" s="181"/>
      <c r="G40" s="182"/>
      <c r="I40" s="183"/>
      <c r="J40" s="202"/>
      <c r="K40" s="182"/>
      <c r="M40" s="216"/>
      <c r="N40" s="181"/>
      <c r="O40" s="184"/>
      <c r="P40" s="185"/>
      <c r="Q40" s="185"/>
      <c r="R40" s="185"/>
      <c r="S40" s="185"/>
      <c r="T40" s="181"/>
    </row>
    <row r="41" spans="1:20" s="97" customFormat="1" x14ac:dyDescent="0.25">
      <c r="A41" s="170">
        <v>300</v>
      </c>
      <c r="B41" s="171" t="s">
        <v>160</v>
      </c>
      <c r="C41" s="172" t="s">
        <v>224</v>
      </c>
      <c r="D41" s="188" t="s">
        <v>112</v>
      </c>
      <c r="E41" s="194">
        <v>396.75</v>
      </c>
      <c r="F41" s="173">
        <v>292.79000000000002</v>
      </c>
      <c r="G41" s="168">
        <f t="shared" ref="G41:G42" si="20">ROUND(E41*F41,2)</f>
        <v>116164.43</v>
      </c>
      <c r="I41" s="175">
        <v>412.62</v>
      </c>
      <c r="J41" s="203">
        <v>286.60000000000002</v>
      </c>
      <c r="K41" s="168">
        <f t="shared" ref="K41:K42" si="21">ROUND(I41*J41,2)</f>
        <v>118256.89</v>
      </c>
      <c r="M41" s="217"/>
      <c r="N41" s="165">
        <f t="shared" ref="N41:N42" si="22">SUM(O41:S41)</f>
        <v>0</v>
      </c>
      <c r="O41" s="176"/>
      <c r="P41" s="177"/>
      <c r="Q41" s="177"/>
      <c r="R41" s="177"/>
      <c r="S41" s="177"/>
      <c r="T41" s="173"/>
    </row>
    <row r="42" spans="1:20" s="97" customFormat="1" x14ac:dyDescent="0.25">
      <c r="A42" s="170">
        <v>500</v>
      </c>
      <c r="B42" s="171" t="s">
        <v>161</v>
      </c>
      <c r="C42" s="172" t="s">
        <v>225</v>
      </c>
      <c r="D42" s="188" t="s">
        <v>255</v>
      </c>
      <c r="E42" s="194">
        <v>17534.91</v>
      </c>
      <c r="F42" s="173">
        <v>4.0200000000000005</v>
      </c>
      <c r="G42" s="168">
        <f t="shared" si="20"/>
        <v>70490.34</v>
      </c>
      <c r="I42" s="175">
        <v>17359.560000000001</v>
      </c>
      <c r="J42" s="203">
        <v>3.4</v>
      </c>
      <c r="K42" s="168">
        <f t="shared" si="21"/>
        <v>59022.5</v>
      </c>
      <c r="M42" s="217"/>
      <c r="N42" s="165">
        <f t="shared" si="22"/>
        <v>0</v>
      </c>
      <c r="O42" s="176"/>
      <c r="P42" s="177"/>
      <c r="Q42" s="177"/>
      <c r="R42" s="177"/>
      <c r="S42" s="177"/>
      <c r="T42" s="173"/>
    </row>
    <row r="43" spans="1:20" s="2" customFormat="1" x14ac:dyDescent="0.25">
      <c r="A43" s="178"/>
      <c r="B43" s="179" t="s">
        <v>162</v>
      </c>
      <c r="C43" s="180" t="s">
        <v>226</v>
      </c>
      <c r="D43" s="187"/>
      <c r="E43" s="193"/>
      <c r="F43" s="181"/>
      <c r="G43" s="182"/>
      <c r="I43" s="183"/>
      <c r="J43" s="202"/>
      <c r="K43" s="182"/>
      <c r="M43" s="216"/>
      <c r="N43" s="181"/>
      <c r="O43" s="184"/>
      <c r="P43" s="185"/>
      <c r="Q43" s="185"/>
      <c r="R43" s="185"/>
      <c r="S43" s="185"/>
      <c r="T43" s="181"/>
    </row>
    <row r="44" spans="1:20" s="97" customFormat="1" x14ac:dyDescent="0.25">
      <c r="A44" s="170">
        <v>300</v>
      </c>
      <c r="B44" s="171" t="s">
        <v>163</v>
      </c>
      <c r="C44" s="172" t="s">
        <v>227</v>
      </c>
      <c r="D44" s="188" t="s">
        <v>112</v>
      </c>
      <c r="E44" s="194">
        <v>6.69</v>
      </c>
      <c r="F44" s="173">
        <v>454.82</v>
      </c>
      <c r="G44" s="168">
        <f t="shared" ref="G44:G49" si="23">ROUND(E44*F44,2)</f>
        <v>3042.75</v>
      </c>
      <c r="I44" s="175">
        <v>6.62</v>
      </c>
      <c r="J44" s="203">
        <v>290.45</v>
      </c>
      <c r="K44" s="168">
        <f t="shared" ref="K44:K48" si="24">ROUND(I44*J44,2)</f>
        <v>1922.78</v>
      </c>
      <c r="M44" s="217"/>
      <c r="N44" s="165">
        <f t="shared" ref="N44:N48" si="25">SUM(O44:S44)</f>
        <v>0</v>
      </c>
      <c r="O44" s="176"/>
      <c r="P44" s="177"/>
      <c r="Q44" s="177"/>
      <c r="R44" s="177"/>
      <c r="S44" s="177"/>
      <c r="T44" s="173"/>
    </row>
    <row r="45" spans="1:20" s="97" customFormat="1" x14ac:dyDescent="0.25">
      <c r="A45" s="170">
        <v>400</v>
      </c>
      <c r="B45" s="171" t="s">
        <v>164</v>
      </c>
      <c r="C45" s="172" t="s">
        <v>228</v>
      </c>
      <c r="D45" s="188" t="s">
        <v>254</v>
      </c>
      <c r="E45" s="194">
        <v>74.180000000000007</v>
      </c>
      <c r="F45" s="173">
        <v>59.78</v>
      </c>
      <c r="G45" s="168">
        <f t="shared" si="23"/>
        <v>4434.4799999999996</v>
      </c>
      <c r="I45" s="175">
        <v>73.44</v>
      </c>
      <c r="J45" s="203">
        <v>33.69</v>
      </c>
      <c r="K45" s="168">
        <f t="shared" si="24"/>
        <v>2474.19</v>
      </c>
      <c r="M45" s="217"/>
      <c r="N45" s="165">
        <f t="shared" si="25"/>
        <v>0</v>
      </c>
      <c r="O45" s="176"/>
      <c r="P45" s="177"/>
      <c r="Q45" s="177"/>
      <c r="R45" s="177"/>
      <c r="S45" s="177"/>
      <c r="T45" s="173"/>
    </row>
    <row r="46" spans="1:20" s="97" customFormat="1" x14ac:dyDescent="0.25">
      <c r="A46" s="170">
        <v>500</v>
      </c>
      <c r="B46" s="171" t="s">
        <v>165</v>
      </c>
      <c r="C46" s="172" t="s">
        <v>229</v>
      </c>
      <c r="D46" s="188" t="s">
        <v>255</v>
      </c>
      <c r="E46" s="194">
        <v>419.35</v>
      </c>
      <c r="F46" s="173">
        <v>4.0200000000000005</v>
      </c>
      <c r="G46" s="168">
        <f t="shared" si="23"/>
        <v>1685.79</v>
      </c>
      <c r="I46" s="175">
        <v>415.16</v>
      </c>
      <c r="J46" s="203">
        <v>3.4</v>
      </c>
      <c r="K46" s="168">
        <f t="shared" si="24"/>
        <v>1411.54</v>
      </c>
      <c r="M46" s="217"/>
      <c r="N46" s="165">
        <f t="shared" si="25"/>
        <v>0</v>
      </c>
      <c r="O46" s="176"/>
      <c r="P46" s="177"/>
      <c r="Q46" s="177"/>
      <c r="R46" s="177"/>
      <c r="S46" s="177"/>
      <c r="T46" s="173"/>
    </row>
    <row r="47" spans="1:20" s="97" customFormat="1" x14ac:dyDescent="0.25">
      <c r="A47" s="170">
        <v>300</v>
      </c>
      <c r="B47" s="171" t="s">
        <v>166</v>
      </c>
      <c r="C47" s="172" t="s">
        <v>230</v>
      </c>
      <c r="D47" s="188" t="s">
        <v>112</v>
      </c>
      <c r="E47" s="194">
        <v>256.52</v>
      </c>
      <c r="F47" s="173">
        <v>417.41</v>
      </c>
      <c r="G47" s="168">
        <f t="shared" si="23"/>
        <v>107074.01</v>
      </c>
      <c r="I47" s="175">
        <v>253.95</v>
      </c>
      <c r="J47" s="203">
        <v>328.19</v>
      </c>
      <c r="K47" s="168">
        <f t="shared" si="24"/>
        <v>83343.850000000006</v>
      </c>
      <c r="M47" s="217"/>
      <c r="N47" s="165">
        <f t="shared" si="25"/>
        <v>0</v>
      </c>
      <c r="O47" s="176"/>
      <c r="P47" s="177"/>
      <c r="Q47" s="177"/>
      <c r="R47" s="177"/>
      <c r="S47" s="177"/>
      <c r="T47" s="173"/>
    </row>
    <row r="48" spans="1:20" s="97" customFormat="1" x14ac:dyDescent="0.25">
      <c r="A48" s="170">
        <v>400</v>
      </c>
      <c r="B48" s="171" t="s">
        <v>167</v>
      </c>
      <c r="C48" s="172" t="s">
        <v>231</v>
      </c>
      <c r="D48" s="188" t="s">
        <v>254</v>
      </c>
      <c r="E48" s="194">
        <v>2096.19</v>
      </c>
      <c r="F48" s="173">
        <v>51.21</v>
      </c>
      <c r="G48" s="168">
        <f t="shared" si="23"/>
        <v>107345.89</v>
      </c>
      <c r="I48" s="175">
        <v>2075.23</v>
      </c>
      <c r="J48" s="203">
        <v>30.970000000000002</v>
      </c>
      <c r="K48" s="168">
        <f t="shared" si="24"/>
        <v>64269.87</v>
      </c>
      <c r="M48" s="217"/>
      <c r="N48" s="165">
        <f t="shared" si="25"/>
        <v>0</v>
      </c>
      <c r="O48" s="176"/>
      <c r="P48" s="177"/>
      <c r="Q48" s="177"/>
      <c r="R48" s="177"/>
      <c r="S48" s="177"/>
      <c r="T48" s="173"/>
    </row>
    <row r="49" spans="1:20" s="97" customFormat="1" x14ac:dyDescent="0.25">
      <c r="A49" s="170">
        <v>500</v>
      </c>
      <c r="B49" s="171" t="s">
        <v>168</v>
      </c>
      <c r="C49" s="172" t="s">
        <v>232</v>
      </c>
      <c r="D49" s="188" t="s">
        <v>256</v>
      </c>
      <c r="E49" s="194">
        <v>18595.100000000002</v>
      </c>
      <c r="F49" s="173">
        <v>4.0200000000000005</v>
      </c>
      <c r="G49" s="168">
        <f t="shared" si="23"/>
        <v>74752.3</v>
      </c>
      <c r="I49" s="175"/>
      <c r="J49" s="203"/>
      <c r="K49" s="174"/>
      <c r="M49" s="217"/>
      <c r="N49" s="173"/>
      <c r="O49" s="176"/>
      <c r="P49" s="177"/>
      <c r="Q49" s="177"/>
      <c r="R49" s="177"/>
      <c r="S49" s="177"/>
      <c r="T49" s="173"/>
    </row>
    <row r="50" spans="1:20" s="2" customFormat="1" x14ac:dyDescent="0.25">
      <c r="A50" s="178"/>
      <c r="B50" s="179" t="s">
        <v>169</v>
      </c>
      <c r="C50" s="180" t="s">
        <v>233</v>
      </c>
      <c r="D50" s="187"/>
      <c r="E50" s="193"/>
      <c r="F50" s="181"/>
      <c r="G50" s="182"/>
      <c r="I50" s="183"/>
      <c r="J50" s="202"/>
      <c r="K50" s="182"/>
      <c r="M50" s="216"/>
      <c r="N50" s="181"/>
      <c r="O50" s="184"/>
      <c r="P50" s="185"/>
      <c r="Q50" s="185"/>
      <c r="R50" s="185"/>
      <c r="S50" s="185"/>
      <c r="T50" s="181"/>
    </row>
    <row r="51" spans="1:20" s="97" customFormat="1" x14ac:dyDescent="0.25">
      <c r="A51" s="170">
        <v>300</v>
      </c>
      <c r="B51" s="171" t="s">
        <v>170</v>
      </c>
      <c r="C51" s="172" t="s">
        <v>234</v>
      </c>
      <c r="D51" s="188" t="s">
        <v>112</v>
      </c>
      <c r="E51" s="194">
        <v>66.63</v>
      </c>
      <c r="F51" s="173">
        <v>442.62</v>
      </c>
      <c r="G51" s="168">
        <f t="shared" ref="G51:G53" si="26">ROUND(E51*F51,2)</f>
        <v>29491.77</v>
      </c>
      <c r="I51" s="175">
        <v>67.959999999999994</v>
      </c>
      <c r="J51" s="203">
        <v>291.23</v>
      </c>
      <c r="K51" s="168">
        <f t="shared" ref="K51:K53" si="27">ROUND(I51*J51,2)</f>
        <v>19791.990000000002</v>
      </c>
      <c r="M51" s="217"/>
      <c r="N51" s="173"/>
      <c r="O51" s="176"/>
      <c r="P51" s="177"/>
      <c r="Q51" s="177"/>
      <c r="R51" s="177"/>
      <c r="S51" s="177"/>
      <c r="T51" s="173"/>
    </row>
    <row r="52" spans="1:20" s="97" customFormat="1" x14ac:dyDescent="0.25">
      <c r="A52" s="170">
        <v>400</v>
      </c>
      <c r="B52" s="171" t="s">
        <v>171</v>
      </c>
      <c r="C52" s="172" t="s">
        <v>235</v>
      </c>
      <c r="D52" s="186" t="s">
        <v>254</v>
      </c>
      <c r="E52" s="194">
        <v>901.38</v>
      </c>
      <c r="F52" s="173">
        <v>60.480000000000004</v>
      </c>
      <c r="G52" s="168">
        <f t="shared" si="26"/>
        <v>54515.46</v>
      </c>
      <c r="I52" s="175">
        <v>919.41</v>
      </c>
      <c r="J52" s="203">
        <v>37.49</v>
      </c>
      <c r="K52" s="168">
        <f t="shared" si="27"/>
        <v>34468.68</v>
      </c>
      <c r="M52" s="217"/>
      <c r="N52" s="173"/>
      <c r="O52" s="176"/>
      <c r="P52" s="177"/>
      <c r="Q52" s="177"/>
      <c r="R52" s="177"/>
      <c r="S52" s="177"/>
      <c r="T52" s="173"/>
    </row>
    <row r="53" spans="1:20" s="97" customFormat="1" x14ac:dyDescent="0.25">
      <c r="A53" s="170">
        <v>500</v>
      </c>
      <c r="B53" s="171" t="s">
        <v>172</v>
      </c>
      <c r="C53" s="172" t="s">
        <v>236</v>
      </c>
      <c r="D53" s="188" t="s">
        <v>255</v>
      </c>
      <c r="E53" s="194">
        <v>11604.02</v>
      </c>
      <c r="F53" s="173">
        <v>4.0200000000000005</v>
      </c>
      <c r="G53" s="168">
        <f t="shared" si="26"/>
        <v>46648.160000000003</v>
      </c>
      <c r="I53" s="175">
        <v>11836.1</v>
      </c>
      <c r="J53" s="203">
        <v>3.4</v>
      </c>
      <c r="K53" s="168">
        <f t="shared" si="27"/>
        <v>40242.74</v>
      </c>
      <c r="M53" s="217"/>
      <c r="N53" s="173"/>
      <c r="O53" s="176"/>
      <c r="P53" s="177"/>
      <c r="Q53" s="177"/>
      <c r="R53" s="177"/>
      <c r="S53" s="177"/>
      <c r="T53" s="173"/>
    </row>
    <row r="54" spans="1:20" s="2" customFormat="1" x14ac:dyDescent="0.25">
      <c r="A54" s="178"/>
      <c r="B54" s="179" t="s">
        <v>173</v>
      </c>
      <c r="C54" s="180" t="s">
        <v>237</v>
      </c>
      <c r="D54" s="187"/>
      <c r="E54" s="193"/>
      <c r="F54" s="181"/>
      <c r="G54" s="182"/>
      <c r="I54" s="183"/>
      <c r="J54" s="202"/>
      <c r="K54" s="182"/>
      <c r="M54" s="216"/>
      <c r="N54" s="181"/>
      <c r="O54" s="184"/>
      <c r="P54" s="185"/>
      <c r="Q54" s="185"/>
      <c r="R54" s="185"/>
      <c r="S54" s="185"/>
      <c r="T54" s="181"/>
    </row>
    <row r="55" spans="1:20" s="97" customFormat="1" x14ac:dyDescent="0.25">
      <c r="A55" s="170">
        <v>300</v>
      </c>
      <c r="B55" s="171" t="s">
        <v>174</v>
      </c>
      <c r="C55" s="172" t="s">
        <v>238</v>
      </c>
      <c r="D55" s="188" t="s">
        <v>112</v>
      </c>
      <c r="E55" s="194">
        <v>36.119999999999997</v>
      </c>
      <c r="F55" s="173">
        <v>325.93</v>
      </c>
      <c r="G55" s="168">
        <f t="shared" ref="G55:G57" si="28">ROUND(E55*F55,2)</f>
        <v>11772.59</v>
      </c>
      <c r="I55" s="175">
        <v>36.840000000000003</v>
      </c>
      <c r="J55" s="203">
        <v>294.5</v>
      </c>
      <c r="K55" s="168">
        <f t="shared" ref="K55:K57" si="29">ROUND(I55*J55,2)</f>
        <v>10849.38</v>
      </c>
      <c r="M55" s="217"/>
      <c r="N55" s="165">
        <f t="shared" ref="N55:N57" si="30">SUM(O55:S55)</f>
        <v>0</v>
      </c>
      <c r="O55" s="176"/>
      <c r="P55" s="177"/>
      <c r="Q55" s="177"/>
      <c r="R55" s="177"/>
      <c r="S55" s="177"/>
      <c r="T55" s="173"/>
    </row>
    <row r="56" spans="1:20" s="97" customFormat="1" x14ac:dyDescent="0.25">
      <c r="A56" s="170">
        <v>400</v>
      </c>
      <c r="B56" s="171" t="s">
        <v>175</v>
      </c>
      <c r="C56" s="172" t="s">
        <v>239</v>
      </c>
      <c r="D56" s="188" t="s">
        <v>254</v>
      </c>
      <c r="E56" s="194">
        <v>545.23</v>
      </c>
      <c r="F56" s="173">
        <v>70.38</v>
      </c>
      <c r="G56" s="168">
        <f t="shared" si="28"/>
        <v>38373.29</v>
      </c>
      <c r="I56" s="175">
        <v>556.13</v>
      </c>
      <c r="J56" s="203">
        <v>43.56</v>
      </c>
      <c r="K56" s="168">
        <f t="shared" si="29"/>
        <v>24225.02</v>
      </c>
      <c r="M56" s="217"/>
      <c r="N56" s="165">
        <f t="shared" si="30"/>
        <v>0</v>
      </c>
      <c r="O56" s="176"/>
      <c r="P56" s="177"/>
      <c r="Q56" s="177"/>
      <c r="R56" s="177"/>
      <c r="S56" s="177"/>
      <c r="T56" s="173"/>
    </row>
    <row r="57" spans="1:20" s="97" customFormat="1" x14ac:dyDescent="0.25">
      <c r="A57" s="170">
        <v>500</v>
      </c>
      <c r="B57" s="171" t="s">
        <v>176</v>
      </c>
      <c r="C57" s="172" t="s">
        <v>240</v>
      </c>
      <c r="D57" s="188" t="s">
        <v>255</v>
      </c>
      <c r="E57" s="194">
        <v>5144.6000000000004</v>
      </c>
      <c r="F57" s="173">
        <v>4.0200000000000005</v>
      </c>
      <c r="G57" s="168">
        <f t="shared" si="28"/>
        <v>20681.29</v>
      </c>
      <c r="I57" s="175">
        <v>5247.49</v>
      </c>
      <c r="J57" s="203">
        <v>3.4</v>
      </c>
      <c r="K57" s="168">
        <f t="shared" si="29"/>
        <v>17841.47</v>
      </c>
      <c r="M57" s="217"/>
      <c r="N57" s="165">
        <f t="shared" si="30"/>
        <v>0</v>
      </c>
      <c r="O57" s="176"/>
      <c r="P57" s="177"/>
      <c r="Q57" s="177"/>
      <c r="R57" s="177"/>
      <c r="S57" s="177"/>
      <c r="T57" s="173"/>
    </row>
    <row r="58" spans="1:20" s="2" customFormat="1" x14ac:dyDescent="0.25">
      <c r="A58" s="178"/>
      <c r="B58" s="179" t="s">
        <v>177</v>
      </c>
      <c r="C58" s="180" t="s">
        <v>241</v>
      </c>
      <c r="D58" s="187"/>
      <c r="E58" s="193"/>
      <c r="F58" s="181"/>
      <c r="G58" s="182"/>
      <c r="I58" s="183"/>
      <c r="J58" s="202"/>
      <c r="K58" s="182"/>
      <c r="M58" s="216"/>
      <c r="N58" s="181"/>
      <c r="O58" s="184"/>
      <c r="P58" s="185"/>
      <c r="Q58" s="185"/>
      <c r="R58" s="185"/>
      <c r="S58" s="185"/>
      <c r="T58" s="181"/>
    </row>
    <row r="59" spans="1:20" s="97" customFormat="1" x14ac:dyDescent="0.25">
      <c r="A59" s="170">
        <v>300</v>
      </c>
      <c r="B59" s="171" t="s">
        <v>178</v>
      </c>
      <c r="C59" s="172" t="s">
        <v>242</v>
      </c>
      <c r="D59" s="188" t="s">
        <v>52</v>
      </c>
      <c r="E59" s="194">
        <v>0.63</v>
      </c>
      <c r="F59" s="173">
        <v>325.93</v>
      </c>
      <c r="G59" s="168">
        <f t="shared" ref="G59:G61" si="31">ROUND(E59*F59,2)</f>
        <v>205.34</v>
      </c>
      <c r="I59" s="175">
        <v>0.64</v>
      </c>
      <c r="J59" s="203">
        <v>294.5</v>
      </c>
      <c r="K59" s="168">
        <f t="shared" ref="K59:K61" si="32">ROUND(I59*J59,2)</f>
        <v>188.48</v>
      </c>
      <c r="M59" s="217"/>
      <c r="N59" s="165">
        <f t="shared" ref="N59:N61" si="33">SUM(O59:S59)</f>
        <v>0</v>
      </c>
      <c r="O59" s="176"/>
      <c r="P59" s="177"/>
      <c r="Q59" s="177"/>
      <c r="R59" s="177"/>
      <c r="S59" s="177"/>
      <c r="T59" s="173"/>
    </row>
    <row r="60" spans="1:20" s="97" customFormat="1" x14ac:dyDescent="0.25">
      <c r="A60" s="170">
        <v>400</v>
      </c>
      <c r="B60" s="171" t="s">
        <v>179</v>
      </c>
      <c r="C60" s="172" t="s">
        <v>243</v>
      </c>
      <c r="D60" s="188" t="s">
        <v>254</v>
      </c>
      <c r="E60" s="194">
        <v>6.54</v>
      </c>
      <c r="F60" s="173">
        <v>55.43</v>
      </c>
      <c r="G60" s="168">
        <f t="shared" si="31"/>
        <v>362.51</v>
      </c>
      <c r="I60" s="175">
        <v>6.67</v>
      </c>
      <c r="J60" s="203">
        <v>33.340000000000003</v>
      </c>
      <c r="K60" s="168">
        <f t="shared" si="32"/>
        <v>222.38</v>
      </c>
      <c r="M60" s="217"/>
      <c r="N60" s="165">
        <f t="shared" si="33"/>
        <v>0</v>
      </c>
      <c r="O60" s="176"/>
      <c r="P60" s="177"/>
      <c r="Q60" s="177"/>
      <c r="R60" s="177"/>
      <c r="S60" s="177"/>
      <c r="T60" s="173"/>
    </row>
    <row r="61" spans="1:20" s="97" customFormat="1" x14ac:dyDescent="0.25">
      <c r="A61" s="170">
        <v>500</v>
      </c>
      <c r="B61" s="171" t="s">
        <v>180</v>
      </c>
      <c r="C61" s="172" t="s">
        <v>244</v>
      </c>
      <c r="D61" s="188" t="s">
        <v>255</v>
      </c>
      <c r="E61" s="194">
        <v>73.150000000000006</v>
      </c>
      <c r="F61" s="173">
        <v>4.0200000000000005</v>
      </c>
      <c r="G61" s="168">
        <f t="shared" si="31"/>
        <v>294.06</v>
      </c>
      <c r="I61" s="175">
        <v>74.61</v>
      </c>
      <c r="J61" s="203">
        <v>3.4</v>
      </c>
      <c r="K61" s="168">
        <f t="shared" si="32"/>
        <v>253.67</v>
      </c>
      <c r="M61" s="217"/>
      <c r="N61" s="165">
        <f t="shared" si="33"/>
        <v>0</v>
      </c>
      <c r="O61" s="176"/>
      <c r="P61" s="177"/>
      <c r="Q61" s="177"/>
      <c r="R61" s="177"/>
      <c r="S61" s="177"/>
      <c r="T61" s="173"/>
    </row>
    <row r="62" spans="1:20" s="2" customFormat="1" x14ac:dyDescent="0.25">
      <c r="A62" s="178"/>
      <c r="B62" s="179" t="s">
        <v>181</v>
      </c>
      <c r="C62" s="180" t="s">
        <v>245</v>
      </c>
      <c r="D62" s="187"/>
      <c r="E62" s="193"/>
      <c r="F62" s="181"/>
      <c r="G62" s="182"/>
      <c r="I62" s="183"/>
      <c r="J62" s="202"/>
      <c r="K62" s="182"/>
      <c r="M62" s="216"/>
      <c r="N62" s="181"/>
      <c r="O62" s="184"/>
      <c r="P62" s="185"/>
      <c r="Q62" s="185"/>
      <c r="R62" s="185"/>
      <c r="S62" s="185"/>
      <c r="T62" s="181"/>
    </row>
    <row r="63" spans="1:20" s="97" customFormat="1" x14ac:dyDescent="0.25">
      <c r="A63" s="170">
        <v>300</v>
      </c>
      <c r="B63" s="171" t="s">
        <v>182</v>
      </c>
      <c r="C63" s="172" t="s">
        <v>246</v>
      </c>
      <c r="D63" s="188" t="s">
        <v>112</v>
      </c>
      <c r="E63" s="194">
        <v>2.13</v>
      </c>
      <c r="F63" s="173">
        <v>315.52</v>
      </c>
      <c r="G63" s="168">
        <f t="shared" ref="G63:G66" si="34">ROUND(E63*F63,2)</f>
        <v>672.06</v>
      </c>
      <c r="I63" s="175">
        <v>2.17</v>
      </c>
      <c r="J63" s="203">
        <v>294.5</v>
      </c>
      <c r="K63" s="168">
        <f t="shared" ref="K63:K66" si="35">ROUND(I63*J63,2)</f>
        <v>639.07000000000005</v>
      </c>
      <c r="M63" s="217"/>
      <c r="N63" s="165">
        <f t="shared" ref="N63:N66" si="36">SUM(O63:S63)</f>
        <v>0</v>
      </c>
      <c r="O63" s="176"/>
      <c r="P63" s="177"/>
      <c r="Q63" s="177"/>
      <c r="R63" s="177"/>
      <c r="S63" s="177"/>
      <c r="T63" s="173"/>
    </row>
    <row r="64" spans="1:20" s="97" customFormat="1" x14ac:dyDescent="0.25">
      <c r="A64" s="170">
        <v>400</v>
      </c>
      <c r="B64" s="171" t="s">
        <v>183</v>
      </c>
      <c r="C64" s="172" t="s">
        <v>247</v>
      </c>
      <c r="D64" s="188" t="s">
        <v>254</v>
      </c>
      <c r="E64" s="194">
        <v>24.72</v>
      </c>
      <c r="F64" s="173">
        <v>43.61</v>
      </c>
      <c r="G64" s="168">
        <f t="shared" si="34"/>
        <v>1078.04</v>
      </c>
      <c r="I64" s="175">
        <v>25.21</v>
      </c>
      <c r="J64" s="203">
        <v>25.75</v>
      </c>
      <c r="K64" s="168">
        <f t="shared" si="35"/>
        <v>649.16</v>
      </c>
      <c r="M64" s="217"/>
      <c r="N64" s="165">
        <f t="shared" si="36"/>
        <v>0</v>
      </c>
      <c r="O64" s="176"/>
      <c r="P64" s="177"/>
      <c r="Q64" s="177"/>
      <c r="R64" s="177"/>
      <c r="S64" s="177"/>
      <c r="T64" s="173"/>
    </row>
    <row r="65" spans="1:20" s="97" customFormat="1" x14ac:dyDescent="0.25">
      <c r="A65" s="170">
        <v>500</v>
      </c>
      <c r="B65" s="171" t="s">
        <v>184</v>
      </c>
      <c r="C65" s="172" t="s">
        <v>248</v>
      </c>
      <c r="D65" s="188" t="s">
        <v>255</v>
      </c>
      <c r="E65" s="194">
        <v>93.93</v>
      </c>
      <c r="F65" s="173">
        <v>4.0200000000000005</v>
      </c>
      <c r="G65" s="168">
        <f t="shared" si="34"/>
        <v>377.6</v>
      </c>
      <c r="I65" s="175">
        <v>95.81</v>
      </c>
      <c r="J65" s="203">
        <v>3.4</v>
      </c>
      <c r="K65" s="168">
        <f t="shared" si="35"/>
        <v>325.75</v>
      </c>
      <c r="M65" s="217"/>
      <c r="N65" s="165">
        <f t="shared" si="36"/>
        <v>0</v>
      </c>
      <c r="O65" s="176"/>
      <c r="P65" s="177"/>
      <c r="Q65" s="177"/>
      <c r="R65" s="177"/>
      <c r="S65" s="177"/>
      <c r="T65" s="173"/>
    </row>
    <row r="66" spans="1:20" s="97" customFormat="1" x14ac:dyDescent="0.25">
      <c r="A66" s="170">
        <v>300</v>
      </c>
      <c r="B66" s="171" t="s">
        <v>185</v>
      </c>
      <c r="C66" s="172" t="s">
        <v>249</v>
      </c>
      <c r="D66" s="188" t="s">
        <v>257</v>
      </c>
      <c r="E66" s="194">
        <v>205.92000000000002</v>
      </c>
      <c r="F66" s="173">
        <v>2.4900000000000002</v>
      </c>
      <c r="G66" s="168">
        <f t="shared" si="34"/>
        <v>512.74</v>
      </c>
      <c r="I66" s="175">
        <v>210.04</v>
      </c>
      <c r="J66" s="203">
        <v>2.39</v>
      </c>
      <c r="K66" s="168">
        <f t="shared" si="35"/>
        <v>502</v>
      </c>
      <c r="M66" s="217"/>
      <c r="N66" s="165">
        <f t="shared" si="36"/>
        <v>0</v>
      </c>
      <c r="O66" s="176"/>
      <c r="P66" s="177"/>
      <c r="Q66" s="177"/>
      <c r="R66" s="177"/>
      <c r="S66" s="177"/>
      <c r="T66" s="173"/>
    </row>
    <row r="67" spans="1:20" s="2" customFormat="1" x14ac:dyDescent="0.25">
      <c r="A67" s="178"/>
      <c r="B67" s="179" t="s">
        <v>186</v>
      </c>
      <c r="C67" s="180" t="s">
        <v>250</v>
      </c>
      <c r="D67" s="187"/>
      <c r="E67" s="193"/>
      <c r="F67" s="181"/>
      <c r="G67" s="182"/>
      <c r="I67" s="183"/>
      <c r="J67" s="202"/>
      <c r="K67" s="182"/>
      <c r="M67" s="216"/>
      <c r="N67" s="181"/>
      <c r="O67" s="184"/>
      <c r="P67" s="185"/>
      <c r="Q67" s="185"/>
      <c r="R67" s="185"/>
      <c r="S67" s="185"/>
      <c r="T67" s="181"/>
    </row>
    <row r="68" spans="1:20" s="97" customFormat="1" x14ac:dyDescent="0.25">
      <c r="A68" s="170">
        <v>300</v>
      </c>
      <c r="B68" s="171" t="s">
        <v>187</v>
      </c>
      <c r="C68" s="172" t="s">
        <v>251</v>
      </c>
      <c r="D68" s="186" t="s">
        <v>254</v>
      </c>
      <c r="E68" s="194">
        <v>12.31</v>
      </c>
      <c r="F68" s="173">
        <v>80.040000000000006</v>
      </c>
      <c r="G68" s="168">
        <f t="shared" ref="G68:G70" si="37">ROUND(E68*F68,2)</f>
        <v>985.29</v>
      </c>
      <c r="I68" s="175">
        <v>12.56</v>
      </c>
      <c r="J68" s="203">
        <v>59.800000000000004</v>
      </c>
      <c r="K68" s="168">
        <f t="shared" ref="K68:K70" si="38">ROUND(I68*J68,2)</f>
        <v>751.09</v>
      </c>
      <c r="M68" s="217"/>
      <c r="N68" s="165">
        <f t="shared" ref="N68:N70" si="39">SUM(O68:S68)</f>
        <v>0</v>
      </c>
      <c r="O68" s="176"/>
      <c r="P68" s="177"/>
      <c r="Q68" s="177"/>
      <c r="R68" s="177"/>
      <c r="S68" s="177"/>
      <c r="T68" s="173"/>
    </row>
    <row r="69" spans="1:20" s="97" customFormat="1" x14ac:dyDescent="0.25">
      <c r="A69" s="170">
        <v>400</v>
      </c>
      <c r="B69" s="171" t="s">
        <v>188</v>
      </c>
      <c r="C69" s="172" t="s">
        <v>252</v>
      </c>
      <c r="D69" s="188" t="s">
        <v>254</v>
      </c>
      <c r="E69" s="194">
        <v>6.96</v>
      </c>
      <c r="F69" s="173">
        <v>41.15</v>
      </c>
      <c r="G69" s="168">
        <f t="shared" si="37"/>
        <v>286.39999999999998</v>
      </c>
      <c r="I69" s="175">
        <v>7.1</v>
      </c>
      <c r="J69" s="203">
        <v>27.36</v>
      </c>
      <c r="K69" s="168">
        <f t="shared" si="38"/>
        <v>194.26</v>
      </c>
      <c r="M69" s="217"/>
      <c r="N69" s="165">
        <f t="shared" si="39"/>
        <v>0</v>
      </c>
      <c r="O69" s="176"/>
      <c r="P69" s="177"/>
      <c r="Q69" s="177"/>
      <c r="R69" s="177"/>
      <c r="S69" s="177"/>
      <c r="T69" s="173"/>
    </row>
    <row r="70" spans="1:20" s="97" customFormat="1" x14ac:dyDescent="0.25">
      <c r="A70" s="170">
        <v>500</v>
      </c>
      <c r="B70" s="171" t="s">
        <v>189</v>
      </c>
      <c r="C70" s="172" t="s">
        <v>253</v>
      </c>
      <c r="D70" s="188" t="s">
        <v>256</v>
      </c>
      <c r="E70" s="194">
        <v>83.01</v>
      </c>
      <c r="F70" s="173">
        <v>4.0200000000000005</v>
      </c>
      <c r="G70" s="168">
        <f t="shared" si="37"/>
        <v>333.7</v>
      </c>
      <c r="I70" s="175">
        <v>84.67</v>
      </c>
      <c r="J70" s="203">
        <v>3.4</v>
      </c>
      <c r="K70" s="168">
        <f t="shared" si="38"/>
        <v>287.88</v>
      </c>
      <c r="M70" s="217"/>
      <c r="N70" s="165">
        <f t="shared" si="39"/>
        <v>0</v>
      </c>
      <c r="O70" s="176"/>
      <c r="P70" s="177"/>
      <c r="Q70" s="177"/>
      <c r="R70" s="177"/>
      <c r="S70" s="177"/>
      <c r="T70" s="173"/>
    </row>
    <row r="71" spans="1:20" s="2" customFormat="1" x14ac:dyDescent="0.25">
      <c r="A71" s="50"/>
      <c r="B71" s="29"/>
      <c r="C71" s="23" t="s">
        <v>54</v>
      </c>
      <c r="D71" s="50"/>
      <c r="E71" s="195"/>
      <c r="F71" s="31"/>
      <c r="G71" s="134">
        <f>SUM(G7:G70)</f>
        <v>960724.52000000014</v>
      </c>
      <c r="I71" s="11"/>
      <c r="J71" s="204"/>
      <c r="K71" s="116">
        <f>SUM(K7:K70)</f>
        <v>696510.66999999993</v>
      </c>
      <c r="M71" s="213"/>
      <c r="N71" s="7"/>
      <c r="O71" s="14"/>
      <c r="P71" s="7"/>
      <c r="Q71" s="7"/>
      <c r="R71" s="7"/>
      <c r="S71" s="7"/>
      <c r="T71" s="31">
        <f>SUM(T7:T70)</f>
        <v>1374.45</v>
      </c>
    </row>
    <row r="72" spans="1:20" s="97" customFormat="1" x14ac:dyDescent="0.25">
      <c r="A72" s="90"/>
      <c r="B72" s="91"/>
      <c r="C72" s="93" t="s">
        <v>89</v>
      </c>
      <c r="D72" s="90"/>
      <c r="E72" s="196"/>
      <c r="F72" s="96"/>
      <c r="G72" s="96">
        <f>ROUND(G71*0.1,2)</f>
        <v>96072.45</v>
      </c>
      <c r="I72" s="98"/>
      <c r="J72" s="205"/>
      <c r="K72" s="96">
        <f>ROUND(K71*0.12,2)</f>
        <v>83581.279999999999</v>
      </c>
      <c r="M72" s="218"/>
      <c r="N72" s="95"/>
      <c r="O72" s="94"/>
      <c r="P72" s="95"/>
      <c r="Q72" s="95"/>
      <c r="R72" s="95"/>
      <c r="S72" s="95"/>
      <c r="T72" s="96">
        <f>ROUND(T71*0.12,2)</f>
        <v>164.93</v>
      </c>
    </row>
    <row r="73" spans="1:20" s="97" customFormat="1" x14ac:dyDescent="0.25">
      <c r="A73" s="90"/>
      <c r="B73" s="91"/>
      <c r="C73" s="93" t="s">
        <v>90</v>
      </c>
      <c r="D73" s="90"/>
      <c r="E73" s="196"/>
      <c r="F73" s="96"/>
      <c r="G73" s="118">
        <f>ROUND(G71*0.08,2)</f>
        <v>76857.960000000006</v>
      </c>
      <c r="I73" s="98"/>
      <c r="J73" s="205"/>
      <c r="K73" s="96">
        <v>0</v>
      </c>
      <c r="M73" s="218"/>
      <c r="N73" s="95"/>
      <c r="O73" s="94"/>
      <c r="P73" s="95"/>
      <c r="Q73" s="95"/>
      <c r="R73" s="95"/>
      <c r="S73" s="95"/>
      <c r="T73" s="96"/>
    </row>
    <row r="74" spans="1:20" s="2" customFormat="1" x14ac:dyDescent="0.25">
      <c r="A74" s="85"/>
      <c r="B74" s="43"/>
      <c r="C74" s="87" t="s">
        <v>91</v>
      </c>
      <c r="D74" s="85"/>
      <c r="E74" s="197"/>
      <c r="F74" s="88"/>
      <c r="G74" s="88">
        <f>SUM(G71:G73)</f>
        <v>1133654.9300000002</v>
      </c>
      <c r="I74" s="89"/>
      <c r="J74" s="44"/>
      <c r="K74" s="88">
        <f>SUM(K71:K73)</f>
        <v>780091.95</v>
      </c>
      <c r="M74" s="219"/>
      <c r="N74" s="44"/>
      <c r="O74" s="54"/>
      <c r="P74" s="44"/>
      <c r="Q74" s="44"/>
      <c r="R74" s="44"/>
      <c r="S74" s="44"/>
      <c r="T74" s="88">
        <f>SUM(T71:T73)</f>
        <v>1539.38</v>
      </c>
    </row>
    <row r="75" spans="1:20" x14ac:dyDescent="0.25">
      <c r="A75" s="51"/>
      <c r="B75" s="30"/>
      <c r="C75" s="25" t="s">
        <v>55</v>
      </c>
      <c r="D75" s="51"/>
      <c r="E75" s="198"/>
      <c r="F75" s="20"/>
      <c r="G75" s="20">
        <f>ROUND(G74*0.18,2)</f>
        <v>204057.89</v>
      </c>
      <c r="I75" s="13"/>
      <c r="J75" s="9"/>
      <c r="K75" s="20">
        <f>ROUND(K74*0.18,2)</f>
        <v>140416.54999999999</v>
      </c>
      <c r="M75" s="220"/>
      <c r="N75" s="9"/>
      <c r="O75" s="15"/>
      <c r="P75" s="9"/>
      <c r="Q75" s="9"/>
      <c r="R75" s="9"/>
      <c r="S75" s="9"/>
      <c r="T75" s="20">
        <f>ROUND(T74*0.18,2)</f>
        <v>277.08999999999997</v>
      </c>
    </row>
    <row r="76" spans="1:20" s="2" customFormat="1" x14ac:dyDescent="0.25">
      <c r="A76" s="52"/>
      <c r="B76" s="32"/>
      <c r="C76" s="34" t="s">
        <v>62</v>
      </c>
      <c r="D76" s="52"/>
      <c r="E76" s="199"/>
      <c r="F76" s="37"/>
      <c r="G76" s="37">
        <f>SUM(G74:G75)</f>
        <v>1337712.8200000003</v>
      </c>
      <c r="I76" s="38"/>
      <c r="J76" s="36"/>
      <c r="K76" s="37">
        <f>SUM(K74:K75)</f>
        <v>920508.5</v>
      </c>
      <c r="M76" s="221"/>
      <c r="N76" s="36"/>
      <c r="O76" s="35"/>
      <c r="P76" s="36"/>
      <c r="Q76" s="36"/>
      <c r="R76" s="36"/>
      <c r="S76" s="36"/>
      <c r="T76" s="37">
        <f>SUM(T74:T75)</f>
        <v>1816.47</v>
      </c>
    </row>
    <row r="77" spans="1:20" x14ac:dyDescent="0.25">
      <c r="K77" s="117">
        <f>+G76-K76</f>
        <v>417204.3200000003</v>
      </c>
    </row>
    <row r="79" spans="1:20" x14ac:dyDescent="0.25">
      <c r="C79" t="s">
        <v>35</v>
      </c>
      <c r="D79">
        <v>100</v>
      </c>
      <c r="I79" t="s">
        <v>93</v>
      </c>
    </row>
    <row r="80" spans="1:20" x14ac:dyDescent="0.25">
      <c r="C80" t="s">
        <v>97</v>
      </c>
      <c r="Q80" s="99"/>
    </row>
    <row r="81" spans="3:9" x14ac:dyDescent="0.25">
      <c r="C81" t="s">
        <v>101</v>
      </c>
    </row>
    <row r="82" spans="3:9" x14ac:dyDescent="0.25">
      <c r="C82" t="s">
        <v>37</v>
      </c>
      <c r="D82">
        <v>200</v>
      </c>
      <c r="I82" t="s">
        <v>94</v>
      </c>
    </row>
    <row r="83" spans="3:9" x14ac:dyDescent="0.25">
      <c r="C83" t="s">
        <v>98</v>
      </c>
    </row>
    <row r="84" spans="3:9" x14ac:dyDescent="0.25">
      <c r="C84" t="s">
        <v>101</v>
      </c>
    </row>
    <row r="86" spans="3:9" x14ac:dyDescent="0.25">
      <c r="C86" t="s">
        <v>92</v>
      </c>
      <c r="D86">
        <v>300</v>
      </c>
      <c r="I86" t="s">
        <v>95</v>
      </c>
    </row>
    <row r="87" spans="3:9" x14ac:dyDescent="0.25">
      <c r="C87" t="s">
        <v>99</v>
      </c>
    </row>
    <row r="88" spans="3:9" x14ac:dyDescent="0.25">
      <c r="C88" t="s">
        <v>101</v>
      </c>
    </row>
    <row r="90" spans="3:9" x14ac:dyDescent="0.25">
      <c r="C90" t="s">
        <v>48</v>
      </c>
      <c r="D90">
        <v>400</v>
      </c>
      <c r="I90" t="s">
        <v>96</v>
      </c>
    </row>
    <row r="91" spans="3:9" x14ac:dyDescent="0.25">
      <c r="C91" t="s">
        <v>100</v>
      </c>
    </row>
    <row r="92" spans="3:9" x14ac:dyDescent="0.25">
      <c r="C92" t="s">
        <v>101</v>
      </c>
    </row>
  </sheetData>
  <mergeCells count="7">
    <mergeCell ref="M5:T5"/>
    <mergeCell ref="E5:G5"/>
    <mergeCell ref="I5:K5"/>
    <mergeCell ref="A5:A6"/>
    <mergeCell ref="B5:B6"/>
    <mergeCell ref="D5:D6"/>
    <mergeCell ref="C5:C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5"/>
  <sheetViews>
    <sheetView topLeftCell="A19" zoomScale="85" zoomScaleNormal="85" workbookViewId="0">
      <selection activeCell="G37" sqref="G37"/>
    </sheetView>
  </sheetViews>
  <sheetFormatPr baseColWidth="10" defaultRowHeight="15" x14ac:dyDescent="0.25"/>
  <cols>
    <col min="2" max="2" width="11.42578125" style="1"/>
    <col min="3" max="3" width="55" customWidth="1"/>
    <col min="4" max="4" width="11.42578125" style="1"/>
    <col min="5" max="5" width="14" customWidth="1"/>
    <col min="6" max="7" width="13" customWidth="1"/>
    <col min="8" max="9" width="13.42578125" customWidth="1"/>
    <col min="10" max="11" width="12.5703125" customWidth="1"/>
    <col min="12" max="12" width="14.85546875" customWidth="1"/>
    <col min="15" max="18" width="12.140625" customWidth="1"/>
  </cols>
  <sheetData>
    <row r="1" spans="1:18" s="48" customFormat="1" x14ac:dyDescent="0.25">
      <c r="A1" s="48" t="s">
        <v>56</v>
      </c>
      <c r="B1" s="49"/>
      <c r="D1" s="49"/>
    </row>
    <row r="3" spans="1:18" x14ac:dyDescent="0.25">
      <c r="A3" s="2" t="s">
        <v>16</v>
      </c>
      <c r="B3" s="2" t="s">
        <v>126</v>
      </c>
    </row>
    <row r="4" spans="1:18" x14ac:dyDescent="0.25">
      <c r="E4" s="211" t="s">
        <v>125</v>
      </c>
      <c r="F4" s="211"/>
      <c r="G4" s="211"/>
      <c r="H4" s="211"/>
      <c r="I4" s="211"/>
      <c r="J4" s="211"/>
      <c r="K4" s="211"/>
      <c r="L4" s="212" t="s">
        <v>79</v>
      </c>
      <c r="M4" s="212"/>
      <c r="N4" s="212"/>
      <c r="O4" s="212"/>
      <c r="P4" s="212"/>
      <c r="Q4" s="212"/>
      <c r="R4" s="212"/>
    </row>
    <row r="5" spans="1:18" ht="15" customHeight="1" x14ac:dyDescent="0.25">
      <c r="A5" s="208" t="s">
        <v>1</v>
      </c>
      <c r="B5" s="208" t="s">
        <v>2</v>
      </c>
      <c r="C5" s="208" t="s">
        <v>15</v>
      </c>
      <c r="D5" s="208" t="s">
        <v>3</v>
      </c>
      <c r="E5" s="76" t="s">
        <v>13</v>
      </c>
      <c r="F5" s="208" t="s">
        <v>84</v>
      </c>
      <c r="G5" s="208"/>
      <c r="H5" s="210" t="s">
        <v>85</v>
      </c>
      <c r="I5" s="210"/>
      <c r="J5" s="210" t="s">
        <v>86</v>
      </c>
      <c r="K5" s="210"/>
      <c r="L5" s="76" t="s">
        <v>58</v>
      </c>
      <c r="M5" s="208" t="s">
        <v>81</v>
      </c>
      <c r="N5" s="208"/>
      <c r="O5" s="210" t="s">
        <v>82</v>
      </c>
      <c r="P5" s="210"/>
      <c r="Q5" s="210" t="s">
        <v>83</v>
      </c>
      <c r="R5" s="210"/>
    </row>
    <row r="6" spans="1:18" ht="30" x14ac:dyDescent="0.25">
      <c r="A6" s="208"/>
      <c r="B6" s="208"/>
      <c r="C6" s="208"/>
      <c r="D6" s="208"/>
      <c r="E6" s="76" t="s">
        <v>6</v>
      </c>
      <c r="F6" s="76" t="s">
        <v>59</v>
      </c>
      <c r="G6" s="76" t="s">
        <v>7</v>
      </c>
      <c r="H6" s="76" t="s">
        <v>61</v>
      </c>
      <c r="I6" s="76" t="s">
        <v>7</v>
      </c>
      <c r="J6" s="76" t="s">
        <v>57</v>
      </c>
      <c r="K6" s="76" t="s">
        <v>7</v>
      </c>
      <c r="L6" s="76" t="s">
        <v>6</v>
      </c>
      <c r="M6" s="76" t="s">
        <v>59</v>
      </c>
      <c r="N6" s="76" t="s">
        <v>7</v>
      </c>
      <c r="O6" s="76" t="s">
        <v>61</v>
      </c>
      <c r="P6" s="76" t="s">
        <v>7</v>
      </c>
      <c r="Q6" s="76" t="s">
        <v>60</v>
      </c>
      <c r="R6" s="76" t="s">
        <v>7</v>
      </c>
    </row>
    <row r="7" spans="1:18" s="2" customFormat="1" x14ac:dyDescent="0.25">
      <c r="A7" s="222"/>
      <c r="B7" s="158" t="s">
        <v>127</v>
      </c>
      <c r="C7" s="121" t="s">
        <v>190</v>
      </c>
      <c r="D7" s="119"/>
      <c r="E7" s="204"/>
      <c r="F7" s="204"/>
      <c r="G7" s="204"/>
      <c r="H7" s="204"/>
      <c r="I7" s="204"/>
      <c r="J7" s="204"/>
      <c r="K7" s="204"/>
      <c r="L7" s="204"/>
      <c r="M7" s="64"/>
      <c r="N7" s="204"/>
      <c r="O7" s="204"/>
      <c r="P7" s="204"/>
      <c r="Q7" s="204"/>
      <c r="R7" s="204"/>
    </row>
    <row r="8" spans="1:18" s="2" customFormat="1" x14ac:dyDescent="0.25">
      <c r="A8" s="223"/>
      <c r="B8" s="159" t="s">
        <v>128</v>
      </c>
      <c r="C8" s="124" t="s">
        <v>191</v>
      </c>
      <c r="D8" s="122"/>
      <c r="E8" s="225"/>
      <c r="F8" s="225"/>
      <c r="G8" s="225"/>
      <c r="H8" s="225"/>
      <c r="I8" s="225"/>
      <c r="J8" s="225"/>
      <c r="K8" s="225"/>
      <c r="L8" s="225"/>
      <c r="M8" s="70"/>
      <c r="N8" s="225"/>
      <c r="O8" s="225"/>
      <c r="P8" s="225"/>
      <c r="Q8" s="225"/>
      <c r="R8" s="225"/>
    </row>
    <row r="9" spans="1:18" x14ac:dyDescent="0.25">
      <c r="A9" s="223"/>
      <c r="B9" s="159" t="s">
        <v>24</v>
      </c>
      <c r="C9" s="124" t="s">
        <v>192</v>
      </c>
      <c r="D9" s="122"/>
      <c r="E9" s="224"/>
      <c r="F9" s="224"/>
      <c r="G9" s="224"/>
      <c r="H9" s="224"/>
      <c r="I9" s="224"/>
      <c r="J9" s="224"/>
      <c r="K9" s="224"/>
      <c r="L9" s="224"/>
      <c r="M9" s="71"/>
      <c r="N9" s="224"/>
      <c r="O9" s="224"/>
      <c r="P9" s="224"/>
      <c r="Q9" s="224"/>
      <c r="R9" s="224"/>
    </row>
    <row r="10" spans="1:18" s="2" customFormat="1" x14ac:dyDescent="0.25">
      <c r="A10" s="223">
        <v>100</v>
      </c>
      <c r="B10" s="163" t="s">
        <v>129</v>
      </c>
      <c r="C10" s="164" t="s">
        <v>193</v>
      </c>
      <c r="D10" s="186" t="s">
        <v>51</v>
      </c>
      <c r="E10" s="224">
        <f>PRESUPUESTOS!F10</f>
        <v>2.04</v>
      </c>
      <c r="F10" s="224">
        <f t="shared" ref="F10:F70" si="0">IF(Q10=0,0,((M10/Q10)*J10))</f>
        <v>0</v>
      </c>
      <c r="G10" s="224">
        <f t="shared" ref="G10:G70" si="1">ROUND(E10*F10,2)</f>
        <v>0</v>
      </c>
      <c r="H10" s="224">
        <f t="shared" ref="H10:H70" si="2">J10-F10</f>
        <v>897.34</v>
      </c>
      <c r="I10" s="224">
        <f t="shared" ref="I10:I70" si="3">ROUND(E10*H10,2)</f>
        <v>1830.57</v>
      </c>
      <c r="J10" s="224">
        <f>PRESUPUESTOS!E10</f>
        <v>897.34</v>
      </c>
      <c r="K10" s="224">
        <f t="shared" ref="K10:K70" si="4">ROUND(E10*J10,2)</f>
        <v>1830.57</v>
      </c>
      <c r="L10" s="224">
        <f>PRESUPUESTOS!N10</f>
        <v>1.47</v>
      </c>
      <c r="M10" s="71"/>
      <c r="N10" s="224">
        <f t="shared" ref="N10:N70" si="5">ROUND(M10*L10,2)</f>
        <v>0</v>
      </c>
      <c r="O10" s="224">
        <f t="shared" ref="O10:O70" si="6">Q10-M10</f>
        <v>935</v>
      </c>
      <c r="P10" s="224">
        <f t="shared" ref="P10:P70" si="7">ROUND(O10*L10,2)</f>
        <v>1374.45</v>
      </c>
      <c r="Q10" s="224">
        <f>PRESUPUESTOS!M10</f>
        <v>935</v>
      </c>
      <c r="R10" s="224">
        <f t="shared" ref="R10:R70" si="8">ROUND(Q10*L10,2)</f>
        <v>1374.45</v>
      </c>
    </row>
    <row r="11" spans="1:18" x14ac:dyDescent="0.25">
      <c r="A11" s="223">
        <v>100</v>
      </c>
      <c r="B11" s="163" t="s">
        <v>130</v>
      </c>
      <c r="C11" s="164" t="s">
        <v>194</v>
      </c>
      <c r="D11" s="186" t="s">
        <v>254</v>
      </c>
      <c r="E11" s="224">
        <f>PRESUPUESTOS!F11</f>
        <v>2.04</v>
      </c>
      <c r="F11" s="224">
        <f t="shared" si="0"/>
        <v>0</v>
      </c>
      <c r="G11" s="224">
        <f t="shared" si="1"/>
        <v>0</v>
      </c>
      <c r="H11" s="224">
        <f t="shared" si="2"/>
        <v>897.34</v>
      </c>
      <c r="I11" s="224">
        <f t="shared" si="3"/>
        <v>1830.57</v>
      </c>
      <c r="J11" s="224">
        <f>PRESUPUESTOS!E11</f>
        <v>897.34</v>
      </c>
      <c r="K11" s="224">
        <f t="shared" si="4"/>
        <v>1830.57</v>
      </c>
      <c r="L11" s="224">
        <f>PRESUPUESTOS!N11</f>
        <v>0</v>
      </c>
      <c r="M11" s="71"/>
      <c r="N11" s="224">
        <f t="shared" si="5"/>
        <v>0</v>
      </c>
      <c r="O11" s="224">
        <f t="shared" si="6"/>
        <v>0</v>
      </c>
      <c r="P11" s="224">
        <f t="shared" si="7"/>
        <v>0</v>
      </c>
      <c r="Q11" s="224">
        <f>PRESUPUESTOS!M11</f>
        <v>0</v>
      </c>
      <c r="R11" s="224">
        <f t="shared" si="8"/>
        <v>0</v>
      </c>
    </row>
    <row r="12" spans="1:18" x14ac:dyDescent="0.25">
      <c r="A12" s="223"/>
      <c r="B12" s="159" t="s">
        <v>131</v>
      </c>
      <c r="C12" s="124" t="s">
        <v>195</v>
      </c>
      <c r="D12" s="122"/>
      <c r="E12" s="224"/>
      <c r="F12" s="224"/>
      <c r="G12" s="224"/>
      <c r="H12" s="224"/>
      <c r="I12" s="224"/>
      <c r="J12" s="224"/>
      <c r="K12" s="224"/>
      <c r="L12" s="224"/>
      <c r="M12" s="71"/>
      <c r="N12" s="224"/>
      <c r="O12" s="224"/>
      <c r="P12" s="224"/>
      <c r="Q12" s="224"/>
      <c r="R12" s="224"/>
    </row>
    <row r="13" spans="1:18" x14ac:dyDescent="0.25">
      <c r="A13" s="223"/>
      <c r="B13" s="159" t="s">
        <v>132</v>
      </c>
      <c r="C13" s="124" t="s">
        <v>196</v>
      </c>
      <c r="D13" s="122"/>
      <c r="E13" s="224"/>
      <c r="F13" s="224"/>
      <c r="G13" s="224"/>
      <c r="H13" s="224"/>
      <c r="I13" s="224"/>
      <c r="J13" s="224"/>
      <c r="K13" s="224"/>
      <c r="L13" s="224"/>
      <c r="M13" s="71"/>
      <c r="N13" s="224"/>
      <c r="O13" s="224"/>
      <c r="P13" s="224"/>
      <c r="Q13" s="224"/>
      <c r="R13" s="224"/>
    </row>
    <row r="14" spans="1:18" x14ac:dyDescent="0.25">
      <c r="A14" s="223"/>
      <c r="B14" s="159" t="s">
        <v>133</v>
      </c>
      <c r="C14" s="124" t="s">
        <v>197</v>
      </c>
      <c r="D14" s="122"/>
      <c r="E14" s="224"/>
      <c r="F14" s="224"/>
      <c r="G14" s="224"/>
      <c r="H14" s="224"/>
      <c r="I14" s="224"/>
      <c r="J14" s="224"/>
      <c r="K14" s="224"/>
      <c r="L14" s="224"/>
      <c r="M14" s="71"/>
      <c r="N14" s="224"/>
      <c r="O14" s="224"/>
      <c r="P14" s="224"/>
      <c r="Q14" s="224"/>
      <c r="R14" s="224"/>
    </row>
    <row r="15" spans="1:18" s="2" customFormat="1" x14ac:dyDescent="0.25">
      <c r="A15" s="223">
        <v>200</v>
      </c>
      <c r="B15" s="163" t="s">
        <v>134</v>
      </c>
      <c r="C15" s="164" t="s">
        <v>198</v>
      </c>
      <c r="D15" s="186" t="s">
        <v>112</v>
      </c>
      <c r="E15" s="224">
        <f>PRESUPUESTOS!F15</f>
        <v>46.74</v>
      </c>
      <c r="F15" s="224">
        <f t="shared" si="0"/>
        <v>0</v>
      </c>
      <c r="G15" s="224">
        <f t="shared" si="1"/>
        <v>0</v>
      </c>
      <c r="H15" s="224">
        <f t="shared" si="2"/>
        <v>41.9</v>
      </c>
      <c r="I15" s="224">
        <f t="shared" si="3"/>
        <v>1958.41</v>
      </c>
      <c r="J15" s="224">
        <f>PRESUPUESTOS!E15</f>
        <v>41.9</v>
      </c>
      <c r="K15" s="224">
        <f t="shared" si="4"/>
        <v>1958.41</v>
      </c>
      <c r="L15" s="224">
        <f>PRESUPUESTOS!N15</f>
        <v>0</v>
      </c>
      <c r="M15" s="71"/>
      <c r="N15" s="224">
        <f t="shared" si="5"/>
        <v>0</v>
      </c>
      <c r="O15" s="224">
        <f t="shared" si="6"/>
        <v>0</v>
      </c>
      <c r="P15" s="224">
        <f t="shared" si="7"/>
        <v>0</v>
      </c>
      <c r="Q15" s="224">
        <f>PRESUPUESTOS!M15</f>
        <v>0</v>
      </c>
      <c r="R15" s="224">
        <f t="shared" si="8"/>
        <v>0</v>
      </c>
    </row>
    <row r="16" spans="1:18" x14ac:dyDescent="0.25">
      <c r="A16" s="223">
        <v>200</v>
      </c>
      <c r="B16" s="163" t="s">
        <v>135</v>
      </c>
      <c r="C16" s="164" t="s">
        <v>199</v>
      </c>
      <c r="D16" s="186" t="s">
        <v>112</v>
      </c>
      <c r="E16" s="224">
        <f>PRESUPUESTOS!F16</f>
        <v>50.99</v>
      </c>
      <c r="F16" s="224">
        <f t="shared" si="0"/>
        <v>0</v>
      </c>
      <c r="G16" s="224">
        <f t="shared" si="1"/>
        <v>0</v>
      </c>
      <c r="H16" s="224">
        <f t="shared" si="2"/>
        <v>1975.16</v>
      </c>
      <c r="I16" s="224">
        <f t="shared" si="3"/>
        <v>100713.41</v>
      </c>
      <c r="J16" s="224">
        <f>PRESUPUESTOS!E16</f>
        <v>1975.16</v>
      </c>
      <c r="K16" s="224">
        <f t="shared" si="4"/>
        <v>100713.41</v>
      </c>
      <c r="L16" s="224">
        <f>PRESUPUESTOS!N16</f>
        <v>0</v>
      </c>
      <c r="M16" s="71"/>
      <c r="N16" s="224">
        <f t="shared" si="5"/>
        <v>0</v>
      </c>
      <c r="O16" s="224">
        <f t="shared" si="6"/>
        <v>0</v>
      </c>
      <c r="P16" s="224">
        <f t="shared" si="7"/>
        <v>0</v>
      </c>
      <c r="Q16" s="224">
        <f>PRESUPUESTOS!M16</f>
        <v>0</v>
      </c>
      <c r="R16" s="224">
        <f t="shared" si="8"/>
        <v>0</v>
      </c>
    </row>
    <row r="17" spans="1:18" x14ac:dyDescent="0.25">
      <c r="A17" s="223"/>
      <c r="B17" s="159" t="s">
        <v>136</v>
      </c>
      <c r="C17" s="124" t="s">
        <v>200</v>
      </c>
      <c r="D17" s="122"/>
      <c r="E17" s="224"/>
      <c r="F17" s="224"/>
      <c r="G17" s="224"/>
      <c r="H17" s="224"/>
      <c r="I17" s="224"/>
      <c r="J17" s="224"/>
      <c r="K17" s="224"/>
      <c r="L17" s="224"/>
      <c r="M17" s="71"/>
      <c r="N17" s="224"/>
      <c r="O17" s="224"/>
      <c r="P17" s="224"/>
      <c r="Q17" s="224"/>
      <c r="R17" s="224"/>
    </row>
    <row r="18" spans="1:18" x14ac:dyDescent="0.25">
      <c r="A18" s="223">
        <v>200</v>
      </c>
      <c r="B18" s="163" t="s">
        <v>137</v>
      </c>
      <c r="C18" s="164" t="s">
        <v>201</v>
      </c>
      <c r="D18" s="186" t="s">
        <v>112</v>
      </c>
      <c r="E18" s="224">
        <f>PRESUPUESTOS!F18</f>
        <v>26.01</v>
      </c>
      <c r="F18" s="224">
        <f t="shared" si="0"/>
        <v>0</v>
      </c>
      <c r="G18" s="224">
        <f t="shared" si="1"/>
        <v>0</v>
      </c>
      <c r="H18" s="224">
        <f t="shared" si="2"/>
        <v>1197.9100000000001</v>
      </c>
      <c r="I18" s="224">
        <f t="shared" si="3"/>
        <v>31157.64</v>
      </c>
      <c r="J18" s="224">
        <f>PRESUPUESTOS!E18</f>
        <v>1197.9100000000001</v>
      </c>
      <c r="K18" s="224">
        <f t="shared" si="4"/>
        <v>31157.64</v>
      </c>
      <c r="L18" s="224">
        <f>PRESUPUESTOS!N18</f>
        <v>0</v>
      </c>
      <c r="M18" s="71"/>
      <c r="N18" s="224">
        <f t="shared" si="5"/>
        <v>0</v>
      </c>
      <c r="O18" s="224">
        <f t="shared" si="6"/>
        <v>0</v>
      </c>
      <c r="P18" s="224">
        <f t="shared" si="7"/>
        <v>0</v>
      </c>
      <c r="Q18" s="224">
        <f>PRESUPUESTOS!M18</f>
        <v>0</v>
      </c>
      <c r="R18" s="224">
        <f t="shared" si="8"/>
        <v>0</v>
      </c>
    </row>
    <row r="19" spans="1:18" s="2" customFormat="1" x14ac:dyDescent="0.25">
      <c r="A19" s="223"/>
      <c r="B19" s="159" t="s">
        <v>138</v>
      </c>
      <c r="C19" s="124" t="s">
        <v>202</v>
      </c>
      <c r="D19" s="122"/>
      <c r="E19" s="224"/>
      <c r="F19" s="224"/>
      <c r="G19" s="224"/>
      <c r="H19" s="224"/>
      <c r="I19" s="224"/>
      <c r="J19" s="224"/>
      <c r="K19" s="224"/>
      <c r="L19" s="224"/>
      <c r="M19" s="71"/>
      <c r="N19" s="224"/>
      <c r="O19" s="224"/>
      <c r="P19" s="224"/>
      <c r="Q19" s="224"/>
      <c r="R19" s="224"/>
    </row>
    <row r="20" spans="1:18" x14ac:dyDescent="0.25">
      <c r="A20" s="223">
        <v>200</v>
      </c>
      <c r="B20" s="163" t="s">
        <v>139</v>
      </c>
      <c r="C20" s="164" t="s">
        <v>203</v>
      </c>
      <c r="D20" s="186" t="s">
        <v>112</v>
      </c>
      <c r="E20" s="224">
        <f>PRESUPUESTOS!F20</f>
        <v>17.53</v>
      </c>
      <c r="F20" s="224">
        <f t="shared" si="0"/>
        <v>0</v>
      </c>
      <c r="G20" s="224">
        <f t="shared" si="1"/>
        <v>0</v>
      </c>
      <c r="H20" s="224">
        <f t="shared" si="2"/>
        <v>68.91</v>
      </c>
      <c r="I20" s="224">
        <f t="shared" si="3"/>
        <v>1207.99</v>
      </c>
      <c r="J20" s="224">
        <f>PRESUPUESTOS!E20</f>
        <v>68.91</v>
      </c>
      <c r="K20" s="224">
        <f t="shared" si="4"/>
        <v>1207.99</v>
      </c>
      <c r="L20" s="224">
        <f>PRESUPUESTOS!N20</f>
        <v>0</v>
      </c>
      <c r="M20" s="71"/>
      <c r="N20" s="224">
        <f t="shared" si="5"/>
        <v>0</v>
      </c>
      <c r="O20" s="224">
        <f t="shared" si="6"/>
        <v>0</v>
      </c>
      <c r="P20" s="224">
        <f t="shared" si="7"/>
        <v>0</v>
      </c>
      <c r="Q20" s="224">
        <f>PRESUPUESTOS!M20</f>
        <v>0</v>
      </c>
      <c r="R20" s="224">
        <f t="shared" si="8"/>
        <v>0</v>
      </c>
    </row>
    <row r="21" spans="1:18" s="2" customFormat="1" x14ac:dyDescent="0.25">
      <c r="A21" s="223">
        <v>200</v>
      </c>
      <c r="B21" s="163" t="s">
        <v>140</v>
      </c>
      <c r="C21" s="164" t="s">
        <v>204</v>
      </c>
      <c r="D21" s="186" t="s">
        <v>52</v>
      </c>
      <c r="E21" s="224">
        <f>PRESUPUESTOS!F21</f>
        <v>16.02</v>
      </c>
      <c r="F21" s="224">
        <f t="shared" si="0"/>
        <v>0</v>
      </c>
      <c r="G21" s="224">
        <f t="shared" si="1"/>
        <v>0</v>
      </c>
      <c r="H21" s="224">
        <f t="shared" si="2"/>
        <v>68.91</v>
      </c>
      <c r="I21" s="224">
        <f t="shared" si="3"/>
        <v>1103.94</v>
      </c>
      <c r="J21" s="224">
        <f>PRESUPUESTOS!E21</f>
        <v>68.91</v>
      </c>
      <c r="K21" s="224">
        <f t="shared" si="4"/>
        <v>1103.94</v>
      </c>
      <c r="L21" s="224">
        <f>PRESUPUESTOS!N21</f>
        <v>0</v>
      </c>
      <c r="M21" s="71"/>
      <c r="N21" s="224">
        <f t="shared" si="5"/>
        <v>0</v>
      </c>
      <c r="O21" s="224">
        <f t="shared" si="6"/>
        <v>0</v>
      </c>
      <c r="P21" s="224">
        <f t="shared" si="7"/>
        <v>0</v>
      </c>
      <c r="Q21" s="224">
        <f>PRESUPUESTOS!M21</f>
        <v>0</v>
      </c>
      <c r="R21" s="224">
        <f t="shared" si="8"/>
        <v>0</v>
      </c>
    </row>
    <row r="22" spans="1:18" x14ac:dyDescent="0.25">
      <c r="A22" s="223">
        <v>200</v>
      </c>
      <c r="B22" s="163" t="s">
        <v>141</v>
      </c>
      <c r="C22" s="164" t="s">
        <v>205</v>
      </c>
      <c r="D22" s="186" t="s">
        <v>112</v>
      </c>
      <c r="E22" s="224">
        <f>PRESUPUESTOS!F22</f>
        <v>21.84</v>
      </c>
      <c r="F22" s="224">
        <f t="shared" si="0"/>
        <v>0</v>
      </c>
      <c r="G22" s="224">
        <f t="shared" si="1"/>
        <v>0</v>
      </c>
      <c r="H22" s="224">
        <f t="shared" si="2"/>
        <v>995.9</v>
      </c>
      <c r="I22" s="224">
        <f t="shared" si="3"/>
        <v>21750.46</v>
      </c>
      <c r="J22" s="224">
        <f>PRESUPUESTOS!E22</f>
        <v>995.9</v>
      </c>
      <c r="K22" s="224">
        <f t="shared" si="4"/>
        <v>21750.46</v>
      </c>
      <c r="L22" s="224">
        <f>PRESUPUESTOS!N22</f>
        <v>0</v>
      </c>
      <c r="M22" s="71"/>
      <c r="N22" s="224">
        <f t="shared" si="5"/>
        <v>0</v>
      </c>
      <c r="O22" s="224">
        <f t="shared" si="6"/>
        <v>0</v>
      </c>
      <c r="P22" s="224">
        <f t="shared" si="7"/>
        <v>0</v>
      </c>
      <c r="Q22" s="224">
        <f>PRESUPUESTOS!M22</f>
        <v>0</v>
      </c>
      <c r="R22" s="224">
        <f t="shared" si="8"/>
        <v>0</v>
      </c>
    </row>
    <row r="23" spans="1:18" x14ac:dyDescent="0.25">
      <c r="A23" s="223"/>
      <c r="B23" s="179" t="s">
        <v>142</v>
      </c>
      <c r="C23" s="180" t="s">
        <v>206</v>
      </c>
      <c r="D23" s="187"/>
      <c r="E23" s="224">
        <f>PRESUPUESTOS!F23</f>
        <v>0</v>
      </c>
      <c r="F23" s="224">
        <f t="shared" si="0"/>
        <v>0</v>
      </c>
      <c r="G23" s="224">
        <f t="shared" si="1"/>
        <v>0</v>
      </c>
      <c r="H23" s="224">
        <f t="shared" si="2"/>
        <v>0</v>
      </c>
      <c r="I23" s="224">
        <f t="shared" si="3"/>
        <v>0</v>
      </c>
      <c r="J23" s="224">
        <f>PRESUPUESTOS!E23</f>
        <v>0</v>
      </c>
      <c r="K23" s="224">
        <f t="shared" si="4"/>
        <v>0</v>
      </c>
      <c r="L23" s="224">
        <f>PRESUPUESTOS!N23</f>
        <v>0</v>
      </c>
      <c r="M23" s="71"/>
      <c r="N23" s="224">
        <f t="shared" si="5"/>
        <v>0</v>
      </c>
      <c r="O23" s="224">
        <f t="shared" si="6"/>
        <v>0</v>
      </c>
      <c r="P23" s="224">
        <f t="shared" si="7"/>
        <v>0</v>
      </c>
      <c r="Q23" s="224">
        <f>PRESUPUESTOS!M23</f>
        <v>0</v>
      </c>
      <c r="R23" s="224">
        <f t="shared" si="8"/>
        <v>0</v>
      </c>
    </row>
    <row r="24" spans="1:18" x14ac:dyDescent="0.25">
      <c r="A24" s="223">
        <v>200</v>
      </c>
      <c r="B24" s="171" t="s">
        <v>143</v>
      </c>
      <c r="C24" s="172" t="s">
        <v>207</v>
      </c>
      <c r="D24" s="188" t="s">
        <v>254</v>
      </c>
      <c r="E24" s="224">
        <f>PRESUPUESTOS!F24</f>
        <v>4.72</v>
      </c>
      <c r="F24" s="224">
        <f t="shared" si="0"/>
        <v>0</v>
      </c>
      <c r="G24" s="224">
        <f t="shared" si="1"/>
        <v>0</v>
      </c>
      <c r="H24" s="224">
        <f t="shared" si="2"/>
        <v>68.95</v>
      </c>
      <c r="I24" s="224">
        <f t="shared" si="3"/>
        <v>325.44</v>
      </c>
      <c r="J24" s="224">
        <f>PRESUPUESTOS!E24</f>
        <v>68.95</v>
      </c>
      <c r="K24" s="224">
        <f t="shared" si="4"/>
        <v>325.44</v>
      </c>
      <c r="L24" s="224">
        <f>PRESUPUESTOS!N24</f>
        <v>0</v>
      </c>
      <c r="M24" s="71"/>
      <c r="N24" s="224">
        <f t="shared" si="5"/>
        <v>0</v>
      </c>
      <c r="O24" s="224">
        <f t="shared" si="6"/>
        <v>0</v>
      </c>
      <c r="P24" s="224">
        <f t="shared" si="7"/>
        <v>0</v>
      </c>
      <c r="Q24" s="224">
        <f>PRESUPUESTOS!M24</f>
        <v>0</v>
      </c>
      <c r="R24" s="224">
        <f t="shared" si="8"/>
        <v>0</v>
      </c>
    </row>
    <row r="25" spans="1:18" x14ac:dyDescent="0.25">
      <c r="A25" s="223">
        <v>200</v>
      </c>
      <c r="B25" s="171" t="s">
        <v>144</v>
      </c>
      <c r="C25" s="172" t="s">
        <v>208</v>
      </c>
      <c r="D25" s="188" t="s">
        <v>254</v>
      </c>
      <c r="E25" s="224">
        <f>PRESUPUESTOS!F25</f>
        <v>7.8500000000000005</v>
      </c>
      <c r="F25" s="224">
        <f t="shared" si="0"/>
        <v>0</v>
      </c>
      <c r="G25" s="224">
        <f t="shared" si="1"/>
        <v>0</v>
      </c>
      <c r="H25" s="224">
        <f t="shared" si="2"/>
        <v>8.56</v>
      </c>
      <c r="I25" s="224">
        <f t="shared" si="3"/>
        <v>67.2</v>
      </c>
      <c r="J25" s="224">
        <f>PRESUPUESTOS!E25</f>
        <v>8.56</v>
      </c>
      <c r="K25" s="224">
        <f t="shared" si="4"/>
        <v>67.2</v>
      </c>
      <c r="L25" s="224">
        <f>PRESUPUESTOS!N25</f>
        <v>0</v>
      </c>
      <c r="M25" s="71"/>
      <c r="N25" s="224">
        <f t="shared" si="5"/>
        <v>0</v>
      </c>
      <c r="O25" s="224">
        <f t="shared" si="6"/>
        <v>0</v>
      </c>
      <c r="P25" s="224">
        <f t="shared" si="7"/>
        <v>0</v>
      </c>
      <c r="Q25" s="224">
        <f>PRESUPUESTOS!M25</f>
        <v>0</v>
      </c>
      <c r="R25" s="224">
        <f t="shared" si="8"/>
        <v>0</v>
      </c>
    </row>
    <row r="26" spans="1:18" x14ac:dyDescent="0.25">
      <c r="A26" s="223">
        <v>200</v>
      </c>
      <c r="B26" s="171" t="s">
        <v>145</v>
      </c>
      <c r="C26" s="172" t="s">
        <v>209</v>
      </c>
      <c r="D26" s="188" t="s">
        <v>254</v>
      </c>
      <c r="E26" s="224">
        <f>PRESUPUESTOS!F26</f>
        <v>15.19</v>
      </c>
      <c r="F26" s="224">
        <f t="shared" si="0"/>
        <v>0</v>
      </c>
      <c r="G26" s="224">
        <f t="shared" si="1"/>
        <v>0</v>
      </c>
      <c r="H26" s="224">
        <f t="shared" si="2"/>
        <v>68.95</v>
      </c>
      <c r="I26" s="224">
        <f t="shared" si="3"/>
        <v>1047.3499999999999</v>
      </c>
      <c r="J26" s="224">
        <f>PRESUPUESTOS!E26</f>
        <v>68.95</v>
      </c>
      <c r="K26" s="224">
        <f t="shared" si="4"/>
        <v>1047.3499999999999</v>
      </c>
      <c r="L26" s="224">
        <f>PRESUPUESTOS!N26</f>
        <v>0</v>
      </c>
      <c r="M26" s="71"/>
      <c r="N26" s="224">
        <f t="shared" si="5"/>
        <v>0</v>
      </c>
      <c r="O26" s="224">
        <f t="shared" si="6"/>
        <v>0</v>
      </c>
      <c r="P26" s="224">
        <f t="shared" si="7"/>
        <v>0</v>
      </c>
      <c r="Q26" s="224">
        <f>PRESUPUESTOS!M26</f>
        <v>0</v>
      </c>
      <c r="R26" s="224">
        <f t="shared" si="8"/>
        <v>0</v>
      </c>
    </row>
    <row r="27" spans="1:18" x14ac:dyDescent="0.25">
      <c r="A27" s="223">
        <v>200</v>
      </c>
      <c r="B27" s="171" t="s">
        <v>146</v>
      </c>
      <c r="C27" s="172" t="s">
        <v>210</v>
      </c>
      <c r="D27" s="188" t="s">
        <v>254</v>
      </c>
      <c r="E27" s="224">
        <f>PRESUPUESTOS!F27</f>
        <v>21.79</v>
      </c>
      <c r="F27" s="224">
        <f t="shared" si="0"/>
        <v>0</v>
      </c>
      <c r="G27" s="224">
        <f t="shared" si="1"/>
        <v>0</v>
      </c>
      <c r="H27" s="224">
        <f t="shared" si="2"/>
        <v>8.56</v>
      </c>
      <c r="I27" s="224">
        <f t="shared" si="3"/>
        <v>186.52</v>
      </c>
      <c r="J27" s="224">
        <f>PRESUPUESTOS!E27</f>
        <v>8.56</v>
      </c>
      <c r="K27" s="224">
        <f t="shared" si="4"/>
        <v>186.52</v>
      </c>
      <c r="L27" s="224">
        <f>PRESUPUESTOS!N27</f>
        <v>0</v>
      </c>
      <c r="M27" s="71"/>
      <c r="N27" s="224">
        <f t="shared" si="5"/>
        <v>0</v>
      </c>
      <c r="O27" s="224">
        <f t="shared" si="6"/>
        <v>0</v>
      </c>
      <c r="P27" s="224">
        <f t="shared" si="7"/>
        <v>0</v>
      </c>
      <c r="Q27" s="224">
        <f>PRESUPUESTOS!M27</f>
        <v>0</v>
      </c>
      <c r="R27" s="224">
        <f t="shared" si="8"/>
        <v>0</v>
      </c>
    </row>
    <row r="28" spans="1:18" x14ac:dyDescent="0.25">
      <c r="A28" s="223"/>
      <c r="B28" s="179" t="s">
        <v>147</v>
      </c>
      <c r="C28" s="180" t="s">
        <v>211</v>
      </c>
      <c r="D28" s="187"/>
      <c r="E28" s="224">
        <f>PRESUPUESTOS!F28</f>
        <v>0</v>
      </c>
      <c r="F28" s="224">
        <f t="shared" si="0"/>
        <v>0</v>
      </c>
      <c r="G28" s="224">
        <f t="shared" si="1"/>
        <v>0</v>
      </c>
      <c r="H28" s="224">
        <f t="shared" si="2"/>
        <v>0</v>
      </c>
      <c r="I28" s="224">
        <f t="shared" si="3"/>
        <v>0</v>
      </c>
      <c r="J28" s="224">
        <f>PRESUPUESTOS!E28</f>
        <v>0</v>
      </c>
      <c r="K28" s="224">
        <f t="shared" si="4"/>
        <v>0</v>
      </c>
      <c r="L28" s="224">
        <f>PRESUPUESTOS!N28</f>
        <v>0</v>
      </c>
      <c r="M28" s="71"/>
      <c r="N28" s="224">
        <f t="shared" si="5"/>
        <v>0</v>
      </c>
      <c r="O28" s="224">
        <f t="shared" si="6"/>
        <v>0</v>
      </c>
      <c r="P28" s="224">
        <f t="shared" si="7"/>
        <v>0</v>
      </c>
      <c r="Q28" s="224">
        <f>PRESUPUESTOS!M28</f>
        <v>0</v>
      </c>
      <c r="R28" s="224">
        <f t="shared" si="8"/>
        <v>0</v>
      </c>
    </row>
    <row r="29" spans="1:18" x14ac:dyDescent="0.25">
      <c r="A29" s="223"/>
      <c r="B29" s="179" t="s">
        <v>148</v>
      </c>
      <c r="C29" s="180" t="s">
        <v>212</v>
      </c>
      <c r="D29" s="187"/>
      <c r="E29" s="224">
        <f>PRESUPUESTOS!F29</f>
        <v>0</v>
      </c>
      <c r="F29" s="224">
        <f t="shared" si="0"/>
        <v>0</v>
      </c>
      <c r="G29" s="224">
        <f t="shared" si="1"/>
        <v>0</v>
      </c>
      <c r="H29" s="224">
        <f t="shared" si="2"/>
        <v>0</v>
      </c>
      <c r="I29" s="224">
        <f t="shared" si="3"/>
        <v>0</v>
      </c>
      <c r="J29" s="224">
        <f>PRESUPUESTOS!E29</f>
        <v>0</v>
      </c>
      <c r="K29" s="224">
        <f t="shared" si="4"/>
        <v>0</v>
      </c>
      <c r="L29" s="224">
        <f>PRESUPUESTOS!N29</f>
        <v>0</v>
      </c>
      <c r="M29" s="71"/>
      <c r="N29" s="224">
        <f t="shared" si="5"/>
        <v>0</v>
      </c>
      <c r="O29" s="224">
        <f t="shared" si="6"/>
        <v>0</v>
      </c>
      <c r="P29" s="224">
        <f t="shared" si="7"/>
        <v>0</v>
      </c>
      <c r="Q29" s="224">
        <f>PRESUPUESTOS!M29</f>
        <v>0</v>
      </c>
      <c r="R29" s="224">
        <f t="shared" si="8"/>
        <v>0</v>
      </c>
    </row>
    <row r="30" spans="1:18" x14ac:dyDescent="0.25">
      <c r="A30" s="223">
        <v>300</v>
      </c>
      <c r="B30" s="171" t="s">
        <v>149</v>
      </c>
      <c r="C30" s="172" t="s">
        <v>213</v>
      </c>
      <c r="D30" s="188" t="s">
        <v>112</v>
      </c>
      <c r="E30" s="224">
        <f>PRESUPUESTOS!F30</f>
        <v>173.72</v>
      </c>
      <c r="F30" s="224">
        <f t="shared" si="0"/>
        <v>0</v>
      </c>
      <c r="G30" s="224">
        <f t="shared" si="1"/>
        <v>0</v>
      </c>
      <c r="H30" s="224">
        <f t="shared" si="2"/>
        <v>323.69</v>
      </c>
      <c r="I30" s="224">
        <f t="shared" si="3"/>
        <v>56231.43</v>
      </c>
      <c r="J30" s="224">
        <f>PRESUPUESTOS!E30</f>
        <v>323.69</v>
      </c>
      <c r="K30" s="224">
        <f t="shared" si="4"/>
        <v>56231.43</v>
      </c>
      <c r="L30" s="224">
        <f>PRESUPUESTOS!N30</f>
        <v>0</v>
      </c>
      <c r="M30" s="71"/>
      <c r="N30" s="224">
        <f t="shared" si="5"/>
        <v>0</v>
      </c>
      <c r="O30" s="224">
        <f t="shared" si="6"/>
        <v>0</v>
      </c>
      <c r="P30" s="224">
        <f t="shared" si="7"/>
        <v>0</v>
      </c>
      <c r="Q30" s="224">
        <f>PRESUPUESTOS!M30</f>
        <v>0</v>
      </c>
      <c r="R30" s="224">
        <f t="shared" si="8"/>
        <v>0</v>
      </c>
    </row>
    <row r="31" spans="1:18" x14ac:dyDescent="0.25">
      <c r="A31" s="223"/>
      <c r="B31" s="179" t="s">
        <v>150</v>
      </c>
      <c r="C31" s="180" t="s">
        <v>214</v>
      </c>
      <c r="D31" s="187"/>
      <c r="E31" s="224">
        <f>PRESUPUESTOS!F31</f>
        <v>0</v>
      </c>
      <c r="F31" s="224">
        <f t="shared" si="0"/>
        <v>0</v>
      </c>
      <c r="G31" s="224">
        <f t="shared" si="1"/>
        <v>0</v>
      </c>
      <c r="H31" s="224">
        <f t="shared" si="2"/>
        <v>0</v>
      </c>
      <c r="I31" s="224">
        <f t="shared" si="3"/>
        <v>0</v>
      </c>
      <c r="J31" s="224">
        <f>PRESUPUESTOS!E31</f>
        <v>0</v>
      </c>
      <c r="K31" s="224">
        <f t="shared" si="4"/>
        <v>0</v>
      </c>
      <c r="L31" s="224">
        <f>PRESUPUESTOS!N31</f>
        <v>0</v>
      </c>
      <c r="M31" s="71"/>
      <c r="N31" s="224">
        <f t="shared" si="5"/>
        <v>0</v>
      </c>
      <c r="O31" s="224">
        <f t="shared" si="6"/>
        <v>0</v>
      </c>
      <c r="P31" s="224">
        <f t="shared" si="7"/>
        <v>0</v>
      </c>
      <c r="Q31" s="224">
        <f>PRESUPUESTOS!M31</f>
        <v>0</v>
      </c>
      <c r="R31" s="224">
        <f t="shared" si="8"/>
        <v>0</v>
      </c>
    </row>
    <row r="32" spans="1:18" x14ac:dyDescent="0.25">
      <c r="A32" s="223">
        <v>300</v>
      </c>
      <c r="B32" s="171" t="s">
        <v>151</v>
      </c>
      <c r="C32" s="172" t="s">
        <v>215</v>
      </c>
      <c r="D32" s="188" t="s">
        <v>112</v>
      </c>
      <c r="E32" s="224">
        <f>PRESUPUESTOS!F32</f>
        <v>179.78</v>
      </c>
      <c r="F32" s="224">
        <f t="shared" si="0"/>
        <v>0</v>
      </c>
      <c r="G32" s="224">
        <f t="shared" si="1"/>
        <v>0</v>
      </c>
      <c r="H32" s="224">
        <f t="shared" si="2"/>
        <v>24.73</v>
      </c>
      <c r="I32" s="224">
        <f t="shared" si="3"/>
        <v>4445.96</v>
      </c>
      <c r="J32" s="224">
        <f>PRESUPUESTOS!E32</f>
        <v>24.73</v>
      </c>
      <c r="K32" s="224">
        <f t="shared" si="4"/>
        <v>4445.96</v>
      </c>
      <c r="L32" s="224">
        <f>PRESUPUESTOS!N32</f>
        <v>0</v>
      </c>
      <c r="M32" s="71"/>
      <c r="N32" s="224">
        <f t="shared" si="5"/>
        <v>0</v>
      </c>
      <c r="O32" s="224">
        <f t="shared" si="6"/>
        <v>0</v>
      </c>
      <c r="P32" s="224">
        <f t="shared" si="7"/>
        <v>0</v>
      </c>
      <c r="Q32" s="224">
        <f>PRESUPUESTOS!M32</f>
        <v>0</v>
      </c>
      <c r="R32" s="224">
        <f t="shared" si="8"/>
        <v>0</v>
      </c>
    </row>
    <row r="33" spans="1:18" x14ac:dyDescent="0.25">
      <c r="A33" s="223">
        <v>400</v>
      </c>
      <c r="B33" s="171" t="s">
        <v>152</v>
      </c>
      <c r="C33" s="172" t="s">
        <v>216</v>
      </c>
      <c r="D33" s="188" t="s">
        <v>254</v>
      </c>
      <c r="E33" s="224">
        <f>PRESUPUESTOS!F33</f>
        <v>46.17</v>
      </c>
      <c r="F33" s="224">
        <f t="shared" si="0"/>
        <v>0</v>
      </c>
      <c r="G33" s="224">
        <f t="shared" si="1"/>
        <v>0</v>
      </c>
      <c r="H33" s="224">
        <f t="shared" si="2"/>
        <v>23.09</v>
      </c>
      <c r="I33" s="224">
        <f t="shared" si="3"/>
        <v>1066.07</v>
      </c>
      <c r="J33" s="224">
        <f>PRESUPUESTOS!E33</f>
        <v>23.09</v>
      </c>
      <c r="K33" s="224">
        <f t="shared" si="4"/>
        <v>1066.07</v>
      </c>
      <c r="L33" s="224">
        <f>PRESUPUESTOS!N33</f>
        <v>0</v>
      </c>
      <c r="M33" s="71"/>
      <c r="N33" s="224">
        <f t="shared" si="5"/>
        <v>0</v>
      </c>
      <c r="O33" s="224">
        <f t="shared" si="6"/>
        <v>0</v>
      </c>
      <c r="P33" s="224">
        <f t="shared" si="7"/>
        <v>0</v>
      </c>
      <c r="Q33" s="224">
        <f>PRESUPUESTOS!M33</f>
        <v>0</v>
      </c>
      <c r="R33" s="224">
        <f t="shared" si="8"/>
        <v>0</v>
      </c>
    </row>
    <row r="34" spans="1:18" x14ac:dyDescent="0.25">
      <c r="A34" s="223">
        <v>300</v>
      </c>
      <c r="B34" s="171" t="s">
        <v>153</v>
      </c>
      <c r="C34" s="172" t="s">
        <v>217</v>
      </c>
      <c r="D34" s="188" t="s">
        <v>112</v>
      </c>
      <c r="E34" s="224">
        <f>PRESUPUESTOS!F34</f>
        <v>179.78</v>
      </c>
      <c r="F34" s="224">
        <f t="shared" si="0"/>
        <v>0</v>
      </c>
      <c r="G34" s="224">
        <f t="shared" si="1"/>
        <v>0</v>
      </c>
      <c r="H34" s="224">
        <f t="shared" si="2"/>
        <v>163.82</v>
      </c>
      <c r="I34" s="224">
        <f t="shared" si="3"/>
        <v>29451.56</v>
      </c>
      <c r="J34" s="224">
        <f>PRESUPUESTOS!E34</f>
        <v>163.82</v>
      </c>
      <c r="K34" s="224">
        <f t="shared" si="4"/>
        <v>29451.56</v>
      </c>
      <c r="L34" s="224">
        <f>PRESUPUESTOS!N34</f>
        <v>0</v>
      </c>
      <c r="M34" s="71"/>
      <c r="N34" s="224">
        <f t="shared" si="5"/>
        <v>0</v>
      </c>
      <c r="O34" s="224">
        <f t="shared" si="6"/>
        <v>0</v>
      </c>
      <c r="P34" s="224">
        <f t="shared" si="7"/>
        <v>0</v>
      </c>
      <c r="Q34" s="224">
        <f>PRESUPUESTOS!M34</f>
        <v>0</v>
      </c>
      <c r="R34" s="224">
        <f t="shared" si="8"/>
        <v>0</v>
      </c>
    </row>
    <row r="35" spans="1:18" x14ac:dyDescent="0.25">
      <c r="A35" s="223">
        <v>400</v>
      </c>
      <c r="B35" s="171" t="s">
        <v>154</v>
      </c>
      <c r="C35" s="172" t="s">
        <v>218</v>
      </c>
      <c r="D35" s="188" t="s">
        <v>254</v>
      </c>
      <c r="E35" s="224">
        <f>PRESUPUESTOS!F35</f>
        <v>37.47</v>
      </c>
      <c r="F35" s="224">
        <f t="shared" si="0"/>
        <v>0</v>
      </c>
      <c r="G35" s="224">
        <f t="shared" si="1"/>
        <v>0</v>
      </c>
      <c r="H35" s="224">
        <f t="shared" si="2"/>
        <v>327.63</v>
      </c>
      <c r="I35" s="224">
        <f t="shared" si="3"/>
        <v>12276.3</v>
      </c>
      <c r="J35" s="224">
        <f>PRESUPUESTOS!E35</f>
        <v>327.63</v>
      </c>
      <c r="K35" s="224">
        <f t="shared" si="4"/>
        <v>12276.3</v>
      </c>
      <c r="L35" s="224">
        <f>PRESUPUESTOS!N35</f>
        <v>0</v>
      </c>
      <c r="M35" s="71"/>
      <c r="N35" s="224">
        <f t="shared" si="5"/>
        <v>0</v>
      </c>
      <c r="O35" s="224">
        <f t="shared" si="6"/>
        <v>0</v>
      </c>
      <c r="P35" s="224">
        <f t="shared" si="7"/>
        <v>0</v>
      </c>
      <c r="Q35" s="224">
        <f>PRESUPUESTOS!M35</f>
        <v>0</v>
      </c>
      <c r="R35" s="224">
        <f t="shared" si="8"/>
        <v>0</v>
      </c>
    </row>
    <row r="36" spans="1:18" x14ac:dyDescent="0.25">
      <c r="A36" s="223"/>
      <c r="B36" s="179" t="s">
        <v>155</v>
      </c>
      <c r="C36" s="180" t="s">
        <v>219</v>
      </c>
      <c r="D36" s="187"/>
      <c r="E36" s="224">
        <f>PRESUPUESTOS!F36</f>
        <v>0</v>
      </c>
      <c r="F36" s="224">
        <f t="shared" si="0"/>
        <v>0</v>
      </c>
      <c r="G36" s="224">
        <f t="shared" si="1"/>
        <v>0</v>
      </c>
      <c r="H36" s="224">
        <f t="shared" si="2"/>
        <v>0</v>
      </c>
      <c r="I36" s="224">
        <f t="shared" si="3"/>
        <v>0</v>
      </c>
      <c r="J36" s="224">
        <f>PRESUPUESTOS!E36</f>
        <v>0</v>
      </c>
      <c r="K36" s="224">
        <f t="shared" si="4"/>
        <v>0</v>
      </c>
      <c r="L36" s="224">
        <f>PRESUPUESTOS!N36</f>
        <v>0</v>
      </c>
      <c r="M36" s="71"/>
      <c r="N36" s="224">
        <f t="shared" si="5"/>
        <v>0</v>
      </c>
      <c r="O36" s="224">
        <f t="shared" si="6"/>
        <v>0</v>
      </c>
      <c r="P36" s="224">
        <f t="shared" si="7"/>
        <v>0</v>
      </c>
      <c r="Q36" s="224">
        <f>PRESUPUESTOS!M36</f>
        <v>0</v>
      </c>
      <c r="R36" s="224">
        <f t="shared" si="8"/>
        <v>0</v>
      </c>
    </row>
    <row r="37" spans="1:18" x14ac:dyDescent="0.25">
      <c r="A37" s="223">
        <v>300</v>
      </c>
      <c r="B37" s="171" t="s">
        <v>156</v>
      </c>
      <c r="C37" s="172" t="s">
        <v>220</v>
      </c>
      <c r="D37" s="186" t="s">
        <v>112</v>
      </c>
      <c r="E37" s="224">
        <f>PRESUPUESTOS!F37</f>
        <v>260.59000000000003</v>
      </c>
      <c r="F37" s="224">
        <f t="shared" si="0"/>
        <v>0</v>
      </c>
      <c r="G37" s="224">
        <f t="shared" si="1"/>
        <v>0</v>
      </c>
      <c r="H37" s="224">
        <f t="shared" si="2"/>
        <v>3.21</v>
      </c>
      <c r="I37" s="224">
        <f t="shared" si="3"/>
        <v>836.49</v>
      </c>
      <c r="J37" s="224">
        <f>PRESUPUESTOS!E37</f>
        <v>3.21</v>
      </c>
      <c r="K37" s="224">
        <f t="shared" si="4"/>
        <v>836.49</v>
      </c>
      <c r="L37" s="224">
        <f>PRESUPUESTOS!N37</f>
        <v>0</v>
      </c>
      <c r="M37" s="71"/>
      <c r="N37" s="224">
        <f t="shared" si="5"/>
        <v>0</v>
      </c>
      <c r="O37" s="224">
        <f t="shared" si="6"/>
        <v>0</v>
      </c>
      <c r="P37" s="224">
        <f t="shared" si="7"/>
        <v>0</v>
      </c>
      <c r="Q37" s="224">
        <f>PRESUPUESTOS!M37</f>
        <v>0</v>
      </c>
      <c r="R37" s="224">
        <f t="shared" si="8"/>
        <v>0</v>
      </c>
    </row>
    <row r="38" spans="1:18" x14ac:dyDescent="0.25">
      <c r="A38" s="223">
        <v>400</v>
      </c>
      <c r="B38" s="171" t="s">
        <v>157</v>
      </c>
      <c r="C38" s="172" t="s">
        <v>221</v>
      </c>
      <c r="D38" s="188" t="s">
        <v>254</v>
      </c>
      <c r="E38" s="224">
        <f>PRESUPUESTOS!F38</f>
        <v>37.700000000000003</v>
      </c>
      <c r="F38" s="224">
        <f t="shared" si="0"/>
        <v>0</v>
      </c>
      <c r="G38" s="224">
        <f t="shared" si="1"/>
        <v>0</v>
      </c>
      <c r="H38" s="224">
        <f t="shared" si="2"/>
        <v>43.95</v>
      </c>
      <c r="I38" s="224">
        <f t="shared" si="3"/>
        <v>1656.92</v>
      </c>
      <c r="J38" s="224">
        <f>PRESUPUESTOS!E38</f>
        <v>43.95</v>
      </c>
      <c r="K38" s="224">
        <f t="shared" si="4"/>
        <v>1656.92</v>
      </c>
      <c r="L38" s="224">
        <f>PRESUPUESTOS!N38</f>
        <v>0</v>
      </c>
      <c r="M38" s="71"/>
      <c r="N38" s="224">
        <f t="shared" si="5"/>
        <v>0</v>
      </c>
      <c r="O38" s="224">
        <f t="shared" si="6"/>
        <v>0</v>
      </c>
      <c r="P38" s="224">
        <f t="shared" si="7"/>
        <v>0</v>
      </c>
      <c r="Q38" s="224">
        <f>PRESUPUESTOS!M38</f>
        <v>0</v>
      </c>
      <c r="R38" s="224">
        <f t="shared" si="8"/>
        <v>0</v>
      </c>
    </row>
    <row r="39" spans="1:18" x14ac:dyDescent="0.25">
      <c r="A39" s="223"/>
      <c r="B39" s="179" t="s">
        <v>158</v>
      </c>
      <c r="C39" s="180" t="s">
        <v>222</v>
      </c>
      <c r="D39" s="187"/>
      <c r="E39" s="224">
        <f>PRESUPUESTOS!F39</f>
        <v>0</v>
      </c>
      <c r="F39" s="224">
        <f t="shared" si="0"/>
        <v>0</v>
      </c>
      <c r="G39" s="224">
        <f t="shared" si="1"/>
        <v>0</v>
      </c>
      <c r="H39" s="224">
        <f t="shared" si="2"/>
        <v>0</v>
      </c>
      <c r="I39" s="224">
        <f t="shared" si="3"/>
        <v>0</v>
      </c>
      <c r="J39" s="224">
        <f>PRESUPUESTOS!E39</f>
        <v>0</v>
      </c>
      <c r="K39" s="224">
        <f t="shared" si="4"/>
        <v>0</v>
      </c>
      <c r="L39" s="224">
        <f>PRESUPUESTOS!N39</f>
        <v>0</v>
      </c>
      <c r="M39" s="71"/>
      <c r="N39" s="224">
        <f t="shared" si="5"/>
        <v>0</v>
      </c>
      <c r="O39" s="224">
        <f t="shared" si="6"/>
        <v>0</v>
      </c>
      <c r="P39" s="224">
        <f t="shared" si="7"/>
        <v>0</v>
      </c>
      <c r="Q39" s="224">
        <f>PRESUPUESTOS!M39</f>
        <v>0</v>
      </c>
      <c r="R39" s="224">
        <f t="shared" si="8"/>
        <v>0</v>
      </c>
    </row>
    <row r="40" spans="1:18" x14ac:dyDescent="0.25">
      <c r="A40" s="223"/>
      <c r="B40" s="179" t="s">
        <v>159</v>
      </c>
      <c r="C40" s="180" t="s">
        <v>223</v>
      </c>
      <c r="D40" s="187"/>
      <c r="E40" s="224">
        <f>PRESUPUESTOS!F40</f>
        <v>0</v>
      </c>
      <c r="F40" s="224">
        <f t="shared" si="0"/>
        <v>0</v>
      </c>
      <c r="G40" s="224">
        <f t="shared" si="1"/>
        <v>0</v>
      </c>
      <c r="H40" s="224">
        <f t="shared" si="2"/>
        <v>0</v>
      </c>
      <c r="I40" s="224">
        <f t="shared" si="3"/>
        <v>0</v>
      </c>
      <c r="J40" s="224">
        <f>PRESUPUESTOS!E40</f>
        <v>0</v>
      </c>
      <c r="K40" s="224">
        <f t="shared" si="4"/>
        <v>0</v>
      </c>
      <c r="L40" s="224">
        <f>PRESUPUESTOS!N40</f>
        <v>0</v>
      </c>
      <c r="M40" s="71"/>
      <c r="N40" s="224">
        <f t="shared" si="5"/>
        <v>0</v>
      </c>
      <c r="O40" s="224">
        <f t="shared" si="6"/>
        <v>0</v>
      </c>
      <c r="P40" s="224">
        <f t="shared" si="7"/>
        <v>0</v>
      </c>
      <c r="Q40" s="224">
        <f>PRESUPUESTOS!M40</f>
        <v>0</v>
      </c>
      <c r="R40" s="224">
        <f t="shared" si="8"/>
        <v>0</v>
      </c>
    </row>
    <row r="41" spans="1:18" x14ac:dyDescent="0.25">
      <c r="A41" s="223">
        <v>300</v>
      </c>
      <c r="B41" s="171" t="s">
        <v>160</v>
      </c>
      <c r="C41" s="172" t="s">
        <v>224</v>
      </c>
      <c r="D41" s="188" t="s">
        <v>112</v>
      </c>
      <c r="E41" s="224">
        <f>PRESUPUESTOS!F41</f>
        <v>292.79000000000002</v>
      </c>
      <c r="F41" s="224">
        <f t="shared" si="0"/>
        <v>0</v>
      </c>
      <c r="G41" s="224">
        <f t="shared" si="1"/>
        <v>0</v>
      </c>
      <c r="H41" s="224">
        <f t="shared" si="2"/>
        <v>396.75</v>
      </c>
      <c r="I41" s="224">
        <f t="shared" si="3"/>
        <v>116164.43</v>
      </c>
      <c r="J41" s="224">
        <f>PRESUPUESTOS!E41</f>
        <v>396.75</v>
      </c>
      <c r="K41" s="224">
        <f t="shared" si="4"/>
        <v>116164.43</v>
      </c>
      <c r="L41" s="224">
        <f>PRESUPUESTOS!N41</f>
        <v>0</v>
      </c>
      <c r="M41" s="71"/>
      <c r="N41" s="224">
        <f t="shared" si="5"/>
        <v>0</v>
      </c>
      <c r="O41" s="224">
        <f t="shared" si="6"/>
        <v>0</v>
      </c>
      <c r="P41" s="224">
        <f t="shared" si="7"/>
        <v>0</v>
      </c>
      <c r="Q41" s="224">
        <f>PRESUPUESTOS!M41</f>
        <v>0</v>
      </c>
      <c r="R41" s="224">
        <f t="shared" si="8"/>
        <v>0</v>
      </c>
    </row>
    <row r="42" spans="1:18" x14ac:dyDescent="0.25">
      <c r="A42" s="223">
        <v>500</v>
      </c>
      <c r="B42" s="171" t="s">
        <v>161</v>
      </c>
      <c r="C42" s="172" t="s">
        <v>225</v>
      </c>
      <c r="D42" s="188" t="s">
        <v>255</v>
      </c>
      <c r="E42" s="224">
        <f>PRESUPUESTOS!F42</f>
        <v>4.0200000000000005</v>
      </c>
      <c r="F42" s="224">
        <f t="shared" si="0"/>
        <v>0</v>
      </c>
      <c r="G42" s="224">
        <f t="shared" si="1"/>
        <v>0</v>
      </c>
      <c r="H42" s="224">
        <f t="shared" si="2"/>
        <v>17534.91</v>
      </c>
      <c r="I42" s="224">
        <f t="shared" si="3"/>
        <v>70490.34</v>
      </c>
      <c r="J42" s="224">
        <f>PRESUPUESTOS!E42</f>
        <v>17534.91</v>
      </c>
      <c r="K42" s="224">
        <f t="shared" si="4"/>
        <v>70490.34</v>
      </c>
      <c r="L42" s="224">
        <f>PRESUPUESTOS!N42</f>
        <v>0</v>
      </c>
      <c r="M42" s="71"/>
      <c r="N42" s="224">
        <f t="shared" si="5"/>
        <v>0</v>
      </c>
      <c r="O42" s="224">
        <f t="shared" si="6"/>
        <v>0</v>
      </c>
      <c r="P42" s="224">
        <f t="shared" si="7"/>
        <v>0</v>
      </c>
      <c r="Q42" s="224">
        <f>PRESUPUESTOS!M42</f>
        <v>0</v>
      </c>
      <c r="R42" s="224">
        <f t="shared" si="8"/>
        <v>0</v>
      </c>
    </row>
    <row r="43" spans="1:18" x14ac:dyDescent="0.25">
      <c r="A43" s="223"/>
      <c r="B43" s="179" t="s">
        <v>162</v>
      </c>
      <c r="C43" s="180" t="s">
        <v>226</v>
      </c>
      <c r="D43" s="187"/>
      <c r="E43" s="224">
        <f>PRESUPUESTOS!F43</f>
        <v>0</v>
      </c>
      <c r="F43" s="224">
        <f t="shared" si="0"/>
        <v>0</v>
      </c>
      <c r="G43" s="224">
        <f t="shared" si="1"/>
        <v>0</v>
      </c>
      <c r="H43" s="224">
        <f t="shared" si="2"/>
        <v>0</v>
      </c>
      <c r="I43" s="224">
        <f t="shared" si="3"/>
        <v>0</v>
      </c>
      <c r="J43" s="224">
        <f>PRESUPUESTOS!E43</f>
        <v>0</v>
      </c>
      <c r="K43" s="224">
        <f t="shared" si="4"/>
        <v>0</v>
      </c>
      <c r="L43" s="224">
        <f>PRESUPUESTOS!N43</f>
        <v>0</v>
      </c>
      <c r="M43" s="71"/>
      <c r="N43" s="224">
        <f t="shared" si="5"/>
        <v>0</v>
      </c>
      <c r="O43" s="224">
        <f t="shared" si="6"/>
        <v>0</v>
      </c>
      <c r="P43" s="224">
        <f t="shared" si="7"/>
        <v>0</v>
      </c>
      <c r="Q43" s="224">
        <f>PRESUPUESTOS!M43</f>
        <v>0</v>
      </c>
      <c r="R43" s="224">
        <f t="shared" si="8"/>
        <v>0</v>
      </c>
    </row>
    <row r="44" spans="1:18" x14ac:dyDescent="0.25">
      <c r="A44" s="223">
        <v>300</v>
      </c>
      <c r="B44" s="171" t="s">
        <v>163</v>
      </c>
      <c r="C44" s="172" t="s">
        <v>227</v>
      </c>
      <c r="D44" s="188" t="s">
        <v>112</v>
      </c>
      <c r="E44" s="224">
        <f>PRESUPUESTOS!F44</f>
        <v>454.82</v>
      </c>
      <c r="F44" s="224">
        <f t="shared" si="0"/>
        <v>0</v>
      </c>
      <c r="G44" s="224">
        <f t="shared" si="1"/>
        <v>0</v>
      </c>
      <c r="H44" s="224">
        <f t="shared" si="2"/>
        <v>6.69</v>
      </c>
      <c r="I44" s="224">
        <f t="shared" si="3"/>
        <v>3042.75</v>
      </c>
      <c r="J44" s="224">
        <f>PRESUPUESTOS!E44</f>
        <v>6.69</v>
      </c>
      <c r="K44" s="224">
        <f t="shared" si="4"/>
        <v>3042.75</v>
      </c>
      <c r="L44" s="224">
        <f>PRESUPUESTOS!N44</f>
        <v>0</v>
      </c>
      <c r="M44" s="71"/>
      <c r="N44" s="224">
        <f t="shared" si="5"/>
        <v>0</v>
      </c>
      <c r="O44" s="224">
        <f t="shared" si="6"/>
        <v>0</v>
      </c>
      <c r="P44" s="224">
        <f t="shared" si="7"/>
        <v>0</v>
      </c>
      <c r="Q44" s="224">
        <f>PRESUPUESTOS!M44</f>
        <v>0</v>
      </c>
      <c r="R44" s="224">
        <f t="shared" si="8"/>
        <v>0</v>
      </c>
    </row>
    <row r="45" spans="1:18" x14ac:dyDescent="0.25">
      <c r="A45" s="223">
        <v>400</v>
      </c>
      <c r="B45" s="171" t="s">
        <v>164</v>
      </c>
      <c r="C45" s="172" t="s">
        <v>228</v>
      </c>
      <c r="D45" s="188" t="s">
        <v>254</v>
      </c>
      <c r="E45" s="224">
        <f>PRESUPUESTOS!F45</f>
        <v>59.78</v>
      </c>
      <c r="F45" s="224">
        <f t="shared" si="0"/>
        <v>0</v>
      </c>
      <c r="G45" s="224">
        <f t="shared" si="1"/>
        <v>0</v>
      </c>
      <c r="H45" s="224">
        <f t="shared" si="2"/>
        <v>74.180000000000007</v>
      </c>
      <c r="I45" s="224">
        <f t="shared" si="3"/>
        <v>4434.4799999999996</v>
      </c>
      <c r="J45" s="224">
        <f>PRESUPUESTOS!E45</f>
        <v>74.180000000000007</v>
      </c>
      <c r="K45" s="224">
        <f t="shared" si="4"/>
        <v>4434.4799999999996</v>
      </c>
      <c r="L45" s="224">
        <f>PRESUPUESTOS!N45</f>
        <v>0</v>
      </c>
      <c r="M45" s="71"/>
      <c r="N45" s="224">
        <f t="shared" si="5"/>
        <v>0</v>
      </c>
      <c r="O45" s="224">
        <f t="shared" si="6"/>
        <v>0</v>
      </c>
      <c r="P45" s="224">
        <f t="shared" si="7"/>
        <v>0</v>
      </c>
      <c r="Q45" s="224">
        <f>PRESUPUESTOS!M45</f>
        <v>0</v>
      </c>
      <c r="R45" s="224">
        <f t="shared" si="8"/>
        <v>0</v>
      </c>
    </row>
    <row r="46" spans="1:18" x14ac:dyDescent="0.25">
      <c r="A46" s="223">
        <v>500</v>
      </c>
      <c r="B46" s="171" t="s">
        <v>165</v>
      </c>
      <c r="C46" s="172" t="s">
        <v>229</v>
      </c>
      <c r="D46" s="188" t="s">
        <v>255</v>
      </c>
      <c r="E46" s="224">
        <f>PRESUPUESTOS!F46</f>
        <v>4.0200000000000005</v>
      </c>
      <c r="F46" s="224">
        <f t="shared" si="0"/>
        <v>0</v>
      </c>
      <c r="G46" s="224">
        <f t="shared" si="1"/>
        <v>0</v>
      </c>
      <c r="H46" s="224">
        <f t="shared" si="2"/>
        <v>419.35</v>
      </c>
      <c r="I46" s="224">
        <f t="shared" si="3"/>
        <v>1685.79</v>
      </c>
      <c r="J46" s="224">
        <f>PRESUPUESTOS!E46</f>
        <v>419.35</v>
      </c>
      <c r="K46" s="224">
        <f t="shared" si="4"/>
        <v>1685.79</v>
      </c>
      <c r="L46" s="224">
        <f>PRESUPUESTOS!N46</f>
        <v>0</v>
      </c>
      <c r="M46" s="71"/>
      <c r="N46" s="224">
        <f t="shared" si="5"/>
        <v>0</v>
      </c>
      <c r="O46" s="224">
        <f t="shared" si="6"/>
        <v>0</v>
      </c>
      <c r="P46" s="224">
        <f t="shared" si="7"/>
        <v>0</v>
      </c>
      <c r="Q46" s="224">
        <f>PRESUPUESTOS!M46</f>
        <v>0</v>
      </c>
      <c r="R46" s="224">
        <f t="shared" si="8"/>
        <v>0</v>
      </c>
    </row>
    <row r="47" spans="1:18" x14ac:dyDescent="0.25">
      <c r="A47" s="223">
        <v>300</v>
      </c>
      <c r="B47" s="171" t="s">
        <v>166</v>
      </c>
      <c r="C47" s="172" t="s">
        <v>230</v>
      </c>
      <c r="D47" s="188" t="s">
        <v>112</v>
      </c>
      <c r="E47" s="224">
        <f>PRESUPUESTOS!F47</f>
        <v>417.41</v>
      </c>
      <c r="F47" s="224">
        <f t="shared" si="0"/>
        <v>0</v>
      </c>
      <c r="G47" s="224">
        <f t="shared" si="1"/>
        <v>0</v>
      </c>
      <c r="H47" s="224">
        <f t="shared" si="2"/>
        <v>256.52</v>
      </c>
      <c r="I47" s="224">
        <f t="shared" si="3"/>
        <v>107074.01</v>
      </c>
      <c r="J47" s="224">
        <f>PRESUPUESTOS!E47</f>
        <v>256.52</v>
      </c>
      <c r="K47" s="224">
        <f t="shared" si="4"/>
        <v>107074.01</v>
      </c>
      <c r="L47" s="224">
        <f>PRESUPUESTOS!N47</f>
        <v>0</v>
      </c>
      <c r="M47" s="71"/>
      <c r="N47" s="224">
        <f t="shared" si="5"/>
        <v>0</v>
      </c>
      <c r="O47" s="224">
        <f t="shared" si="6"/>
        <v>0</v>
      </c>
      <c r="P47" s="224">
        <f t="shared" si="7"/>
        <v>0</v>
      </c>
      <c r="Q47" s="224">
        <f>PRESUPUESTOS!M47</f>
        <v>0</v>
      </c>
      <c r="R47" s="224">
        <f t="shared" si="8"/>
        <v>0</v>
      </c>
    </row>
    <row r="48" spans="1:18" x14ac:dyDescent="0.25">
      <c r="A48" s="223">
        <v>400</v>
      </c>
      <c r="B48" s="171" t="s">
        <v>167</v>
      </c>
      <c r="C48" s="172" t="s">
        <v>231</v>
      </c>
      <c r="D48" s="188" t="s">
        <v>254</v>
      </c>
      <c r="E48" s="224">
        <f>PRESUPUESTOS!F48</f>
        <v>51.21</v>
      </c>
      <c r="F48" s="224">
        <f t="shared" si="0"/>
        <v>0</v>
      </c>
      <c r="G48" s="224">
        <f t="shared" si="1"/>
        <v>0</v>
      </c>
      <c r="H48" s="224">
        <f t="shared" si="2"/>
        <v>2096.19</v>
      </c>
      <c r="I48" s="224">
        <f t="shared" si="3"/>
        <v>107345.89</v>
      </c>
      <c r="J48" s="224">
        <f>PRESUPUESTOS!E48</f>
        <v>2096.19</v>
      </c>
      <c r="K48" s="224">
        <f t="shared" si="4"/>
        <v>107345.89</v>
      </c>
      <c r="L48" s="224">
        <f>PRESUPUESTOS!N48</f>
        <v>0</v>
      </c>
      <c r="M48" s="71"/>
      <c r="N48" s="224">
        <f t="shared" si="5"/>
        <v>0</v>
      </c>
      <c r="O48" s="224">
        <f t="shared" si="6"/>
        <v>0</v>
      </c>
      <c r="P48" s="224">
        <f t="shared" si="7"/>
        <v>0</v>
      </c>
      <c r="Q48" s="224">
        <f>PRESUPUESTOS!M48</f>
        <v>0</v>
      </c>
      <c r="R48" s="224">
        <f t="shared" si="8"/>
        <v>0</v>
      </c>
    </row>
    <row r="49" spans="1:18" x14ac:dyDescent="0.25">
      <c r="A49" s="223">
        <v>500</v>
      </c>
      <c r="B49" s="171" t="s">
        <v>168</v>
      </c>
      <c r="C49" s="172" t="s">
        <v>232</v>
      </c>
      <c r="D49" s="188" t="s">
        <v>256</v>
      </c>
      <c r="E49" s="224">
        <f>PRESUPUESTOS!F49</f>
        <v>4.0200000000000005</v>
      </c>
      <c r="F49" s="224">
        <f t="shared" si="0"/>
        <v>0</v>
      </c>
      <c r="G49" s="224">
        <f t="shared" si="1"/>
        <v>0</v>
      </c>
      <c r="H49" s="224">
        <f t="shared" si="2"/>
        <v>18595.100000000002</v>
      </c>
      <c r="I49" s="224">
        <f t="shared" si="3"/>
        <v>74752.3</v>
      </c>
      <c r="J49" s="224">
        <f>PRESUPUESTOS!E49</f>
        <v>18595.100000000002</v>
      </c>
      <c r="K49" s="224">
        <f t="shared" si="4"/>
        <v>74752.3</v>
      </c>
      <c r="L49" s="224">
        <f>PRESUPUESTOS!N49</f>
        <v>0</v>
      </c>
      <c r="M49" s="71"/>
      <c r="N49" s="224">
        <f t="shared" si="5"/>
        <v>0</v>
      </c>
      <c r="O49" s="224">
        <f t="shared" si="6"/>
        <v>0</v>
      </c>
      <c r="P49" s="224">
        <f t="shared" si="7"/>
        <v>0</v>
      </c>
      <c r="Q49" s="224">
        <f>PRESUPUESTOS!M49</f>
        <v>0</v>
      </c>
      <c r="R49" s="224">
        <f t="shared" si="8"/>
        <v>0</v>
      </c>
    </row>
    <row r="50" spans="1:18" x14ac:dyDescent="0.25">
      <c r="A50" s="223"/>
      <c r="B50" s="179" t="s">
        <v>169</v>
      </c>
      <c r="C50" s="180" t="s">
        <v>233</v>
      </c>
      <c r="D50" s="187"/>
      <c r="E50" s="224">
        <f>PRESUPUESTOS!F50</f>
        <v>0</v>
      </c>
      <c r="F50" s="224">
        <f t="shared" si="0"/>
        <v>0</v>
      </c>
      <c r="G50" s="224">
        <f t="shared" si="1"/>
        <v>0</v>
      </c>
      <c r="H50" s="224">
        <f t="shared" si="2"/>
        <v>0</v>
      </c>
      <c r="I50" s="224">
        <f t="shared" si="3"/>
        <v>0</v>
      </c>
      <c r="J50" s="224">
        <f>PRESUPUESTOS!E50</f>
        <v>0</v>
      </c>
      <c r="K50" s="224">
        <f t="shared" si="4"/>
        <v>0</v>
      </c>
      <c r="L50" s="224">
        <f>PRESUPUESTOS!N50</f>
        <v>0</v>
      </c>
      <c r="M50" s="71"/>
      <c r="N50" s="224">
        <f t="shared" si="5"/>
        <v>0</v>
      </c>
      <c r="O50" s="224">
        <f t="shared" si="6"/>
        <v>0</v>
      </c>
      <c r="P50" s="224">
        <f t="shared" si="7"/>
        <v>0</v>
      </c>
      <c r="Q50" s="224">
        <f>PRESUPUESTOS!M50</f>
        <v>0</v>
      </c>
      <c r="R50" s="224">
        <f t="shared" si="8"/>
        <v>0</v>
      </c>
    </row>
    <row r="51" spans="1:18" x14ac:dyDescent="0.25">
      <c r="A51" s="223">
        <v>300</v>
      </c>
      <c r="B51" s="171" t="s">
        <v>170</v>
      </c>
      <c r="C51" s="172" t="s">
        <v>234</v>
      </c>
      <c r="D51" s="188" t="s">
        <v>112</v>
      </c>
      <c r="E51" s="224">
        <f>PRESUPUESTOS!F51</f>
        <v>442.62</v>
      </c>
      <c r="F51" s="224">
        <f t="shared" si="0"/>
        <v>0</v>
      </c>
      <c r="G51" s="224">
        <f t="shared" si="1"/>
        <v>0</v>
      </c>
      <c r="H51" s="224">
        <f t="shared" si="2"/>
        <v>66.63</v>
      </c>
      <c r="I51" s="224">
        <f t="shared" si="3"/>
        <v>29491.77</v>
      </c>
      <c r="J51" s="224">
        <f>PRESUPUESTOS!E51</f>
        <v>66.63</v>
      </c>
      <c r="K51" s="224">
        <f t="shared" si="4"/>
        <v>29491.77</v>
      </c>
      <c r="L51" s="224">
        <f>PRESUPUESTOS!N51</f>
        <v>0</v>
      </c>
      <c r="M51" s="71"/>
      <c r="N51" s="224">
        <f t="shared" si="5"/>
        <v>0</v>
      </c>
      <c r="O51" s="224">
        <f t="shared" si="6"/>
        <v>0</v>
      </c>
      <c r="P51" s="224">
        <f t="shared" si="7"/>
        <v>0</v>
      </c>
      <c r="Q51" s="224">
        <f>PRESUPUESTOS!M51</f>
        <v>0</v>
      </c>
      <c r="R51" s="224">
        <f t="shared" si="8"/>
        <v>0</v>
      </c>
    </row>
    <row r="52" spans="1:18" x14ac:dyDescent="0.25">
      <c r="A52" s="223">
        <v>400</v>
      </c>
      <c r="B52" s="171" t="s">
        <v>171</v>
      </c>
      <c r="C52" s="172" t="s">
        <v>235</v>
      </c>
      <c r="D52" s="186" t="s">
        <v>254</v>
      </c>
      <c r="E52" s="224">
        <f>PRESUPUESTOS!F52</f>
        <v>60.480000000000004</v>
      </c>
      <c r="F52" s="224">
        <f t="shared" si="0"/>
        <v>0</v>
      </c>
      <c r="G52" s="224">
        <f t="shared" si="1"/>
        <v>0</v>
      </c>
      <c r="H52" s="224">
        <f t="shared" si="2"/>
        <v>901.38</v>
      </c>
      <c r="I52" s="224">
        <f t="shared" si="3"/>
        <v>54515.46</v>
      </c>
      <c r="J52" s="224">
        <f>PRESUPUESTOS!E52</f>
        <v>901.38</v>
      </c>
      <c r="K52" s="224">
        <f t="shared" si="4"/>
        <v>54515.46</v>
      </c>
      <c r="L52" s="224">
        <f>PRESUPUESTOS!N52</f>
        <v>0</v>
      </c>
      <c r="M52" s="71"/>
      <c r="N52" s="224">
        <f t="shared" si="5"/>
        <v>0</v>
      </c>
      <c r="O52" s="224">
        <f t="shared" si="6"/>
        <v>0</v>
      </c>
      <c r="P52" s="224">
        <f t="shared" si="7"/>
        <v>0</v>
      </c>
      <c r="Q52" s="224">
        <f>PRESUPUESTOS!M52</f>
        <v>0</v>
      </c>
      <c r="R52" s="224">
        <f t="shared" si="8"/>
        <v>0</v>
      </c>
    </row>
    <row r="53" spans="1:18" x14ac:dyDescent="0.25">
      <c r="A53" s="223">
        <v>500</v>
      </c>
      <c r="B53" s="171" t="s">
        <v>172</v>
      </c>
      <c r="C53" s="172" t="s">
        <v>236</v>
      </c>
      <c r="D53" s="188" t="s">
        <v>255</v>
      </c>
      <c r="E53" s="224">
        <f>PRESUPUESTOS!F53</f>
        <v>4.0200000000000005</v>
      </c>
      <c r="F53" s="224">
        <f t="shared" si="0"/>
        <v>0</v>
      </c>
      <c r="G53" s="224">
        <f t="shared" si="1"/>
        <v>0</v>
      </c>
      <c r="H53" s="224">
        <f t="shared" si="2"/>
        <v>11604.02</v>
      </c>
      <c r="I53" s="224">
        <f t="shared" si="3"/>
        <v>46648.160000000003</v>
      </c>
      <c r="J53" s="224">
        <f>PRESUPUESTOS!E53</f>
        <v>11604.02</v>
      </c>
      <c r="K53" s="224">
        <f t="shared" si="4"/>
        <v>46648.160000000003</v>
      </c>
      <c r="L53" s="224">
        <f>PRESUPUESTOS!N53</f>
        <v>0</v>
      </c>
      <c r="M53" s="71"/>
      <c r="N53" s="224">
        <f t="shared" si="5"/>
        <v>0</v>
      </c>
      <c r="O53" s="224">
        <f t="shared" si="6"/>
        <v>0</v>
      </c>
      <c r="P53" s="224">
        <f t="shared" si="7"/>
        <v>0</v>
      </c>
      <c r="Q53" s="224">
        <f>PRESUPUESTOS!M53</f>
        <v>0</v>
      </c>
      <c r="R53" s="224">
        <f t="shared" si="8"/>
        <v>0</v>
      </c>
    </row>
    <row r="54" spans="1:18" x14ac:dyDescent="0.25">
      <c r="A54" s="223"/>
      <c r="B54" s="179" t="s">
        <v>173</v>
      </c>
      <c r="C54" s="180" t="s">
        <v>237</v>
      </c>
      <c r="D54" s="187"/>
      <c r="E54" s="224">
        <f>PRESUPUESTOS!F54</f>
        <v>0</v>
      </c>
      <c r="F54" s="224">
        <f t="shared" si="0"/>
        <v>0</v>
      </c>
      <c r="G54" s="224">
        <f t="shared" si="1"/>
        <v>0</v>
      </c>
      <c r="H54" s="224">
        <f t="shared" si="2"/>
        <v>0</v>
      </c>
      <c r="I54" s="224">
        <f t="shared" si="3"/>
        <v>0</v>
      </c>
      <c r="J54" s="224">
        <f>PRESUPUESTOS!E54</f>
        <v>0</v>
      </c>
      <c r="K54" s="224">
        <f t="shared" si="4"/>
        <v>0</v>
      </c>
      <c r="L54" s="224">
        <f>PRESUPUESTOS!N54</f>
        <v>0</v>
      </c>
      <c r="M54" s="71"/>
      <c r="N54" s="224">
        <f t="shared" si="5"/>
        <v>0</v>
      </c>
      <c r="O54" s="224">
        <f t="shared" si="6"/>
        <v>0</v>
      </c>
      <c r="P54" s="224">
        <f t="shared" si="7"/>
        <v>0</v>
      </c>
      <c r="Q54" s="224">
        <f>PRESUPUESTOS!M54</f>
        <v>0</v>
      </c>
      <c r="R54" s="224">
        <f t="shared" si="8"/>
        <v>0</v>
      </c>
    </row>
    <row r="55" spans="1:18" x14ac:dyDescent="0.25">
      <c r="A55" s="223">
        <v>300</v>
      </c>
      <c r="B55" s="171" t="s">
        <v>174</v>
      </c>
      <c r="C55" s="172" t="s">
        <v>238</v>
      </c>
      <c r="D55" s="188" t="s">
        <v>112</v>
      </c>
      <c r="E55" s="224">
        <f>PRESUPUESTOS!F55</f>
        <v>325.93</v>
      </c>
      <c r="F55" s="224">
        <f t="shared" si="0"/>
        <v>0</v>
      </c>
      <c r="G55" s="224">
        <f t="shared" si="1"/>
        <v>0</v>
      </c>
      <c r="H55" s="224">
        <f t="shared" si="2"/>
        <v>36.119999999999997</v>
      </c>
      <c r="I55" s="224">
        <f t="shared" si="3"/>
        <v>11772.59</v>
      </c>
      <c r="J55" s="224">
        <f>PRESUPUESTOS!E55</f>
        <v>36.119999999999997</v>
      </c>
      <c r="K55" s="224">
        <f t="shared" si="4"/>
        <v>11772.59</v>
      </c>
      <c r="L55" s="224">
        <f>PRESUPUESTOS!N55</f>
        <v>0</v>
      </c>
      <c r="M55" s="71"/>
      <c r="N55" s="224">
        <f t="shared" si="5"/>
        <v>0</v>
      </c>
      <c r="O55" s="224">
        <f t="shared" si="6"/>
        <v>0</v>
      </c>
      <c r="P55" s="224">
        <f t="shared" si="7"/>
        <v>0</v>
      </c>
      <c r="Q55" s="224">
        <f>PRESUPUESTOS!M55</f>
        <v>0</v>
      </c>
      <c r="R55" s="224">
        <f t="shared" si="8"/>
        <v>0</v>
      </c>
    </row>
    <row r="56" spans="1:18" x14ac:dyDescent="0.25">
      <c r="A56" s="223">
        <v>400</v>
      </c>
      <c r="B56" s="171" t="s">
        <v>175</v>
      </c>
      <c r="C56" s="172" t="s">
        <v>239</v>
      </c>
      <c r="D56" s="188" t="s">
        <v>254</v>
      </c>
      <c r="E56" s="224">
        <f>PRESUPUESTOS!F56</f>
        <v>70.38</v>
      </c>
      <c r="F56" s="224">
        <f t="shared" si="0"/>
        <v>0</v>
      </c>
      <c r="G56" s="224">
        <f t="shared" si="1"/>
        <v>0</v>
      </c>
      <c r="H56" s="224">
        <f t="shared" si="2"/>
        <v>545.23</v>
      </c>
      <c r="I56" s="224">
        <f t="shared" si="3"/>
        <v>38373.29</v>
      </c>
      <c r="J56" s="224">
        <f>PRESUPUESTOS!E56</f>
        <v>545.23</v>
      </c>
      <c r="K56" s="224">
        <f t="shared" si="4"/>
        <v>38373.29</v>
      </c>
      <c r="L56" s="224">
        <f>PRESUPUESTOS!N56</f>
        <v>0</v>
      </c>
      <c r="M56" s="71"/>
      <c r="N56" s="224">
        <f t="shared" si="5"/>
        <v>0</v>
      </c>
      <c r="O56" s="224">
        <f t="shared" si="6"/>
        <v>0</v>
      </c>
      <c r="P56" s="224">
        <f t="shared" si="7"/>
        <v>0</v>
      </c>
      <c r="Q56" s="224">
        <f>PRESUPUESTOS!M56</f>
        <v>0</v>
      </c>
      <c r="R56" s="224">
        <f t="shared" si="8"/>
        <v>0</v>
      </c>
    </row>
    <row r="57" spans="1:18" x14ac:dyDescent="0.25">
      <c r="A57" s="223">
        <v>500</v>
      </c>
      <c r="B57" s="171" t="s">
        <v>176</v>
      </c>
      <c r="C57" s="172" t="s">
        <v>240</v>
      </c>
      <c r="D57" s="188" t="s">
        <v>255</v>
      </c>
      <c r="E57" s="224">
        <f>PRESUPUESTOS!F57</f>
        <v>4.0200000000000005</v>
      </c>
      <c r="F57" s="224">
        <f t="shared" si="0"/>
        <v>0</v>
      </c>
      <c r="G57" s="224">
        <f t="shared" si="1"/>
        <v>0</v>
      </c>
      <c r="H57" s="224">
        <f t="shared" si="2"/>
        <v>5144.6000000000004</v>
      </c>
      <c r="I57" s="224">
        <f t="shared" si="3"/>
        <v>20681.29</v>
      </c>
      <c r="J57" s="224">
        <f>PRESUPUESTOS!E57</f>
        <v>5144.6000000000004</v>
      </c>
      <c r="K57" s="224">
        <f t="shared" si="4"/>
        <v>20681.29</v>
      </c>
      <c r="L57" s="224">
        <f>PRESUPUESTOS!N57</f>
        <v>0</v>
      </c>
      <c r="M57" s="71"/>
      <c r="N57" s="224">
        <f t="shared" si="5"/>
        <v>0</v>
      </c>
      <c r="O57" s="224">
        <f t="shared" si="6"/>
        <v>0</v>
      </c>
      <c r="P57" s="224">
        <f t="shared" si="7"/>
        <v>0</v>
      </c>
      <c r="Q57" s="224">
        <f>PRESUPUESTOS!M57</f>
        <v>0</v>
      </c>
      <c r="R57" s="224">
        <f t="shared" si="8"/>
        <v>0</v>
      </c>
    </row>
    <row r="58" spans="1:18" x14ac:dyDescent="0.25">
      <c r="A58" s="223"/>
      <c r="B58" s="179" t="s">
        <v>177</v>
      </c>
      <c r="C58" s="180" t="s">
        <v>241</v>
      </c>
      <c r="D58" s="187"/>
      <c r="E58" s="224">
        <f>PRESUPUESTOS!F58</f>
        <v>0</v>
      </c>
      <c r="F58" s="224">
        <f t="shared" si="0"/>
        <v>0</v>
      </c>
      <c r="G58" s="224">
        <f t="shared" si="1"/>
        <v>0</v>
      </c>
      <c r="H58" s="224">
        <f t="shared" si="2"/>
        <v>0</v>
      </c>
      <c r="I58" s="224">
        <f t="shared" si="3"/>
        <v>0</v>
      </c>
      <c r="J58" s="224">
        <f>PRESUPUESTOS!E58</f>
        <v>0</v>
      </c>
      <c r="K58" s="224">
        <f t="shared" si="4"/>
        <v>0</v>
      </c>
      <c r="L58" s="224">
        <f>PRESUPUESTOS!N58</f>
        <v>0</v>
      </c>
      <c r="M58" s="71"/>
      <c r="N58" s="224">
        <f t="shared" si="5"/>
        <v>0</v>
      </c>
      <c r="O58" s="224">
        <f t="shared" si="6"/>
        <v>0</v>
      </c>
      <c r="P58" s="224">
        <f t="shared" si="7"/>
        <v>0</v>
      </c>
      <c r="Q58" s="224">
        <f>PRESUPUESTOS!M58</f>
        <v>0</v>
      </c>
      <c r="R58" s="224">
        <f t="shared" si="8"/>
        <v>0</v>
      </c>
    </row>
    <row r="59" spans="1:18" x14ac:dyDescent="0.25">
      <c r="A59" s="223">
        <v>300</v>
      </c>
      <c r="B59" s="171" t="s">
        <v>178</v>
      </c>
      <c r="C59" s="172" t="s">
        <v>242</v>
      </c>
      <c r="D59" s="188" t="s">
        <v>52</v>
      </c>
      <c r="E59" s="224">
        <f>PRESUPUESTOS!F59</f>
        <v>325.93</v>
      </c>
      <c r="F59" s="224">
        <f t="shared" si="0"/>
        <v>0</v>
      </c>
      <c r="G59" s="224">
        <f t="shared" si="1"/>
        <v>0</v>
      </c>
      <c r="H59" s="224">
        <f t="shared" si="2"/>
        <v>0.63</v>
      </c>
      <c r="I59" s="224">
        <f t="shared" si="3"/>
        <v>205.34</v>
      </c>
      <c r="J59" s="224">
        <f>PRESUPUESTOS!E59</f>
        <v>0.63</v>
      </c>
      <c r="K59" s="224">
        <f t="shared" si="4"/>
        <v>205.34</v>
      </c>
      <c r="L59" s="224">
        <f>PRESUPUESTOS!N59</f>
        <v>0</v>
      </c>
      <c r="M59" s="71"/>
      <c r="N59" s="224">
        <f t="shared" si="5"/>
        <v>0</v>
      </c>
      <c r="O59" s="224">
        <f t="shared" si="6"/>
        <v>0</v>
      </c>
      <c r="P59" s="224">
        <f t="shared" si="7"/>
        <v>0</v>
      </c>
      <c r="Q59" s="224">
        <f>PRESUPUESTOS!M59</f>
        <v>0</v>
      </c>
      <c r="R59" s="224">
        <f t="shared" si="8"/>
        <v>0</v>
      </c>
    </row>
    <row r="60" spans="1:18" x14ac:dyDescent="0.25">
      <c r="A60" s="223">
        <v>400</v>
      </c>
      <c r="B60" s="171" t="s">
        <v>179</v>
      </c>
      <c r="C60" s="172" t="s">
        <v>243</v>
      </c>
      <c r="D60" s="188" t="s">
        <v>254</v>
      </c>
      <c r="E60" s="224">
        <f>PRESUPUESTOS!F60</f>
        <v>55.43</v>
      </c>
      <c r="F60" s="224">
        <f t="shared" si="0"/>
        <v>0</v>
      </c>
      <c r="G60" s="224">
        <f t="shared" si="1"/>
        <v>0</v>
      </c>
      <c r="H60" s="224">
        <f t="shared" si="2"/>
        <v>6.54</v>
      </c>
      <c r="I60" s="224">
        <f t="shared" si="3"/>
        <v>362.51</v>
      </c>
      <c r="J60" s="224">
        <f>PRESUPUESTOS!E60</f>
        <v>6.54</v>
      </c>
      <c r="K60" s="224">
        <f t="shared" si="4"/>
        <v>362.51</v>
      </c>
      <c r="L60" s="224">
        <f>PRESUPUESTOS!N60</f>
        <v>0</v>
      </c>
      <c r="M60" s="71"/>
      <c r="N60" s="224">
        <f t="shared" si="5"/>
        <v>0</v>
      </c>
      <c r="O60" s="224">
        <f t="shared" si="6"/>
        <v>0</v>
      </c>
      <c r="P60" s="224">
        <f t="shared" si="7"/>
        <v>0</v>
      </c>
      <c r="Q60" s="224">
        <f>PRESUPUESTOS!M60</f>
        <v>0</v>
      </c>
      <c r="R60" s="224">
        <f t="shared" si="8"/>
        <v>0</v>
      </c>
    </row>
    <row r="61" spans="1:18" x14ac:dyDescent="0.25">
      <c r="A61" s="223">
        <v>500</v>
      </c>
      <c r="B61" s="171" t="s">
        <v>180</v>
      </c>
      <c r="C61" s="172" t="s">
        <v>244</v>
      </c>
      <c r="D61" s="188" t="s">
        <v>255</v>
      </c>
      <c r="E61" s="224">
        <f>PRESUPUESTOS!F61</f>
        <v>4.0200000000000005</v>
      </c>
      <c r="F61" s="224">
        <f t="shared" si="0"/>
        <v>0</v>
      </c>
      <c r="G61" s="224">
        <f t="shared" si="1"/>
        <v>0</v>
      </c>
      <c r="H61" s="224">
        <f t="shared" si="2"/>
        <v>73.150000000000006</v>
      </c>
      <c r="I61" s="224">
        <f t="shared" si="3"/>
        <v>294.06</v>
      </c>
      <c r="J61" s="224">
        <f>PRESUPUESTOS!E61</f>
        <v>73.150000000000006</v>
      </c>
      <c r="K61" s="224">
        <f t="shared" si="4"/>
        <v>294.06</v>
      </c>
      <c r="L61" s="224">
        <f>PRESUPUESTOS!N61</f>
        <v>0</v>
      </c>
      <c r="M61" s="71"/>
      <c r="N61" s="224">
        <f t="shared" si="5"/>
        <v>0</v>
      </c>
      <c r="O61" s="224">
        <f t="shared" si="6"/>
        <v>0</v>
      </c>
      <c r="P61" s="224">
        <f t="shared" si="7"/>
        <v>0</v>
      </c>
      <c r="Q61" s="224">
        <f>PRESUPUESTOS!M61</f>
        <v>0</v>
      </c>
      <c r="R61" s="224">
        <f t="shared" si="8"/>
        <v>0</v>
      </c>
    </row>
    <row r="62" spans="1:18" x14ac:dyDescent="0.25">
      <c r="A62" s="223"/>
      <c r="B62" s="179" t="s">
        <v>181</v>
      </c>
      <c r="C62" s="180" t="s">
        <v>245</v>
      </c>
      <c r="D62" s="187"/>
      <c r="E62" s="224">
        <f>PRESUPUESTOS!F62</f>
        <v>0</v>
      </c>
      <c r="F62" s="224">
        <f t="shared" si="0"/>
        <v>0</v>
      </c>
      <c r="G62" s="224">
        <f t="shared" si="1"/>
        <v>0</v>
      </c>
      <c r="H62" s="224">
        <f t="shared" si="2"/>
        <v>0</v>
      </c>
      <c r="I62" s="224">
        <f t="shared" si="3"/>
        <v>0</v>
      </c>
      <c r="J62" s="224">
        <f>PRESUPUESTOS!E62</f>
        <v>0</v>
      </c>
      <c r="K62" s="224">
        <f t="shared" si="4"/>
        <v>0</v>
      </c>
      <c r="L62" s="224">
        <f>PRESUPUESTOS!N62</f>
        <v>0</v>
      </c>
      <c r="M62" s="71"/>
      <c r="N62" s="224">
        <f t="shared" si="5"/>
        <v>0</v>
      </c>
      <c r="O62" s="224">
        <f t="shared" si="6"/>
        <v>0</v>
      </c>
      <c r="P62" s="224">
        <f t="shared" si="7"/>
        <v>0</v>
      </c>
      <c r="Q62" s="224">
        <f>PRESUPUESTOS!M62</f>
        <v>0</v>
      </c>
      <c r="R62" s="224">
        <f t="shared" si="8"/>
        <v>0</v>
      </c>
    </row>
    <row r="63" spans="1:18" x14ac:dyDescent="0.25">
      <c r="A63" s="223">
        <v>300</v>
      </c>
      <c r="B63" s="171" t="s">
        <v>182</v>
      </c>
      <c r="C63" s="172" t="s">
        <v>246</v>
      </c>
      <c r="D63" s="188" t="s">
        <v>112</v>
      </c>
      <c r="E63" s="224">
        <f>PRESUPUESTOS!F63</f>
        <v>315.52</v>
      </c>
      <c r="F63" s="224">
        <f t="shared" si="0"/>
        <v>0</v>
      </c>
      <c r="G63" s="224">
        <f t="shared" si="1"/>
        <v>0</v>
      </c>
      <c r="H63" s="224">
        <f t="shared" si="2"/>
        <v>2.13</v>
      </c>
      <c r="I63" s="224">
        <f t="shared" si="3"/>
        <v>672.06</v>
      </c>
      <c r="J63" s="224">
        <f>PRESUPUESTOS!E63</f>
        <v>2.13</v>
      </c>
      <c r="K63" s="224">
        <f t="shared" si="4"/>
        <v>672.06</v>
      </c>
      <c r="L63" s="224">
        <f>PRESUPUESTOS!N63</f>
        <v>0</v>
      </c>
      <c r="M63" s="71"/>
      <c r="N63" s="224">
        <f t="shared" si="5"/>
        <v>0</v>
      </c>
      <c r="O63" s="224">
        <f t="shared" si="6"/>
        <v>0</v>
      </c>
      <c r="P63" s="224">
        <f t="shared" si="7"/>
        <v>0</v>
      </c>
      <c r="Q63" s="224">
        <f>PRESUPUESTOS!M63</f>
        <v>0</v>
      </c>
      <c r="R63" s="224">
        <f t="shared" si="8"/>
        <v>0</v>
      </c>
    </row>
    <row r="64" spans="1:18" x14ac:dyDescent="0.25">
      <c r="A64" s="223">
        <v>400</v>
      </c>
      <c r="B64" s="171" t="s">
        <v>183</v>
      </c>
      <c r="C64" s="172" t="s">
        <v>247</v>
      </c>
      <c r="D64" s="188" t="s">
        <v>254</v>
      </c>
      <c r="E64" s="224">
        <f>PRESUPUESTOS!F64</f>
        <v>43.61</v>
      </c>
      <c r="F64" s="224">
        <f t="shared" si="0"/>
        <v>0</v>
      </c>
      <c r="G64" s="224">
        <f t="shared" si="1"/>
        <v>0</v>
      </c>
      <c r="H64" s="224">
        <f t="shared" si="2"/>
        <v>24.72</v>
      </c>
      <c r="I64" s="224">
        <f t="shared" si="3"/>
        <v>1078.04</v>
      </c>
      <c r="J64" s="224">
        <f>PRESUPUESTOS!E64</f>
        <v>24.72</v>
      </c>
      <c r="K64" s="224">
        <f t="shared" si="4"/>
        <v>1078.04</v>
      </c>
      <c r="L64" s="224">
        <f>PRESUPUESTOS!N64</f>
        <v>0</v>
      </c>
      <c r="M64" s="71"/>
      <c r="N64" s="224">
        <f t="shared" si="5"/>
        <v>0</v>
      </c>
      <c r="O64" s="224">
        <f t="shared" si="6"/>
        <v>0</v>
      </c>
      <c r="P64" s="224">
        <f t="shared" si="7"/>
        <v>0</v>
      </c>
      <c r="Q64" s="224">
        <f>PRESUPUESTOS!M64</f>
        <v>0</v>
      </c>
      <c r="R64" s="224">
        <f t="shared" si="8"/>
        <v>0</v>
      </c>
    </row>
    <row r="65" spans="1:18" x14ac:dyDescent="0.25">
      <c r="A65" s="223">
        <v>500</v>
      </c>
      <c r="B65" s="171" t="s">
        <v>184</v>
      </c>
      <c r="C65" s="172" t="s">
        <v>248</v>
      </c>
      <c r="D65" s="188" t="s">
        <v>255</v>
      </c>
      <c r="E65" s="224">
        <f>PRESUPUESTOS!F65</f>
        <v>4.0200000000000005</v>
      </c>
      <c r="F65" s="224">
        <f t="shared" si="0"/>
        <v>0</v>
      </c>
      <c r="G65" s="224">
        <f t="shared" si="1"/>
        <v>0</v>
      </c>
      <c r="H65" s="224">
        <f t="shared" si="2"/>
        <v>93.93</v>
      </c>
      <c r="I65" s="224">
        <f t="shared" si="3"/>
        <v>377.6</v>
      </c>
      <c r="J65" s="224">
        <f>PRESUPUESTOS!E65</f>
        <v>93.93</v>
      </c>
      <c r="K65" s="224">
        <f t="shared" si="4"/>
        <v>377.6</v>
      </c>
      <c r="L65" s="224">
        <f>PRESUPUESTOS!N65</f>
        <v>0</v>
      </c>
      <c r="M65" s="71"/>
      <c r="N65" s="224">
        <f t="shared" si="5"/>
        <v>0</v>
      </c>
      <c r="O65" s="224">
        <f t="shared" si="6"/>
        <v>0</v>
      </c>
      <c r="P65" s="224">
        <f t="shared" si="7"/>
        <v>0</v>
      </c>
      <c r="Q65" s="224">
        <f>PRESUPUESTOS!M65</f>
        <v>0</v>
      </c>
      <c r="R65" s="224">
        <f t="shared" si="8"/>
        <v>0</v>
      </c>
    </row>
    <row r="66" spans="1:18" x14ac:dyDescent="0.25">
      <c r="A66" s="223">
        <v>300</v>
      </c>
      <c r="B66" s="171" t="s">
        <v>185</v>
      </c>
      <c r="C66" s="172" t="s">
        <v>249</v>
      </c>
      <c r="D66" s="188" t="s">
        <v>257</v>
      </c>
      <c r="E66" s="224">
        <f>PRESUPUESTOS!F66</f>
        <v>2.4900000000000002</v>
      </c>
      <c r="F66" s="224">
        <f t="shared" si="0"/>
        <v>0</v>
      </c>
      <c r="G66" s="224">
        <f t="shared" si="1"/>
        <v>0</v>
      </c>
      <c r="H66" s="224">
        <f t="shared" si="2"/>
        <v>205.92000000000002</v>
      </c>
      <c r="I66" s="224">
        <f t="shared" si="3"/>
        <v>512.74</v>
      </c>
      <c r="J66" s="224">
        <f>PRESUPUESTOS!E66</f>
        <v>205.92000000000002</v>
      </c>
      <c r="K66" s="224">
        <f t="shared" si="4"/>
        <v>512.74</v>
      </c>
      <c r="L66" s="224">
        <f>PRESUPUESTOS!N66</f>
        <v>0</v>
      </c>
      <c r="M66" s="71"/>
      <c r="N66" s="224">
        <f t="shared" si="5"/>
        <v>0</v>
      </c>
      <c r="O66" s="224">
        <f t="shared" si="6"/>
        <v>0</v>
      </c>
      <c r="P66" s="224">
        <f t="shared" si="7"/>
        <v>0</v>
      </c>
      <c r="Q66" s="224">
        <f>PRESUPUESTOS!M66</f>
        <v>0</v>
      </c>
      <c r="R66" s="224">
        <f t="shared" si="8"/>
        <v>0</v>
      </c>
    </row>
    <row r="67" spans="1:18" x14ac:dyDescent="0.25">
      <c r="A67" s="223"/>
      <c r="B67" s="179" t="s">
        <v>186</v>
      </c>
      <c r="C67" s="180" t="s">
        <v>250</v>
      </c>
      <c r="D67" s="187"/>
      <c r="E67" s="224">
        <f>PRESUPUESTOS!F67</f>
        <v>0</v>
      </c>
      <c r="F67" s="224">
        <f t="shared" si="0"/>
        <v>0</v>
      </c>
      <c r="G67" s="224">
        <f t="shared" si="1"/>
        <v>0</v>
      </c>
      <c r="H67" s="224">
        <f t="shared" si="2"/>
        <v>0</v>
      </c>
      <c r="I67" s="224">
        <f t="shared" si="3"/>
        <v>0</v>
      </c>
      <c r="J67" s="224">
        <f>PRESUPUESTOS!E67</f>
        <v>0</v>
      </c>
      <c r="K67" s="224">
        <f t="shared" si="4"/>
        <v>0</v>
      </c>
      <c r="L67" s="224">
        <f>PRESUPUESTOS!N67</f>
        <v>0</v>
      </c>
      <c r="M67" s="71"/>
      <c r="N67" s="224">
        <f t="shared" si="5"/>
        <v>0</v>
      </c>
      <c r="O67" s="224">
        <f t="shared" si="6"/>
        <v>0</v>
      </c>
      <c r="P67" s="224">
        <f t="shared" si="7"/>
        <v>0</v>
      </c>
      <c r="Q67" s="224">
        <f>PRESUPUESTOS!M67</f>
        <v>0</v>
      </c>
      <c r="R67" s="224">
        <f t="shared" si="8"/>
        <v>0</v>
      </c>
    </row>
    <row r="68" spans="1:18" x14ac:dyDescent="0.25">
      <c r="A68" s="223">
        <v>300</v>
      </c>
      <c r="B68" s="171" t="s">
        <v>187</v>
      </c>
      <c r="C68" s="172" t="s">
        <v>251</v>
      </c>
      <c r="D68" s="186" t="s">
        <v>254</v>
      </c>
      <c r="E68" s="224">
        <f>PRESUPUESTOS!F68</f>
        <v>80.040000000000006</v>
      </c>
      <c r="F68" s="224">
        <f t="shared" si="0"/>
        <v>0</v>
      </c>
      <c r="G68" s="224">
        <f t="shared" si="1"/>
        <v>0</v>
      </c>
      <c r="H68" s="224">
        <f t="shared" si="2"/>
        <v>12.31</v>
      </c>
      <c r="I68" s="224">
        <f t="shared" si="3"/>
        <v>985.29</v>
      </c>
      <c r="J68" s="224">
        <f>PRESUPUESTOS!E68</f>
        <v>12.31</v>
      </c>
      <c r="K68" s="224">
        <f t="shared" si="4"/>
        <v>985.29</v>
      </c>
      <c r="L68" s="224">
        <f>PRESUPUESTOS!N68</f>
        <v>0</v>
      </c>
      <c r="M68" s="71"/>
      <c r="N68" s="224">
        <f t="shared" si="5"/>
        <v>0</v>
      </c>
      <c r="O68" s="224">
        <f t="shared" si="6"/>
        <v>0</v>
      </c>
      <c r="P68" s="224">
        <f t="shared" si="7"/>
        <v>0</v>
      </c>
      <c r="Q68" s="224">
        <f>PRESUPUESTOS!M68</f>
        <v>0</v>
      </c>
      <c r="R68" s="224">
        <f t="shared" si="8"/>
        <v>0</v>
      </c>
    </row>
    <row r="69" spans="1:18" x14ac:dyDescent="0.25">
      <c r="A69" s="223">
        <v>400</v>
      </c>
      <c r="B69" s="171" t="s">
        <v>188</v>
      </c>
      <c r="C69" s="172" t="s">
        <v>252</v>
      </c>
      <c r="D69" s="188" t="s">
        <v>254</v>
      </c>
      <c r="E69" s="224">
        <f>PRESUPUESTOS!F69</f>
        <v>41.15</v>
      </c>
      <c r="F69" s="224">
        <f t="shared" si="0"/>
        <v>0</v>
      </c>
      <c r="G69" s="224">
        <f t="shared" si="1"/>
        <v>0</v>
      </c>
      <c r="H69" s="224">
        <f t="shared" si="2"/>
        <v>6.96</v>
      </c>
      <c r="I69" s="224">
        <f t="shared" si="3"/>
        <v>286.39999999999998</v>
      </c>
      <c r="J69" s="224">
        <f>PRESUPUESTOS!E69</f>
        <v>6.96</v>
      </c>
      <c r="K69" s="224">
        <f t="shared" si="4"/>
        <v>286.39999999999998</v>
      </c>
      <c r="L69" s="224">
        <f>PRESUPUESTOS!N69</f>
        <v>0</v>
      </c>
      <c r="M69" s="71"/>
      <c r="N69" s="224">
        <f t="shared" si="5"/>
        <v>0</v>
      </c>
      <c r="O69" s="224">
        <f t="shared" si="6"/>
        <v>0</v>
      </c>
      <c r="P69" s="224">
        <f t="shared" si="7"/>
        <v>0</v>
      </c>
      <c r="Q69" s="224">
        <f>PRESUPUESTOS!M69</f>
        <v>0</v>
      </c>
      <c r="R69" s="224">
        <f t="shared" si="8"/>
        <v>0</v>
      </c>
    </row>
    <row r="70" spans="1:18" x14ac:dyDescent="0.25">
      <c r="A70" s="223">
        <v>500</v>
      </c>
      <c r="B70" s="171" t="s">
        <v>189</v>
      </c>
      <c r="C70" s="172" t="s">
        <v>253</v>
      </c>
      <c r="D70" s="188" t="s">
        <v>256</v>
      </c>
      <c r="E70" s="224">
        <f>PRESUPUESTOS!F70</f>
        <v>4.0200000000000005</v>
      </c>
      <c r="F70" s="224">
        <f t="shared" si="0"/>
        <v>0</v>
      </c>
      <c r="G70" s="224">
        <f t="shared" si="1"/>
        <v>0</v>
      </c>
      <c r="H70" s="224">
        <f t="shared" si="2"/>
        <v>83.01</v>
      </c>
      <c r="I70" s="224">
        <f t="shared" si="3"/>
        <v>333.7</v>
      </c>
      <c r="J70" s="224">
        <f>PRESUPUESTOS!E70</f>
        <v>83.01</v>
      </c>
      <c r="K70" s="224">
        <f t="shared" si="4"/>
        <v>333.7</v>
      </c>
      <c r="L70" s="224">
        <f>PRESUPUESTOS!N70</f>
        <v>0</v>
      </c>
      <c r="M70" s="71"/>
      <c r="N70" s="224">
        <f t="shared" si="5"/>
        <v>0</v>
      </c>
      <c r="O70" s="224">
        <f t="shared" si="6"/>
        <v>0</v>
      </c>
      <c r="P70" s="224">
        <f t="shared" si="7"/>
        <v>0</v>
      </c>
      <c r="Q70" s="224">
        <f>PRESUPUESTOS!M70</f>
        <v>0</v>
      </c>
      <c r="R70" s="224">
        <f t="shared" si="8"/>
        <v>0</v>
      </c>
    </row>
    <row r="71" spans="1:18" s="2" customFormat="1" x14ac:dyDescent="0.25">
      <c r="A71" s="42"/>
      <c r="B71" s="29"/>
      <c r="C71" s="23" t="s">
        <v>54</v>
      </c>
      <c r="D71" s="29"/>
      <c r="E71" s="7"/>
      <c r="F71" s="7"/>
      <c r="G71" s="7">
        <f>SUM(G7:G70)</f>
        <v>0</v>
      </c>
      <c r="H71" s="7"/>
      <c r="I71" s="7">
        <f>SUM(I7:I70)</f>
        <v>960724.52000000014</v>
      </c>
      <c r="J71" s="7"/>
      <c r="K71" s="7">
        <f>SUM(K7:K70)</f>
        <v>960724.52000000014</v>
      </c>
      <c r="L71" s="7"/>
      <c r="M71" s="64"/>
      <c r="N71" s="7">
        <f>SUM(N7:N70)</f>
        <v>0</v>
      </c>
      <c r="O71" s="7"/>
      <c r="P71" s="7">
        <f>SUM(P7:P70)</f>
        <v>1374.45</v>
      </c>
      <c r="Q71" s="7"/>
      <c r="R71" s="7">
        <f>SUM(R7:R70)</f>
        <v>1374.45</v>
      </c>
    </row>
    <row r="72" spans="1:18" s="2" customFormat="1" x14ac:dyDescent="0.25">
      <c r="A72" s="100"/>
      <c r="B72" s="43"/>
      <c r="C72" s="93" t="s">
        <v>89</v>
      </c>
      <c r="D72" s="43"/>
      <c r="E72" s="44"/>
      <c r="F72" s="44"/>
      <c r="G72" s="96">
        <f>ROUND(G71*0.1,2)</f>
        <v>0</v>
      </c>
      <c r="H72" s="44"/>
      <c r="I72" s="96">
        <f>ROUND(I71*0.1,2)</f>
        <v>96072.45</v>
      </c>
      <c r="J72" s="44"/>
      <c r="K72" s="96">
        <f>ROUND(K71*0.1,2)</f>
        <v>96072.45</v>
      </c>
      <c r="L72" s="44"/>
      <c r="M72" s="70"/>
      <c r="N72" s="96">
        <f>ROUND(N71*0.1,2)</f>
        <v>0</v>
      </c>
      <c r="O72" s="44"/>
      <c r="P72" s="96">
        <f>ROUND(P71*0.1,2)</f>
        <v>137.44999999999999</v>
      </c>
      <c r="Q72" s="44"/>
      <c r="R72" s="96">
        <f>ROUND(R71*0.1,2)</f>
        <v>137.44999999999999</v>
      </c>
    </row>
    <row r="73" spans="1:18" s="2" customFormat="1" x14ac:dyDescent="0.25">
      <c r="A73" s="100"/>
      <c r="B73" s="43"/>
      <c r="C73" s="93" t="s">
        <v>90</v>
      </c>
      <c r="D73" s="43"/>
      <c r="E73" s="44"/>
      <c r="F73" s="44"/>
      <c r="G73" s="96">
        <f>ROUND(G71*0.08,2)</f>
        <v>0</v>
      </c>
      <c r="H73" s="44"/>
      <c r="I73" s="96">
        <f>ROUND(I71*0.08,2)</f>
        <v>76857.960000000006</v>
      </c>
      <c r="J73" s="44"/>
      <c r="K73" s="96">
        <f>ROUND(K71*0.08,2)</f>
        <v>76857.960000000006</v>
      </c>
      <c r="L73" s="44"/>
      <c r="M73" s="70"/>
      <c r="N73" s="96"/>
      <c r="O73" s="44"/>
      <c r="P73" s="96"/>
      <c r="Q73" s="44"/>
      <c r="R73" s="96"/>
    </row>
    <row r="74" spans="1:18" s="2" customFormat="1" x14ac:dyDescent="0.25">
      <c r="A74" s="100"/>
      <c r="B74" s="43"/>
      <c r="C74" s="87" t="s">
        <v>91</v>
      </c>
      <c r="D74" s="43"/>
      <c r="E74" s="44"/>
      <c r="F74" s="44"/>
      <c r="G74" s="88">
        <f>SUM(G71:G73)</f>
        <v>0</v>
      </c>
      <c r="H74" s="44"/>
      <c r="I74" s="88">
        <f>SUM(I71:I73)</f>
        <v>1133654.9300000002</v>
      </c>
      <c r="J74" s="44"/>
      <c r="K74" s="88">
        <f>SUM(K71:K73)</f>
        <v>1133654.9300000002</v>
      </c>
      <c r="L74" s="44"/>
      <c r="M74" s="70"/>
      <c r="N74" s="88">
        <f>SUM(N71:N73)</f>
        <v>0</v>
      </c>
      <c r="O74" s="44"/>
      <c r="P74" s="88">
        <f>SUM(P71:P73)</f>
        <v>1511.9</v>
      </c>
      <c r="Q74" s="44"/>
      <c r="R74" s="88">
        <f>SUM(R71:R73)</f>
        <v>1511.9</v>
      </c>
    </row>
    <row r="75" spans="1:18" x14ac:dyDescent="0.25">
      <c r="A75" s="40"/>
      <c r="B75" s="41"/>
      <c r="C75" s="25" t="s">
        <v>55</v>
      </c>
      <c r="D75" s="30"/>
      <c r="E75" s="45"/>
      <c r="F75" s="45"/>
      <c r="G75" s="20">
        <f>ROUND(G74*0.18,2)</f>
        <v>0</v>
      </c>
      <c r="H75" s="45"/>
      <c r="I75" s="20">
        <f>ROUND(I74*0.18,2)</f>
        <v>204057.89</v>
      </c>
      <c r="J75" s="45"/>
      <c r="K75" s="20">
        <f>ROUND(K74*0.18,2)</f>
        <v>204057.89</v>
      </c>
      <c r="L75" s="45"/>
      <c r="M75" s="71"/>
      <c r="N75" s="20">
        <f>ROUND(N74*0.18,2)</f>
        <v>0</v>
      </c>
      <c r="O75" s="45"/>
      <c r="P75" s="20">
        <f>ROUND(P74*0.18,2)</f>
        <v>272.14</v>
      </c>
      <c r="Q75" s="45"/>
      <c r="R75" s="20">
        <f>ROUND(R74*0.18,2)</f>
        <v>272.14</v>
      </c>
    </row>
    <row r="76" spans="1:18" s="2" customFormat="1" x14ac:dyDescent="0.25">
      <c r="A76" s="32"/>
      <c r="B76" s="46"/>
      <c r="C76" s="34" t="s">
        <v>62</v>
      </c>
      <c r="D76" s="32"/>
      <c r="E76" s="47"/>
      <c r="F76" s="47"/>
      <c r="G76" s="37">
        <f>SUM(G74:G75)</f>
        <v>0</v>
      </c>
      <c r="H76" s="47"/>
      <c r="I76" s="37">
        <f>SUM(I74:I75)</f>
        <v>1337712.8200000003</v>
      </c>
      <c r="J76" s="47"/>
      <c r="K76" s="37">
        <f>SUM(K74:K75)</f>
        <v>1337712.8200000003</v>
      </c>
      <c r="L76" s="47"/>
      <c r="M76" s="72"/>
      <c r="N76" s="37">
        <f>SUM(N74:N75)</f>
        <v>0</v>
      </c>
      <c r="O76" s="47"/>
      <c r="P76" s="37">
        <f>SUM(P74:P75)</f>
        <v>1784.04</v>
      </c>
      <c r="Q76" s="47"/>
      <c r="R76" s="37">
        <f>SUM(R74:R75)</f>
        <v>1784.04</v>
      </c>
    </row>
    <row r="80" spans="1:18" x14ac:dyDescent="0.25">
      <c r="H80" s="112"/>
    </row>
    <row r="81" spans="10:13" x14ac:dyDescent="0.25">
      <c r="J81">
        <v>130</v>
      </c>
      <c r="L81">
        <v>220</v>
      </c>
      <c r="M81" t="s">
        <v>122</v>
      </c>
    </row>
    <row r="83" spans="10:13" x14ac:dyDescent="0.25">
      <c r="J83" s="150">
        <f>+L83*0.59</f>
        <v>95.314499999999995</v>
      </c>
      <c r="L83">
        <v>161.55000000000001</v>
      </c>
      <c r="M83" t="s">
        <v>123</v>
      </c>
    </row>
    <row r="85" spans="10:13" x14ac:dyDescent="0.25">
      <c r="L85" s="149">
        <f>+J81/L81</f>
        <v>0.59090909090909094</v>
      </c>
    </row>
  </sheetData>
  <mergeCells count="12">
    <mergeCell ref="A5:A6"/>
    <mergeCell ref="B5:B6"/>
    <mergeCell ref="D5:D6"/>
    <mergeCell ref="C5:C6"/>
    <mergeCell ref="F5:G5"/>
    <mergeCell ref="H5:I5"/>
    <mergeCell ref="J5:K5"/>
    <mergeCell ref="E4:K4"/>
    <mergeCell ref="L4:R4"/>
    <mergeCell ref="M5:N5"/>
    <mergeCell ref="O5:P5"/>
    <mergeCell ref="Q5:R5"/>
  </mergeCells>
  <pageMargins left="0.7" right="0.7" top="0.75" bottom="0.75" header="0.3" footer="0.3"/>
  <pageSetup paperSize="9" orientation="portrait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"/>
  <sheetViews>
    <sheetView topLeftCell="A13" zoomScaleNormal="100" workbookViewId="0">
      <selection activeCell="E22" sqref="E22"/>
    </sheetView>
  </sheetViews>
  <sheetFormatPr baseColWidth="10" defaultRowHeight="15" x14ac:dyDescent="0.25"/>
  <cols>
    <col min="1" max="1" width="11.42578125" style="1"/>
    <col min="2" max="2" width="29.85546875" customWidth="1"/>
    <col min="3" max="3" width="17" customWidth="1"/>
    <col min="5" max="5" width="18.140625" customWidth="1"/>
    <col min="6" max="6" width="16.42578125" customWidth="1"/>
    <col min="8" max="8" width="18.28515625" customWidth="1"/>
    <col min="9" max="9" width="17" customWidth="1"/>
    <col min="10" max="14" width="15.42578125" customWidth="1"/>
    <col min="15" max="15" width="14.7109375" customWidth="1"/>
  </cols>
  <sheetData>
    <row r="1" spans="1:15" x14ac:dyDescent="0.25">
      <c r="A1" s="53" t="s">
        <v>4</v>
      </c>
    </row>
    <row r="3" spans="1:15" x14ac:dyDescent="0.25">
      <c r="A3" s="5" t="s">
        <v>16</v>
      </c>
      <c r="B3" s="2" t="s">
        <v>126</v>
      </c>
    </row>
    <row r="4" spans="1:15" x14ac:dyDescent="0.25">
      <c r="A4" s="4"/>
      <c r="B4" s="4"/>
      <c r="C4" s="208" t="s">
        <v>125</v>
      </c>
      <c r="D4" s="208"/>
      <c r="E4" s="208"/>
      <c r="F4" s="208" t="s">
        <v>79</v>
      </c>
      <c r="G4" s="208"/>
      <c r="H4" s="208"/>
      <c r="I4" s="208" t="s">
        <v>68</v>
      </c>
      <c r="J4" s="208"/>
      <c r="K4" s="208"/>
      <c r="L4" s="208"/>
      <c r="M4" s="208"/>
      <c r="N4" s="208"/>
    </row>
    <row r="5" spans="1:15" ht="30" x14ac:dyDescent="0.25">
      <c r="A5" s="76" t="s">
        <v>78</v>
      </c>
      <c r="B5" s="76" t="s">
        <v>77</v>
      </c>
      <c r="C5" s="76" t="s">
        <v>63</v>
      </c>
      <c r="D5" s="76" t="s">
        <v>64</v>
      </c>
      <c r="E5" s="76" t="s">
        <v>65</v>
      </c>
      <c r="F5" s="76" t="s">
        <v>66</v>
      </c>
      <c r="G5" s="76" t="s">
        <v>64</v>
      </c>
      <c r="H5" s="110" t="s">
        <v>67</v>
      </c>
      <c r="I5" s="111" t="s">
        <v>69</v>
      </c>
      <c r="J5" s="76" t="s">
        <v>8</v>
      </c>
      <c r="K5" s="76" t="s">
        <v>9</v>
      </c>
      <c r="L5" s="77" t="s">
        <v>10</v>
      </c>
      <c r="M5" s="76" t="s">
        <v>11</v>
      </c>
      <c r="N5" s="77" t="s">
        <v>12</v>
      </c>
      <c r="O5" s="76" t="s">
        <v>87</v>
      </c>
    </row>
    <row r="6" spans="1:15" s="2" customFormat="1" x14ac:dyDescent="0.25">
      <c r="A6" s="29"/>
      <c r="B6" s="23" t="s">
        <v>258</v>
      </c>
      <c r="C6" s="204"/>
      <c r="D6" s="197"/>
      <c r="E6" s="204"/>
      <c r="F6" s="204"/>
      <c r="G6" s="197"/>
      <c r="H6" s="204"/>
      <c r="I6" s="197"/>
      <c r="J6" s="64"/>
      <c r="K6" s="70"/>
      <c r="L6" s="73"/>
      <c r="M6" s="70"/>
      <c r="N6" s="73"/>
      <c r="O6" s="151"/>
    </row>
    <row r="7" spans="1:15" x14ac:dyDescent="0.25">
      <c r="A7" s="30">
        <v>100</v>
      </c>
      <c r="B7" s="25" t="s">
        <v>259</v>
      </c>
      <c r="C7" s="226">
        <f>SUMIF(COMPARATIVO!$A$7:$A$70,'RESUMEN - ANALISIS'!A7,COMPARATIVO!$K$7:$K$70)</f>
        <v>3661.14</v>
      </c>
      <c r="D7" s="227">
        <f>E7/C7</f>
        <v>0</v>
      </c>
      <c r="E7" s="226">
        <f>SUMIF(COMPARATIVO!$A$7:$A$70,'RESUMEN - ANALISIS'!A7,COMPARATIVO!$G$7:$G$70)</f>
        <v>0</v>
      </c>
      <c r="F7" s="226">
        <f>SUMIF(COMPARATIVO!$A$7:$A$70,'RESUMEN - ANALISIS'!A7,COMPARATIVO!$R$7:$R$70)</f>
        <v>1374.45</v>
      </c>
      <c r="G7" s="227">
        <f>H7/F7</f>
        <v>0</v>
      </c>
      <c r="H7" s="226">
        <f>SUMIF(COMPARATIVO!$A$7:$A$70,'RESUMEN - ANALISIS'!A7,COMPARATIVO!$N$7:$N$70)</f>
        <v>0</v>
      </c>
      <c r="I7" s="198">
        <f>SUM(J7:N7)</f>
        <v>229.25</v>
      </c>
      <c r="J7" s="68"/>
      <c r="K7" s="68"/>
      <c r="L7" s="67"/>
      <c r="M7" s="68"/>
      <c r="N7" s="67">
        <v>229.25</v>
      </c>
      <c r="O7" s="152">
        <f>H7-I7</f>
        <v>-229.25</v>
      </c>
    </row>
    <row r="8" spans="1:15" x14ac:dyDescent="0.25">
      <c r="A8" s="30">
        <v>200</v>
      </c>
      <c r="B8" s="25" t="s">
        <v>37</v>
      </c>
      <c r="C8" s="226">
        <f>SUMIF(COMPARATIVO!$A$7:$A$70,'RESUMEN - ANALISIS'!A8,COMPARATIVO!$K$7:$K$70)</f>
        <v>159518.36000000002</v>
      </c>
      <c r="D8" s="227">
        <f t="shared" ref="D8:D11" si="0">E8/C8</f>
        <v>0</v>
      </c>
      <c r="E8" s="226">
        <f>SUMIF(COMPARATIVO!$A$7:$A$70,'RESUMEN - ANALISIS'!A8,COMPARATIVO!$G$7:$G$70)</f>
        <v>0</v>
      </c>
      <c r="F8" s="226">
        <f>SUMIF(COMPARATIVO!$A$7:$A$70,'RESUMEN - ANALISIS'!A8,COMPARATIVO!$R$7:$R$70)</f>
        <v>0</v>
      </c>
      <c r="G8" s="227" t="e">
        <f t="shared" ref="G8:G11" si="1">H8/F8</f>
        <v>#DIV/0!</v>
      </c>
      <c r="H8" s="226">
        <f>SUMIF(COMPARATIVO!$A$7:$A$70,'RESUMEN - ANALISIS'!A8,COMPARATIVO!$N$7:$N$70)</f>
        <v>0</v>
      </c>
      <c r="I8" s="198">
        <f t="shared" ref="I8:I11" si="2">SUM(J8:N8)</f>
        <v>7319.59</v>
      </c>
      <c r="J8" s="68">
        <v>200</v>
      </c>
      <c r="K8" s="68"/>
      <c r="L8" s="67"/>
      <c r="M8" s="68"/>
      <c r="N8" s="67">
        <v>7119.59</v>
      </c>
      <c r="O8" s="152">
        <f t="shared" ref="O8:O11" si="3">H8-I8</f>
        <v>-7319.59</v>
      </c>
    </row>
    <row r="9" spans="1:15" x14ac:dyDescent="0.25">
      <c r="A9" s="30">
        <v>300</v>
      </c>
      <c r="B9" s="25" t="s">
        <v>70</v>
      </c>
      <c r="C9" s="226">
        <f>SUMIF(COMPARATIVO!$A$7:$A$70,'RESUMEN - ANALISIS'!A9,COMPARATIVO!$K$7:$K$70)</f>
        <v>360886.42000000004</v>
      </c>
      <c r="D9" s="227">
        <f t="shared" si="0"/>
        <v>0</v>
      </c>
      <c r="E9" s="226">
        <f>SUMIF(COMPARATIVO!$A$7:$A$70,'RESUMEN - ANALISIS'!A9,COMPARATIVO!$G$7:$G$70)</f>
        <v>0</v>
      </c>
      <c r="F9" s="226">
        <f>SUMIF(COMPARATIVO!$A$7:$A$70,'RESUMEN - ANALISIS'!A9,COMPARATIVO!$R$7:$R$70)</f>
        <v>0</v>
      </c>
      <c r="G9" s="227" t="e">
        <f t="shared" si="1"/>
        <v>#DIV/0!</v>
      </c>
      <c r="H9" s="226">
        <f>SUMIF(COMPARATIVO!$A$7:$A$70,'RESUMEN - ANALISIS'!A9,COMPARATIVO!$N$7:$N$70)</f>
        <v>0</v>
      </c>
      <c r="I9" s="198">
        <f t="shared" si="2"/>
        <v>17915.100000000002</v>
      </c>
      <c r="J9" s="68"/>
      <c r="K9" s="68"/>
      <c r="L9" s="67"/>
      <c r="M9" s="68"/>
      <c r="N9" s="67">
        <v>17915.100000000002</v>
      </c>
      <c r="O9" s="152">
        <f t="shared" si="3"/>
        <v>-17915.100000000002</v>
      </c>
    </row>
    <row r="10" spans="1:15" x14ac:dyDescent="0.25">
      <c r="A10" s="30">
        <v>400</v>
      </c>
      <c r="B10" s="39" t="s">
        <v>260</v>
      </c>
      <c r="C10" s="226">
        <f>SUMIF(COMPARATIVO!$A$7:$A$70,'RESUMEN - ANALISIS'!A10,COMPARATIVO!$K$7:$K$70)</f>
        <v>221395.36000000002</v>
      </c>
      <c r="D10" s="227">
        <f t="shared" si="0"/>
        <v>0</v>
      </c>
      <c r="E10" s="226">
        <f>SUMIF(COMPARATIVO!$A$7:$A$70,'RESUMEN - ANALISIS'!A10,COMPARATIVO!$G$7:$G$70)</f>
        <v>0</v>
      </c>
      <c r="F10" s="226">
        <f>SUMIF(COMPARATIVO!$A$7:$A$70,'RESUMEN - ANALISIS'!A10,COMPARATIVO!$R$7:$R$70)</f>
        <v>0</v>
      </c>
      <c r="G10" s="227" t="e">
        <f t="shared" si="1"/>
        <v>#DIV/0!</v>
      </c>
      <c r="H10" s="226">
        <f>SUMIF(COMPARATIVO!$A$7:$A$70,'RESUMEN - ANALISIS'!A10,COMPARATIVO!$N$7:$N$70)</f>
        <v>0</v>
      </c>
      <c r="I10" s="198">
        <f t="shared" si="2"/>
        <v>0</v>
      </c>
      <c r="J10" s="74"/>
      <c r="K10" s="74"/>
      <c r="L10" s="75"/>
      <c r="M10" s="74"/>
      <c r="N10" s="75"/>
      <c r="O10" s="153"/>
    </row>
    <row r="11" spans="1:15" x14ac:dyDescent="0.25">
      <c r="A11" s="30">
        <v>500</v>
      </c>
      <c r="B11" s="26" t="s">
        <v>261</v>
      </c>
      <c r="C11" s="226">
        <f>SUMIF(COMPARATIVO!$A$7:$A$70,'RESUMEN - ANALISIS'!A11,COMPARATIVO!$K$7:$K$70)</f>
        <v>215263.24000000002</v>
      </c>
      <c r="D11" s="227">
        <f t="shared" si="0"/>
        <v>0</v>
      </c>
      <c r="E11" s="226">
        <f>SUMIF(COMPARATIVO!$A$7:$A$70,'RESUMEN - ANALISIS'!A11,COMPARATIVO!$G$7:$G$70)</f>
        <v>0</v>
      </c>
      <c r="F11" s="226">
        <f>SUMIF(COMPARATIVO!$A$7:$A$70,'RESUMEN - ANALISIS'!A11,COMPARATIVO!$R$7:$R$70)</f>
        <v>0</v>
      </c>
      <c r="G11" s="227" t="e">
        <f t="shared" si="1"/>
        <v>#DIV/0!</v>
      </c>
      <c r="H11" s="226">
        <f>SUMIF(COMPARATIVO!$A$7:$A$70,'RESUMEN - ANALISIS'!A11,COMPARATIVO!$N$7:$N$70)</f>
        <v>0</v>
      </c>
      <c r="I11" s="198">
        <f t="shared" si="2"/>
        <v>696.07999999999993</v>
      </c>
      <c r="J11" s="69">
        <v>55</v>
      </c>
      <c r="K11" s="74"/>
      <c r="L11" s="75"/>
      <c r="M11" s="74"/>
      <c r="N11" s="75">
        <v>641.07999999999993</v>
      </c>
      <c r="O11" s="153">
        <f t="shared" si="3"/>
        <v>-696.07999999999993</v>
      </c>
    </row>
    <row r="12" spans="1:15" x14ac:dyDescent="0.25">
      <c r="A12" s="78"/>
      <c r="B12" s="79" t="s">
        <v>71</v>
      </c>
      <c r="C12" s="80">
        <f>SUM(C7:C11)</f>
        <v>960724.52</v>
      </c>
      <c r="D12" s="79"/>
      <c r="E12" s="113">
        <f>SUM(E7:E11)</f>
        <v>0</v>
      </c>
      <c r="F12" s="80">
        <f>SUM(F7:F11)</f>
        <v>1374.45</v>
      </c>
      <c r="G12" s="79"/>
      <c r="H12" s="80">
        <f>SUM(H7:H11)</f>
        <v>0</v>
      </c>
      <c r="I12" s="113">
        <f>SUM(I7:I11)</f>
        <v>26160.020000000004</v>
      </c>
      <c r="J12" s="80">
        <f t="shared" ref="J12:O12" si="4">SUM(J7:J11)</f>
        <v>255</v>
      </c>
      <c r="K12" s="80">
        <f t="shared" si="4"/>
        <v>0</v>
      </c>
      <c r="L12" s="80">
        <f t="shared" si="4"/>
        <v>0</v>
      </c>
      <c r="M12" s="80">
        <f t="shared" si="4"/>
        <v>0</v>
      </c>
      <c r="N12" s="80">
        <f t="shared" si="4"/>
        <v>25905.020000000004</v>
      </c>
      <c r="O12" s="154">
        <f t="shared" si="4"/>
        <v>-26160.020000000004</v>
      </c>
    </row>
    <row r="15" spans="1:15" s="157" customFormat="1" ht="30" x14ac:dyDescent="0.25">
      <c r="A15" s="147"/>
      <c r="B15" s="156" t="s">
        <v>4</v>
      </c>
      <c r="C15" s="146" t="s">
        <v>124</v>
      </c>
      <c r="D15" s="156"/>
      <c r="E15" s="148" t="s">
        <v>72</v>
      </c>
      <c r="F15" s="147" t="s">
        <v>73</v>
      </c>
      <c r="G15" s="156"/>
      <c r="H15" s="147" t="s">
        <v>74</v>
      </c>
    </row>
    <row r="16" spans="1:15" x14ac:dyDescent="0.25">
      <c r="A16" s="41"/>
      <c r="B16" s="57"/>
      <c r="C16" s="45"/>
      <c r="D16" s="59"/>
      <c r="E16" s="45"/>
      <c r="F16" s="45"/>
      <c r="G16" s="59"/>
      <c r="H16" s="45"/>
    </row>
    <row r="17" spans="1:8" x14ac:dyDescent="0.25">
      <c r="A17" s="30"/>
      <c r="B17" s="58" t="s">
        <v>80</v>
      </c>
      <c r="C17" s="9">
        <f>I12</f>
        <v>26160.020000000004</v>
      </c>
      <c r="D17" s="15"/>
      <c r="E17" s="9">
        <f>F12</f>
        <v>1374.45</v>
      </c>
      <c r="F17" s="115"/>
      <c r="G17" s="15"/>
      <c r="H17" s="9">
        <f>+F17-E17</f>
        <v>-1374.45</v>
      </c>
    </row>
    <row r="18" spans="1:8" x14ac:dyDescent="0.25">
      <c r="A18" s="30"/>
      <c r="B18" s="58"/>
      <c r="C18" s="9"/>
      <c r="D18" s="15"/>
      <c r="E18" s="9"/>
      <c r="F18" s="9"/>
      <c r="G18" s="15"/>
      <c r="H18" s="9"/>
    </row>
    <row r="19" spans="1:8" x14ac:dyDescent="0.25">
      <c r="A19" s="30"/>
      <c r="B19" s="58" t="s">
        <v>75</v>
      </c>
      <c r="C19" s="9">
        <f>E12</f>
        <v>0</v>
      </c>
      <c r="D19" s="15"/>
      <c r="E19" s="9">
        <f>C12</f>
        <v>960724.52</v>
      </c>
      <c r="F19" s="9"/>
      <c r="G19" s="15"/>
      <c r="H19" s="9">
        <f>+F19-E19</f>
        <v>-960724.52</v>
      </c>
    </row>
    <row r="20" spans="1:8" x14ac:dyDescent="0.25">
      <c r="A20" s="40"/>
      <c r="B20" s="6"/>
      <c r="C20" s="56"/>
      <c r="D20" s="55"/>
      <c r="E20" s="56"/>
      <c r="F20" s="56"/>
      <c r="G20" s="55"/>
      <c r="H20" s="56"/>
    </row>
    <row r="21" spans="1:8" x14ac:dyDescent="0.25">
      <c r="A21" s="78"/>
      <c r="B21" s="81" t="s">
        <v>76</v>
      </c>
      <c r="C21" s="114">
        <f>C19-C17</f>
        <v>-26160.020000000004</v>
      </c>
      <c r="D21" s="83"/>
      <c r="E21" s="82">
        <f>E19-E17</f>
        <v>959350.07000000007</v>
      </c>
      <c r="F21" s="82">
        <f>F19-F17</f>
        <v>0</v>
      </c>
      <c r="G21" s="83"/>
      <c r="H21" s="82"/>
    </row>
    <row r="22" spans="1:8" x14ac:dyDescent="0.25">
      <c r="A22" s="78"/>
      <c r="B22" s="81" t="s">
        <v>88</v>
      </c>
      <c r="C22" s="84" t="e">
        <f>C21/C19</f>
        <v>#DIV/0!</v>
      </c>
      <c r="D22" s="83"/>
      <c r="E22" s="84">
        <f>E21/E19</f>
        <v>0.99856936096520166</v>
      </c>
      <c r="F22" s="84" t="e">
        <f>F21/F19</f>
        <v>#DIV/0!</v>
      </c>
      <c r="G22" s="83"/>
      <c r="H22" s="82"/>
    </row>
  </sheetData>
  <mergeCells count="3">
    <mergeCell ref="C4:E4"/>
    <mergeCell ref="F4:H4"/>
    <mergeCell ref="I4:N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8134-0670-4A95-BCFF-773CCA0BF999}">
  <dimension ref="A2:K19"/>
  <sheetViews>
    <sheetView workbookViewId="0">
      <selection activeCell="E18" sqref="E18"/>
    </sheetView>
  </sheetViews>
  <sheetFormatPr baseColWidth="10" defaultRowHeight="15" x14ac:dyDescent="0.25"/>
  <cols>
    <col min="2" max="2" width="35.42578125" customWidth="1"/>
    <col min="3" max="3" width="21.85546875" customWidth="1"/>
    <col min="4" max="4" width="11.140625" customWidth="1"/>
    <col min="5" max="5" width="15.140625" customWidth="1"/>
    <col min="8" max="8" width="14.42578125" customWidth="1"/>
    <col min="9" max="9" width="15.28515625" customWidth="1"/>
    <col min="10" max="10" width="13.7109375" customWidth="1"/>
    <col min="11" max="11" width="13.28515625" customWidth="1"/>
  </cols>
  <sheetData>
    <row r="2" spans="1:11" ht="30" x14ac:dyDescent="0.25">
      <c r="A2" s="135" t="s">
        <v>2</v>
      </c>
      <c r="B2" s="135" t="s">
        <v>15</v>
      </c>
      <c r="C2" s="135" t="s">
        <v>103</v>
      </c>
      <c r="D2" s="135" t="s">
        <v>111</v>
      </c>
      <c r="E2" s="135" t="s">
        <v>104</v>
      </c>
      <c r="F2" s="135" t="s">
        <v>105</v>
      </c>
      <c r="G2" s="135" t="s">
        <v>91</v>
      </c>
      <c r="H2" s="135" t="s">
        <v>77</v>
      </c>
      <c r="I2" s="135" t="s">
        <v>106</v>
      </c>
      <c r="J2" s="144" t="s">
        <v>116</v>
      </c>
      <c r="K2" s="144" t="s">
        <v>117</v>
      </c>
    </row>
    <row r="3" spans="1:11" x14ac:dyDescent="0.25">
      <c r="A3" s="135"/>
      <c r="B3" s="135" t="s">
        <v>107</v>
      </c>
      <c r="C3" s="135"/>
      <c r="D3" s="135"/>
      <c r="E3" s="135"/>
      <c r="F3" s="135"/>
      <c r="G3" s="135"/>
      <c r="H3" s="135"/>
      <c r="I3" s="135"/>
      <c r="J3" s="136"/>
      <c r="K3" s="136"/>
    </row>
    <row r="4" spans="1:11" x14ac:dyDescent="0.25">
      <c r="A4" s="137">
        <v>1</v>
      </c>
      <c r="B4" s="136" t="s">
        <v>109</v>
      </c>
      <c r="C4" s="136" t="s">
        <v>110</v>
      </c>
      <c r="D4" s="138" t="s">
        <v>112</v>
      </c>
      <c r="E4" s="142">
        <v>500</v>
      </c>
      <c r="F4" s="142">
        <v>120</v>
      </c>
      <c r="G4" s="142">
        <f>+E4*F4</f>
        <v>60000</v>
      </c>
      <c r="H4" s="138">
        <v>200</v>
      </c>
      <c r="I4" s="138" t="s">
        <v>9</v>
      </c>
      <c r="J4" s="141">
        <v>130</v>
      </c>
      <c r="K4" s="145">
        <f>+J4*F4</f>
        <v>15600</v>
      </c>
    </row>
    <row r="5" spans="1:11" x14ac:dyDescent="0.25">
      <c r="A5" s="136"/>
      <c r="B5" s="136"/>
      <c r="C5" s="136"/>
      <c r="D5" s="138"/>
      <c r="E5" s="142"/>
      <c r="F5" s="142"/>
      <c r="G5" s="142"/>
      <c r="H5" s="138"/>
      <c r="I5" s="138"/>
      <c r="J5" s="141"/>
      <c r="K5" s="136"/>
    </row>
    <row r="6" spans="1:11" x14ac:dyDescent="0.25">
      <c r="A6" s="136"/>
      <c r="B6" s="136"/>
      <c r="C6" s="136"/>
      <c r="D6" s="138"/>
      <c r="E6" s="142"/>
      <c r="F6" s="142"/>
      <c r="G6" s="142"/>
      <c r="H6" s="138"/>
      <c r="I6" s="138"/>
      <c r="J6" s="136"/>
      <c r="K6" s="136"/>
    </row>
    <row r="7" spans="1:11" x14ac:dyDescent="0.25">
      <c r="A7" s="136"/>
      <c r="B7" s="136"/>
      <c r="C7" s="136"/>
      <c r="D7" s="138"/>
      <c r="E7" s="142"/>
      <c r="F7" s="142"/>
      <c r="G7" s="142"/>
      <c r="H7" s="138"/>
      <c r="I7" s="138"/>
      <c r="J7" s="136"/>
      <c r="K7" s="136"/>
    </row>
    <row r="8" spans="1:11" x14ac:dyDescent="0.25">
      <c r="A8" s="136"/>
      <c r="B8" s="136"/>
      <c r="C8" s="136"/>
      <c r="D8" s="138"/>
      <c r="E8" s="142"/>
      <c r="F8" s="142"/>
      <c r="G8" s="142"/>
      <c r="H8" s="138"/>
      <c r="I8" s="138"/>
      <c r="J8" s="136"/>
      <c r="K8" s="136"/>
    </row>
    <row r="9" spans="1:11" x14ac:dyDescent="0.25">
      <c r="A9" s="136"/>
      <c r="B9" s="136"/>
      <c r="C9" s="136"/>
      <c r="D9" s="138"/>
      <c r="E9" s="142"/>
      <c r="F9" s="142"/>
      <c r="G9" s="142"/>
      <c r="H9" s="138"/>
      <c r="I9" s="138"/>
      <c r="J9" s="136"/>
      <c r="K9" s="136"/>
    </row>
    <row r="10" spans="1:11" x14ac:dyDescent="0.25">
      <c r="A10" s="136"/>
      <c r="B10" s="136"/>
      <c r="C10" s="136"/>
      <c r="D10" s="138"/>
      <c r="E10" s="142"/>
      <c r="F10" s="142"/>
      <c r="G10" s="142"/>
      <c r="H10" s="138"/>
      <c r="I10" s="138"/>
      <c r="J10" s="136"/>
      <c r="K10" s="136"/>
    </row>
    <row r="11" spans="1:11" x14ac:dyDescent="0.25">
      <c r="A11" s="139"/>
      <c r="B11" s="140" t="s">
        <v>108</v>
      </c>
      <c r="C11" s="139"/>
      <c r="D11" s="140"/>
      <c r="E11" s="143"/>
      <c r="F11" s="143"/>
      <c r="G11" s="143"/>
      <c r="H11" s="140"/>
      <c r="I11" s="140"/>
      <c r="J11" s="136"/>
      <c r="K11" s="136"/>
    </row>
    <row r="12" spans="1:11" x14ac:dyDescent="0.25">
      <c r="A12" s="137">
        <v>1</v>
      </c>
      <c r="B12" s="136" t="s">
        <v>113</v>
      </c>
      <c r="C12" s="136" t="s">
        <v>114</v>
      </c>
      <c r="D12" s="138" t="s">
        <v>115</v>
      </c>
      <c r="E12" s="142">
        <v>50</v>
      </c>
      <c r="F12" s="142">
        <v>180</v>
      </c>
      <c r="G12" s="142">
        <f>+E12*F12</f>
        <v>9000</v>
      </c>
      <c r="H12" s="138">
        <v>200</v>
      </c>
      <c r="I12" s="138" t="s">
        <v>11</v>
      </c>
      <c r="J12" s="141">
        <v>35</v>
      </c>
      <c r="K12" s="145">
        <f>+J12*F12</f>
        <v>6300</v>
      </c>
    </row>
    <row r="13" spans="1:11" x14ac:dyDescent="0.25">
      <c r="A13" s="136"/>
      <c r="B13" s="136"/>
      <c r="C13" s="136"/>
      <c r="D13" s="138"/>
      <c r="E13" s="138"/>
      <c r="F13" s="138"/>
      <c r="G13" s="138"/>
      <c r="H13" s="138"/>
      <c r="I13" s="138"/>
      <c r="J13" s="136"/>
      <c r="K13" s="136"/>
    </row>
    <row r="14" spans="1:11" x14ac:dyDescent="0.25">
      <c r="A14" s="136"/>
      <c r="B14" s="136"/>
      <c r="C14" s="136"/>
      <c r="D14" s="138"/>
      <c r="E14" s="138"/>
      <c r="F14" s="138"/>
      <c r="G14" s="138"/>
      <c r="H14" s="138"/>
      <c r="I14" s="138"/>
      <c r="J14" s="136"/>
      <c r="K14" s="136"/>
    </row>
    <row r="15" spans="1:11" x14ac:dyDescent="0.25">
      <c r="A15" s="136"/>
      <c r="B15" s="136"/>
      <c r="C15" s="136"/>
      <c r="D15" s="138"/>
      <c r="E15" s="138"/>
      <c r="F15" s="138"/>
      <c r="G15" s="138"/>
      <c r="H15" s="138"/>
      <c r="I15" s="138"/>
      <c r="J15" s="136"/>
      <c r="K15" s="136"/>
    </row>
    <row r="16" spans="1:11" x14ac:dyDescent="0.25">
      <c r="A16" s="136"/>
      <c r="B16" s="136"/>
      <c r="C16" s="136"/>
      <c r="D16" s="138"/>
      <c r="E16" s="138"/>
      <c r="F16" s="138"/>
      <c r="G16" s="138"/>
      <c r="H16" s="138"/>
      <c r="I16" s="138"/>
      <c r="J16" s="136"/>
      <c r="K16" s="136"/>
    </row>
    <row r="17" spans="1:11" x14ac:dyDescent="0.25">
      <c r="A17" s="136"/>
      <c r="B17" s="136"/>
      <c r="C17" s="136"/>
      <c r="D17" s="138"/>
      <c r="E17" s="138"/>
      <c r="F17" s="138"/>
      <c r="G17" s="138"/>
      <c r="H17" s="138"/>
      <c r="I17" s="138"/>
      <c r="J17" s="136"/>
      <c r="K17" s="136"/>
    </row>
    <row r="18" spans="1:11" x14ac:dyDescent="0.25">
      <c r="A18" s="136"/>
      <c r="B18" s="136"/>
      <c r="C18" s="136"/>
      <c r="D18" s="138"/>
      <c r="E18" s="138"/>
      <c r="F18" s="138"/>
      <c r="G18" s="138"/>
      <c r="H18" s="138"/>
      <c r="I18" s="138"/>
      <c r="J18" s="136"/>
      <c r="K18" s="136"/>
    </row>
    <row r="19" spans="1:11" x14ac:dyDescent="0.25">
      <c r="A19" s="136"/>
      <c r="B19" s="136"/>
      <c r="C19" s="136"/>
      <c r="D19" s="138"/>
      <c r="E19" s="138"/>
      <c r="F19" s="138"/>
      <c r="G19" s="138"/>
      <c r="H19" s="138"/>
      <c r="I19" s="138"/>
      <c r="J19" s="136"/>
      <c r="K19" s="13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A658-AD03-408A-936A-8090B248FB53}">
  <dimension ref="A4:M28"/>
  <sheetViews>
    <sheetView topLeftCell="A3" workbookViewId="0">
      <selection activeCell="E6" sqref="E6:E22"/>
    </sheetView>
  </sheetViews>
  <sheetFormatPr baseColWidth="10" defaultRowHeight="15" x14ac:dyDescent="0.25"/>
  <cols>
    <col min="3" max="3" width="42.42578125" customWidth="1"/>
    <col min="4" max="4" width="11.28515625" customWidth="1"/>
    <col min="5" max="5" width="9.140625" customWidth="1"/>
  </cols>
  <sheetData>
    <row r="4" spans="1:13" x14ac:dyDescent="0.25">
      <c r="A4" s="207" t="s">
        <v>2</v>
      </c>
      <c r="B4" s="207" t="s">
        <v>3</v>
      </c>
      <c r="C4" s="207" t="s">
        <v>15</v>
      </c>
      <c r="D4" s="207" t="s">
        <v>13</v>
      </c>
      <c r="E4" s="207"/>
      <c r="F4" s="207"/>
      <c r="G4" s="136"/>
      <c r="H4" s="136"/>
      <c r="I4" s="136"/>
    </row>
    <row r="5" spans="1:13" ht="30" x14ac:dyDescent="0.25">
      <c r="A5" s="209"/>
      <c r="B5" s="209"/>
      <c r="C5" s="209"/>
      <c r="D5" s="133" t="s">
        <v>5</v>
      </c>
      <c r="E5" s="133" t="s">
        <v>6</v>
      </c>
      <c r="F5" s="133" t="s">
        <v>7</v>
      </c>
      <c r="G5" s="132" t="s">
        <v>118</v>
      </c>
      <c r="H5" s="132" t="s">
        <v>119</v>
      </c>
      <c r="I5" s="132" t="s">
        <v>120</v>
      </c>
    </row>
    <row r="6" spans="1:13" x14ac:dyDescent="0.25">
      <c r="A6" s="119"/>
      <c r="B6" s="120"/>
      <c r="C6" s="121"/>
      <c r="D6" s="101"/>
      <c r="E6" s="23"/>
      <c r="F6" s="18"/>
      <c r="G6" s="18"/>
      <c r="H6" s="18"/>
      <c r="I6" s="18"/>
    </row>
    <row r="7" spans="1:13" x14ac:dyDescent="0.25">
      <c r="A7" s="122"/>
      <c r="B7" s="123"/>
      <c r="C7" s="124"/>
      <c r="D7" s="102"/>
      <c r="E7" s="24"/>
      <c r="F7" s="19"/>
      <c r="G7" s="19"/>
      <c r="H7" s="19"/>
      <c r="I7" s="19"/>
    </row>
    <row r="8" spans="1:13" x14ac:dyDescent="0.25">
      <c r="A8" s="125"/>
      <c r="B8" s="126"/>
      <c r="C8" s="127"/>
      <c r="D8" s="103"/>
      <c r="E8" s="9"/>
      <c r="F8" s="20">
        <f>ROUND(D8*E8,2)</f>
        <v>0</v>
      </c>
      <c r="G8" s="20">
        <f>+$F8*K8</f>
        <v>0</v>
      </c>
      <c r="H8" s="20">
        <f t="shared" ref="H8:I8" si="0">+$F8*L8</f>
        <v>0</v>
      </c>
      <c r="I8" s="20">
        <f t="shared" si="0"/>
        <v>0</v>
      </c>
      <c r="K8">
        <v>0.3</v>
      </c>
      <c r="L8">
        <v>0.4</v>
      </c>
      <c r="M8">
        <v>0.3</v>
      </c>
    </row>
    <row r="9" spans="1:13" x14ac:dyDescent="0.25">
      <c r="A9" s="122"/>
      <c r="B9" s="123"/>
      <c r="C9" s="124"/>
      <c r="D9" s="104"/>
      <c r="E9" s="8"/>
      <c r="F9" s="21"/>
      <c r="G9" s="21"/>
      <c r="H9" s="21"/>
      <c r="I9" s="21"/>
    </row>
    <row r="10" spans="1:13" x14ac:dyDescent="0.25">
      <c r="A10" s="125"/>
      <c r="B10" s="126"/>
      <c r="C10" s="127"/>
      <c r="D10" s="103"/>
      <c r="E10" s="9"/>
      <c r="F10" s="20">
        <f t="shared" ref="F10:F13" si="1">ROUND(D10*E10,2)</f>
        <v>0</v>
      </c>
      <c r="G10" s="20">
        <f t="shared" ref="G10:G13" si="2">+$F10*K10</f>
        <v>0</v>
      </c>
      <c r="H10" s="20">
        <f t="shared" ref="H10:H13" si="3">+$F10*L10</f>
        <v>0</v>
      </c>
      <c r="I10" s="20">
        <f t="shared" ref="I10:I13" si="4">+$F10*M10</f>
        <v>0</v>
      </c>
      <c r="K10">
        <v>0.5</v>
      </c>
      <c r="L10">
        <v>0.5</v>
      </c>
    </row>
    <row r="11" spans="1:13" x14ac:dyDescent="0.25">
      <c r="A11" s="125"/>
      <c r="B11" s="126"/>
      <c r="C11" s="127"/>
      <c r="D11" s="103"/>
      <c r="E11" s="9"/>
      <c r="F11" s="20">
        <f t="shared" si="1"/>
        <v>0</v>
      </c>
      <c r="G11" s="20">
        <f t="shared" si="2"/>
        <v>0</v>
      </c>
      <c r="H11" s="20">
        <f t="shared" si="3"/>
        <v>0</v>
      </c>
      <c r="I11" s="20">
        <f t="shared" si="4"/>
        <v>0</v>
      </c>
      <c r="K11">
        <v>0.5</v>
      </c>
      <c r="L11">
        <v>0.5</v>
      </c>
    </row>
    <row r="12" spans="1:13" x14ac:dyDescent="0.25">
      <c r="A12" s="125"/>
      <c r="B12" s="126"/>
      <c r="C12" s="127"/>
      <c r="D12" s="103"/>
      <c r="E12" s="9"/>
      <c r="F12" s="20">
        <f t="shared" si="1"/>
        <v>0</v>
      </c>
      <c r="G12" s="20">
        <f t="shared" si="2"/>
        <v>0</v>
      </c>
      <c r="H12" s="20">
        <f t="shared" si="3"/>
        <v>0</v>
      </c>
      <c r="I12" s="20">
        <f t="shared" si="4"/>
        <v>0</v>
      </c>
      <c r="K12">
        <v>0.5</v>
      </c>
      <c r="L12">
        <v>0.5</v>
      </c>
    </row>
    <row r="13" spans="1:13" x14ac:dyDescent="0.25">
      <c r="A13" s="125"/>
      <c r="B13" s="126"/>
      <c r="C13" s="127"/>
      <c r="D13" s="103"/>
      <c r="E13" s="9"/>
      <c r="F13" s="20">
        <f t="shared" si="1"/>
        <v>0</v>
      </c>
      <c r="G13" s="20">
        <f t="shared" si="2"/>
        <v>0</v>
      </c>
      <c r="H13" s="20">
        <f t="shared" si="3"/>
        <v>0</v>
      </c>
      <c r="I13" s="20">
        <f t="shared" si="4"/>
        <v>0</v>
      </c>
      <c r="K13">
        <v>0.3</v>
      </c>
      <c r="L13">
        <v>0.4</v>
      </c>
      <c r="M13">
        <v>0.3</v>
      </c>
    </row>
    <row r="14" spans="1:13" x14ac:dyDescent="0.25">
      <c r="A14" s="122"/>
      <c r="B14" s="123"/>
      <c r="C14" s="124"/>
      <c r="D14" s="104"/>
      <c r="E14" s="8"/>
      <c r="F14" s="21"/>
      <c r="G14" s="21"/>
      <c r="H14" s="21"/>
      <c r="I14" s="21"/>
    </row>
    <row r="15" spans="1:13" x14ac:dyDescent="0.25">
      <c r="A15" s="125"/>
      <c r="B15" s="126"/>
      <c r="C15" s="127"/>
      <c r="D15" s="103"/>
      <c r="E15" s="9"/>
      <c r="F15" s="20">
        <f t="shared" ref="F15:F17" si="5">ROUND(D15*E15,2)</f>
        <v>0</v>
      </c>
      <c r="G15" s="20">
        <f t="shared" ref="G15:G17" si="6">+$F15*K15</f>
        <v>0</v>
      </c>
      <c r="H15" s="20">
        <f t="shared" ref="H15:H17" si="7">+$F15*L15</f>
        <v>0</v>
      </c>
      <c r="I15" s="20">
        <f t="shared" ref="I15:I17" si="8">+$F15*M15</f>
        <v>0</v>
      </c>
      <c r="L15">
        <v>0.5</v>
      </c>
      <c r="M15">
        <v>0.5</v>
      </c>
    </row>
    <row r="16" spans="1:13" x14ac:dyDescent="0.25">
      <c r="A16" s="125"/>
      <c r="B16" s="126"/>
      <c r="C16" s="127"/>
      <c r="D16" s="103"/>
      <c r="E16" s="9"/>
      <c r="F16" s="20">
        <f t="shared" si="5"/>
        <v>0</v>
      </c>
      <c r="G16" s="20">
        <f t="shared" si="6"/>
        <v>0</v>
      </c>
      <c r="H16" s="20">
        <f t="shared" si="7"/>
        <v>0</v>
      </c>
      <c r="I16" s="20">
        <f t="shared" si="8"/>
        <v>0</v>
      </c>
      <c r="L16">
        <v>0.5</v>
      </c>
      <c r="M16">
        <v>0.5</v>
      </c>
    </row>
    <row r="17" spans="1:13" x14ac:dyDescent="0.25">
      <c r="A17" s="125"/>
      <c r="B17" s="126"/>
      <c r="C17" s="127"/>
      <c r="D17" s="103"/>
      <c r="E17" s="9"/>
      <c r="F17" s="20">
        <f t="shared" si="5"/>
        <v>0</v>
      </c>
      <c r="G17" s="20">
        <f t="shared" si="6"/>
        <v>0</v>
      </c>
      <c r="H17" s="20">
        <f t="shared" si="7"/>
        <v>0</v>
      </c>
      <c r="I17" s="20">
        <f t="shared" si="8"/>
        <v>0</v>
      </c>
      <c r="L17">
        <v>0.5</v>
      </c>
      <c r="M17">
        <v>0.5</v>
      </c>
    </row>
    <row r="18" spans="1:13" x14ac:dyDescent="0.25">
      <c r="A18" s="122"/>
      <c r="B18" s="123"/>
      <c r="C18" s="124"/>
      <c r="D18" s="104"/>
      <c r="E18" s="8"/>
      <c r="F18" s="21"/>
      <c r="G18" s="21"/>
      <c r="H18" s="21"/>
      <c r="I18" s="21"/>
    </row>
    <row r="19" spans="1:13" x14ac:dyDescent="0.25">
      <c r="A19" s="125"/>
      <c r="B19" s="126"/>
      <c r="C19" s="127"/>
      <c r="D19" s="103"/>
      <c r="E19" s="9"/>
      <c r="F19" s="20">
        <f>ROUND(D19*E19,2)</f>
        <v>0</v>
      </c>
      <c r="G19" s="20">
        <f>+$F19*K19</f>
        <v>0</v>
      </c>
      <c r="H19" s="20">
        <f t="shared" ref="H19" si="9">+$F19*L19</f>
        <v>0</v>
      </c>
      <c r="I19" s="20">
        <f t="shared" ref="I19" si="10">+$F19*M19</f>
        <v>0</v>
      </c>
      <c r="L19">
        <v>0.5</v>
      </c>
      <c r="M19">
        <v>0.5</v>
      </c>
    </row>
    <row r="20" spans="1:13" x14ac:dyDescent="0.25">
      <c r="A20" s="122"/>
      <c r="B20" s="123"/>
      <c r="C20" s="124"/>
      <c r="D20" s="104"/>
      <c r="E20" s="8"/>
      <c r="F20" s="21"/>
      <c r="G20" s="21"/>
      <c r="H20" s="21"/>
      <c r="I20" s="21"/>
    </row>
    <row r="21" spans="1:13" x14ac:dyDescent="0.25">
      <c r="A21" s="125"/>
      <c r="B21" s="126"/>
      <c r="C21" s="127"/>
      <c r="D21" s="103"/>
      <c r="E21" s="9"/>
      <c r="F21" s="20">
        <f t="shared" ref="F21:F22" si="11">ROUND(D21*E21,2)</f>
        <v>0</v>
      </c>
      <c r="G21" s="20">
        <f t="shared" ref="G21:G22" si="12">+$F21*K21</f>
        <v>0</v>
      </c>
      <c r="H21" s="20">
        <f t="shared" ref="H21:H22" si="13">+$F21*L21</f>
        <v>0</v>
      </c>
      <c r="I21" s="20">
        <f t="shared" ref="I21:I22" si="14">+$F21*M21</f>
        <v>0</v>
      </c>
      <c r="L21">
        <v>0.2</v>
      </c>
      <c r="M21">
        <v>0.8</v>
      </c>
    </row>
    <row r="22" spans="1:13" x14ac:dyDescent="0.25">
      <c r="A22" s="128"/>
      <c r="B22" s="129"/>
      <c r="C22" s="130"/>
      <c r="D22" s="105"/>
      <c r="E22" s="10"/>
      <c r="F22" s="22">
        <f t="shared" si="11"/>
        <v>0</v>
      </c>
      <c r="G22" s="20">
        <f t="shared" si="12"/>
        <v>0</v>
      </c>
      <c r="H22" s="20">
        <f t="shared" si="13"/>
        <v>0</v>
      </c>
      <c r="I22" s="20">
        <f t="shared" si="14"/>
        <v>0</v>
      </c>
      <c r="L22">
        <v>0.2</v>
      </c>
      <c r="M22">
        <v>0.8</v>
      </c>
    </row>
    <row r="23" spans="1:13" x14ac:dyDescent="0.25">
      <c r="A23" s="29"/>
      <c r="B23" s="27"/>
      <c r="C23" s="23" t="s">
        <v>54</v>
      </c>
      <c r="D23" s="106"/>
      <c r="E23" s="7"/>
      <c r="F23" s="134">
        <f>SUM(F6:F22)</f>
        <v>0</v>
      </c>
      <c r="G23" s="134">
        <f t="shared" ref="G23:I23" si="15">SUM(G6:G22)</f>
        <v>0</v>
      </c>
      <c r="H23" s="134">
        <f t="shared" si="15"/>
        <v>0</v>
      </c>
      <c r="I23" s="134">
        <f t="shared" si="15"/>
        <v>0</v>
      </c>
    </row>
    <row r="24" spans="1:13" x14ac:dyDescent="0.25">
      <c r="A24" s="91"/>
      <c r="B24" s="92"/>
      <c r="C24" s="93" t="s">
        <v>89</v>
      </c>
      <c r="D24" s="107"/>
      <c r="E24" s="95"/>
      <c r="F24" s="96">
        <f>ROUND(F23*0.1,2)</f>
        <v>0</v>
      </c>
      <c r="G24" s="96">
        <f t="shared" ref="G24:I24" si="16">ROUND(G23*0.1,2)</f>
        <v>0</v>
      </c>
      <c r="H24" s="96">
        <f t="shared" si="16"/>
        <v>0</v>
      </c>
      <c r="I24" s="96">
        <f t="shared" si="16"/>
        <v>0</v>
      </c>
    </row>
    <row r="25" spans="1:13" x14ac:dyDescent="0.25">
      <c r="A25" s="91"/>
      <c r="B25" s="92"/>
      <c r="C25" s="93" t="s">
        <v>90</v>
      </c>
      <c r="D25" s="107"/>
      <c r="E25" s="95"/>
      <c r="F25" s="118">
        <f>ROUND(F23*0.08,2)</f>
        <v>0</v>
      </c>
      <c r="G25" s="118">
        <f t="shared" ref="G25:I25" si="17">ROUND(G23*0.08,2)</f>
        <v>0</v>
      </c>
      <c r="H25" s="118">
        <f t="shared" si="17"/>
        <v>0</v>
      </c>
      <c r="I25" s="118">
        <f t="shared" si="17"/>
        <v>0</v>
      </c>
    </row>
    <row r="26" spans="1:13" x14ac:dyDescent="0.25">
      <c r="A26" s="43"/>
      <c r="B26" s="86"/>
      <c r="C26" s="87" t="s">
        <v>91</v>
      </c>
      <c r="D26" s="108"/>
      <c r="E26" s="44"/>
      <c r="F26" s="88">
        <f>SUM(F23:F25)</f>
        <v>0</v>
      </c>
      <c r="G26" s="88">
        <f t="shared" ref="G26:I26" si="18">SUM(G23:G25)</f>
        <v>0</v>
      </c>
      <c r="H26" s="88">
        <f t="shared" si="18"/>
        <v>0</v>
      </c>
      <c r="I26" s="88">
        <f t="shared" si="18"/>
        <v>0</v>
      </c>
    </row>
    <row r="27" spans="1:13" x14ac:dyDescent="0.25">
      <c r="A27" s="30"/>
      <c r="B27" s="28"/>
      <c r="C27" s="25" t="s">
        <v>55</v>
      </c>
      <c r="D27" s="103"/>
      <c r="E27" s="9"/>
      <c r="F27" s="20">
        <f>ROUND(F26*0.18,2)</f>
        <v>0</v>
      </c>
      <c r="G27" s="20">
        <f t="shared" ref="G27:I27" si="19">ROUND(G26*0.18,2)</f>
        <v>0</v>
      </c>
      <c r="H27" s="20">
        <f t="shared" si="19"/>
        <v>0</v>
      </c>
      <c r="I27" s="20">
        <f t="shared" si="19"/>
        <v>0</v>
      </c>
    </row>
    <row r="28" spans="1:13" x14ac:dyDescent="0.25">
      <c r="A28" s="32"/>
      <c r="B28" s="33"/>
      <c r="C28" s="34" t="s">
        <v>62</v>
      </c>
      <c r="D28" s="109"/>
      <c r="E28" s="36"/>
      <c r="F28" s="37">
        <f>SUM(F26:F27)</f>
        <v>0</v>
      </c>
      <c r="G28" s="37">
        <f t="shared" ref="G28:I28" si="20">SUM(G26:G27)</f>
        <v>0</v>
      </c>
      <c r="H28" s="37">
        <f t="shared" si="20"/>
        <v>0</v>
      </c>
      <c r="I28" s="37">
        <f t="shared" si="20"/>
        <v>0</v>
      </c>
    </row>
  </sheetData>
  <mergeCells count="4">
    <mergeCell ref="A4:A5"/>
    <mergeCell ref="B4:B5"/>
    <mergeCell ref="C4:C5"/>
    <mergeCell ref="D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E4FB-5FF2-4C7D-BEE7-FAE5BF436E21}">
  <dimension ref="A4:M28"/>
  <sheetViews>
    <sheetView topLeftCell="A4" workbookViewId="0">
      <selection activeCell="K18" sqref="K18"/>
    </sheetView>
  </sheetViews>
  <sheetFormatPr baseColWidth="10" defaultRowHeight="15" x14ac:dyDescent="0.25"/>
  <cols>
    <col min="3" max="3" width="42.42578125" customWidth="1"/>
    <col min="4" max="4" width="11.28515625" customWidth="1"/>
    <col min="5" max="5" width="9.140625" customWidth="1"/>
  </cols>
  <sheetData>
    <row r="4" spans="1:13" x14ac:dyDescent="0.25">
      <c r="A4" s="207" t="s">
        <v>2</v>
      </c>
      <c r="B4" s="207" t="s">
        <v>3</v>
      </c>
      <c r="C4" s="207" t="s">
        <v>15</v>
      </c>
      <c r="D4" s="207" t="s">
        <v>13</v>
      </c>
      <c r="E4" s="207"/>
      <c r="F4" s="207"/>
      <c r="G4" s="136"/>
      <c r="H4" s="136"/>
      <c r="I4" s="136"/>
    </row>
    <row r="5" spans="1:13" ht="30" x14ac:dyDescent="0.25">
      <c r="A5" s="209"/>
      <c r="B5" s="209"/>
      <c r="C5" s="209"/>
      <c r="D5" s="133" t="s">
        <v>5</v>
      </c>
      <c r="E5" s="133" t="s">
        <v>6</v>
      </c>
      <c r="F5" s="133" t="s">
        <v>7</v>
      </c>
      <c r="G5" s="132" t="s">
        <v>118</v>
      </c>
      <c r="H5" s="132" t="s">
        <v>119</v>
      </c>
      <c r="I5" s="132" t="s">
        <v>120</v>
      </c>
    </row>
    <row r="6" spans="1:13" x14ac:dyDescent="0.25">
      <c r="A6" s="119"/>
      <c r="B6" s="120"/>
      <c r="C6" s="121"/>
      <c r="D6" s="101"/>
      <c r="E6" s="23"/>
      <c r="F6" s="18"/>
      <c r="G6" s="18"/>
      <c r="H6" s="18"/>
      <c r="I6" s="18"/>
    </row>
    <row r="7" spans="1:13" x14ac:dyDescent="0.25">
      <c r="A7" s="122"/>
      <c r="B7" s="123"/>
      <c r="C7" s="124"/>
      <c r="D7" s="102"/>
      <c r="E7" s="24"/>
      <c r="F7" s="19"/>
      <c r="G7" s="19"/>
      <c r="H7" s="19"/>
      <c r="I7" s="19"/>
    </row>
    <row r="8" spans="1:13" x14ac:dyDescent="0.25">
      <c r="A8" s="125"/>
      <c r="B8" s="126"/>
      <c r="C8" s="127"/>
      <c r="D8" s="103"/>
      <c r="E8" s="9">
        <v>0.35000000000000003</v>
      </c>
      <c r="F8" s="20">
        <f>ROUND(D8*E8,2)</f>
        <v>0</v>
      </c>
      <c r="G8" s="20">
        <f>+$F8*K8</f>
        <v>0</v>
      </c>
      <c r="H8" s="20">
        <f t="shared" ref="H8:I8" si="0">+$F8*L8</f>
        <v>0</v>
      </c>
      <c r="I8" s="20">
        <f t="shared" si="0"/>
        <v>0</v>
      </c>
      <c r="K8">
        <v>0.3</v>
      </c>
      <c r="L8">
        <v>0.4</v>
      </c>
      <c r="M8">
        <v>0.3</v>
      </c>
    </row>
    <row r="9" spans="1:13" x14ac:dyDescent="0.25">
      <c r="A9" s="122"/>
      <c r="B9" s="123"/>
      <c r="C9" s="124"/>
      <c r="D9" s="104"/>
      <c r="E9" s="8"/>
      <c r="F9" s="21"/>
      <c r="G9" s="21"/>
      <c r="H9" s="21"/>
      <c r="I9" s="21"/>
    </row>
    <row r="10" spans="1:13" x14ac:dyDescent="0.25">
      <c r="A10" s="125"/>
      <c r="B10" s="126"/>
      <c r="C10" s="127"/>
      <c r="D10" s="103"/>
      <c r="E10" s="9">
        <v>9.1999999999999993</v>
      </c>
      <c r="F10" s="20">
        <f t="shared" ref="F10:F13" si="1">ROUND(D10*E10,2)</f>
        <v>0</v>
      </c>
      <c r="G10" s="20">
        <f t="shared" ref="G10:I13" si="2">+$F10*K10</f>
        <v>0</v>
      </c>
      <c r="H10" s="20">
        <f t="shared" si="2"/>
        <v>0</v>
      </c>
      <c r="I10" s="20">
        <f t="shared" si="2"/>
        <v>0</v>
      </c>
      <c r="K10">
        <v>0.5</v>
      </c>
      <c r="L10">
        <v>0.5</v>
      </c>
    </row>
    <row r="11" spans="1:13" x14ac:dyDescent="0.25">
      <c r="A11" s="125"/>
      <c r="B11" s="126"/>
      <c r="C11" s="127"/>
      <c r="D11" s="103"/>
      <c r="E11" s="9">
        <v>12.5</v>
      </c>
      <c r="F11" s="20">
        <f t="shared" si="1"/>
        <v>0</v>
      </c>
      <c r="G11" s="20">
        <f t="shared" si="2"/>
        <v>0</v>
      </c>
      <c r="H11" s="20">
        <f t="shared" si="2"/>
        <v>0</v>
      </c>
      <c r="I11" s="20">
        <f t="shared" si="2"/>
        <v>0</v>
      </c>
      <c r="K11">
        <v>0.5</v>
      </c>
      <c r="L11">
        <v>0.5</v>
      </c>
    </row>
    <row r="12" spans="1:13" x14ac:dyDescent="0.25">
      <c r="A12" s="125"/>
      <c r="B12" s="126"/>
      <c r="C12" s="127"/>
      <c r="D12" s="103"/>
      <c r="E12" s="9">
        <v>0.7</v>
      </c>
      <c r="F12" s="20">
        <f t="shared" si="1"/>
        <v>0</v>
      </c>
      <c r="G12" s="20">
        <f t="shared" si="2"/>
        <v>0</v>
      </c>
      <c r="H12" s="20">
        <f t="shared" si="2"/>
        <v>0</v>
      </c>
      <c r="I12" s="20">
        <f t="shared" si="2"/>
        <v>0</v>
      </c>
      <c r="K12">
        <v>0.5</v>
      </c>
      <c r="L12">
        <v>0.5</v>
      </c>
    </row>
    <row r="13" spans="1:13" x14ac:dyDescent="0.25">
      <c r="A13" s="125"/>
      <c r="B13" s="126"/>
      <c r="C13" s="127"/>
      <c r="D13" s="103"/>
      <c r="E13" s="9">
        <v>5.6</v>
      </c>
      <c r="F13" s="20">
        <f t="shared" si="1"/>
        <v>0</v>
      </c>
      <c r="G13" s="20">
        <f t="shared" si="2"/>
        <v>0</v>
      </c>
      <c r="H13" s="20">
        <f t="shared" si="2"/>
        <v>0</v>
      </c>
      <c r="I13" s="20">
        <f t="shared" si="2"/>
        <v>0</v>
      </c>
      <c r="K13">
        <v>0.3</v>
      </c>
      <c r="L13">
        <v>0.4</v>
      </c>
      <c r="M13">
        <v>0.3</v>
      </c>
    </row>
    <row r="14" spans="1:13" x14ac:dyDescent="0.25">
      <c r="A14" s="122"/>
      <c r="B14" s="123"/>
      <c r="C14" s="124"/>
      <c r="D14" s="104"/>
      <c r="E14" s="8"/>
      <c r="F14" s="21"/>
      <c r="G14" s="21"/>
      <c r="H14" s="21"/>
      <c r="I14" s="21"/>
    </row>
    <row r="15" spans="1:13" x14ac:dyDescent="0.25">
      <c r="A15" s="125"/>
      <c r="B15" s="126"/>
      <c r="C15" s="127"/>
      <c r="D15" s="103"/>
      <c r="E15" s="9">
        <v>19</v>
      </c>
      <c r="F15" s="20">
        <f t="shared" ref="F15:F17" si="3">ROUND(D15*E15,2)</f>
        <v>0</v>
      </c>
      <c r="G15" s="20">
        <f t="shared" ref="G15:I17" si="4">+$F15*K15</f>
        <v>0</v>
      </c>
      <c r="H15" s="20">
        <f t="shared" si="4"/>
        <v>0</v>
      </c>
      <c r="I15" s="20">
        <f t="shared" si="4"/>
        <v>0</v>
      </c>
      <c r="L15">
        <v>0.5</v>
      </c>
      <c r="M15">
        <v>0.5</v>
      </c>
    </row>
    <row r="16" spans="1:13" x14ac:dyDescent="0.25">
      <c r="A16" s="125"/>
      <c r="B16" s="126"/>
      <c r="C16" s="127"/>
      <c r="D16" s="103"/>
      <c r="E16" s="9">
        <v>10</v>
      </c>
      <c r="F16" s="20">
        <f t="shared" si="3"/>
        <v>0</v>
      </c>
      <c r="G16" s="20">
        <f t="shared" si="4"/>
        <v>0</v>
      </c>
      <c r="H16" s="20">
        <f t="shared" si="4"/>
        <v>0</v>
      </c>
      <c r="I16" s="20">
        <f t="shared" si="4"/>
        <v>0</v>
      </c>
      <c r="L16">
        <v>0.5</v>
      </c>
      <c r="M16">
        <v>0.5</v>
      </c>
    </row>
    <row r="17" spans="1:13" x14ac:dyDescent="0.25">
      <c r="A17" s="125"/>
      <c r="B17" s="126"/>
      <c r="C17" s="127"/>
      <c r="D17" s="103"/>
      <c r="E17" s="9">
        <v>190</v>
      </c>
      <c r="F17" s="20">
        <f t="shared" si="3"/>
        <v>0</v>
      </c>
      <c r="G17" s="20">
        <f t="shared" si="4"/>
        <v>0</v>
      </c>
      <c r="H17" s="20">
        <f t="shared" si="4"/>
        <v>0</v>
      </c>
      <c r="I17" s="20">
        <f t="shared" si="4"/>
        <v>0</v>
      </c>
      <c r="L17">
        <v>0.5</v>
      </c>
      <c r="M17">
        <v>0.5</v>
      </c>
    </row>
    <row r="18" spans="1:13" x14ac:dyDescent="0.25">
      <c r="A18" s="122"/>
      <c r="B18" s="123"/>
      <c r="C18" s="124"/>
      <c r="D18" s="104"/>
      <c r="E18" s="8"/>
      <c r="F18" s="21"/>
      <c r="G18" s="21"/>
      <c r="H18" s="21"/>
      <c r="I18" s="21"/>
    </row>
    <row r="19" spans="1:13" x14ac:dyDescent="0.25">
      <c r="A19" s="125"/>
      <c r="B19" s="126"/>
      <c r="C19" s="127"/>
      <c r="D19" s="103"/>
      <c r="E19" s="9">
        <v>2</v>
      </c>
      <c r="F19" s="20">
        <f>ROUND(D19*E19,2)</f>
        <v>0</v>
      </c>
      <c r="G19" s="20">
        <f>+$F19*K19</f>
        <v>0</v>
      </c>
      <c r="H19" s="20">
        <f t="shared" ref="H19:I19" si="5">+$F19*L19</f>
        <v>0</v>
      </c>
      <c r="I19" s="20">
        <f t="shared" si="5"/>
        <v>0</v>
      </c>
      <c r="L19">
        <v>0.5</v>
      </c>
      <c r="M19">
        <v>0.5</v>
      </c>
    </row>
    <row r="20" spans="1:13" x14ac:dyDescent="0.25">
      <c r="A20" s="122"/>
      <c r="B20" s="123"/>
      <c r="C20" s="124"/>
      <c r="D20" s="104"/>
      <c r="E20" s="8"/>
      <c r="F20" s="21"/>
      <c r="G20" s="21"/>
      <c r="H20" s="21"/>
      <c r="I20" s="21"/>
    </row>
    <row r="21" spans="1:13" x14ac:dyDescent="0.25">
      <c r="A21" s="125"/>
      <c r="B21" s="126"/>
      <c r="C21" s="127"/>
      <c r="D21" s="103"/>
      <c r="E21" s="9">
        <v>25</v>
      </c>
      <c r="F21" s="20">
        <f t="shared" ref="F21:F22" si="6">ROUND(D21*E21,2)</f>
        <v>0</v>
      </c>
      <c r="G21" s="20">
        <f t="shared" ref="G21:I22" si="7">+$F21*K21</f>
        <v>0</v>
      </c>
      <c r="H21" s="20">
        <f t="shared" si="7"/>
        <v>0</v>
      </c>
      <c r="I21" s="20">
        <f t="shared" si="7"/>
        <v>0</v>
      </c>
      <c r="L21">
        <v>0.2</v>
      </c>
      <c r="M21">
        <v>0.8</v>
      </c>
    </row>
    <row r="22" spans="1:13" x14ac:dyDescent="0.25">
      <c r="A22" s="128"/>
      <c r="B22" s="129"/>
      <c r="C22" s="130"/>
      <c r="D22" s="105"/>
      <c r="E22" s="10">
        <v>0.5</v>
      </c>
      <c r="F22" s="22">
        <f t="shared" si="6"/>
        <v>0</v>
      </c>
      <c r="G22" s="20">
        <f t="shared" si="7"/>
        <v>0</v>
      </c>
      <c r="H22" s="20">
        <f t="shared" si="7"/>
        <v>0</v>
      </c>
      <c r="I22" s="20">
        <f t="shared" si="7"/>
        <v>0</v>
      </c>
      <c r="L22">
        <v>0.2</v>
      </c>
      <c r="M22">
        <v>0.8</v>
      </c>
    </row>
    <row r="23" spans="1:13" x14ac:dyDescent="0.25">
      <c r="A23" s="29"/>
      <c r="B23" s="27"/>
      <c r="C23" s="23" t="s">
        <v>54</v>
      </c>
      <c r="D23" s="106"/>
      <c r="E23" s="7"/>
      <c r="F23" s="134">
        <f>SUM(F6:F22)</f>
        <v>0</v>
      </c>
      <c r="G23" s="134">
        <f t="shared" ref="G23:I23" si="8">SUM(G6:G22)</f>
        <v>0</v>
      </c>
      <c r="H23" s="134">
        <f t="shared" si="8"/>
        <v>0</v>
      </c>
      <c r="I23" s="134">
        <f t="shared" si="8"/>
        <v>0</v>
      </c>
    </row>
    <row r="24" spans="1:13" x14ac:dyDescent="0.25">
      <c r="A24" s="91"/>
      <c r="B24" s="92"/>
      <c r="C24" s="93" t="s">
        <v>89</v>
      </c>
      <c r="D24" s="107"/>
      <c r="E24" s="95"/>
      <c r="F24" s="96">
        <f>ROUND(F23*0.12,2)</f>
        <v>0</v>
      </c>
      <c r="G24" s="96">
        <f t="shared" ref="G24:I24" si="9">ROUND(G23*0.12,2)</f>
        <v>0</v>
      </c>
      <c r="H24" s="96">
        <f t="shared" si="9"/>
        <v>0</v>
      </c>
      <c r="I24" s="96">
        <f t="shared" si="9"/>
        <v>0</v>
      </c>
    </row>
    <row r="25" spans="1:13" x14ac:dyDescent="0.25">
      <c r="A25" s="91"/>
      <c r="B25" s="92"/>
      <c r="C25" s="93" t="s">
        <v>90</v>
      </c>
      <c r="D25" s="107"/>
      <c r="E25" s="95"/>
      <c r="F25" s="118"/>
      <c r="G25" s="118"/>
      <c r="H25" s="118"/>
      <c r="I25" s="118"/>
    </row>
    <row r="26" spans="1:13" x14ac:dyDescent="0.25">
      <c r="A26" s="43"/>
      <c r="B26" s="86"/>
      <c r="C26" s="87" t="s">
        <v>91</v>
      </c>
      <c r="D26" s="108"/>
      <c r="E26" s="44"/>
      <c r="F26" s="88">
        <f>SUM(F23:F25)</f>
        <v>0</v>
      </c>
      <c r="G26" s="88">
        <f t="shared" ref="G26:I26" si="10">SUM(G23:G25)</f>
        <v>0</v>
      </c>
      <c r="H26" s="88">
        <f t="shared" si="10"/>
        <v>0</v>
      </c>
      <c r="I26" s="88">
        <f t="shared" si="10"/>
        <v>0</v>
      </c>
    </row>
    <row r="27" spans="1:13" x14ac:dyDescent="0.25">
      <c r="A27" s="30"/>
      <c r="B27" s="28"/>
      <c r="C27" s="25" t="s">
        <v>55</v>
      </c>
      <c r="D27" s="103"/>
      <c r="E27" s="9"/>
      <c r="F27" s="20">
        <f>ROUND(F26*0.18,2)</f>
        <v>0</v>
      </c>
      <c r="G27" s="20">
        <f t="shared" ref="G27:I27" si="11">ROUND(G26*0.18,2)</f>
        <v>0</v>
      </c>
      <c r="H27" s="20">
        <f t="shared" si="11"/>
        <v>0</v>
      </c>
      <c r="I27" s="20">
        <f t="shared" si="11"/>
        <v>0</v>
      </c>
    </row>
    <row r="28" spans="1:13" x14ac:dyDescent="0.25">
      <c r="A28" s="32"/>
      <c r="B28" s="33"/>
      <c r="C28" s="34" t="s">
        <v>62</v>
      </c>
      <c r="D28" s="109"/>
      <c r="E28" s="36"/>
      <c r="F28" s="37">
        <f>SUM(F26:F27)</f>
        <v>0</v>
      </c>
      <c r="G28" s="37">
        <f t="shared" ref="G28:I28" si="12">SUM(G26:G27)</f>
        <v>0</v>
      </c>
      <c r="H28" s="37">
        <f t="shared" si="12"/>
        <v>0</v>
      </c>
      <c r="I28" s="37">
        <f t="shared" si="12"/>
        <v>0</v>
      </c>
    </row>
  </sheetData>
  <mergeCells count="4">
    <mergeCell ref="A4:A5"/>
    <mergeCell ref="B4:B5"/>
    <mergeCell ref="C4:C5"/>
    <mergeCell ref="D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0230-8DF2-4360-BA5A-5A01312AC9C9}">
  <dimension ref="A4:M28"/>
  <sheetViews>
    <sheetView zoomScale="85" zoomScaleNormal="85" workbookViewId="0">
      <selection activeCell="J16" sqref="J16"/>
    </sheetView>
  </sheetViews>
  <sheetFormatPr baseColWidth="10" defaultRowHeight="15" x14ac:dyDescent="0.25"/>
  <cols>
    <col min="3" max="3" width="42.42578125" customWidth="1"/>
    <col min="4" max="4" width="11.28515625" customWidth="1"/>
    <col min="5" max="5" width="9.140625" customWidth="1"/>
  </cols>
  <sheetData>
    <row r="4" spans="1:13" x14ac:dyDescent="0.25">
      <c r="A4" s="207" t="s">
        <v>2</v>
      </c>
      <c r="B4" s="207" t="s">
        <v>3</v>
      </c>
      <c r="C4" s="207" t="s">
        <v>15</v>
      </c>
      <c r="D4" s="207" t="s">
        <v>13</v>
      </c>
      <c r="E4" s="207"/>
      <c r="F4" s="207"/>
      <c r="G4" s="136"/>
      <c r="H4" s="136"/>
      <c r="I4" s="136"/>
    </row>
    <row r="5" spans="1:13" ht="30" x14ac:dyDescent="0.25">
      <c r="A5" s="209"/>
      <c r="B5" s="209"/>
      <c r="C5" s="209"/>
      <c r="D5" s="133" t="s">
        <v>5</v>
      </c>
      <c r="E5" s="133" t="s">
        <v>6</v>
      </c>
      <c r="F5" s="133" t="s">
        <v>7</v>
      </c>
      <c r="G5" s="132" t="s">
        <v>118</v>
      </c>
      <c r="H5" s="132" t="s">
        <v>119</v>
      </c>
      <c r="I5" s="132" t="s">
        <v>120</v>
      </c>
    </row>
    <row r="6" spans="1:13" x14ac:dyDescent="0.25">
      <c r="A6" s="119" t="s">
        <v>17</v>
      </c>
      <c r="B6" s="120"/>
      <c r="C6" s="121" t="s">
        <v>34</v>
      </c>
      <c r="D6" s="101"/>
      <c r="E6" s="23"/>
      <c r="F6" s="18"/>
      <c r="G6" s="18"/>
      <c r="H6" s="18"/>
      <c r="I6" s="18"/>
    </row>
    <row r="7" spans="1:13" x14ac:dyDescent="0.25">
      <c r="A7" s="122" t="s">
        <v>18</v>
      </c>
      <c r="B7" s="123"/>
      <c r="C7" s="124" t="s">
        <v>35</v>
      </c>
      <c r="D7" s="102"/>
      <c r="E7" s="24"/>
      <c r="F7" s="19"/>
      <c r="G7" s="19"/>
      <c r="H7" s="19"/>
      <c r="I7" s="19"/>
    </row>
    <row r="8" spans="1:13" x14ac:dyDescent="0.25">
      <c r="A8" s="125" t="s">
        <v>19</v>
      </c>
      <c r="B8" s="126" t="s">
        <v>51</v>
      </c>
      <c r="C8" s="127" t="s">
        <v>36</v>
      </c>
      <c r="D8" s="103">
        <v>646.20000000000005</v>
      </c>
      <c r="E8" s="9">
        <v>0.32</v>
      </c>
      <c r="F8" s="20">
        <f>ROUND(D8*E8,2)</f>
        <v>206.78</v>
      </c>
      <c r="G8" s="20">
        <f>+$F8*K8</f>
        <v>103.39</v>
      </c>
      <c r="H8" s="20">
        <f t="shared" ref="H8:I8" si="0">+$F8*L8</f>
        <v>103.39</v>
      </c>
      <c r="I8" s="20">
        <f t="shared" si="0"/>
        <v>0</v>
      </c>
      <c r="K8">
        <v>0.5</v>
      </c>
      <c r="L8">
        <v>0.5</v>
      </c>
      <c r="M8">
        <v>0</v>
      </c>
    </row>
    <row r="9" spans="1:13" x14ac:dyDescent="0.25">
      <c r="A9" s="122" t="s">
        <v>20</v>
      </c>
      <c r="B9" s="123"/>
      <c r="C9" s="124" t="s">
        <v>37</v>
      </c>
      <c r="D9" s="104"/>
      <c r="E9" s="8"/>
      <c r="F9" s="21"/>
      <c r="G9" s="21"/>
      <c r="H9" s="21"/>
      <c r="I9" s="21"/>
    </row>
    <row r="10" spans="1:13" x14ac:dyDescent="0.25">
      <c r="A10" s="125" t="s">
        <v>21</v>
      </c>
      <c r="B10" s="126" t="s">
        <v>52</v>
      </c>
      <c r="C10" s="127" t="s">
        <v>38</v>
      </c>
      <c r="D10" s="103">
        <v>129.24</v>
      </c>
      <c r="E10" s="9">
        <v>10.15</v>
      </c>
      <c r="F10" s="20">
        <f t="shared" ref="F10:F13" si="1">ROUND(D10*E10,2)</f>
        <v>1311.79</v>
      </c>
      <c r="G10" s="20">
        <f t="shared" ref="G10:I13" si="2">+$F10*K10</f>
        <v>918.25299999999993</v>
      </c>
      <c r="H10" s="20">
        <f t="shared" si="2"/>
        <v>393.53699999999998</v>
      </c>
      <c r="I10" s="20">
        <f t="shared" si="2"/>
        <v>0</v>
      </c>
      <c r="K10">
        <v>0.7</v>
      </c>
      <c r="L10">
        <v>0.3</v>
      </c>
    </row>
    <row r="11" spans="1:13" x14ac:dyDescent="0.25">
      <c r="A11" s="125" t="s">
        <v>22</v>
      </c>
      <c r="B11" s="126" t="s">
        <v>52</v>
      </c>
      <c r="C11" s="127" t="s">
        <v>39</v>
      </c>
      <c r="D11" s="103">
        <v>161.55000000000001</v>
      </c>
      <c r="E11" s="9">
        <v>14.7</v>
      </c>
      <c r="F11" s="20">
        <f t="shared" si="1"/>
        <v>2374.79</v>
      </c>
      <c r="G11" s="20">
        <f t="shared" si="2"/>
        <v>1662.3529999999998</v>
      </c>
      <c r="H11" s="20">
        <f t="shared" si="2"/>
        <v>712.43700000000001</v>
      </c>
      <c r="I11" s="20">
        <f t="shared" si="2"/>
        <v>0</v>
      </c>
      <c r="K11">
        <v>0.7</v>
      </c>
      <c r="L11">
        <v>0.3</v>
      </c>
    </row>
    <row r="12" spans="1:13" x14ac:dyDescent="0.25">
      <c r="A12" s="125" t="s">
        <v>23</v>
      </c>
      <c r="B12" s="126" t="s">
        <v>51</v>
      </c>
      <c r="C12" s="127" t="s">
        <v>40</v>
      </c>
      <c r="D12" s="103">
        <v>646.20000000000005</v>
      </c>
      <c r="E12" s="9">
        <v>0.78</v>
      </c>
      <c r="F12" s="20">
        <f t="shared" si="1"/>
        <v>504.04</v>
      </c>
      <c r="G12" s="20">
        <f t="shared" si="2"/>
        <v>352.82799999999997</v>
      </c>
      <c r="H12" s="20">
        <f t="shared" si="2"/>
        <v>151.21199999999999</v>
      </c>
      <c r="I12" s="20">
        <f t="shared" si="2"/>
        <v>0</v>
      </c>
      <c r="K12">
        <v>0.7</v>
      </c>
      <c r="L12">
        <v>0.3</v>
      </c>
    </row>
    <row r="13" spans="1:13" x14ac:dyDescent="0.25">
      <c r="A13" s="125" t="s">
        <v>24</v>
      </c>
      <c r="B13" s="126" t="s">
        <v>51</v>
      </c>
      <c r="C13" s="127" t="s">
        <v>41</v>
      </c>
      <c r="D13" s="103">
        <v>646.20000000000005</v>
      </c>
      <c r="E13" s="9">
        <v>6.1</v>
      </c>
      <c r="F13" s="20">
        <f t="shared" si="1"/>
        <v>3941.82</v>
      </c>
      <c r="G13" s="20">
        <f t="shared" si="2"/>
        <v>1970.91</v>
      </c>
      <c r="H13" s="20">
        <f t="shared" si="2"/>
        <v>1970.91</v>
      </c>
      <c r="I13" s="20">
        <f t="shared" si="2"/>
        <v>0</v>
      </c>
      <c r="K13">
        <v>0.5</v>
      </c>
      <c r="L13">
        <v>0.5</v>
      </c>
      <c r="M13">
        <v>0</v>
      </c>
    </row>
    <row r="14" spans="1:13" x14ac:dyDescent="0.25">
      <c r="A14" s="122" t="s">
        <v>25</v>
      </c>
      <c r="B14" s="123"/>
      <c r="C14" s="124" t="s">
        <v>42</v>
      </c>
      <c r="D14" s="104"/>
      <c r="E14" s="8"/>
      <c r="F14" s="21"/>
      <c r="G14" s="21"/>
      <c r="H14" s="21"/>
      <c r="I14" s="21"/>
    </row>
    <row r="15" spans="1:13" x14ac:dyDescent="0.25">
      <c r="A15" s="125" t="s">
        <v>26</v>
      </c>
      <c r="B15" s="126" t="s">
        <v>51</v>
      </c>
      <c r="C15" s="127" t="s">
        <v>43</v>
      </c>
      <c r="D15" s="103">
        <v>646.20000000000005</v>
      </c>
      <c r="E15" s="9">
        <v>22.12</v>
      </c>
      <c r="F15" s="20">
        <f t="shared" ref="F15:F17" si="3">ROUND(D15*E15,2)</f>
        <v>14293.94</v>
      </c>
      <c r="G15" s="20">
        <f t="shared" ref="G15:I17" si="4">+$F15*K15</f>
        <v>0</v>
      </c>
      <c r="H15" s="20">
        <f t="shared" si="4"/>
        <v>10005.758</v>
      </c>
      <c r="I15" s="20">
        <f t="shared" si="4"/>
        <v>4288.1819999999998</v>
      </c>
      <c r="L15">
        <v>0.7</v>
      </c>
      <c r="M15">
        <v>0.3</v>
      </c>
    </row>
    <row r="16" spans="1:13" x14ac:dyDescent="0.25">
      <c r="A16" s="125" t="s">
        <v>27</v>
      </c>
      <c r="B16" s="126" t="s">
        <v>51</v>
      </c>
      <c r="C16" s="127" t="s">
        <v>44</v>
      </c>
      <c r="D16" s="103">
        <v>271.39999999999998</v>
      </c>
      <c r="E16" s="9">
        <v>12.2</v>
      </c>
      <c r="F16" s="20">
        <f t="shared" si="3"/>
        <v>3311.08</v>
      </c>
      <c r="G16" s="20">
        <f t="shared" si="4"/>
        <v>0</v>
      </c>
      <c r="H16" s="20">
        <f t="shared" si="4"/>
        <v>2317.7559999999999</v>
      </c>
      <c r="I16" s="20">
        <f t="shared" si="4"/>
        <v>993.32399999999996</v>
      </c>
      <c r="L16">
        <v>0.7</v>
      </c>
      <c r="M16">
        <v>0.3</v>
      </c>
    </row>
    <row r="17" spans="1:13" x14ac:dyDescent="0.25">
      <c r="A17" s="125" t="s">
        <v>28</v>
      </c>
      <c r="B17" s="126" t="s">
        <v>52</v>
      </c>
      <c r="C17" s="127" t="s">
        <v>45</v>
      </c>
      <c r="D17" s="103">
        <v>13.57</v>
      </c>
      <c r="E17" s="9">
        <v>208.81</v>
      </c>
      <c r="F17" s="20">
        <f t="shared" si="3"/>
        <v>2833.55</v>
      </c>
      <c r="G17" s="20">
        <f t="shared" si="4"/>
        <v>0</v>
      </c>
      <c r="H17" s="20">
        <f t="shared" si="4"/>
        <v>1983.4849999999999</v>
      </c>
      <c r="I17" s="20">
        <f t="shared" si="4"/>
        <v>850.06500000000005</v>
      </c>
      <c r="L17">
        <v>0.7</v>
      </c>
      <c r="M17">
        <v>0.3</v>
      </c>
    </row>
    <row r="18" spans="1:13" x14ac:dyDescent="0.25">
      <c r="A18" s="122" t="s">
        <v>29</v>
      </c>
      <c r="B18" s="123"/>
      <c r="C18" s="124" t="s">
        <v>46</v>
      </c>
      <c r="D18" s="104"/>
      <c r="E18" s="8"/>
      <c r="F18" s="21"/>
      <c r="G18" s="21"/>
      <c r="H18" s="21"/>
      <c r="I18" s="21"/>
    </row>
    <row r="19" spans="1:13" x14ac:dyDescent="0.25">
      <c r="A19" s="125" t="s">
        <v>30</v>
      </c>
      <c r="B19" s="126" t="s">
        <v>53</v>
      </c>
      <c r="C19" s="127" t="s">
        <v>47</v>
      </c>
      <c r="D19" s="103">
        <v>44.88</v>
      </c>
      <c r="E19" s="9">
        <v>2.27</v>
      </c>
      <c r="F19" s="20">
        <f>ROUND(D19*E19,2)</f>
        <v>101.88</v>
      </c>
      <c r="G19" s="20">
        <f>+$F19*K19</f>
        <v>0</v>
      </c>
      <c r="H19" s="20">
        <f t="shared" ref="H19:I19" si="5">+$F19*L19</f>
        <v>71.315999999999988</v>
      </c>
      <c r="I19" s="20">
        <f t="shared" si="5"/>
        <v>30.563999999999997</v>
      </c>
      <c r="L19">
        <v>0.7</v>
      </c>
      <c r="M19">
        <v>0.3</v>
      </c>
    </row>
    <row r="20" spans="1:13" x14ac:dyDescent="0.25">
      <c r="A20" s="122" t="s">
        <v>31</v>
      </c>
      <c r="B20" s="123"/>
      <c r="C20" s="124" t="s">
        <v>48</v>
      </c>
      <c r="D20" s="104"/>
      <c r="E20" s="8"/>
      <c r="F20" s="21"/>
      <c r="G20" s="21"/>
      <c r="H20" s="21"/>
      <c r="I20" s="21"/>
    </row>
    <row r="21" spans="1:13" x14ac:dyDescent="0.25">
      <c r="A21" s="125" t="s">
        <v>32</v>
      </c>
      <c r="B21" s="126" t="s">
        <v>3</v>
      </c>
      <c r="C21" s="127" t="s">
        <v>49</v>
      </c>
      <c r="D21" s="103">
        <v>10</v>
      </c>
      <c r="E21" s="9">
        <v>27.46</v>
      </c>
      <c r="F21" s="20">
        <f t="shared" ref="F21:F22" si="6">ROUND(D21*E21,2)</f>
        <v>274.60000000000002</v>
      </c>
      <c r="G21" s="20">
        <f t="shared" ref="G21:I22" si="7">+$F21*K21</f>
        <v>0</v>
      </c>
      <c r="H21" s="20">
        <f t="shared" si="7"/>
        <v>137.30000000000001</v>
      </c>
      <c r="I21" s="20">
        <f t="shared" si="7"/>
        <v>137.30000000000001</v>
      </c>
      <c r="L21">
        <v>0.5</v>
      </c>
      <c r="M21">
        <v>0.5</v>
      </c>
    </row>
    <row r="22" spans="1:13" x14ac:dyDescent="0.25">
      <c r="A22" s="128" t="s">
        <v>33</v>
      </c>
      <c r="B22" s="129" t="s">
        <v>51</v>
      </c>
      <c r="C22" s="130" t="s">
        <v>50</v>
      </c>
      <c r="D22" s="105">
        <v>646.20000000000005</v>
      </c>
      <c r="E22" s="10">
        <v>0.49</v>
      </c>
      <c r="F22" s="22">
        <f t="shared" si="6"/>
        <v>316.64</v>
      </c>
      <c r="G22" s="20">
        <f t="shared" si="7"/>
        <v>0</v>
      </c>
      <c r="H22" s="20">
        <f t="shared" si="7"/>
        <v>158.32</v>
      </c>
      <c r="I22" s="20">
        <f t="shared" si="7"/>
        <v>158.32</v>
      </c>
      <c r="L22">
        <v>0.5</v>
      </c>
      <c r="M22">
        <v>0.5</v>
      </c>
    </row>
    <row r="23" spans="1:13" x14ac:dyDescent="0.25">
      <c r="A23" s="29"/>
      <c r="B23" s="27"/>
      <c r="C23" s="23" t="s">
        <v>54</v>
      </c>
      <c r="D23" s="106"/>
      <c r="E23" s="7"/>
      <c r="F23" s="134">
        <f>SUM(F6:F22)</f>
        <v>29470.909999999996</v>
      </c>
      <c r="G23" s="134">
        <f t="shared" ref="G23:I23" si="8">SUM(G6:G22)</f>
        <v>5007.7339999999995</v>
      </c>
      <c r="H23" s="134">
        <f t="shared" si="8"/>
        <v>18005.420999999995</v>
      </c>
      <c r="I23" s="134">
        <f t="shared" si="8"/>
        <v>6457.7550000000001</v>
      </c>
    </row>
    <row r="24" spans="1:13" x14ac:dyDescent="0.25">
      <c r="A24" s="91"/>
      <c r="B24" s="92"/>
      <c r="C24" s="93" t="s">
        <v>89</v>
      </c>
      <c r="D24" s="107"/>
      <c r="E24" s="95"/>
      <c r="F24" s="96">
        <f>ROUND(F23*0.1,2)</f>
        <v>2947.09</v>
      </c>
      <c r="G24" s="96">
        <f t="shared" ref="G24:I24" si="9">ROUND(G23*0.1,2)</f>
        <v>500.77</v>
      </c>
      <c r="H24" s="96">
        <f t="shared" si="9"/>
        <v>1800.54</v>
      </c>
      <c r="I24" s="96">
        <f t="shared" si="9"/>
        <v>645.78</v>
      </c>
    </row>
    <row r="25" spans="1:13" x14ac:dyDescent="0.25">
      <c r="A25" s="91"/>
      <c r="B25" s="92"/>
      <c r="C25" s="93" t="s">
        <v>90</v>
      </c>
      <c r="D25" s="107"/>
      <c r="E25" s="95"/>
      <c r="F25" s="118">
        <f>ROUND(F23*0.08,2)</f>
        <v>2357.67</v>
      </c>
      <c r="G25" s="118">
        <f t="shared" ref="G25:I25" si="10">ROUND(G23*0.08,2)</f>
        <v>400.62</v>
      </c>
      <c r="H25" s="118">
        <f t="shared" si="10"/>
        <v>1440.43</v>
      </c>
      <c r="I25" s="118">
        <f t="shared" si="10"/>
        <v>516.62</v>
      </c>
    </row>
    <row r="26" spans="1:13" x14ac:dyDescent="0.25">
      <c r="A26" s="43"/>
      <c r="B26" s="86"/>
      <c r="C26" s="87" t="s">
        <v>91</v>
      </c>
      <c r="D26" s="108"/>
      <c r="E26" s="44"/>
      <c r="F26" s="88">
        <f>SUM(F23:F25)</f>
        <v>34775.67</v>
      </c>
      <c r="G26" s="88">
        <f t="shared" ref="G26:I26" si="11">SUM(G23:G25)</f>
        <v>5909.1239999999989</v>
      </c>
      <c r="H26" s="88">
        <f t="shared" si="11"/>
        <v>21246.390999999996</v>
      </c>
      <c r="I26" s="88">
        <f t="shared" si="11"/>
        <v>7620.1549999999997</v>
      </c>
    </row>
    <row r="27" spans="1:13" x14ac:dyDescent="0.25">
      <c r="A27" s="30"/>
      <c r="B27" s="28"/>
      <c r="C27" s="25" t="s">
        <v>55</v>
      </c>
      <c r="D27" s="103"/>
      <c r="E27" s="9"/>
      <c r="F27" s="20">
        <f>ROUND(F26*0.18,2)</f>
        <v>6259.62</v>
      </c>
      <c r="G27" s="20">
        <f t="shared" ref="G27:I27" si="12">ROUND(G26*0.18,2)</f>
        <v>1063.6400000000001</v>
      </c>
      <c r="H27" s="20">
        <f t="shared" si="12"/>
        <v>3824.35</v>
      </c>
      <c r="I27" s="20">
        <f t="shared" si="12"/>
        <v>1371.63</v>
      </c>
    </row>
    <row r="28" spans="1:13" x14ac:dyDescent="0.25">
      <c r="A28" s="32"/>
      <c r="B28" s="33"/>
      <c r="C28" s="34" t="s">
        <v>62</v>
      </c>
      <c r="D28" s="109"/>
      <c r="E28" s="36"/>
      <c r="F28" s="37">
        <f>SUM(F26:F27)</f>
        <v>41035.29</v>
      </c>
      <c r="G28" s="37">
        <f t="shared" ref="G28:I28" si="13">SUM(G26:G27)</f>
        <v>6972.7639999999992</v>
      </c>
      <c r="H28" s="37">
        <f t="shared" si="13"/>
        <v>25070.740999999995</v>
      </c>
      <c r="I28" s="37">
        <f t="shared" si="13"/>
        <v>8991.7849999999999</v>
      </c>
    </row>
  </sheetData>
  <mergeCells count="4">
    <mergeCell ref="A4:A5"/>
    <mergeCell ref="B4:B5"/>
    <mergeCell ref="C4:C5"/>
    <mergeCell ref="D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4E5F-2F0E-4D4F-B21B-14F959E4FAF0}">
  <dimension ref="A4:M28"/>
  <sheetViews>
    <sheetView topLeftCell="A4" workbookViewId="0">
      <selection activeCell="A6" sqref="A6:D22"/>
    </sheetView>
  </sheetViews>
  <sheetFormatPr baseColWidth="10" defaultRowHeight="15" x14ac:dyDescent="0.25"/>
  <cols>
    <col min="3" max="3" width="42.42578125" customWidth="1"/>
    <col min="4" max="4" width="11.28515625" customWidth="1"/>
    <col min="5" max="5" width="9.140625" customWidth="1"/>
  </cols>
  <sheetData>
    <row r="4" spans="1:13" x14ac:dyDescent="0.25">
      <c r="A4" s="207" t="s">
        <v>2</v>
      </c>
      <c r="B4" s="207" t="s">
        <v>3</v>
      </c>
      <c r="C4" s="207" t="s">
        <v>15</v>
      </c>
      <c r="D4" s="207" t="s">
        <v>13</v>
      </c>
      <c r="E4" s="207"/>
      <c r="F4" s="207"/>
      <c r="G4" s="136"/>
      <c r="H4" s="136"/>
      <c r="I4" s="136"/>
    </row>
    <row r="5" spans="1:13" ht="30" x14ac:dyDescent="0.25">
      <c r="A5" s="209"/>
      <c r="B5" s="209"/>
      <c r="C5" s="209"/>
      <c r="D5" s="133" t="s">
        <v>5</v>
      </c>
      <c r="E5" s="133" t="s">
        <v>6</v>
      </c>
      <c r="F5" s="133" t="s">
        <v>7</v>
      </c>
      <c r="G5" s="132" t="s">
        <v>118</v>
      </c>
      <c r="H5" s="132" t="s">
        <v>119</v>
      </c>
      <c r="I5" s="132" t="s">
        <v>120</v>
      </c>
    </row>
    <row r="6" spans="1:13" x14ac:dyDescent="0.25">
      <c r="A6" s="119"/>
      <c r="B6" s="120"/>
      <c r="C6" s="121"/>
      <c r="D6" s="101"/>
      <c r="E6" s="23"/>
      <c r="F6" s="18"/>
      <c r="G6" s="18"/>
      <c r="H6" s="18"/>
      <c r="I6" s="18"/>
    </row>
    <row r="7" spans="1:13" x14ac:dyDescent="0.25">
      <c r="A7" s="122"/>
      <c r="B7" s="123"/>
      <c r="C7" s="124"/>
      <c r="D7" s="102"/>
      <c r="E7" s="24"/>
      <c r="F7" s="19"/>
      <c r="G7" s="19"/>
      <c r="H7" s="19"/>
      <c r="I7" s="19"/>
    </row>
    <row r="8" spans="1:13" x14ac:dyDescent="0.25">
      <c r="A8" s="125"/>
      <c r="B8" s="126"/>
      <c r="C8" s="127"/>
      <c r="D8" s="103"/>
      <c r="E8" s="9">
        <v>0.35000000000000003</v>
      </c>
      <c r="F8" s="20">
        <f>ROUND(D8*E8,2)</f>
        <v>0</v>
      </c>
      <c r="G8" s="20">
        <f>+$F8*K8</f>
        <v>0</v>
      </c>
      <c r="H8" s="20">
        <f t="shared" ref="H8:I8" si="0">+$F8*L8</f>
        <v>0</v>
      </c>
      <c r="I8" s="20">
        <f t="shared" si="0"/>
        <v>0</v>
      </c>
      <c r="K8">
        <v>0.5</v>
      </c>
      <c r="L8">
        <v>0.5</v>
      </c>
      <c r="M8">
        <v>0</v>
      </c>
    </row>
    <row r="9" spans="1:13" x14ac:dyDescent="0.25">
      <c r="A9" s="122"/>
      <c r="B9" s="123"/>
      <c r="C9" s="124"/>
      <c r="D9" s="104"/>
      <c r="E9" s="8"/>
      <c r="F9" s="21"/>
      <c r="G9" s="21"/>
      <c r="H9" s="21"/>
      <c r="I9" s="21"/>
    </row>
    <row r="10" spans="1:13" x14ac:dyDescent="0.25">
      <c r="A10" s="125"/>
      <c r="B10" s="126"/>
      <c r="C10" s="127"/>
      <c r="D10" s="103"/>
      <c r="E10" s="9">
        <v>9.1999999999999993</v>
      </c>
      <c r="F10" s="20">
        <f t="shared" ref="F10:F13" si="1">ROUND(D10*E10,2)</f>
        <v>0</v>
      </c>
      <c r="G10" s="20">
        <f t="shared" ref="G10:I13" si="2">+$F10*K10</f>
        <v>0</v>
      </c>
      <c r="H10" s="20">
        <f t="shared" si="2"/>
        <v>0</v>
      </c>
      <c r="I10" s="20">
        <f t="shared" si="2"/>
        <v>0</v>
      </c>
      <c r="K10">
        <v>0.7</v>
      </c>
      <c r="L10">
        <v>0.3</v>
      </c>
    </row>
    <row r="11" spans="1:13" x14ac:dyDescent="0.25">
      <c r="A11" s="125"/>
      <c r="B11" s="126"/>
      <c r="C11" s="127"/>
      <c r="D11" s="103"/>
      <c r="E11" s="9">
        <v>12.5</v>
      </c>
      <c r="F11" s="20">
        <f t="shared" si="1"/>
        <v>0</v>
      </c>
      <c r="G11" s="20">
        <f t="shared" si="2"/>
        <v>0</v>
      </c>
      <c r="H11" s="20">
        <f t="shared" si="2"/>
        <v>0</v>
      </c>
      <c r="I11" s="20">
        <f t="shared" si="2"/>
        <v>0</v>
      </c>
      <c r="K11">
        <v>0.7</v>
      </c>
      <c r="L11">
        <v>0.3</v>
      </c>
    </row>
    <row r="12" spans="1:13" x14ac:dyDescent="0.25">
      <c r="A12" s="125"/>
      <c r="B12" s="126"/>
      <c r="C12" s="127"/>
      <c r="D12" s="103"/>
      <c r="E12" s="9">
        <v>0.7</v>
      </c>
      <c r="F12" s="20">
        <f t="shared" si="1"/>
        <v>0</v>
      </c>
      <c r="G12" s="20">
        <f t="shared" si="2"/>
        <v>0</v>
      </c>
      <c r="H12" s="20">
        <f t="shared" si="2"/>
        <v>0</v>
      </c>
      <c r="I12" s="20">
        <f t="shared" si="2"/>
        <v>0</v>
      </c>
      <c r="K12">
        <v>0.7</v>
      </c>
      <c r="L12">
        <v>0.3</v>
      </c>
    </row>
    <row r="13" spans="1:13" x14ac:dyDescent="0.25">
      <c r="A13" s="125"/>
      <c r="B13" s="126"/>
      <c r="C13" s="127"/>
      <c r="D13" s="103"/>
      <c r="E13" s="9">
        <v>5.6</v>
      </c>
      <c r="F13" s="20">
        <f t="shared" si="1"/>
        <v>0</v>
      </c>
      <c r="G13" s="20">
        <f t="shared" si="2"/>
        <v>0</v>
      </c>
      <c r="H13" s="20">
        <f t="shared" si="2"/>
        <v>0</v>
      </c>
      <c r="I13" s="20">
        <f t="shared" si="2"/>
        <v>0</v>
      </c>
      <c r="K13">
        <v>0.5</v>
      </c>
      <c r="L13">
        <v>0.5</v>
      </c>
      <c r="M13">
        <v>0</v>
      </c>
    </row>
    <row r="14" spans="1:13" x14ac:dyDescent="0.25">
      <c r="A14" s="122"/>
      <c r="B14" s="123"/>
      <c r="C14" s="124"/>
      <c r="D14" s="104"/>
      <c r="E14" s="8"/>
      <c r="F14" s="21"/>
      <c r="G14" s="21"/>
      <c r="H14" s="21"/>
      <c r="I14" s="21"/>
    </row>
    <row r="15" spans="1:13" x14ac:dyDescent="0.25">
      <c r="A15" s="125"/>
      <c r="B15" s="126"/>
      <c r="C15" s="127"/>
      <c r="D15" s="103"/>
      <c r="E15" s="9">
        <v>19</v>
      </c>
      <c r="F15" s="20">
        <f t="shared" ref="F15:F17" si="3">ROUND(D15*E15,2)</f>
        <v>0</v>
      </c>
      <c r="G15" s="20">
        <f t="shared" ref="G15:I17" si="4">+$F15*K15</f>
        <v>0</v>
      </c>
      <c r="H15" s="20">
        <f t="shared" si="4"/>
        <v>0</v>
      </c>
      <c r="I15" s="20">
        <f t="shared" si="4"/>
        <v>0</v>
      </c>
      <c r="L15">
        <v>0.7</v>
      </c>
      <c r="M15">
        <v>0.3</v>
      </c>
    </row>
    <row r="16" spans="1:13" x14ac:dyDescent="0.25">
      <c r="A16" s="125"/>
      <c r="B16" s="126"/>
      <c r="C16" s="127"/>
      <c r="D16" s="103"/>
      <c r="E16" s="9">
        <v>10</v>
      </c>
      <c r="F16" s="20">
        <f t="shared" si="3"/>
        <v>0</v>
      </c>
      <c r="G16" s="20">
        <f t="shared" si="4"/>
        <v>0</v>
      </c>
      <c r="H16" s="20">
        <f t="shared" si="4"/>
        <v>0</v>
      </c>
      <c r="I16" s="20">
        <f t="shared" si="4"/>
        <v>0</v>
      </c>
      <c r="L16">
        <v>0.7</v>
      </c>
      <c r="M16">
        <v>0.3</v>
      </c>
    </row>
    <row r="17" spans="1:13" x14ac:dyDescent="0.25">
      <c r="A17" s="125"/>
      <c r="B17" s="126"/>
      <c r="C17" s="127"/>
      <c r="D17" s="103"/>
      <c r="E17" s="9">
        <v>190</v>
      </c>
      <c r="F17" s="20">
        <f t="shared" si="3"/>
        <v>0</v>
      </c>
      <c r="G17" s="20">
        <f t="shared" si="4"/>
        <v>0</v>
      </c>
      <c r="H17" s="20">
        <f t="shared" si="4"/>
        <v>0</v>
      </c>
      <c r="I17" s="20">
        <f t="shared" si="4"/>
        <v>0</v>
      </c>
      <c r="L17">
        <v>0.7</v>
      </c>
      <c r="M17">
        <v>0.3</v>
      </c>
    </row>
    <row r="18" spans="1:13" x14ac:dyDescent="0.25">
      <c r="A18" s="122"/>
      <c r="B18" s="123"/>
      <c r="C18" s="124"/>
      <c r="D18" s="104"/>
      <c r="E18" s="8"/>
      <c r="F18" s="21"/>
      <c r="G18" s="21"/>
      <c r="H18" s="21"/>
      <c r="I18" s="21"/>
    </row>
    <row r="19" spans="1:13" x14ac:dyDescent="0.25">
      <c r="A19" s="125"/>
      <c r="B19" s="126"/>
      <c r="C19" s="127"/>
      <c r="D19" s="103"/>
      <c r="E19" s="9">
        <v>2</v>
      </c>
      <c r="F19" s="20">
        <f>ROUND(D19*E19,2)</f>
        <v>0</v>
      </c>
      <c r="G19" s="20">
        <f>+$F19*K19</f>
        <v>0</v>
      </c>
      <c r="H19" s="20">
        <f t="shared" ref="H19:I19" si="5">+$F19*L19</f>
        <v>0</v>
      </c>
      <c r="I19" s="20">
        <f t="shared" si="5"/>
        <v>0</v>
      </c>
      <c r="L19">
        <v>0.7</v>
      </c>
      <c r="M19">
        <v>0.3</v>
      </c>
    </row>
    <row r="20" spans="1:13" x14ac:dyDescent="0.25">
      <c r="A20" s="122"/>
      <c r="B20" s="123"/>
      <c r="C20" s="124"/>
      <c r="D20" s="104"/>
      <c r="E20" s="8"/>
      <c r="F20" s="21"/>
      <c r="G20" s="21"/>
      <c r="H20" s="21"/>
      <c r="I20" s="21"/>
    </row>
    <row r="21" spans="1:13" x14ac:dyDescent="0.25">
      <c r="A21" s="125"/>
      <c r="B21" s="126"/>
      <c r="C21" s="127"/>
      <c r="D21" s="103"/>
      <c r="E21" s="9">
        <v>25</v>
      </c>
      <c r="F21" s="20">
        <f t="shared" ref="F21:F22" si="6">ROUND(D21*E21,2)</f>
        <v>0</v>
      </c>
      <c r="G21" s="20">
        <f t="shared" ref="G21:I22" si="7">+$F21*K21</f>
        <v>0</v>
      </c>
      <c r="H21" s="20">
        <f t="shared" si="7"/>
        <v>0</v>
      </c>
      <c r="I21" s="20">
        <f t="shared" si="7"/>
        <v>0</v>
      </c>
      <c r="L21">
        <v>0.5</v>
      </c>
      <c r="M21">
        <v>0.5</v>
      </c>
    </row>
    <row r="22" spans="1:13" x14ac:dyDescent="0.25">
      <c r="A22" s="128"/>
      <c r="B22" s="129"/>
      <c r="C22" s="130"/>
      <c r="D22" s="105"/>
      <c r="E22" s="10">
        <v>0.5</v>
      </c>
      <c r="F22" s="22">
        <f t="shared" si="6"/>
        <v>0</v>
      </c>
      <c r="G22" s="20">
        <f t="shared" si="7"/>
        <v>0</v>
      </c>
      <c r="H22" s="20">
        <f t="shared" si="7"/>
        <v>0</v>
      </c>
      <c r="I22" s="20">
        <f t="shared" si="7"/>
        <v>0</v>
      </c>
      <c r="L22">
        <v>0.5</v>
      </c>
      <c r="M22">
        <v>0.5</v>
      </c>
    </row>
    <row r="23" spans="1:13" x14ac:dyDescent="0.25">
      <c r="A23" s="29"/>
      <c r="B23" s="27"/>
      <c r="C23" s="23" t="s">
        <v>54</v>
      </c>
      <c r="D23" s="106"/>
      <c r="E23" s="7"/>
      <c r="F23" s="134">
        <f>SUM(F6:F22)</f>
        <v>0</v>
      </c>
      <c r="G23" s="134">
        <f t="shared" ref="G23:I23" si="8">SUM(G6:G22)</f>
        <v>0</v>
      </c>
      <c r="H23" s="134">
        <f t="shared" si="8"/>
        <v>0</v>
      </c>
      <c r="I23" s="134">
        <f t="shared" si="8"/>
        <v>0</v>
      </c>
    </row>
    <row r="24" spans="1:13" x14ac:dyDescent="0.25">
      <c r="A24" s="91"/>
      <c r="B24" s="92"/>
      <c r="C24" s="93" t="s">
        <v>89</v>
      </c>
      <c r="D24" s="107"/>
      <c r="E24" s="95"/>
      <c r="F24" s="96">
        <f>ROUND(F23*0.12,2)</f>
        <v>0</v>
      </c>
      <c r="G24" s="96">
        <f t="shared" ref="G24:I24" si="9">ROUND(G23*0.12,2)</f>
        <v>0</v>
      </c>
      <c r="H24" s="96">
        <f t="shared" si="9"/>
        <v>0</v>
      </c>
      <c r="I24" s="96">
        <f t="shared" si="9"/>
        <v>0</v>
      </c>
    </row>
    <row r="25" spans="1:13" x14ac:dyDescent="0.25">
      <c r="A25" s="91"/>
      <c r="B25" s="92"/>
      <c r="C25" s="93" t="s">
        <v>90</v>
      </c>
      <c r="D25" s="107"/>
      <c r="E25" s="95"/>
      <c r="F25" s="118"/>
      <c r="G25" s="118"/>
      <c r="H25" s="118"/>
      <c r="I25" s="118"/>
    </row>
    <row r="26" spans="1:13" x14ac:dyDescent="0.25">
      <c r="A26" s="43"/>
      <c r="B26" s="86"/>
      <c r="C26" s="87" t="s">
        <v>91</v>
      </c>
      <c r="D26" s="108"/>
      <c r="E26" s="44"/>
      <c r="F26" s="88">
        <f>SUM(F23:F25)</f>
        <v>0</v>
      </c>
      <c r="G26" s="88">
        <f t="shared" ref="G26:I26" si="10">SUM(G23:G25)</f>
        <v>0</v>
      </c>
      <c r="H26" s="88">
        <f t="shared" si="10"/>
        <v>0</v>
      </c>
      <c r="I26" s="88">
        <f t="shared" si="10"/>
        <v>0</v>
      </c>
    </row>
    <row r="27" spans="1:13" x14ac:dyDescent="0.25">
      <c r="A27" s="30"/>
      <c r="B27" s="28"/>
      <c r="C27" s="25" t="s">
        <v>55</v>
      </c>
      <c r="D27" s="103"/>
      <c r="E27" s="9"/>
      <c r="F27" s="20">
        <f>ROUND(F26*0.18,2)</f>
        <v>0</v>
      </c>
      <c r="G27" s="20">
        <f t="shared" ref="G27:I27" si="11">ROUND(G26*0.18,2)</f>
        <v>0</v>
      </c>
      <c r="H27" s="20">
        <f t="shared" si="11"/>
        <v>0</v>
      </c>
      <c r="I27" s="20">
        <f t="shared" si="11"/>
        <v>0</v>
      </c>
    </row>
    <row r="28" spans="1:13" x14ac:dyDescent="0.25">
      <c r="A28" s="32"/>
      <c r="B28" s="33"/>
      <c r="C28" s="34" t="s">
        <v>62</v>
      </c>
      <c r="D28" s="109"/>
      <c r="E28" s="36"/>
      <c r="F28" s="37">
        <f>SUM(F26:F27)</f>
        <v>0</v>
      </c>
      <c r="G28" s="37">
        <f t="shared" ref="G28:I28" si="12">SUM(G26:G27)</f>
        <v>0</v>
      </c>
      <c r="H28" s="37">
        <f t="shared" si="12"/>
        <v>0</v>
      </c>
      <c r="I28" s="37">
        <f t="shared" si="12"/>
        <v>0</v>
      </c>
    </row>
  </sheetData>
  <mergeCells count="4">
    <mergeCell ref="A4:A5"/>
    <mergeCell ref="B4:B5"/>
    <mergeCell ref="C4:C5"/>
    <mergeCell ref="D4:F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C157-2262-4B6C-BF5B-6C50704AFFCB}">
  <dimension ref="A2:M28"/>
  <sheetViews>
    <sheetView workbookViewId="0">
      <selection activeCell="C9" sqref="C9"/>
    </sheetView>
  </sheetViews>
  <sheetFormatPr baseColWidth="10" defaultRowHeight="15" x14ac:dyDescent="0.25"/>
  <cols>
    <col min="3" max="3" width="42.42578125" customWidth="1"/>
    <col min="4" max="4" width="11.28515625" customWidth="1"/>
    <col min="5" max="5" width="9.140625" customWidth="1"/>
  </cols>
  <sheetData>
    <row r="2" spans="1:13" x14ac:dyDescent="0.25">
      <c r="A2" t="s">
        <v>121</v>
      </c>
    </row>
    <row r="4" spans="1:13" x14ac:dyDescent="0.25">
      <c r="A4" s="207" t="s">
        <v>2</v>
      </c>
      <c r="B4" s="207" t="s">
        <v>3</v>
      </c>
      <c r="C4" s="207" t="s">
        <v>15</v>
      </c>
      <c r="D4" s="207" t="s">
        <v>13</v>
      </c>
      <c r="E4" s="207"/>
      <c r="F4" s="207"/>
      <c r="G4" s="136"/>
      <c r="H4" s="136"/>
      <c r="I4" s="136"/>
    </row>
    <row r="5" spans="1:13" ht="30" x14ac:dyDescent="0.25">
      <c r="A5" s="209"/>
      <c r="B5" s="209"/>
      <c r="C5" s="209"/>
      <c r="D5" s="133" t="s">
        <v>5</v>
      </c>
      <c r="E5" s="133" t="s">
        <v>6</v>
      </c>
      <c r="F5" s="133" t="s">
        <v>7</v>
      </c>
      <c r="G5" s="132" t="s">
        <v>118</v>
      </c>
      <c r="H5" s="132" t="s">
        <v>119</v>
      </c>
      <c r="I5" s="132" t="s">
        <v>120</v>
      </c>
    </row>
    <row r="6" spans="1:13" x14ac:dyDescent="0.25">
      <c r="A6" s="119"/>
      <c r="B6" s="120"/>
      <c r="C6" s="121"/>
      <c r="D6" s="101"/>
      <c r="E6" s="23"/>
      <c r="F6" s="18"/>
      <c r="G6" s="18"/>
      <c r="H6" s="18"/>
      <c r="I6" s="18"/>
    </row>
    <row r="7" spans="1:13" x14ac:dyDescent="0.25">
      <c r="A7" s="122"/>
      <c r="B7" s="123"/>
      <c r="C7" s="124"/>
      <c r="D7" s="102"/>
      <c r="E7" s="24"/>
      <c r="F7" s="19"/>
      <c r="G7" s="19"/>
      <c r="H7" s="19"/>
      <c r="I7" s="19"/>
    </row>
    <row r="8" spans="1:13" x14ac:dyDescent="0.25">
      <c r="A8" s="125"/>
      <c r="B8" s="126"/>
      <c r="C8" s="127"/>
      <c r="D8" s="103"/>
      <c r="E8" s="9">
        <v>0.35000000000000003</v>
      </c>
      <c r="F8" s="20">
        <f>ROUND(D8*E8,2)</f>
        <v>0</v>
      </c>
      <c r="G8" s="20">
        <f>+$F8*K8</f>
        <v>0</v>
      </c>
      <c r="H8" s="20">
        <f t="shared" ref="H8:I8" si="0">+$F8*L8</f>
        <v>0</v>
      </c>
      <c r="I8" s="20">
        <f t="shared" si="0"/>
        <v>0</v>
      </c>
      <c r="K8">
        <v>0.5</v>
      </c>
      <c r="L8">
        <v>0.5</v>
      </c>
      <c r="M8">
        <v>0</v>
      </c>
    </row>
    <row r="9" spans="1:13" x14ac:dyDescent="0.25">
      <c r="A9" s="122"/>
      <c r="B9" s="123"/>
      <c r="C9" s="124"/>
      <c r="D9" s="104"/>
      <c r="E9" s="8"/>
      <c r="F9" s="21"/>
      <c r="G9" s="21"/>
      <c r="H9" s="21"/>
      <c r="I9" s="21"/>
    </row>
    <row r="10" spans="1:13" x14ac:dyDescent="0.25">
      <c r="A10" s="125"/>
      <c r="B10" s="126"/>
      <c r="C10" s="127"/>
      <c r="D10" s="103"/>
      <c r="E10" s="9">
        <v>9.1999999999999993</v>
      </c>
      <c r="F10" s="20">
        <f t="shared" ref="F10:F13" si="1">ROUND(D10*E10,2)</f>
        <v>0</v>
      </c>
      <c r="G10" s="20">
        <f t="shared" ref="G10:I13" si="2">+$F10*K10</f>
        <v>0</v>
      </c>
      <c r="H10" s="20">
        <f t="shared" si="2"/>
        <v>0</v>
      </c>
      <c r="I10" s="20">
        <f t="shared" si="2"/>
        <v>0</v>
      </c>
      <c r="K10">
        <v>0.7</v>
      </c>
      <c r="L10">
        <v>0.3</v>
      </c>
    </row>
    <row r="11" spans="1:13" x14ac:dyDescent="0.25">
      <c r="A11" s="125"/>
      <c r="B11" s="126"/>
      <c r="C11" s="127"/>
      <c r="D11" s="103"/>
      <c r="E11" s="9">
        <v>12.5</v>
      </c>
      <c r="F11" s="20">
        <f t="shared" si="1"/>
        <v>0</v>
      </c>
      <c r="G11" s="20">
        <f t="shared" si="2"/>
        <v>0</v>
      </c>
      <c r="H11" s="20">
        <f t="shared" si="2"/>
        <v>0</v>
      </c>
      <c r="I11" s="20">
        <f t="shared" si="2"/>
        <v>0</v>
      </c>
      <c r="K11">
        <v>0.7</v>
      </c>
      <c r="L11">
        <v>0.3</v>
      </c>
    </row>
    <row r="12" spans="1:13" x14ac:dyDescent="0.25">
      <c r="A12" s="125"/>
      <c r="B12" s="126"/>
      <c r="C12" s="127"/>
      <c r="D12" s="103"/>
      <c r="E12" s="9">
        <v>0.7</v>
      </c>
      <c r="F12" s="20">
        <f t="shared" si="1"/>
        <v>0</v>
      </c>
      <c r="G12" s="20">
        <f t="shared" si="2"/>
        <v>0</v>
      </c>
      <c r="H12" s="20">
        <f t="shared" si="2"/>
        <v>0</v>
      </c>
      <c r="I12" s="20">
        <f t="shared" si="2"/>
        <v>0</v>
      </c>
      <c r="K12">
        <v>0.7</v>
      </c>
      <c r="L12">
        <v>0.3</v>
      </c>
    </row>
    <row r="13" spans="1:13" x14ac:dyDescent="0.25">
      <c r="A13" s="125"/>
      <c r="B13" s="126"/>
      <c r="C13" s="127"/>
      <c r="D13" s="103"/>
      <c r="E13" s="9">
        <v>5.6</v>
      </c>
      <c r="F13" s="20">
        <f t="shared" si="1"/>
        <v>0</v>
      </c>
      <c r="G13" s="20">
        <f t="shared" si="2"/>
        <v>0</v>
      </c>
      <c r="H13" s="20">
        <f t="shared" si="2"/>
        <v>0</v>
      </c>
      <c r="I13" s="20">
        <f t="shared" si="2"/>
        <v>0</v>
      </c>
      <c r="K13">
        <v>0.5</v>
      </c>
      <c r="L13">
        <v>0.5</v>
      </c>
      <c r="M13">
        <v>0</v>
      </c>
    </row>
    <row r="14" spans="1:13" x14ac:dyDescent="0.25">
      <c r="A14" s="122"/>
      <c r="B14" s="123"/>
      <c r="C14" s="124"/>
      <c r="D14" s="104"/>
      <c r="E14" s="8"/>
      <c r="F14" s="21"/>
      <c r="G14" s="21"/>
      <c r="H14" s="21"/>
      <c r="I14" s="21"/>
    </row>
    <row r="15" spans="1:13" x14ac:dyDescent="0.25">
      <c r="A15" s="125"/>
      <c r="B15" s="126"/>
      <c r="C15" s="127"/>
      <c r="D15" s="103"/>
      <c r="E15" s="9">
        <v>19</v>
      </c>
      <c r="F15" s="20">
        <f t="shared" ref="F15:F17" si="3">ROUND(D15*E15,2)</f>
        <v>0</v>
      </c>
      <c r="G15" s="20">
        <f t="shared" ref="G15:I17" si="4">+$F15*K15</f>
        <v>0</v>
      </c>
      <c r="H15" s="20">
        <f t="shared" si="4"/>
        <v>0</v>
      </c>
      <c r="I15" s="20">
        <f t="shared" si="4"/>
        <v>0</v>
      </c>
      <c r="L15">
        <v>0.7</v>
      </c>
      <c r="M15">
        <v>0.3</v>
      </c>
    </row>
    <row r="16" spans="1:13" x14ac:dyDescent="0.25">
      <c r="A16" s="125"/>
      <c r="B16" s="126"/>
      <c r="C16" s="127"/>
      <c r="D16" s="103"/>
      <c r="E16" s="9">
        <v>10</v>
      </c>
      <c r="F16" s="20">
        <f t="shared" si="3"/>
        <v>0</v>
      </c>
      <c r="G16" s="20">
        <f t="shared" si="4"/>
        <v>0</v>
      </c>
      <c r="H16" s="20">
        <f t="shared" si="4"/>
        <v>0</v>
      </c>
      <c r="I16" s="20">
        <f t="shared" si="4"/>
        <v>0</v>
      </c>
      <c r="L16">
        <v>0.7</v>
      </c>
      <c r="M16">
        <v>0.3</v>
      </c>
    </row>
    <row r="17" spans="1:13" x14ac:dyDescent="0.25">
      <c r="A17" s="125"/>
      <c r="B17" s="126"/>
      <c r="C17" s="127"/>
      <c r="D17" s="103"/>
      <c r="E17" s="9">
        <v>190</v>
      </c>
      <c r="F17" s="20">
        <f t="shared" si="3"/>
        <v>0</v>
      </c>
      <c r="G17" s="20">
        <f t="shared" si="4"/>
        <v>0</v>
      </c>
      <c r="H17" s="20">
        <f t="shared" si="4"/>
        <v>0</v>
      </c>
      <c r="I17" s="20">
        <f t="shared" si="4"/>
        <v>0</v>
      </c>
      <c r="L17">
        <v>0.7</v>
      </c>
      <c r="M17">
        <v>0.3</v>
      </c>
    </row>
    <row r="18" spans="1:13" x14ac:dyDescent="0.25">
      <c r="A18" s="122"/>
      <c r="B18" s="123"/>
      <c r="C18" s="124"/>
      <c r="D18" s="104"/>
      <c r="E18" s="8"/>
      <c r="F18" s="21"/>
      <c r="G18" s="21"/>
      <c r="H18" s="21"/>
      <c r="I18" s="21"/>
    </row>
    <row r="19" spans="1:13" x14ac:dyDescent="0.25">
      <c r="A19" s="125"/>
      <c r="B19" s="126"/>
      <c r="C19" s="127"/>
      <c r="D19" s="103"/>
      <c r="E19" s="9">
        <v>2</v>
      </c>
      <c r="F19" s="20">
        <f>ROUND(D19*E19,2)</f>
        <v>0</v>
      </c>
      <c r="G19" s="20">
        <f>+$F19*K19</f>
        <v>0</v>
      </c>
      <c r="H19" s="20">
        <f t="shared" ref="H19:I19" si="5">+$F19*L19</f>
        <v>0</v>
      </c>
      <c r="I19" s="20">
        <f t="shared" si="5"/>
        <v>0</v>
      </c>
      <c r="L19">
        <v>0.7</v>
      </c>
      <c r="M19">
        <v>0.3</v>
      </c>
    </row>
    <row r="20" spans="1:13" x14ac:dyDescent="0.25">
      <c r="A20" s="122"/>
      <c r="B20" s="123"/>
      <c r="C20" s="124"/>
      <c r="D20" s="104"/>
      <c r="E20" s="8"/>
      <c r="F20" s="21"/>
      <c r="G20" s="21"/>
      <c r="H20" s="21"/>
      <c r="I20" s="21"/>
    </row>
    <row r="21" spans="1:13" x14ac:dyDescent="0.25">
      <c r="A21" s="125"/>
      <c r="B21" s="126"/>
      <c r="C21" s="127"/>
      <c r="D21" s="103"/>
      <c r="E21" s="9">
        <v>25</v>
      </c>
      <c r="F21" s="20">
        <f t="shared" ref="F21:F22" si="6">ROUND(D21*E21,2)</f>
        <v>0</v>
      </c>
      <c r="G21" s="20">
        <f t="shared" ref="G21:I22" si="7">+$F21*K21</f>
        <v>0</v>
      </c>
      <c r="H21" s="20">
        <f t="shared" si="7"/>
        <v>0</v>
      </c>
      <c r="I21" s="20">
        <f t="shared" si="7"/>
        <v>0</v>
      </c>
      <c r="L21">
        <v>0.5</v>
      </c>
      <c r="M21">
        <v>0.5</v>
      </c>
    </row>
    <row r="22" spans="1:13" x14ac:dyDescent="0.25">
      <c r="A22" s="128"/>
      <c r="B22" s="129"/>
      <c r="C22" s="130"/>
      <c r="D22" s="105"/>
      <c r="E22" s="10">
        <v>0.5</v>
      </c>
      <c r="F22" s="22">
        <f t="shared" si="6"/>
        <v>0</v>
      </c>
      <c r="G22" s="20">
        <f t="shared" si="7"/>
        <v>0</v>
      </c>
      <c r="H22" s="20">
        <f t="shared" si="7"/>
        <v>0</v>
      </c>
      <c r="I22" s="20">
        <f t="shared" si="7"/>
        <v>0</v>
      </c>
      <c r="L22">
        <v>0.5</v>
      </c>
      <c r="M22">
        <v>0.5</v>
      </c>
    </row>
    <row r="23" spans="1:13" x14ac:dyDescent="0.25">
      <c r="A23" s="29"/>
      <c r="B23" s="27"/>
      <c r="C23" s="23" t="s">
        <v>54</v>
      </c>
      <c r="D23" s="106"/>
      <c r="E23" s="7"/>
      <c r="F23" s="134">
        <f>SUM(F6:F22)</f>
        <v>0</v>
      </c>
      <c r="G23" s="134">
        <f t="shared" ref="G23:I23" si="8">SUM(G6:G22)</f>
        <v>0</v>
      </c>
      <c r="H23" s="134">
        <f t="shared" si="8"/>
        <v>0</v>
      </c>
      <c r="I23" s="134">
        <f t="shared" si="8"/>
        <v>0</v>
      </c>
    </row>
    <row r="24" spans="1:13" x14ac:dyDescent="0.25">
      <c r="A24" s="91"/>
      <c r="B24" s="92"/>
      <c r="C24" s="93" t="s">
        <v>89</v>
      </c>
      <c r="D24" s="107"/>
      <c r="E24" s="95"/>
      <c r="F24" s="96">
        <f>ROUND(F23*0.12,2)</f>
        <v>0</v>
      </c>
      <c r="G24" s="96">
        <f t="shared" ref="G24:I24" si="9">ROUND(G23*0.12,2)</f>
        <v>0</v>
      </c>
      <c r="H24" s="96">
        <f t="shared" si="9"/>
        <v>0</v>
      </c>
      <c r="I24" s="96">
        <f t="shared" si="9"/>
        <v>0</v>
      </c>
    </row>
    <row r="25" spans="1:13" x14ac:dyDescent="0.25">
      <c r="A25" s="91"/>
      <c r="B25" s="92"/>
      <c r="C25" s="93" t="s">
        <v>90</v>
      </c>
      <c r="D25" s="107"/>
      <c r="E25" s="95"/>
      <c r="F25" s="118"/>
      <c r="G25" s="118"/>
      <c r="H25" s="118"/>
      <c r="I25" s="118"/>
    </row>
    <row r="26" spans="1:13" x14ac:dyDescent="0.25">
      <c r="A26" s="43"/>
      <c r="B26" s="86"/>
      <c r="C26" s="87" t="s">
        <v>91</v>
      </c>
      <c r="D26" s="108"/>
      <c r="E26" s="44"/>
      <c r="F26" s="88">
        <f>SUM(F23:F25)</f>
        <v>0</v>
      </c>
      <c r="G26" s="88">
        <f t="shared" ref="G26:I26" si="10">SUM(G23:G25)</f>
        <v>0</v>
      </c>
      <c r="H26" s="88">
        <f t="shared" si="10"/>
        <v>0</v>
      </c>
      <c r="I26" s="88">
        <f t="shared" si="10"/>
        <v>0</v>
      </c>
    </row>
    <row r="27" spans="1:13" x14ac:dyDescent="0.25">
      <c r="A27" s="30"/>
      <c r="B27" s="28"/>
      <c r="C27" s="25" t="s">
        <v>55</v>
      </c>
      <c r="D27" s="103"/>
      <c r="E27" s="9"/>
      <c r="F27" s="20">
        <f>ROUND(F26*0.18,2)</f>
        <v>0</v>
      </c>
      <c r="G27" s="20">
        <f t="shared" ref="G27:I27" si="11">ROUND(G26*0.18,2)</f>
        <v>0</v>
      </c>
      <c r="H27" s="20">
        <f t="shared" si="11"/>
        <v>0</v>
      </c>
      <c r="I27" s="20">
        <f t="shared" si="11"/>
        <v>0</v>
      </c>
    </row>
    <row r="28" spans="1:13" x14ac:dyDescent="0.25">
      <c r="A28" s="32"/>
      <c r="B28" s="33"/>
      <c r="C28" s="34" t="s">
        <v>62</v>
      </c>
      <c r="D28" s="109"/>
      <c r="E28" s="36"/>
      <c r="F28" s="37">
        <f>SUM(F26:F27)</f>
        <v>0</v>
      </c>
      <c r="G28" s="37">
        <f t="shared" ref="G28:I28" si="12">SUM(G26:G27)</f>
        <v>0</v>
      </c>
      <c r="H28" s="37">
        <f t="shared" si="12"/>
        <v>0</v>
      </c>
      <c r="I28" s="37">
        <f t="shared" si="12"/>
        <v>0</v>
      </c>
    </row>
  </sheetData>
  <mergeCells count="4">
    <mergeCell ref="A4:A5"/>
    <mergeCell ref="B4:B5"/>
    <mergeCell ref="C4:C5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PRESUPUESTOS</vt:lpstr>
      <vt:lpstr>COMPARATIVO</vt:lpstr>
      <vt:lpstr>RESUMEN - ANALISIS</vt:lpstr>
      <vt:lpstr>COSTOS INCURRIDOS</vt:lpstr>
      <vt:lpstr>CRONOG CONT VENTA</vt:lpstr>
      <vt:lpstr>CRONOG CONT META</vt:lpstr>
      <vt:lpstr>CRONOG INTERNO VENTA</vt:lpstr>
      <vt:lpstr>CRONOG INTERNO META</vt:lpstr>
      <vt:lpstr>CRONOG COSTOS REALES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2020-10-30T16:19:31Z</dcterms:created>
  <dcterms:modified xsi:type="dcterms:W3CDTF">2024-06-21T02:49:22Z</dcterms:modified>
</cp:coreProperties>
</file>