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ADM\"/>
    </mc:Choice>
  </mc:AlternateContent>
  <bookViews>
    <workbookView xWindow="0" yWindow="0" windowWidth="24000" windowHeight="9735" tabRatio="645" activeTab="2"/>
  </bookViews>
  <sheets>
    <sheet name="Dashboard" sheetId="5" r:id="rId1"/>
    <sheet name="Movimiento FR" sheetId="1" r:id="rId2"/>
    <sheet name="Detalle FR" sheetId="3" r:id="rId3"/>
    <sheet name="Tablas" sheetId="2" r:id="rId4"/>
  </sheets>
  <definedNames>
    <definedName name="_xlcn.WorksheetConnection_kardex.xlsxINGRESOS1" hidden="1">INGRESOS</definedName>
    <definedName name="_xlcn.WorksheetConnection_kardex.xlsxSALIDAS1" hidden="1">SALIDAS[]</definedName>
    <definedName name="_xlnm.Print_Area" localSheetId="0">Dashboard!$A$1:$J$34</definedName>
    <definedName name="_xlnm.Print_Area" localSheetId="2">'Detalle FR'!$A$6:$Q$85</definedName>
    <definedName name="_xlnm.Print_Area" localSheetId="1">'Movimiento FR'!$A$1:$K$47</definedName>
    <definedName name="SegmentaciónDeDatos_MES1">#N/A</definedName>
    <definedName name="TCUENTA">OT[[#All],[T. CUENTA]]</definedName>
    <definedName name="TDOCUMENTO">Tablas!$A$17:$B$30</definedName>
    <definedName name="TOPERACION">Tablas!$A$4:$B$5</definedName>
    <definedName name="TORIGEN">Tablas!$A$10:$B$11</definedName>
  </definedNames>
  <calcPr calcId="152511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GRESOS-fe395b89-1a4b-4e69-8379-5305834ad41f" name="INGRESOS" connection="WorksheetConnection_kardex.xlsx!INGRESOS"/>
          <x15:modelTable id="SALIDAS-b4267a08-120f-494f-a6e8-1c28252081a0" name="SALIDAS" connection="WorksheetConnection_kardex.xlsx!SALIDAS"/>
        </x15:modelTables>
      </x15:dataModel>
    </ext>
  </extLst>
</workbook>
</file>

<file path=xl/calcChain.xml><?xml version="1.0" encoding="utf-8"?>
<calcChain xmlns="http://schemas.openxmlformats.org/spreadsheetml/2006/main">
  <c r="C353" i="3" l="1"/>
  <c r="I353" i="3"/>
  <c r="P353" i="3"/>
  <c r="C352" i="3"/>
  <c r="I352" i="3"/>
  <c r="P352" i="3"/>
  <c r="C351" i="3"/>
  <c r="I351" i="3"/>
  <c r="P351" i="3"/>
  <c r="C350" i="3"/>
  <c r="I350" i="3"/>
  <c r="N350" i="3"/>
  <c r="P350" i="3"/>
  <c r="C349" i="3" l="1"/>
  <c r="I349" i="3"/>
  <c r="P349" i="3"/>
  <c r="C348" i="3"/>
  <c r="I348" i="3"/>
  <c r="N348" i="3"/>
  <c r="P348" i="3"/>
  <c r="C347" i="3" l="1"/>
  <c r="I347" i="3"/>
  <c r="N347" i="3"/>
  <c r="P347" i="3"/>
  <c r="C346" i="3"/>
  <c r="I346" i="3"/>
  <c r="N346" i="3"/>
  <c r="P346" i="3"/>
  <c r="C345" i="3"/>
  <c r="I345" i="3"/>
  <c r="N345" i="3"/>
  <c r="P345" i="3"/>
  <c r="C344" i="3"/>
  <c r="I344" i="3"/>
  <c r="N344" i="3"/>
  <c r="P344" i="3"/>
  <c r="C343" i="3"/>
  <c r="I343" i="3"/>
  <c r="N343" i="3"/>
  <c r="P343" i="3"/>
  <c r="C342" i="3"/>
  <c r="I342" i="3"/>
  <c r="N342" i="3"/>
  <c r="P342" i="3"/>
  <c r="C341" i="3"/>
  <c r="I341" i="3"/>
  <c r="N341" i="3"/>
  <c r="P341" i="3"/>
  <c r="C340" i="3"/>
  <c r="I340" i="3"/>
  <c r="N340" i="3"/>
  <c r="P340" i="3"/>
  <c r="C339" i="3"/>
  <c r="I339" i="3"/>
  <c r="N339" i="3"/>
  <c r="P339" i="3"/>
  <c r="C338" i="3"/>
  <c r="I338" i="3"/>
  <c r="N338" i="3"/>
  <c r="P338" i="3"/>
  <c r="C337" i="3"/>
  <c r="I337" i="3"/>
  <c r="N337" i="3"/>
  <c r="P337" i="3"/>
  <c r="C336" i="3"/>
  <c r="I336" i="3"/>
  <c r="N336" i="3"/>
  <c r="P336" i="3" s="1"/>
  <c r="C335" i="3"/>
  <c r="I335" i="3"/>
  <c r="P335" i="3"/>
  <c r="C334" i="3"/>
  <c r="I334" i="3"/>
  <c r="P334" i="3"/>
  <c r="C25" i="1" l="1"/>
  <c r="C282" i="3"/>
  <c r="I282" i="3"/>
  <c r="P282" i="3"/>
  <c r="C230" i="3"/>
  <c r="I230" i="3"/>
  <c r="P230" i="3"/>
  <c r="F3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C22" i="1"/>
  <c r="N329" i="3" l="1"/>
  <c r="P329" i="3" s="1"/>
  <c r="C24" i="1"/>
  <c r="C333" i="3"/>
  <c r="I333" i="3"/>
  <c r="N333" i="3"/>
  <c r="P333" i="3" s="1"/>
  <c r="C332" i="3"/>
  <c r="I332" i="3"/>
  <c r="P332" i="3"/>
  <c r="C331" i="3"/>
  <c r="I331" i="3"/>
  <c r="N331" i="3"/>
  <c r="P331" i="3" s="1"/>
  <c r="I330" i="3"/>
  <c r="C330" i="3"/>
  <c r="P330" i="3"/>
  <c r="C329" i="3"/>
  <c r="I329" i="3"/>
  <c r="C328" i="3"/>
  <c r="I328" i="3"/>
  <c r="P328" i="3"/>
  <c r="C327" i="3"/>
  <c r="I327" i="3"/>
  <c r="P327" i="3"/>
  <c r="C326" i="3"/>
  <c r="I326" i="3"/>
  <c r="P326" i="3"/>
  <c r="C325" i="3"/>
  <c r="I325" i="3"/>
  <c r="P325" i="3"/>
  <c r="C324" i="3"/>
  <c r="I324" i="3"/>
  <c r="P324" i="3"/>
  <c r="C323" i="3"/>
  <c r="I323" i="3"/>
  <c r="N323" i="3"/>
  <c r="P323" i="3" s="1"/>
  <c r="C322" i="3"/>
  <c r="I322" i="3"/>
  <c r="P322" i="3"/>
  <c r="C321" i="3"/>
  <c r="I321" i="3"/>
  <c r="P321" i="3"/>
  <c r="C320" i="3"/>
  <c r="I320" i="3"/>
  <c r="P320" i="3"/>
  <c r="C319" i="3"/>
  <c r="N319" i="3"/>
  <c r="P319" i="3" s="1"/>
  <c r="I319" i="3"/>
  <c r="N318" i="3"/>
  <c r="P318" i="3" s="1"/>
  <c r="I318" i="3"/>
  <c r="C318" i="3"/>
  <c r="I317" i="3"/>
  <c r="C317" i="3"/>
  <c r="P317" i="3"/>
  <c r="N316" i="3"/>
  <c r="P316" i="3" s="1"/>
  <c r="C316" i="3"/>
  <c r="I316" i="3"/>
  <c r="N315" i="3"/>
  <c r="P315" i="3" s="1"/>
  <c r="I315" i="3"/>
  <c r="C315" i="3"/>
  <c r="I314" i="3"/>
  <c r="C314" i="3"/>
  <c r="N314" i="3"/>
  <c r="P314" i="3" s="1"/>
  <c r="C313" i="3" l="1"/>
  <c r="I313" i="3"/>
  <c r="N313" i="3"/>
  <c r="P313" i="3" s="1"/>
  <c r="C312" i="3"/>
  <c r="I312" i="3"/>
  <c r="P312" i="3"/>
  <c r="I311" i="3"/>
  <c r="C311" i="3"/>
  <c r="P311" i="3"/>
  <c r="C310" i="3"/>
  <c r="I310" i="3"/>
  <c r="P310" i="3"/>
  <c r="I309" i="3"/>
  <c r="C309" i="3"/>
  <c r="P309" i="3"/>
  <c r="C308" i="3"/>
  <c r="I308" i="3"/>
  <c r="P308" i="3"/>
  <c r="C307" i="3"/>
  <c r="I307" i="3"/>
  <c r="P307" i="3"/>
  <c r="J34" i="1" l="1"/>
  <c r="C306" i="3"/>
  <c r="I306" i="3"/>
  <c r="N306" i="3"/>
  <c r="P306" i="3" s="1"/>
  <c r="C305" i="3"/>
  <c r="I305" i="3"/>
  <c r="N305" i="3"/>
  <c r="P305" i="3" s="1"/>
  <c r="C304" i="3"/>
  <c r="I304" i="3"/>
  <c r="N304" i="3"/>
  <c r="P304" i="3" s="1"/>
  <c r="C303" i="3"/>
  <c r="I303" i="3"/>
  <c r="N303" i="3"/>
  <c r="P303" i="3" s="1"/>
  <c r="C302" i="3"/>
  <c r="I302" i="3"/>
  <c r="N302" i="3"/>
  <c r="P302" i="3" s="1"/>
  <c r="C301" i="3" l="1"/>
  <c r="I301" i="3"/>
  <c r="N301" i="3"/>
  <c r="P301" i="3" s="1"/>
  <c r="C300" i="3"/>
  <c r="I300" i="3"/>
  <c r="P300" i="3"/>
  <c r="C299" i="3"/>
  <c r="I299" i="3"/>
  <c r="P299" i="3"/>
  <c r="C298" i="3"/>
  <c r="I298" i="3"/>
  <c r="N298" i="3"/>
  <c r="P298" i="3" s="1"/>
  <c r="C297" i="3"/>
  <c r="I297" i="3"/>
  <c r="N297" i="3"/>
  <c r="P297" i="3" s="1"/>
  <c r="C296" i="3"/>
  <c r="I296" i="3"/>
  <c r="P296" i="3"/>
  <c r="C295" i="3"/>
  <c r="I295" i="3"/>
  <c r="N295" i="3"/>
  <c r="P295" i="3" s="1"/>
  <c r="C294" i="3"/>
  <c r="I294" i="3"/>
  <c r="P294" i="3"/>
  <c r="C293" i="3"/>
  <c r="I293" i="3"/>
  <c r="N293" i="3"/>
  <c r="P293" i="3" s="1"/>
  <c r="C292" i="3"/>
  <c r="I292" i="3"/>
  <c r="N292" i="3"/>
  <c r="P292" i="3" s="1"/>
  <c r="C291" i="3"/>
  <c r="I291" i="3"/>
  <c r="N291" i="3"/>
  <c r="P291" i="3" s="1"/>
  <c r="C290" i="3"/>
  <c r="I290" i="3"/>
  <c r="P290" i="3"/>
  <c r="C289" i="3"/>
  <c r="I289" i="3"/>
  <c r="P289" i="3"/>
  <c r="N288" i="3"/>
  <c r="P288" i="3" s="1"/>
  <c r="C288" i="3"/>
  <c r="I288" i="3"/>
  <c r="C287" i="3"/>
  <c r="I287" i="3"/>
  <c r="N287" i="3"/>
  <c r="P287" i="3" s="1"/>
  <c r="C286" i="3"/>
  <c r="I286" i="3"/>
  <c r="P286" i="3"/>
  <c r="J31" i="1" l="1"/>
  <c r="C285" i="3"/>
  <c r="I285" i="3"/>
  <c r="P285" i="3"/>
  <c r="C284" i="3"/>
  <c r="I284" i="3"/>
  <c r="N284" i="3"/>
  <c r="P284" i="3" s="1"/>
  <c r="C283" i="3" l="1"/>
  <c r="I283" i="3"/>
  <c r="N283" i="3"/>
  <c r="P283" i="3" s="1"/>
  <c r="C281" i="3"/>
  <c r="I281" i="3"/>
  <c r="P281" i="3"/>
  <c r="C280" i="3" l="1"/>
  <c r="I280" i="3"/>
  <c r="P280" i="3"/>
  <c r="C279" i="3"/>
  <c r="I279" i="3"/>
  <c r="N279" i="3"/>
  <c r="P279" i="3" s="1"/>
  <c r="C278" i="3"/>
  <c r="I278" i="3"/>
  <c r="N278" i="3"/>
  <c r="P278" i="3" s="1"/>
  <c r="C277" i="3"/>
  <c r="I277" i="3"/>
  <c r="N277" i="3"/>
  <c r="P277" i="3" s="1"/>
  <c r="J29" i="1" l="1"/>
  <c r="C276" i="3"/>
  <c r="I276" i="3"/>
  <c r="P276" i="3"/>
  <c r="C275" i="3"/>
  <c r="I275" i="3"/>
  <c r="N275" i="3"/>
  <c r="P275" i="3" s="1"/>
  <c r="C274" i="3"/>
  <c r="I274" i="3"/>
  <c r="N274" i="3"/>
  <c r="P274" i="3" s="1"/>
  <c r="C273" i="3"/>
  <c r="I273" i="3"/>
  <c r="N273" i="3"/>
  <c r="P273" i="3" s="1"/>
  <c r="C272" i="3"/>
  <c r="I272" i="3"/>
  <c r="N272" i="3"/>
  <c r="P272" i="3" s="1"/>
  <c r="C271" i="3"/>
  <c r="I271" i="3"/>
  <c r="N271" i="3"/>
  <c r="P271" i="3" s="1"/>
  <c r="C270" i="3"/>
  <c r="I270" i="3"/>
  <c r="P270" i="3"/>
  <c r="C269" i="3"/>
  <c r="I269" i="3"/>
  <c r="N269" i="3"/>
  <c r="P269" i="3" s="1"/>
  <c r="C268" i="3"/>
  <c r="I268" i="3"/>
  <c r="N268" i="3"/>
  <c r="P268" i="3" s="1"/>
  <c r="C267" i="3"/>
  <c r="I267" i="3"/>
  <c r="N267" i="3"/>
  <c r="P267" i="3" s="1"/>
  <c r="C266" i="3"/>
  <c r="I266" i="3"/>
  <c r="N266" i="3"/>
  <c r="P266" i="3" s="1"/>
  <c r="C265" i="3"/>
  <c r="I265" i="3"/>
  <c r="N265" i="3"/>
  <c r="P265" i="3" s="1"/>
  <c r="C264" i="3"/>
  <c r="I264" i="3"/>
  <c r="P264" i="3"/>
  <c r="C263" i="3"/>
  <c r="I263" i="3"/>
  <c r="P263" i="3"/>
  <c r="C262" i="3"/>
  <c r="I262" i="3"/>
  <c r="N262" i="3"/>
  <c r="P262" i="3" s="1"/>
  <c r="C261" i="3"/>
  <c r="I261" i="3"/>
  <c r="P261" i="3"/>
  <c r="C260" i="3"/>
  <c r="I260" i="3"/>
  <c r="P260" i="3"/>
  <c r="C259" i="3" l="1"/>
  <c r="I259" i="3"/>
  <c r="N259" i="3"/>
  <c r="P259" i="3" s="1"/>
  <c r="C258" i="3"/>
  <c r="I258" i="3"/>
  <c r="N258" i="3"/>
  <c r="P258" i="3" s="1"/>
  <c r="C257" i="3"/>
  <c r="I257" i="3"/>
  <c r="N257" i="3"/>
  <c r="P257" i="3" s="1"/>
  <c r="C256" i="3"/>
  <c r="I256" i="3"/>
  <c r="N256" i="3"/>
  <c r="P256" i="3" s="1"/>
  <c r="C255" i="3" l="1"/>
  <c r="I255" i="3"/>
  <c r="P255" i="3"/>
  <c r="C254" i="3"/>
  <c r="I254" i="3"/>
  <c r="N254" i="3"/>
  <c r="P254" i="3" s="1"/>
  <c r="C253" i="3" l="1"/>
  <c r="I253" i="3"/>
  <c r="P253" i="3"/>
  <c r="C252" i="3"/>
  <c r="I252" i="3"/>
  <c r="P252" i="3"/>
  <c r="C251" i="3"/>
  <c r="I251" i="3"/>
  <c r="P251" i="3"/>
  <c r="C250" i="3"/>
  <c r="I250" i="3"/>
  <c r="P250" i="3"/>
  <c r="J27" i="1" l="1"/>
  <c r="C249" i="3"/>
  <c r="I249" i="3"/>
  <c r="P249" i="3"/>
  <c r="C248" i="3"/>
  <c r="I248" i="3"/>
  <c r="P248" i="3"/>
  <c r="C247" i="3"/>
  <c r="I247" i="3"/>
  <c r="P247" i="3"/>
  <c r="C246" i="3"/>
  <c r="I246" i="3"/>
  <c r="P246" i="3"/>
  <c r="C245" i="3"/>
  <c r="I245" i="3"/>
  <c r="P245" i="3"/>
  <c r="C244" i="3"/>
  <c r="I244" i="3"/>
  <c r="P244" i="3"/>
  <c r="C243" i="3"/>
  <c r="I243" i="3"/>
  <c r="P243" i="3"/>
  <c r="C242" i="3" l="1"/>
  <c r="I242" i="3"/>
  <c r="P242" i="3"/>
  <c r="C241" i="3" l="1"/>
  <c r="I241" i="3"/>
  <c r="N241" i="3"/>
  <c r="P241" i="3" s="1"/>
  <c r="C240" i="3" l="1"/>
  <c r="I240" i="3"/>
  <c r="N240" i="3"/>
  <c r="P240" i="3" s="1"/>
  <c r="C239" i="3"/>
  <c r="I239" i="3"/>
  <c r="N239" i="3"/>
  <c r="P239" i="3" s="1"/>
  <c r="C238" i="3" l="1"/>
  <c r="I238" i="3"/>
  <c r="N238" i="3"/>
  <c r="P238" i="3" s="1"/>
  <c r="C237" i="3"/>
  <c r="I237" i="3"/>
  <c r="N237" i="3"/>
  <c r="P237" i="3" s="1"/>
  <c r="C236" i="3"/>
  <c r="I236" i="3"/>
  <c r="N236" i="3"/>
  <c r="P236" i="3" s="1"/>
  <c r="C235" i="3" l="1"/>
  <c r="I235" i="3"/>
  <c r="N235" i="3"/>
  <c r="P235" i="3" s="1"/>
  <c r="C234" i="3"/>
  <c r="I234" i="3"/>
  <c r="N234" i="3"/>
  <c r="P234" i="3" s="1"/>
  <c r="C233" i="3"/>
  <c r="I233" i="3"/>
  <c r="N233" i="3"/>
  <c r="P233" i="3" s="1"/>
  <c r="C232" i="3"/>
  <c r="I232" i="3"/>
  <c r="N232" i="3"/>
  <c r="P232" i="3" s="1"/>
  <c r="C231" i="3" l="1"/>
  <c r="I231" i="3"/>
  <c r="N231" i="3"/>
  <c r="P231" i="3" s="1"/>
  <c r="I43" i="1" l="1"/>
  <c r="C229" i="3"/>
  <c r="I229" i="3"/>
  <c r="N229" i="3"/>
  <c r="P229" i="3" s="1"/>
  <c r="C21" i="1"/>
  <c r="C19" i="1"/>
  <c r="C23" i="1"/>
  <c r="C20" i="1"/>
  <c r="C18" i="1"/>
  <c r="C17" i="1"/>
  <c r="C16" i="1"/>
  <c r="C15" i="1"/>
  <c r="C14" i="1"/>
  <c r="C13" i="1"/>
  <c r="C11" i="1"/>
  <c r="C228" i="3" l="1"/>
  <c r="I228" i="3"/>
  <c r="P228" i="3"/>
  <c r="C227" i="3" l="1"/>
  <c r="I227" i="3"/>
  <c r="P227" i="3"/>
  <c r="C226" i="3"/>
  <c r="I226" i="3"/>
  <c r="P226" i="3"/>
  <c r="C225" i="3"/>
  <c r="I225" i="3"/>
  <c r="P225" i="3"/>
  <c r="C224" i="3"/>
  <c r="I224" i="3"/>
  <c r="P224" i="3"/>
  <c r="J25" i="1" s="1"/>
  <c r="C223" i="3"/>
  <c r="I223" i="3"/>
  <c r="N223" i="3"/>
  <c r="P223" i="3" s="1"/>
  <c r="C222" i="3" l="1"/>
  <c r="I222" i="3"/>
  <c r="P222" i="3"/>
  <c r="C221" i="3"/>
  <c r="I221" i="3"/>
  <c r="P221" i="3"/>
  <c r="C220" i="3"/>
  <c r="I220" i="3"/>
  <c r="N220" i="3"/>
  <c r="P220" i="3" s="1"/>
  <c r="C219" i="3"/>
  <c r="I219" i="3"/>
  <c r="N219" i="3"/>
  <c r="P219" i="3" s="1"/>
  <c r="C218" i="3" l="1"/>
  <c r="I218" i="3"/>
  <c r="N218" i="3"/>
  <c r="P218" i="3" s="1"/>
  <c r="C217" i="3"/>
  <c r="I217" i="3"/>
  <c r="N217" i="3"/>
  <c r="P217" i="3" s="1"/>
  <c r="C216" i="3"/>
  <c r="I216" i="3"/>
  <c r="N216" i="3"/>
  <c r="P216" i="3" s="1"/>
  <c r="C215" i="3"/>
  <c r="I215" i="3"/>
  <c r="N215" i="3"/>
  <c r="P215" i="3" s="1"/>
  <c r="C214" i="3"/>
  <c r="I214" i="3"/>
  <c r="N214" i="3"/>
  <c r="P214" i="3" s="1"/>
  <c r="C213" i="3"/>
  <c r="I213" i="3"/>
  <c r="P213" i="3"/>
  <c r="C212" i="3"/>
  <c r="I212" i="3"/>
  <c r="P212" i="3"/>
  <c r="J23" i="1" s="1"/>
  <c r="C211" i="3"/>
  <c r="I211" i="3"/>
  <c r="N211" i="3"/>
  <c r="P211" i="3" s="1"/>
  <c r="C210" i="3"/>
  <c r="I210" i="3"/>
  <c r="P210" i="3"/>
  <c r="C209" i="3"/>
  <c r="I209" i="3"/>
  <c r="P209" i="3"/>
  <c r="C208" i="3"/>
  <c r="I208" i="3"/>
  <c r="P208" i="3"/>
  <c r="C207" i="3"/>
  <c r="I207" i="3"/>
  <c r="N207" i="3"/>
  <c r="P207" i="3" s="1"/>
  <c r="C206" i="3"/>
  <c r="I206" i="3"/>
  <c r="N206" i="3"/>
  <c r="P206" i="3" s="1"/>
  <c r="C205" i="3"/>
  <c r="I205" i="3"/>
  <c r="P205" i="3"/>
  <c r="C204" i="3"/>
  <c r="I204" i="3"/>
  <c r="P204" i="3"/>
  <c r="C203" i="3"/>
  <c r="I203" i="3"/>
  <c r="N203" i="3"/>
  <c r="P203" i="3" s="1"/>
  <c r="C202" i="3"/>
  <c r="I202" i="3"/>
  <c r="P202" i="3"/>
  <c r="J20" i="1" l="1"/>
  <c r="C201" i="3"/>
  <c r="I201" i="3"/>
  <c r="P201" i="3"/>
  <c r="C200" i="3"/>
  <c r="I200" i="3"/>
  <c r="P200" i="3"/>
  <c r="C199" i="3"/>
  <c r="I199" i="3"/>
  <c r="N199" i="3"/>
  <c r="P199" i="3" s="1"/>
  <c r="C198" i="3"/>
  <c r="I198" i="3"/>
  <c r="N198" i="3"/>
  <c r="P198" i="3" s="1"/>
  <c r="C197" i="3"/>
  <c r="I197" i="3"/>
  <c r="N197" i="3"/>
  <c r="P197" i="3" s="1"/>
  <c r="C196" i="3"/>
  <c r="I196" i="3"/>
  <c r="P196" i="3"/>
  <c r="C195" i="3"/>
  <c r="I195" i="3"/>
  <c r="P195" i="3"/>
  <c r="C194" i="3"/>
  <c r="I194" i="3"/>
  <c r="P194" i="3"/>
  <c r="C193" i="3"/>
  <c r="I193" i="3"/>
  <c r="N193" i="3"/>
  <c r="P193" i="3" s="1"/>
  <c r="C192" i="3"/>
  <c r="I192" i="3"/>
  <c r="P192" i="3"/>
  <c r="C191" i="3" l="1"/>
  <c r="I191" i="3"/>
  <c r="P191" i="3"/>
  <c r="C190" i="3"/>
  <c r="I190" i="3"/>
  <c r="N190" i="3"/>
  <c r="P190" i="3" s="1"/>
  <c r="C189" i="3"/>
  <c r="I189" i="3"/>
  <c r="P189" i="3"/>
  <c r="C188" i="3"/>
  <c r="I188" i="3"/>
  <c r="P188" i="3"/>
  <c r="C187" i="3"/>
  <c r="I187" i="3"/>
  <c r="C186" i="3" l="1"/>
  <c r="I186" i="3"/>
  <c r="P186" i="3"/>
  <c r="C185" i="3"/>
  <c r="I185" i="3"/>
  <c r="N185" i="3"/>
  <c r="P185" i="3" s="1"/>
  <c r="C184" i="3"/>
  <c r="I184" i="3"/>
  <c r="P184" i="3"/>
  <c r="C183" i="3"/>
  <c r="I183" i="3"/>
  <c r="N183" i="3"/>
  <c r="P183" i="3" s="1"/>
  <c r="C182" i="3"/>
  <c r="I182" i="3"/>
  <c r="P182" i="3"/>
  <c r="C181" i="3"/>
  <c r="I181" i="3"/>
  <c r="P181" i="3"/>
  <c r="C180" i="3"/>
  <c r="I180" i="3"/>
  <c r="N180" i="3"/>
  <c r="P180" i="3" s="1"/>
  <c r="C179" i="3"/>
  <c r="I179" i="3"/>
  <c r="C178" i="3"/>
  <c r="I178" i="3"/>
  <c r="P178" i="3"/>
  <c r="J18" i="1" l="1"/>
  <c r="C177" i="3"/>
  <c r="I177" i="3"/>
  <c r="P177" i="3"/>
  <c r="C176" i="3"/>
  <c r="I176" i="3"/>
  <c r="N176" i="3"/>
  <c r="P176" i="3" s="1"/>
  <c r="C175" i="3"/>
  <c r="I175" i="3"/>
  <c r="N175" i="3"/>
  <c r="P175" i="3" s="1"/>
  <c r="C174" i="3"/>
  <c r="I174" i="3"/>
  <c r="N174" i="3"/>
  <c r="P174" i="3" s="1"/>
  <c r="C173" i="3"/>
  <c r="I173" i="3"/>
  <c r="N173" i="3"/>
  <c r="P173" i="3" s="1"/>
  <c r="C172" i="3"/>
  <c r="I172" i="3"/>
  <c r="N172" i="3"/>
  <c r="P172" i="3" s="1"/>
  <c r="I171" i="3"/>
  <c r="C171" i="3"/>
  <c r="N171" i="3"/>
  <c r="P171" i="3" s="1"/>
  <c r="C170" i="3"/>
  <c r="I170" i="3"/>
  <c r="P170" i="3"/>
  <c r="C169" i="3"/>
  <c r="I169" i="3"/>
  <c r="P169" i="3"/>
  <c r="C168" i="3"/>
  <c r="I168" i="3"/>
  <c r="N168" i="3"/>
  <c r="P168" i="3" s="1"/>
  <c r="C167" i="3"/>
  <c r="I167" i="3"/>
  <c r="N167" i="3"/>
  <c r="P167" i="3" s="1"/>
  <c r="C166" i="3" l="1"/>
  <c r="I166" i="3"/>
  <c r="N166" i="3"/>
  <c r="P166" i="3" s="1"/>
  <c r="C165" i="3" l="1"/>
  <c r="I165" i="3"/>
  <c r="P165" i="3"/>
  <c r="C164" i="3"/>
  <c r="I164" i="3"/>
  <c r="P164" i="3"/>
  <c r="C163" i="3"/>
  <c r="I163" i="3"/>
  <c r="P163" i="3"/>
  <c r="C162" i="3"/>
  <c r="I162" i="3"/>
  <c r="P162" i="3"/>
  <c r="C161" i="3"/>
  <c r="I161" i="3"/>
  <c r="P161" i="3"/>
  <c r="C160" i="3"/>
  <c r="I160" i="3"/>
  <c r="P160" i="3"/>
  <c r="C159" i="3"/>
  <c r="I159" i="3"/>
  <c r="N159" i="3"/>
  <c r="P159" i="3" s="1"/>
  <c r="C158" i="3"/>
  <c r="I158" i="3"/>
  <c r="N158" i="3"/>
  <c r="P158" i="3" s="1"/>
  <c r="P10" i="3"/>
  <c r="P13" i="3"/>
  <c r="P14" i="3"/>
  <c r="P16" i="3"/>
  <c r="P24" i="3"/>
  <c r="P25" i="3"/>
  <c r="P26" i="3"/>
  <c r="P30" i="3"/>
  <c r="P31" i="3"/>
  <c r="P32" i="3"/>
  <c r="P33" i="3"/>
  <c r="P34" i="3"/>
  <c r="P35" i="3"/>
  <c r="P36" i="3"/>
  <c r="P39" i="3"/>
  <c r="P41" i="3"/>
  <c r="P42" i="3"/>
  <c r="P44" i="3"/>
  <c r="P45" i="3"/>
  <c r="P56" i="3"/>
  <c r="P57" i="3"/>
  <c r="P62" i="3"/>
  <c r="P63" i="3"/>
  <c r="P65" i="3"/>
  <c r="P66" i="3"/>
  <c r="P67" i="3"/>
  <c r="P69" i="3"/>
  <c r="P70" i="3"/>
  <c r="P71" i="3"/>
  <c r="P74" i="3"/>
  <c r="P75" i="3"/>
  <c r="P76" i="3"/>
  <c r="P77" i="3"/>
  <c r="P82" i="3"/>
  <c r="P84" i="3"/>
  <c r="P85" i="3"/>
  <c r="P87" i="3"/>
  <c r="P88" i="3"/>
  <c r="P92" i="3"/>
  <c r="P93" i="3"/>
  <c r="P100" i="3"/>
  <c r="P104" i="3"/>
  <c r="P108" i="3"/>
  <c r="P110" i="3"/>
  <c r="P119" i="3"/>
  <c r="P120" i="3"/>
  <c r="P121" i="3"/>
  <c r="P122" i="3"/>
  <c r="P124" i="3"/>
  <c r="P125" i="3"/>
  <c r="P126" i="3"/>
  <c r="P127" i="3"/>
  <c r="P129" i="3"/>
  <c r="P130" i="3"/>
  <c r="P131" i="3"/>
  <c r="P132" i="3"/>
  <c r="P133" i="3"/>
  <c r="P134" i="3"/>
  <c r="P138" i="3"/>
  <c r="P139" i="3"/>
  <c r="P140" i="3"/>
  <c r="P141" i="3"/>
  <c r="P142" i="3"/>
  <c r="P143" i="3"/>
  <c r="P146" i="3"/>
  <c r="C157" i="3"/>
  <c r="I157" i="3"/>
  <c r="N157" i="3"/>
  <c r="P157" i="3" s="1"/>
  <c r="C156" i="3"/>
  <c r="I156" i="3"/>
  <c r="N156" i="3"/>
  <c r="P156" i="3" s="1"/>
  <c r="C155" i="3"/>
  <c r="I155" i="3"/>
  <c r="N155" i="3"/>
  <c r="P155" i="3" s="1"/>
  <c r="C154" i="3"/>
  <c r="I154" i="3"/>
  <c r="N154" i="3"/>
  <c r="P154" i="3" s="1"/>
  <c r="C153" i="3" l="1"/>
  <c r="I153" i="3"/>
  <c r="N153" i="3"/>
  <c r="P153" i="3" s="1"/>
  <c r="C152" i="3"/>
  <c r="I152" i="3"/>
  <c r="N152" i="3"/>
  <c r="P152" i="3" s="1"/>
  <c r="C151" i="3"/>
  <c r="I151" i="3"/>
  <c r="N151" i="3"/>
  <c r="P151" i="3" s="1"/>
  <c r="C150" i="3"/>
  <c r="I150" i="3"/>
  <c r="N150" i="3"/>
  <c r="P150" i="3" s="1"/>
  <c r="C149" i="3"/>
  <c r="I149" i="3"/>
  <c r="N149" i="3"/>
  <c r="P149" i="3" s="1"/>
  <c r="C148" i="3"/>
  <c r="I148" i="3"/>
  <c r="N148" i="3"/>
  <c r="P148" i="3" s="1"/>
  <c r="C147" i="3"/>
  <c r="I147" i="3"/>
  <c r="N147" i="3"/>
  <c r="P147" i="3" s="1"/>
  <c r="M4" i="3" l="1"/>
  <c r="C146" i="3"/>
  <c r="I146" i="3"/>
  <c r="C145" i="3"/>
  <c r="I145" i="3"/>
  <c r="N145" i="3"/>
  <c r="P145" i="3" s="1"/>
  <c r="C144" i="3"/>
  <c r="I144" i="3"/>
  <c r="N144" i="3"/>
  <c r="P144" i="3" s="1"/>
  <c r="C143" i="3"/>
  <c r="I143" i="3"/>
  <c r="C142" i="3"/>
  <c r="I142" i="3"/>
  <c r="C141" i="3" l="1"/>
  <c r="I141" i="3"/>
  <c r="C140" i="3"/>
  <c r="I140" i="3"/>
  <c r="C139" i="3"/>
  <c r="I139" i="3"/>
  <c r="C138" i="3"/>
  <c r="I138" i="3"/>
  <c r="I137" i="3"/>
  <c r="C137" i="3"/>
  <c r="N137" i="3"/>
  <c r="P137" i="3" s="1"/>
  <c r="C136" i="3"/>
  <c r="I136" i="3"/>
  <c r="N136" i="3"/>
  <c r="P136" i="3" s="1"/>
  <c r="C135" i="3"/>
  <c r="I135" i="3"/>
  <c r="N135" i="3"/>
  <c r="P135" i="3" s="1"/>
  <c r="C134" i="3" l="1"/>
  <c r="I134" i="3"/>
  <c r="C133" i="3"/>
  <c r="I133" i="3"/>
  <c r="C132" i="3"/>
  <c r="I132" i="3"/>
  <c r="C131" i="3"/>
  <c r="I131" i="3"/>
  <c r="C130" i="3" l="1"/>
  <c r="I130" i="3"/>
  <c r="C129" i="3"/>
  <c r="I129" i="3"/>
  <c r="C128" i="3"/>
  <c r="I128" i="3"/>
  <c r="N128" i="3"/>
  <c r="P128" i="3" s="1"/>
  <c r="C127" i="3"/>
  <c r="I127" i="3"/>
  <c r="C126" i="3"/>
  <c r="I126" i="3"/>
  <c r="C125" i="3"/>
  <c r="I125" i="3"/>
  <c r="C124" i="3"/>
  <c r="I124" i="3"/>
  <c r="C123" i="3"/>
  <c r="I123" i="3"/>
  <c r="N123" i="3"/>
  <c r="P123" i="3" s="1"/>
  <c r="C122" i="3"/>
  <c r="I122" i="3"/>
  <c r="C121" i="3"/>
  <c r="I121" i="3"/>
  <c r="C120" i="3"/>
  <c r="I120" i="3"/>
  <c r="C119" i="3"/>
  <c r="I119" i="3"/>
  <c r="C118" i="3" l="1"/>
  <c r="I118" i="3"/>
  <c r="N118" i="3"/>
  <c r="P118" i="3" s="1"/>
  <c r="N15" i="3"/>
  <c r="P15" i="3" s="1"/>
  <c r="C12" i="1" l="1"/>
  <c r="C10" i="1" l="1"/>
  <c r="C9" i="1"/>
  <c r="K7" i="1"/>
  <c r="C8" i="1"/>
  <c r="C7" i="1"/>
  <c r="I114" i="3" l="1"/>
  <c r="I115" i="3"/>
  <c r="I116" i="3"/>
  <c r="I117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12" i="3"/>
  <c r="I13" i="3"/>
  <c r="I14" i="3"/>
  <c r="I15" i="3"/>
  <c r="I16" i="3"/>
  <c r="I17" i="3"/>
  <c r="I18" i="3"/>
  <c r="I19" i="3"/>
  <c r="I20" i="3"/>
  <c r="I8" i="3"/>
  <c r="I9" i="3"/>
  <c r="I10" i="3"/>
  <c r="I11" i="3"/>
  <c r="C117" i="3" l="1"/>
  <c r="N117" i="3"/>
  <c r="P117" i="3" s="1"/>
  <c r="C116" i="3"/>
  <c r="N116" i="3"/>
  <c r="P116" i="3" s="1"/>
  <c r="C115" i="3"/>
  <c r="N115" i="3"/>
  <c r="P115" i="3" s="1"/>
  <c r="C114" i="3"/>
  <c r="N114" i="3"/>
  <c r="P114" i="3" s="1"/>
  <c r="C113" i="3"/>
  <c r="N113" i="3"/>
  <c r="P113" i="3" s="1"/>
  <c r="C112" i="3"/>
  <c r="N112" i="3"/>
  <c r="P112" i="3" s="1"/>
  <c r="C111" i="3"/>
  <c r="N111" i="3"/>
  <c r="P111" i="3" s="1"/>
  <c r="C110" i="3"/>
  <c r="C109" i="3"/>
  <c r="N109" i="3"/>
  <c r="P109" i="3" s="1"/>
  <c r="C108" i="3"/>
  <c r="C107" i="3"/>
  <c r="N107" i="3"/>
  <c r="P107" i="3" s="1"/>
  <c r="C106" i="3" l="1"/>
  <c r="N106" i="3"/>
  <c r="P106" i="3" s="1"/>
  <c r="C105" i="3"/>
  <c r="N105" i="3"/>
  <c r="P105" i="3" s="1"/>
  <c r="C104" i="3"/>
  <c r="C103" i="3" l="1"/>
  <c r="N103" i="3"/>
  <c r="P103" i="3" s="1"/>
  <c r="C102" i="3"/>
  <c r="N102" i="3"/>
  <c r="P102" i="3" s="1"/>
  <c r="C101" i="3"/>
  <c r="N101" i="3"/>
  <c r="P101" i="3" s="1"/>
  <c r="C100" i="3"/>
  <c r="C99" i="3"/>
  <c r="N99" i="3"/>
  <c r="P99" i="3" s="1"/>
  <c r="C98" i="3"/>
  <c r="N98" i="3"/>
  <c r="P98" i="3" s="1"/>
  <c r="C97" i="3"/>
  <c r="N97" i="3"/>
  <c r="P97" i="3" s="1"/>
  <c r="C96" i="3"/>
  <c r="N96" i="3"/>
  <c r="P96" i="3" s="1"/>
  <c r="C95" i="3"/>
  <c r="N95" i="3"/>
  <c r="P95" i="3" s="1"/>
  <c r="C94" i="3"/>
  <c r="N94" i="3"/>
  <c r="P94" i="3" s="1"/>
  <c r="C93" i="3"/>
  <c r="C92" i="3"/>
  <c r="C91" i="3"/>
  <c r="N91" i="3"/>
  <c r="P91" i="3" s="1"/>
  <c r="C90" i="3"/>
  <c r="N90" i="3"/>
  <c r="P90" i="3" s="1"/>
  <c r="C89" i="3"/>
  <c r="N89" i="3"/>
  <c r="P89" i="3" s="1"/>
  <c r="C88" i="3"/>
  <c r="C87" i="3"/>
  <c r="C86" i="3"/>
  <c r="C76" i="3" l="1"/>
  <c r="N86" i="3"/>
  <c r="P86" i="3" s="1"/>
  <c r="C48" i="3"/>
  <c r="N48" i="3"/>
  <c r="P48" i="3" s="1"/>
  <c r="C44" i="3"/>
  <c r="C73" i="3" l="1"/>
  <c r="C85" i="3"/>
  <c r="N73" i="3"/>
  <c r="P73" i="3" s="1"/>
  <c r="C72" i="3"/>
  <c r="N72" i="3"/>
  <c r="P72" i="3" s="1"/>
  <c r="C81" i="3"/>
  <c r="N81" i="3"/>
  <c r="P81" i="3" s="1"/>
  <c r="C66" i="3"/>
  <c r="C57" i="3"/>
  <c r="C63" i="3" l="1"/>
  <c r="C34" i="3"/>
  <c r="C35" i="3"/>
  <c r="C82" i="3"/>
  <c r="C69" i="3"/>
  <c r="C70" i="3"/>
  <c r="C65" i="3"/>
  <c r="C10" i="3"/>
  <c r="C74" i="3"/>
  <c r="C68" i="3"/>
  <c r="N68" i="3"/>
  <c r="P68" i="3" s="1"/>
  <c r="C75" i="3"/>
  <c r="C80" i="3"/>
  <c r="N80" i="3"/>
  <c r="P80" i="3" s="1"/>
  <c r="C58" i="3"/>
  <c r="N58" i="3"/>
  <c r="P58" i="3" s="1"/>
  <c r="C78" i="3"/>
  <c r="N78" i="3"/>
  <c r="P78" i="3" s="1"/>
  <c r="C60" i="3"/>
  <c r="N60" i="3"/>
  <c r="P60" i="3" s="1"/>
  <c r="C59" i="3"/>
  <c r="N59" i="3"/>
  <c r="P59" i="3" s="1"/>
  <c r="C79" i="3" l="1"/>
  <c r="N79" i="3"/>
  <c r="P79" i="3" s="1"/>
  <c r="C64" i="3"/>
  <c r="N64" i="3"/>
  <c r="P64" i="3" s="1"/>
  <c r="C47" i="3"/>
  <c r="N47" i="3"/>
  <c r="P47" i="3" s="1"/>
  <c r="C46" i="3"/>
  <c r="N46" i="3"/>
  <c r="P46" i="3" s="1"/>
  <c r="C13" i="3"/>
  <c r="C84" i="3" l="1"/>
  <c r="C62" i="3"/>
  <c r="C36" i="3"/>
  <c r="C77" i="3"/>
  <c r="C29" i="3" l="1"/>
  <c r="N29" i="3"/>
  <c r="P29" i="3" s="1"/>
  <c r="C27" i="3"/>
  <c r="N27" i="3"/>
  <c r="P27" i="3" s="1"/>
  <c r="C61" i="3"/>
  <c r="N61" i="3"/>
  <c r="P61" i="3" s="1"/>
  <c r="C49" i="3" l="1"/>
  <c r="C51" i="3"/>
  <c r="C71" i="3" l="1"/>
  <c r="C55" i="3"/>
  <c r="N55" i="3"/>
  <c r="P55" i="3" s="1"/>
  <c r="J12" i="1" s="1"/>
  <c r="C23" i="3"/>
  <c r="N23" i="3"/>
  <c r="P23" i="3" s="1"/>
  <c r="C41" i="3"/>
  <c r="C33" i="3"/>
  <c r="N22" i="3" l="1"/>
  <c r="P22" i="3" s="1"/>
  <c r="C22" i="3"/>
  <c r="C28" i="3"/>
  <c r="N28" i="3"/>
  <c r="P28" i="3" s="1"/>
  <c r="C38" i="3"/>
  <c r="N38" i="3"/>
  <c r="P38" i="3" s="1"/>
  <c r="C37" i="3"/>
  <c r="N37" i="3"/>
  <c r="P37" i="3" s="1"/>
  <c r="C43" i="3"/>
  <c r="N43" i="3"/>
  <c r="P43" i="3" s="1"/>
  <c r="C40" i="3"/>
  <c r="N40" i="3"/>
  <c r="P40" i="3" s="1"/>
  <c r="C45" i="3"/>
  <c r="C39" i="3"/>
  <c r="C67" i="3"/>
  <c r="C42" i="3"/>
  <c r="C56" i="3"/>
  <c r="C32" i="3"/>
  <c r="C31" i="3"/>
  <c r="C30" i="3"/>
  <c r="C26" i="3"/>
  <c r="C54" i="3"/>
  <c r="N54" i="3"/>
  <c r="P54" i="3" s="1"/>
  <c r="C53" i="3"/>
  <c r="N53" i="3"/>
  <c r="P53" i="3" s="1"/>
  <c r="C52" i="3"/>
  <c r="N52" i="3"/>
  <c r="P52" i="3" s="1"/>
  <c r="C50" i="3"/>
  <c r="N50" i="3"/>
  <c r="P50" i="3" s="1"/>
  <c r="C25" i="3" l="1"/>
  <c r="C19" i="3"/>
  <c r="C18" i="3"/>
  <c r="N9" i="3"/>
  <c r="P9" i="3" s="1"/>
  <c r="C7" i="3"/>
  <c r="C8" i="3"/>
  <c r="C83" i="3"/>
  <c r="C11" i="3"/>
  <c r="C12" i="3"/>
  <c r="C14" i="3"/>
  <c r="C20" i="3"/>
  <c r="C15" i="3"/>
  <c r="C21" i="3"/>
  <c r="C24" i="3"/>
  <c r="C16" i="3"/>
  <c r="C9" i="3"/>
  <c r="C17" i="3"/>
  <c r="I7" i="3"/>
  <c r="N7" i="3"/>
  <c r="P7" i="3" s="1"/>
  <c r="N8" i="3"/>
  <c r="P8" i="3" s="1"/>
  <c r="N83" i="3"/>
  <c r="P83" i="3" s="1"/>
  <c r="J10" i="1" s="1"/>
  <c r="N11" i="3"/>
  <c r="P11" i="3" s="1"/>
  <c r="N12" i="3"/>
  <c r="P12" i="3" s="1"/>
  <c r="N20" i="3"/>
  <c r="P20" i="3" s="1"/>
  <c r="N21" i="3"/>
  <c r="P21" i="3" s="1"/>
  <c r="N17" i="3"/>
  <c r="P17" i="3" s="1"/>
  <c r="N18" i="3"/>
  <c r="P18" i="3" s="1"/>
  <c r="N19" i="3"/>
  <c r="P19" i="3" s="1"/>
  <c r="N51" i="3"/>
  <c r="P51" i="3" s="1"/>
  <c r="N49" i="3"/>
  <c r="P49" i="3" s="1"/>
  <c r="J14" i="1" l="1"/>
  <c r="J16" i="1"/>
  <c r="J8" i="1"/>
  <c r="P4" i="3"/>
  <c r="J43" i="1" l="1"/>
  <c r="K8" i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A46" i="2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K43" i="1" l="1"/>
  <c r="K47" i="1" s="1"/>
</calcChain>
</file>

<file path=xl/connections.xml><?xml version="1.0" encoding="utf-8"?>
<connections xmlns="http://schemas.openxmlformats.org/spreadsheetml/2006/main">
  <connection id="1" keepAlive="1" name="ThisWorkbookDataModel" description="Modelo de datos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kardex.xlsx!INGRESOS" type="102" refreshedVersion="5" minRefreshableVersion="5">
    <extLst>
      <ext xmlns:x15="http://schemas.microsoft.com/office/spreadsheetml/2010/11/main" uri="{DE250136-89BD-433C-8126-D09CA5730AF9}">
        <x15:connection id="INGRESOS-fe395b89-1a4b-4e69-8379-5305834ad41f" autoDelete="1">
          <x15:rangePr sourceName="_xlcn.WorksheetConnection_kardex.xlsxINGRESOS1"/>
        </x15:connection>
      </ext>
    </extLst>
  </connection>
  <connection id="3" name="WorksheetConnection_kardex.xlsx!SALIDAS" type="102" refreshedVersion="5" minRefreshableVersion="5">
    <extLst>
      <ext xmlns:x15="http://schemas.microsoft.com/office/spreadsheetml/2010/11/main" uri="{DE250136-89BD-433C-8126-D09CA5730AF9}">
        <x15:connection id="SALIDAS-b4267a08-120f-494f-a6e8-1c28252081a0" autoDelete="1">
          <x15:rangePr sourceName="_xlcn.WorksheetConnection_kardex.xlsxSALIDAS1"/>
        </x15:connection>
      </ext>
    </extLst>
  </connection>
</connections>
</file>

<file path=xl/sharedStrings.xml><?xml version="1.0" encoding="utf-8"?>
<sst xmlns="http://schemas.openxmlformats.org/spreadsheetml/2006/main" count="2830" uniqueCount="947">
  <si>
    <t>DESCRIPCION</t>
  </si>
  <si>
    <t>SALIDA</t>
  </si>
  <si>
    <t>S</t>
  </si>
  <si>
    <t>FECHA</t>
  </si>
  <si>
    <t>CANTIDAD</t>
  </si>
  <si>
    <t>SALIDAS</t>
  </si>
  <si>
    <t>TABLAS</t>
  </si>
  <si>
    <t>TABLA 01 -TIPO DE OPERACIÓN</t>
  </si>
  <si>
    <t>I</t>
  </si>
  <si>
    <t>INGRESO</t>
  </si>
  <si>
    <t>F</t>
  </si>
  <si>
    <t>FACTURA</t>
  </si>
  <si>
    <t>BV</t>
  </si>
  <si>
    <t>BOLETA DE VENTA</t>
  </si>
  <si>
    <t>ORIGEN</t>
  </si>
  <si>
    <t>TICKET FACTURA</t>
  </si>
  <si>
    <t>TF</t>
  </si>
  <si>
    <t>ORDEN DE COMPRA</t>
  </si>
  <si>
    <t>ORDEN DE TRABAJO</t>
  </si>
  <si>
    <t>OC</t>
  </si>
  <si>
    <t>OT</t>
  </si>
  <si>
    <t>TABLA 02 -ORIGEN</t>
  </si>
  <si>
    <t>Unidad</t>
  </si>
  <si>
    <t>TABLA 03 -TIPO DE DOCUMENTO</t>
  </si>
  <si>
    <t>TABLA 04 -TIPO DE UNIDAD</t>
  </si>
  <si>
    <t>Und.</t>
  </si>
  <si>
    <t>Kg.</t>
  </si>
  <si>
    <t>Tn.</t>
  </si>
  <si>
    <t>m.</t>
  </si>
  <si>
    <t>Pieza</t>
  </si>
  <si>
    <t>Pza.</t>
  </si>
  <si>
    <t>Unidades</t>
  </si>
  <si>
    <t>Kilos</t>
  </si>
  <si>
    <t>Toneladas</t>
  </si>
  <si>
    <t>Metro</t>
  </si>
  <si>
    <t>TIPO DE DOC</t>
  </si>
  <si>
    <t>CAJA</t>
  </si>
  <si>
    <t>COMPRA POR CAJA</t>
  </si>
  <si>
    <t>PTMO</t>
  </si>
  <si>
    <t>PRESTAMO</t>
  </si>
  <si>
    <t>TRASLADO ALMACENES PROPIOS</t>
  </si>
  <si>
    <t>TAP</t>
  </si>
  <si>
    <t>DEVOLUCION</t>
  </si>
  <si>
    <t>DEV</t>
  </si>
  <si>
    <t>CÓDIGO</t>
  </si>
  <si>
    <t>INGRESOS</t>
  </si>
  <si>
    <t>SALDOS</t>
  </si>
  <si>
    <t>MES</t>
  </si>
  <si>
    <t>N° DOC</t>
  </si>
  <si>
    <t>N° ORIGEN</t>
  </si>
  <si>
    <t>Acumulado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</si>
  <si>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</si>
  <si>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</si>
  <si>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</si>
  <si>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</si>
  <si>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</si>
  <si>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</si>
  <si>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</si>
  <si>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</si>
  <si>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</si>
  <si>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</si>
  <si>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</si>
  <si>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</si>
  <si>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m2</t>
  </si>
  <si>
    <t>m3</t>
  </si>
  <si>
    <t>Glb</t>
  </si>
  <si>
    <t>Global</t>
  </si>
  <si>
    <t>Metros Cuadrados</t>
  </si>
  <si>
    <t>Metros Cúbicos</t>
  </si>
  <si>
    <t>Total general</t>
  </si>
  <si>
    <t>Meses</t>
  </si>
  <si>
    <t>INT</t>
  </si>
  <si>
    <t>INTERNO (TRANSFORMACIONES)</t>
  </si>
  <si>
    <t>CENTRO DE COSTO</t>
  </si>
  <si>
    <t>IGV</t>
  </si>
  <si>
    <t>PRECIO DE VENTA</t>
  </si>
  <si>
    <t>T. DE GASTO</t>
  </si>
  <si>
    <t>N° CAJA</t>
  </si>
  <si>
    <t>MATERIALES AUXILIARES</t>
  </si>
  <si>
    <t>SUMINISTROS</t>
  </si>
  <si>
    <t>COMBUSTIBLES</t>
  </si>
  <si>
    <t>LUBRICANTES</t>
  </si>
  <si>
    <t>ENERGÍA</t>
  </si>
  <si>
    <t>OTROS SUMINISTROS</t>
  </si>
  <si>
    <t>REPUESTOS</t>
  </si>
  <si>
    <t>MATERIALES DIRECTOS</t>
  </si>
  <si>
    <t>ENVASES Y EMBALAJES</t>
  </si>
  <si>
    <t>FLETES</t>
  </si>
  <si>
    <t>EQUIPO DE TRANSPORTE</t>
  </si>
  <si>
    <t>MUEBLES Y ENSERES</t>
  </si>
  <si>
    <t>EQUIPOS DIVERSOS</t>
  </si>
  <si>
    <t>HERRAMIENTAS Y UNIDADES DE REEMPLAZO</t>
  </si>
  <si>
    <t>ATENCIÓN AL PERSONAL</t>
  </si>
  <si>
    <t>ALOJAMIENTO</t>
  </si>
  <si>
    <t>ALIMENTACIÓN</t>
  </si>
  <si>
    <t xml:space="preserve">OTROS GASTOS DE VIAJE </t>
  </si>
  <si>
    <t>PRODUCCIÓN ENCARGADA A TERCEROS</t>
  </si>
  <si>
    <t>OTROS GASTOS DE GESTIÓN</t>
  </si>
  <si>
    <t>SEGUROS</t>
  </si>
  <si>
    <t>SUSCRIPCIONES</t>
  </si>
  <si>
    <t>LICENCIAS Y DERECHOS DE VIGENCIA</t>
  </si>
  <si>
    <t>DONACIONES</t>
  </si>
  <si>
    <t>SANCIONES ADMINISTRATIVAS</t>
  </si>
  <si>
    <t>COSTO DIRECTO</t>
  </si>
  <si>
    <t>GASTOS DE PERSONAL</t>
  </si>
  <si>
    <t>TRANSPORTE DE CARGA</t>
  </si>
  <si>
    <t>TRANSPORTE DE PERSONAL</t>
  </si>
  <si>
    <t>ENVÍOS, CORREOS Y ENCOMIENDAS</t>
  </si>
  <si>
    <t>GASTOS PRESTADOS POR TERCEROS</t>
  </si>
  <si>
    <t>MANTENIMIENTO, REPARACIONES Y CALIBRACIONES</t>
  </si>
  <si>
    <t>ACTIVOS MENORES</t>
  </si>
  <si>
    <t>ASESORIA Y CONSULTORIA TECNICA</t>
  </si>
  <si>
    <t>ASESORIA Y SERVICIOS ADMINISTRATIVOS</t>
  </si>
  <si>
    <t>ASESORIA LEGAL</t>
  </si>
  <si>
    <t>ASESORIA MEDIOAMBIENTAL</t>
  </si>
  <si>
    <t>OTROS</t>
  </si>
  <si>
    <t>ALQUILER DE OFICINA</t>
  </si>
  <si>
    <t>ALQUILER DE ALMACEN</t>
  </si>
  <si>
    <t>ALQUILER DE EQUIPOS DIVERSOS MENORES</t>
  </si>
  <si>
    <t>ALQUILER DE UNIDADES DE TRANSPORTE</t>
  </si>
  <si>
    <t>SERVICIOS BASICOS - CELULARES</t>
  </si>
  <si>
    <t>SERVICIOS BASICOS - TELEFONO E INTERNET</t>
  </si>
  <si>
    <t>SERVICIOS BASICOS - AGUA</t>
  </si>
  <si>
    <t>SERVICIOS BASICOS - ENERGIA ELECTRICA</t>
  </si>
  <si>
    <t>PUBLICIDAD, PUBLICACIONES</t>
  </si>
  <si>
    <t>GASTOS DE REPRESENTACION</t>
  </si>
  <si>
    <t>MOVILIDADES INTERNAS</t>
  </si>
  <si>
    <t>OTROS SERVICIOS DE TERCEROS</t>
  </si>
  <si>
    <t>GASTOS FINANCIEROS</t>
  </si>
  <si>
    <t>ITF</t>
  </si>
  <si>
    <t>DIFERENCIA DE CAMBIO</t>
  </si>
  <si>
    <t>OTROS GASTOS BANCARIOS</t>
  </si>
  <si>
    <t>UTILES DE OFICINA</t>
  </si>
  <si>
    <t>GASTOS ADMINISTRATIVOS</t>
  </si>
  <si>
    <t>UTILES DE ASEO</t>
  </si>
  <si>
    <t>FE</t>
  </si>
  <si>
    <t>FACTURA ELECTRONICA</t>
  </si>
  <si>
    <t>HONORARIOS PROFESIONALES</t>
  </si>
  <si>
    <t>RRHH</t>
  </si>
  <si>
    <t>RC</t>
  </si>
  <si>
    <t>RECIBO DE CAJA</t>
  </si>
  <si>
    <t>PM</t>
  </si>
  <si>
    <t>PLANILLA DE MOVILIDAD</t>
  </si>
  <si>
    <t>DB</t>
  </si>
  <si>
    <t>DEPOSITO BANCARIO</t>
  </si>
  <si>
    <t>TB</t>
  </si>
  <si>
    <t>TRANSFERENCIA BANCARIA</t>
  </si>
  <si>
    <t>R</t>
  </si>
  <si>
    <t>RENDICION</t>
  </si>
  <si>
    <t>TABLA 05 -TIPO DE GASTO</t>
  </si>
  <si>
    <t>CC1</t>
  </si>
  <si>
    <t>CC2</t>
  </si>
  <si>
    <t>CC3</t>
  </si>
  <si>
    <t>CC10</t>
  </si>
  <si>
    <t>TABLA 05 -CENTRO DE COSTO</t>
  </si>
  <si>
    <t>OBRAS PRELIMINARES</t>
  </si>
  <si>
    <t>OBRAS PROVISIONALES</t>
  </si>
  <si>
    <t>MOVIMIENTO DE TIERRA</t>
  </si>
  <si>
    <t>GASTOS GENERALES</t>
  </si>
  <si>
    <t>T. CUENTA</t>
  </si>
  <si>
    <t>T. GASTO</t>
  </si>
  <si>
    <t>004-01-440421</t>
  </si>
  <si>
    <t>Reunión Angel Parimango</t>
  </si>
  <si>
    <t>F588-31310</t>
  </si>
  <si>
    <t>Cuadernos de Obra</t>
  </si>
  <si>
    <t>F009-41670</t>
  </si>
  <si>
    <t>Legalización de cuadernos</t>
  </si>
  <si>
    <t>GASTOS NOTARIALES Y DE REGISTRO</t>
  </si>
  <si>
    <t>001-755</t>
  </si>
  <si>
    <t>Servicio de movilidad Chiclayo - Lima - Piura - Piura</t>
  </si>
  <si>
    <t>MOV</t>
  </si>
  <si>
    <t>FFF1-4463</t>
  </si>
  <si>
    <t>Desayuno- Reunión en Piura</t>
  </si>
  <si>
    <t>1-1512</t>
  </si>
  <si>
    <t>Servicio de habitación</t>
  </si>
  <si>
    <t>COSTO</t>
  </si>
  <si>
    <t>CC4</t>
  </si>
  <si>
    <t>PROVEEDOR</t>
  </si>
  <si>
    <t>EGRESOS CAJA</t>
  </si>
  <si>
    <t>EP DE RESTAURANTES SAC</t>
  </si>
  <si>
    <t>TAI LOY SA</t>
  </si>
  <si>
    <t>NOTARIA RICARDO FERNANDINI BARREDA</t>
  </si>
  <si>
    <t>MOGOLLON FARFAN ROLANDO</t>
  </si>
  <si>
    <t>SNACK BAR EIR LTDA</t>
  </si>
  <si>
    <t xml:space="preserve">IBAÑEZ ZEÑA DIOMEDES </t>
  </si>
  <si>
    <t>F2-44805</t>
  </si>
  <si>
    <t>Tanqueo camioneta alquilada</t>
  </si>
  <si>
    <t>COMBUSTIBLES - ALQUILERES</t>
  </si>
  <si>
    <t>ESTACION DE SERVICIO Y GASOCENTRO MIRAFLORES SCRL</t>
  </si>
  <si>
    <t>Alquiler de camioneta y serv conductor</t>
  </si>
  <si>
    <t>ESTACION DE SERVICIOS SAN JOSE SAC</t>
  </si>
  <si>
    <t>BVE</t>
  </si>
  <si>
    <t>116-2-2794850</t>
  </si>
  <si>
    <t>Ingreso al Aeropuerto - Vuelo Liber</t>
  </si>
  <si>
    <t>PEAJES Y ESTACIONAMIENTOS</t>
  </si>
  <si>
    <t>AEROPUERTOS DEL PERU SA</t>
  </si>
  <si>
    <t>E1-152</t>
  </si>
  <si>
    <t>Impresiones cartas y uso internet</t>
  </si>
  <si>
    <t>COPIAS, IMPRESIONES Y PLOTEOS</t>
  </si>
  <si>
    <t>GEOCOPY EIRL</t>
  </si>
  <si>
    <t>1-11</t>
  </si>
  <si>
    <t>Alimentación Chofer Alquiler camioneta</t>
  </si>
  <si>
    <t>VELASQUEZ CORDOVA JORDAN LIDER</t>
  </si>
  <si>
    <t>2-8325</t>
  </si>
  <si>
    <t xml:space="preserve">Alimentación Chofer Alquiler camioneta y personal </t>
  </si>
  <si>
    <t>AGUILAR VASQUEZ ISIDRO</t>
  </si>
  <si>
    <t>1-114</t>
  </si>
  <si>
    <t>Sello residente</t>
  </si>
  <si>
    <t>BENITES AGURTO ERICK ROMMEL</t>
  </si>
  <si>
    <t>1-5623</t>
  </si>
  <si>
    <t>Serv. Movilidad en Piura - Región - Aeropuerto y otros</t>
  </si>
  <si>
    <t>CAMACHO ALZAMORA DIONICIO</t>
  </si>
  <si>
    <t>FB01-204768</t>
  </si>
  <si>
    <t>Peaje alq. Camioneta a Huarmaca</t>
  </si>
  <si>
    <t>FC01-105362</t>
  </si>
  <si>
    <t>1-1520</t>
  </si>
  <si>
    <t>Alojamiento chofer alq. Camioneta</t>
  </si>
  <si>
    <t>CONCESIONARIA IIRSA NORTE SA</t>
  </si>
  <si>
    <t>NEGOCIOS E INVERSIONES F.CHANG EIRL</t>
  </si>
  <si>
    <t>TURISMO CIVA SAC</t>
  </si>
  <si>
    <t>RAMOS MILIAN ROSSY LISSETH</t>
  </si>
  <si>
    <t>TRANSPORTES CRUZ DEL SUR SAC</t>
  </si>
  <si>
    <t>EMPRESA DE TRANSPORTES TURISMO SALLIQUE SRL</t>
  </si>
  <si>
    <t>TURISMO SEÑOR DE LA HUMILDAD SRL</t>
  </si>
  <si>
    <t>EMPRESA DE TRANSPORTES COCOTURS EIRL</t>
  </si>
  <si>
    <t>CHUQUIPOMA CHINCHAY ELSA</t>
  </si>
  <si>
    <t>CAYLU IMPORT SRL</t>
  </si>
  <si>
    <t>LAS DOS JARRAS EIRL</t>
  </si>
  <si>
    <t>SEGURIDAD</t>
  </si>
  <si>
    <t>F021-00005765</t>
  </si>
  <si>
    <t>Utiles de oficina</t>
  </si>
  <si>
    <t>F021-00005766</t>
  </si>
  <si>
    <t>F021-00005768</t>
  </si>
  <si>
    <t>F021-00005767</t>
  </si>
  <si>
    <t>F021-00005770</t>
  </si>
  <si>
    <t>F021-00005769</t>
  </si>
  <si>
    <t>380-191184</t>
  </si>
  <si>
    <t>001-002283</t>
  </si>
  <si>
    <t>Serv. Alimentacion y Movilizacion</t>
  </si>
  <si>
    <t>F003-00196328</t>
  </si>
  <si>
    <t>Serv. Movilidad Lima - Chiclayo</t>
  </si>
  <si>
    <t>003-000294</t>
  </si>
  <si>
    <t>Serv. Movilidad Chiclayo - Hualapampa</t>
  </si>
  <si>
    <t>0001-001446</t>
  </si>
  <si>
    <t>Impresiones, copias, internet</t>
  </si>
  <si>
    <t>0001-001535</t>
  </si>
  <si>
    <t>001-0043658</t>
  </si>
  <si>
    <t>Serv. Movilidad Chiclayo - Huarmaca</t>
  </si>
  <si>
    <t>0001-0046191</t>
  </si>
  <si>
    <t>Serv. Movilidad Piura - Huarmaca</t>
  </si>
  <si>
    <t>0001-001458</t>
  </si>
  <si>
    <t>Plastico film</t>
  </si>
  <si>
    <t>0001-004616</t>
  </si>
  <si>
    <t>Elaboracion de sellos</t>
  </si>
  <si>
    <t>F021-00005708</t>
  </si>
  <si>
    <t>0001-001329</t>
  </si>
  <si>
    <t>Cemento, Yeso</t>
  </si>
  <si>
    <t>0003-001171</t>
  </si>
  <si>
    <t>F101-082086</t>
  </si>
  <si>
    <t>Almoh Shiny</t>
  </si>
  <si>
    <t>0001-001317</t>
  </si>
  <si>
    <t>Guante de Jebe</t>
  </si>
  <si>
    <t>F973-00010914</t>
  </si>
  <si>
    <t>Utiles de aseo</t>
  </si>
  <si>
    <t>001-0001669</t>
  </si>
  <si>
    <t>Duplicado de llaves</t>
  </si>
  <si>
    <t>00001-001267</t>
  </si>
  <si>
    <t>Kit de limpieza para computadora</t>
  </si>
  <si>
    <t>F001-00000524</t>
  </si>
  <si>
    <t>Alimentacion</t>
  </si>
  <si>
    <t>F002-5</t>
  </si>
  <si>
    <t>Serv. Movilidad Iquitos-Lima-Piura-Huarmaca</t>
  </si>
  <si>
    <t>0001-000501</t>
  </si>
  <si>
    <t>Bota de jebe</t>
  </si>
  <si>
    <t>Printy Trodat</t>
  </si>
  <si>
    <t>Banner</t>
  </si>
  <si>
    <t>F008-00002043</t>
  </si>
  <si>
    <t>F008-00002008</t>
  </si>
  <si>
    <t>F008-00002013</t>
  </si>
  <si>
    <t>Alquiler de camioneta y serv conductor - Combustible</t>
  </si>
  <si>
    <t>Alquiler de camioneta y serv conductor - Exceso de Kilometraje</t>
  </si>
  <si>
    <t>E001-202</t>
  </si>
  <si>
    <t>Serv. Prestado en tramite de documentacion</t>
  </si>
  <si>
    <t>PAIVA MEJIA DORIS AZUCENA FIORELLA</t>
  </si>
  <si>
    <t>000-01</t>
  </si>
  <si>
    <t>Motorizado de claro entregar celulares of.</t>
  </si>
  <si>
    <t>000-02</t>
  </si>
  <si>
    <t>Gastos bancarios fondo fijo</t>
  </si>
  <si>
    <t>E001-10</t>
  </si>
  <si>
    <t>SERVICIO DE TAXI</t>
  </si>
  <si>
    <t>VILLANUEVA SAYAVERDE ERICK ABSALON</t>
  </si>
  <si>
    <t>FC01-109586</t>
  </si>
  <si>
    <t>FB01-213648</t>
  </si>
  <si>
    <t>001-000194</t>
  </si>
  <si>
    <t>ALQUILER DE HABITACION</t>
  </si>
  <si>
    <t>CARRASCO HUANCAS CARMEN ESTELA</t>
  </si>
  <si>
    <t>RANZ SAC</t>
  </si>
  <si>
    <t>0001-000725</t>
  </si>
  <si>
    <t>0001-000718</t>
  </si>
  <si>
    <t>0001-000726</t>
  </si>
  <si>
    <t>EPP'S VARIOS</t>
  </si>
  <si>
    <t xml:space="preserve">MATERIALES VARIOS </t>
  </si>
  <si>
    <t>E001-12</t>
  </si>
  <si>
    <t>CONSTRUCCION DE MURO PARA MEDIDOR</t>
  </si>
  <si>
    <t>LABRIN CUSTODIO EDWAR</t>
  </si>
  <si>
    <t>F001-00000239</t>
  </si>
  <si>
    <t>JIA WEI INVERSIONES SAC</t>
  </si>
  <si>
    <t>0001-0046275</t>
  </si>
  <si>
    <t>0001-0046094</t>
  </si>
  <si>
    <t>0001-001279</t>
  </si>
  <si>
    <t>0001-002713</t>
  </si>
  <si>
    <t>GASOLINA</t>
  </si>
  <si>
    <t>CARRASCO TORRES HORTENCIO</t>
  </si>
  <si>
    <t>0001-002714</t>
  </si>
  <si>
    <t>0001-000124</t>
  </si>
  <si>
    <t>ZEÑA CARRASCO GERMAN</t>
  </si>
  <si>
    <t>0001-000121</t>
  </si>
  <si>
    <t>0001-000122</t>
  </si>
  <si>
    <t>0001-007868</t>
  </si>
  <si>
    <t>Sobres</t>
  </si>
  <si>
    <t>0001-021272</t>
  </si>
  <si>
    <t>Copias</t>
  </si>
  <si>
    <t>0002-000224</t>
  </si>
  <si>
    <t>CHUQUIPOMA VASQUEZ EDWIN</t>
  </si>
  <si>
    <t>0001-001205</t>
  </si>
  <si>
    <t>INSTALACION DE INTERNET OFICINA STAFF</t>
  </si>
  <si>
    <t>F002-7</t>
  </si>
  <si>
    <t>RECOJO DE EQUIPOS DE COMPUTO LIMA - HUARMACA</t>
  </si>
  <si>
    <t>E001-29</t>
  </si>
  <si>
    <t>SERVICIOS ADMINISTRATIVOS</t>
  </si>
  <si>
    <t>0001-000730</t>
  </si>
  <si>
    <t>BORAZINO SALAZAR JORGE RAFAEL</t>
  </si>
  <si>
    <t xml:space="preserve">SANTOS CARRION ANDRES ALADINO </t>
  </si>
  <si>
    <t>CHIROQUE YARLEQUE HAYDEE</t>
  </si>
  <si>
    <t>CRUZ RIVERA DAVID</t>
  </si>
  <si>
    <t xml:space="preserve">YOVERA UGAZ MARIA DE LOS ANGELES </t>
  </si>
  <si>
    <t xml:space="preserve">ADRIANZEN HUANCAS JORGE ALFREDO </t>
  </si>
  <si>
    <t xml:space="preserve">VALDIVIEZO TRUJILLO PERCY ARTURO </t>
  </si>
  <si>
    <t>ROMERO QUISPE RAMIRO</t>
  </si>
  <si>
    <t>PEREZ MANCHAY ROSA AMELIA</t>
  </si>
  <si>
    <t>HUAMAN LIZANA SEDINA</t>
  </si>
  <si>
    <t xml:space="preserve">VALVERDE SILVA VERONICA </t>
  </si>
  <si>
    <t xml:space="preserve">ALVAREZ PEREZ WILFREDO </t>
  </si>
  <si>
    <t xml:space="preserve">REINTEGRO DE PASAJE </t>
  </si>
  <si>
    <t>EMPRESA DE TRANSPORTE Y TURISMO SULLANA EXPREES SAC</t>
  </si>
  <si>
    <t>F102-0000185</t>
  </si>
  <si>
    <t>F575-0004420</t>
  </si>
  <si>
    <t>ARCHIVADOR PLASTIFICADO A4</t>
  </si>
  <si>
    <t>MEGA UTILES Y SUMISTROS SAC</t>
  </si>
  <si>
    <t>0001-000729</t>
  </si>
  <si>
    <t>0001-000731</t>
  </si>
  <si>
    <t>SERVICE JACKSON SRL</t>
  </si>
  <si>
    <t>1-7878</t>
  </si>
  <si>
    <t>Envio de Sobres</t>
  </si>
  <si>
    <t>Envio de Cajas</t>
  </si>
  <si>
    <t>1-10633</t>
  </si>
  <si>
    <t>Impresiones y Escaneos de Cartas Notariales</t>
  </si>
  <si>
    <t>FC02-104968</t>
  </si>
  <si>
    <t>HERRERA ESTRADA ELIEZER</t>
  </si>
  <si>
    <t>F022-46402</t>
  </si>
  <si>
    <t>FB02-205821</t>
  </si>
  <si>
    <t>1-1242</t>
  </si>
  <si>
    <t>FLORES IMAN HENRY JONATHAN</t>
  </si>
  <si>
    <t>2-8326</t>
  </si>
  <si>
    <t>FC02-109164</t>
  </si>
  <si>
    <t>FB02-214775</t>
  </si>
  <si>
    <t>F006-21457</t>
  </si>
  <si>
    <t>TRANSPORTES EL PINO SAC</t>
  </si>
  <si>
    <t>F022-46632</t>
  </si>
  <si>
    <t>F022-47089</t>
  </si>
  <si>
    <t>2-218</t>
  </si>
  <si>
    <t xml:space="preserve">Formatos de papeletas de amonestacion </t>
  </si>
  <si>
    <t>Muestras para Concreto</t>
  </si>
  <si>
    <t>TALLEDO SILVA SHAIN BORIS</t>
  </si>
  <si>
    <t>2-219</t>
  </si>
  <si>
    <t>Sellos  Varios</t>
  </si>
  <si>
    <t>F279-25674</t>
  </si>
  <si>
    <t>Materiales electricos</t>
  </si>
  <si>
    <t>TIENDAS DE MEJORAMIENTO DEL HOGAR SA</t>
  </si>
  <si>
    <t>FA06-309704</t>
  </si>
  <si>
    <t>Winchas Stanley</t>
  </si>
  <si>
    <t>HOMECENTER PERUANOS SA</t>
  </si>
  <si>
    <t>1-7921</t>
  </si>
  <si>
    <t>Envios Paquetes + Sobres</t>
  </si>
  <si>
    <t>E001-3937</t>
  </si>
  <si>
    <t>Cartas Notariales</t>
  </si>
  <si>
    <t>RAMIREZ DE VASQUEZ AMARILIS</t>
  </si>
  <si>
    <t>E001-4870</t>
  </si>
  <si>
    <t>SIEL ELECTRIC SRL</t>
  </si>
  <si>
    <t>2-214</t>
  </si>
  <si>
    <t>Formatos de AST impresos</t>
  </si>
  <si>
    <t>.</t>
  </si>
  <si>
    <t>E001-158</t>
  </si>
  <si>
    <t>2-224</t>
  </si>
  <si>
    <t>Formatos de Seguridad</t>
  </si>
  <si>
    <t>F002-14</t>
  </si>
  <si>
    <t>E001-232</t>
  </si>
  <si>
    <t>Servicio de Taxi - Lima</t>
  </si>
  <si>
    <t>BORRERO VIANA JESUS ISRAEL</t>
  </si>
  <si>
    <t>F007-687</t>
  </si>
  <si>
    <t>Certificados de Habilidad</t>
  </si>
  <si>
    <t>COLEGIO DE INGENIEROS DEL PERU</t>
  </si>
  <si>
    <t>E001-222</t>
  </si>
  <si>
    <t>LUQUE JOYA JUAN FERNANDO</t>
  </si>
  <si>
    <t>1-4475</t>
  </si>
  <si>
    <t>Servicio de Alojamiento</t>
  </si>
  <si>
    <t>HOSTAL BOLOGNESI SAC</t>
  </si>
  <si>
    <t>1-710</t>
  </si>
  <si>
    <t>Alimentos Varios</t>
  </si>
  <si>
    <t>CHINCHAY HUAMAN GLADYS</t>
  </si>
  <si>
    <t>Menaje</t>
  </si>
  <si>
    <t>1-709</t>
  </si>
  <si>
    <t>1-711</t>
  </si>
  <si>
    <t>F844-2354</t>
  </si>
  <si>
    <t>1-4686</t>
  </si>
  <si>
    <t>Carbones para Rotomartillos Bosch</t>
  </si>
  <si>
    <t>ORTIZ RAMIREZ JORGE ANIBAL</t>
  </si>
  <si>
    <t>F706-2643</t>
  </si>
  <si>
    <t>Caja de Herramientas</t>
  </si>
  <si>
    <t>RESUMEN POR CENTRO DE COSTO</t>
  </si>
  <si>
    <t>C. TOTAL</t>
  </si>
  <si>
    <t xml:space="preserve">Tablero Eléctrico </t>
  </si>
  <si>
    <t>MATERIALES DE ALBAÑILERIA</t>
  </si>
  <si>
    <t>MATERIALES DE ENCOFRADO</t>
  </si>
  <si>
    <t>MATERIALES DE FIERRERIA</t>
  </si>
  <si>
    <t>MATERIALES ELECTRICOS</t>
  </si>
  <si>
    <t>MATERIALES SANITARIOS</t>
  </si>
  <si>
    <t>EGRESOS</t>
  </si>
  <si>
    <t>TIPO</t>
  </si>
  <si>
    <t>OPERACIÓN</t>
  </si>
  <si>
    <t>DESCRIPCIÓN</t>
  </si>
  <si>
    <t>DEP</t>
  </si>
  <si>
    <t>S10</t>
  </si>
  <si>
    <t>APERTURA DE FONDO FIJO</t>
  </si>
  <si>
    <t>RENDICIÓN DE FONDO</t>
  </si>
  <si>
    <t>REINTEGRO C001</t>
  </si>
  <si>
    <t>MOVIMIENTO DE FONDO ROTATORIO</t>
  </si>
  <si>
    <t>CENTRO DE COSTOS</t>
  </si>
  <si>
    <t>% TOTAL</t>
  </si>
  <si>
    <t>TIPO DE CUENTA</t>
  </si>
  <si>
    <t>RESUMEN CENTRO DE COSTO</t>
  </si>
  <si>
    <t>COSTO T</t>
  </si>
  <si>
    <t>F025-52184</t>
  </si>
  <si>
    <t>HIPERMERCADOS TOTTUS SA</t>
  </si>
  <si>
    <t>caja1</t>
  </si>
  <si>
    <t>caja2</t>
  </si>
  <si>
    <t>1-722</t>
  </si>
  <si>
    <t xml:space="preserve">Materiales Varios </t>
  </si>
  <si>
    <t>2-1</t>
  </si>
  <si>
    <t>Alquiler de Local</t>
  </si>
  <si>
    <t>ADRIANZEN IRRAZABAL MANUEL</t>
  </si>
  <si>
    <t>1-122</t>
  </si>
  <si>
    <t>Mantto. Generador Electrico</t>
  </si>
  <si>
    <t>HUANCAS BOCANEGRA JHONATAN ALEX</t>
  </si>
  <si>
    <t>0-2</t>
  </si>
  <si>
    <t>Devolucion de Pago de Sobre</t>
  </si>
  <si>
    <t>0-5</t>
  </si>
  <si>
    <t>Cd's para instalacion de PC'S</t>
  </si>
  <si>
    <t xml:space="preserve">ROBERTO GOMEZ </t>
  </si>
  <si>
    <t>1-1953</t>
  </si>
  <si>
    <t>Alojamiento</t>
  </si>
  <si>
    <t>EMPRESA SOL Y MAR SRL</t>
  </si>
  <si>
    <t>E001-159</t>
  </si>
  <si>
    <t>Servicio de Diseño de Mezcla para Concreto</t>
  </si>
  <si>
    <t>Planilla de gastos por movilidad</t>
  </si>
  <si>
    <t>VILA GARRIDO RICARDO</t>
  </si>
  <si>
    <t>Parrillas Familiares</t>
  </si>
  <si>
    <t>E001-30</t>
  </si>
  <si>
    <t>Servicios Administrativos y Documentarios en Piura</t>
  </si>
  <si>
    <t>0-3</t>
  </si>
  <si>
    <t>Recarga de Internet a Celular Claro</t>
  </si>
  <si>
    <t>E001-4915</t>
  </si>
  <si>
    <t>Cable Autoportante 2x25+16+NA25 MM2</t>
  </si>
  <si>
    <t>Reparacion de Moto Tipo Furgoneta</t>
  </si>
  <si>
    <t>WONG DELGADO JORGE RICARDO</t>
  </si>
  <si>
    <t>Caja3</t>
  </si>
  <si>
    <t>0-1</t>
  </si>
  <si>
    <t>SANTISTEBA VARGAS PILAR</t>
  </si>
  <si>
    <t>Global (s10)</t>
  </si>
  <si>
    <t>1-127</t>
  </si>
  <si>
    <t>Alquiler de Computadora 3 dias</t>
  </si>
  <si>
    <t>1-126</t>
  </si>
  <si>
    <t>Utiles de Oficina Varios</t>
  </si>
  <si>
    <t>1-139990</t>
  </si>
  <si>
    <t>Pasaje Jaen-Chiclayo</t>
  </si>
  <si>
    <t>EL CRUCERO DE JAEN SAC</t>
  </si>
  <si>
    <t>E001-17939</t>
  </si>
  <si>
    <t>Servicio de Taxi SJL-Aeropuerto</t>
  </si>
  <si>
    <t>PROACCION EMPRESARIAL SAC</t>
  </si>
  <si>
    <t>F002-15</t>
  </si>
  <si>
    <t>Movilizacion y Transporte de Agrgados para Ensayos de Huarmaca a Piura</t>
  </si>
  <si>
    <t>F002-17</t>
  </si>
  <si>
    <t>Muebles y Enseres</t>
  </si>
  <si>
    <t>F825-00000158</t>
  </si>
  <si>
    <t>Papel Auto Adhesivo para Seguriad</t>
  </si>
  <si>
    <t>CONTINENTAL SAC</t>
  </si>
  <si>
    <t>001-001408</t>
  </si>
  <si>
    <t>Servicio de Taxi Aeropuerto - Jaen</t>
  </si>
  <si>
    <t>0001-000134</t>
  </si>
  <si>
    <t>Servicio de Copias, impresiones, ploteos</t>
  </si>
  <si>
    <t>TENORIO MESONES CHRISTIAN ENRIQUE</t>
  </si>
  <si>
    <t>BACA BERRIO WILLIAM</t>
  </si>
  <si>
    <t>0002-003700</t>
  </si>
  <si>
    <t>Utiles de Oficina</t>
  </si>
  <si>
    <t>001-007750</t>
  </si>
  <si>
    <t>Traslado de Personal Tecnico a Chiclayo a Huarmaca</t>
  </si>
  <si>
    <t>F998-15229</t>
  </si>
  <si>
    <t>HUB 04 Puertos USB</t>
  </si>
  <si>
    <t>RASH PERU SAC</t>
  </si>
  <si>
    <t>0001-000133</t>
  </si>
  <si>
    <t>VELA CARRASCO CASINALDO</t>
  </si>
  <si>
    <t>LAMADRIDRID TORRES FRIDA</t>
  </si>
  <si>
    <t>FSP1-00001545</t>
  </si>
  <si>
    <t>Servicio de Estacionamiento</t>
  </si>
  <si>
    <t>LOS PORTALES ESTACIONAMIENTO OPERADORA SA</t>
  </si>
  <si>
    <t>F510-000014782</t>
  </si>
  <si>
    <t>LAN PERU SAC</t>
  </si>
  <si>
    <t>Servicio de Envio de Encomienda</t>
  </si>
  <si>
    <t>F002-366</t>
  </si>
  <si>
    <t>Compra de toner HF CF226A</t>
  </si>
  <si>
    <t>RED HARDWARE Y OFFICE SRL</t>
  </si>
  <si>
    <t>F575-0005341</t>
  </si>
  <si>
    <t>F575-0005340</t>
  </si>
  <si>
    <t>Archivador Plastificado Oficio</t>
  </si>
  <si>
    <t>Achivador Plastificado A4</t>
  </si>
  <si>
    <t>F001-00000304</t>
  </si>
  <si>
    <t>Cuaderno Stanford</t>
  </si>
  <si>
    <t>UNIVERSAL SAC</t>
  </si>
  <si>
    <t>F021-00006762</t>
  </si>
  <si>
    <t>Papel Foto copia A3</t>
  </si>
  <si>
    <t>F021-00006760</t>
  </si>
  <si>
    <t>E001-1759</t>
  </si>
  <si>
    <t>Servicio de Alojamiento del 25 al 26 de Febrero</t>
  </si>
  <si>
    <t>INVERSIONES VILLA SANTA EIRL</t>
  </si>
  <si>
    <t>F639-00004152</t>
  </si>
  <si>
    <t>T001-0664016742</t>
  </si>
  <si>
    <t>Linea de celulares Claro</t>
  </si>
  <si>
    <t>INAFECTO</t>
  </si>
  <si>
    <t>AMERICA MOVIL PERU  SAC</t>
  </si>
  <si>
    <t>E001-4981</t>
  </si>
  <si>
    <t>E001-1</t>
  </si>
  <si>
    <t>Servicio de internet</t>
  </si>
  <si>
    <t>INVERSIOBES RAYSE SAC</t>
  </si>
  <si>
    <t>0001-008043</t>
  </si>
  <si>
    <t>Envio de Paquetes + Sobres</t>
  </si>
  <si>
    <t>0001-008007</t>
  </si>
  <si>
    <t>0001-007952</t>
  </si>
  <si>
    <t>Encvio de Paquetes +Sobres</t>
  </si>
  <si>
    <t>E00-13</t>
  </si>
  <si>
    <t>Construccion de Muro para Tablero</t>
  </si>
  <si>
    <t>Servicio de Conexión y Cableado Electrico en Oficina</t>
  </si>
  <si>
    <t>006-PSV</t>
  </si>
  <si>
    <t>Comisiones Bancarias ITF en Cuenta</t>
  </si>
  <si>
    <t>F002-24</t>
  </si>
  <si>
    <t>F009-00001863</t>
  </si>
  <si>
    <t>Alquiler de Camioneta y Servicio Conductor-Exceso de Kilometraje</t>
  </si>
  <si>
    <t>F279-25676</t>
  </si>
  <si>
    <t>Materiales para Conexión Electrica en oficina</t>
  </si>
  <si>
    <t>F087-0008806</t>
  </si>
  <si>
    <t>TURISMO DIAS SA</t>
  </si>
  <si>
    <t>0009-056072</t>
  </si>
  <si>
    <t>F980-6710</t>
  </si>
  <si>
    <t>Reintegro - viaticos Juan Guerra</t>
  </si>
  <si>
    <t>Reintegro - viaticos Juan Guerra - Ing Campo</t>
  </si>
  <si>
    <t>Bota Dielectrica - Tec Electricista y Mantenimiento</t>
  </si>
  <si>
    <t>F980-6711</t>
  </si>
  <si>
    <t>Cascos para Personal Staff de Campo y Seguridad</t>
  </si>
  <si>
    <t>E001-5022</t>
  </si>
  <si>
    <t>E001-17</t>
  </si>
  <si>
    <t>Cancelacion Interruptores para Tablero Electrico</t>
  </si>
  <si>
    <t>Zapato Rimini Delta Plus 43 Richar Aparicio</t>
  </si>
  <si>
    <t>SMART Y SECURE SRL</t>
  </si>
  <si>
    <t>F002-25</t>
  </si>
  <si>
    <t>Escritorio para Oficina Obra</t>
  </si>
  <si>
    <t>F002-28</t>
  </si>
  <si>
    <t>001-PMR</t>
  </si>
  <si>
    <t>Reintegro Movilidad Pedro Huaraca</t>
  </si>
  <si>
    <t>HUARACA ROJAS PEDRO</t>
  </si>
  <si>
    <t>E001-18222</t>
  </si>
  <si>
    <t>Rintegro - viaticos Edinson Mares</t>
  </si>
  <si>
    <t>006-000542</t>
  </si>
  <si>
    <t>Reintegro - viaticos Edinson Mares</t>
  </si>
  <si>
    <t>EMPRESA DE TRANSPORTES DE SERVICIO ESPECIAL SEÑOR DE SIPAN S.A</t>
  </si>
  <si>
    <t>0002-010012</t>
  </si>
  <si>
    <t>HOSTAL RESIDENCIAL EL VIRREY SRL</t>
  </si>
  <si>
    <t>006-000541</t>
  </si>
  <si>
    <t>Reintegro - viaticos  Edinson Mares</t>
  </si>
  <si>
    <t>EMPRESA DE TRANSPORTE DE SERVICIO ESPECIAL SEÑOR DE SIPAN SA</t>
  </si>
  <si>
    <t>FE01-0022161</t>
  </si>
  <si>
    <t>F007-85810</t>
  </si>
  <si>
    <t>LINEA AMARILLA SAC</t>
  </si>
  <si>
    <t>001-005580</t>
  </si>
  <si>
    <t>SERVICOS MULTIPLES SEÑOR DE LA HUMILDAD</t>
  </si>
  <si>
    <t>F002-33</t>
  </si>
  <si>
    <t>E001-33</t>
  </si>
  <si>
    <t>Servicios prestados como operador de maquina excavadora</t>
  </si>
  <si>
    <t>NUÑEZ FLORES JOSE MANUEL</t>
  </si>
  <si>
    <t>0005-672348</t>
  </si>
  <si>
    <t>EMPRESA DE TRANSPORTE TURISMO ALVARADO EIRL</t>
  </si>
  <si>
    <t>001-044698</t>
  </si>
  <si>
    <t>Reintefro - viaticos Efrain Huaman Enriquez</t>
  </si>
  <si>
    <t>0020-356862</t>
  </si>
  <si>
    <t>Reintegro - viaticos Efrain Huaman</t>
  </si>
  <si>
    <t>TRANSPORTES LA PERLA DEL ALTO MAYO SA</t>
  </si>
  <si>
    <t>F002-39</t>
  </si>
  <si>
    <t>E001-161</t>
  </si>
  <si>
    <t xml:space="preserve">Pago de Diceño de Mezcla para Concreto </t>
  </si>
  <si>
    <t>001-EHE</t>
  </si>
  <si>
    <t>EFRAIN HUAMAN ENRIQUEZ</t>
  </si>
  <si>
    <t>F002-38</t>
  </si>
  <si>
    <t>Traslado de Lima a Huarmaca ( incluye recojo y entrega a domicilio)</t>
  </si>
  <si>
    <t>0001-000068</t>
  </si>
  <si>
    <t>Alimentacion al Personal</t>
  </si>
  <si>
    <t>QUEREVALU RUIZ JULIANA GREGORIA</t>
  </si>
  <si>
    <t>0001-000069</t>
  </si>
  <si>
    <t>q</t>
  </si>
  <si>
    <t>002-000004</t>
  </si>
  <si>
    <t>Alquiler de local</t>
  </si>
  <si>
    <t>ADRIANZEN IRRASABAL MANUEL</t>
  </si>
  <si>
    <t>F706-00005100</t>
  </si>
  <si>
    <t>Compra de cascos economicos</t>
  </si>
  <si>
    <t>0001-001314</t>
  </si>
  <si>
    <t>EMPRESA DE TRASNPORTES Y SERVICIOS MULTIPLES NUESTRA SEÑORA DEL CARMEN EIRL</t>
  </si>
  <si>
    <t>0001-003433</t>
  </si>
  <si>
    <t>Movilidad de traslado de cajas al terminal</t>
  </si>
  <si>
    <t>SERVICIO TURISTICO PIURA DEL ETERNO CALOR SCRL</t>
  </si>
  <si>
    <t>E001-32</t>
  </si>
  <si>
    <t>Gestion de documentaria y otros tramites</t>
  </si>
  <si>
    <t>BORASINO SALAZAR JORGE RAFAEL</t>
  </si>
  <si>
    <t>001-007764</t>
  </si>
  <si>
    <t>F022-00049532</t>
  </si>
  <si>
    <t>Encomiendas</t>
  </si>
  <si>
    <t>0002-003832</t>
  </si>
  <si>
    <t>VELA SAONA CASINALDO</t>
  </si>
  <si>
    <t>002-000781</t>
  </si>
  <si>
    <t>Servicio de taxi del areropuerto a San Martin de Porres</t>
  </si>
  <si>
    <t>K.G.R.M SAC</t>
  </si>
  <si>
    <t>FB02-260368</t>
  </si>
  <si>
    <t xml:space="preserve">Servicio de peaje </t>
  </si>
  <si>
    <t>FC02-131918</t>
  </si>
  <si>
    <t>F132-00004191</t>
  </si>
  <si>
    <t>INVERSIONES DT1 SAC</t>
  </si>
  <si>
    <t>0002-000833</t>
  </si>
  <si>
    <t>Servicio de taxi de San Martin de Porres al Aeropuerto</t>
  </si>
  <si>
    <t>0001-024969</t>
  </si>
  <si>
    <t>Compra de pantallas led</t>
  </si>
  <si>
    <t>MILLASKY CHATEN MARIA ISABEL</t>
  </si>
  <si>
    <t>0001-0003133</t>
  </si>
  <si>
    <t xml:space="preserve">Alojamiento </t>
  </si>
  <si>
    <t>RUPAY VASQUEZ JUVENAL</t>
  </si>
  <si>
    <t>0001-0007754</t>
  </si>
  <si>
    <t>Envio de encomiendas</t>
  </si>
  <si>
    <t>002-008645</t>
  </si>
  <si>
    <t xml:space="preserve">Aimentacion </t>
  </si>
  <si>
    <t>AGUILAR VASQUEZ ISIDORO</t>
  </si>
  <si>
    <t>FC01-132994</t>
  </si>
  <si>
    <t>0001-001139</t>
  </si>
  <si>
    <t>HUAMAN AGUILERA REYNALDO</t>
  </si>
  <si>
    <t>413</t>
  </si>
  <si>
    <t>Traslado de personal tecnico de Chiclayo a Huarmaca</t>
  </si>
  <si>
    <t>E001-3225</t>
  </si>
  <si>
    <t>TURISMO LA CORUÑA EIRL</t>
  </si>
  <si>
    <t>FB01-260259</t>
  </si>
  <si>
    <t>0001-000738</t>
  </si>
  <si>
    <t>Utiles de asea</t>
  </si>
  <si>
    <t>001-000205</t>
  </si>
  <si>
    <t>0002-003715</t>
  </si>
  <si>
    <t>Utiles de oficna</t>
  </si>
  <si>
    <t>014-01932285</t>
  </si>
  <si>
    <t>Pago de luz</t>
  </si>
  <si>
    <t>EMPRESA REGIONAL DE SERVICIO PUBLICO DE ELECTRICIDAD DEL NORTE ELECTRONOESTE S.A</t>
  </si>
  <si>
    <t>E001-473</t>
  </si>
  <si>
    <t>INVERSIONES TURISTICAS R Y N SAC</t>
  </si>
  <si>
    <t>001-004358</t>
  </si>
  <si>
    <t>ZEÑA SANTOS ANDRES APOLINAR</t>
  </si>
  <si>
    <t>001-044939</t>
  </si>
  <si>
    <t>Alquiler de habitacion</t>
  </si>
  <si>
    <t>Reintegro de viaticos Ruel Nicomedes</t>
  </si>
  <si>
    <t>002-WBB</t>
  </si>
  <si>
    <t>Reintegro de viaticos William Baca</t>
  </si>
  <si>
    <t>001-RAT</t>
  </si>
  <si>
    <t>Reintegro de viaticos Richar Aparicio</t>
  </si>
  <si>
    <t>APARICIO TORRES Richard</t>
  </si>
  <si>
    <t>E001-162</t>
  </si>
  <si>
    <t>Pago por diseño de mescla para concreto con hormigon</t>
  </si>
  <si>
    <t>REINTEGRO C002</t>
  </si>
  <si>
    <t>REINTEGRO C003</t>
  </si>
  <si>
    <t>SANTISTEBAN VARGAS PILAR</t>
  </si>
  <si>
    <t>EMPRESA DE TRANSPORTES Y TURISMO TAXI VIP JAEN SAC</t>
  </si>
  <si>
    <t>REINTEGRO C004</t>
  </si>
  <si>
    <t>REINTEGRO C005</t>
  </si>
  <si>
    <t>REINTEGRO C007</t>
  </si>
  <si>
    <t>E001-3</t>
  </si>
  <si>
    <t>INVERSIONES RAYSE SAC</t>
  </si>
  <si>
    <t>F001-91</t>
  </si>
  <si>
    <t>CASA MUEBLES Y CONSTRUCCION EIRL</t>
  </si>
  <si>
    <t>F001-92</t>
  </si>
  <si>
    <t>F025-00055386</t>
  </si>
  <si>
    <t>E001-4</t>
  </si>
  <si>
    <t>FFF1-000228</t>
  </si>
  <si>
    <t>Compra de un alcoholimetro</t>
  </si>
  <si>
    <t>ARMOTEC CONTRATISTAS GENERALES SAC</t>
  </si>
  <si>
    <t>0004-000081</t>
  </si>
  <si>
    <t>ROMERO´S HOTELS SAC</t>
  </si>
  <si>
    <t>F121-0013435</t>
  </si>
  <si>
    <t>Servicio de cochera</t>
  </si>
  <si>
    <t>F003-0225</t>
  </si>
  <si>
    <t>CORPORACION PETRO GAS EIRL</t>
  </si>
  <si>
    <t>FC02-135357</t>
  </si>
  <si>
    <t>FC01-136395</t>
  </si>
  <si>
    <t>Combustible para la camioneta</t>
  </si>
  <si>
    <t>001-002175</t>
  </si>
  <si>
    <t xml:space="preserve">Compra de gasolina </t>
  </si>
  <si>
    <t>AGUILAR REYES MARIA ESPERANZA</t>
  </si>
  <si>
    <t>0001-001629</t>
  </si>
  <si>
    <t>Compra de gaseosas</t>
  </si>
  <si>
    <t>CARRASCO HUANCAS LUZ AMPARO</t>
  </si>
  <si>
    <t>E001-504</t>
  </si>
  <si>
    <t>Reintegro de movilidad Ricardo vila</t>
  </si>
  <si>
    <t>HUANUCO SOTELO EDGAR LENIN</t>
  </si>
  <si>
    <t>001-0049357</t>
  </si>
  <si>
    <t>Reintegro de viaticos Pedro Huaraca</t>
  </si>
  <si>
    <t>EMPRESA DE TRANSPORTES COCOTOURS EIRL</t>
  </si>
  <si>
    <t>E001-36</t>
  </si>
  <si>
    <t>Servicios como conductor de Huarmca- Piura</t>
  </si>
  <si>
    <t>E001-37</t>
  </si>
  <si>
    <t>Instalacion y configuracion de impresoras y antivirus</t>
  </si>
  <si>
    <t>002-PMR</t>
  </si>
  <si>
    <t>Reintegro de movildad Pedro H uaraca</t>
  </si>
  <si>
    <t>003-RVG</t>
  </si>
  <si>
    <t>Servicios de desetiva de acero del 09 y 10 de abril</t>
  </si>
  <si>
    <t>FA48-00002118</t>
  </si>
  <si>
    <t>Reintegro de viaticos Christian Tenorio Mesones</t>
  </si>
  <si>
    <t>001-CHETM</t>
  </si>
  <si>
    <t>Reintegro de viaticos Juan Guerra</t>
  </si>
  <si>
    <t>GUERRA VILLANUEVA JUAN</t>
  </si>
  <si>
    <t>001-JGV</t>
  </si>
  <si>
    <t>544-2194998843</t>
  </si>
  <si>
    <t>LAN PERU SA</t>
  </si>
  <si>
    <t>F002-47</t>
  </si>
  <si>
    <t>Reintegro de viaticos Manuel rimapa</t>
  </si>
  <si>
    <t>001-AAG</t>
  </si>
  <si>
    <t>Reintegro de viaticos Arturo Apaza</t>
  </si>
  <si>
    <t>APAZA GONZALES ARTURO</t>
  </si>
  <si>
    <t>F025-00056146</t>
  </si>
  <si>
    <t>F025-00056025</t>
  </si>
  <si>
    <t>F022-00051326</t>
  </si>
  <si>
    <t>F006-00023529</t>
  </si>
  <si>
    <t>F010-0056203</t>
  </si>
  <si>
    <t>0002-000399</t>
  </si>
  <si>
    <t>confeccion de sello y reparacion sello</t>
  </si>
  <si>
    <t>CORREA TINEO RONAL  MIGDALI</t>
  </si>
  <si>
    <t>F597-00010495</t>
  </si>
  <si>
    <t>F021-00007861</t>
  </si>
  <si>
    <t>F021-00007860</t>
  </si>
  <si>
    <t>0001-006665</t>
  </si>
  <si>
    <t>Alojamienro</t>
  </si>
  <si>
    <t>CEVALLOS LOPEZ LUIS ALONSO</t>
  </si>
  <si>
    <t>FB01-273518</t>
  </si>
  <si>
    <t>FB2-273337</t>
  </si>
  <si>
    <t>FC01-139676</t>
  </si>
  <si>
    <t>fc02-138428</t>
  </si>
  <si>
    <t>0003-002042</t>
  </si>
  <si>
    <t>HUACHILLO DE GUERRERO MARIA ISIDORA</t>
  </si>
  <si>
    <t>F001-00000852</t>
  </si>
  <si>
    <t>Mantenimiento de la camioneta</t>
  </si>
  <si>
    <t>VIDRIERIA PIURA</t>
  </si>
  <si>
    <t>F011-00008016</t>
  </si>
  <si>
    <t>ESTACION DE SERVICIOS ALVARADO ISRL</t>
  </si>
  <si>
    <t>F576-0023753</t>
  </si>
  <si>
    <t>Cuaderno de obra</t>
  </si>
  <si>
    <t>TAI LOY S.A</t>
  </si>
  <si>
    <t>FA06-00247375</t>
  </si>
  <si>
    <t>Compra de winchas</t>
  </si>
  <si>
    <t>HOMECENTERS PERUANOS S.A</t>
  </si>
  <si>
    <t>E001-26</t>
  </si>
  <si>
    <t>PRODUCTOS Y NEGOCIOS HIDALGO EIRL</t>
  </si>
  <si>
    <t>001-000103</t>
  </si>
  <si>
    <t>Alquiler de alcantarilladel mes de marzo</t>
  </si>
  <si>
    <t>RODRIGUES RIVERO WILFREDO</t>
  </si>
  <si>
    <t>0002-000282</t>
  </si>
  <si>
    <t>formato de salida de almacen</t>
  </si>
  <si>
    <t>F597-0010555</t>
  </si>
  <si>
    <t>Compra de mouse</t>
  </si>
  <si>
    <t>0001-003954</t>
  </si>
  <si>
    <t>Servicio de alquiler de camioneta hilux 4x4</t>
  </si>
  <si>
    <t>MULTISERVICIOS W.F.M. E.I.R.L</t>
  </si>
  <si>
    <t>Compra de calamina</t>
  </si>
  <si>
    <t>CORREA TINEO ROMULO</t>
  </si>
  <si>
    <t>0001-002351</t>
  </si>
  <si>
    <t>E001-72</t>
  </si>
  <si>
    <t>Servicio de conductor Huarmaca -Chiclayo</t>
  </si>
  <si>
    <t>RODRIGUEZ RIVEROS WILFREDO</t>
  </si>
  <si>
    <t>T001-0682949356</t>
  </si>
  <si>
    <t>Servicio de linea de celulares</t>
  </si>
  <si>
    <t>F025-0056465</t>
  </si>
  <si>
    <t>0002-000815</t>
  </si>
  <si>
    <t>YAJAHUANCA HUAMAN JHOMAR</t>
  </si>
  <si>
    <t>01-SAV</t>
  </si>
  <si>
    <t>Reintegro de viasticos - Silos Rodrigo</t>
  </si>
  <si>
    <t>AGUADO VALENZUELO SILOS RODRIGO</t>
  </si>
  <si>
    <t>E001-5</t>
  </si>
  <si>
    <t>Servicio de internet alambrico - ofocina abril</t>
  </si>
  <si>
    <t>Servicio de internet alambrico - hogar,personal staff abril</t>
  </si>
  <si>
    <t>E001-6</t>
  </si>
  <si>
    <t>0001-002352</t>
  </si>
  <si>
    <t>014-01954806</t>
  </si>
  <si>
    <t>ELECTRICIDAD DEL NORTE ELECETRONOROESTE SA</t>
  </si>
  <si>
    <t>0001-006693</t>
  </si>
  <si>
    <t>FB02-279478</t>
  </si>
  <si>
    <t>FC02-141328</t>
  </si>
  <si>
    <t>F131-00004145</t>
  </si>
  <si>
    <t>0001-006697</t>
  </si>
  <si>
    <t>0001-000418</t>
  </si>
  <si>
    <t>Servicio de taxi Aeropuerto - San Martin de Porres</t>
  </si>
  <si>
    <t>COSSIO RAMOS GIOVANNA PATRICIA</t>
  </si>
  <si>
    <t>0001-004687</t>
  </si>
  <si>
    <t>Alimentacion al personal</t>
  </si>
  <si>
    <t>NUEVO CHIFA KAM MING EIRL</t>
  </si>
  <si>
    <t>F210-018172</t>
  </si>
  <si>
    <t>SHALOM EMPRESARIAL SAC</t>
  </si>
  <si>
    <t>0002-000411</t>
  </si>
  <si>
    <t>007-APSV</t>
  </si>
  <si>
    <t>Reintegro de viaticos - Pilar Santistevan Vargas</t>
  </si>
  <si>
    <t>SANTISTEVAN VARGAS ANDREITA PILAR</t>
  </si>
  <si>
    <t>F709-00004137</t>
  </si>
  <si>
    <t>GRUPO CLAVIJO SAC</t>
  </si>
  <si>
    <t>F001-00012362</t>
  </si>
  <si>
    <t>TERMINALOJO GRANDE</t>
  </si>
  <si>
    <t>F002-00048512</t>
  </si>
  <si>
    <t>FO00-00029305</t>
  </si>
  <si>
    <t>Materiales para obra</t>
  </si>
  <si>
    <t>DISTRIBUCIONES OLANO SAC</t>
  </si>
  <si>
    <t>F597-0010936</t>
  </si>
  <si>
    <t>Compra de sobres manila</t>
  </si>
  <si>
    <t>F001-00048822</t>
  </si>
  <si>
    <t>ESTACION DE SERVICIOS Y GASOCENTRO MIRAFLORES SCRL</t>
  </si>
  <si>
    <t>BTI</t>
  </si>
  <si>
    <t>BOLETO TRANSPORTE INTERPROVINCIAL</t>
  </si>
  <si>
    <t>BA</t>
  </si>
  <si>
    <t>BOLETO AEREO</t>
  </si>
  <si>
    <t>001-44358</t>
  </si>
  <si>
    <t>Reintegro de viáticos - Rodrigo Aguado</t>
  </si>
  <si>
    <t>002-14</t>
  </si>
  <si>
    <t>Alquiler local oficina Cuchupampa</t>
  </si>
  <si>
    <t>004-2477</t>
  </si>
  <si>
    <t>3</t>
  </si>
  <si>
    <t>Reintegro de Movilidad - Huaman Efrain</t>
  </si>
  <si>
    <t>HUAMAN ENRIQUEZ EFRAIN HUMBERTO</t>
  </si>
  <si>
    <t>4</t>
  </si>
  <si>
    <t>001-409498</t>
  </si>
  <si>
    <t>Reintegro de viáticos - Huaman Efrain</t>
  </si>
  <si>
    <t>FB01-278937</t>
  </si>
  <si>
    <t>Peaje - Traslado de Perito</t>
  </si>
  <si>
    <t>FB02-280187</t>
  </si>
  <si>
    <t>FC01-142479</t>
  </si>
  <si>
    <t>FC02-141687</t>
  </si>
  <si>
    <t>319</t>
  </si>
  <si>
    <t>Movildades varias</t>
  </si>
  <si>
    <t>FC01-142873</t>
  </si>
  <si>
    <t>FB01-279803</t>
  </si>
  <si>
    <t>001-29123</t>
  </si>
  <si>
    <t>Reintegro de viáticos - Ruel Mayuri</t>
  </si>
  <si>
    <t>001-29201</t>
  </si>
  <si>
    <t>002-23638</t>
  </si>
  <si>
    <t>EXPRESO ROJAS ROJITAS SAC</t>
  </si>
  <si>
    <t>002-1</t>
  </si>
  <si>
    <t>Mesas de ploter y planos</t>
  </si>
  <si>
    <t>TINEO TINEO ANDRES</t>
  </si>
  <si>
    <t>0001-7755</t>
  </si>
  <si>
    <t>002-15</t>
  </si>
  <si>
    <t>Alquiler Oficina Cuchupampa</t>
  </si>
  <si>
    <t>002-194</t>
  </si>
  <si>
    <t>002-159</t>
  </si>
  <si>
    <t>Impresión de 100 Reglamentos de Obra</t>
  </si>
  <si>
    <t>CORREA TINEO RONALD MIGDALI</t>
  </si>
  <si>
    <t>001-1406</t>
  </si>
  <si>
    <t>Usb para vigilancia</t>
  </si>
  <si>
    <t>F334-22006</t>
  </si>
  <si>
    <t>Riel y terminales - mat para tableros</t>
  </si>
  <si>
    <t>320</t>
  </si>
  <si>
    <t>Reintegro de Movilidades - Ruel Mayuri</t>
  </si>
  <si>
    <t>MAYURI PEREZ RUEL</t>
  </si>
  <si>
    <t>001-2928</t>
  </si>
  <si>
    <t>Reintegro - Ruel Mayuri</t>
  </si>
  <si>
    <t>RAMIREZ MANZANARES JESUS CLOTILDE</t>
  </si>
  <si>
    <t>E001-73</t>
  </si>
  <si>
    <t>Servicios de Condutor - Traslado de perito</t>
  </si>
  <si>
    <t>001-167</t>
  </si>
  <si>
    <t>Cinta reflectiva 3m</t>
  </si>
  <si>
    <t>MATERIALES EPP</t>
  </si>
  <si>
    <t>CHINCHAY HUANCAS CRISTIAN IBAN</t>
  </si>
  <si>
    <t>REINTEGRO C006</t>
  </si>
  <si>
    <t>REINTEGRO C008</t>
  </si>
  <si>
    <t>REINTEGRO C013</t>
  </si>
  <si>
    <t>REINTEGRO C012</t>
  </si>
  <si>
    <t>REINTEGRO C011</t>
  </si>
  <si>
    <t>REINTEGRO C010</t>
  </si>
  <si>
    <t>REINTEGRO C009</t>
  </si>
  <si>
    <t>BBVA</t>
  </si>
  <si>
    <t>APERTURA</t>
  </si>
  <si>
    <t>7</t>
  </si>
  <si>
    <t>E001-40</t>
  </si>
  <si>
    <t>Servicio de Gestión documentaria</t>
  </si>
  <si>
    <t>RECIBO CLARO MARZO</t>
  </si>
  <si>
    <t>003</t>
  </si>
  <si>
    <t>Reintegro de viaticos -christian tenorio</t>
  </si>
  <si>
    <t>544-2197697950</t>
  </si>
  <si>
    <t>Reintegro de viaticos  - Christian tenorio</t>
  </si>
  <si>
    <t>F022-00053033</t>
  </si>
  <si>
    <t>0001-001263</t>
  </si>
  <si>
    <t>Compra de extintores de 06 kilos</t>
  </si>
  <si>
    <t>EXTINTORES DEL NORTE SRL</t>
  </si>
  <si>
    <t>0002-000002</t>
  </si>
  <si>
    <t>Mesa de madera para comedor</t>
  </si>
  <si>
    <t>FF01-000289</t>
  </si>
  <si>
    <t>Viaticos para el chofer traslado del residente</t>
  </si>
  <si>
    <t>AGIP GAMONAL DENIX MAXIMILA</t>
  </si>
  <si>
    <t>0001-000008</t>
  </si>
  <si>
    <t>Compra de silvatos</t>
  </si>
  <si>
    <t>BARRANTES LLONTOP JAVIER</t>
  </si>
  <si>
    <t>FC02-145842</t>
  </si>
  <si>
    <t>Peaje</t>
  </si>
  <si>
    <t>FC01-147056</t>
  </si>
  <si>
    <t>F277-00015488</t>
  </si>
  <si>
    <t>DE CONTINENTAL SAC</t>
  </si>
  <si>
    <t>F001-00000891</t>
  </si>
  <si>
    <t>Cinta reflextiva blanco y rojo</t>
  </si>
  <si>
    <t>DC- CAR AUTOBOUTIQUE SAC</t>
  </si>
  <si>
    <t>F002-59</t>
  </si>
  <si>
    <t>Reintegro de viaticos- Manuel Rimapa</t>
  </si>
  <si>
    <t>F002-58</t>
  </si>
  <si>
    <t>Traslado de personal tecnico chiclayo - huarmaca</t>
  </si>
  <si>
    <t>F002-57</t>
  </si>
  <si>
    <t>Traslado de extintores</t>
  </si>
  <si>
    <t>F022-00053453</t>
  </si>
  <si>
    <t>00-000105</t>
  </si>
  <si>
    <t>Alquiler de alcantarillas</t>
  </si>
  <si>
    <t>F001-00000734</t>
  </si>
  <si>
    <t>MANDRIL 1/2 PUL</t>
  </si>
  <si>
    <t>ROBERTO COTLEAR EIRL</t>
  </si>
  <si>
    <t>001 CPCE</t>
  </si>
  <si>
    <t>Reintegro de movilidad Carlos Palacios</t>
  </si>
  <si>
    <t>CALDERON PALACIOS CARLOS EDGARDO</t>
  </si>
  <si>
    <t>0001-001711</t>
  </si>
  <si>
    <t>009- APSV</t>
  </si>
  <si>
    <t>Reintegro de viaticos Andreita Pilar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</si>
</sst>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-&quot;S/&quot;* #,##0.00_-;\-&quot;S/&quot;* #,##0.00_-;_-&quot;S/&quot;* &quot;-&quot;??_-;_-@_-"/>
    <numFmt numFmtId="164" formatCode="00"/>
    <numFmt numFmtId="165" formatCode="\T\A0000"/>
    <numFmt numFmtId="166" formatCode="mmmm"/>
    <numFmt numFmtId="167" formatCode="_-[$S/-280A]* #,##0.00_-;\-[$S/-280A]* #,##0.00_-;_-[$S/-280A]* &quot;-&quot;??_-;_-@_-"/>
    <numFmt numFmtId="168" formatCode="\C000"/>
    <numFmt numFmtId="169" formatCode="ddd\ dd/mm/yyyy"/>
    <numFmt numFmtId="170" formatCode="&quot;S/&quot;#,##0.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  <scheme val="minor"/>
    </font>
    <font>
      <sz val="16"/>
      <color theme="1"/>
      <name val="Arial Black"/>
      <family val="2"/>
    </font>
    <font>
      <sz val="18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sz val="16"/>
      <color theme="0" tint="-0.34998626667073579"/>
      <name val="Franklin Gothic Demi Cond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indexed="8"/>
      <name val="Calibri"/>
    </font>
    <font>
      <sz val="11"/>
      <color theme="1"/>
      <name val="Calibri"/>
      <scheme val="minor"/>
    </font>
    <font>
      <b/>
      <sz val="10"/>
      <color indexed="8"/>
      <name val="Calibri"/>
    </font>
    <font>
      <sz val="1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003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9" fillId="0" borderId="0"/>
    <xf numFmtId="0" fontId="9" fillId="0" borderId="0"/>
  </cellStyleXfs>
  <cellXfs count="175">
    <xf numFmtId="0" fontId="0" fillId="0" borderId="0" xfId="0"/>
    <xf numFmtId="0" fontId="0" fillId="0" borderId="0" xfId="0" applyAlignment="1">
      <alignment horizontal="center"/>
    </xf>
    <xf numFmtId="164" fontId="4" fillId="0" borderId="0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Font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ill="1"/>
    <xf numFmtId="0" fontId="3" fillId="0" borderId="1" xfId="0" applyFont="1" applyFill="1" applyBorder="1" applyAlignment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Font="1" applyBorder="1" applyAlignment="1">
      <alignment horizontal="center"/>
    </xf>
    <xf numFmtId="165" fontId="0" fillId="5" borderId="5" xfId="0" applyNumberFormat="1" applyFill="1" applyBorder="1"/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7" xfId="0" applyFont="1" applyFill="1" applyBorder="1" applyAlignment="1"/>
    <xf numFmtId="0" fontId="6" fillId="0" borderId="0" xfId="0" applyFont="1"/>
    <xf numFmtId="0" fontId="2" fillId="2" borderId="5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/>
    <xf numFmtId="0" fontId="3" fillId="0" borderId="2" xfId="0" applyFont="1" applyFill="1" applyBorder="1" applyAlignment="1"/>
    <xf numFmtId="166" fontId="0" fillId="0" borderId="1" xfId="0" applyNumberFormat="1" applyBorder="1" applyAlignment="1">
      <alignment horizontal="center"/>
    </xf>
    <xf numFmtId="0" fontId="0" fillId="0" borderId="1" xfId="0" applyBorder="1" applyAlignment="1"/>
    <xf numFmtId="0" fontId="0" fillId="0" borderId="7" xfId="0" applyBorder="1" applyAlignment="1">
      <alignment horizontal="center"/>
    </xf>
    <xf numFmtId="0" fontId="4" fillId="0" borderId="2" xfId="0" applyNumberFormat="1" applyFont="1" applyFill="1" applyBorder="1" applyAlignment="1"/>
    <xf numFmtId="0" fontId="0" fillId="0" borderId="2" xfId="0" applyFill="1" applyBorder="1" applyAlignment="1">
      <alignment horizontal="center"/>
    </xf>
    <xf numFmtId="164" fontId="4" fillId="0" borderId="2" xfId="0" applyNumberFormat="1" applyFont="1" applyFill="1" applyBorder="1" applyAlignment="1">
      <alignment horizontal="center"/>
    </xf>
    <xf numFmtId="14" fontId="0" fillId="0" borderId="2" xfId="0" applyNumberFormat="1" applyFill="1" applyBorder="1"/>
    <xf numFmtId="166" fontId="0" fillId="0" borderId="2" xfId="0" applyNumberFormat="1" applyFill="1" applyBorder="1"/>
    <xf numFmtId="44" fontId="1" fillId="0" borderId="1" xfId="1" applyNumberFormat="1" applyFont="1" applyFill="1" applyBorder="1"/>
    <xf numFmtId="44" fontId="0" fillId="0" borderId="2" xfId="0" applyNumberFormat="1" applyFont="1" applyFill="1" applyBorder="1" applyAlignment="1">
      <alignment horizontal="center"/>
    </xf>
    <xf numFmtId="164" fontId="4" fillId="0" borderId="10" xfId="0" applyNumberFormat="1" applyFont="1" applyFill="1" applyBorder="1" applyAlignment="1">
      <alignment horizontal="center"/>
    </xf>
    <xf numFmtId="44" fontId="0" fillId="0" borderId="10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 indent="1"/>
    </xf>
    <xf numFmtId="44" fontId="1" fillId="0" borderId="9" xfId="1" applyNumberFormat="1" applyFont="1" applyFill="1" applyBorder="1"/>
    <xf numFmtId="0" fontId="0" fillId="0" borderId="0" xfId="0" applyBorder="1" applyAlignme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167" fontId="10" fillId="0" borderId="0" xfId="0" applyNumberFormat="1" applyFont="1"/>
    <xf numFmtId="166" fontId="0" fillId="0" borderId="3" xfId="0" applyNumberForma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5" fillId="0" borderId="0" xfId="3" applyFont="1" applyFill="1" applyBorder="1"/>
    <xf numFmtId="49" fontId="5" fillId="0" borderId="0" xfId="3" applyNumberFormat="1" applyFont="1" applyFill="1" applyBorder="1"/>
    <xf numFmtId="0" fontId="11" fillId="0" borderId="0" xfId="3" applyFont="1" applyFill="1" applyBorder="1"/>
    <xf numFmtId="0" fontId="0" fillId="0" borderId="11" xfId="0" applyBorder="1" applyAlignment="1">
      <alignment horizontal="center"/>
    </xf>
    <xf numFmtId="0" fontId="8" fillId="0" borderId="1" xfId="3" applyFont="1" applyFill="1" applyBorder="1" applyAlignment="1">
      <alignment horizontal="left" wrapText="1"/>
    </xf>
    <xf numFmtId="0" fontId="8" fillId="0" borderId="0" xfId="3" applyFont="1" applyFill="1" applyBorder="1" applyAlignment="1">
      <alignment horizontal="left" wrapText="1"/>
    </xf>
    <xf numFmtId="0" fontId="5" fillId="0" borderId="1" xfId="3" applyFont="1" applyFill="1" applyBorder="1"/>
    <xf numFmtId="168" fontId="4" fillId="0" borderId="2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/>
    </xf>
    <xf numFmtId="164" fontId="12" fillId="0" borderId="6" xfId="0" applyNumberFormat="1" applyFont="1" applyFill="1" applyBorder="1" applyAlignment="1">
      <alignment horizontal="center"/>
    </xf>
    <xf numFmtId="0" fontId="12" fillId="0" borderId="2" xfId="0" applyFont="1" applyFill="1" applyBorder="1" applyAlignment="1"/>
    <xf numFmtId="0" fontId="12" fillId="0" borderId="2" xfId="0" applyNumberFormat="1" applyFont="1" applyFill="1" applyBorder="1" applyAlignment="1"/>
    <xf numFmtId="164" fontId="12" fillId="0" borderId="2" xfId="0" applyNumberFormat="1" applyFont="1" applyFill="1" applyBorder="1" applyAlignment="1">
      <alignment horizontal="center"/>
    </xf>
    <xf numFmtId="44" fontId="13" fillId="0" borderId="10" xfId="0" applyNumberFormat="1" applyFont="1" applyFill="1" applyBorder="1" applyAlignment="1">
      <alignment horizontal="center"/>
    </xf>
    <xf numFmtId="0" fontId="14" fillId="0" borderId="2" xfId="0" applyFont="1" applyFill="1" applyBorder="1" applyAlignment="1"/>
    <xf numFmtId="0" fontId="15" fillId="0" borderId="2" xfId="0" applyFont="1" applyFill="1" applyBorder="1" applyAlignment="1"/>
    <xf numFmtId="14" fontId="5" fillId="0" borderId="2" xfId="0" applyNumberFormat="1" applyFont="1" applyFill="1" applyBorder="1"/>
    <xf numFmtId="14" fontId="0" fillId="0" borderId="2" xfId="0" applyNumberFormat="1" applyFill="1" applyBorder="1"/>
    <xf numFmtId="168" fontId="16" fillId="0" borderId="2" xfId="0" applyNumberFormat="1" applyFont="1" applyFill="1" applyBorder="1" applyAlignment="1">
      <alignment horizontal="center"/>
    </xf>
    <xf numFmtId="44" fontId="0" fillId="0" borderId="14" xfId="0" applyNumberFormat="1" applyFont="1" applyFill="1" applyBorder="1" applyAlignment="1">
      <alignment horizontal="center"/>
    </xf>
    <xf numFmtId="164" fontId="12" fillId="0" borderId="10" xfId="0" applyNumberFormat="1" applyFont="1" applyFill="1" applyBorder="1" applyAlignment="1">
      <alignment horizontal="center"/>
    </xf>
    <xf numFmtId="44" fontId="13" fillId="0" borderId="2" xfId="0" applyNumberFormat="1" applyFont="1" applyFill="1" applyBorder="1" applyAlignment="1">
      <alignment horizontal="center"/>
    </xf>
    <xf numFmtId="44" fontId="13" fillId="0" borderId="14" xfId="0" applyNumberFormat="1" applyFont="1" applyFill="1" applyBorder="1" applyAlignment="1">
      <alignment horizontal="center"/>
    </xf>
    <xf numFmtId="0" fontId="14" fillId="0" borderId="1" xfId="0" applyFont="1" applyFill="1" applyBorder="1" applyAlignment="1"/>
    <xf numFmtId="14" fontId="0" fillId="0" borderId="1" xfId="0" applyNumberFormat="1" applyFill="1" applyBorder="1"/>
    <xf numFmtId="166" fontId="0" fillId="0" borderId="1" xfId="0" applyNumberFormat="1" applyFill="1" applyBorder="1"/>
    <xf numFmtId="0" fontId="0" fillId="0" borderId="1" xfId="0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4" fillId="0" borderId="1" xfId="0" applyFont="1" applyFill="1" applyBorder="1" applyAlignment="1"/>
    <xf numFmtId="0" fontId="12" fillId="0" borderId="1" xfId="0" applyFont="1" applyFill="1" applyBorder="1" applyAlignment="1"/>
    <xf numFmtId="0" fontId="12" fillId="0" borderId="1" xfId="0" applyNumberFormat="1" applyFont="1" applyFill="1" applyBorder="1" applyAlignment="1"/>
    <xf numFmtId="4" fontId="0" fillId="0" borderId="0" xfId="0" applyNumberFormat="1"/>
    <xf numFmtId="14" fontId="5" fillId="0" borderId="1" xfId="0" applyNumberFormat="1" applyFont="1" applyFill="1" applyBorder="1"/>
    <xf numFmtId="0" fontId="4" fillId="0" borderId="1" xfId="0" applyNumberFormat="1" applyFont="1" applyFill="1" applyBorder="1" applyAlignment="1"/>
    <xf numFmtId="44" fontId="1" fillId="0" borderId="2" xfId="1" applyNumberFormat="1" applyFont="1" applyFill="1" applyBorder="1"/>
    <xf numFmtId="44" fontId="13" fillId="0" borderId="1" xfId="0" applyNumberFormat="1" applyFont="1" applyFill="1" applyBorder="1" applyAlignment="1">
      <alignment horizontal="center"/>
    </xf>
    <xf numFmtId="44" fontId="1" fillId="0" borderId="10" xfId="1" applyNumberFormat="1" applyFont="1" applyFill="1" applyBorder="1"/>
    <xf numFmtId="0" fontId="18" fillId="0" borderId="1" xfId="0" applyFont="1" applyFill="1" applyBorder="1" applyAlignment="1"/>
    <xf numFmtId="0" fontId="18" fillId="0" borderId="2" xfId="0" applyFont="1" applyFill="1" applyBorder="1" applyAlignment="1"/>
    <xf numFmtId="167" fontId="17" fillId="0" borderId="0" xfId="0" applyNumberFormat="1" applyFont="1"/>
    <xf numFmtId="0" fontId="12" fillId="0" borderId="3" xfId="0" applyFont="1" applyFill="1" applyBorder="1" applyAlignment="1"/>
    <xf numFmtId="166" fontId="5" fillId="0" borderId="2" xfId="0" applyNumberFormat="1" applyFont="1" applyFill="1" applyBorder="1"/>
    <xf numFmtId="0" fontId="5" fillId="0" borderId="2" xfId="0" applyFont="1" applyFill="1" applyBorder="1" applyAlignment="1">
      <alignment horizontal="center"/>
    </xf>
    <xf numFmtId="49" fontId="5" fillId="0" borderId="2" xfId="0" applyNumberFormat="1" applyFont="1" applyFill="1" applyBorder="1" applyAlignment="1">
      <alignment horizontal="center"/>
    </xf>
    <xf numFmtId="168" fontId="11" fillId="0" borderId="2" xfId="0" applyNumberFormat="1" applyFont="1" applyFill="1" applyBorder="1" applyAlignment="1">
      <alignment horizontal="center"/>
    </xf>
    <xf numFmtId="0" fontId="15" fillId="0" borderId="2" xfId="0" applyNumberFormat="1" applyFont="1" applyFill="1" applyBorder="1" applyAlignment="1"/>
    <xf numFmtId="164" fontId="15" fillId="0" borderId="10" xfId="0" applyNumberFormat="1" applyFont="1" applyFill="1" applyBorder="1" applyAlignment="1">
      <alignment horizontal="center"/>
    </xf>
    <xf numFmtId="44" fontId="5" fillId="0" borderId="2" xfId="0" applyNumberFormat="1" applyFont="1" applyFill="1" applyBorder="1" applyAlignment="1">
      <alignment horizontal="center"/>
    </xf>
    <xf numFmtId="44" fontId="5" fillId="0" borderId="14" xfId="0" applyNumberFormat="1" applyFont="1" applyFill="1" applyBorder="1" applyAlignment="1">
      <alignment horizontal="center"/>
    </xf>
    <xf numFmtId="168" fontId="15" fillId="0" borderId="2" xfId="0" applyNumberFormat="1" applyFont="1" applyFill="1" applyBorder="1" applyAlignment="1">
      <alignment horizontal="center"/>
    </xf>
    <xf numFmtId="14" fontId="0" fillId="0" borderId="15" xfId="0" applyNumberFormat="1" applyFill="1" applyBorder="1"/>
    <xf numFmtId="166" fontId="0" fillId="0" borderId="15" xfId="0" applyNumberFormat="1" applyFill="1" applyBorder="1"/>
    <xf numFmtId="0" fontId="0" fillId="0" borderId="15" xfId="0" applyFill="1" applyBorder="1" applyAlignment="1">
      <alignment horizontal="center"/>
    </xf>
    <xf numFmtId="49" fontId="0" fillId="0" borderId="15" xfId="0" applyNumberFormat="1" applyFill="1" applyBorder="1" applyAlignment="1">
      <alignment horizontal="center"/>
    </xf>
    <xf numFmtId="168" fontId="4" fillId="0" borderId="15" xfId="0" applyNumberFormat="1" applyFont="1" applyFill="1" applyBorder="1" applyAlignment="1">
      <alignment horizontal="center"/>
    </xf>
    <xf numFmtId="0" fontId="12" fillId="0" borderId="15" xfId="0" applyFont="1" applyFill="1" applyBorder="1" applyAlignment="1"/>
    <xf numFmtId="0" fontId="12" fillId="0" borderId="15" xfId="0" applyNumberFormat="1" applyFont="1" applyFill="1" applyBorder="1" applyAlignment="1"/>
    <xf numFmtId="164" fontId="12" fillId="0" borderId="16" xfId="0" applyNumberFormat="1" applyFont="1" applyFill="1" applyBorder="1" applyAlignment="1">
      <alignment horizontal="center"/>
    </xf>
    <xf numFmtId="44" fontId="13" fillId="0" borderId="15" xfId="0" applyNumberFormat="1" applyFont="1" applyFill="1" applyBorder="1" applyAlignment="1">
      <alignment horizontal="center"/>
    </xf>
    <xf numFmtId="44" fontId="13" fillId="0" borderId="17" xfId="0" applyNumberFormat="1" applyFont="1" applyFill="1" applyBorder="1" applyAlignment="1">
      <alignment horizontal="center"/>
    </xf>
    <xf numFmtId="0" fontId="18" fillId="0" borderId="15" xfId="0" applyFont="1" applyFill="1" applyBorder="1" applyAlignment="1"/>
    <xf numFmtId="168" fontId="16" fillId="0" borderId="10" xfId="0" applyNumberFormat="1" applyFont="1" applyFill="1" applyBorder="1" applyAlignment="1">
      <alignment horizontal="center"/>
    </xf>
    <xf numFmtId="0" fontId="12" fillId="0" borderId="6" xfId="0" applyFont="1" applyFill="1" applyBorder="1" applyAlignment="1"/>
    <xf numFmtId="0" fontId="15" fillId="0" borderId="1" xfId="0" applyFont="1" applyFill="1" applyBorder="1" applyAlignment="1"/>
    <xf numFmtId="4" fontId="0" fillId="0" borderId="0" xfId="0" applyNumberFormat="1" applyAlignment="1">
      <alignment horizontal="center"/>
    </xf>
    <xf numFmtId="169" fontId="19" fillId="0" borderId="0" xfId="0" applyNumberFormat="1" applyFont="1"/>
    <xf numFmtId="0" fontId="19" fillId="0" borderId="0" xfId="0" applyFont="1" applyAlignment="1">
      <alignment horizontal="center"/>
    </xf>
    <xf numFmtId="0" fontId="5" fillId="6" borderId="0" xfId="0" applyFont="1" applyFill="1"/>
    <xf numFmtId="0" fontId="5" fillId="0" borderId="0" xfId="0" applyFont="1" applyFill="1"/>
    <xf numFmtId="0" fontId="20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Fill="1" applyBorder="1" applyAlignment="1"/>
    <xf numFmtId="4" fontId="21" fillId="0" borderId="0" xfId="0" applyNumberFormat="1" applyFont="1" applyFill="1" applyBorder="1" applyAlignment="1"/>
    <xf numFmtId="0" fontId="20" fillId="0" borderId="1" xfId="0" applyFont="1" applyBorder="1"/>
    <xf numFmtId="0" fontId="20" fillId="0" borderId="1" xfId="0" applyFont="1" applyBorder="1" applyAlignment="1">
      <alignment horizontal="center"/>
    </xf>
    <xf numFmtId="0" fontId="21" fillId="0" borderId="1" xfId="0" applyFont="1" applyFill="1" applyBorder="1" applyAlignment="1"/>
    <xf numFmtId="14" fontId="20" fillId="0" borderId="1" xfId="0" applyNumberFormat="1" applyFont="1" applyBorder="1"/>
    <xf numFmtId="0" fontId="22" fillId="7" borderId="1" xfId="0" applyFont="1" applyFill="1" applyBorder="1" applyAlignment="1">
      <alignment horizontal="center" vertical="center"/>
    </xf>
    <xf numFmtId="4" fontId="20" fillId="0" borderId="0" xfId="0" applyNumberFormat="1" applyFont="1"/>
    <xf numFmtId="4" fontId="22" fillId="7" borderId="1" xfId="0" applyNumberFormat="1" applyFont="1" applyFill="1" applyBorder="1" applyAlignment="1">
      <alignment horizontal="center" vertical="center"/>
    </xf>
    <xf numFmtId="4" fontId="21" fillId="0" borderId="1" xfId="0" applyNumberFormat="1" applyFont="1" applyFill="1" applyBorder="1" applyAlignment="1"/>
    <xf numFmtId="168" fontId="20" fillId="0" borderId="1" xfId="0" applyNumberFormat="1" applyFont="1" applyBorder="1" applyAlignment="1">
      <alignment horizontal="center"/>
    </xf>
    <xf numFmtId="170" fontId="0" fillId="0" borderId="0" xfId="0" applyNumberFormat="1"/>
    <xf numFmtId="10" fontId="0" fillId="0" borderId="0" xfId="0" applyNumberFormat="1"/>
    <xf numFmtId="0" fontId="0" fillId="0" borderId="0" xfId="0" pivotButton="1" applyAlignment="1">
      <alignment horizontal="left"/>
    </xf>
    <xf numFmtId="0" fontId="0" fillId="0" borderId="0" xfId="0" applyAlignment="1">
      <alignment horizontal="right"/>
    </xf>
    <xf numFmtId="0" fontId="4" fillId="0" borderId="15" xfId="0" applyFont="1" applyFill="1" applyBorder="1" applyAlignment="1"/>
    <xf numFmtId="0" fontId="23" fillId="0" borderId="0" xfId="0" applyFont="1"/>
    <xf numFmtId="0" fontId="5" fillId="0" borderId="0" xfId="0" applyFont="1"/>
    <xf numFmtId="0" fontId="24" fillId="0" borderId="0" xfId="0" applyFont="1"/>
    <xf numFmtId="167" fontId="24" fillId="0" borderId="2" xfId="0" applyNumberFormat="1" applyFont="1" applyBorder="1" applyAlignment="1">
      <alignment horizontal="center"/>
    </xf>
    <xf numFmtId="167" fontId="24" fillId="0" borderId="1" xfId="0" applyNumberFormat="1" applyFont="1" applyBorder="1" applyAlignment="1">
      <alignment horizontal="center"/>
    </xf>
    <xf numFmtId="0" fontId="5" fillId="8" borderId="0" xfId="0" applyFont="1" applyFill="1"/>
    <xf numFmtId="167" fontId="24" fillId="0" borderId="15" xfId="0" applyNumberFormat="1" applyFont="1" applyFill="1" applyBorder="1" applyAlignment="1">
      <alignment horizontal="center"/>
    </xf>
    <xf numFmtId="167" fontId="24" fillId="8" borderId="1" xfId="0" applyNumberFormat="1" applyFont="1" applyFill="1" applyBorder="1" applyAlignment="1">
      <alignment horizontal="center"/>
    </xf>
    <xf numFmtId="167" fontId="24" fillId="8" borderId="2" xfId="0" applyNumberFormat="1" applyFont="1" applyFill="1" applyBorder="1" applyAlignment="1">
      <alignment horizontal="center"/>
    </xf>
    <xf numFmtId="167" fontId="23" fillId="0" borderId="2" xfId="0" applyNumberFormat="1" applyFont="1" applyFill="1" applyBorder="1" applyAlignment="1">
      <alignment horizontal="center"/>
    </xf>
    <xf numFmtId="167" fontId="5" fillId="0" borderId="2" xfId="0" applyNumberFormat="1" applyFont="1" applyFill="1" applyBorder="1" applyAlignment="1">
      <alignment horizontal="center"/>
    </xf>
    <xf numFmtId="167" fontId="23" fillId="0" borderId="1" xfId="0" applyNumberFormat="1" applyFont="1" applyFill="1" applyBorder="1" applyAlignment="1">
      <alignment horizontal="center"/>
    </xf>
    <xf numFmtId="0" fontId="25" fillId="0" borderId="2" xfId="0" applyFont="1" applyFill="1" applyBorder="1" applyAlignment="1"/>
    <xf numFmtId="0" fontId="25" fillId="0" borderId="2" xfId="0" applyNumberFormat="1" applyFont="1" applyFill="1" applyBorder="1" applyAlignment="1"/>
    <xf numFmtId="164" fontId="25" fillId="0" borderId="10" xfId="0" applyNumberFormat="1" applyFont="1" applyFill="1" applyBorder="1" applyAlignment="1">
      <alignment horizontal="center"/>
    </xf>
    <xf numFmtId="44" fontId="26" fillId="0" borderId="2" xfId="0" applyNumberFormat="1" applyFont="1" applyFill="1" applyBorder="1" applyAlignment="1">
      <alignment horizontal="center"/>
    </xf>
    <xf numFmtId="44" fontId="26" fillId="0" borderId="14" xfId="0" applyNumberFormat="1" applyFont="1" applyFill="1" applyBorder="1" applyAlignment="1">
      <alignment horizontal="center"/>
    </xf>
    <xf numFmtId="0" fontId="27" fillId="0" borderId="2" xfId="0" applyFont="1" applyFill="1" applyBorder="1" applyAlignment="1"/>
    <xf numFmtId="167" fontId="26" fillId="0" borderId="2" xfId="0" applyNumberFormat="1" applyFont="1" applyBorder="1" applyAlignment="1">
      <alignment horizontal="center"/>
    </xf>
    <xf numFmtId="167" fontId="26" fillId="0" borderId="2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7" fontId="26" fillId="8" borderId="2" xfId="0" applyNumberFormat="1" applyFont="1" applyFill="1" applyBorder="1" applyAlignment="1">
      <alignment horizontal="center"/>
    </xf>
    <xf numFmtId="0" fontId="27" fillId="0" borderId="1" xfId="0" applyFont="1" applyFill="1" applyBorder="1" applyAlignment="1"/>
    <xf numFmtId="167" fontId="0" fillId="0" borderId="1" xfId="0" applyNumberFormat="1" applyBorder="1"/>
    <xf numFmtId="0" fontId="0" fillId="0" borderId="1" xfId="0" applyBorder="1" applyAlignment="1">
      <alignment horizontal="center"/>
    </xf>
    <xf numFmtId="167" fontId="0" fillId="0" borderId="2" xfId="0" applyNumberFormat="1" applyFont="1" applyBorder="1" applyAlignment="1">
      <alignment horizontal="center"/>
    </xf>
    <xf numFmtId="164" fontId="4" fillId="0" borderId="6" xfId="0" applyNumberFormat="1" applyFont="1" applyFill="1" applyBorder="1" applyAlignment="1">
      <alignment horizontal="center"/>
    </xf>
    <xf numFmtId="4" fontId="21" fillId="8" borderId="1" xfId="0" applyNumberFormat="1" applyFont="1" applyFill="1" applyBorder="1" applyAlignment="1"/>
    <xf numFmtId="4" fontId="21" fillId="9" borderId="1" xfId="0" applyNumberFormat="1" applyFont="1" applyFill="1" applyBorder="1" applyAlignment="1"/>
    <xf numFmtId="0" fontId="28" fillId="0" borderId="0" xfId="0" applyFont="1"/>
    <xf numFmtId="167" fontId="26" fillId="0" borderId="1" xfId="0" applyNumberFormat="1" applyFont="1" applyFill="1" applyBorder="1" applyAlignment="1">
      <alignment horizontal="center"/>
    </xf>
    <xf numFmtId="167" fontId="0" fillId="0" borderId="1" xfId="0" applyNumberFormat="1" applyFont="1" applyBorder="1" applyAlignment="1">
      <alignment horizontal="center"/>
    </xf>
    <xf numFmtId="167" fontId="0" fillId="0" borderId="1" xfId="0" applyNumberFormat="1" applyFont="1" applyFill="1" applyBorder="1" applyAlignment="1">
      <alignment horizontal="center"/>
    </xf>
    <xf numFmtId="164" fontId="25" fillId="0" borderId="6" xfId="0" applyNumberFormat="1" applyFont="1" applyFill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4">
    <cellStyle name="Moneda" xfId="1" builtinId="4"/>
    <cellStyle name="Normal" xfId="0" builtinId="0"/>
    <cellStyle name="Normal 2" xfId="3"/>
    <cellStyle name="Normal 3" xfId="2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numFmt numFmtId="165" formatCode="\T\A000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\T\A000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-[$S/-280A]* #,##0.00_-;\-[$S/-280A]* #,##0.00_-;_-[$S/-280A]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S/&quot;* #,##0.00_-;\-&quot;S/&quot;* #,##0.00_-;_-&quot;S/&quot;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S/&quot;* #,##0.00_-;\-&quot;S/&quot;* #,##0.00_-;_-&quot;S/&quot;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S/&quot;* #,##0.00_-;\-&quot;S/&quot;* #,##0.00_-;_-&quot;S/&quot;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4" formatCode="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color indexed="8"/>
      </font>
      <numFmt numFmtId="168" formatCode="\C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mmmm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/mm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4" formatCode="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</dxf>
    <dxf>
      <numFmt numFmtId="4" formatCode="#,##0.00"/>
    </dxf>
    <dxf>
      <alignment horizontal="center" readingOrder="0"/>
    </dxf>
    <dxf>
      <alignment horizontal="center" readingOrder="0"/>
    </dxf>
    <dxf>
      <font>
        <color theme="4" tint="-0.499984740745262"/>
      </font>
    </dxf>
    <dxf>
      <font>
        <color rgb="FFC00000"/>
      </font>
    </dxf>
    <dxf>
      <font>
        <color rgb="FFC00000"/>
      </font>
    </dxf>
    <dxf>
      <font>
        <color theme="3"/>
      </font>
    </dxf>
    <dxf>
      <alignment horizontal="right" readingOrder="0"/>
    </dxf>
    <dxf>
      <numFmt numFmtId="170" formatCode="&quot;S/&quot;#,##0.00"/>
    </dxf>
    <dxf>
      <alignment horizontal="center" readingOrder="0"/>
    </dxf>
    <dxf>
      <numFmt numFmtId="14" formatCode="0.00%"/>
    </dxf>
    <dxf>
      <numFmt numFmtId="4" formatCode="#,##0.00"/>
    </dxf>
    <dxf>
      <alignment horizontal="right" readingOrder="0"/>
    </dxf>
    <dxf>
      <alignment horizontal="left" readingOrder="0"/>
    </dxf>
    <dxf>
      <numFmt numFmtId="4" formatCode="#,##0.00"/>
    </dxf>
    <dxf>
      <font>
        <color auto="1"/>
      </font>
      <fill>
        <patternFill>
          <bgColor rgb="FF0070C0"/>
        </patternFill>
      </fill>
    </dxf>
  </dxfs>
  <tableStyles count="1" defaultTableStyle="TableStyleMedium2" defaultPivotStyle="PivotStyleLight16">
    <tableStyle name="Estilo de tabla dinámica 1" table="0" count="1">
      <tableStyleElement type="pageFieldLabels" dxfId="43"/>
    </tableStyle>
  </tableStyles>
  <colors>
    <mruColors>
      <color rgb="FF660033"/>
      <color rgb="FFFDFD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 de Caja Chica 14.05.19 (2).xlsx]Dashboard!Tabla dinámica4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Dashboard!$F$15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Dashboard!$E$16:$E$20</c:f>
              <c:strCache>
                <c:ptCount val="4"/>
                <c:pt idx="0">
                  <c:v>GASTOS GENERALES</c:v>
                </c:pt>
                <c:pt idx="1">
                  <c:v>OBRAS PRELIMINARES</c:v>
                </c:pt>
                <c:pt idx="2">
                  <c:v>OBRAS PROVISIONALES</c:v>
                </c:pt>
                <c:pt idx="3">
                  <c:v>SEGURIDAD</c:v>
                </c:pt>
              </c:strCache>
            </c:strRef>
          </c:cat>
          <c:val>
            <c:numRef>
              <c:f>Dashboard!$F$16:$F$20</c:f>
              <c:numCache>
                <c:formatCode>0.00%</c:formatCode>
                <c:ptCount val="4"/>
                <c:pt idx="0">
                  <c:v>0.83644276740910384</c:v>
                </c:pt>
                <c:pt idx="1">
                  <c:v>5.5996096132731495E-2</c:v>
                </c:pt>
                <c:pt idx="2">
                  <c:v>4.2539537497735862E-2</c:v>
                </c:pt>
                <c:pt idx="3">
                  <c:v>6.5021598960428903E-2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1</xdr:row>
      <xdr:rowOff>38100</xdr:rowOff>
    </xdr:from>
    <xdr:to>
      <xdr:col>10</xdr:col>
      <xdr:colOff>0</xdr:colOff>
      <xdr:row>3</xdr:row>
      <xdr:rowOff>180975</xdr:rowOff>
    </xdr:to>
    <xdr:sp macro="" textlink="">
      <xdr:nvSpPr>
        <xdr:cNvPr id="2" name="CuadroTexto 1"/>
        <xdr:cNvSpPr txBox="1"/>
      </xdr:nvSpPr>
      <xdr:spPr>
        <a:xfrm>
          <a:off x="400050" y="228600"/>
          <a:ext cx="10658475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2800">
              <a:latin typeface="Franklin Gothic Demi Cond" panose="020B0706030402020204" pitchFamily="34" charset="0"/>
            </a:rPr>
            <a:t>INFORMACIÓN</a:t>
          </a:r>
          <a:r>
            <a:rPr lang="es-PE" sz="2800" baseline="0">
              <a:latin typeface="Franklin Gothic Demi Cond" panose="020B0706030402020204" pitchFamily="34" charset="0"/>
            </a:rPr>
            <a:t> GENERAL DE </a:t>
          </a:r>
          <a:r>
            <a:rPr lang="es-PE" sz="2800" baseline="0">
              <a:solidFill>
                <a:schemeClr val="accent1"/>
              </a:solidFill>
              <a:latin typeface="Franklin Gothic Demi Cond" panose="020B0706030402020204" pitchFamily="34" charset="0"/>
            </a:rPr>
            <a:t>FONDO ROTATORIO</a:t>
          </a:r>
          <a:endParaRPr lang="es-PE" sz="2800">
            <a:solidFill>
              <a:schemeClr val="accent1"/>
            </a:solidFill>
            <a:latin typeface="Franklin Gothic Demi Cond" panose="020B0706030402020204" pitchFamily="34" charset="0"/>
          </a:endParaRPr>
        </a:p>
      </xdr:txBody>
    </xdr:sp>
    <xdr:clientData/>
  </xdr:twoCellAnchor>
  <xdr:twoCellAnchor>
    <xdr:from>
      <xdr:col>4</xdr:col>
      <xdr:colOff>654050</xdr:colOff>
      <xdr:row>5</xdr:row>
      <xdr:rowOff>114300</xdr:rowOff>
    </xdr:from>
    <xdr:to>
      <xdr:col>6</xdr:col>
      <xdr:colOff>168275</xdr:colOff>
      <xdr:row>9</xdr:row>
      <xdr:rowOff>66675</xdr:rowOff>
    </xdr:to>
    <xdr:sp macro="" textlink="">
      <xdr:nvSpPr>
        <xdr:cNvPr id="3" name="CuadroTexto 2"/>
        <xdr:cNvSpPr txBox="1"/>
      </xdr:nvSpPr>
      <xdr:spPr>
        <a:xfrm>
          <a:off x="5464175" y="952500"/>
          <a:ext cx="1952625" cy="790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>
              <a:latin typeface="Franklin Gothic Demi Cond" panose="020B0706030402020204" pitchFamily="34" charset="0"/>
            </a:rPr>
            <a:t>Ingresos</a:t>
          </a:r>
          <a:r>
            <a:rPr lang="es-PE" sz="1400" baseline="0">
              <a:latin typeface="Franklin Gothic Demi Cond" panose="020B0706030402020204" pitchFamily="34" charset="0"/>
            </a:rPr>
            <a:t> </a:t>
          </a:r>
        </a:p>
        <a:p>
          <a:endParaRPr lang="es-PE" sz="1400" baseline="0">
            <a:latin typeface="Franklin Gothic Demi Cond" panose="020B0706030402020204" pitchFamily="34" charset="0"/>
          </a:endParaRPr>
        </a:p>
      </xdr:txBody>
    </xdr:sp>
    <xdr:clientData/>
  </xdr:twoCellAnchor>
  <xdr:twoCellAnchor>
    <xdr:from>
      <xdr:col>6</xdr:col>
      <xdr:colOff>311151</xdr:colOff>
      <xdr:row>5</xdr:row>
      <xdr:rowOff>111125</xdr:rowOff>
    </xdr:from>
    <xdr:to>
      <xdr:col>7</xdr:col>
      <xdr:colOff>1257301</xdr:colOff>
      <xdr:row>9</xdr:row>
      <xdr:rowOff>63500</xdr:rowOff>
    </xdr:to>
    <xdr:sp macro="" textlink="">
      <xdr:nvSpPr>
        <xdr:cNvPr id="4" name="CuadroTexto 3"/>
        <xdr:cNvSpPr txBox="1"/>
      </xdr:nvSpPr>
      <xdr:spPr>
        <a:xfrm>
          <a:off x="7445376" y="949325"/>
          <a:ext cx="1746250" cy="79057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>
              <a:solidFill>
                <a:schemeClr val="bg1"/>
              </a:solidFill>
              <a:latin typeface="Franklin Gothic Demi Cond" panose="020B0706030402020204" pitchFamily="34" charset="0"/>
            </a:rPr>
            <a:t>Egresos</a:t>
          </a:r>
          <a:endParaRPr lang="es-PE" sz="1400" baseline="0">
            <a:solidFill>
              <a:schemeClr val="bg1"/>
            </a:solidFill>
            <a:latin typeface="Franklin Gothic Demi Cond" panose="020B0706030402020204" pitchFamily="34" charset="0"/>
          </a:endParaRPr>
        </a:p>
      </xdr:txBody>
    </xdr:sp>
    <xdr:clientData/>
  </xdr:twoCellAnchor>
  <xdr:twoCellAnchor>
    <xdr:from>
      <xdr:col>7</xdr:col>
      <xdr:colOff>1495425</xdr:colOff>
      <xdr:row>5</xdr:row>
      <xdr:rowOff>114300</xdr:rowOff>
    </xdr:from>
    <xdr:to>
      <xdr:col>8</xdr:col>
      <xdr:colOff>361950</xdr:colOff>
      <xdr:row>9</xdr:row>
      <xdr:rowOff>66675</xdr:rowOff>
    </xdr:to>
    <xdr:sp macro="" textlink="">
      <xdr:nvSpPr>
        <xdr:cNvPr id="5" name="CuadroTexto 4"/>
        <xdr:cNvSpPr txBox="1"/>
      </xdr:nvSpPr>
      <xdr:spPr>
        <a:xfrm>
          <a:off x="8362950" y="952500"/>
          <a:ext cx="1533525" cy="790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>
              <a:solidFill>
                <a:schemeClr val="accent6">
                  <a:lumMod val="75000"/>
                </a:schemeClr>
              </a:solidFill>
              <a:latin typeface="Franklin Gothic Demi Cond" panose="020B0706030402020204" pitchFamily="34" charset="0"/>
            </a:rPr>
            <a:t>Saldos</a:t>
          </a:r>
          <a:endParaRPr lang="es-PE" sz="1400" baseline="0">
            <a:solidFill>
              <a:schemeClr val="accent6">
                <a:lumMod val="75000"/>
              </a:schemeClr>
            </a:solidFill>
            <a:latin typeface="Franklin Gothic Demi Cond" panose="020B0706030402020204" pitchFamily="34" charset="0"/>
          </a:endParaRPr>
        </a:p>
      </xdr:txBody>
    </xdr:sp>
    <xdr:clientData/>
  </xdr:twoCellAnchor>
  <xdr:twoCellAnchor>
    <xdr:from>
      <xdr:col>4</xdr:col>
      <xdr:colOff>19050</xdr:colOff>
      <xdr:row>20</xdr:row>
      <xdr:rowOff>133350</xdr:rowOff>
    </xdr:from>
    <xdr:to>
      <xdr:col>6</xdr:col>
      <xdr:colOff>276225</xdr:colOff>
      <xdr:row>30</xdr:row>
      <xdr:rowOff>14286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533399</xdr:colOff>
      <xdr:row>5</xdr:row>
      <xdr:rowOff>95250</xdr:rowOff>
    </xdr:from>
    <xdr:to>
      <xdr:col>1</xdr:col>
      <xdr:colOff>1990725</xdr:colOff>
      <xdr:row>11</xdr:row>
      <xdr:rowOff>19049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MES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5400" y="1200151"/>
              <a:ext cx="1466850" cy="7048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6</xdr:col>
      <xdr:colOff>800099</xdr:colOff>
      <xdr:row>12</xdr:row>
      <xdr:rowOff>0</xdr:rowOff>
    </xdr:from>
    <xdr:to>
      <xdr:col>9</xdr:col>
      <xdr:colOff>19050</xdr:colOff>
      <xdr:row>13</xdr:row>
      <xdr:rowOff>95250</xdr:rowOff>
    </xdr:to>
    <xdr:sp macro="" textlink="">
      <xdr:nvSpPr>
        <xdr:cNvPr id="17" name="CuadroTexto 16"/>
        <xdr:cNvSpPr txBox="1"/>
      </xdr:nvSpPr>
      <xdr:spPr>
        <a:xfrm>
          <a:off x="7505699" y="2247900"/>
          <a:ext cx="3686176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200">
              <a:solidFill>
                <a:srgbClr val="FFC000"/>
              </a:solidFill>
              <a:latin typeface="Franklin Gothic Demi Cond" panose="020B0706030402020204" pitchFamily="34" charset="0"/>
            </a:rPr>
            <a:t>Egresos</a:t>
          </a:r>
          <a:r>
            <a:rPr lang="es-PE" sz="1200">
              <a:solidFill>
                <a:schemeClr val="tx1">
                  <a:lumMod val="50000"/>
                  <a:lumOff val="50000"/>
                </a:schemeClr>
              </a:solidFill>
              <a:latin typeface="Franklin Gothic Demi Cond" panose="020B0706030402020204" pitchFamily="34" charset="0"/>
            </a:rPr>
            <a:t> por Tipo</a:t>
          </a:r>
          <a:r>
            <a:rPr lang="es-PE" sz="1200" baseline="0">
              <a:solidFill>
                <a:schemeClr val="tx1">
                  <a:lumMod val="50000"/>
                  <a:lumOff val="50000"/>
                </a:schemeClr>
              </a:solidFill>
              <a:latin typeface="Franklin Gothic Demi Cond" panose="020B0706030402020204" pitchFamily="34" charset="0"/>
            </a:rPr>
            <a:t> de Cuenta de Gasto / Costo  - Top 10</a:t>
          </a:r>
          <a:endParaRPr lang="es-PE" sz="1200">
            <a:solidFill>
              <a:schemeClr val="tx1">
                <a:lumMod val="50000"/>
                <a:lumOff val="50000"/>
              </a:schemeClr>
            </a:solidFill>
            <a:latin typeface="Franklin Gothic Demi Cond" panose="020B0706030402020204" pitchFamily="34" charset="0"/>
          </a:endParaRPr>
        </a:p>
      </xdr:txBody>
    </xdr:sp>
    <xdr:clientData/>
  </xdr:twoCellAnchor>
  <xdr:twoCellAnchor>
    <xdr:from>
      <xdr:col>1</xdr:col>
      <xdr:colOff>0</xdr:colOff>
      <xdr:row>12</xdr:row>
      <xdr:rowOff>0</xdr:rowOff>
    </xdr:from>
    <xdr:to>
      <xdr:col>3</xdr:col>
      <xdr:colOff>9525</xdr:colOff>
      <xdr:row>13</xdr:row>
      <xdr:rowOff>95250</xdr:rowOff>
    </xdr:to>
    <xdr:sp macro="" textlink="">
      <xdr:nvSpPr>
        <xdr:cNvPr id="18" name="CuadroTexto 17"/>
        <xdr:cNvSpPr txBox="1"/>
      </xdr:nvSpPr>
      <xdr:spPr>
        <a:xfrm>
          <a:off x="762000" y="2247900"/>
          <a:ext cx="343852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200">
              <a:solidFill>
                <a:srgbClr val="FFC000"/>
              </a:solidFill>
              <a:latin typeface="Franklin Gothic Demi Cond" panose="020B0706030402020204" pitchFamily="34" charset="0"/>
            </a:rPr>
            <a:t>Egresos</a:t>
          </a:r>
          <a:r>
            <a:rPr lang="es-PE" sz="1200">
              <a:solidFill>
                <a:schemeClr val="tx1">
                  <a:lumMod val="50000"/>
                  <a:lumOff val="50000"/>
                </a:schemeClr>
              </a:solidFill>
              <a:latin typeface="Franklin Gothic Demi Cond" panose="020B0706030402020204" pitchFamily="34" charset="0"/>
            </a:rPr>
            <a:t> por Centro de Costo y Tipo</a:t>
          </a:r>
          <a:r>
            <a:rPr lang="es-PE" sz="1200" baseline="0">
              <a:solidFill>
                <a:schemeClr val="tx1">
                  <a:lumMod val="50000"/>
                  <a:lumOff val="50000"/>
                </a:schemeClr>
              </a:solidFill>
              <a:latin typeface="Franklin Gothic Demi Cond" panose="020B0706030402020204" pitchFamily="34" charset="0"/>
            </a:rPr>
            <a:t> de Gasto</a:t>
          </a:r>
          <a:endParaRPr lang="es-PE" sz="1200">
            <a:solidFill>
              <a:schemeClr val="tx1">
                <a:lumMod val="50000"/>
                <a:lumOff val="50000"/>
              </a:schemeClr>
            </a:solidFill>
            <a:latin typeface="Franklin Gothic Demi Cond" panose="020B0706030402020204" pitchFamily="34" charset="0"/>
          </a:endParaRPr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552450</xdr:colOff>
      <xdr:row>13</xdr:row>
      <xdr:rowOff>95250</xdr:rowOff>
    </xdr:to>
    <xdr:sp macro="" textlink="">
      <xdr:nvSpPr>
        <xdr:cNvPr id="19" name="CuadroTexto 18"/>
        <xdr:cNvSpPr txBox="1"/>
      </xdr:nvSpPr>
      <xdr:spPr>
        <a:xfrm>
          <a:off x="4676775" y="2247900"/>
          <a:ext cx="200977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200">
              <a:solidFill>
                <a:srgbClr val="FFC000"/>
              </a:solidFill>
              <a:latin typeface="Franklin Gothic Demi Cond" panose="020B0706030402020204" pitchFamily="34" charset="0"/>
            </a:rPr>
            <a:t>Porcentaje </a:t>
          </a:r>
          <a:r>
            <a:rPr lang="es-PE" sz="1200">
              <a:solidFill>
                <a:schemeClr val="tx1">
                  <a:lumMod val="50000"/>
                  <a:lumOff val="50000"/>
                </a:schemeClr>
              </a:solidFill>
              <a:latin typeface="Franklin Gothic Demi Cond" panose="020B0706030402020204" pitchFamily="34" charset="0"/>
            </a:rPr>
            <a:t>por Centro</a:t>
          </a:r>
          <a:r>
            <a:rPr lang="es-PE" sz="1200" baseline="0">
              <a:solidFill>
                <a:schemeClr val="tx1">
                  <a:lumMod val="50000"/>
                  <a:lumOff val="50000"/>
                </a:schemeClr>
              </a:solidFill>
              <a:latin typeface="Franklin Gothic Demi Cond" panose="020B0706030402020204" pitchFamily="34" charset="0"/>
            </a:rPr>
            <a:t> de C.</a:t>
          </a:r>
          <a:endParaRPr lang="es-PE" sz="1200">
            <a:solidFill>
              <a:schemeClr val="tx1">
                <a:lumMod val="50000"/>
                <a:lumOff val="50000"/>
              </a:schemeClr>
            </a:solidFill>
            <a:latin typeface="Franklin Gothic Demi Cond" panose="020B0706030402020204" pitchFamily="34" charset="0"/>
          </a:endParaRPr>
        </a:p>
      </xdr:txBody>
    </xdr:sp>
    <xdr:clientData/>
  </xdr:twoCellAnchor>
  <xdr:oneCellAnchor>
    <xdr:from>
      <xdr:col>6</xdr:col>
      <xdr:colOff>466725</xdr:colOff>
      <xdr:row>10</xdr:row>
      <xdr:rowOff>171450</xdr:rowOff>
    </xdr:from>
    <xdr:ext cx="184731" cy="264560"/>
    <xdr:sp macro="" textlink="">
      <xdr:nvSpPr>
        <xdr:cNvPr id="20" name="CuadroTexto 19"/>
        <xdr:cNvSpPr txBox="1"/>
      </xdr:nvSpPr>
      <xdr:spPr>
        <a:xfrm>
          <a:off x="6734175" y="2038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oneCellAnchor>
    <xdr:from>
      <xdr:col>4</xdr:col>
      <xdr:colOff>800100</xdr:colOff>
      <xdr:row>7</xdr:row>
      <xdr:rowOff>28575</xdr:rowOff>
    </xdr:from>
    <xdr:ext cx="1390650" cy="374141"/>
    <xdr:sp macro="" textlink="'Movimiento FR'!I43">
      <xdr:nvSpPr>
        <xdr:cNvPr id="21" name="CuadroTexto 20"/>
        <xdr:cNvSpPr txBox="1"/>
      </xdr:nvSpPr>
      <xdr:spPr>
        <a:xfrm>
          <a:off x="5038725" y="1323975"/>
          <a:ext cx="139065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6331C447-1447-4D13-A653-6753C6C70CBA}" type="TxLink">
            <a:rPr lang="en-US" sz="1800" b="0" i="0" u="none" strike="noStrike">
              <a:solidFill>
                <a:sysClr val="windowText" lastClr="000000"/>
              </a:solidFill>
              <a:latin typeface="Calibri"/>
              <a:cs typeface="Calibri"/>
            </a:rPr>
            <a:pPr/>
            <a:t> S/58,514.13 </a:t>
          </a:fld>
          <a:endParaRPr lang="es-PE" sz="180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oneCellAnchor>
  <xdr:twoCellAnchor>
    <xdr:from>
      <xdr:col>6</xdr:col>
      <xdr:colOff>352425</xdr:colOff>
      <xdr:row>7</xdr:row>
      <xdr:rowOff>47626</xdr:rowOff>
    </xdr:from>
    <xdr:to>
      <xdr:col>7</xdr:col>
      <xdr:colOff>1419225</xdr:colOff>
      <xdr:row>8</xdr:row>
      <xdr:rowOff>142876</xdr:rowOff>
    </xdr:to>
    <xdr:sp macro="" textlink="'Movimiento FR'!J43">
      <xdr:nvSpPr>
        <xdr:cNvPr id="22" name="CuadroTexto 21"/>
        <xdr:cNvSpPr txBox="1"/>
      </xdr:nvSpPr>
      <xdr:spPr>
        <a:xfrm>
          <a:off x="6543675" y="1343026"/>
          <a:ext cx="16192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975FA84-DCD5-4C04-973F-0B6726C14955}" type="TxLink">
            <a:rPr lang="en-US" sz="18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S/50,979.03 </a:t>
          </a:fld>
          <a:endParaRPr lang="es-PE" sz="1800" b="1">
            <a:solidFill>
              <a:schemeClr val="bg1"/>
            </a:solidFill>
            <a:latin typeface="Arial Narrow" panose="020B0606020202030204" pitchFamily="34" charset="0"/>
          </a:endParaRPr>
        </a:p>
      </xdr:txBody>
    </xdr:sp>
    <xdr:clientData/>
  </xdr:twoCellAnchor>
  <xdr:oneCellAnchor>
    <xdr:from>
      <xdr:col>7</xdr:col>
      <xdr:colOff>1657350</xdr:colOff>
      <xdr:row>7</xdr:row>
      <xdr:rowOff>38100</xdr:rowOff>
    </xdr:from>
    <xdr:ext cx="1781175" cy="374141"/>
    <xdr:sp macro="" textlink="'Movimiento FR'!K43">
      <xdr:nvSpPr>
        <xdr:cNvPr id="23" name="CuadroTexto 22"/>
        <xdr:cNvSpPr txBox="1"/>
      </xdr:nvSpPr>
      <xdr:spPr>
        <a:xfrm>
          <a:off x="8401050" y="1333500"/>
          <a:ext cx="178117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92DF5AF3-3EF5-4A5E-BA8D-2FAC2A10670F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 S/7,535.10 </a:t>
          </a:fld>
          <a:endParaRPr lang="es-PE" sz="1800" b="1">
            <a:solidFill>
              <a:schemeClr val="accent6">
                <a:lumMod val="50000"/>
              </a:schemeClr>
            </a:solidFill>
            <a:latin typeface="Arial Narrow" panose="020B0606020202030204" pitchFamily="34" charset="0"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3596.681605092592" createdVersion="5" refreshedVersion="5" minRefreshableVersion="3" recordCount="327">
  <cacheSource type="worksheet">
    <worksheetSource name="SALIDAS"/>
  </cacheSource>
  <cacheFields count="17">
    <cacheField name="q" numFmtId="164">
      <sharedItems containsString="0" containsBlank="1" containsNumber="1" containsInteger="1" minValue="1" maxValue="223"/>
    </cacheField>
    <cacheField name="FECHA" numFmtId="14">
      <sharedItems containsSemiMixedTypes="0" containsNonDate="0" containsDate="1" containsString="0" minDate="2019-01-05T00:00:00" maxDate="2019-05-30T00:00:00"/>
    </cacheField>
    <cacheField name="MES" numFmtId="166">
      <sharedItems count="5">
        <s v="Enero"/>
        <s v="Febrero"/>
        <s v="Marzo"/>
        <s v="Abril"/>
        <s v="Mayo"/>
      </sharedItems>
    </cacheField>
    <cacheField name="TIPO DE DOC" numFmtId="0">
      <sharedItems containsBlank="1"/>
    </cacheField>
    <cacheField name="N° DOC" numFmtId="49">
      <sharedItems/>
    </cacheField>
    <cacheField name="N° CAJA" numFmtId="168">
      <sharedItems containsSemiMixedTypes="0" containsString="0" containsNumber="1" containsInteger="1" minValue="1" maxValue="14"/>
    </cacheField>
    <cacheField name="DESCRIPCION" numFmtId="0">
      <sharedItems/>
    </cacheField>
    <cacheField name="T. CUENTA" numFmtId="0">
      <sharedItems count="32">
        <s v="GASTOS DE REPRESENTACION"/>
        <s v="UTILES DE OFICINA"/>
        <s v="COPIAS, IMPRESIONES Y PLOTEOS"/>
        <s v="TRANSPORTE DE PERSONAL"/>
        <s v="OTROS SERVICIOS DE TERCEROS"/>
        <s v="ATENCIÓN AL PERSONAL"/>
        <s v="ALOJAMIENTO"/>
        <s v="PEAJES Y ESTACIONAMIENTOS"/>
        <s v="COMBUSTIBLES - ALQUILERES"/>
        <s v="UTILES DE ASEO"/>
        <s v="ALIMENTACIÓN"/>
        <s v="ALQUILER DE UNIDADES DE TRANSPORTE"/>
        <s v="MATERIALES DIRECTOS"/>
        <s v="MOVILIDADES INTERNAS"/>
        <s v="COMBUSTIBLES"/>
        <s v="TRANSPORTE DE CARGA"/>
        <s v="OTROS GASTOS BANCARIOS"/>
        <s v="SERVICIOS BASICOS - TELEFONO E INTERNET"/>
        <s v="GASTOS NOTARIALES Y DE REGISTRO"/>
        <s v="ENVÍOS, CORREOS Y ENCOMIENDAS"/>
        <s v="MATERIALES ELECTRICOS"/>
        <s v="OTROS"/>
        <s v="ALQUILER DE OFICINA"/>
        <s v="MANTENIMIENTO, REPARACIONES Y CALIBRACIONES"/>
        <s v="ASESORIA Y SERVICIOS ADMINISTRATIVOS"/>
        <s v="SERVICIOS BASICOS - CELULARES"/>
        <s v="ALQUILER DE EQUIPOS DIVERSOS MENORES"/>
        <s v="ACTIVOS MENORES"/>
        <s v="SERVICIOS BASICOS - ENERGIA ELECTRICA"/>
        <s v="PRODUCCIÓN ENCARGADA A TERCEROS"/>
        <s v="MUEBLES Y ENSERES"/>
        <s v="MATERIALES EPP"/>
      </sharedItems>
    </cacheField>
    <cacheField name="T. DE GASTO" numFmtId="0">
      <sharedItems count="7">
        <s v="GASTOS PRESTADOS POR TERCEROS"/>
        <s v="GASTOS ADMINISTRATIVOS"/>
        <s v="GASTOS DE PERSONAL"/>
        <s v="COSTO DIRECTO"/>
        <s v="GASTOS FINANCIEROS"/>
        <s v="OTROS GASTOS DE GESTIÓN"/>
        <s v="                " u="1"/>
      </sharedItems>
    </cacheField>
    <cacheField name="CENTRO DE COSTO" numFmtId="0">
      <sharedItems count="4">
        <s v="GASTOS GENERALES"/>
        <s v="SEGURIDAD"/>
        <s v="OBRAS PRELIMINARES"/>
        <s v="OBRAS PROVISIONALES"/>
      </sharedItems>
    </cacheField>
    <cacheField name="Unidad" numFmtId="0">
      <sharedItems/>
    </cacheField>
    <cacheField name="CANTIDAD" numFmtId="164">
      <sharedItems containsSemiMixedTypes="0" containsString="0" containsNumber="1" containsInteger="1" minValue="1" maxValue="1"/>
    </cacheField>
    <cacheField name="COSTO" numFmtId="44">
      <sharedItems containsSemiMixedTypes="0" containsString="0" containsNumber="1" minValue="1.69" maxValue="1474.51"/>
    </cacheField>
    <cacheField name="IGV" numFmtId="44">
      <sharedItems containsString="0" containsBlank="1" containsNumber="1" minValue="0" maxValue="265.41179999999997"/>
    </cacheField>
    <cacheField name="INAFECTO" numFmtId="44">
      <sharedItems containsString="0" containsBlank="1" containsNumber="1" containsInteger="1" minValue="270" maxValue="270"/>
    </cacheField>
    <cacheField name="PRECIO DE VENTA" numFmtId="167">
      <sharedItems containsSemiMixedTypes="0" containsString="0" containsNumber="1" minValue="1.9942" maxValue="1739.9218000000001"/>
    </cacheField>
    <cacheField name="PROVEEDOR" numFmtId="0">
      <sharedItems/>
    </cacheField>
  </cacheFields>
  <extLst>
    <ext xmlns:x14="http://schemas.microsoft.com/office/spreadsheetml/2009/9/main" uri="{725AE2AE-9491-48be-B2B4-4EB974FC3084}">
      <x14:pivotCacheDefinition pivotCacheId="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7">
  <r>
    <n v="1"/>
    <d v="2019-01-05T00:00:00"/>
    <x v="0"/>
    <s v="TF"/>
    <s v="004-01-440421"/>
    <n v="1"/>
    <s v="Reunión Angel Parimango"/>
    <x v="0"/>
    <x v="0"/>
    <x v="0"/>
    <s v="Glb"/>
    <n v="1"/>
    <n v="68.05"/>
    <n v="12.248999999999999"/>
    <m/>
    <n v="80.298999999999992"/>
    <s v="EP DE RESTAURANTES SAC"/>
  </r>
  <r>
    <n v="2"/>
    <d v="2019-01-15T00:00:00"/>
    <x v="0"/>
    <s v="FE"/>
    <s v="F588-31310"/>
    <n v="1"/>
    <s v="Cuadernos de Obra"/>
    <x v="1"/>
    <x v="1"/>
    <x v="0"/>
    <s v="Glb"/>
    <n v="1"/>
    <n v="88.1"/>
    <n v="15.857999999999999"/>
    <m/>
    <n v="103.958"/>
    <s v="TAI LOY SA"/>
  </r>
  <r>
    <n v="3"/>
    <d v="2019-01-16T00:00:00"/>
    <x v="0"/>
    <s v="F"/>
    <s v="1-114"/>
    <n v="1"/>
    <s v="Sello residente"/>
    <x v="2"/>
    <x v="0"/>
    <x v="0"/>
    <s v="Glb"/>
    <n v="1"/>
    <n v="21.19"/>
    <n v="3.8142"/>
    <m/>
    <n v="25.004200000000001"/>
    <s v="BENITES AGURTO ERICK ROMMEL"/>
  </r>
  <r>
    <n v="4"/>
    <d v="2019-01-16T00:00:00"/>
    <x v="0"/>
    <s v="BV"/>
    <s v="0001-0046094"/>
    <n v="1"/>
    <s v="Serv. Movilidad Piura - Huarmaca"/>
    <x v="3"/>
    <x v="2"/>
    <x v="0"/>
    <s v="Glb"/>
    <n v="1"/>
    <n v="30"/>
    <m/>
    <m/>
    <n v="30"/>
    <s v="EMPRESA DE TRANSPORTES COCOTURS EIRL"/>
  </r>
  <r>
    <n v="5"/>
    <d v="2019-01-16T00:00:00"/>
    <x v="0"/>
    <s v="F"/>
    <s v="001-755"/>
    <n v="1"/>
    <s v="Servicio de movilidad Chiclayo - Lima - Piura - Piura"/>
    <x v="4"/>
    <x v="0"/>
    <x v="0"/>
    <s v="Glb"/>
    <n v="1"/>
    <n v="296.61"/>
    <n v="53.389800000000001"/>
    <m/>
    <n v="349.99979999999999"/>
    <s v="MOGOLLON FARFAN ROLANDO"/>
  </r>
  <r>
    <n v="6"/>
    <d v="2019-01-16T00:00:00"/>
    <x v="0"/>
    <s v="FE"/>
    <s v="FFF1-4463"/>
    <n v="1"/>
    <s v="Desayuno- Reunión en Piura"/>
    <x v="5"/>
    <x v="2"/>
    <x v="0"/>
    <s v="Glb"/>
    <n v="1"/>
    <n v="27.97"/>
    <n v="5.0345999999999993"/>
    <m/>
    <n v="33.004599999999996"/>
    <s v="SNACK BAR EIR LTDA"/>
  </r>
  <r>
    <n v="7"/>
    <d v="2019-01-16T00:00:00"/>
    <x v="0"/>
    <s v="FE"/>
    <s v="E001-10"/>
    <n v="1"/>
    <s v="SERVICIO DE TAXI"/>
    <x v="3"/>
    <x v="2"/>
    <x v="0"/>
    <s v="Glb"/>
    <n v="1"/>
    <n v="70.7"/>
    <m/>
    <m/>
    <n v="70.7"/>
    <s v="VILLANUEVA SAYAVERDE ERICK ABSALON"/>
  </r>
  <r>
    <n v="8"/>
    <d v="2019-01-17T00:00:00"/>
    <x v="0"/>
    <s v="BV"/>
    <s v="1-1512"/>
    <n v="1"/>
    <s v="Servicio de habitación"/>
    <x v="6"/>
    <x v="2"/>
    <x v="0"/>
    <s v="Glb"/>
    <n v="1"/>
    <n v="45"/>
    <m/>
    <m/>
    <n v="45"/>
    <s v="IBAÑEZ ZEÑA DIOMEDES "/>
  </r>
  <r>
    <n v="9"/>
    <d v="2019-01-18T00:00:00"/>
    <x v="0"/>
    <s v="BVE"/>
    <s v="116-2-2794850"/>
    <n v="1"/>
    <s v="Ingreso al Aeropuerto - Vuelo Liber"/>
    <x v="7"/>
    <x v="0"/>
    <x v="0"/>
    <s v="Glb"/>
    <n v="1"/>
    <n v="5.51"/>
    <n v="0.9917999999999999"/>
    <m/>
    <n v="6.5017999999999994"/>
    <s v="AEROPUERTOS DEL PERU SA"/>
  </r>
  <r>
    <n v="10"/>
    <d v="2019-01-18T00:00:00"/>
    <x v="0"/>
    <s v="BV"/>
    <s v="2-8325"/>
    <n v="1"/>
    <s v="Alimentación Chofer Alquiler camioneta y personal "/>
    <x v="4"/>
    <x v="0"/>
    <x v="0"/>
    <s v="Glb"/>
    <n v="1"/>
    <n v="20"/>
    <m/>
    <m/>
    <n v="20"/>
    <s v="AGUILAR VASQUEZ ISIDRO"/>
  </r>
  <r>
    <n v="11"/>
    <d v="2019-01-18T00:00:00"/>
    <x v="0"/>
    <s v="F"/>
    <s v="1-5623"/>
    <n v="1"/>
    <s v="Serv. Movilidad en Piura - Región - Aeropuerto y otros"/>
    <x v="4"/>
    <x v="0"/>
    <x v="0"/>
    <s v="Glb"/>
    <n v="1"/>
    <n v="127.12"/>
    <n v="22.881599999999999"/>
    <m/>
    <n v="150.0016"/>
    <s v="CAMACHO ALZAMORA DIONICIO"/>
  </r>
  <r>
    <n v="12"/>
    <d v="2019-01-18T00:00:00"/>
    <x v="0"/>
    <s v="FE"/>
    <s v="FB01-204768"/>
    <n v="1"/>
    <s v="Peaje alq. Camioneta a Huarmaca"/>
    <x v="7"/>
    <x v="0"/>
    <x v="0"/>
    <s v="Glb"/>
    <n v="1"/>
    <n v="5.76"/>
    <n v="1.0367999999999999"/>
    <m/>
    <n v="6.7967999999999993"/>
    <s v="CONCESIONARIA IIRSA NORTE SA"/>
  </r>
  <r>
    <n v="13"/>
    <d v="2019-01-18T00:00:00"/>
    <x v="0"/>
    <s v="FE"/>
    <s v="FC01-105362"/>
    <n v="1"/>
    <s v="Peaje alq. Camioneta a Huarmaca"/>
    <x v="7"/>
    <x v="0"/>
    <x v="0"/>
    <s v="Glb"/>
    <n v="1"/>
    <n v="5.76"/>
    <n v="1.0367999999999999"/>
    <m/>
    <n v="6.7967999999999993"/>
    <s v="CONCESIONARIA IIRSA NORTE SA"/>
  </r>
  <r>
    <n v="14"/>
    <d v="2019-01-18T00:00:00"/>
    <x v="0"/>
    <s v="FE"/>
    <s v="F2-44805"/>
    <n v="1"/>
    <s v="Tanqueo camioneta alquilada"/>
    <x v="8"/>
    <x v="0"/>
    <x v="0"/>
    <s v="Glb"/>
    <n v="1"/>
    <n v="196.65"/>
    <n v="35.396999999999998"/>
    <m/>
    <n v="232.047"/>
    <s v="ESTACION DE SERVICIO Y GASOCENTRO MIRAFLORES SCRL"/>
  </r>
  <r>
    <n v="15"/>
    <d v="2019-01-18T00:00:00"/>
    <x v="0"/>
    <s v="FE"/>
    <s v="E1-152"/>
    <n v="1"/>
    <s v="Impresiones cartas y uso internet"/>
    <x v="2"/>
    <x v="0"/>
    <x v="0"/>
    <s v="Glb"/>
    <n v="1"/>
    <n v="4.58"/>
    <n v="0.82440000000000002"/>
    <m/>
    <n v="5.4043999999999999"/>
    <s v="GEOCOPY EIRL"/>
  </r>
  <r>
    <n v="16"/>
    <d v="2019-01-18T00:00:00"/>
    <x v="0"/>
    <s v="FE"/>
    <s v="F973-00010914"/>
    <n v="1"/>
    <s v="Utiles de aseo"/>
    <x v="9"/>
    <x v="1"/>
    <x v="0"/>
    <s v="Glb"/>
    <n v="1"/>
    <n v="159.91"/>
    <n v="28.783799999999999"/>
    <m/>
    <n v="188.69380000000001"/>
    <s v="HIPERMERCADOS TOTTUS SA"/>
  </r>
  <r>
    <n v="17"/>
    <d v="2019-01-18T00:00:00"/>
    <x v="0"/>
    <s v="FE"/>
    <s v="F001-00000524"/>
    <n v="1"/>
    <s v="Alimentacion"/>
    <x v="10"/>
    <x v="2"/>
    <x v="0"/>
    <s v="Glb"/>
    <n v="1"/>
    <n v="72.459999999999994"/>
    <n v="13.042799999999998"/>
    <m/>
    <n v="85.502799999999993"/>
    <s v="LAS DOS JARRAS EIRL"/>
  </r>
  <r>
    <n v="18"/>
    <d v="2019-01-18T00:00:00"/>
    <x v="0"/>
    <s v="BV"/>
    <s v="1-11"/>
    <n v="1"/>
    <s v="Alimentación Chofer Alquiler camioneta"/>
    <x v="4"/>
    <x v="0"/>
    <x v="0"/>
    <s v="Glb"/>
    <n v="1"/>
    <n v="15"/>
    <m/>
    <m/>
    <n v="15"/>
    <s v="VELASQUEZ CORDOVA JORDAN LIDER"/>
  </r>
  <r>
    <n v="19"/>
    <d v="2019-01-19T00:00:00"/>
    <x v="0"/>
    <s v="BV"/>
    <s v="1-1520"/>
    <n v="1"/>
    <s v="Alojamiento chofer alq. Camioneta"/>
    <x v="11"/>
    <x v="0"/>
    <x v="0"/>
    <s v="Glb"/>
    <n v="1"/>
    <n v="30"/>
    <m/>
    <m/>
    <n v="30"/>
    <s v="IBAÑEZ ZEÑA DIOMEDES "/>
  </r>
  <r>
    <n v="20"/>
    <d v="2019-01-20T00:00:00"/>
    <x v="0"/>
    <s v="BV"/>
    <s v="380-191184"/>
    <n v="1"/>
    <s v="Serv. Movilidad Lima - Chiclayo"/>
    <x v="3"/>
    <x v="2"/>
    <x v="0"/>
    <s v="Glb"/>
    <n v="1"/>
    <n v="135"/>
    <m/>
    <m/>
    <n v="135"/>
    <s v="TURISMO CIVA SAC"/>
  </r>
  <r>
    <n v="21"/>
    <d v="2019-01-21T00:00:00"/>
    <x v="0"/>
    <s v="FE"/>
    <s v="F008-00002008"/>
    <n v="1"/>
    <s v="Alquiler de camioneta y serv conductor - Exceso de Kilometraje"/>
    <x v="11"/>
    <x v="0"/>
    <x v="0"/>
    <s v="Glb"/>
    <n v="1"/>
    <n v="315.25"/>
    <n v="56.744999999999997"/>
    <m/>
    <n v="371.995"/>
    <s v="ESTACION DE SERVICIOS SAN JOSE SAC"/>
  </r>
  <r>
    <n v="22"/>
    <d v="2019-01-22T00:00:00"/>
    <x v="0"/>
    <s v="F"/>
    <s v="0001-001317"/>
    <n v="1"/>
    <s v="Guante de Jebe"/>
    <x v="12"/>
    <x v="3"/>
    <x v="1"/>
    <s v="Glb"/>
    <n v="1"/>
    <n v="11.86"/>
    <n v="2.1347999999999998"/>
    <m/>
    <n v="13.9948"/>
    <s v="CHUQUIPOMA CHINCHAY ELSA"/>
  </r>
  <r>
    <n v="23"/>
    <d v="2019-01-23T00:00:00"/>
    <x v="0"/>
    <s v="FE"/>
    <s v="F008-00002013"/>
    <n v="1"/>
    <s v="Alquiler de camioneta y serv conductor - Combustible"/>
    <x v="11"/>
    <x v="0"/>
    <x v="0"/>
    <s v="Glb"/>
    <n v="1"/>
    <n v="200.85"/>
    <n v="36.152999999999999"/>
    <m/>
    <n v="237.00299999999999"/>
    <s v="ESTACION DE SERVICIOS SAN JOSE SAC"/>
  </r>
  <r>
    <n v="24"/>
    <d v="2019-01-23T00:00:00"/>
    <x v="0"/>
    <s v="FE"/>
    <s v="F003-00196328"/>
    <n v="1"/>
    <s v="Serv. Movilidad Lima - Chiclayo"/>
    <x v="3"/>
    <x v="2"/>
    <x v="0"/>
    <s v="Glb"/>
    <n v="1"/>
    <n v="90"/>
    <m/>
    <m/>
    <n v="90"/>
    <s v="TRANSPORTES CRUZ DEL SUR SAC"/>
  </r>
  <r>
    <n v="25"/>
    <d v="2019-01-24T00:00:00"/>
    <x v="0"/>
    <s v="BV"/>
    <s v="003-000294"/>
    <n v="1"/>
    <s v="Serv. Movilidad Chiclayo - Hualapampa"/>
    <x v="3"/>
    <x v="2"/>
    <x v="0"/>
    <s v="Glb"/>
    <n v="1"/>
    <n v="20"/>
    <m/>
    <m/>
    <n v="20"/>
    <s v="EMPRESA DE TRANSPORTES TURISMO SALLIQUE SRL"/>
  </r>
  <r>
    <n v="26"/>
    <d v="2019-01-24T00:00:00"/>
    <x v="0"/>
    <s v="BV"/>
    <s v="0001-001446"/>
    <n v="1"/>
    <s v="Impresiones, copias, internet"/>
    <x v="2"/>
    <x v="0"/>
    <x v="0"/>
    <s v="Glb"/>
    <n v="1"/>
    <n v="11"/>
    <m/>
    <m/>
    <n v="11"/>
    <s v="HUAMAN LIZANA SEDINA"/>
  </r>
  <r>
    <n v="27"/>
    <d v="2019-01-24T00:00:00"/>
    <x v="0"/>
    <s v="BV"/>
    <s v="001-0001669"/>
    <n v="1"/>
    <s v="Duplicado de llaves"/>
    <x v="1"/>
    <x v="1"/>
    <x v="0"/>
    <s v="Glb"/>
    <n v="1"/>
    <n v="30"/>
    <m/>
    <m/>
    <n v="30"/>
    <s v="SANTOS CARRION ANDRES ALADINO "/>
  </r>
  <r>
    <n v="28"/>
    <d v="2019-01-24T00:00:00"/>
    <x v="0"/>
    <s v="BV"/>
    <s v="0001-000122"/>
    <n v="1"/>
    <s v="Utiles de oficina"/>
    <x v="1"/>
    <x v="1"/>
    <x v="0"/>
    <s v="Glb"/>
    <n v="1"/>
    <n v="7"/>
    <m/>
    <m/>
    <n v="7"/>
    <s v="ZEÑA CARRASCO GERMAN"/>
  </r>
  <r>
    <n v="29"/>
    <d v="2019-01-24T00:00:00"/>
    <x v="0"/>
    <s v="BV"/>
    <s v="0001-000121"/>
    <n v="1"/>
    <s v="Copias"/>
    <x v="2"/>
    <x v="0"/>
    <x v="0"/>
    <s v="Glb"/>
    <n v="1"/>
    <n v="10"/>
    <m/>
    <m/>
    <n v="10"/>
    <s v="ZEÑA CARRASCO GERMAN"/>
  </r>
  <r>
    <n v="30"/>
    <d v="2019-01-25T00:00:00"/>
    <x v="0"/>
    <s v="RRHH"/>
    <s v="E001-202"/>
    <n v="1"/>
    <s v="Serv. Prestado en tramite de documentacion"/>
    <x v="4"/>
    <x v="0"/>
    <x v="0"/>
    <s v="Glb"/>
    <n v="1"/>
    <n v="20"/>
    <m/>
    <m/>
    <n v="20"/>
    <s v="PAIVA MEJIA DORIS AZUCENA FIORELLA"/>
  </r>
  <r>
    <n v="31"/>
    <d v="2019-01-25T00:00:00"/>
    <x v="0"/>
    <s v="F"/>
    <s v="0003-001171"/>
    <n v="1"/>
    <s v="Banner"/>
    <x v="12"/>
    <x v="3"/>
    <x v="2"/>
    <s v="Glb"/>
    <n v="1"/>
    <n v="338.98"/>
    <n v="61.016400000000004"/>
    <m/>
    <n v="399.99639999999999"/>
    <s v="VALVERDE SILVA VERONICA "/>
  </r>
  <r>
    <n v="32"/>
    <d v="2019-01-26T00:00:00"/>
    <x v="0"/>
    <s v="FE"/>
    <s v="F101-082086"/>
    <n v="1"/>
    <s v="Almoh Shiny"/>
    <x v="1"/>
    <x v="1"/>
    <x v="0"/>
    <s v="Glb"/>
    <n v="1"/>
    <n v="5.34"/>
    <n v="0.96119999999999994"/>
    <m/>
    <n v="6.3011999999999997"/>
    <s v="CAYLU IMPORT SRL"/>
  </r>
  <r>
    <n v="33"/>
    <d v="2019-01-26T00:00:00"/>
    <x v="0"/>
    <s v="BV"/>
    <s v="0001-001458"/>
    <n v="1"/>
    <s v="Plastico film"/>
    <x v="12"/>
    <x v="3"/>
    <x v="2"/>
    <s v="Glb"/>
    <n v="1"/>
    <n v="25"/>
    <m/>
    <m/>
    <n v="25"/>
    <s v="CRUZ RIVERA DAVID"/>
  </r>
  <r>
    <n v="34"/>
    <d v="2019-01-26T00:00:00"/>
    <x v="0"/>
    <s v="FE"/>
    <s v="F021-00005708"/>
    <n v="1"/>
    <s v="Printy Trodat"/>
    <x v="1"/>
    <x v="1"/>
    <x v="0"/>
    <s v="Glb"/>
    <n v="1"/>
    <n v="10.59"/>
    <n v="1.9061999999999999"/>
    <m/>
    <n v="12.4962"/>
    <s v="NEGOCIOS E INVERSIONES F.CHANG EIRL"/>
  </r>
  <r>
    <n v="35"/>
    <d v="2019-01-27T00:00:00"/>
    <x v="0"/>
    <s v="BV"/>
    <s v="00001-001267"/>
    <n v="1"/>
    <s v="Kit de limpieza para computadora"/>
    <x v="1"/>
    <x v="1"/>
    <x v="0"/>
    <s v="Glb"/>
    <n v="1"/>
    <n v="15"/>
    <m/>
    <m/>
    <n v="15"/>
    <s v="ALVAREZ PEREZ WILFREDO "/>
  </r>
  <r>
    <n v="36"/>
    <d v="2019-01-27T00:00:00"/>
    <x v="0"/>
    <s v="BV"/>
    <s v="001-0043658"/>
    <n v="1"/>
    <s v="Serv. Movilidad Chiclayo - Huarmaca"/>
    <x v="3"/>
    <x v="2"/>
    <x v="0"/>
    <s v="Glb"/>
    <n v="1"/>
    <n v="25"/>
    <m/>
    <m/>
    <n v="25"/>
    <s v="TURISMO SEÑOR DE LA HUMILDAD SRL"/>
  </r>
  <r>
    <n v="37"/>
    <d v="2019-01-28T00:00:00"/>
    <x v="0"/>
    <s v="F"/>
    <s v="0001-001329"/>
    <n v="1"/>
    <s v="Cemento, Yeso"/>
    <x v="12"/>
    <x v="3"/>
    <x v="2"/>
    <s v="Glb"/>
    <n v="1"/>
    <n v="26.69"/>
    <n v="4.8041999999999998"/>
    <m/>
    <n v="31.494199999999999"/>
    <s v="CHUQUIPOMA CHINCHAY ELSA"/>
  </r>
  <r>
    <n v="38"/>
    <d v="2019-01-28T00:00:00"/>
    <x v="0"/>
    <s v="F"/>
    <s v="F102-0000185"/>
    <n v="1"/>
    <s v="REINTEGRO DE PASAJE "/>
    <x v="3"/>
    <x v="2"/>
    <x v="0"/>
    <s v="Glb"/>
    <n v="1"/>
    <n v="80"/>
    <m/>
    <m/>
    <n v="80"/>
    <s v="EMPRESA DE TRANSPORTE Y TURISMO SULLANA EXPREES SAC"/>
  </r>
  <r>
    <n v="39"/>
    <d v="2019-01-28T00:00:00"/>
    <x v="0"/>
    <s v="BV"/>
    <s v="0001-004616"/>
    <n v="1"/>
    <s v="Elaboracion de sellos"/>
    <x v="2"/>
    <x v="0"/>
    <x v="0"/>
    <s v="Glb"/>
    <n v="1"/>
    <n v="63"/>
    <m/>
    <m/>
    <n v="63"/>
    <s v="VALDIVIEZO TRUJILLO PERCY ARTURO "/>
  </r>
  <r>
    <n v="40"/>
    <d v="2019-01-29T00:00:00"/>
    <x v="0"/>
    <s v="FE"/>
    <s v="FC01-109586"/>
    <n v="1"/>
    <s v="Peaje alq. Camioneta a Huarmaca"/>
    <x v="7"/>
    <x v="0"/>
    <x v="0"/>
    <s v="Glb"/>
    <n v="1"/>
    <n v="5.76"/>
    <n v="1.0367999999999999"/>
    <m/>
    <n v="6.7967999999999993"/>
    <s v="CONCESIONARIA IIRSA NORTE SA"/>
  </r>
  <r>
    <n v="41"/>
    <d v="2019-01-29T00:00:00"/>
    <x v="0"/>
    <s v="FE"/>
    <s v="FB01-213648"/>
    <n v="1"/>
    <s v="Peaje alq. Camioneta a Huarmaca"/>
    <x v="7"/>
    <x v="0"/>
    <x v="0"/>
    <s v="Glb"/>
    <n v="1"/>
    <n v="5.76"/>
    <n v="1.0367999999999999"/>
    <m/>
    <n v="6.7967999999999993"/>
    <s v="CONCESIONARIA IIRSA NORTE SA"/>
  </r>
  <r>
    <n v="42"/>
    <d v="2019-01-29T00:00:00"/>
    <x v="0"/>
    <s v="F"/>
    <s v="F575-0004420"/>
    <n v="1"/>
    <s v="ARCHIVADOR PLASTIFICADO A4"/>
    <x v="1"/>
    <x v="1"/>
    <x v="0"/>
    <s v="Glb"/>
    <n v="1"/>
    <n v="73.02"/>
    <n v="13.143599999999999"/>
    <m/>
    <n v="86.163600000000002"/>
    <s v="MEGA UTILES Y SUMISTROS SAC"/>
  </r>
  <r>
    <n v="43"/>
    <d v="2019-01-29T00:00:00"/>
    <x v="0"/>
    <s v="FE"/>
    <s v="F021-00005766"/>
    <n v="1"/>
    <s v="Utiles de oficina"/>
    <x v="1"/>
    <x v="1"/>
    <x v="0"/>
    <s v="Glb"/>
    <n v="1"/>
    <n v="133.72"/>
    <n v="24.069599999999998"/>
    <m/>
    <n v="157.78960000000001"/>
    <s v="NEGOCIOS E INVERSIONES F.CHANG EIRL"/>
  </r>
  <r>
    <n v="44"/>
    <d v="2019-01-29T00:00:00"/>
    <x v="0"/>
    <s v="FE"/>
    <s v="F021-00005768"/>
    <n v="1"/>
    <s v="Utiles de oficina"/>
    <x v="1"/>
    <x v="1"/>
    <x v="0"/>
    <s v="Glb"/>
    <n v="1"/>
    <n v="167.12"/>
    <n v="30.081599999999998"/>
    <m/>
    <n v="197.20160000000001"/>
    <s v="NEGOCIOS E INVERSIONES F.CHANG EIRL"/>
  </r>
  <r>
    <n v="45"/>
    <d v="2019-01-29T00:00:00"/>
    <x v="0"/>
    <s v="FE"/>
    <s v="F021-00005765"/>
    <n v="1"/>
    <s v="Utiles de oficina"/>
    <x v="1"/>
    <x v="1"/>
    <x v="0"/>
    <s v="Glb"/>
    <n v="1"/>
    <n v="333.35"/>
    <n v="60.003"/>
    <m/>
    <n v="393.35300000000001"/>
    <s v="NEGOCIOS E INVERSIONES F.CHANG EIRL"/>
  </r>
  <r>
    <n v="46"/>
    <d v="2019-01-29T00:00:00"/>
    <x v="0"/>
    <s v="FE"/>
    <s v="F021-00005767"/>
    <n v="1"/>
    <s v="Utiles de oficina"/>
    <x v="1"/>
    <x v="1"/>
    <x v="0"/>
    <s v="Glb"/>
    <n v="1"/>
    <n v="142.83000000000001"/>
    <n v="25.709400000000002"/>
    <m/>
    <n v="168.5394"/>
    <s v="NEGOCIOS E INVERSIONES F.CHANG EIRL"/>
  </r>
  <r>
    <n v="47"/>
    <d v="2019-01-29T00:00:00"/>
    <x v="0"/>
    <s v="FE"/>
    <s v="F021-00005770"/>
    <n v="1"/>
    <s v="Utiles de oficina"/>
    <x v="1"/>
    <x v="1"/>
    <x v="0"/>
    <s v="Glb"/>
    <n v="1"/>
    <n v="10.48"/>
    <n v="1.8864000000000001"/>
    <m/>
    <n v="12.366400000000001"/>
    <s v="NEGOCIOS E INVERSIONES F.CHANG EIRL"/>
  </r>
  <r>
    <n v="48"/>
    <d v="2019-01-29T00:00:00"/>
    <x v="0"/>
    <s v="FE"/>
    <s v="F021-00005769"/>
    <n v="1"/>
    <s v="Utiles de oficina"/>
    <x v="1"/>
    <x v="1"/>
    <x v="0"/>
    <s v="Glb"/>
    <n v="1"/>
    <n v="271.06"/>
    <n v="48.790799999999997"/>
    <m/>
    <n v="319.85079999999999"/>
    <s v="NEGOCIOS E INVERSIONES F.CHANG EIRL"/>
  </r>
  <r>
    <n v="49"/>
    <d v="2019-01-29T00:00:00"/>
    <x v="0"/>
    <s v="FE"/>
    <s v="F002-5"/>
    <n v="3"/>
    <s v="Serv. Movilidad Iquitos-Lima-Piura-Huarmaca"/>
    <x v="3"/>
    <x v="2"/>
    <x v="0"/>
    <s v="Glb"/>
    <n v="1"/>
    <n v="522.25"/>
    <n v="94.004999999999995"/>
    <m/>
    <n v="616.255"/>
    <s v="TURISMO SEÑOR DE LA HUMILDAD SRL"/>
  </r>
  <r>
    <n v="50"/>
    <d v="2019-01-30T00:00:00"/>
    <x v="0"/>
    <s v="BV"/>
    <s v="0001-001535"/>
    <n v="1"/>
    <s v="Servicio de habitación"/>
    <x v="6"/>
    <x v="2"/>
    <x v="0"/>
    <s v="Glb"/>
    <n v="1"/>
    <n v="60"/>
    <m/>
    <m/>
    <n v="60"/>
    <s v="IBAÑEZ ZEÑA DIOMEDES "/>
  </r>
  <r>
    <n v="51"/>
    <d v="2019-01-31T00:00:00"/>
    <x v="0"/>
    <s v="BV"/>
    <s v="0001-021272"/>
    <n v="1"/>
    <s v="Copias"/>
    <x v="2"/>
    <x v="0"/>
    <x v="0"/>
    <s v="Glb"/>
    <n v="1"/>
    <n v="3.3"/>
    <m/>
    <m/>
    <n v="3.3"/>
    <s v="CHIROQUE YARLEQUE HAYDEE"/>
  </r>
  <r>
    <n v="52"/>
    <d v="2019-01-31T00:00:00"/>
    <x v="0"/>
    <s v="F"/>
    <s v="0001-000726"/>
    <n v="1"/>
    <s v="MATERIALES VARIOS "/>
    <x v="12"/>
    <x v="3"/>
    <x v="2"/>
    <s v="Glb"/>
    <n v="1"/>
    <n v="45.76"/>
    <n v="8.2367999999999988"/>
    <m/>
    <n v="53.996799999999993"/>
    <s v="RANZ SAC"/>
  </r>
  <r>
    <n v="53"/>
    <d v="2019-01-31T00:00:00"/>
    <x v="0"/>
    <s v="F"/>
    <s v="0001-000725"/>
    <n v="1"/>
    <s v="EPP'S VARIOS"/>
    <x v="12"/>
    <x v="3"/>
    <x v="1"/>
    <s v="Glb"/>
    <n v="1"/>
    <n v="299.14999999999998"/>
    <n v="53.846999999999994"/>
    <m/>
    <n v="352.99699999999996"/>
    <s v="RANZ SAC"/>
  </r>
  <r>
    <n v="54"/>
    <d v="2019-01-31T00:00:00"/>
    <x v="0"/>
    <s v="F"/>
    <s v="0001-000718"/>
    <n v="1"/>
    <s v="MATERIALES VARIOS "/>
    <x v="12"/>
    <x v="3"/>
    <x v="2"/>
    <s v="Glb"/>
    <n v="1"/>
    <n v="252.54"/>
    <n v="45.4572"/>
    <m/>
    <n v="297.99720000000002"/>
    <s v="RANZ SAC"/>
  </r>
  <r>
    <n v="55"/>
    <d v="2019-01-31T00:00:00"/>
    <x v="0"/>
    <s v="FE"/>
    <s v="F008-00002043"/>
    <n v="3"/>
    <s v="Alquiler de camioneta y serv conductor"/>
    <x v="11"/>
    <x v="0"/>
    <x v="0"/>
    <s v="Glb"/>
    <n v="1"/>
    <n v="716.1"/>
    <n v="128.898"/>
    <m/>
    <n v="844.99800000000005"/>
    <s v="ESTACION DE SERVICIOS SAN JOSE SAC"/>
  </r>
  <r>
    <n v="56"/>
    <d v="2019-01-19T00:00:00"/>
    <x v="0"/>
    <s v="PM"/>
    <s v="000-01"/>
    <n v="1"/>
    <s v="Planilla de gastos por movilidad"/>
    <x v="13"/>
    <x v="2"/>
    <x v="0"/>
    <s v="Glb"/>
    <n v="1"/>
    <n v="25"/>
    <m/>
    <m/>
    <n v="25"/>
    <s v="SANTISTEBA VARGAS PILAR"/>
  </r>
  <r>
    <n v="57"/>
    <d v="2019-02-01T00:00:00"/>
    <x v="1"/>
    <s v="BV"/>
    <s v="0001-007868"/>
    <n v="1"/>
    <s v="Sobres"/>
    <x v="1"/>
    <x v="1"/>
    <x v="0"/>
    <s v="Glb"/>
    <n v="1"/>
    <n v="20"/>
    <m/>
    <m/>
    <n v="20"/>
    <s v="ADRIANZEN HUANCAS JORGE ALFREDO "/>
  </r>
  <r>
    <n v="58"/>
    <d v="2019-02-01T00:00:00"/>
    <x v="1"/>
    <s v="F"/>
    <s v="001-000194"/>
    <n v="1"/>
    <s v="ALQUILER DE HABITACION"/>
    <x v="6"/>
    <x v="2"/>
    <x v="0"/>
    <s v="Glb"/>
    <n v="1"/>
    <n v="279.66000000000003"/>
    <n v="50.338799999999999"/>
    <m/>
    <n v="329.99880000000002"/>
    <s v="CARRASCO HUANCAS CARMEN ESTELA"/>
  </r>
  <r>
    <n v="59"/>
    <d v="2019-02-02T00:00:00"/>
    <x v="1"/>
    <s v="BV"/>
    <s v="0001-001279"/>
    <n v="1"/>
    <s v="Utiles de oficina"/>
    <x v="1"/>
    <x v="1"/>
    <x v="0"/>
    <s v="Glb"/>
    <n v="1"/>
    <n v="6"/>
    <m/>
    <m/>
    <n v="6"/>
    <s v="ALVAREZ PEREZ WILFREDO "/>
  </r>
  <r>
    <n v="60"/>
    <d v="2019-02-02T00:00:00"/>
    <x v="1"/>
    <s v="BV"/>
    <s v="0002-000224"/>
    <n v="1"/>
    <s v="Parrillas Familiares"/>
    <x v="10"/>
    <x v="2"/>
    <x v="0"/>
    <s v="Glb"/>
    <n v="1"/>
    <n v="181"/>
    <m/>
    <m/>
    <n v="181"/>
    <s v="CHUQUIPOMA VASQUEZ EDWIN"/>
  </r>
  <r>
    <n v="61"/>
    <d v="2019-01-25T00:00:00"/>
    <x v="0"/>
    <s v="BV"/>
    <s v="0001-0046191"/>
    <n v="1"/>
    <s v="Serv. Movilidad Piura - Huarmaca"/>
    <x v="3"/>
    <x v="2"/>
    <x v="0"/>
    <s v="Glb"/>
    <n v="1"/>
    <n v="30"/>
    <m/>
    <m/>
    <n v="30"/>
    <s v="EMPRESA DE TRANSPORTES COCOTURS EIRL"/>
  </r>
  <r>
    <n v="62"/>
    <d v="2019-02-02T00:00:00"/>
    <x v="1"/>
    <s v="FE"/>
    <s v="F001-00000239"/>
    <n v="1"/>
    <s v="Servicio de habitación"/>
    <x v="6"/>
    <x v="2"/>
    <x v="0"/>
    <s v="Glb"/>
    <n v="1"/>
    <n v="237.29"/>
    <n v="42.712199999999996"/>
    <m/>
    <n v="280.00220000000002"/>
    <s v="JIA WEI INVERSIONES SAC"/>
  </r>
  <r>
    <n v="63"/>
    <d v="2019-02-03T00:00:00"/>
    <x v="1"/>
    <s v="BV"/>
    <s v="0001-002714"/>
    <n v="1"/>
    <s v="GASOLINA"/>
    <x v="14"/>
    <x v="3"/>
    <x v="2"/>
    <s v="Glb"/>
    <n v="1"/>
    <n v="56"/>
    <m/>
    <m/>
    <n v="56"/>
    <s v="CARRASCO TORRES HORTENCIO"/>
  </r>
  <r>
    <n v="64"/>
    <d v="2019-02-03T00:00:00"/>
    <x v="1"/>
    <s v="BV"/>
    <s v="0001-002713"/>
    <n v="1"/>
    <s v="GASOLINA"/>
    <x v="14"/>
    <x v="3"/>
    <x v="2"/>
    <s v="Glb"/>
    <n v="1"/>
    <n v="28"/>
    <m/>
    <m/>
    <n v="28"/>
    <s v="CARRASCO TORRES HORTENCIO"/>
  </r>
  <r>
    <n v="65"/>
    <d v="2019-02-04T00:00:00"/>
    <x v="1"/>
    <s v="BV"/>
    <s v="0001-000501"/>
    <n v="1"/>
    <s v="Bota de jebe"/>
    <x v="12"/>
    <x v="3"/>
    <x v="1"/>
    <s v="Glb"/>
    <n v="1"/>
    <n v="25"/>
    <m/>
    <m/>
    <n v="25"/>
    <s v="PEREZ MANCHAY ROSA AMELIA"/>
  </r>
  <r>
    <n v="66"/>
    <d v="2019-02-08T00:00:00"/>
    <x v="1"/>
    <s v="F"/>
    <s v="2-214"/>
    <n v="2"/>
    <s v="Formatos de AST impresos"/>
    <x v="2"/>
    <x v="0"/>
    <x v="0"/>
    <s v="Glb"/>
    <n v="1"/>
    <n v="237.23"/>
    <n v="42.7014"/>
    <m/>
    <n v="279.9314"/>
    <s v="HERRERA ESTRADA ELIEZER"/>
  </r>
  <r>
    <n v="67"/>
    <d v="2019-02-09T00:00:00"/>
    <x v="1"/>
    <s v="FE"/>
    <s v="F002-7"/>
    <n v="3"/>
    <s v="RECOJO DE EQUIPOS DE COMPUTO LIMA - HUARMACA"/>
    <x v="15"/>
    <x v="0"/>
    <x v="0"/>
    <s v="Glb"/>
    <n v="1"/>
    <n v="533.9"/>
    <n v="96.10199999999999"/>
    <m/>
    <n v="630.00199999999995"/>
    <s v="TURISMO SEÑOR DE LA HUMILDAD SRL"/>
  </r>
  <r>
    <n v="68"/>
    <d v="2019-02-02T00:00:00"/>
    <x v="1"/>
    <s v="BV"/>
    <s v="0001-0046275"/>
    <n v="1"/>
    <s v="Serv. Movilidad Piura - Huarmaca"/>
    <x v="3"/>
    <x v="2"/>
    <x v="0"/>
    <s v="Glb"/>
    <n v="1"/>
    <n v="30"/>
    <m/>
    <m/>
    <n v="30"/>
    <s v="EMPRESA DE TRANSPORTES COCOTURS EIRL"/>
  </r>
  <r>
    <n v="69"/>
    <d v="2019-02-10T00:00:00"/>
    <x v="1"/>
    <s v="RRHH"/>
    <s v="E001-12"/>
    <n v="1"/>
    <s v="CONSTRUCCION DE MURO PARA MEDIDOR"/>
    <x v="4"/>
    <x v="0"/>
    <x v="0"/>
    <s v="Glb"/>
    <n v="1"/>
    <n v="100"/>
    <m/>
    <m/>
    <n v="100"/>
    <s v="LABRIN CUSTODIO EDWAR"/>
  </r>
  <r>
    <n v="70"/>
    <d v="2019-01-21T00:00:00"/>
    <x v="0"/>
    <s v="BV"/>
    <s v="001-002283"/>
    <n v="1"/>
    <s v="Serv. Alimentacion y Movilizacion"/>
    <x v="3"/>
    <x v="2"/>
    <x v="0"/>
    <s v="Glb"/>
    <n v="1"/>
    <n v="90"/>
    <m/>
    <m/>
    <n v="90"/>
    <s v="RAMOS MILIAN ROSSY LISSETH"/>
  </r>
  <r>
    <n v="71"/>
    <d v="2019-02-10T00:00:00"/>
    <x v="1"/>
    <s v="RC"/>
    <s v="000-02"/>
    <n v="1"/>
    <s v="Gastos bancarios fondo fijo"/>
    <x v="16"/>
    <x v="4"/>
    <x v="0"/>
    <s v="Glb"/>
    <n v="1"/>
    <n v="177"/>
    <m/>
    <m/>
    <n v="177"/>
    <s v="SANTISTEBA VARGAS PILAR"/>
  </r>
  <r>
    <n v="72"/>
    <d v="2019-01-31T00:00:00"/>
    <x v="0"/>
    <s v="F"/>
    <s v="0001-000729"/>
    <n v="1"/>
    <s v="Materiales Varios "/>
    <x v="12"/>
    <x v="3"/>
    <x v="2"/>
    <s v="Glb"/>
    <n v="1"/>
    <n v="39.4"/>
    <n v="7.0919999999999996"/>
    <m/>
    <n v="46.491999999999997"/>
    <s v="RANZ SAC"/>
  </r>
  <r>
    <n v="73"/>
    <d v="2019-01-31T00:00:00"/>
    <x v="0"/>
    <s v="F"/>
    <s v="0001-000730"/>
    <n v="1"/>
    <s v="EPP'S VARIOS"/>
    <x v="12"/>
    <x v="3"/>
    <x v="1"/>
    <s v="Glb"/>
    <n v="1"/>
    <n v="211.01"/>
    <n v="37.9818"/>
    <m/>
    <n v="248.99179999999998"/>
    <s v="RANZ SAC"/>
  </r>
  <r>
    <n v="74"/>
    <d v="2019-01-31T00:00:00"/>
    <x v="0"/>
    <s v="F"/>
    <s v="0001-000731"/>
    <n v="1"/>
    <s v="EPP'S VARIOS"/>
    <x v="12"/>
    <x v="3"/>
    <x v="1"/>
    <s v="Glb"/>
    <n v="1"/>
    <n v="1193.22"/>
    <n v="214.77959999999999"/>
    <m/>
    <n v="1407.9996000000001"/>
    <s v="RANZ SAC"/>
  </r>
  <r>
    <n v="75"/>
    <d v="2019-02-11T00:00:00"/>
    <x v="1"/>
    <s v="F"/>
    <s v="0001-001205"/>
    <n v="1"/>
    <s v="INSTALACION DE INTERNET OFICINA STAFF"/>
    <x v="17"/>
    <x v="0"/>
    <x v="0"/>
    <s v="Glb"/>
    <n v="1"/>
    <n v="423.73"/>
    <n v="76.2714"/>
    <m/>
    <n v="500.00139999999999"/>
    <s v="ROMERO QUISPE RAMIRO"/>
  </r>
  <r>
    <n v="76"/>
    <d v="2019-01-28T00:00:00"/>
    <x v="0"/>
    <s v="BV"/>
    <s v="0001-000124"/>
    <n v="1"/>
    <s v="UTILES DE OFICINA"/>
    <x v="1"/>
    <x v="1"/>
    <x v="0"/>
    <s v="Glb"/>
    <n v="1"/>
    <n v="17"/>
    <m/>
    <m/>
    <n v="17"/>
    <s v="ZEÑA CARRASCO GERMAN"/>
  </r>
  <r>
    <n v="77"/>
    <d v="2019-01-15T00:00:00"/>
    <x v="0"/>
    <s v="FE"/>
    <s v="F009-41670"/>
    <n v="2"/>
    <s v="Legalización de cuadernos"/>
    <x v="18"/>
    <x v="5"/>
    <x v="0"/>
    <s v="Glb"/>
    <n v="1"/>
    <n v="42.37"/>
    <n v="7.6265999999999989"/>
    <m/>
    <n v="49.996599999999994"/>
    <s v="NOTARIA RICARDO FERNANDINI BARREDA"/>
  </r>
  <r>
    <n v="78"/>
    <d v="2019-01-18T00:00:00"/>
    <x v="0"/>
    <s v="RC"/>
    <s v="0-1"/>
    <n v="2"/>
    <s v="Motorizado de claro entregar celulares of."/>
    <x v="19"/>
    <x v="0"/>
    <x v="0"/>
    <s v="Glb"/>
    <n v="1"/>
    <n v="10"/>
    <m/>
    <m/>
    <n v="10"/>
    <s v="SANTISTEBA VARGAS PILAR"/>
  </r>
  <r>
    <n v="79"/>
    <d v="2019-02-13T00:00:00"/>
    <x v="1"/>
    <s v="RRHH"/>
    <s v="E001-29"/>
    <n v="2"/>
    <s v="SERVICIOS ADMINISTRATIVOS"/>
    <x v="4"/>
    <x v="0"/>
    <x v="0"/>
    <s v="Glb"/>
    <n v="1"/>
    <n v="584.5"/>
    <m/>
    <m/>
    <n v="584.5"/>
    <s v="BORAZINO SALAZAR JORGE RAFAEL"/>
  </r>
  <r>
    <n v="80"/>
    <d v="2019-02-13T00:00:00"/>
    <x v="1"/>
    <s v="FE"/>
    <s v="F025-52184"/>
    <n v="2"/>
    <s v="Envio de Sobres"/>
    <x v="19"/>
    <x v="0"/>
    <x v="0"/>
    <s v="Glb"/>
    <n v="1"/>
    <n v="20.34"/>
    <n v="3.6612"/>
    <m/>
    <n v="24.001200000000001"/>
    <s v="SERVICE JACKSON SRL"/>
  </r>
  <r>
    <n v="81"/>
    <d v="2019-02-04T00:00:00"/>
    <x v="1"/>
    <s v="BV"/>
    <s v="1-7878"/>
    <n v="2"/>
    <s v="Envio de Cajas"/>
    <x v="19"/>
    <x v="0"/>
    <x v="0"/>
    <s v="Glb"/>
    <n v="1"/>
    <n v="20"/>
    <m/>
    <m/>
    <n v="20"/>
    <s v="ADRIANZEN HUANCAS JORGE ALFREDO "/>
  </r>
  <r>
    <n v="82"/>
    <d v="2019-02-06T00:00:00"/>
    <x v="1"/>
    <s v="BV"/>
    <s v="1-10633"/>
    <n v="2"/>
    <s v="Impresiones y Escaneos de Cartas Notariales"/>
    <x v="2"/>
    <x v="0"/>
    <x v="0"/>
    <s v="Glb"/>
    <n v="1"/>
    <n v="20"/>
    <m/>
    <m/>
    <n v="20"/>
    <s v="YOVERA UGAZ MARIA DE LOS ANGELES "/>
  </r>
  <r>
    <n v="83"/>
    <d v="2019-01-19T00:00:00"/>
    <x v="0"/>
    <s v="FE"/>
    <s v="FC02-104968"/>
    <n v="2"/>
    <s v="Peaje alq. Camioneta a Huarmaca"/>
    <x v="7"/>
    <x v="0"/>
    <x v="0"/>
    <s v="Glb"/>
    <n v="1"/>
    <n v="5.76"/>
    <n v="1.0367999999999999"/>
    <m/>
    <n v="6.7967999999999993"/>
    <s v="CONCESIONARIA IIRSA NORTE SA"/>
  </r>
  <r>
    <n v="84"/>
    <d v="2019-02-05T00:00:00"/>
    <x v="1"/>
    <s v="FE"/>
    <s v="F022-46402"/>
    <n v="2"/>
    <s v="Envio de Sobres"/>
    <x v="19"/>
    <x v="0"/>
    <x v="0"/>
    <s v="Glb"/>
    <n v="1"/>
    <n v="10.17"/>
    <n v="1.8306"/>
    <m/>
    <n v="12.0006"/>
    <s v="SERVICE JACKSON SRL"/>
  </r>
  <r>
    <n v="85"/>
    <d v="2019-01-19T00:00:00"/>
    <x v="0"/>
    <s v="FE"/>
    <s v="FB02-205821"/>
    <n v="2"/>
    <s v="Peaje alq. Camioneta a Huarmaca"/>
    <x v="7"/>
    <x v="0"/>
    <x v="0"/>
    <s v="Glb"/>
    <n v="1"/>
    <n v="5.76"/>
    <n v="1.0367999999999999"/>
    <m/>
    <n v="6.7967999999999993"/>
    <s v="CONCESIONARIA IIRSA NORTE SA"/>
  </r>
  <r>
    <n v="86"/>
    <d v="2019-01-19T00:00:00"/>
    <x v="0"/>
    <s v="BV"/>
    <s v="1-1242"/>
    <n v="2"/>
    <s v="Alimentación Chofer Alquiler camioneta y personal "/>
    <x v="4"/>
    <x v="0"/>
    <x v="0"/>
    <s v="Glb"/>
    <n v="1"/>
    <n v="10"/>
    <m/>
    <m/>
    <n v="10"/>
    <s v="FLORES IMAN HENRY JONATHAN"/>
  </r>
  <r>
    <n v="87"/>
    <d v="2019-01-19T00:00:00"/>
    <x v="0"/>
    <s v="BV"/>
    <s v="2-8326"/>
    <n v="2"/>
    <s v="Alimentación Chofer Alquiler camioneta y personal "/>
    <x v="4"/>
    <x v="0"/>
    <x v="0"/>
    <s v="Glb"/>
    <n v="1"/>
    <n v="10"/>
    <m/>
    <m/>
    <n v="10"/>
    <s v="AGUILAR VASQUEZ ISIDRO"/>
  </r>
  <r>
    <n v="88"/>
    <d v="2019-01-30T00:00:00"/>
    <x v="0"/>
    <s v="FE"/>
    <s v="FC02-109164"/>
    <n v="2"/>
    <s v="Peaje alq. Camioneta a Huarmaca"/>
    <x v="7"/>
    <x v="0"/>
    <x v="0"/>
    <s v="Glb"/>
    <n v="1"/>
    <n v="5.76"/>
    <n v="1.0367999999999999"/>
    <m/>
    <n v="6.7967999999999993"/>
    <s v="CONCESIONARIA IIRSA NORTE SA"/>
  </r>
  <r>
    <n v="89"/>
    <d v="2019-01-30T00:00:00"/>
    <x v="0"/>
    <s v="FE"/>
    <s v="FB02-214775"/>
    <n v="2"/>
    <s v="Peaje alq. Camioneta a Huarmaca"/>
    <x v="7"/>
    <x v="0"/>
    <x v="0"/>
    <s v="Glb"/>
    <n v="1"/>
    <n v="5.76"/>
    <n v="1.0367999999999999"/>
    <m/>
    <n v="6.7967999999999993"/>
    <s v="CONCESIONARIA IIRSA NORTE SA"/>
  </r>
  <r>
    <n v="90"/>
    <d v="2019-01-30T00:00:00"/>
    <x v="0"/>
    <s v="FE"/>
    <s v="F006-21457"/>
    <n v="2"/>
    <s v="Envio de Sobres"/>
    <x v="7"/>
    <x v="0"/>
    <x v="0"/>
    <s v="Glb"/>
    <n v="1"/>
    <n v="8.4700000000000006"/>
    <n v="1.5246"/>
    <m/>
    <n v="9.9946000000000002"/>
    <s v="TRANSPORTES EL PINO SAC"/>
  </r>
  <r>
    <n v="91"/>
    <d v="2019-02-07T00:00:00"/>
    <x v="1"/>
    <s v="FE"/>
    <s v="F022-46632"/>
    <n v="3"/>
    <s v="Envio de Sobres"/>
    <x v="19"/>
    <x v="0"/>
    <x v="0"/>
    <s v="Glb"/>
    <n v="1"/>
    <n v="20.34"/>
    <n v="3.6612"/>
    <m/>
    <n v="24.001200000000001"/>
    <s v="SERVICE JACKSON SRL"/>
  </r>
  <r>
    <n v="92"/>
    <d v="2019-02-13T00:00:00"/>
    <x v="1"/>
    <s v="FE"/>
    <s v="F022-47089"/>
    <n v="2"/>
    <s v="Envio de Sobres"/>
    <x v="19"/>
    <x v="0"/>
    <x v="0"/>
    <s v="Glb"/>
    <n v="1"/>
    <n v="10.17"/>
    <n v="1.8306"/>
    <m/>
    <n v="12.0006"/>
    <s v="SERVICE JACKSON SRL"/>
  </r>
  <r>
    <n v="93"/>
    <d v="2019-02-12T00:00:00"/>
    <x v="1"/>
    <s v="F"/>
    <s v="2-218"/>
    <n v="2"/>
    <s v="Formatos de papeletas de amonestacion "/>
    <x v="2"/>
    <x v="0"/>
    <x v="0"/>
    <s v="Glb"/>
    <n v="1"/>
    <n v="139.83000000000001"/>
    <n v="25.1694"/>
    <m/>
    <n v="164.99940000000001"/>
    <s v="HERRERA ESTRADA ELIEZER"/>
  </r>
  <r>
    <n v="94"/>
    <d v="2019-02-19T00:00:00"/>
    <x v="1"/>
    <s v="RRHH"/>
    <s v="E001-158"/>
    <n v="2"/>
    <s v="Muestras para Concreto"/>
    <x v="12"/>
    <x v="3"/>
    <x v="2"/>
    <s v="Glb"/>
    <n v="1"/>
    <n v="276"/>
    <m/>
    <m/>
    <n v="276"/>
    <s v="TALLEDO SILVA SHAIN BORIS"/>
  </r>
  <r>
    <n v="95"/>
    <d v="2019-02-12T00:00:00"/>
    <x v="1"/>
    <s v="F"/>
    <s v="2-219"/>
    <n v="2"/>
    <s v="Sellos  Varios"/>
    <x v="2"/>
    <x v="0"/>
    <x v="0"/>
    <s v="Glb"/>
    <n v="1"/>
    <n v="263.56"/>
    <n v="47.440799999999996"/>
    <m/>
    <n v="311.00080000000003"/>
    <s v="HERRERA ESTRADA ELIEZER"/>
  </r>
  <r>
    <n v="96"/>
    <d v="2019-02-10T00:00:00"/>
    <x v="1"/>
    <s v="FE"/>
    <s v="F279-25674"/>
    <n v="2"/>
    <s v="Materiales electricos"/>
    <x v="12"/>
    <x v="3"/>
    <x v="2"/>
    <s v="Glb"/>
    <n v="1"/>
    <n v="482.97"/>
    <n v="86.934600000000003"/>
    <m/>
    <n v="569.90460000000007"/>
    <s v="TIENDAS DE MEJORAMIENTO DEL HOGAR SA"/>
  </r>
  <r>
    <n v="97"/>
    <d v="2019-02-11T00:00:00"/>
    <x v="1"/>
    <s v="FE"/>
    <s v="FA06-309704"/>
    <n v="2"/>
    <s v="Winchas Stanley"/>
    <x v="12"/>
    <x v="3"/>
    <x v="2"/>
    <s v="Glb"/>
    <n v="1"/>
    <n v="173.31"/>
    <n v="31.195799999999998"/>
    <m/>
    <n v="204.50579999999999"/>
    <s v="HOMECENTER PERUANOS SA"/>
  </r>
  <r>
    <n v="98"/>
    <d v="2019-02-15T00:00:00"/>
    <x v="1"/>
    <s v="BV"/>
    <s v="1-7921"/>
    <n v="2"/>
    <s v="Envios Paquetes + Sobres"/>
    <x v="19"/>
    <x v="0"/>
    <x v="0"/>
    <s v="Glb"/>
    <n v="1"/>
    <n v="40"/>
    <m/>
    <m/>
    <n v="40"/>
    <s v="ADRIANZEN HUANCAS JORGE ALFREDO "/>
  </r>
  <r>
    <n v="99"/>
    <d v="2019-01-31T00:00:00"/>
    <x v="0"/>
    <s v="FE"/>
    <s v="E001-3937"/>
    <n v="2"/>
    <s v="Cartas Notariales"/>
    <x v="18"/>
    <x v="5"/>
    <x v="0"/>
    <s v="Glb"/>
    <n v="1"/>
    <n v="101.69"/>
    <n v="18.304199999999998"/>
    <m/>
    <n v="119.99419999999999"/>
    <s v="RAMIREZ DE VASQUEZ AMARILIS"/>
  </r>
  <r>
    <n v="100"/>
    <d v="2019-02-15T00:00:00"/>
    <x v="1"/>
    <s v="FE"/>
    <s v="E001-4870"/>
    <n v="2"/>
    <s v="Tablero Eléctrico "/>
    <x v="20"/>
    <x v="3"/>
    <x v="3"/>
    <s v="Glb"/>
    <n v="1"/>
    <n v="869.62"/>
    <n v="156.5316"/>
    <m/>
    <n v="1026.1515999999999"/>
    <s v="SIEL ELECTRIC SRL"/>
  </r>
  <r>
    <n v="101"/>
    <d v="2019-02-18T00:00:00"/>
    <x v="1"/>
    <s v="F"/>
    <s v="2-224"/>
    <n v="2"/>
    <s v="Formatos de Seguridad"/>
    <x v="12"/>
    <x v="3"/>
    <x v="1"/>
    <s v="Glb"/>
    <n v="1"/>
    <n v="254.24"/>
    <n v="45.763199999999998"/>
    <m/>
    <n v="300.00319999999999"/>
    <s v="HERRERA ESTRADA ELIEZER"/>
  </r>
  <r>
    <n v="102"/>
    <d v="2019-02-15T00:00:00"/>
    <x v="1"/>
    <s v="FE"/>
    <s v="E001-232"/>
    <n v="2"/>
    <s v="Servicio de Taxi - Lima"/>
    <x v="13"/>
    <x v="2"/>
    <x v="0"/>
    <s v="Glb"/>
    <n v="1"/>
    <n v="50"/>
    <m/>
    <m/>
    <n v="50"/>
    <s v="BORRERO VIANA JESUS ISRAEL"/>
  </r>
  <r>
    <n v="103"/>
    <d v="2019-02-19T00:00:00"/>
    <x v="1"/>
    <s v="FE"/>
    <s v="F007-687"/>
    <n v="2"/>
    <s v="Certificados de Habilidad"/>
    <x v="21"/>
    <x v="0"/>
    <x v="0"/>
    <s v="Glb"/>
    <n v="1"/>
    <n v="211.87"/>
    <n v="38.136600000000001"/>
    <m/>
    <n v="250.00659999999999"/>
    <s v="COLEGIO DE INGENIEROS DEL PERU"/>
  </r>
  <r>
    <n v="104"/>
    <d v="2019-02-21T00:00:00"/>
    <x v="1"/>
    <s v="FE"/>
    <s v="E001-222"/>
    <n v="2"/>
    <s v="Servicio de Taxi - Lima"/>
    <x v="13"/>
    <x v="2"/>
    <x v="0"/>
    <s v="Glb"/>
    <n v="1"/>
    <n v="65"/>
    <m/>
    <m/>
    <n v="65"/>
    <s v="LUQUE JOYA JUAN FERNANDO"/>
  </r>
  <r>
    <n v="105"/>
    <d v="2019-02-21T00:00:00"/>
    <x v="1"/>
    <s v="F"/>
    <s v="1-4475"/>
    <n v="2"/>
    <s v="Servicio de Alojamiento"/>
    <x v="6"/>
    <x v="2"/>
    <x v="0"/>
    <s v="Glb"/>
    <n v="1"/>
    <n v="33.9"/>
    <n v="6.1019999999999994"/>
    <m/>
    <n v="40.001999999999995"/>
    <s v="HOSTAL BOLOGNESI SAC"/>
  </r>
  <r>
    <n v="106"/>
    <d v="2019-02-21T00:00:00"/>
    <x v="1"/>
    <s v="F"/>
    <s v="1-710"/>
    <n v="2"/>
    <s v="Alimentos Varios"/>
    <x v="5"/>
    <x v="2"/>
    <x v="0"/>
    <s v="Glb"/>
    <n v="1"/>
    <n v="47.46"/>
    <n v="8.5427999999999997"/>
    <m/>
    <n v="56.002800000000001"/>
    <s v="CHINCHAY HUAMAN GLADYS"/>
  </r>
  <r>
    <n v="107"/>
    <d v="2019-02-21T00:00:00"/>
    <x v="1"/>
    <s v="F"/>
    <s v="1-709"/>
    <n v="2"/>
    <s v="Menaje"/>
    <x v="5"/>
    <x v="2"/>
    <x v="0"/>
    <s v="Glb"/>
    <n v="1"/>
    <n v="128.81"/>
    <n v="23.1858"/>
    <m/>
    <n v="151.9958"/>
    <s v="CHINCHAY HUAMAN GLADYS"/>
  </r>
  <r>
    <n v="108"/>
    <d v="2019-02-21T00:00:00"/>
    <x v="1"/>
    <s v="F"/>
    <s v="1-711"/>
    <n v="2"/>
    <s v="Alimentos Varios"/>
    <x v="5"/>
    <x v="2"/>
    <x v="0"/>
    <s v="Glb"/>
    <n v="1"/>
    <n v="8.9"/>
    <n v="1.6020000000000001"/>
    <m/>
    <n v="10.502000000000001"/>
    <s v="CHINCHAY HUAMAN GLADYS"/>
  </r>
  <r>
    <n v="109"/>
    <d v="2019-02-20T00:00:00"/>
    <x v="1"/>
    <s v="FE"/>
    <s v="F844-2354"/>
    <n v="2"/>
    <s v="Menaje"/>
    <x v="5"/>
    <x v="2"/>
    <x v="0"/>
    <s v="Glb"/>
    <n v="1"/>
    <n v="118.48"/>
    <n v="21.3264"/>
    <m/>
    <n v="139.8064"/>
    <s v="HIPERMERCADOS TOTTUS SA"/>
  </r>
  <r>
    <n v="110"/>
    <d v="2019-02-20T00:00:00"/>
    <x v="1"/>
    <s v="F"/>
    <s v="1-4686"/>
    <n v="2"/>
    <s v="Carbones para Rotomartillos Bosch"/>
    <x v="12"/>
    <x v="3"/>
    <x v="2"/>
    <s v="Glb"/>
    <n v="1"/>
    <n v="291.52999999999997"/>
    <n v="52.475399999999993"/>
    <m/>
    <n v="344.00539999999995"/>
    <s v="ORTIZ RAMIREZ JORGE ANIBAL"/>
  </r>
  <r>
    <n v="111"/>
    <d v="2019-01-29T00:00:00"/>
    <x v="0"/>
    <s v="FE"/>
    <s v="F706-2643"/>
    <n v="2"/>
    <s v="Caja de Herramientas"/>
    <x v="12"/>
    <x v="3"/>
    <x v="2"/>
    <s v="Glb"/>
    <n v="1"/>
    <n v="110.08"/>
    <n v="19.814399999999999"/>
    <m/>
    <n v="129.89439999999999"/>
    <s v="TIENDAS DE MEJORAMIENTO DEL HOGAR SA"/>
  </r>
  <r>
    <n v="112"/>
    <d v="2019-01-31T00:00:00"/>
    <x v="0"/>
    <s v="F"/>
    <s v="1-722"/>
    <n v="2"/>
    <s v="Materiales Varios "/>
    <x v="12"/>
    <x v="3"/>
    <x v="2"/>
    <s v="Glb"/>
    <n v="1"/>
    <n v="42.37"/>
    <n v="7.6265999999999989"/>
    <m/>
    <n v="49.996599999999994"/>
    <s v="RANZ SAC"/>
  </r>
  <r>
    <n v="113"/>
    <d v="2019-02-01T00:00:00"/>
    <x v="1"/>
    <s v="BV"/>
    <s v="2-1"/>
    <n v="2"/>
    <s v="Alquiler de Local"/>
    <x v="22"/>
    <x v="0"/>
    <x v="0"/>
    <s v="Glb"/>
    <n v="1"/>
    <n v="110"/>
    <m/>
    <m/>
    <n v="110"/>
    <s v="ADRIANZEN IRRAZABAL MANUEL"/>
  </r>
  <r>
    <n v="114"/>
    <d v="2019-02-11T00:00:00"/>
    <x v="1"/>
    <s v="BV"/>
    <s v="1-122"/>
    <n v="2"/>
    <s v="Mantto. Generador Electrico"/>
    <x v="23"/>
    <x v="0"/>
    <x v="0"/>
    <s v="Glb"/>
    <n v="1"/>
    <n v="50"/>
    <m/>
    <m/>
    <n v="50"/>
    <s v="HUANCAS BOCANEGRA JHONATAN ALEX"/>
  </r>
  <r>
    <n v="115"/>
    <d v="2019-02-12T00:00:00"/>
    <x v="1"/>
    <s v="RC"/>
    <s v="0-2"/>
    <n v="2"/>
    <s v="Devolucion de Pago de Sobre"/>
    <x v="19"/>
    <x v="0"/>
    <x v="0"/>
    <s v="Glb"/>
    <n v="1"/>
    <n v="25"/>
    <m/>
    <m/>
    <n v="25"/>
    <s v="SANTISTEBA VARGAS PILAR"/>
  </r>
  <r>
    <n v="116"/>
    <d v="2019-02-19T00:00:00"/>
    <x v="1"/>
    <s v="RC"/>
    <s v="0-5"/>
    <n v="2"/>
    <s v="Cd's para instalacion de PC'S"/>
    <x v="1"/>
    <x v="1"/>
    <x v="0"/>
    <s v="Glb"/>
    <n v="1"/>
    <n v="48"/>
    <m/>
    <m/>
    <n v="48"/>
    <s v="ROBERTO GOMEZ "/>
  </r>
  <r>
    <n v="117"/>
    <d v="2019-02-20T00:00:00"/>
    <x v="1"/>
    <s v="F"/>
    <s v="1-1953"/>
    <n v="2"/>
    <s v="Alojamiento"/>
    <x v="6"/>
    <x v="2"/>
    <x v="0"/>
    <s v="Glb"/>
    <n v="1"/>
    <n v="21.19"/>
    <n v="3.8142"/>
    <m/>
    <n v="25.004200000000001"/>
    <s v="EMPRESA SOL Y MAR SRL"/>
  </r>
  <r>
    <n v="118"/>
    <d v="2019-02-21T00:00:00"/>
    <x v="1"/>
    <s v="RRHH"/>
    <s v="E001-159"/>
    <n v="2"/>
    <s v="Servicio de Diseño de Mezcla para Concreto"/>
    <x v="4"/>
    <x v="0"/>
    <x v="2"/>
    <s v="Glb"/>
    <n v="1"/>
    <n v="368"/>
    <m/>
    <m/>
    <n v="368"/>
    <s v="TALLEDO SILVA SHAIN BORIS"/>
  </r>
  <r>
    <n v="119"/>
    <d v="2019-02-21T00:00:00"/>
    <x v="1"/>
    <s v="PM"/>
    <s v="0-2"/>
    <n v="2"/>
    <s v="Planilla de gastos por movilidad"/>
    <x v="13"/>
    <x v="2"/>
    <x v="0"/>
    <s v="Glb"/>
    <n v="1"/>
    <n v="25"/>
    <m/>
    <m/>
    <n v="25"/>
    <s v="VILA GARRIDO RICARDO"/>
  </r>
  <r>
    <n v="120"/>
    <d v="2019-02-23T00:00:00"/>
    <x v="1"/>
    <s v="RRHH"/>
    <s v="E001-30"/>
    <n v="2"/>
    <s v="Servicios Administrativos y Documentarios en Piura"/>
    <x v="24"/>
    <x v="0"/>
    <x v="0"/>
    <s v="Glb"/>
    <n v="1"/>
    <n v="385"/>
    <m/>
    <m/>
    <n v="385"/>
    <s v="BORAZINO SALAZAR JORGE RAFAEL"/>
  </r>
  <r>
    <n v="121"/>
    <d v="2019-02-23T00:00:00"/>
    <x v="1"/>
    <s v="RC"/>
    <s v="0-3"/>
    <n v="2"/>
    <s v="Recarga de Internet a Celular Claro"/>
    <x v="25"/>
    <x v="0"/>
    <x v="0"/>
    <s v="Glb"/>
    <n v="1"/>
    <n v="30"/>
    <m/>
    <m/>
    <n v="30"/>
    <s v="SANTISTEBA VARGAS PILAR"/>
  </r>
  <r>
    <n v="122"/>
    <d v="2019-02-23T00:00:00"/>
    <x v="1"/>
    <s v="FE"/>
    <s v="E001-4915"/>
    <n v="2"/>
    <s v="Cable Autoportante 2x25+16+NA25 MM2"/>
    <x v="12"/>
    <x v="3"/>
    <x v="3"/>
    <s v="Glb"/>
    <n v="1"/>
    <n v="364.41"/>
    <n v="65.593800000000002"/>
    <m/>
    <n v="430.00380000000001"/>
    <s v="SIEL ELECTRIC SRL"/>
  </r>
  <r>
    <n v="123"/>
    <d v="2019-02-23T00:00:00"/>
    <x v="1"/>
    <s v="RRHH"/>
    <s v="E001-29"/>
    <n v="2"/>
    <s v="Reparacion de Moto Tipo Furgoneta"/>
    <x v="23"/>
    <x v="0"/>
    <x v="0"/>
    <s v="Glb"/>
    <n v="1"/>
    <n v="390"/>
    <m/>
    <m/>
    <n v="390"/>
    <s v="WONG DELGADO JORGE RICARDO"/>
  </r>
  <r>
    <n v="124"/>
    <d v="2019-02-24T00:00:00"/>
    <x v="1"/>
    <s v="PM"/>
    <s v="0-3"/>
    <n v="2"/>
    <s v="Planilla de gastos por movilidad"/>
    <x v="13"/>
    <x v="2"/>
    <x v="0"/>
    <s v="Glb"/>
    <n v="1"/>
    <n v="100"/>
    <m/>
    <m/>
    <n v="100"/>
    <s v="SANTISTEBA VARGAS PILAR"/>
  </r>
  <r>
    <n v="125"/>
    <d v="2019-02-01T00:00:00"/>
    <x v="1"/>
    <s v="BV"/>
    <s v="1-127"/>
    <n v="3"/>
    <s v="Alquiler de Computadora 3 dias"/>
    <x v="26"/>
    <x v="0"/>
    <x v="0"/>
    <s v="Glb"/>
    <n v="1"/>
    <n v="25"/>
    <m/>
    <m/>
    <n v="25"/>
    <s v="ZEÑA CARRASCO GERMAN"/>
  </r>
  <r>
    <n v="126"/>
    <d v="2019-02-01T00:00:00"/>
    <x v="1"/>
    <s v="BV"/>
    <s v="1-126"/>
    <n v="3"/>
    <s v="Utiles de Oficina Varios"/>
    <x v="1"/>
    <x v="1"/>
    <x v="0"/>
    <s v="Glb"/>
    <n v="1"/>
    <n v="14"/>
    <m/>
    <m/>
    <n v="14"/>
    <s v="ZEÑA CARRASCO GERMAN"/>
  </r>
  <r>
    <n v="127"/>
    <d v="2019-02-05T00:00:00"/>
    <x v="1"/>
    <s v="BV"/>
    <s v="1-139990"/>
    <n v="3"/>
    <s v="Pasaje Jaen-Chiclayo"/>
    <x v="3"/>
    <x v="2"/>
    <x v="0"/>
    <s v="Glb"/>
    <n v="1"/>
    <n v="20"/>
    <m/>
    <m/>
    <n v="20"/>
    <s v="EL CRUCERO DE JAEN SAC"/>
  </r>
  <r>
    <n v="128"/>
    <d v="2019-02-20T00:00:00"/>
    <x v="1"/>
    <s v="FE"/>
    <s v="E001-17939"/>
    <n v="3"/>
    <s v="Servicio de Taxi SJL-Aeropuerto"/>
    <x v="13"/>
    <x v="2"/>
    <x v="0"/>
    <s v="Glb"/>
    <n v="1"/>
    <n v="50"/>
    <m/>
    <m/>
    <n v="50"/>
    <s v="PROACCION EMPRESARIAL SAC"/>
  </r>
  <r>
    <n v="129"/>
    <d v="2019-02-25T00:00:00"/>
    <x v="1"/>
    <s v="FE"/>
    <s v="F002-15"/>
    <n v="3"/>
    <s v="Movilizacion y Transporte de Agrgados para Ensayos de Huarmaca a Piura"/>
    <x v="15"/>
    <x v="0"/>
    <x v="0"/>
    <s v="Und."/>
    <n v="1"/>
    <n v="84.75"/>
    <n v="15.254999999999999"/>
    <m/>
    <n v="100.005"/>
    <s v="TURISMO SEÑOR DE LA HUMILDAD SRL"/>
  </r>
  <r>
    <n v="130"/>
    <d v="2019-03-04T00:00:00"/>
    <x v="2"/>
    <s v="FE"/>
    <s v="F002-17"/>
    <n v="3"/>
    <s v="Muebles y Enseres"/>
    <x v="27"/>
    <x v="1"/>
    <x v="0"/>
    <s v="Und."/>
    <n v="1"/>
    <n v="330.51"/>
    <n v="59.491799999999998"/>
    <m/>
    <n v="390.0018"/>
    <s v="TURISMO SEÑOR DE LA HUMILDAD SRL"/>
  </r>
  <r>
    <n v="131"/>
    <d v="2019-02-19T00:00:00"/>
    <x v="1"/>
    <s v="FE"/>
    <s v="F825-00000158"/>
    <n v="3"/>
    <s v="Papel Auto Adhesivo para Seguriad"/>
    <x v="1"/>
    <x v="1"/>
    <x v="1"/>
    <s v="Glb"/>
    <n v="1"/>
    <n v="70.25"/>
    <n v="12.645"/>
    <m/>
    <n v="82.894999999999996"/>
    <s v="CONTINENTAL SAC"/>
  </r>
  <r>
    <n v="132"/>
    <d v="2019-02-05T00:00:00"/>
    <x v="1"/>
    <s v="F"/>
    <s v="001-001408"/>
    <n v="3"/>
    <s v="Servicio de Taxi Aeropuerto - Jaen"/>
    <x v="13"/>
    <x v="2"/>
    <x v="0"/>
    <s v="Glb"/>
    <n v="1"/>
    <n v="30"/>
    <n v="0"/>
    <m/>
    <n v="30"/>
    <s v="EMPRESA DE TRANSPORTES Y TURISMO TAXI VIP JAEN SAC"/>
  </r>
  <r>
    <n v="133"/>
    <d v="2019-03-01T00:00:00"/>
    <x v="2"/>
    <s v="BV"/>
    <s v="0001-000134"/>
    <n v="3"/>
    <s v="Servicio de Copias, impresiones, ploteos"/>
    <x v="2"/>
    <x v="0"/>
    <x v="0"/>
    <s v="Glb"/>
    <n v="1"/>
    <n v="485.5"/>
    <n v="0"/>
    <m/>
    <n v="485.5"/>
    <s v="ZEÑA CARRASCO GERMAN"/>
  </r>
  <r>
    <n v="134"/>
    <d v="2019-03-01T00:00:00"/>
    <x v="2"/>
    <s v="PM"/>
    <s v="0-1"/>
    <n v="3"/>
    <s v="Planilla de gastos por movilidad"/>
    <x v="13"/>
    <x v="2"/>
    <x v="0"/>
    <s v="Glb"/>
    <n v="1"/>
    <n v="50"/>
    <n v="0"/>
    <m/>
    <n v="50"/>
    <s v="TENORIO MESONES CHRISTIAN ENRIQUE"/>
  </r>
  <r>
    <n v="135"/>
    <d v="2019-03-01T00:00:00"/>
    <x v="2"/>
    <s v="PM"/>
    <s v="0-1"/>
    <n v="3"/>
    <s v="Planilla de gastos por movilidad"/>
    <x v="3"/>
    <x v="2"/>
    <x v="0"/>
    <s v="Glb"/>
    <n v="1"/>
    <n v="50"/>
    <n v="0"/>
    <m/>
    <n v="50"/>
    <s v="BACA BERRIO WILLIAM"/>
  </r>
  <r>
    <n v="136"/>
    <d v="2019-02-27T00:00:00"/>
    <x v="1"/>
    <s v="BV"/>
    <s v="0002-003700"/>
    <n v="3"/>
    <s v="Utiles de Oficina"/>
    <x v="1"/>
    <x v="1"/>
    <x v="0"/>
    <s v="Glb"/>
    <n v="1"/>
    <n v="230"/>
    <n v="0"/>
    <m/>
    <n v="230"/>
    <s v="VELA CARRASCO CASINALDO"/>
  </r>
  <r>
    <n v="137"/>
    <d v="2019-02-27T00:00:00"/>
    <x v="1"/>
    <s v="BV"/>
    <s v="001-007750"/>
    <n v="3"/>
    <s v="Alimentos Varios"/>
    <x v="5"/>
    <x v="2"/>
    <x v="0"/>
    <s v="Glb"/>
    <n v="1"/>
    <n v="83"/>
    <n v="0"/>
    <m/>
    <n v="83"/>
    <s v="LAMADRIDRID TORRES FRIDA"/>
  </r>
  <r>
    <n v="138"/>
    <d v="2019-02-21T00:00:00"/>
    <x v="1"/>
    <s v="FE"/>
    <s v="F002-14"/>
    <n v="3"/>
    <s v="Traslado de Personal Tecnico a Chiclayo a Huarmaca"/>
    <x v="3"/>
    <x v="2"/>
    <x v="0"/>
    <s v="Glb"/>
    <n v="1"/>
    <n v="350"/>
    <n v="63"/>
    <m/>
    <n v="413"/>
    <s v="TURISMO SEÑOR DE LA HUMILDAD SRL"/>
  </r>
  <r>
    <n v="139"/>
    <d v="2019-02-19T00:00:00"/>
    <x v="1"/>
    <s v="FE"/>
    <s v="F998-15229"/>
    <n v="3"/>
    <s v="HUB 04 Puertos USB"/>
    <x v="1"/>
    <x v="1"/>
    <x v="0"/>
    <s v="Glb"/>
    <n v="1"/>
    <n v="29.58"/>
    <n v="5.3243999999999998"/>
    <m/>
    <n v="34.904399999999995"/>
    <s v="RASH PERU SAC"/>
  </r>
  <r>
    <n v="140"/>
    <d v="2019-02-01T00:00:00"/>
    <x v="1"/>
    <s v="BV"/>
    <s v="0001-000133"/>
    <n v="3"/>
    <s v="Servicio de Copias, impresiones, ploteos"/>
    <x v="2"/>
    <x v="0"/>
    <x v="0"/>
    <s v="Glb"/>
    <n v="1"/>
    <n v="72.099999999999994"/>
    <n v="0"/>
    <m/>
    <n v="72.099999999999994"/>
    <s v="ZEÑA CARRASCO GERMAN"/>
  </r>
  <r>
    <n v="141"/>
    <d v="2019-03-06T00:00:00"/>
    <x v="2"/>
    <s v="FE"/>
    <s v="FSP1-00001545"/>
    <n v="4"/>
    <s v="Servicio de Estacionamiento"/>
    <x v="7"/>
    <x v="0"/>
    <x v="0"/>
    <s v="Glb"/>
    <n v="1"/>
    <n v="4.24"/>
    <n v="0.76319999999999999"/>
    <m/>
    <n v="5.0032000000000005"/>
    <s v="LOS PORTALES ESTACIONAMIENTO OPERADORA SA"/>
  </r>
  <r>
    <n v="142"/>
    <d v="2019-02-26T00:00:00"/>
    <x v="1"/>
    <s v="FE"/>
    <s v="F510-000014782"/>
    <n v="4"/>
    <s v="Servicio de Envio de Encomienda"/>
    <x v="19"/>
    <x v="0"/>
    <x v="0"/>
    <s v="Glb"/>
    <n v="1"/>
    <n v="21.12"/>
    <n v="3.8016000000000001"/>
    <m/>
    <n v="24.921600000000002"/>
    <s v="LAN PERU SAC"/>
  </r>
  <r>
    <n v="143"/>
    <d v="2019-03-02T00:00:00"/>
    <x v="2"/>
    <s v="FE"/>
    <s v="F002-366"/>
    <n v="4"/>
    <s v="Compra de toner HF CF226A"/>
    <x v="1"/>
    <x v="1"/>
    <x v="0"/>
    <s v="Glb"/>
    <n v="1"/>
    <n v="364.41"/>
    <n v="65.593800000000002"/>
    <m/>
    <n v="430.00380000000001"/>
    <s v="RED HARDWARE Y OFFICE SRL"/>
  </r>
  <r>
    <n v="144"/>
    <d v="2019-03-06T00:00:00"/>
    <x v="2"/>
    <s v="FE"/>
    <s v="F575-0005341"/>
    <n v="4"/>
    <s v="Archivador Plastificado Oficio"/>
    <x v="1"/>
    <x v="1"/>
    <x v="0"/>
    <s v="Glb"/>
    <n v="1"/>
    <n v="55.08"/>
    <n v="9.9143999999999988"/>
    <m/>
    <n v="64.994399999999999"/>
    <s v="MEGA UTILES Y SUMISTROS SAC"/>
  </r>
  <r>
    <n v="145"/>
    <d v="2019-03-06T00:00:00"/>
    <x v="2"/>
    <s v="FE"/>
    <s v="F575-0005340"/>
    <n v="4"/>
    <s v="Achivador Plastificado A4"/>
    <x v="1"/>
    <x v="1"/>
    <x v="0"/>
    <s v="Glb"/>
    <n v="1"/>
    <n v="95.51"/>
    <n v="17.191800000000001"/>
    <m/>
    <n v="112.70180000000001"/>
    <s v="MEGA UTILES Y SUMISTROS SAC"/>
  </r>
  <r>
    <n v="146"/>
    <d v="2019-03-07T00:00:00"/>
    <x v="2"/>
    <s v="FE"/>
    <s v="F001-00000304"/>
    <n v="4"/>
    <s v="Cuaderno Stanford"/>
    <x v="1"/>
    <x v="1"/>
    <x v="0"/>
    <s v="Glb"/>
    <n v="1"/>
    <n v="27.97"/>
    <n v="5.0345999999999993"/>
    <m/>
    <n v="33.004599999999996"/>
    <s v="UNIVERSAL SAC"/>
  </r>
  <r>
    <n v="147"/>
    <d v="2019-03-06T00:00:00"/>
    <x v="2"/>
    <s v="FE"/>
    <s v="F021-00006762"/>
    <n v="4"/>
    <s v="Papel Foto copia A3"/>
    <x v="1"/>
    <x v="1"/>
    <x v="0"/>
    <s v="Glb"/>
    <n v="1"/>
    <n v="103.81"/>
    <n v="18.6858"/>
    <m/>
    <n v="122.4958"/>
    <s v="NEGOCIOS E INVERSIONES F.CHANG EIRL"/>
  </r>
  <r>
    <n v="148"/>
    <d v="2019-03-06T00:00:00"/>
    <x v="2"/>
    <s v="FE"/>
    <s v="F021-00006760"/>
    <n v="4"/>
    <s v="Utiles de oficina"/>
    <x v="1"/>
    <x v="1"/>
    <x v="0"/>
    <s v="Glb"/>
    <n v="1"/>
    <n v="159.94999999999999"/>
    <n v="28.790999999999997"/>
    <m/>
    <n v="188.74099999999999"/>
    <s v="NEGOCIOS E INVERSIONES F.CHANG EIRL"/>
  </r>
  <r>
    <n v="149"/>
    <d v="2019-03-26T00:00:00"/>
    <x v="2"/>
    <s v="FE"/>
    <s v="E001-1759"/>
    <n v="4"/>
    <s v="Servicio de Alojamiento del 25 al 26 de Febrero"/>
    <x v="6"/>
    <x v="2"/>
    <x v="0"/>
    <s v="Glb"/>
    <n v="1"/>
    <n v="76.27"/>
    <n v="13.728599999999998"/>
    <m/>
    <n v="89.998599999999996"/>
    <s v="INVERSIONES VILLA SANTA EIRL"/>
  </r>
  <r>
    <n v="150"/>
    <d v="2019-03-04T00:00:00"/>
    <x v="2"/>
    <s v="FE"/>
    <s v="F639-00004152"/>
    <n v="4"/>
    <s v="Bota de jebe"/>
    <x v="12"/>
    <x v="3"/>
    <x v="1"/>
    <s v="Glb"/>
    <n v="1"/>
    <n v="84.66"/>
    <n v="15.238799999999999"/>
    <m/>
    <n v="99.898799999999994"/>
    <s v="TIENDAS DE MEJORAMIENTO DEL HOGAR SA"/>
  </r>
  <r>
    <n v="151"/>
    <d v="2019-02-06T00:00:00"/>
    <x v="1"/>
    <s v="R"/>
    <s v="T001-0664016742"/>
    <n v="4"/>
    <s v="Linea de celulares Claro"/>
    <x v="25"/>
    <x v="0"/>
    <x v="0"/>
    <s v="Glb"/>
    <n v="1"/>
    <n v="1046.8800000000001"/>
    <n v="188.4384"/>
    <n v="270"/>
    <n v="1505.3184000000001"/>
    <s v="AMERICA MOVIL PERU  SAC"/>
  </r>
  <r>
    <n v="152"/>
    <d v="2019-03-06T00:00:00"/>
    <x v="2"/>
    <s v="FE"/>
    <s v="E001-4981"/>
    <n v="4"/>
    <s v="Materiales electricos"/>
    <x v="20"/>
    <x v="3"/>
    <x v="3"/>
    <s v="Glb"/>
    <n v="1"/>
    <n v="338.98"/>
    <n v="61.016400000000004"/>
    <m/>
    <n v="399.99639999999999"/>
    <s v="SIEL ELECTRIC SRL"/>
  </r>
  <r>
    <n v="153"/>
    <d v="2019-03-07T00:00:00"/>
    <x v="2"/>
    <s v="FE"/>
    <s v="E001-1"/>
    <n v="4"/>
    <s v="Servicio de internet"/>
    <x v="17"/>
    <x v="0"/>
    <x v="0"/>
    <s v="Glb"/>
    <n v="1"/>
    <n v="254.24"/>
    <n v="45.763199999999998"/>
    <m/>
    <n v="300.00319999999999"/>
    <s v="INVERSIOBES RAYSE SAC"/>
  </r>
  <r>
    <n v="154"/>
    <d v="2019-03-07T00:00:00"/>
    <x v="2"/>
    <s v="BV"/>
    <s v="0001-008043"/>
    <n v="4"/>
    <s v="Envio de Paquetes + Sobres"/>
    <x v="19"/>
    <x v="0"/>
    <x v="0"/>
    <s v="Glb"/>
    <n v="1"/>
    <n v="30"/>
    <n v="0"/>
    <m/>
    <n v="30"/>
    <s v="ADRIANZEN HUANCAS JORGE ALFREDO "/>
  </r>
  <r>
    <n v="155"/>
    <d v="2019-02-26T00:00:00"/>
    <x v="1"/>
    <s v="BV"/>
    <s v="0001-008007"/>
    <n v="4"/>
    <s v="Envio de Paquetes + Sobres"/>
    <x v="19"/>
    <x v="0"/>
    <x v="0"/>
    <s v="Glb"/>
    <n v="1"/>
    <n v="30"/>
    <n v="0"/>
    <m/>
    <n v="30"/>
    <s v="ADRIANZEN HUANCAS JORGE ALFREDO "/>
  </r>
  <r>
    <n v="156"/>
    <d v="2019-03-08T00:00:00"/>
    <x v="2"/>
    <s v="BV"/>
    <s v="0001-007952"/>
    <n v="4"/>
    <s v="Encvio de Paquetes +Sobres"/>
    <x v="19"/>
    <x v="0"/>
    <x v="0"/>
    <s v="Glb"/>
    <n v="1"/>
    <n v="180"/>
    <n v="0"/>
    <m/>
    <n v="180"/>
    <s v="ADRIANZEN HUANCAS JORGE ALFREDO "/>
  </r>
  <r>
    <n v="157"/>
    <d v="2019-03-04T00:00:00"/>
    <x v="2"/>
    <s v="RRHH"/>
    <s v="E00-13"/>
    <n v="4"/>
    <s v="Construccion de Muro para Tablero"/>
    <x v="4"/>
    <x v="0"/>
    <x v="0"/>
    <s v="Glb"/>
    <n v="1"/>
    <n v="200"/>
    <n v="0"/>
    <m/>
    <n v="200"/>
    <s v="LABRIN CUSTODIO EDWAR"/>
  </r>
  <r>
    <n v="158"/>
    <d v="2019-03-09T00:00:00"/>
    <x v="2"/>
    <s v="RRHH"/>
    <s v="E001-30"/>
    <n v="4"/>
    <s v="Servicio de Conexión y Cableado Electrico en Oficina"/>
    <x v="4"/>
    <x v="0"/>
    <x v="0"/>
    <s v="Glb"/>
    <n v="1"/>
    <n v="300"/>
    <n v="0"/>
    <m/>
    <n v="300"/>
    <s v="WONG DELGADO JORGE RICARDO"/>
  </r>
  <r>
    <n v="159"/>
    <d v="2019-03-10T00:00:00"/>
    <x v="2"/>
    <m/>
    <s v="006-PSV"/>
    <n v="4"/>
    <s v="Comisiones Bancarias ITF en Cuenta"/>
    <x v="16"/>
    <x v="4"/>
    <x v="0"/>
    <s v="Glb"/>
    <n v="1"/>
    <n v="128.15"/>
    <n v="0"/>
    <m/>
    <n v="128.15"/>
    <s v="SANTISTEBAN VARGAS PILAR"/>
  </r>
  <r>
    <n v="160"/>
    <d v="2019-03-11T00:00:00"/>
    <x v="2"/>
    <s v="FE"/>
    <s v="F002-24"/>
    <n v="4"/>
    <s v="Muebles y Enseres"/>
    <x v="27"/>
    <x v="1"/>
    <x v="0"/>
    <s v="Glb"/>
    <n v="1"/>
    <n v="330.51"/>
    <n v="59.491799999999998"/>
    <m/>
    <n v="390.0018"/>
    <s v="TURISMO SEÑOR DE LA HUMILDAD SRL"/>
  </r>
  <r>
    <n v="161"/>
    <d v="2019-01-18T00:00:00"/>
    <x v="0"/>
    <s v="FE"/>
    <s v="F009-00001863"/>
    <n v="5"/>
    <s v="Alquiler de Camioneta y Servicio Conductor-Exceso de Kilometraje"/>
    <x v="11"/>
    <x v="0"/>
    <x v="0"/>
    <s v="Glb"/>
    <n v="1"/>
    <n v="915.25"/>
    <n v="164.745"/>
    <m/>
    <n v="1079.9949999999999"/>
    <s v="ESTACION DE SERVICIOS SAN JOSE SAC"/>
  </r>
  <r>
    <n v="162"/>
    <d v="2019-02-10T00:00:00"/>
    <x v="1"/>
    <s v="FE"/>
    <s v="F279-25676"/>
    <n v="5"/>
    <s v="Materiales para Conexión Electrica en oficina"/>
    <x v="28"/>
    <x v="0"/>
    <x v="0"/>
    <s v="Glb"/>
    <n v="1"/>
    <n v="1.69"/>
    <n v="0.30419999999999997"/>
    <m/>
    <n v="1.9942"/>
    <s v="TIENDAS DE MEJORAMIENTO DEL HOGAR SA"/>
  </r>
  <r>
    <n v="163"/>
    <d v="2019-03-07T00:00:00"/>
    <x v="2"/>
    <s v="FE"/>
    <s v="F087-0008806"/>
    <n v="5"/>
    <s v="Reintegro - viaticos Juan Guerra - Ing Campo"/>
    <x v="3"/>
    <x v="2"/>
    <x v="0"/>
    <s v="Glb"/>
    <n v="1"/>
    <n v="40"/>
    <n v="0"/>
    <m/>
    <n v="40"/>
    <s v="TURISMO DIAS SA"/>
  </r>
  <r>
    <n v="164"/>
    <d v="2019-03-08T00:00:00"/>
    <x v="2"/>
    <s v="BV"/>
    <s v="0009-056072"/>
    <n v="5"/>
    <s v="Reintegro - viaticos Juan Guerra"/>
    <x v="3"/>
    <x v="2"/>
    <x v="0"/>
    <s v="Glb"/>
    <n v="1"/>
    <n v="20"/>
    <n v="0"/>
    <m/>
    <n v="20"/>
    <s v="EL CRUCERO DE JAEN SAC"/>
  </r>
  <r>
    <n v="165"/>
    <d v="2019-03-12T00:00:00"/>
    <x v="2"/>
    <s v="FE"/>
    <s v="F980-6710"/>
    <n v="5"/>
    <s v="Bota Dielectrica - Tec Electricista y Mantenimiento"/>
    <x v="12"/>
    <x v="3"/>
    <x v="1"/>
    <s v="Glb"/>
    <n v="1"/>
    <n v="71.95"/>
    <n v="12.951000000000001"/>
    <m/>
    <n v="84.90100000000001"/>
    <s v="TIENDAS DE MEJORAMIENTO DEL HOGAR SA"/>
  </r>
  <r>
    <n v="166"/>
    <d v="2019-03-12T00:00:00"/>
    <x v="2"/>
    <s v="FE"/>
    <s v="F980-6711"/>
    <n v="5"/>
    <s v="Cascos para Personal Staff de Campo y Seguridad"/>
    <x v="12"/>
    <x v="3"/>
    <x v="1"/>
    <s v="Glb"/>
    <n v="1"/>
    <n v="169.07"/>
    <n v="30.432599999999997"/>
    <m/>
    <n v="199.5026"/>
    <s v="TIENDAS DE MEJORAMIENTO DEL HOGAR SA"/>
  </r>
  <r>
    <n v="167"/>
    <d v="2019-03-13T00:00:00"/>
    <x v="2"/>
    <s v="FE"/>
    <s v="E001-5022"/>
    <n v="5"/>
    <s v="Cancelacion Interruptores para Tablero Electrico"/>
    <x v="20"/>
    <x v="3"/>
    <x v="3"/>
    <s v="Glb"/>
    <n v="1"/>
    <n v="369.23"/>
    <n v="66.461399999999998"/>
    <m/>
    <n v="435.69140000000004"/>
    <s v="SIEL ELECTRIC SRL"/>
  </r>
  <r>
    <n v="168"/>
    <d v="2019-03-13T00:00:00"/>
    <x v="2"/>
    <s v="FE"/>
    <s v="E001-17"/>
    <n v="5"/>
    <s v="Zapato Rimini Delta Plus 43 Richar Aparicio"/>
    <x v="12"/>
    <x v="3"/>
    <x v="1"/>
    <s v="Glb"/>
    <n v="1"/>
    <n v="105.93"/>
    <n v="19.067399999999999"/>
    <m/>
    <n v="124.9974"/>
    <s v="SMART Y SECURE SRL"/>
  </r>
  <r>
    <n v="169"/>
    <d v="2019-03-13T00:00:00"/>
    <x v="2"/>
    <s v="FE"/>
    <s v="F002-25"/>
    <n v="5"/>
    <s v="Escritorio para Oficina Obra"/>
    <x v="27"/>
    <x v="1"/>
    <x v="0"/>
    <s v="Glb"/>
    <n v="1"/>
    <n v="330.51"/>
    <n v="59.491799999999998"/>
    <m/>
    <n v="390.0018"/>
    <s v="TURISMO SEÑOR DE LA HUMILDAD SRL"/>
  </r>
  <r>
    <n v="170"/>
    <d v="2019-03-15T00:00:00"/>
    <x v="2"/>
    <s v="FE"/>
    <s v="F002-28"/>
    <n v="5"/>
    <s v="Muebles y Enseres"/>
    <x v="27"/>
    <x v="1"/>
    <x v="0"/>
    <s v="Glb"/>
    <n v="1"/>
    <n v="296.61"/>
    <n v="53.389800000000001"/>
    <m/>
    <n v="349.99979999999999"/>
    <s v="TURISMO SEÑOR DE LA HUMILDAD SRL"/>
  </r>
  <r>
    <n v="171"/>
    <d v="2019-03-16T00:00:00"/>
    <x v="2"/>
    <s v="PM"/>
    <s v="001-PMR"/>
    <n v="5"/>
    <s v="Reintegro Movilidad Pedro Huaraca"/>
    <x v="3"/>
    <x v="2"/>
    <x v="0"/>
    <s v="Glb"/>
    <n v="1"/>
    <n v="150"/>
    <n v="0"/>
    <m/>
    <n v="150"/>
    <s v="HUARACA ROJAS PEDRO"/>
  </r>
  <r>
    <n v="172"/>
    <d v="2019-03-13T00:00:00"/>
    <x v="2"/>
    <s v="FE"/>
    <s v="E001-18222"/>
    <n v="6"/>
    <s v="Rintegro - viaticos Edinson Mares"/>
    <x v="3"/>
    <x v="2"/>
    <x v="0"/>
    <s v="Glb"/>
    <n v="1"/>
    <n v="50"/>
    <n v="0"/>
    <m/>
    <n v="50"/>
    <s v="PROACCION EMPRESARIAL SAC"/>
  </r>
  <r>
    <n v="173"/>
    <d v="2019-03-13T00:00:00"/>
    <x v="2"/>
    <s v="F"/>
    <s v="006-000542"/>
    <n v="6"/>
    <s v="Reintegro - viaticos Edinson Mares"/>
    <x v="3"/>
    <x v="2"/>
    <x v="0"/>
    <s v="Glb"/>
    <n v="1"/>
    <n v="30"/>
    <n v="0"/>
    <m/>
    <n v="30"/>
    <s v="EMPRESA DE TRANSPORTES DE SERVICIO ESPECIAL SEÑOR DE SIPAN S.A"/>
  </r>
  <r>
    <n v="174"/>
    <d v="2019-03-13T00:00:00"/>
    <x v="2"/>
    <s v="F"/>
    <s v="0002-010012"/>
    <n v="6"/>
    <s v="Reintegro - viaticos Edinson Mares"/>
    <x v="3"/>
    <x v="2"/>
    <x v="0"/>
    <s v="Glb"/>
    <n v="1"/>
    <n v="25.42"/>
    <n v="4.5756000000000006"/>
    <m/>
    <n v="29.995600000000003"/>
    <s v="HOSTAL RESIDENCIAL EL VIRREY SRL"/>
  </r>
  <r>
    <n v="175"/>
    <d v="2019-03-13T00:00:00"/>
    <x v="2"/>
    <s v="F"/>
    <s v="006-000541"/>
    <n v="6"/>
    <s v="Reintegro - viaticos  Edinson Mares"/>
    <x v="3"/>
    <x v="2"/>
    <x v="0"/>
    <s v="Glb"/>
    <n v="1"/>
    <n v="40"/>
    <n v="0"/>
    <m/>
    <n v="40"/>
    <s v="EMPRESA DE TRANSPORTE DE SERVICIO ESPECIAL SEÑOR DE SIPAN SA"/>
  </r>
  <r>
    <n v="176"/>
    <d v="2019-03-07T00:00:00"/>
    <x v="2"/>
    <s v="FE"/>
    <s v="FE01-0022161"/>
    <n v="6"/>
    <s v="Reintegro - viaticos Edinson Mares"/>
    <x v="3"/>
    <x v="2"/>
    <x v="0"/>
    <s v="Glb"/>
    <n v="1"/>
    <n v="60"/>
    <n v="0"/>
    <m/>
    <n v="60"/>
    <s v="PROACCION EMPRESARIAL SAC"/>
  </r>
  <r>
    <n v="177"/>
    <d v="2019-03-07T00:00:00"/>
    <x v="2"/>
    <s v="FE"/>
    <s v="F007-85810"/>
    <n v="6"/>
    <s v="Reintegro - viaticos Edinson Mares"/>
    <x v="3"/>
    <x v="2"/>
    <x v="0"/>
    <s v="Glb"/>
    <n v="1"/>
    <n v="4.83"/>
    <n v="0.86939999999999995"/>
    <m/>
    <n v="5.6993999999999998"/>
    <s v="LINEA AMARILLA SAC"/>
  </r>
  <r>
    <n v="178"/>
    <d v="2019-03-20T00:00:00"/>
    <x v="2"/>
    <s v="BV"/>
    <s v="001-005580"/>
    <n v="6"/>
    <s v="Muebles y Enseres"/>
    <x v="27"/>
    <x v="1"/>
    <x v="0"/>
    <s v="Glb"/>
    <n v="1"/>
    <n v="250"/>
    <n v="0"/>
    <m/>
    <n v="250"/>
    <s v="SERVICOS MULTIPLES SEÑOR DE LA HUMILDAD"/>
  </r>
  <r>
    <n v="179"/>
    <d v="2019-03-21T00:00:00"/>
    <x v="2"/>
    <s v="FE"/>
    <s v="F002-33"/>
    <n v="6"/>
    <s v="Muebles y Enseres"/>
    <x v="27"/>
    <x v="1"/>
    <x v="0"/>
    <s v="Glb"/>
    <n v="1"/>
    <n v="296"/>
    <n v="53.28"/>
    <m/>
    <n v="349.28"/>
    <s v="TURISMO SEÑOR DE LA HUMILDAD SRL"/>
  </r>
  <r>
    <n v="180"/>
    <d v="2019-03-20T00:00:00"/>
    <x v="2"/>
    <s v="RRHH"/>
    <s v="E001-33"/>
    <n v="6"/>
    <s v="Servicios prestados como operador de maquina excavadora"/>
    <x v="29"/>
    <x v="0"/>
    <x v="0"/>
    <s v="Glb"/>
    <n v="1"/>
    <n v="650"/>
    <n v="0"/>
    <m/>
    <n v="650"/>
    <s v="NUÑEZ FLORES JOSE MANUEL"/>
  </r>
  <r>
    <n v="181"/>
    <d v="2019-03-12T00:00:00"/>
    <x v="2"/>
    <s v="BV"/>
    <s v="0005-672348"/>
    <n v="6"/>
    <s v="Reintefro - viaticos Efrain Huaman Enriquez"/>
    <x v="3"/>
    <x v="2"/>
    <x v="0"/>
    <s v="Glb"/>
    <n v="1"/>
    <n v="130"/>
    <n v="0"/>
    <m/>
    <n v="130"/>
    <s v="EMPRESA DE TRANSPORTE TURISMO ALVARADO EIRL"/>
  </r>
  <r>
    <n v="182"/>
    <d v="2019-03-19T00:00:00"/>
    <x v="2"/>
    <s v="BV"/>
    <s v="001-044698"/>
    <n v="6"/>
    <s v="Reintegro - viaticos Efrain Huaman"/>
    <x v="3"/>
    <x v="2"/>
    <x v="0"/>
    <s v="Glb"/>
    <n v="1"/>
    <n v="25"/>
    <n v="0"/>
    <m/>
    <n v="25"/>
    <s v="TURISMO SEÑOR DE LA HUMILDAD SRL"/>
  </r>
  <r>
    <n v="183"/>
    <d v="2019-03-13T00:00:00"/>
    <x v="2"/>
    <s v="BV"/>
    <s v="0020-356862"/>
    <n v="6"/>
    <s v="Reintegro - viaticos Efrain Huaman"/>
    <x v="3"/>
    <x v="2"/>
    <x v="0"/>
    <s v="Glb"/>
    <n v="1"/>
    <n v="135"/>
    <n v="0"/>
    <m/>
    <n v="135"/>
    <s v="TRANSPORTES LA PERLA DEL ALTO MAYO SA"/>
  </r>
  <r>
    <n v="184"/>
    <d v="2019-03-23T00:00:00"/>
    <x v="2"/>
    <s v="FE"/>
    <s v="F002-39"/>
    <n v="6"/>
    <s v="Muebles y Enseres"/>
    <x v="27"/>
    <x v="1"/>
    <x v="0"/>
    <s v="Glb"/>
    <n v="1"/>
    <n v="330.51"/>
    <n v="59.491799999999998"/>
    <m/>
    <n v="390.0018"/>
    <s v="TURISMO SEÑOR DE LA HUMILDAD SRL"/>
  </r>
  <r>
    <n v="185"/>
    <d v="2019-03-22T00:00:00"/>
    <x v="2"/>
    <s v="RRHH"/>
    <s v="E001-161"/>
    <n v="6"/>
    <s v="Pago de Diceño de Mezcla para Concreto "/>
    <x v="4"/>
    <x v="0"/>
    <x v="0"/>
    <s v="Glb"/>
    <n v="1"/>
    <n v="368"/>
    <m/>
    <m/>
    <n v="368"/>
    <s v="TALLEDO SILVA SHAIN BORIS"/>
  </r>
  <r>
    <n v="186"/>
    <d v="2019-03-23T00:00:00"/>
    <x v="2"/>
    <s v="PM"/>
    <s v="001-EHE"/>
    <n v="6"/>
    <s v="Reintegro - viaticos Efrain Huaman"/>
    <x v="3"/>
    <x v="2"/>
    <x v="0"/>
    <s v="Glb"/>
    <n v="1"/>
    <n v="25"/>
    <n v="0"/>
    <m/>
    <n v="25"/>
    <s v="EFRAIN HUAMAN ENRIQUEZ"/>
  </r>
  <r>
    <n v="187"/>
    <d v="2019-03-23T00:00:00"/>
    <x v="2"/>
    <s v="FE"/>
    <s v="F002-38"/>
    <n v="6"/>
    <s v="Traslado de Lima a Huarmaca ( incluye recojo y entrega a domicilio)"/>
    <x v="4"/>
    <x v="0"/>
    <x v="0"/>
    <s v="Glb"/>
    <n v="1"/>
    <n v="338.98"/>
    <n v="61.016400000000004"/>
    <m/>
    <n v="399.99639999999999"/>
    <s v="TURISMO SEÑOR DE LA HUMILDAD SRL"/>
  </r>
  <r>
    <n v="188"/>
    <d v="2019-03-16T00:00:00"/>
    <x v="2"/>
    <s v="BV"/>
    <s v="0001-000068"/>
    <n v="6"/>
    <s v="Alimentacion al Personal"/>
    <x v="5"/>
    <x v="2"/>
    <x v="0"/>
    <s v="Glb"/>
    <n v="1"/>
    <n v="75"/>
    <n v="0"/>
    <m/>
    <n v="75"/>
    <s v="QUEREVALU RUIZ JULIANA GREGORIA"/>
  </r>
  <r>
    <n v="189"/>
    <d v="2019-03-18T00:00:00"/>
    <x v="2"/>
    <s v="BV"/>
    <s v="0001-000069"/>
    <n v="6"/>
    <s v="Alimentacion al Personal"/>
    <x v="5"/>
    <x v="2"/>
    <x v="0"/>
    <s v="Glb"/>
    <n v="1"/>
    <n v="104.5"/>
    <n v="0"/>
    <m/>
    <n v="104.5"/>
    <s v="QUEREVALU RUIZ JULIANA GREGORIA"/>
  </r>
  <r>
    <n v="190"/>
    <d v="2019-03-12T00:00:00"/>
    <x v="2"/>
    <s v="BV"/>
    <s v="002-000004"/>
    <n v="6"/>
    <s v="Alquiler de local"/>
    <x v="22"/>
    <x v="0"/>
    <x v="0"/>
    <s v="Glb"/>
    <n v="1"/>
    <n v="300"/>
    <n v="0"/>
    <m/>
    <n v="300"/>
    <s v="ADRIANZEN IRRASABAL MANUEL"/>
  </r>
  <r>
    <n v="191"/>
    <d v="2019-03-20T00:00:00"/>
    <x v="2"/>
    <s v="FE"/>
    <s v="F706-00005100"/>
    <n v="6"/>
    <s v="Compra de cascos economicos"/>
    <x v="12"/>
    <x v="3"/>
    <x v="1"/>
    <s v="Glb"/>
    <n v="1"/>
    <n v="103.81"/>
    <n v="18.6858"/>
    <m/>
    <n v="122.4958"/>
    <s v="TIENDAS DE MEJORAMIENTO DEL HOGAR SA"/>
  </r>
  <r>
    <n v="192"/>
    <d v="2019-03-19T00:00:00"/>
    <x v="2"/>
    <s v="F"/>
    <s v="0001-001314"/>
    <n v="6"/>
    <s v="Envio de Paquetes + Sobres"/>
    <x v="19"/>
    <x v="0"/>
    <x v="0"/>
    <s v="Glb"/>
    <n v="1"/>
    <n v="76.27"/>
    <n v="13.728599999999998"/>
    <m/>
    <n v="89.998599999999996"/>
    <s v="EMPRESA DE TRASNPORTES Y SERVICIOS MULTIPLES NUESTRA SEÑORA DEL CARMEN EIRL"/>
  </r>
  <r>
    <n v="193"/>
    <d v="2019-03-19T00:00:00"/>
    <x v="2"/>
    <s v="F"/>
    <s v="0001-003433"/>
    <n v="6"/>
    <s v="Movilidad de traslado de cajas al terminal"/>
    <x v="4"/>
    <x v="0"/>
    <x v="0"/>
    <s v="Glb"/>
    <n v="1"/>
    <n v="33.9"/>
    <n v="6.1019999999999994"/>
    <m/>
    <n v="40.001999999999995"/>
    <s v="SERVICIO TURISTICO PIURA DEL ETERNO CALOR SCRL"/>
  </r>
  <r>
    <n v="194"/>
    <d v="2019-03-25T00:00:00"/>
    <x v="2"/>
    <s v="RRHH"/>
    <s v="E001-32"/>
    <n v="6"/>
    <s v="Gestion de documentaria y otros tramites"/>
    <x v="4"/>
    <x v="0"/>
    <x v="0"/>
    <s v="Glb"/>
    <n v="1"/>
    <n v="410"/>
    <n v="0"/>
    <m/>
    <n v="410"/>
    <s v="BORASINO SALAZAR JORGE RAFAEL"/>
  </r>
  <r>
    <n v="195"/>
    <d v="2019-03-25T00:00:00"/>
    <x v="2"/>
    <s v="RRHH"/>
    <s v="E001-33"/>
    <n v="6"/>
    <s v="Gestion de documentaria y otros tramites"/>
    <x v="4"/>
    <x v="0"/>
    <x v="0"/>
    <s v="Glb"/>
    <n v="1"/>
    <n v="410"/>
    <n v="0"/>
    <m/>
    <n v="410"/>
    <s v="BORASINO SALAZAR JORGE RAFAEL"/>
  </r>
  <r>
    <n v="196"/>
    <d v="2019-03-31T00:00:00"/>
    <x v="2"/>
    <s v="BV"/>
    <s v="001-007764"/>
    <n v="7"/>
    <s v="Alimentacion al Personal"/>
    <x v="5"/>
    <x v="2"/>
    <x v="0"/>
    <s v="Glb"/>
    <n v="1"/>
    <n v="21"/>
    <n v="0"/>
    <m/>
    <n v="21"/>
    <s v="LAMADRIDRID TORRES FRIDA"/>
  </r>
  <r>
    <n v="197"/>
    <d v="2019-03-18T00:00:00"/>
    <x v="2"/>
    <s v="FE"/>
    <s v="F022-00049532"/>
    <n v="7"/>
    <s v="Encomiendas"/>
    <x v="19"/>
    <x v="0"/>
    <x v="0"/>
    <s v="Glb"/>
    <n v="1"/>
    <n v="10.17"/>
    <n v="1.8306"/>
    <m/>
    <n v="12.0006"/>
    <s v="SERVICE JACKSON SRL"/>
  </r>
  <r>
    <n v="198"/>
    <d v="2019-03-22T00:00:00"/>
    <x v="2"/>
    <s v="BV"/>
    <s v="0002-003832"/>
    <n v="7"/>
    <s v="Utiles de oficina"/>
    <x v="1"/>
    <x v="1"/>
    <x v="0"/>
    <s v="Glb"/>
    <n v="1"/>
    <n v="23"/>
    <n v="0"/>
    <m/>
    <n v="23"/>
    <s v="VELA SAONA CASINALDO"/>
  </r>
  <r>
    <n v="199"/>
    <d v="2019-03-26T00:00:00"/>
    <x v="2"/>
    <s v="F"/>
    <s v="002-000781"/>
    <n v="7"/>
    <s v="Servicio de taxi del areropuerto a San Martin de Porres"/>
    <x v="13"/>
    <x v="2"/>
    <x v="0"/>
    <s v="Glb"/>
    <n v="1"/>
    <n v="40"/>
    <n v="0"/>
    <m/>
    <n v="40"/>
    <s v="K.G.R.M SAC"/>
  </r>
  <r>
    <n v="200"/>
    <d v="2019-04-01T00:00:00"/>
    <x v="3"/>
    <s v="FE"/>
    <s v="FB02-260368"/>
    <n v="7"/>
    <s v="Servicio de peaje "/>
    <x v="7"/>
    <x v="0"/>
    <x v="0"/>
    <s v="Glb"/>
    <n v="1"/>
    <n v="5.76"/>
    <n v="1.0367999999999999"/>
    <m/>
    <n v="6.7967999999999993"/>
    <s v="CONCESIONARIA IIRSA NORTE SA"/>
  </r>
  <r>
    <n v="201"/>
    <d v="2019-04-01T00:00:00"/>
    <x v="3"/>
    <s v="FE"/>
    <s v="FC02-131918"/>
    <n v="7"/>
    <s v="Servicio de peaje "/>
    <x v="7"/>
    <x v="0"/>
    <x v="0"/>
    <s v="Glb"/>
    <n v="1"/>
    <n v="5.76"/>
    <n v="1.0367999999999999"/>
    <m/>
    <n v="6.7967999999999993"/>
    <s v="CONCESIONARIA IIRSA NORTE SA"/>
  </r>
  <r>
    <n v="202"/>
    <d v="2019-04-01T00:00:00"/>
    <x v="3"/>
    <s v="FE"/>
    <s v="F132-00004191"/>
    <n v="7"/>
    <s v="Alimentacion al Personal"/>
    <x v="5"/>
    <x v="2"/>
    <x v="0"/>
    <s v="Glb"/>
    <n v="1"/>
    <n v="98"/>
    <n v="0"/>
    <m/>
    <n v="98"/>
    <s v="INVERSIONES DT1 SAC"/>
  </r>
  <r>
    <n v="203"/>
    <d v="2019-04-01T00:00:00"/>
    <x v="3"/>
    <s v="F"/>
    <s v="0002-000833"/>
    <n v="7"/>
    <s v="Servicio de taxi de San Martin de Porres al Aeropuerto"/>
    <x v="13"/>
    <x v="2"/>
    <x v="0"/>
    <s v="Glb"/>
    <n v="1"/>
    <n v="45"/>
    <n v="0"/>
    <m/>
    <n v="45"/>
    <s v="K.G.R.M SAC"/>
  </r>
  <r>
    <n v="204"/>
    <d v="2019-04-01T00:00:00"/>
    <x v="3"/>
    <s v="F"/>
    <s v="0001-024969"/>
    <n v="7"/>
    <s v="Compra de pantallas led"/>
    <x v="28"/>
    <x v="0"/>
    <x v="0"/>
    <s v="Glb"/>
    <n v="1"/>
    <n v="160"/>
    <n v="0"/>
    <m/>
    <n v="160"/>
    <s v="MILLASKY CHATEN MARIA ISABEL"/>
  </r>
  <r>
    <n v="205"/>
    <d v="2019-04-01T00:00:00"/>
    <x v="3"/>
    <s v="F"/>
    <s v="0001-0003133"/>
    <n v="7"/>
    <s v="Alojamiento "/>
    <x v="6"/>
    <x v="2"/>
    <x v="0"/>
    <s v="Glb"/>
    <n v="1"/>
    <n v="42.37"/>
    <n v="7.6265999999999989"/>
    <m/>
    <n v="49.996599999999994"/>
    <s v="RUPAY VASQUEZ JUVENAL"/>
  </r>
  <r>
    <n v="206"/>
    <d v="2019-04-02T00:00:00"/>
    <x v="3"/>
    <s v="BV"/>
    <s v="0001-0007754"/>
    <n v="7"/>
    <s v="Envio de encomiendas"/>
    <x v="19"/>
    <x v="0"/>
    <x v="0"/>
    <s v="Glb"/>
    <n v="1"/>
    <n v="110"/>
    <n v="0"/>
    <m/>
    <n v="110"/>
    <s v="ADRIANZEN HUANCAS JORGE ALFREDO "/>
  </r>
  <r>
    <n v="207"/>
    <d v="2019-04-02T00:00:00"/>
    <x v="3"/>
    <s v="BV"/>
    <s v="002-008645"/>
    <n v="7"/>
    <s v="Aimentacion "/>
    <x v="5"/>
    <x v="2"/>
    <x v="0"/>
    <s v="Glb"/>
    <n v="1"/>
    <n v="28"/>
    <n v="0"/>
    <m/>
    <n v="28"/>
    <s v="AGUILAR VASQUEZ ISIDORO"/>
  </r>
  <r>
    <n v="208"/>
    <d v="2019-04-02T00:00:00"/>
    <x v="3"/>
    <s v="FE"/>
    <s v="FC01-132994"/>
    <n v="7"/>
    <s v="Servicio de peaje "/>
    <x v="7"/>
    <x v="0"/>
    <x v="0"/>
    <s v="Glb"/>
    <n v="1"/>
    <n v="5.76"/>
    <n v="1.0367999999999999"/>
    <m/>
    <n v="6.7967999999999993"/>
    <s v="CONCESIONARIA IIRSA NORTE SA"/>
  </r>
  <r>
    <n v="209"/>
    <d v="2019-04-02T00:00:00"/>
    <x v="3"/>
    <s v="F"/>
    <s v="0001-001139"/>
    <n v="7"/>
    <s v="Alimentacion"/>
    <x v="5"/>
    <x v="2"/>
    <x v="0"/>
    <s v="Glb"/>
    <n v="1"/>
    <n v="60.16"/>
    <n v="10.828799999999999"/>
    <m/>
    <n v="70.988799999999998"/>
    <s v="HUAMAN AGUILERA REYNALDO"/>
  </r>
  <r>
    <n v="210"/>
    <d v="2019-04-02T00:00:00"/>
    <x v="3"/>
    <s v="FE"/>
    <s v="413"/>
    <n v="7"/>
    <s v="Traslado de personal tecnico de Chiclayo a Huarmaca"/>
    <x v="3"/>
    <x v="2"/>
    <x v="0"/>
    <s v="Glb"/>
    <n v="1"/>
    <n v="350"/>
    <n v="63"/>
    <m/>
    <n v="413"/>
    <s v="TURISMO SEÑOR DE LA HUMILDAD SRL"/>
  </r>
  <r>
    <n v="211"/>
    <d v="2019-04-02T00:00:00"/>
    <x v="3"/>
    <s v="FE"/>
    <s v="E001-3225"/>
    <n v="7"/>
    <s v="Alojamiento"/>
    <x v="6"/>
    <x v="2"/>
    <x v="0"/>
    <s v="Glb"/>
    <n v="1"/>
    <n v="508.47"/>
    <n v="91.524600000000007"/>
    <m/>
    <n v="599.99459999999999"/>
    <s v="TURISMO LA CORUÑA EIRL"/>
  </r>
  <r>
    <n v="212"/>
    <d v="2019-04-02T00:00:00"/>
    <x v="3"/>
    <s v="FE"/>
    <s v="FB01-260259"/>
    <n v="7"/>
    <s v="Servicio de peaje "/>
    <x v="7"/>
    <x v="0"/>
    <x v="0"/>
    <s v="Glb"/>
    <n v="1"/>
    <n v="5.76"/>
    <n v="1.0367999999999999"/>
    <m/>
    <n v="6.7967999999999993"/>
    <s v="CONCESIONARIA IIRSA NORTE SA"/>
  </r>
  <r>
    <n v="213"/>
    <d v="2019-04-05T00:00:00"/>
    <x v="3"/>
    <s v="F"/>
    <s v="0001-000738"/>
    <n v="8"/>
    <s v="Utiles de asea"/>
    <x v="9"/>
    <x v="1"/>
    <x v="0"/>
    <s v="Glb"/>
    <n v="1"/>
    <n v="33.9"/>
    <n v="6.1019999999999994"/>
    <m/>
    <n v="40.001999999999995"/>
    <s v="CHINCHAY HUAMAN GLADYS"/>
  </r>
  <r>
    <n v="214"/>
    <d v="2019-04-05T00:00:00"/>
    <x v="3"/>
    <s v="F"/>
    <s v="001-000205"/>
    <n v="8"/>
    <s v="Alojamiento"/>
    <x v="6"/>
    <x v="2"/>
    <x v="0"/>
    <s v="Glb"/>
    <n v="1"/>
    <n v="33.9"/>
    <n v="6.1019999999999994"/>
    <m/>
    <n v="40.001999999999995"/>
    <s v="CARRASCO HUANCAS CARMEN ESTELA"/>
  </r>
  <r>
    <n v="215"/>
    <d v="2019-04-05T00:00:00"/>
    <x v="3"/>
    <s v="BV"/>
    <s v="0002-003715"/>
    <n v="8"/>
    <s v="Utiles de oficna"/>
    <x v="1"/>
    <x v="1"/>
    <x v="0"/>
    <s v="Glb"/>
    <n v="1"/>
    <n v="45.5"/>
    <n v="0"/>
    <m/>
    <n v="45.5"/>
    <s v="VELA SAONA CASINALDO"/>
  </r>
  <r>
    <n v="216"/>
    <d v="2019-03-26T00:00:00"/>
    <x v="2"/>
    <s v="R"/>
    <s v="014-01932285"/>
    <n v="8"/>
    <s v="Pago de luz"/>
    <x v="28"/>
    <x v="0"/>
    <x v="0"/>
    <s v="Glb"/>
    <n v="1"/>
    <n v="112.8"/>
    <n v="0"/>
    <m/>
    <n v="112.8"/>
    <s v="EMPRESA REGIONAL DE SERVICIO PUBLICO DE ELECTRICIDAD DEL NORTE ELECTRONOESTE S.A"/>
  </r>
  <r>
    <n v="217"/>
    <d v="2019-04-02T00:00:00"/>
    <x v="3"/>
    <s v="FE"/>
    <s v="E001-473"/>
    <n v="8"/>
    <s v="Alquiler de habitacion"/>
    <x v="6"/>
    <x v="2"/>
    <x v="0"/>
    <s v="Glb"/>
    <n v="1"/>
    <n v="38.14"/>
    <n v="6.8651999999999997"/>
    <m/>
    <n v="45.005200000000002"/>
    <s v="INVERSIONES TURISTICAS R Y N SAC"/>
  </r>
  <r>
    <n v="218"/>
    <d v="2019-04-02T00:00:00"/>
    <x v="3"/>
    <s v="BV"/>
    <s v="001-004358"/>
    <n v="14"/>
    <s v="Alquiler de habitacion"/>
    <x v="6"/>
    <x v="2"/>
    <x v="0"/>
    <s v="Glb"/>
    <n v="1"/>
    <n v="40"/>
    <n v="0"/>
    <m/>
    <n v="40"/>
    <s v="ZEÑA SANTOS ANDRES APOLINAR"/>
  </r>
  <r>
    <n v="219"/>
    <d v="2019-04-02T00:00:00"/>
    <x v="3"/>
    <s v="BV"/>
    <s v="001-044939"/>
    <n v="8"/>
    <s v="Reintegro de viaticos Ruel Nicomedes"/>
    <x v="3"/>
    <x v="2"/>
    <x v="0"/>
    <s v="Glb"/>
    <n v="1"/>
    <n v="25"/>
    <n v="0"/>
    <m/>
    <n v="25"/>
    <s v="TURISMO SEÑOR DE LA HUMILDAD SRL"/>
  </r>
  <r>
    <n v="220"/>
    <d v="2019-04-05T00:00:00"/>
    <x v="3"/>
    <s v="PM"/>
    <s v="002-WBB"/>
    <n v="8"/>
    <s v="Reintegro de viaticos William Baca"/>
    <x v="3"/>
    <x v="2"/>
    <x v="0"/>
    <s v="Glb"/>
    <n v="1"/>
    <n v="50"/>
    <n v="0"/>
    <m/>
    <n v="50"/>
    <s v="BACA BERRIO WILLIAM"/>
  </r>
  <r>
    <n v="221"/>
    <d v="2019-04-05T00:00:00"/>
    <x v="3"/>
    <s v="PM"/>
    <s v="001-RAT"/>
    <n v="8"/>
    <s v="Reintegro de viaticos Richar Aparicio"/>
    <x v="3"/>
    <x v="2"/>
    <x v="0"/>
    <s v="Glb"/>
    <n v="1"/>
    <n v="50"/>
    <n v="0"/>
    <m/>
    <n v="50"/>
    <s v="APARICIO TORRES Richard"/>
  </r>
  <r>
    <n v="222"/>
    <d v="2019-04-03T00:00:00"/>
    <x v="3"/>
    <s v="RRHH"/>
    <s v="E001-162"/>
    <n v="8"/>
    <s v="Pago por diseño de mescla para concreto con hormigon"/>
    <x v="4"/>
    <x v="0"/>
    <x v="0"/>
    <s v="Glb"/>
    <n v="1"/>
    <n v="368"/>
    <n v="0"/>
    <m/>
    <n v="368"/>
    <s v="TALLEDO SILVA SHAIN BORIS"/>
  </r>
  <r>
    <n v="223"/>
    <d v="2019-04-05T00:00:00"/>
    <x v="3"/>
    <s v="F"/>
    <s v="E001-3"/>
    <n v="8"/>
    <s v="Servicio de internet"/>
    <x v="4"/>
    <x v="0"/>
    <x v="0"/>
    <s v="Glb"/>
    <n v="1"/>
    <n v="677.97"/>
    <n v="122.0346"/>
    <m/>
    <n v="800.00459999999998"/>
    <s v="INVERSIONES RAYSE SAC"/>
  </r>
  <r>
    <n v="223"/>
    <d v="2019-04-13T00:00:00"/>
    <x v="3"/>
    <s v="RC"/>
    <s v="7"/>
    <n v="9"/>
    <s v="Gastos bancarios fondo fijo"/>
    <x v="16"/>
    <x v="4"/>
    <x v="0"/>
    <s v="Glb"/>
    <n v="1"/>
    <n v="134.6"/>
    <n v="0"/>
    <m/>
    <n v="134.6"/>
    <s v="SANTISTEBAN VARGAS PILAR"/>
  </r>
  <r>
    <n v="223"/>
    <d v="2019-04-09T00:00:00"/>
    <x v="3"/>
    <s v="FE"/>
    <s v="F001-91"/>
    <n v="9"/>
    <s v="Muebles y Enseres"/>
    <x v="27"/>
    <x v="1"/>
    <x v="0"/>
    <s v="Glb"/>
    <n v="1"/>
    <n v="254.24"/>
    <n v="45.763199999999998"/>
    <m/>
    <n v="300.00319999999999"/>
    <s v="CASA MUEBLES Y CONSTRUCCION EIRL"/>
  </r>
  <r>
    <n v="223"/>
    <d v="2019-04-10T00:00:00"/>
    <x v="3"/>
    <s v="FE"/>
    <s v="F001-92"/>
    <n v="9"/>
    <s v="Muebles y Enseres"/>
    <x v="27"/>
    <x v="1"/>
    <x v="0"/>
    <s v="Glb"/>
    <n v="1"/>
    <n v="254.24"/>
    <n v="45.763199999999998"/>
    <m/>
    <n v="300.00319999999999"/>
    <s v="CASA MUEBLES Y CONSTRUCCION EIRL"/>
  </r>
  <r>
    <n v="223"/>
    <d v="2019-04-03T00:00:00"/>
    <x v="3"/>
    <s v="FE"/>
    <s v="F025-00055386"/>
    <n v="9"/>
    <s v="Envio de encomiendas"/>
    <x v="19"/>
    <x v="0"/>
    <x v="0"/>
    <s v="Glb"/>
    <n v="1"/>
    <n v="10.17"/>
    <n v="1.8306"/>
    <m/>
    <n v="12.0006"/>
    <s v="SERVICE JACKSON SRL"/>
  </r>
  <r>
    <n v="223"/>
    <d v="2019-04-11T00:00:00"/>
    <x v="3"/>
    <s v="FE"/>
    <s v="E001-4"/>
    <n v="9"/>
    <s v="Servicio de internet"/>
    <x v="17"/>
    <x v="0"/>
    <x v="0"/>
    <s v="Glb"/>
    <n v="1"/>
    <n v="169.49"/>
    <n v="30.508200000000002"/>
    <m/>
    <n v="199.9982"/>
    <s v="INVERSIONES RAYSE SAC"/>
  </r>
  <r>
    <n v="223"/>
    <d v="2019-04-10T00:00:00"/>
    <x v="3"/>
    <s v="FE"/>
    <s v="FFF1-000228"/>
    <n v="9"/>
    <s v="Compra de un alcoholimetro"/>
    <x v="27"/>
    <x v="1"/>
    <x v="1"/>
    <s v="Glb"/>
    <n v="1"/>
    <n v="317.8"/>
    <n v="57.204000000000001"/>
    <m/>
    <n v="375.00400000000002"/>
    <s v="ARMOTEC CONTRATISTAS GENERALES SAC"/>
  </r>
  <r>
    <n v="223"/>
    <d v="2019-04-12T00:00:00"/>
    <x v="3"/>
    <s v="F"/>
    <s v="0004-000081"/>
    <n v="9"/>
    <s v="Alojamiento"/>
    <x v="6"/>
    <x v="2"/>
    <x v="0"/>
    <s v="Glb"/>
    <n v="1"/>
    <n v="46.61"/>
    <n v="8.3897999999999993"/>
    <m/>
    <n v="54.9998"/>
    <s v="ROMERO´S HOTELS SAC"/>
  </r>
  <r>
    <n v="223"/>
    <d v="2019-04-12T00:00:00"/>
    <x v="3"/>
    <s v="FE"/>
    <s v="F121-0013435"/>
    <n v="9"/>
    <s v="Servicio de cochera"/>
    <x v="7"/>
    <x v="0"/>
    <x v="0"/>
    <s v="Glb"/>
    <n v="1"/>
    <n v="5.51"/>
    <n v="0.9917999999999999"/>
    <m/>
    <n v="6.5017999999999994"/>
    <s v="AEROPUERTOS DEL PERU SA"/>
  </r>
  <r>
    <n v="223"/>
    <d v="2019-04-12T00:00:00"/>
    <x v="3"/>
    <s v="FE"/>
    <s v="F003-0225"/>
    <n v="9"/>
    <s v="Combustible para la camioneta"/>
    <x v="14"/>
    <x v="3"/>
    <x v="0"/>
    <s v="Glb"/>
    <n v="1"/>
    <n v="84.75"/>
    <n v="15.254999999999999"/>
    <m/>
    <n v="100.005"/>
    <s v="CORPORACION PETRO GAS EIRL"/>
  </r>
  <r>
    <n v="223"/>
    <d v="2019-04-11T00:00:00"/>
    <x v="3"/>
    <s v="FE"/>
    <s v="FC02-135357"/>
    <n v="9"/>
    <s v="Servicio de peaje "/>
    <x v="7"/>
    <x v="0"/>
    <x v="0"/>
    <s v="Glb"/>
    <n v="1"/>
    <n v="5.76"/>
    <n v="1.0367999999999999"/>
    <m/>
    <n v="6.7967999999999993"/>
    <s v="CONCESIONARIA IIRSA NORTE SA"/>
  </r>
  <r>
    <n v="223"/>
    <d v="2019-04-12T00:00:00"/>
    <x v="3"/>
    <s v="FE"/>
    <s v="FC01-136395"/>
    <n v="9"/>
    <s v="Servicio de peaje "/>
    <x v="7"/>
    <x v="0"/>
    <x v="0"/>
    <s v="Glb"/>
    <n v="1"/>
    <n v="5.76"/>
    <n v="1.0367999999999999"/>
    <m/>
    <n v="6.7967999999999993"/>
    <s v="CONCESIONARIA IIRSA NORTE SA"/>
  </r>
  <r>
    <n v="223"/>
    <d v="2019-04-12T00:00:00"/>
    <x v="3"/>
    <s v="F"/>
    <s v="001-002175"/>
    <n v="9"/>
    <s v="Compra de gasolina "/>
    <x v="14"/>
    <x v="3"/>
    <x v="0"/>
    <s v="Glb"/>
    <n v="1"/>
    <n v="72.709999999999994"/>
    <n v="13.087799999999998"/>
    <m/>
    <n v="85.797799999999995"/>
    <s v="AGUILAR REYES MARIA ESPERANZA"/>
  </r>
  <r>
    <n v="223"/>
    <d v="2019-04-09T00:00:00"/>
    <x v="3"/>
    <s v="BV"/>
    <s v="0001-001629"/>
    <n v="9"/>
    <s v="Compra de gaseosas"/>
    <x v="5"/>
    <x v="2"/>
    <x v="0"/>
    <s v="Glb"/>
    <n v="1"/>
    <n v="12"/>
    <n v="0"/>
    <m/>
    <n v="12"/>
    <s v="CARRASCO HUANCAS LUZ AMPARO"/>
  </r>
  <r>
    <n v="223"/>
    <d v="2019-04-05T00:00:00"/>
    <x v="3"/>
    <s v="FE"/>
    <s v="E001-504"/>
    <n v="9"/>
    <s v="Reintegro de movilidad Ricardo vila"/>
    <x v="3"/>
    <x v="2"/>
    <x v="0"/>
    <s v="Glb"/>
    <n v="1"/>
    <n v="86"/>
    <n v="0"/>
    <m/>
    <n v="86"/>
    <s v="HUANUCO SOTELO EDGAR LENIN"/>
  </r>
  <r>
    <n v="223"/>
    <d v="2019-04-12T00:00:00"/>
    <x v="3"/>
    <s v="BV"/>
    <s v="001-0049357"/>
    <n v="9"/>
    <s v="Reintegro de viaticos Pedro Huaraca"/>
    <x v="3"/>
    <x v="2"/>
    <x v="0"/>
    <s v="Glb"/>
    <n v="1"/>
    <n v="30"/>
    <n v="0"/>
    <m/>
    <n v="30"/>
    <s v="EMPRESA DE TRANSPORTES COCOTOURS EIRL"/>
  </r>
  <r>
    <n v="223"/>
    <d v="2019-04-13T00:00:00"/>
    <x v="3"/>
    <s v="RRHH"/>
    <s v="E001-36"/>
    <n v="9"/>
    <s v="Servicios como conductor de Huarmca- Piura"/>
    <x v="4"/>
    <x v="0"/>
    <x v="0"/>
    <s v="Glb"/>
    <n v="1"/>
    <n v="140"/>
    <n v="0"/>
    <m/>
    <n v="140"/>
    <s v="BORASINO SALAZAR JORGE RAFAEL"/>
  </r>
  <r>
    <n v="223"/>
    <d v="2019-04-13T00:00:00"/>
    <x v="3"/>
    <s v="RRHH"/>
    <s v="E001-37"/>
    <n v="9"/>
    <s v="Instalacion y configuracion de impresoras y antivirus"/>
    <x v="4"/>
    <x v="0"/>
    <x v="0"/>
    <s v="Glb"/>
    <n v="1"/>
    <n v="200"/>
    <n v="0"/>
    <m/>
    <n v="200"/>
    <s v="BORASINO SALAZAR JORGE RAFAEL"/>
  </r>
  <r>
    <n v="223"/>
    <d v="2019-04-13T00:00:00"/>
    <x v="3"/>
    <s v="PM"/>
    <s v="002-PMR"/>
    <n v="9"/>
    <s v="Reintegro de movildad Pedro H uaraca"/>
    <x v="3"/>
    <x v="2"/>
    <x v="0"/>
    <s v="Glb"/>
    <n v="1"/>
    <n v="125"/>
    <n v="0"/>
    <m/>
    <n v="125"/>
    <s v="HUARACA ROJAS PEDRO"/>
  </r>
  <r>
    <n v="223"/>
    <d v="2019-04-13T00:00:00"/>
    <x v="3"/>
    <s v="PM"/>
    <s v="003-RVG"/>
    <n v="9"/>
    <s v="Reintegro de movilidad Ricardo vila"/>
    <x v="3"/>
    <x v="2"/>
    <x v="0"/>
    <s v="Glb"/>
    <n v="1"/>
    <n v="25"/>
    <n v="0"/>
    <m/>
    <n v="25"/>
    <s v="VILA GARRIDO RICARDO"/>
  </r>
  <r>
    <n v="223"/>
    <d v="2019-04-13T00:00:00"/>
    <x v="3"/>
    <s v="RRHH"/>
    <s v="E001-32"/>
    <n v="9"/>
    <s v="Servicios de desetiva de acero del 09 y 10 de abril"/>
    <x v="4"/>
    <x v="0"/>
    <x v="0"/>
    <s v="Glb"/>
    <n v="1"/>
    <n v="420"/>
    <n v="0"/>
    <m/>
    <n v="420"/>
    <s v="WONG DELGADO JORGE RICARDO"/>
  </r>
  <r>
    <n v="223"/>
    <d v="2019-04-12T00:00:00"/>
    <x v="3"/>
    <s v="FE"/>
    <s v="FA48-00002118"/>
    <n v="10"/>
    <s v="Reintegro de viaticos Christian Tenorio Mesones"/>
    <x v="3"/>
    <x v="2"/>
    <x v="0"/>
    <s v="Glb"/>
    <n v="1"/>
    <n v="70"/>
    <n v="0"/>
    <m/>
    <n v="70"/>
    <s v="TENORIO MESONES CHRISTIAN ENRIQUE"/>
  </r>
  <r>
    <n v="223"/>
    <d v="2019-04-18T00:00:00"/>
    <x v="3"/>
    <s v="PM"/>
    <s v="001-CHETM"/>
    <n v="10"/>
    <s v="Reintegro de viaticos Christian Tenorio Mesones"/>
    <x v="3"/>
    <x v="2"/>
    <x v="0"/>
    <s v="Glb"/>
    <n v="1"/>
    <n v="50"/>
    <n v="0"/>
    <m/>
    <n v="50"/>
    <s v="TENORIO MESONES CHRISTIAN ENRIQUE"/>
  </r>
  <r>
    <n v="223"/>
    <d v="2019-04-01T00:00:00"/>
    <x v="3"/>
    <s v="PM"/>
    <s v="001-JGV"/>
    <n v="10"/>
    <s v="Reintegro de viaticos Juan Guerra"/>
    <x v="3"/>
    <x v="2"/>
    <x v="0"/>
    <s v="Glb"/>
    <n v="1"/>
    <n v="150"/>
    <n v="0"/>
    <m/>
    <n v="150"/>
    <s v="GUERRA VILLANUEVA JUAN"/>
  </r>
  <r>
    <n v="223"/>
    <d v="2019-03-28T00:00:00"/>
    <x v="2"/>
    <s v="FE"/>
    <s v="544-2194998843"/>
    <n v="10"/>
    <s v="Reintegro de viaticos Juan Guerra"/>
    <x v="3"/>
    <x v="2"/>
    <x v="0"/>
    <s v="Glb"/>
    <n v="1"/>
    <n v="330.5"/>
    <n v="0"/>
    <m/>
    <n v="330.5"/>
    <s v="LAN PERU SA"/>
  </r>
  <r>
    <n v="223"/>
    <d v="2019-04-17T00:00:00"/>
    <x v="3"/>
    <s v="FE"/>
    <s v="F002-47"/>
    <n v="10"/>
    <s v="Reintegro de viaticos Manuel rimapa"/>
    <x v="3"/>
    <x v="2"/>
    <x v="0"/>
    <s v="Glb"/>
    <n v="1"/>
    <n v="207.63"/>
    <n v="37.373399999999997"/>
    <m/>
    <n v="245.0034"/>
    <s v="TURISMO SEÑOR DE LA HUMILDAD SRL"/>
  </r>
  <r>
    <n v="223"/>
    <d v="2019-03-01T00:00:00"/>
    <x v="2"/>
    <s v="PM"/>
    <s v="001-AAG"/>
    <n v="10"/>
    <s v="Reintegro de viaticos Arturo Apaza"/>
    <x v="3"/>
    <x v="2"/>
    <x v="0"/>
    <s v="Glb"/>
    <n v="1"/>
    <n v="80"/>
    <n v="0"/>
    <m/>
    <n v="80"/>
    <s v="APAZA GONZALES ARTURO"/>
  </r>
  <r>
    <n v="223"/>
    <d v="2019-04-16T00:00:00"/>
    <x v="3"/>
    <s v="FE"/>
    <s v="F025-00056146"/>
    <n v="10"/>
    <s v="Envio de encomiendas"/>
    <x v="19"/>
    <x v="0"/>
    <x v="0"/>
    <s v="Glb"/>
    <n v="1"/>
    <n v="10.17"/>
    <n v="1.8306"/>
    <m/>
    <n v="12.0006"/>
    <s v="SERVICE JACKSON SRL"/>
  </r>
  <r>
    <n v="223"/>
    <d v="2019-04-15T00:00:00"/>
    <x v="3"/>
    <s v="FE"/>
    <s v="F025-00056025"/>
    <n v="10"/>
    <s v="Envio de encomiendas"/>
    <x v="19"/>
    <x v="0"/>
    <x v="0"/>
    <s v="Glb"/>
    <n v="1"/>
    <n v="10.17"/>
    <n v="1.8306"/>
    <m/>
    <n v="12.0006"/>
    <s v="SERVICE JACKSON SRL"/>
  </r>
  <r>
    <n v="223"/>
    <d v="2019-04-10T00:00:00"/>
    <x v="3"/>
    <s v="FE"/>
    <s v="F022-00051326"/>
    <n v="10"/>
    <s v="Envio de encomiendas"/>
    <x v="19"/>
    <x v="0"/>
    <x v="0"/>
    <s v="Glb"/>
    <n v="1"/>
    <n v="10.17"/>
    <n v="1.8306"/>
    <m/>
    <n v="12.0006"/>
    <s v="SERVICE JACKSON SRL"/>
  </r>
  <r>
    <n v="223"/>
    <d v="2019-04-15T00:00:00"/>
    <x v="3"/>
    <s v="FE"/>
    <s v="F006-00023529"/>
    <n v="10"/>
    <s v="Envio de encomiendas"/>
    <x v="19"/>
    <x v="0"/>
    <x v="0"/>
    <s v="Glb"/>
    <n v="1"/>
    <n v="16.95"/>
    <n v="3.0509999999999997"/>
    <m/>
    <n v="20.000999999999998"/>
    <s v="TRANSPORTES EL PINO SAC"/>
  </r>
  <r>
    <n v="223"/>
    <d v="2019-03-25T00:00:00"/>
    <x v="2"/>
    <s v="FE"/>
    <s v="F010-0056203"/>
    <n v="10"/>
    <s v="Envio de encomiendas"/>
    <x v="19"/>
    <x v="0"/>
    <x v="0"/>
    <s v="Glb"/>
    <n v="1"/>
    <n v="20"/>
    <n v="0"/>
    <m/>
    <n v="20"/>
    <s v="TURISMO CIVA SAC"/>
  </r>
  <r>
    <n v="223"/>
    <d v="2019-04-16T00:00:00"/>
    <x v="3"/>
    <s v="BV"/>
    <s v="0002-000399"/>
    <n v="10"/>
    <s v="confeccion de sello y reparacion sello"/>
    <x v="1"/>
    <x v="1"/>
    <x v="0"/>
    <s v="Glb"/>
    <n v="1"/>
    <n v="35"/>
    <n v="0"/>
    <m/>
    <n v="35"/>
    <s v="CORREA TINEO RONAL  MIGDALI"/>
  </r>
  <r>
    <n v="223"/>
    <d v="2019-04-16T00:00:00"/>
    <x v="3"/>
    <s v="FE"/>
    <s v="F597-00010495"/>
    <n v="10"/>
    <s v="Utiles de oficina"/>
    <x v="1"/>
    <x v="1"/>
    <x v="0"/>
    <s v="Glb"/>
    <n v="1"/>
    <n v="124.58"/>
    <n v="22.424399999999999"/>
    <m/>
    <n v="147.0044"/>
    <s v="MEGA UTILES Y SUMISTROS SAC"/>
  </r>
  <r>
    <n v="223"/>
    <d v="2019-04-17T00:00:00"/>
    <x v="3"/>
    <s v="FE"/>
    <s v="F021-00007861"/>
    <n v="10"/>
    <s v="Utiles de oficina"/>
    <x v="1"/>
    <x v="1"/>
    <x v="0"/>
    <s v="Glb"/>
    <n v="1"/>
    <n v="335.9"/>
    <n v="0"/>
    <m/>
    <n v="335.9"/>
    <s v="NEGOCIOS E INVERSIONES F.CHANG EIRL"/>
  </r>
  <r>
    <n v="223"/>
    <d v="2019-04-17T00:00:00"/>
    <x v="3"/>
    <s v="FE"/>
    <s v="F021-00007860"/>
    <n v="10"/>
    <s v="Utiles de oficina"/>
    <x v="1"/>
    <x v="1"/>
    <x v="0"/>
    <s v="Glb"/>
    <n v="1"/>
    <n v="141.68"/>
    <n v="0"/>
    <m/>
    <n v="141.68"/>
    <s v="NEGOCIOS E INVERSIONES F.CHANG EIRL"/>
  </r>
  <r>
    <n v="223"/>
    <d v="2019-04-20T00:00:00"/>
    <x v="3"/>
    <s v="F"/>
    <s v="0001-006665"/>
    <n v="10"/>
    <s v="Alojamienro"/>
    <x v="6"/>
    <x v="2"/>
    <x v="0"/>
    <s v="Glb"/>
    <n v="1"/>
    <n v="42.37"/>
    <n v="7.6265999999999989"/>
    <m/>
    <n v="49.996599999999994"/>
    <s v="CEVALLOS LOPEZ LUIS ALONSO"/>
  </r>
  <r>
    <n v="223"/>
    <d v="2019-04-21T00:00:00"/>
    <x v="3"/>
    <s v="FE"/>
    <s v="FB01-273518"/>
    <n v="10"/>
    <s v="Peaje alq. Camioneta a Huarmaca"/>
    <x v="7"/>
    <x v="0"/>
    <x v="0"/>
    <s v="Glb"/>
    <n v="1"/>
    <n v="5.76"/>
    <n v="1.0367999999999999"/>
    <m/>
    <n v="6.7967999999999993"/>
    <s v="CONCESIONARIA IIRSA NORTE SA"/>
  </r>
  <r>
    <n v="223"/>
    <d v="2019-04-20T00:00:00"/>
    <x v="3"/>
    <s v="FE"/>
    <s v="FB2-273337"/>
    <n v="10"/>
    <s v="Peaje alq. Camioneta a Huarmaca"/>
    <x v="7"/>
    <x v="0"/>
    <x v="0"/>
    <s v="Glb"/>
    <n v="1"/>
    <n v="5.76"/>
    <n v="1.0367999999999999"/>
    <m/>
    <n v="6.7967999999999993"/>
    <s v="CONCESIONARIA IIRSA NORTE SA"/>
  </r>
  <r>
    <n v="223"/>
    <d v="2019-04-21T00:00:00"/>
    <x v="3"/>
    <s v="FE"/>
    <s v="FC01-139676"/>
    <n v="10"/>
    <s v="Peaje alq. Camioneta a Huarmaca"/>
    <x v="7"/>
    <x v="0"/>
    <x v="0"/>
    <s v="Glb"/>
    <n v="1"/>
    <n v="5.76"/>
    <n v="1.0367999999999999"/>
    <m/>
    <n v="6.7967999999999993"/>
    <s v="CONCESIONARIA IIRSA NORTE SA"/>
  </r>
  <r>
    <n v="223"/>
    <d v="2019-04-20T00:00:00"/>
    <x v="3"/>
    <s v="FE"/>
    <s v="fc02-138428"/>
    <n v="10"/>
    <s v="Peaje alq. Camioneta a Huarmaca"/>
    <x v="7"/>
    <x v="0"/>
    <x v="0"/>
    <s v="Glb"/>
    <n v="1"/>
    <n v="5.76"/>
    <n v="1.0367999999999999"/>
    <m/>
    <n v="6.7967999999999993"/>
    <s v="CONCESIONARIA IIRSA NORTE SA"/>
  </r>
  <r>
    <n v="223"/>
    <d v="2019-04-20T00:00:00"/>
    <x v="3"/>
    <s v="BV"/>
    <s v="0003-002042"/>
    <n v="10"/>
    <s v="Mantenimiento de la camioneta"/>
    <x v="23"/>
    <x v="0"/>
    <x v="0"/>
    <s v="Glb"/>
    <n v="1"/>
    <n v="330"/>
    <n v="0"/>
    <m/>
    <n v="330"/>
    <s v="HUACHILLO DE GUERRERO MARIA ISIDORA"/>
  </r>
  <r>
    <n v="223"/>
    <d v="2019-04-20T00:00:00"/>
    <x v="3"/>
    <s v="FE"/>
    <s v="F001-00000852"/>
    <n v="10"/>
    <s v="Mantenimiento de la camioneta"/>
    <x v="23"/>
    <x v="0"/>
    <x v="0"/>
    <s v="Glb"/>
    <n v="1"/>
    <n v="237.29"/>
    <n v="42.712199999999996"/>
    <m/>
    <n v="280.00220000000002"/>
    <s v="VIDRIERIA PIURA"/>
  </r>
  <r>
    <n v="223"/>
    <d v="2019-04-21T00:00:00"/>
    <x v="3"/>
    <s v="FE"/>
    <s v="F011-00008016"/>
    <n v="10"/>
    <s v="Combustible para la camioneta"/>
    <x v="14"/>
    <x v="3"/>
    <x v="0"/>
    <s v="Glb"/>
    <n v="1"/>
    <n v="84.74"/>
    <n v="15.253199999999998"/>
    <m/>
    <n v="99.993199999999987"/>
    <s v="ESTACION DE SERVICIOS ALVARADO ISRL"/>
  </r>
  <r>
    <n v="223"/>
    <d v="2019-04-21T00:00:00"/>
    <x v="3"/>
    <s v="FE"/>
    <s v="F576-0023753"/>
    <n v="10"/>
    <s v="Cuaderno de obra"/>
    <x v="1"/>
    <x v="1"/>
    <x v="0"/>
    <s v="Glb"/>
    <n v="1"/>
    <n v="44.92"/>
    <n v="8.0855999999999995"/>
    <m/>
    <n v="53.005600000000001"/>
    <s v="TAI LOY S.A"/>
  </r>
  <r>
    <n v="223"/>
    <d v="2019-04-21T00:00:00"/>
    <x v="3"/>
    <s v="FE"/>
    <s v="FA06-00247375"/>
    <n v="10"/>
    <s v="Compra de winchas"/>
    <x v="27"/>
    <x v="1"/>
    <x v="0"/>
    <s v="Glb"/>
    <n v="1"/>
    <n v="59.06"/>
    <n v="10.630800000000001"/>
    <m/>
    <n v="69.690799999999996"/>
    <s v="HOMECENTERS PERUANOS S.A"/>
  </r>
  <r>
    <n v="223"/>
    <d v="2019-04-21T00:00:00"/>
    <x v="3"/>
    <s v="FE"/>
    <s v="E001-26"/>
    <n v="10"/>
    <s v="Muebles y Enseres"/>
    <x v="30"/>
    <x v="3"/>
    <x v="0"/>
    <s v="Glb"/>
    <n v="1"/>
    <n v="389.83"/>
    <n v="70.169399999999996"/>
    <m/>
    <n v="459.99939999999998"/>
    <s v="PRODUCTOS Y NEGOCIOS HIDALGO EIRL"/>
  </r>
  <r>
    <n v="223"/>
    <d v="2019-04-22T00:00:00"/>
    <x v="3"/>
    <s v="BV"/>
    <s v="001-000103"/>
    <n v="10"/>
    <s v="Alquiler de alcantarilladel mes de marzo"/>
    <x v="26"/>
    <x v="0"/>
    <x v="0"/>
    <s v="Glb"/>
    <n v="1"/>
    <n v="200"/>
    <n v="0"/>
    <m/>
    <n v="200"/>
    <s v="RODRIGUES RIVERO WILFREDO"/>
  </r>
  <r>
    <n v="223"/>
    <d v="2019-04-24T00:00:00"/>
    <x v="3"/>
    <s v="F"/>
    <s v="0002-000282"/>
    <n v="11"/>
    <s v="formato de salida de almacen"/>
    <x v="2"/>
    <x v="0"/>
    <x v="0"/>
    <s v="Glb"/>
    <n v="1"/>
    <n v="152.54"/>
    <n v="27.457199999999997"/>
    <m/>
    <n v="179.99719999999999"/>
    <s v="HERRERA ESTRADA ELIEZER"/>
  </r>
  <r>
    <n v="223"/>
    <d v="2019-04-18T00:00:00"/>
    <x v="3"/>
    <s v="FE"/>
    <s v="F597-0010555"/>
    <n v="11"/>
    <s v="Compra de mouse"/>
    <x v="1"/>
    <x v="1"/>
    <x v="0"/>
    <s v="Glb"/>
    <n v="1"/>
    <n v="81.61"/>
    <n v="14.6898"/>
    <m/>
    <n v="96.299800000000005"/>
    <s v="MEGA UTILES Y SUMISTROS SAC"/>
  </r>
  <r>
    <n v="223"/>
    <d v="2019-04-22T00:00:00"/>
    <x v="3"/>
    <s v="F"/>
    <s v="0001-003954"/>
    <n v="11"/>
    <s v="Servicio de alquiler de camioneta hilux 4x4"/>
    <x v="11"/>
    <x v="0"/>
    <x v="0"/>
    <s v="Glb"/>
    <n v="1"/>
    <n v="1016.95"/>
    <n v="183.05099999999999"/>
    <m/>
    <n v="1200.001"/>
    <s v="MULTISERVICIOS W.F.M. E.I.R.L"/>
  </r>
  <r>
    <n v="223"/>
    <d v="2019-04-20T00:00:00"/>
    <x v="3"/>
    <s v="BV"/>
    <s v="0001-002351"/>
    <n v="11"/>
    <s v="Compra de calamina"/>
    <x v="12"/>
    <x v="3"/>
    <x v="0"/>
    <s v="Glb"/>
    <n v="1"/>
    <n v="255"/>
    <n v="0"/>
    <m/>
    <n v="255"/>
    <s v="CORREA TINEO ROMULO"/>
  </r>
  <r>
    <n v="223"/>
    <d v="2019-04-26T00:00:00"/>
    <x v="3"/>
    <s v="RRHH"/>
    <s v="E001-72"/>
    <n v="11"/>
    <s v="Servicio de conductor Huarmaca -Chiclayo"/>
    <x v="4"/>
    <x v="0"/>
    <x v="0"/>
    <s v="Glb"/>
    <n v="1"/>
    <n v="440"/>
    <n v="0"/>
    <m/>
    <n v="440"/>
    <s v="RODRIGUEZ RIVEROS WILFREDO"/>
  </r>
  <r>
    <m/>
    <d v="2019-04-26T00:00:00"/>
    <x v="3"/>
    <s v="RRHH"/>
    <s v="E001-40"/>
    <n v="11"/>
    <s v="Servicio de Gestión documentaria"/>
    <x v="4"/>
    <x v="0"/>
    <x v="0"/>
    <s v="Glb"/>
    <n v="1"/>
    <n v="502"/>
    <n v="0"/>
    <m/>
    <n v="502"/>
    <s v="BORASINO SALAZAR JORGE RAFAEL"/>
  </r>
  <r>
    <n v="223"/>
    <d v="2019-04-06T00:00:00"/>
    <x v="3"/>
    <s v="R"/>
    <s v="T001-0682949356"/>
    <n v="11"/>
    <s v="Servicio de linea de celulares"/>
    <x v="17"/>
    <x v="0"/>
    <x v="0"/>
    <s v="Glb"/>
    <n v="1"/>
    <n v="1474.51"/>
    <n v="265.41179999999997"/>
    <m/>
    <n v="1739.9218000000001"/>
    <s v="AMERICA MOVIL PERU  SAC"/>
  </r>
  <r>
    <n v="223"/>
    <d v="2019-04-23T00:00:00"/>
    <x v="3"/>
    <s v="FE"/>
    <s v="F025-0056465"/>
    <n v="11"/>
    <s v="Envio de encomiendas"/>
    <x v="19"/>
    <x v="0"/>
    <x v="0"/>
    <s v="Glb"/>
    <n v="1"/>
    <n v="10.17"/>
    <n v="1.8306"/>
    <m/>
    <n v="12.0006"/>
    <s v="SERVICE JACKSON SRL"/>
  </r>
  <r>
    <n v="223"/>
    <d v="2019-04-25T00:00:00"/>
    <x v="3"/>
    <s v="BV"/>
    <s v="0002-000815"/>
    <n v="11"/>
    <s v="Mantenimiento de la camioneta"/>
    <x v="23"/>
    <x v="0"/>
    <x v="0"/>
    <s v="Glb"/>
    <n v="1"/>
    <n v="20"/>
    <n v="0"/>
    <m/>
    <n v="20"/>
    <s v="YAJAHUANCA HUAMAN JHOMAR"/>
  </r>
  <r>
    <n v="223"/>
    <d v="2019-04-17T00:00:00"/>
    <x v="3"/>
    <s v="PM"/>
    <s v="01-SAV"/>
    <n v="12"/>
    <s v="Reintegro de viasticos - Silos Rodrigo"/>
    <x v="3"/>
    <x v="2"/>
    <x v="0"/>
    <s v="Glb"/>
    <n v="1"/>
    <n v="25"/>
    <n v="0"/>
    <m/>
    <n v="25"/>
    <s v="AGUADO VALENZUELO SILOS RODRIGO"/>
  </r>
  <r>
    <n v="223"/>
    <d v="2019-04-23T00:00:00"/>
    <x v="3"/>
    <s v="FE"/>
    <s v="E001-5"/>
    <n v="12"/>
    <s v="Servicio de internet alambrico - ofocina abril"/>
    <x v="17"/>
    <x v="0"/>
    <x v="0"/>
    <s v="Glb"/>
    <n v="1"/>
    <n v="677.97"/>
    <n v="122.0346"/>
    <m/>
    <n v="800.00459999999998"/>
    <s v="INVERSIONES RAYSE SAC"/>
  </r>
  <r>
    <n v="223"/>
    <d v="2019-04-23T00:00:00"/>
    <x v="3"/>
    <s v="FE"/>
    <s v="E001-6"/>
    <n v="12"/>
    <s v="Servicio de internet alambrico - hogar,personal staff abril"/>
    <x v="17"/>
    <x v="0"/>
    <x v="0"/>
    <s v="Glb"/>
    <n v="1"/>
    <n v="169.49"/>
    <n v="30.508200000000002"/>
    <m/>
    <n v="199.9982"/>
    <s v="INVERSIONES RAYSE SAC"/>
  </r>
  <r>
    <n v="223"/>
    <d v="2019-04-25T00:00:00"/>
    <x v="3"/>
    <s v="BV"/>
    <s v="0001-002352"/>
    <n v="12"/>
    <s v="Compra de calamina"/>
    <x v="12"/>
    <x v="3"/>
    <x v="0"/>
    <s v="Glb"/>
    <n v="1"/>
    <n v="255"/>
    <n v="0"/>
    <m/>
    <n v="255"/>
    <s v="CORREA TINEO ROMULO"/>
  </r>
  <r>
    <n v="223"/>
    <d v="2019-04-26T00:00:00"/>
    <x v="3"/>
    <s v="R"/>
    <s v="014-01954806"/>
    <n v="12"/>
    <s v="Pago de luz"/>
    <x v="28"/>
    <x v="0"/>
    <x v="0"/>
    <s v="Glb"/>
    <n v="1"/>
    <n v="199.2"/>
    <n v="0"/>
    <m/>
    <n v="199.2"/>
    <s v="ELECTRICIDAD DEL NORTE ELECETRONOROESTE SA"/>
  </r>
  <r>
    <n v="223"/>
    <d v="2019-04-28T00:00:00"/>
    <x v="3"/>
    <s v="F"/>
    <s v="0001-006693"/>
    <n v="12"/>
    <s v="Alojamiento"/>
    <x v="6"/>
    <x v="2"/>
    <x v="0"/>
    <s v="Glb"/>
    <n v="1"/>
    <n v="33.9"/>
    <n v="6.1019999999999994"/>
    <m/>
    <n v="40.001999999999995"/>
    <s v="CEVALLOS LOPEZ LUIS ALONSO"/>
  </r>
  <r>
    <n v="223"/>
    <d v="2019-04-28T00:00:00"/>
    <x v="3"/>
    <s v="FE"/>
    <s v="FB02-279478"/>
    <n v="12"/>
    <s v="Servicio de peaje "/>
    <x v="7"/>
    <x v="0"/>
    <x v="0"/>
    <s v="Glb"/>
    <n v="1"/>
    <n v="5.76"/>
    <n v="1.0367999999999999"/>
    <m/>
    <n v="6.7967999999999993"/>
    <s v="CONCESIONARIA IIRSA NORTE SA"/>
  </r>
  <r>
    <n v="223"/>
    <d v="2019-04-28T00:00:00"/>
    <x v="3"/>
    <s v="FE"/>
    <s v="FC02-141328"/>
    <n v="12"/>
    <s v="Servicio de peaje "/>
    <x v="7"/>
    <x v="0"/>
    <x v="0"/>
    <s v="Glb"/>
    <n v="1"/>
    <n v="5.76"/>
    <n v="1.0367999999999999"/>
    <m/>
    <n v="6.7967999999999993"/>
    <s v="CONCESIONARIA IIRSA NORTE SA"/>
  </r>
  <r>
    <n v="223"/>
    <d v="2019-04-28T00:00:00"/>
    <x v="3"/>
    <s v="FE"/>
    <s v="F131-00004145"/>
    <n v="12"/>
    <s v="Alimentacion al Personal"/>
    <x v="10"/>
    <x v="2"/>
    <x v="0"/>
    <s v="Glb"/>
    <n v="1"/>
    <n v="55.7"/>
    <n v="0"/>
    <m/>
    <n v="55.7"/>
    <s v="INVERSIONES DT1 SAC"/>
  </r>
  <r>
    <n v="223"/>
    <d v="2019-04-29T00:00:00"/>
    <x v="3"/>
    <s v="F"/>
    <s v="0001-006697"/>
    <n v="12"/>
    <s v="Alojamiento"/>
    <x v="6"/>
    <x v="2"/>
    <x v="0"/>
    <s v="Glb"/>
    <n v="1"/>
    <n v="33.9"/>
    <n v="6.1019999999999994"/>
    <m/>
    <n v="40.001999999999995"/>
    <s v="CEVALLOS LOPEZ LUIS ALONSO"/>
  </r>
  <r>
    <n v="223"/>
    <d v="2019-04-29T00:00:00"/>
    <x v="3"/>
    <s v="F"/>
    <s v="0001-000418"/>
    <n v="12"/>
    <s v="Servicio de taxi Aeropuerto - San Martin de Porres"/>
    <x v="13"/>
    <x v="2"/>
    <x v="0"/>
    <s v="Glb"/>
    <n v="1"/>
    <n v="45"/>
    <n v="0"/>
    <m/>
    <n v="45"/>
    <s v="COSSIO RAMOS GIOVANNA PATRICIA"/>
  </r>
  <r>
    <n v="223"/>
    <d v="2019-04-29T00:00:00"/>
    <x v="3"/>
    <s v="F"/>
    <s v="0001-004687"/>
    <n v="12"/>
    <s v="Alimentacion al personal"/>
    <x v="10"/>
    <x v="2"/>
    <x v="0"/>
    <s v="Glb"/>
    <n v="1"/>
    <n v="16.95"/>
    <n v="3.0509999999999997"/>
    <m/>
    <n v="20.000999999999998"/>
    <s v="NUEVO CHIFA KAM MING EIRL"/>
  </r>
  <r>
    <n v="223"/>
    <d v="2019-04-29T00:00:00"/>
    <x v="3"/>
    <s v="FE"/>
    <s v="F210-018172"/>
    <n v="12"/>
    <s v="Encomiendas"/>
    <x v="19"/>
    <x v="0"/>
    <x v="0"/>
    <s v="Glb"/>
    <n v="1"/>
    <n v="13.56"/>
    <n v="2.4407999999999999"/>
    <m/>
    <n v="16.000800000000002"/>
    <s v="SHALOM EMPRESARIAL SAC"/>
  </r>
  <r>
    <n v="223"/>
    <d v="2019-04-30T00:00:00"/>
    <x v="3"/>
    <s v="BV"/>
    <s v="0002-000411"/>
    <n v="12"/>
    <s v="Alimentacion al Personal"/>
    <x v="10"/>
    <x v="2"/>
    <x v="0"/>
    <s v="Glb"/>
    <n v="1"/>
    <n v="246"/>
    <n v="0"/>
    <m/>
    <n v="246"/>
    <s v="CHUQUIPOMA VASQUEZ EDWIN"/>
  </r>
  <r>
    <n v="223"/>
    <d v="2019-05-05T00:00:00"/>
    <x v="4"/>
    <s v="PM"/>
    <s v="007-APSV"/>
    <n v="12"/>
    <s v="Reintegro de viaticos - Pilar Santistevan Vargas"/>
    <x v="3"/>
    <x v="2"/>
    <x v="0"/>
    <s v="Glb"/>
    <n v="1"/>
    <n v="70.2"/>
    <n v="0"/>
    <m/>
    <n v="70.2"/>
    <s v="SANTISTEVAN VARGAS ANDREITA PILAR"/>
  </r>
  <r>
    <n v="223"/>
    <d v="2019-04-29T00:00:00"/>
    <x v="3"/>
    <s v="FE"/>
    <s v="F709-00004137"/>
    <n v="12"/>
    <s v="Bota Dielectrica - Tec Electricista y Mantenimiento"/>
    <x v="12"/>
    <x v="3"/>
    <x v="1"/>
    <s v="Glb"/>
    <n v="1"/>
    <n v="50.76"/>
    <n v="9.1367999999999991"/>
    <m/>
    <n v="59.896799999999999"/>
    <s v="TIENDAS DE MEJORAMIENTO DEL HOGAR SA"/>
  </r>
  <r>
    <n v="223"/>
    <d v="2019-04-29T00:00:00"/>
    <x v="3"/>
    <s v="FE"/>
    <s v="F001-00012362"/>
    <n v="12"/>
    <s v="TERMINALOJO GRANDE"/>
    <x v="12"/>
    <x v="3"/>
    <x v="0"/>
    <s v="Glb"/>
    <n v="1"/>
    <n v="12.71"/>
    <n v="2.2878000000000003"/>
    <m/>
    <n v="14.997800000000002"/>
    <s v="GRUPO CLAVIJO SAC"/>
  </r>
  <r>
    <n v="223"/>
    <d v="2019-05-29T00:00:00"/>
    <x v="4"/>
    <s v="FE"/>
    <s v="F002-00048512"/>
    <n v="12"/>
    <s v="Combustible para la camioneta"/>
    <x v="14"/>
    <x v="3"/>
    <x v="0"/>
    <s v="Glb"/>
    <n v="1"/>
    <n v="101.69"/>
    <n v="18.304199999999998"/>
    <m/>
    <n v="119.99419999999999"/>
    <s v="ESTACION DE SERVICIOS Y GASOCENTRO MIRAFLORES SCRL"/>
  </r>
  <r>
    <n v="223"/>
    <d v="2019-04-29T00:00:00"/>
    <x v="3"/>
    <s v="FE"/>
    <s v="FO00-00029305"/>
    <n v="12"/>
    <s v="Materiales para obra"/>
    <x v="12"/>
    <x v="3"/>
    <x v="0"/>
    <s v="Glb"/>
    <n v="1"/>
    <n v="366.1"/>
    <n v="65.897999999999996"/>
    <m/>
    <n v="431.99800000000005"/>
    <s v="DISTRIBUCIONES OLANO SAC"/>
  </r>
  <r>
    <n v="223"/>
    <d v="2019-04-28T00:00:00"/>
    <x v="3"/>
    <s v="FE"/>
    <s v="F597-0010936"/>
    <n v="12"/>
    <s v="Compra de sobres manila"/>
    <x v="1"/>
    <x v="1"/>
    <x v="0"/>
    <s v="Glb"/>
    <n v="1"/>
    <n v="21.86"/>
    <n v="3.9347999999999996"/>
    <m/>
    <n v="25.794799999999999"/>
    <s v="MEGA UTILES Y SUMISTROS SAC"/>
  </r>
  <r>
    <n v="223"/>
    <d v="2019-04-28T00:00:00"/>
    <x v="3"/>
    <s v="FE"/>
    <s v="F001-00048822"/>
    <n v="12"/>
    <s v="Combustible para la camioneta"/>
    <x v="14"/>
    <x v="3"/>
    <x v="0"/>
    <s v="Glb"/>
    <n v="1"/>
    <n v="107.64"/>
    <n v="19.3752"/>
    <m/>
    <n v="127.01519999999999"/>
    <s v="ESTACION DE SERVICIOS Y GASOCENTRO MIRAFLORES SCRL"/>
  </r>
  <r>
    <n v="223"/>
    <d v="2019-03-05T00:00:00"/>
    <x v="2"/>
    <s v="BTI"/>
    <s v="001-44358"/>
    <n v="13"/>
    <s v="Reintegro de viáticos - Rodrigo Aguado"/>
    <x v="3"/>
    <x v="2"/>
    <x v="0"/>
    <s v="Glb"/>
    <n v="1"/>
    <n v="25"/>
    <n v="0"/>
    <m/>
    <n v="25"/>
    <s v="TURISMO SEÑOR DE LA HUMILDAD SRL"/>
  </r>
  <r>
    <n v="223"/>
    <d v="2019-04-14T00:00:00"/>
    <x v="3"/>
    <s v="BV"/>
    <s v="002-14"/>
    <n v="13"/>
    <s v="Alquiler local oficina Cuchupampa"/>
    <x v="22"/>
    <x v="0"/>
    <x v="0"/>
    <s v="Glb"/>
    <n v="1"/>
    <n v="300"/>
    <n v="0"/>
    <m/>
    <n v="300"/>
    <s v="ADRIANZEN IRRAZABAL MANUEL"/>
  </r>
  <r>
    <n v="223"/>
    <d v="2019-04-26T00:00:00"/>
    <x v="3"/>
    <s v="BTI"/>
    <s v="004-2477"/>
    <n v="13"/>
    <s v="Reintegro de viáticos - Rodrigo Aguado"/>
    <x v="3"/>
    <x v="2"/>
    <x v="0"/>
    <s v="Glb"/>
    <n v="1"/>
    <n v="25"/>
    <n v="0"/>
    <m/>
    <n v="25"/>
    <s v="TURISMO SEÑOR DE LA HUMILDAD SRL"/>
  </r>
  <r>
    <n v="223"/>
    <d v="2019-04-27T00:00:00"/>
    <x v="3"/>
    <s v="PM"/>
    <s v="3"/>
    <n v="13"/>
    <s v="Reintegro de Movilidad - Huaman Efrain"/>
    <x v="13"/>
    <x v="2"/>
    <x v="0"/>
    <s v="Glb"/>
    <n v="1"/>
    <n v="25"/>
    <n v="0"/>
    <m/>
    <n v="25"/>
    <s v="HUAMAN ENRIQUEZ EFRAIN HUMBERTO"/>
  </r>
  <r>
    <n v="223"/>
    <d v="2019-05-05T00:00:00"/>
    <x v="4"/>
    <s v="PM"/>
    <s v="4"/>
    <n v="13"/>
    <s v="Reintegro de Movilidad - Huaman Efrain"/>
    <x v="13"/>
    <x v="2"/>
    <x v="0"/>
    <s v="Glb"/>
    <n v="1"/>
    <n v="25"/>
    <n v="0"/>
    <m/>
    <n v="25"/>
    <s v="HUAMAN ENRIQUEZ EFRAIN HUMBERTO"/>
  </r>
  <r>
    <n v="223"/>
    <d v="2019-04-27T00:00:00"/>
    <x v="3"/>
    <s v="BTI"/>
    <s v="001-409498"/>
    <n v="13"/>
    <s v="Reintegro de viáticos - Huaman Efrain"/>
    <x v="3"/>
    <x v="2"/>
    <x v="0"/>
    <s v="Glb"/>
    <n v="1"/>
    <n v="140"/>
    <n v="0"/>
    <m/>
    <n v="140"/>
    <s v="HUAMAN ENRIQUEZ EFRAIN HUMBERTO"/>
  </r>
  <r>
    <n v="223"/>
    <d v="2019-04-29T00:00:00"/>
    <x v="3"/>
    <s v="F"/>
    <s v="FB01-278937"/>
    <n v="13"/>
    <s v="Peaje - Traslado de Perito"/>
    <x v="7"/>
    <x v="0"/>
    <x v="0"/>
    <s v="Glb"/>
    <n v="1"/>
    <n v="5.76"/>
    <n v="1.0367999999999999"/>
    <m/>
    <n v="6.7967999999999993"/>
    <s v="CONCESIONARIA IIRSA NORTE SA"/>
  </r>
  <r>
    <n v="223"/>
    <d v="2019-04-29T00:00:00"/>
    <x v="3"/>
    <s v="F"/>
    <s v="FB02-280187"/>
    <n v="13"/>
    <s v="Peaje - Traslado de Perito"/>
    <x v="7"/>
    <x v="0"/>
    <x v="0"/>
    <s v="Glb"/>
    <n v="1"/>
    <n v="5.76"/>
    <n v="1.0367999999999999"/>
    <m/>
    <n v="6.7967999999999993"/>
    <s v="CONCESIONARIA IIRSA NORTE SA"/>
  </r>
  <r>
    <n v="223"/>
    <d v="2019-04-29T00:00:00"/>
    <x v="3"/>
    <s v="F"/>
    <s v="FC01-142479"/>
    <n v="13"/>
    <s v="Peaje - Traslado de Perito"/>
    <x v="7"/>
    <x v="0"/>
    <x v="0"/>
    <s v="Glb"/>
    <n v="1"/>
    <n v="5.76"/>
    <n v="1.0367999999999999"/>
    <m/>
    <n v="6.7967999999999993"/>
    <s v="CONCESIONARIA IIRSA NORTE SA"/>
  </r>
  <r>
    <n v="223"/>
    <d v="2019-04-29T00:00:00"/>
    <x v="3"/>
    <s v="F"/>
    <s v="FC02-141687"/>
    <n v="13"/>
    <s v="Peaje - Traslado de Perito"/>
    <x v="7"/>
    <x v="0"/>
    <x v="0"/>
    <s v="Glb"/>
    <n v="1"/>
    <n v="5.76"/>
    <n v="1.0367999999999999"/>
    <m/>
    <n v="6.7967999999999993"/>
    <s v="CONCESIONARIA IIRSA NORTE SA"/>
  </r>
  <r>
    <n v="223"/>
    <d v="2019-04-29T00:00:00"/>
    <x v="3"/>
    <s v="PM"/>
    <s v="319"/>
    <n v="13"/>
    <s v="Movildades varias"/>
    <x v="13"/>
    <x v="2"/>
    <x v="0"/>
    <s v="Glb"/>
    <n v="1"/>
    <n v="31"/>
    <n v="0"/>
    <m/>
    <n v="31"/>
    <s v="VILA GARRIDO RICARDO"/>
  </r>
  <r>
    <n v="223"/>
    <d v="2019-04-30T00:00:00"/>
    <x v="3"/>
    <s v="F"/>
    <s v="FC01-142873"/>
    <n v="13"/>
    <s v="Peaje - Traslado de Perito"/>
    <x v="7"/>
    <x v="0"/>
    <x v="0"/>
    <s v="Glb"/>
    <n v="1"/>
    <n v="5.76"/>
    <n v="1.0367999999999999"/>
    <m/>
    <n v="6.7967999999999993"/>
    <s v="CONCESIONARIA IIRSA NORTE SA"/>
  </r>
  <r>
    <n v="223"/>
    <d v="2019-04-30T00:00:00"/>
    <x v="3"/>
    <s v="PM"/>
    <s v="FB01-279803"/>
    <n v="13"/>
    <s v="Peaje - Traslado de Perito"/>
    <x v="7"/>
    <x v="0"/>
    <x v="0"/>
    <s v="Glb"/>
    <n v="1"/>
    <n v="5.76"/>
    <n v="1.0367999999999999"/>
    <m/>
    <n v="6.7967999999999993"/>
    <s v="CONCESIONARIA IIRSA NORTE SA"/>
  </r>
  <r>
    <n v="223"/>
    <d v="2019-05-02T00:00:00"/>
    <x v="4"/>
    <s v="BTI"/>
    <s v="001-29123"/>
    <n v="13"/>
    <s v="Reintegro de viáticos - Ruel Mayuri"/>
    <x v="3"/>
    <x v="2"/>
    <x v="0"/>
    <s v="Glb"/>
    <n v="1"/>
    <n v="25"/>
    <n v="0"/>
    <m/>
    <n v="25"/>
    <s v="EMPRESA DE TRASNPORTES Y SERVICIOS MULTIPLES NUESTRA SEÑORA DEL CARMEN EIRL"/>
  </r>
  <r>
    <n v="223"/>
    <d v="2019-05-08T00:00:00"/>
    <x v="4"/>
    <s v="BTI"/>
    <s v="001-29201"/>
    <n v="13"/>
    <s v="Reintegro de viáticos - Ruel Mayuri"/>
    <x v="3"/>
    <x v="2"/>
    <x v="0"/>
    <s v="Glb"/>
    <n v="1"/>
    <n v="25"/>
    <n v="0"/>
    <m/>
    <n v="25"/>
    <s v="EMPRESA DE TRASNPORTES Y SERVICIOS MULTIPLES NUESTRA SEÑORA DEL CARMEN EIRL"/>
  </r>
  <r>
    <n v="223"/>
    <d v="2019-05-04T00:00:00"/>
    <x v="4"/>
    <s v="BTI"/>
    <s v="002-23638"/>
    <n v="13"/>
    <s v="Reintegro de viáticos - Huaman Efrain"/>
    <x v="3"/>
    <x v="2"/>
    <x v="0"/>
    <s v="Glb"/>
    <n v="1"/>
    <n v="135"/>
    <n v="0"/>
    <m/>
    <n v="135"/>
    <s v="EXPRESO ROJAS ROJITAS SAC"/>
  </r>
  <r>
    <n v="223"/>
    <d v="2019-05-04T00:00:00"/>
    <x v="4"/>
    <s v="F"/>
    <s v="002-1"/>
    <n v="13"/>
    <s v="Mesas de ploter y planos"/>
    <x v="27"/>
    <x v="1"/>
    <x v="0"/>
    <s v="Glb"/>
    <n v="1"/>
    <n v="271.19"/>
    <n v="48.8142"/>
    <m/>
    <n v="320.00419999999997"/>
    <s v="TINEO TINEO ANDRES"/>
  </r>
  <r>
    <n v="223"/>
    <d v="2019-05-07T00:00:00"/>
    <x v="4"/>
    <s v="BV"/>
    <s v="0001-7755"/>
    <n v="13"/>
    <s v="Encomiendas"/>
    <x v="19"/>
    <x v="0"/>
    <x v="0"/>
    <s v="Glb"/>
    <n v="1"/>
    <n v="50"/>
    <n v="0"/>
    <m/>
    <n v="50"/>
    <s v="ADRIANZEN HUANCAS JORGE ALFREDO "/>
  </r>
  <r>
    <n v="223"/>
    <d v="2019-05-07T00:00:00"/>
    <x v="4"/>
    <s v="BV"/>
    <s v="002-15"/>
    <n v="13"/>
    <s v="Alquiler Oficina Cuchupampa"/>
    <x v="22"/>
    <x v="0"/>
    <x v="0"/>
    <s v="Glb"/>
    <n v="1"/>
    <n v="300"/>
    <n v="0"/>
    <m/>
    <n v="300"/>
    <s v="ADRIANZEN IRRAZABAL MANUEL"/>
  </r>
  <r>
    <n v="223"/>
    <d v="2019-05-07T00:00:00"/>
    <x v="4"/>
    <s v="BV"/>
    <s v="002-194"/>
    <n v="13"/>
    <s v="Sellos  Varios"/>
    <x v="1"/>
    <x v="1"/>
    <x v="0"/>
    <s v="Glb"/>
    <n v="1"/>
    <n v="40"/>
    <n v="0"/>
    <m/>
    <n v="40"/>
    <s v="CORREA TINEO RONALD MIGDALI"/>
  </r>
  <r>
    <n v="223"/>
    <d v="2019-05-07T00:00:00"/>
    <x v="4"/>
    <s v="BV"/>
    <s v="002-159"/>
    <n v="13"/>
    <s v="Impresión de 100 Reglamentos de Obra"/>
    <x v="2"/>
    <x v="0"/>
    <x v="0"/>
    <s v="Glb"/>
    <n v="1"/>
    <n v="80"/>
    <n v="0"/>
    <m/>
    <n v="80"/>
    <s v="CORREA TINEO RONALD MIGDALI"/>
  </r>
  <r>
    <n v="223"/>
    <d v="2019-05-07T00:00:00"/>
    <x v="4"/>
    <s v="BV"/>
    <s v="001-1406"/>
    <n v="13"/>
    <s v="Usb para vigilancia"/>
    <x v="1"/>
    <x v="1"/>
    <x v="0"/>
    <s v="Glb"/>
    <n v="1"/>
    <n v="25"/>
    <n v="0"/>
    <m/>
    <n v="25"/>
    <s v="ALVAREZ PEREZ WILFREDO "/>
  </r>
  <r>
    <n v="223"/>
    <d v="2019-05-07T00:00:00"/>
    <x v="4"/>
    <s v="BV"/>
    <s v="F334-22006"/>
    <n v="13"/>
    <s v="Riel y terminales - mat para tableros"/>
    <x v="20"/>
    <x v="3"/>
    <x v="0"/>
    <s v="Glb"/>
    <n v="1"/>
    <n v="21.78"/>
    <n v="3.9203999999999999"/>
    <m/>
    <n v="25.700400000000002"/>
    <s v="TIENDAS DE MEJORAMIENTO DEL HOGAR SA"/>
  </r>
  <r>
    <n v="223"/>
    <d v="2019-05-08T00:00:00"/>
    <x v="4"/>
    <s v="PM"/>
    <s v="320"/>
    <n v="13"/>
    <s v="Reintegro de Movilidades - Ruel Mayuri"/>
    <x v="13"/>
    <x v="2"/>
    <x v="0"/>
    <s v="Glb"/>
    <n v="1"/>
    <n v="27"/>
    <n v="0"/>
    <m/>
    <n v="27"/>
    <s v="MAYURI PEREZ RUEL"/>
  </r>
  <r>
    <n v="223"/>
    <d v="2019-05-08T00:00:00"/>
    <x v="4"/>
    <s v="F"/>
    <s v="001-2928"/>
    <n v="13"/>
    <s v="Reintegro - Ruel Mayuri"/>
    <x v="6"/>
    <x v="2"/>
    <x v="0"/>
    <s v="Glb"/>
    <n v="1"/>
    <n v="33.9"/>
    <n v="6.1019999999999994"/>
    <m/>
    <n v="40.001999999999995"/>
    <s v="RAMIREZ MANZANARES JESUS CLOTILDE"/>
  </r>
  <r>
    <n v="223"/>
    <d v="2019-05-09T00:00:00"/>
    <x v="4"/>
    <s v="RRHH"/>
    <s v="E001-73"/>
    <n v="13"/>
    <s v="Servicios de Condutor - Traslado de perito"/>
    <x v="4"/>
    <x v="0"/>
    <x v="0"/>
    <s v="Glb"/>
    <n v="1"/>
    <n v="390"/>
    <n v="0"/>
    <m/>
    <n v="390"/>
    <s v="RODRIGUEZ RIVEROS WILFREDO"/>
  </r>
  <r>
    <n v="223"/>
    <d v="2019-05-10T00:00:00"/>
    <x v="4"/>
    <s v="F"/>
    <s v="001-167"/>
    <n v="13"/>
    <s v="Cinta reflectiva 3m"/>
    <x v="31"/>
    <x v="3"/>
    <x v="0"/>
    <s v="Glb"/>
    <n v="1"/>
    <n v="84.75"/>
    <n v="15.254999999999999"/>
    <m/>
    <n v="100.005"/>
    <s v="CHINCHAY HUANCAS CRISTIAN IB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5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rowHeaderCaption="TIPO DE CUENTA">
  <location ref="H15:I26" firstHeaderRow="1" firstDataRow="1" firstDataCol="1"/>
  <pivotFields count="17">
    <pivotField numFmtId="164" showAll="0" defaultSubtotal="0"/>
    <pivotField numFmtId="14"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axis="axisRow" showAll="0" measureFilter="1" sortType="descending">
      <items count="33">
        <item x="1"/>
        <item x="9"/>
        <item x="3"/>
        <item x="15"/>
        <item x="17"/>
        <item x="7"/>
        <item x="4"/>
        <item x="16"/>
        <item x="21"/>
        <item x="13"/>
        <item x="12"/>
        <item x="18"/>
        <item x="0"/>
        <item x="19"/>
        <item x="2"/>
        <item x="8"/>
        <item x="14"/>
        <item x="5"/>
        <item x="11"/>
        <item x="6"/>
        <item x="10"/>
        <item x="20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dataField="1" numFmtId="44" showAll="0"/>
    <pivotField showAll="0"/>
    <pivotField showAll="0" defaultSubtotal="0"/>
    <pivotField numFmtId="167" showAll="0"/>
    <pivotField showAll="0"/>
  </pivotFields>
  <rowFields count="1">
    <field x="7"/>
  </rowFields>
  <rowItems count="11">
    <i>
      <x v="6"/>
    </i>
    <i>
      <x v="10"/>
    </i>
    <i>
      <x v="2"/>
    </i>
    <i>
      <x/>
    </i>
    <i>
      <x v="27"/>
    </i>
    <i>
      <x v="18"/>
    </i>
    <i>
      <x v="4"/>
    </i>
    <i>
      <x v="19"/>
    </i>
    <i>
      <x v="21"/>
    </i>
    <i>
      <x v="14"/>
    </i>
    <i t="grand">
      <x/>
    </i>
  </rowItems>
  <colItems count="1">
    <i/>
  </colItems>
  <dataFields count="1">
    <dataField name="COSTO T" fld="12" baseField="0" baseItem="0" numFmtId="170"/>
  </dataFields>
  <formats count="2">
    <format dxfId="36">
      <pivotArea outline="0" collapsedLevelsAreSubtotals="1" fieldPosition="0"/>
    </format>
    <format dxfId="35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 dinámica4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3" rowHeaderCaption="CENTRO DE COSTOS">
  <location ref="E15:F20" firstHeaderRow="1" firstDataRow="1" firstDataCol="1"/>
  <pivotFields count="17">
    <pivotField numFmtId="164" showAll="0" defaultSubtotal="0"/>
    <pivotField numFmtId="14"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numFmtId="164" showAll="0"/>
    <pivotField dataField="1" numFmtId="44" showAll="0"/>
    <pivotField showAll="0"/>
    <pivotField showAll="0" defaultSubtotal="0"/>
    <pivotField numFmtId="167"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% TOTAL" fld="12" showDataAs="percentOfTotal" baseField="9" baseItem="0" numFmtId="10"/>
  </dataFields>
  <formats count="3">
    <format dxfId="39">
      <pivotArea outline="0" collapsedLevelsAreSubtotals="1" fieldPosition="0"/>
    </format>
    <format dxfId="38">
      <pivotArea outline="0" fieldPosition="0">
        <references count="1">
          <reference field="4294967294" count="1">
            <x v="0"/>
          </reference>
        </references>
      </pivotArea>
    </format>
    <format dxfId="37">
      <pivotArea dataOnly="0" labelOnly="1" outline="0" axis="axisValues" fieldPosition="0"/>
    </format>
  </formats>
  <chartFormats count="5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 dinámica3" cacheId="0" applyNumberFormats="0" applyBorderFormats="0" applyFontFormats="0" applyPatternFormats="0" applyAlignmentFormats="0" applyWidthHeightFormats="1" dataCaption="Valores" updatedVersion="5" minRefreshableVersion="5" useAutoFormatting="1" itemPrintTitles="1" createdVersion="5" indent="0" outline="1" outlineData="1" multipleFieldFilters="0" chartFormat="1" rowHeaderCaption="RESUMEN CENTRO DE COSTO">
  <location ref="B15:C31" firstHeaderRow="1" firstDataRow="1" firstDataCol="1"/>
  <pivotFields count="17">
    <pivotField numFmtId="164" showAll="0" defaultSubtotal="0"/>
    <pivotField numFmtId="14"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m="1" x="6"/>
        <item x="3"/>
        <item x="1"/>
        <item x="2"/>
        <item x="4"/>
        <item x="0"/>
        <item x="5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numFmtId="164" showAll="0"/>
    <pivotField dataField="1" numFmtId="44" showAll="0"/>
    <pivotField showAll="0"/>
    <pivotField showAll="0" defaultSubtotal="0"/>
    <pivotField numFmtId="167" showAll="0"/>
    <pivotField showAll="0"/>
  </pivotFields>
  <rowFields count="2">
    <field x="9"/>
    <field x="8"/>
  </rowFields>
  <rowItems count="16">
    <i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 v="1"/>
    </i>
    <i r="1">
      <x v="5"/>
    </i>
    <i>
      <x v="2"/>
    </i>
    <i r="1">
      <x v="1"/>
    </i>
    <i>
      <x v="3"/>
    </i>
    <i r="1">
      <x v="1"/>
    </i>
    <i r="1">
      <x v="2"/>
    </i>
    <i t="grand">
      <x/>
    </i>
  </rowItems>
  <colItems count="1">
    <i/>
  </colItems>
  <dataFields count="1">
    <dataField name="COSTO T" fld="12" baseField="0" baseItem="0" numFmtId="4"/>
  </dataFields>
  <formats count="3">
    <format dxfId="42">
      <pivotArea outline="0" collapsedLevelsAreSubtotals="1" fieldPosition="0"/>
    </format>
    <format dxfId="41">
      <pivotArea field="9" type="button" dataOnly="0" labelOnly="1" outline="0" axis="axisRow" fieldPosition="0"/>
    </format>
    <format dxfId="40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" type="dateBetween" evalOrder="-1" id="10" name="FECHA">
      <autoFilter ref="A1">
        <filterColumn colId="0">
          <customFilters and="1">
            <customFilter operator="greaterThanOrEqual" val="43497"/>
            <customFilter operator="lessThanOrEqual" val="4352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 diná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rowHeaderCaption="RESUMEN POR CENTRO DE COSTO">
  <location ref="T7:U23" firstHeaderRow="1" firstDataRow="1" firstDataCol="1"/>
  <pivotFields count="17">
    <pivotField numFmtId="164" showAll="0" defaultSubtotal="0"/>
    <pivotField numFmtId="14"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 defaultSubtotal="0"/>
    <pivotField axis="axisRow" showAll="0">
      <items count="8">
        <item m="1" x="6"/>
        <item x="3"/>
        <item x="1"/>
        <item x="2"/>
        <item x="4"/>
        <item x="0"/>
        <item x="5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numFmtId="164" showAll="0"/>
    <pivotField dataField="1" numFmtId="44" showAll="0"/>
    <pivotField showAll="0"/>
    <pivotField showAll="0" defaultSubtotal="0"/>
    <pivotField numFmtId="167" showAll="0"/>
    <pivotField showAll="0"/>
  </pivotFields>
  <rowFields count="2">
    <field x="9"/>
    <field x="8"/>
  </rowFields>
  <rowItems count="16">
    <i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 v="1"/>
    </i>
    <i r="1">
      <x v="5"/>
    </i>
    <i>
      <x v="2"/>
    </i>
    <i r="1">
      <x v="1"/>
    </i>
    <i>
      <x v="3"/>
    </i>
    <i r="1">
      <x v="1"/>
    </i>
    <i r="1">
      <x v="2"/>
    </i>
    <i t="grand">
      <x/>
    </i>
  </rowItems>
  <colItems count="1">
    <i/>
  </colItems>
  <dataFields count="1">
    <dataField name="C. TOTAL" fld="12" baseField="0" baseItem="0" numFmtId="4"/>
  </dataFields>
  <formats count="4">
    <format dxfId="30">
      <pivotArea field="2" type="button" dataOnly="0" labelOnly="1" outline="0"/>
    </format>
    <format dxfId="29">
      <pivotArea dataOnly="0" labelOnly="1" outline="0" axis="axisValues" fieldPosition="0"/>
    </format>
    <format dxfId="28">
      <pivotArea outline="0" collapsedLevelsAreSubtotals="1" fieldPosition="0"/>
    </format>
    <format dxfId="2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MES1" sourceName="MES">
  <pivotTables>
    <pivotTable tabId="5" name="Tabla dinámica3"/>
    <pivotTable tabId="5" name="Tabla dinámica4"/>
    <pivotTable tabId="5" name="Tabla dinámica5"/>
    <pivotTable tabId="3" name="Tabla dinámica1"/>
  </pivotTables>
  <data>
    <tabular pivotCacheId="5">
      <items count="5">
        <i x="0" s="1"/>
        <i x="1" s="1"/>
        <i x="2" s="1"/>
        <i x="3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ES 1" cache="SegmentaciónDeDatos_MES1" caption="MES" columnCount="2" style="SlicerStyleDark6" rowHeight="241300"/>
</slicers>
</file>

<file path=xl/tables/table1.xml><?xml version="1.0" encoding="utf-8"?>
<table xmlns="http://schemas.openxmlformats.org/spreadsheetml/2006/main" id="3" name="SALIDAS" displayName="SALIDAS" ref="A6:Q353" totalsRowShown="0" headerRowDxfId="26">
  <autoFilter ref="A6:Q353"/>
  <sortState ref="A131:P131">
    <sortCondition ref="B10"/>
  </sortState>
  <tableColumns count="17">
    <tableColumn id="1" name="q" dataDxfId="25"/>
    <tableColumn id="2" name="FECHA" dataDxfId="24"/>
    <tableColumn id="17" name="MES" dataDxfId="23">
      <calculatedColumnFormula>TEXT(SALIDAS[[#This Row],[FECHA]],"mmmm")</calculatedColumnFormula>
    </tableColumn>
    <tableColumn id="3" name="TIPO DE DOC" dataDxfId="22"/>
    <tableColumn id="4" name="N° DOC" dataDxfId="21"/>
    <tableColumn id="6" name="N° CAJA" dataDxfId="20"/>
    <tableColumn id="8" name="DESCRIPCION" dataDxfId="19"/>
    <tableColumn id="21" name="T. CUENTA" dataDxfId="18"/>
    <tableColumn id="18" name="T. DE GASTO" dataDxfId="17">
      <calculatedColumnFormula>OFFSET(OT[[#Headers],[T. CUENTA]],MATCH($H7,OT[T. CUENTA],0),1)</calculatedColumnFormula>
    </tableColumn>
    <tableColumn id="20" name="CENTRO DE COSTO" dataDxfId="16"/>
    <tableColumn id="9" name="Unidad" dataDxfId="15"/>
    <tableColumn id="10" name="CANTIDAD" dataDxfId="14"/>
    <tableColumn id="11" name="COSTO" dataDxfId="13"/>
    <tableColumn id="19" name="IGV" dataDxfId="12">
      <calculatedColumnFormula>SALIDAS[[#This Row],[COSTO]]*0.18</calculatedColumnFormula>
    </tableColumn>
    <tableColumn id="5" name="INAFECTO" dataDxfId="11"/>
    <tableColumn id="12" name="PRECIO DE VENTA" dataDxfId="10">
      <calculatedColumnFormula>SALIDAS[[#This Row],[COSTO]]+SALIDAS[[#This Row],[IGV]]+SALIDAS[[#This Row],[INAFECTO]]</calculatedColumnFormula>
    </tableColumn>
    <tableColumn id="16" name="PROVEEDOR" dataDxfId="9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9" name="OT" displayName="OT" ref="A44:C105" totalsRowShown="0" headerRowDxfId="8" headerRowBorderDxfId="7" tableBorderDxfId="6">
  <autoFilter ref="A44:C105"/>
  <sortState ref="A42:C93">
    <sortCondition ref="B41:B93"/>
  </sortState>
  <tableColumns count="3">
    <tableColumn id="1" name="CÓDIGO" dataDxfId="5"/>
    <tableColumn id="2" name="T. CUENTA" dataDxfId="4"/>
    <tableColumn id="4" name="T. GASTO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CC" displayName="CC" ref="F44:G49" totalsRowShown="0" tableBorderDxfId="2">
  <autoFilter ref="F44:G49"/>
  <tableColumns count="2">
    <tableColumn id="1" name="CÓDIGO" dataDxfId="1">
      <calculatedColumnFormula>F44+1</calculatedColumnFormula>
    </tableColumn>
    <tableColumn id="2" name="CENTRO DE COSTO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L31"/>
  <sheetViews>
    <sheetView workbookViewId="0">
      <selection activeCell="B18" sqref="B18"/>
    </sheetView>
  </sheetViews>
  <sheetFormatPr baseColWidth="10" defaultRowHeight="15" x14ac:dyDescent="0.25"/>
  <cols>
    <col min="2" max="2" width="36.42578125" customWidth="1"/>
    <col min="3" max="3" width="9.140625" customWidth="1"/>
    <col min="4" max="4" width="7.28515625" customWidth="1"/>
    <col min="5" max="5" width="21.85546875" customWidth="1"/>
    <col min="6" max="6" width="8.5703125" customWidth="1"/>
    <col min="7" max="7" width="8.28515625" customWidth="1"/>
    <col min="8" max="8" width="40" customWidth="1"/>
    <col min="9" max="9" width="11" customWidth="1"/>
  </cols>
  <sheetData>
    <row r="5" spans="1:12" ht="6" customHeight="1" x14ac:dyDescent="0.25"/>
    <row r="6" spans="1:12" ht="21" x14ac:dyDescent="0.35">
      <c r="B6" s="112"/>
      <c r="C6" s="113"/>
      <c r="D6" s="112"/>
    </row>
    <row r="7" spans="1:12" x14ac:dyDescent="0.25">
      <c r="A7" s="114"/>
      <c r="B7" s="114"/>
      <c r="C7" s="114"/>
      <c r="D7" s="114"/>
      <c r="E7" s="114"/>
      <c r="F7" s="114"/>
      <c r="G7" s="114"/>
      <c r="H7" s="114"/>
      <c r="I7" s="114"/>
      <c r="J7" s="114"/>
      <c r="K7" s="115"/>
      <c r="L7" s="9"/>
    </row>
    <row r="8" spans="1:12" x14ac:dyDescent="0.25">
      <c r="A8" s="114"/>
      <c r="B8" s="114"/>
      <c r="C8" s="114"/>
      <c r="D8" s="114"/>
      <c r="E8" s="114"/>
      <c r="F8" s="114"/>
      <c r="G8" s="114"/>
      <c r="H8" s="114"/>
      <c r="I8" s="114"/>
      <c r="J8" s="114"/>
      <c r="K8" s="115"/>
      <c r="L8" s="9"/>
    </row>
    <row r="9" spans="1:12" x14ac:dyDescent="0.25">
      <c r="A9" s="114"/>
      <c r="B9" s="114"/>
      <c r="C9" s="114"/>
      <c r="D9" s="114"/>
      <c r="E9" s="114"/>
      <c r="F9" s="114"/>
      <c r="G9" s="114"/>
      <c r="H9" s="114"/>
      <c r="I9" s="114"/>
      <c r="J9" s="114"/>
      <c r="K9" s="115"/>
      <c r="L9" s="9"/>
    </row>
    <row r="10" spans="1:12" x14ac:dyDescent="0.25">
      <c r="A10" s="114"/>
      <c r="B10" s="114"/>
      <c r="C10" s="114"/>
      <c r="D10" s="114"/>
      <c r="E10" s="114"/>
      <c r="F10" s="114"/>
      <c r="G10" s="114"/>
      <c r="H10" s="114"/>
      <c r="I10" s="114"/>
      <c r="J10" s="114"/>
      <c r="K10" s="115"/>
      <c r="L10" s="9"/>
    </row>
    <row r="11" spans="1:12" x14ac:dyDescent="0.25">
      <c r="A11" s="114"/>
      <c r="B11" s="114"/>
      <c r="C11" s="114"/>
      <c r="D11" s="114"/>
      <c r="E11" s="114"/>
      <c r="F11" s="114"/>
      <c r="G11" s="114"/>
      <c r="H11" s="114"/>
      <c r="I11" s="114"/>
      <c r="J11" s="114"/>
      <c r="K11" s="115"/>
      <c r="L11" s="9"/>
    </row>
    <row r="12" spans="1:12" s="9" customFormat="1" x14ac:dyDescent="0.25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</row>
    <row r="15" spans="1:12" x14ac:dyDescent="0.25">
      <c r="B15" s="131" t="s">
        <v>440</v>
      </c>
      <c r="C15" s="132" t="s">
        <v>441</v>
      </c>
      <c r="E15" s="35" t="s">
        <v>437</v>
      </c>
      <c r="F15" s="1" t="s">
        <v>438</v>
      </c>
      <c r="H15" s="35" t="s">
        <v>439</v>
      </c>
      <c r="I15" s="132" t="s">
        <v>441</v>
      </c>
    </row>
    <row r="16" spans="1:12" x14ac:dyDescent="0.25">
      <c r="B16" s="5" t="s">
        <v>158</v>
      </c>
      <c r="C16" s="78">
        <v>38189.709999999992</v>
      </c>
      <c r="E16" s="5" t="s">
        <v>158</v>
      </c>
      <c r="F16" s="130">
        <v>0.83644276740910384</v>
      </c>
      <c r="H16" s="5" t="s">
        <v>127</v>
      </c>
      <c r="I16" s="129">
        <v>6750.08</v>
      </c>
    </row>
    <row r="17" spans="2:9" x14ac:dyDescent="0.25">
      <c r="B17" s="36" t="s">
        <v>103</v>
      </c>
      <c r="C17" s="78">
        <v>1836.7000000000003</v>
      </c>
      <c r="E17" s="5" t="s">
        <v>155</v>
      </c>
      <c r="F17" s="130">
        <v>5.5996096132731495E-2</v>
      </c>
      <c r="H17" s="5" t="s">
        <v>85</v>
      </c>
      <c r="I17" s="129">
        <v>5938.51</v>
      </c>
    </row>
    <row r="18" spans="2:9" x14ac:dyDescent="0.25">
      <c r="B18" s="36" t="s">
        <v>133</v>
      </c>
      <c r="C18" s="78">
        <v>6575.159999999998</v>
      </c>
      <c r="E18" s="5" t="s">
        <v>156</v>
      </c>
      <c r="F18" s="130">
        <v>4.2539537497735862E-2</v>
      </c>
      <c r="H18" s="5" t="s">
        <v>106</v>
      </c>
      <c r="I18" s="129">
        <v>4377.53</v>
      </c>
    </row>
    <row r="19" spans="2:9" x14ac:dyDescent="0.25">
      <c r="B19" s="36" t="s">
        <v>104</v>
      </c>
      <c r="C19" s="78">
        <v>8002.7899999999981</v>
      </c>
      <c r="E19" s="5" t="s">
        <v>228</v>
      </c>
      <c r="F19" s="130">
        <v>6.5021598960428903E-2</v>
      </c>
      <c r="H19" s="5" t="s">
        <v>132</v>
      </c>
      <c r="I19" s="129">
        <v>3448.22</v>
      </c>
    </row>
    <row r="20" spans="2:9" x14ac:dyDescent="0.25">
      <c r="B20" s="36" t="s">
        <v>128</v>
      </c>
      <c r="C20" s="78">
        <v>439.75</v>
      </c>
      <c r="E20" s="5" t="s">
        <v>69</v>
      </c>
      <c r="F20" s="130">
        <v>1</v>
      </c>
      <c r="H20" s="5" t="s">
        <v>110</v>
      </c>
      <c r="I20" s="129">
        <v>3321.1799999999994</v>
      </c>
    </row>
    <row r="21" spans="2:9" x14ac:dyDescent="0.25">
      <c r="B21" s="36" t="s">
        <v>108</v>
      </c>
      <c r="C21" s="78">
        <v>21191.249999999996</v>
      </c>
      <c r="H21" s="5" t="s">
        <v>119</v>
      </c>
      <c r="I21" s="129">
        <v>3194.3999999999996</v>
      </c>
    </row>
    <row r="22" spans="2:9" x14ac:dyDescent="0.25">
      <c r="B22" s="36" t="s">
        <v>97</v>
      </c>
      <c r="C22" s="78">
        <v>144.06</v>
      </c>
      <c r="H22" s="5" t="s">
        <v>121</v>
      </c>
      <c r="I22" s="129">
        <v>3169.4300000000003</v>
      </c>
    </row>
    <row r="23" spans="2:9" x14ac:dyDescent="0.25">
      <c r="B23" s="5" t="s">
        <v>155</v>
      </c>
      <c r="C23" s="78">
        <v>2556.6299999999997</v>
      </c>
      <c r="H23" s="5" t="s">
        <v>93</v>
      </c>
      <c r="I23" s="129">
        <v>1606.8700000000003</v>
      </c>
    </row>
    <row r="24" spans="2:9" x14ac:dyDescent="0.25">
      <c r="B24" s="36" t="s">
        <v>103</v>
      </c>
      <c r="C24" s="78">
        <v>2188.6299999999997</v>
      </c>
      <c r="H24" s="5" t="s">
        <v>425</v>
      </c>
      <c r="I24" s="129">
        <v>1599.61</v>
      </c>
    </row>
    <row r="25" spans="2:9" x14ac:dyDescent="0.25">
      <c r="B25" s="36" t="s">
        <v>108</v>
      </c>
      <c r="C25" s="78">
        <v>368</v>
      </c>
      <c r="H25" s="5" t="s">
        <v>198</v>
      </c>
      <c r="I25" s="129">
        <v>1563.83</v>
      </c>
    </row>
    <row r="26" spans="2:9" x14ac:dyDescent="0.25">
      <c r="B26" s="5" t="s">
        <v>156</v>
      </c>
      <c r="C26" s="78">
        <v>1942.24</v>
      </c>
      <c r="H26" s="5" t="s">
        <v>69</v>
      </c>
      <c r="I26" s="129">
        <v>34969.660000000003</v>
      </c>
    </row>
    <row r="27" spans="2:9" x14ac:dyDescent="0.25">
      <c r="B27" s="36" t="s">
        <v>103</v>
      </c>
      <c r="C27" s="78">
        <v>1942.24</v>
      </c>
    </row>
    <row r="28" spans="2:9" x14ac:dyDescent="0.25">
      <c r="B28" s="5" t="s">
        <v>228</v>
      </c>
      <c r="C28" s="78">
        <v>2968.71</v>
      </c>
    </row>
    <row r="29" spans="2:9" x14ac:dyDescent="0.25">
      <c r="B29" s="36" t="s">
        <v>103</v>
      </c>
      <c r="C29" s="78">
        <v>2580.66</v>
      </c>
    </row>
    <row r="30" spans="2:9" x14ac:dyDescent="0.25">
      <c r="B30" s="36" t="s">
        <v>133</v>
      </c>
      <c r="C30" s="78">
        <v>388.05</v>
      </c>
    </row>
    <row r="31" spans="2:9" x14ac:dyDescent="0.25">
      <c r="B31" s="5" t="s">
        <v>69</v>
      </c>
      <c r="C31" s="78">
        <v>45657.289999999994</v>
      </c>
    </row>
  </sheetData>
  <pageMargins left="0.51181102362204722" right="0.51181102362204722" top="0.74803149606299213" bottom="0.74803149606299213" header="0.31496062992125984" footer="0.31496062992125984"/>
  <pageSetup scale="76" orientation="landscape" r:id="rId4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Q83"/>
  <sheetViews>
    <sheetView showGridLines="0" topLeftCell="A32" zoomScale="95" zoomScaleNormal="95" workbookViewId="0">
      <selection activeCell="J36" sqref="J36"/>
    </sheetView>
  </sheetViews>
  <sheetFormatPr baseColWidth="10" defaultRowHeight="15" x14ac:dyDescent="0.25"/>
  <cols>
    <col min="1" max="1" width="5" style="1" customWidth="1"/>
    <col min="2" max="2" width="12.42578125" customWidth="1"/>
    <col min="3" max="3" width="7.42578125" hidden="1" customWidth="1"/>
    <col min="4" max="4" width="8.7109375" style="1" customWidth="1"/>
    <col min="5" max="5" width="11.42578125" style="1" customWidth="1"/>
    <col min="6" max="6" width="10.140625" style="1" customWidth="1"/>
    <col min="7" max="7" width="11.42578125" style="1" customWidth="1"/>
    <col min="8" max="8" width="31" customWidth="1"/>
    <col min="9" max="11" width="13.5703125" style="78" customWidth="1"/>
    <col min="12" max="12" width="18.28515625" style="78" customWidth="1"/>
    <col min="13" max="13" width="12.5703125" customWidth="1"/>
    <col min="14" max="14" width="26.140625" bestFit="1" customWidth="1"/>
  </cols>
  <sheetData>
    <row r="3" spans="1:17" ht="23.25" x14ac:dyDescent="0.35">
      <c r="A3" s="168" t="s">
        <v>436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/>
    </row>
    <row r="4" spans="1:17" ht="15.75" customHeight="1" x14ac:dyDescent="0.25"/>
    <row r="5" spans="1:17" s="116" customFormat="1" ht="21.75" customHeight="1" x14ac:dyDescent="0.2">
      <c r="A5" s="117"/>
      <c r="D5" s="117"/>
      <c r="E5" s="117"/>
      <c r="F5" s="117"/>
      <c r="G5" s="117"/>
      <c r="H5" s="118"/>
      <c r="I5" s="119"/>
      <c r="J5" s="119"/>
      <c r="K5" s="125"/>
      <c r="L5" s="119"/>
    </row>
    <row r="6" spans="1:17" s="116" customFormat="1" ht="21.75" customHeight="1" x14ac:dyDescent="0.2">
      <c r="A6" s="124" t="s">
        <v>170</v>
      </c>
      <c r="B6" s="124" t="s">
        <v>3</v>
      </c>
      <c r="C6" s="124" t="s">
        <v>47</v>
      </c>
      <c r="D6" s="124" t="s">
        <v>428</v>
      </c>
      <c r="E6" s="124" t="s">
        <v>429</v>
      </c>
      <c r="F6" s="124" t="s">
        <v>14</v>
      </c>
      <c r="G6" s="124" t="s">
        <v>49</v>
      </c>
      <c r="H6" s="124" t="s">
        <v>430</v>
      </c>
      <c r="I6" s="126" t="s">
        <v>45</v>
      </c>
      <c r="J6" s="126" t="s">
        <v>5</v>
      </c>
      <c r="K6" s="126" t="s">
        <v>46</v>
      </c>
      <c r="L6" s="118"/>
      <c r="N6" s="163"/>
      <c r="O6" s="163" t="s">
        <v>431</v>
      </c>
      <c r="P6" s="163" t="s">
        <v>899</v>
      </c>
      <c r="Q6" s="163"/>
    </row>
    <row r="7" spans="1:17" s="116" customFormat="1" ht="21.75" customHeight="1" x14ac:dyDescent="0.25">
      <c r="A7" s="121" t="s">
        <v>8</v>
      </c>
      <c r="B7" s="123">
        <v>43490</v>
      </c>
      <c r="C7" s="120" t="str">
        <f t="shared" ref="C7:C13" si="0">TEXT(B7,"mmmm")</f>
        <v>Enero</v>
      </c>
      <c r="D7" s="121" t="s">
        <v>431</v>
      </c>
      <c r="E7" s="121"/>
      <c r="F7" s="121" t="str">
        <f t="shared" ref="F7:F34" si="1">IF(D7="DEP","BBVA","CAJA")</f>
        <v>BBVA</v>
      </c>
      <c r="G7" s="128" t="s">
        <v>900</v>
      </c>
      <c r="H7" s="122" t="s">
        <v>433</v>
      </c>
      <c r="I7" s="127">
        <v>10000</v>
      </c>
      <c r="J7" s="127"/>
      <c r="K7" s="127">
        <f>I7+J7</f>
        <v>10000</v>
      </c>
      <c r="L7" s="118"/>
      <c r="M7"/>
      <c r="N7" s="163"/>
      <c r="O7" s="163" t="s">
        <v>432</v>
      </c>
      <c r="P7" s="163" t="s">
        <v>36</v>
      </c>
      <c r="Q7" s="163"/>
    </row>
    <row r="8" spans="1:17" s="116" customFormat="1" ht="21.75" customHeight="1" x14ac:dyDescent="0.25">
      <c r="A8" s="121" t="s">
        <v>2</v>
      </c>
      <c r="B8" s="123">
        <v>43511</v>
      </c>
      <c r="C8" s="120" t="str">
        <f t="shared" si="0"/>
        <v>Febrero</v>
      </c>
      <c r="D8" s="121" t="s">
        <v>432</v>
      </c>
      <c r="E8" s="121"/>
      <c r="F8" s="121" t="str">
        <f t="shared" si="1"/>
        <v>CAJA</v>
      </c>
      <c r="G8" s="128">
        <v>1</v>
      </c>
      <c r="H8" s="122" t="s">
        <v>434</v>
      </c>
      <c r="I8" s="127"/>
      <c r="J8" s="162">
        <f>SUMIF(SALIDAS[N° CAJA],"1",SALIDAS[PRECIO DE VENTA])</f>
        <v>8804.6262000000006</v>
      </c>
      <c r="K8" s="127">
        <f>K7+I8-J8</f>
        <v>1195.3737999999994</v>
      </c>
      <c r="L8" s="118"/>
      <c r="M8"/>
      <c r="N8" s="163"/>
      <c r="O8" s="163"/>
      <c r="P8" s="163"/>
      <c r="Q8" s="163"/>
    </row>
    <row r="9" spans="1:17" s="116" customFormat="1" ht="21.75" customHeight="1" x14ac:dyDescent="0.25">
      <c r="A9" s="121" t="s">
        <v>8</v>
      </c>
      <c r="B9" s="123">
        <v>43505</v>
      </c>
      <c r="C9" s="120" t="str">
        <f t="shared" si="0"/>
        <v>Febrero</v>
      </c>
      <c r="D9" s="121" t="s">
        <v>431</v>
      </c>
      <c r="E9" s="121">
        <v>470</v>
      </c>
      <c r="F9" s="121" t="str">
        <f t="shared" si="1"/>
        <v>BBVA</v>
      </c>
      <c r="G9" s="128">
        <v>1</v>
      </c>
      <c r="H9" s="122" t="s">
        <v>435</v>
      </c>
      <c r="I9" s="162">
        <v>8804.6299999999992</v>
      </c>
      <c r="J9" s="127"/>
      <c r="K9" s="127">
        <f t="shared" ref="K9:K41" si="2">K8+I9-J9</f>
        <v>10000.003799999999</v>
      </c>
      <c r="L9" s="118"/>
      <c r="M9"/>
    </row>
    <row r="10" spans="1:17" s="116" customFormat="1" ht="21.75" customHeight="1" x14ac:dyDescent="0.25">
      <c r="A10" s="121" t="s">
        <v>2</v>
      </c>
      <c r="B10" s="123">
        <v>43521</v>
      </c>
      <c r="C10" s="120" t="str">
        <f t="shared" si="0"/>
        <v>Febrero</v>
      </c>
      <c r="D10" s="121" t="s">
        <v>432</v>
      </c>
      <c r="E10" s="121"/>
      <c r="F10" s="121" t="str">
        <f t="shared" si="1"/>
        <v>CAJA</v>
      </c>
      <c r="G10" s="128">
        <v>2</v>
      </c>
      <c r="H10" s="122" t="s">
        <v>434</v>
      </c>
      <c r="I10" s="127"/>
      <c r="J10" s="162">
        <f>SUMIF(SALIDAS[N° CAJA],"2",SALIDAS[PRECIO DE VENTA])</f>
        <v>7355.3918000000021</v>
      </c>
      <c r="K10" s="127">
        <f t="shared" si="2"/>
        <v>2644.6119999999964</v>
      </c>
      <c r="L10" s="118"/>
      <c r="M10"/>
    </row>
    <row r="11" spans="1:17" s="116" customFormat="1" ht="21.75" customHeight="1" x14ac:dyDescent="0.25">
      <c r="A11" s="121" t="s">
        <v>8</v>
      </c>
      <c r="B11" s="123">
        <v>43527</v>
      </c>
      <c r="C11" s="120" t="str">
        <f t="shared" ref="C11" si="3">TEXT(B11,"mmmm")</f>
        <v>Marzo</v>
      </c>
      <c r="D11" s="121" t="s">
        <v>431</v>
      </c>
      <c r="E11" s="121">
        <v>470</v>
      </c>
      <c r="F11" s="121" t="str">
        <f t="shared" si="1"/>
        <v>BBVA</v>
      </c>
      <c r="G11" s="128">
        <v>2</v>
      </c>
      <c r="H11" s="122" t="s">
        <v>685</v>
      </c>
      <c r="I11" s="162">
        <v>7355.39</v>
      </c>
      <c r="J11" s="127"/>
      <c r="K11" s="127">
        <f t="shared" si="2"/>
        <v>10000.001999999997</v>
      </c>
      <c r="L11" s="118"/>
      <c r="M11"/>
    </row>
    <row r="12" spans="1:17" s="116" customFormat="1" ht="21.75" customHeight="1" x14ac:dyDescent="0.25">
      <c r="A12" s="121" t="s">
        <v>2</v>
      </c>
      <c r="B12" s="123">
        <v>43528</v>
      </c>
      <c r="C12" s="120" t="str">
        <f t="shared" si="0"/>
        <v>Marzo</v>
      </c>
      <c r="D12" s="121" t="s">
        <v>432</v>
      </c>
      <c r="E12" s="121"/>
      <c r="F12" s="121" t="str">
        <f t="shared" si="1"/>
        <v>CAJA</v>
      </c>
      <c r="G12" s="128">
        <v>3</v>
      </c>
      <c r="H12" s="122" t="s">
        <v>434</v>
      </c>
      <c r="I12" s="127"/>
      <c r="J12" s="162">
        <f>SUMIF(SALIDAS[N° CAJA],"3",SALIDAS[PRECIO DE VENTA])</f>
        <v>4245.6624000000011</v>
      </c>
      <c r="K12" s="127">
        <f t="shared" si="2"/>
        <v>5754.3395999999957</v>
      </c>
      <c r="L12" s="118"/>
      <c r="M12"/>
    </row>
    <row r="13" spans="1:17" s="116" customFormat="1" ht="21.75" customHeight="1" x14ac:dyDescent="0.25">
      <c r="A13" s="121" t="s">
        <v>8</v>
      </c>
      <c r="B13" s="123">
        <v>43534</v>
      </c>
      <c r="C13" s="120" t="str">
        <f t="shared" si="0"/>
        <v>Marzo</v>
      </c>
      <c r="D13" s="121" t="s">
        <v>431</v>
      </c>
      <c r="E13" s="121"/>
      <c r="F13" s="121" t="str">
        <f t="shared" si="1"/>
        <v>BBVA</v>
      </c>
      <c r="G13" s="128">
        <v>3</v>
      </c>
      <c r="H13" s="122" t="s">
        <v>686</v>
      </c>
      <c r="I13" s="162">
        <v>4245.68</v>
      </c>
      <c r="J13" s="127"/>
      <c r="K13" s="127">
        <f t="shared" si="2"/>
        <v>10000.019599999996</v>
      </c>
      <c r="L13" s="118"/>
      <c r="M13"/>
    </row>
    <row r="14" spans="1:17" s="116" customFormat="1" ht="21.75" customHeight="1" x14ac:dyDescent="0.25">
      <c r="A14" s="121" t="s">
        <v>2</v>
      </c>
      <c r="B14" s="123">
        <v>43535</v>
      </c>
      <c r="C14" s="120" t="str">
        <f t="shared" ref="C14:C15" si="4">TEXT(B14,"mmmm")</f>
        <v>Marzo</v>
      </c>
      <c r="D14" s="121" t="s">
        <v>432</v>
      </c>
      <c r="E14" s="121"/>
      <c r="F14" s="121" t="str">
        <f t="shared" si="1"/>
        <v>CAJA</v>
      </c>
      <c r="G14" s="128">
        <v>4</v>
      </c>
      <c r="H14" s="122" t="s">
        <v>434</v>
      </c>
      <c r="I14" s="127"/>
      <c r="J14" s="161">
        <f>SUMIF(SALIDAS[N° CAJA],G14,SALIDAS[PRECIO DE VENTA])</f>
        <v>4635.2334000000001</v>
      </c>
      <c r="K14" s="127">
        <f t="shared" si="2"/>
        <v>5364.7861999999959</v>
      </c>
      <c r="L14" s="118"/>
      <c r="M14"/>
    </row>
    <row r="15" spans="1:17" s="116" customFormat="1" ht="21.75" customHeight="1" x14ac:dyDescent="0.25">
      <c r="A15" s="121" t="s">
        <v>8</v>
      </c>
      <c r="B15" s="123">
        <v>43539</v>
      </c>
      <c r="C15" s="120" t="str">
        <f t="shared" si="4"/>
        <v>Marzo</v>
      </c>
      <c r="D15" s="121" t="s">
        <v>431</v>
      </c>
      <c r="E15" s="121">
        <v>554</v>
      </c>
      <c r="F15" s="121" t="str">
        <f t="shared" si="1"/>
        <v>BBVA</v>
      </c>
      <c r="G15" s="128">
        <v>4</v>
      </c>
      <c r="H15" s="122" t="s">
        <v>689</v>
      </c>
      <c r="I15" s="161">
        <v>4365.22</v>
      </c>
      <c r="J15" s="127"/>
      <c r="K15" s="127">
        <f t="shared" si="2"/>
        <v>9730.0061999999962</v>
      </c>
      <c r="L15" s="118"/>
      <c r="M15"/>
    </row>
    <row r="16" spans="1:17" s="116" customFormat="1" ht="21.75" customHeight="1" x14ac:dyDescent="0.25">
      <c r="A16" s="121" t="s">
        <v>2</v>
      </c>
      <c r="B16" s="123">
        <v>43542</v>
      </c>
      <c r="C16" s="120" t="str">
        <f t="shared" ref="C16:C17" si="5">TEXT(B16,"mmmm")</f>
        <v>Marzo</v>
      </c>
      <c r="D16" s="121" t="s">
        <v>432</v>
      </c>
      <c r="E16" s="121"/>
      <c r="F16" s="121" t="str">
        <f t="shared" si="1"/>
        <v>CAJA</v>
      </c>
      <c r="G16" s="128">
        <v>5</v>
      </c>
      <c r="H16" s="122" t="s">
        <v>434</v>
      </c>
      <c r="I16" s="127"/>
      <c r="J16" s="162">
        <f>SUMIF(SALIDAS[N° CAJA],G16,SALIDAS[PRECIO DE VENTA])</f>
        <v>2877.0832000000005</v>
      </c>
      <c r="K16" s="127">
        <f t="shared" si="2"/>
        <v>6852.9229999999952</v>
      </c>
      <c r="L16" s="118"/>
      <c r="M16"/>
    </row>
    <row r="17" spans="1:13" s="116" customFormat="1" ht="21.75" customHeight="1" x14ac:dyDescent="0.25">
      <c r="A17" s="121" t="s">
        <v>8</v>
      </c>
      <c r="B17" s="123">
        <v>43549</v>
      </c>
      <c r="C17" s="120" t="str">
        <f t="shared" si="5"/>
        <v>Marzo</v>
      </c>
      <c r="D17" s="121" t="s">
        <v>431</v>
      </c>
      <c r="E17" s="121">
        <v>567</v>
      </c>
      <c r="F17" s="121" t="str">
        <f t="shared" si="1"/>
        <v>BBVA</v>
      </c>
      <c r="G17" s="128">
        <v>5</v>
      </c>
      <c r="H17" s="122" t="s">
        <v>690</v>
      </c>
      <c r="I17" s="162">
        <v>2877.09</v>
      </c>
      <c r="J17" s="127"/>
      <c r="K17" s="127">
        <f t="shared" si="2"/>
        <v>9730.0129999999954</v>
      </c>
      <c r="L17" s="118"/>
      <c r="M17"/>
    </row>
    <row r="18" spans="1:13" s="116" customFormat="1" ht="21.75" customHeight="1" x14ac:dyDescent="0.25">
      <c r="A18" s="121" t="s">
        <v>2</v>
      </c>
      <c r="B18" s="123">
        <v>43549</v>
      </c>
      <c r="C18" s="120" t="str">
        <f t="shared" ref="C18:C19" si="6">TEXT(B18,"mmmm")</f>
        <v>Marzo</v>
      </c>
      <c r="D18" s="121" t="s">
        <v>432</v>
      </c>
      <c r="E18" s="121"/>
      <c r="F18" s="121" t="str">
        <f t="shared" si="1"/>
        <v>CAJA</v>
      </c>
      <c r="G18" s="128">
        <v>6</v>
      </c>
      <c r="H18" s="122" t="s">
        <v>434</v>
      </c>
      <c r="I18" s="127"/>
      <c r="J18" s="162">
        <f>SUMIF(SALIDAS[N° CAJA],G18,SALIDAS[PRECIO DE VENTA])</f>
        <v>4489.9696000000004</v>
      </c>
      <c r="K18" s="127">
        <f t="shared" si="2"/>
        <v>5240.043399999995</v>
      </c>
      <c r="L18" s="118"/>
      <c r="M18"/>
    </row>
    <row r="19" spans="1:13" s="116" customFormat="1" ht="21.75" customHeight="1" x14ac:dyDescent="0.25">
      <c r="A19" s="121" t="s">
        <v>8</v>
      </c>
      <c r="B19" s="123">
        <v>43556</v>
      </c>
      <c r="C19" s="120" t="str">
        <f t="shared" si="6"/>
        <v>Abril</v>
      </c>
      <c r="D19" s="121" t="s">
        <v>431</v>
      </c>
      <c r="E19" s="121">
        <v>582</v>
      </c>
      <c r="F19" s="121" t="str">
        <f t="shared" si="1"/>
        <v>BBVA</v>
      </c>
      <c r="G19" s="128">
        <v>6</v>
      </c>
      <c r="H19" s="122" t="s">
        <v>892</v>
      </c>
      <c r="I19" s="162">
        <v>4490.7</v>
      </c>
      <c r="J19" s="127"/>
      <c r="K19" s="127">
        <f t="shared" si="2"/>
        <v>9730.7433999999957</v>
      </c>
      <c r="L19" s="118"/>
      <c r="M19"/>
    </row>
    <row r="20" spans="1:13" s="116" customFormat="1" ht="21.75" customHeight="1" x14ac:dyDescent="0.25">
      <c r="A20" s="121" t="s">
        <v>2</v>
      </c>
      <c r="B20" s="123">
        <v>43556</v>
      </c>
      <c r="C20" s="120" t="str">
        <f t="shared" ref="C20:C21" si="7">TEXT(B20,"mmmm")</f>
        <v>Abril</v>
      </c>
      <c r="D20" s="121" t="s">
        <v>432</v>
      </c>
      <c r="E20" s="121">
        <v>140</v>
      </c>
      <c r="F20" s="121" t="str">
        <f t="shared" si="1"/>
        <v>CAJA</v>
      </c>
      <c r="G20" s="128">
        <v>7</v>
      </c>
      <c r="H20" s="122" t="s">
        <v>434</v>
      </c>
      <c r="I20" s="127"/>
      <c r="J20" s="162">
        <f>SUMIF(SALIDAS[N° CAJA],G20,SALIDAS[PRECIO DE VENTA])</f>
        <v>1698.1677999999999</v>
      </c>
      <c r="K20" s="127">
        <f t="shared" si="2"/>
        <v>8032.5755999999956</v>
      </c>
      <c r="L20" s="118"/>
      <c r="M20"/>
    </row>
    <row r="21" spans="1:13" s="116" customFormat="1" ht="21.75" customHeight="1" x14ac:dyDescent="0.25">
      <c r="A21" s="121" t="s">
        <v>8</v>
      </c>
      <c r="B21" s="123">
        <v>43563</v>
      </c>
      <c r="C21" s="120" t="str">
        <f t="shared" si="7"/>
        <v>Abril</v>
      </c>
      <c r="D21" s="121" t="s">
        <v>431</v>
      </c>
      <c r="E21" s="121">
        <v>610</v>
      </c>
      <c r="F21" s="121" t="str">
        <f t="shared" si="1"/>
        <v>BBVA</v>
      </c>
      <c r="G21" s="128">
        <v>7</v>
      </c>
      <c r="H21" s="122" t="s">
        <v>691</v>
      </c>
      <c r="I21" s="162">
        <v>96</v>
      </c>
      <c r="J21" s="127"/>
      <c r="K21" s="127">
        <f t="shared" si="2"/>
        <v>8128.5755999999956</v>
      </c>
      <c r="L21" s="118"/>
      <c r="M21"/>
    </row>
    <row r="22" spans="1:13" s="116" customFormat="1" ht="21.75" customHeight="1" x14ac:dyDescent="0.25">
      <c r="A22" s="121" t="s">
        <v>8</v>
      </c>
      <c r="B22" s="123">
        <v>43563</v>
      </c>
      <c r="C22" s="120" t="str">
        <f t="shared" ref="C22" si="8">TEXT(B22,"mmmm")</f>
        <v>Abril</v>
      </c>
      <c r="D22" s="121" t="s">
        <v>431</v>
      </c>
      <c r="E22" s="121">
        <v>611</v>
      </c>
      <c r="F22" s="121" t="str">
        <f t="shared" si="1"/>
        <v>BBVA</v>
      </c>
      <c r="G22" s="128">
        <v>7</v>
      </c>
      <c r="H22" s="122" t="s">
        <v>691</v>
      </c>
      <c r="I22" s="162">
        <v>1603</v>
      </c>
      <c r="J22" s="127"/>
      <c r="K22" s="127">
        <f t="shared" si="2"/>
        <v>9731.5755999999965</v>
      </c>
      <c r="L22" s="118"/>
      <c r="M22"/>
    </row>
    <row r="23" spans="1:13" s="116" customFormat="1" ht="21.75" customHeight="1" x14ac:dyDescent="0.25">
      <c r="A23" s="121" t="s">
        <v>2</v>
      </c>
      <c r="B23" s="123">
        <v>43563</v>
      </c>
      <c r="C23" s="120" t="str">
        <f t="shared" ref="C23:C25" si="9">TEXT(B23,"mmmm")</f>
        <v>Abril</v>
      </c>
      <c r="D23" s="121" t="s">
        <v>432</v>
      </c>
      <c r="E23" s="121">
        <v>144</v>
      </c>
      <c r="F23" s="121" t="str">
        <f t="shared" si="1"/>
        <v>CAJA</v>
      </c>
      <c r="G23" s="128">
        <v>8</v>
      </c>
      <c r="H23" s="122" t="s">
        <v>434</v>
      </c>
      <c r="I23" s="127"/>
      <c r="J23" s="162">
        <f>SUMIF(SALIDAS[N° CAJA],G23,SALIDAS[PRECIO DE VENTA])</f>
        <v>1576.3137999999999</v>
      </c>
      <c r="K23" s="127">
        <f t="shared" si="2"/>
        <v>8155.2617999999966</v>
      </c>
      <c r="L23" s="118"/>
      <c r="M23"/>
    </row>
    <row r="24" spans="1:13" s="116" customFormat="1" ht="21.75" customHeight="1" x14ac:dyDescent="0.25">
      <c r="A24" s="121" t="s">
        <v>8</v>
      </c>
      <c r="B24" s="123">
        <v>43570</v>
      </c>
      <c r="C24" s="120" t="str">
        <f t="shared" si="9"/>
        <v>Abril</v>
      </c>
      <c r="D24" s="121" t="s">
        <v>431</v>
      </c>
      <c r="E24" s="121">
        <v>621</v>
      </c>
      <c r="F24" s="121" t="str">
        <f t="shared" si="1"/>
        <v>BBVA</v>
      </c>
      <c r="G24" s="128">
        <v>8</v>
      </c>
      <c r="H24" s="122" t="s">
        <v>893</v>
      </c>
      <c r="I24" s="162">
        <v>1576.3</v>
      </c>
      <c r="J24" s="127"/>
      <c r="K24" s="127">
        <f t="shared" si="2"/>
        <v>9731.5617999999959</v>
      </c>
      <c r="L24" s="118"/>
      <c r="M24"/>
    </row>
    <row r="25" spans="1:13" s="116" customFormat="1" ht="21.75" customHeight="1" x14ac:dyDescent="0.25">
      <c r="A25" s="121" t="s">
        <v>2</v>
      </c>
      <c r="B25" s="123">
        <v>43569</v>
      </c>
      <c r="C25" s="120" t="str">
        <f t="shared" si="9"/>
        <v>Abril</v>
      </c>
      <c r="D25" s="121" t="s">
        <v>432</v>
      </c>
      <c r="E25" s="121">
        <v>147</v>
      </c>
      <c r="F25" s="121" t="str">
        <f t="shared" si="1"/>
        <v>CAJA</v>
      </c>
      <c r="G25" s="128">
        <v>9</v>
      </c>
      <c r="H25" s="122" t="s">
        <v>434</v>
      </c>
      <c r="I25" s="127"/>
      <c r="J25" s="162">
        <f>SUMIF(SALIDAS[N° CAJA],G25,SALIDAS[PRECIO DE VENTA])</f>
        <v>2620.5072</v>
      </c>
      <c r="K25" s="127">
        <f t="shared" si="2"/>
        <v>7111.0545999999958</v>
      </c>
      <c r="L25" s="118"/>
      <c r="M25"/>
    </row>
    <row r="26" spans="1:13" s="116" customFormat="1" ht="21.75" customHeight="1" x14ac:dyDescent="0.25">
      <c r="A26" s="121" t="s">
        <v>8</v>
      </c>
      <c r="B26" s="123">
        <v>43584</v>
      </c>
      <c r="C26" s="120"/>
      <c r="D26" s="121" t="s">
        <v>431</v>
      </c>
      <c r="E26" s="121">
        <v>648</v>
      </c>
      <c r="F26" s="121" t="str">
        <f t="shared" si="1"/>
        <v>BBVA</v>
      </c>
      <c r="G26" s="128">
        <v>9</v>
      </c>
      <c r="H26" s="122" t="s">
        <v>898</v>
      </c>
      <c r="I26" s="162">
        <v>2620.5100000000002</v>
      </c>
      <c r="J26" s="127"/>
      <c r="K26" s="127">
        <f t="shared" si="2"/>
        <v>9731.5645999999961</v>
      </c>
      <c r="L26" s="118"/>
      <c r="M26"/>
    </row>
    <row r="27" spans="1:13" s="116" customFormat="1" ht="21.75" customHeight="1" x14ac:dyDescent="0.25">
      <c r="A27" s="121" t="s">
        <v>2</v>
      </c>
      <c r="B27" s="123">
        <v>43577</v>
      </c>
      <c r="C27" s="120"/>
      <c r="D27" s="121" t="s">
        <v>432</v>
      </c>
      <c r="E27" s="121">
        <v>150</v>
      </c>
      <c r="F27" s="121" t="str">
        <f t="shared" si="1"/>
        <v>CAJA</v>
      </c>
      <c r="G27" s="128">
        <v>10</v>
      </c>
      <c r="H27" s="122" t="s">
        <v>434</v>
      </c>
      <c r="I27" s="127"/>
      <c r="J27" s="161">
        <f>SUMIF(SALIDAS[N° CAJA],G27,SALIDAS[PRECIO DE VENTA])</f>
        <v>3230.9656</v>
      </c>
      <c r="K27" s="127">
        <f t="shared" si="2"/>
        <v>6500.5989999999965</v>
      </c>
      <c r="L27" s="118"/>
      <c r="M27"/>
    </row>
    <row r="28" spans="1:13" s="116" customFormat="1" ht="21.75" customHeight="1" x14ac:dyDescent="0.25">
      <c r="A28" s="121" t="s">
        <v>8</v>
      </c>
      <c r="B28" s="123">
        <v>43584</v>
      </c>
      <c r="C28" s="120"/>
      <c r="D28" s="121" t="s">
        <v>431</v>
      </c>
      <c r="E28" s="121">
        <v>650</v>
      </c>
      <c r="F28" s="121" t="str">
        <f t="shared" si="1"/>
        <v>BBVA</v>
      </c>
      <c r="G28" s="128">
        <v>10</v>
      </c>
      <c r="H28" s="122" t="s">
        <v>897</v>
      </c>
      <c r="I28" s="161">
        <v>3228.97</v>
      </c>
      <c r="J28" s="127"/>
      <c r="K28" s="127">
        <f t="shared" si="2"/>
        <v>9729.5689999999959</v>
      </c>
      <c r="L28" s="118"/>
      <c r="M28"/>
    </row>
    <row r="29" spans="1:13" s="116" customFormat="1" ht="21.75" customHeight="1" x14ac:dyDescent="0.25">
      <c r="A29" s="121" t="s">
        <v>2</v>
      </c>
      <c r="B29" s="123">
        <v>43582</v>
      </c>
      <c r="C29" s="120"/>
      <c r="D29" s="121" t="s">
        <v>432</v>
      </c>
      <c r="E29" s="121">
        <v>152</v>
      </c>
      <c r="F29" s="121" t="str">
        <f t="shared" si="1"/>
        <v>CAJA</v>
      </c>
      <c r="G29" s="128">
        <v>11</v>
      </c>
      <c r="H29" s="122" t="s">
        <v>434</v>
      </c>
      <c r="I29" s="127"/>
      <c r="J29" s="162">
        <f>SUMIF(SALIDAS[N° CAJA],G29,SALIDAS[PRECIO DE VENTA])</f>
        <v>4445.2204000000002</v>
      </c>
      <c r="K29" s="127">
        <f t="shared" si="2"/>
        <v>5284.3485999999957</v>
      </c>
      <c r="L29" s="118"/>
      <c r="M29"/>
    </row>
    <row r="30" spans="1:13" s="116" customFormat="1" ht="21.75" customHeight="1" x14ac:dyDescent="0.25">
      <c r="A30" s="121" t="s">
        <v>8</v>
      </c>
      <c r="B30" s="123">
        <v>43589</v>
      </c>
      <c r="C30" s="120"/>
      <c r="D30" s="121" t="s">
        <v>431</v>
      </c>
      <c r="E30" s="121">
        <v>678</v>
      </c>
      <c r="F30" s="121" t="str">
        <f t="shared" si="1"/>
        <v>BBVA</v>
      </c>
      <c r="G30" s="128">
        <v>11</v>
      </c>
      <c r="H30" s="122" t="s">
        <v>896</v>
      </c>
      <c r="I30" s="162">
        <v>4445.22</v>
      </c>
      <c r="J30" s="127"/>
      <c r="K30" s="127">
        <f t="shared" si="2"/>
        <v>9729.5685999999951</v>
      </c>
      <c r="L30" s="118"/>
      <c r="M30"/>
    </row>
    <row r="31" spans="1:13" s="116" customFormat="1" ht="21.75" customHeight="1" x14ac:dyDescent="0.25">
      <c r="A31" s="121" t="s">
        <v>2</v>
      </c>
      <c r="B31" s="123">
        <v>43591</v>
      </c>
      <c r="C31" s="120"/>
      <c r="D31" s="121" t="s">
        <v>432</v>
      </c>
      <c r="E31" s="121"/>
      <c r="F31" s="121" t="str">
        <f t="shared" si="1"/>
        <v>CAJA</v>
      </c>
      <c r="G31" s="128">
        <v>12</v>
      </c>
      <c r="H31" s="122" t="s">
        <v>434</v>
      </c>
      <c r="I31" s="127"/>
      <c r="J31" s="162">
        <f>SUMIF(SALIDAS[N° CAJA],G31,SALIDAS[PRECIO DE VENTA])</f>
        <v>2805.3990000000003</v>
      </c>
      <c r="K31" s="127">
        <f t="shared" si="2"/>
        <v>6924.1695999999947</v>
      </c>
      <c r="L31" s="118"/>
      <c r="M31"/>
    </row>
    <row r="32" spans="1:13" s="116" customFormat="1" ht="21.75" customHeight="1" x14ac:dyDescent="0.25">
      <c r="A32" s="121" t="s">
        <v>8</v>
      </c>
      <c r="B32" s="123">
        <v>43596</v>
      </c>
      <c r="C32" s="120"/>
      <c r="D32" s="121" t="s">
        <v>431</v>
      </c>
      <c r="E32" s="121">
        <v>698</v>
      </c>
      <c r="F32" s="121" t="str">
        <f t="shared" si="1"/>
        <v>BBVA</v>
      </c>
      <c r="G32" s="128">
        <v>12</v>
      </c>
      <c r="H32" s="122" t="s">
        <v>895</v>
      </c>
      <c r="I32" s="162">
        <v>2735.22</v>
      </c>
      <c r="J32" s="127"/>
      <c r="K32" s="127">
        <f t="shared" si="2"/>
        <v>9659.389599999995</v>
      </c>
      <c r="L32" s="118"/>
      <c r="M32"/>
    </row>
    <row r="33" spans="1:13" s="116" customFormat="1" ht="21.75" customHeight="1" x14ac:dyDescent="0.25">
      <c r="A33" s="121" t="s">
        <v>8</v>
      </c>
      <c r="B33" s="123">
        <v>43596</v>
      </c>
      <c r="C33" s="120"/>
      <c r="D33" s="121" t="s">
        <v>431</v>
      </c>
      <c r="E33" s="121">
        <v>700</v>
      </c>
      <c r="F33" s="121" t="str">
        <f t="shared" si="1"/>
        <v>BBVA</v>
      </c>
      <c r="G33" s="128">
        <v>12</v>
      </c>
      <c r="H33" s="122" t="s">
        <v>895</v>
      </c>
      <c r="I33" s="162">
        <v>70.2</v>
      </c>
      <c r="J33" s="127"/>
      <c r="K33" s="127">
        <f t="shared" si="2"/>
        <v>9729.5895999999957</v>
      </c>
      <c r="L33" s="118"/>
      <c r="M33"/>
    </row>
    <row r="34" spans="1:13" s="116" customFormat="1" ht="21.75" customHeight="1" x14ac:dyDescent="0.25">
      <c r="A34" s="121" t="s">
        <v>2</v>
      </c>
      <c r="B34" s="123">
        <v>43595</v>
      </c>
      <c r="C34" s="120"/>
      <c r="D34" s="121" t="s">
        <v>432</v>
      </c>
      <c r="E34" s="121">
        <v>158</v>
      </c>
      <c r="F34" s="121" t="str">
        <f t="shared" si="1"/>
        <v>CAJA</v>
      </c>
      <c r="G34" s="128">
        <v>13</v>
      </c>
      <c r="H34" s="122" t="s">
        <v>434</v>
      </c>
      <c r="I34" s="127"/>
      <c r="J34" s="127">
        <f>SUMIF(SALIDAS[N° CAJA],G34,SALIDAS[PRECIO DE VENTA])</f>
        <v>2194.4924000000001</v>
      </c>
      <c r="K34" s="127">
        <f t="shared" si="2"/>
        <v>7535.0971999999956</v>
      </c>
      <c r="L34" s="118"/>
      <c r="M34"/>
    </row>
    <row r="35" spans="1:13" s="116" customFormat="1" ht="21.75" customHeight="1" x14ac:dyDescent="0.25">
      <c r="A35" s="121" t="s">
        <v>8</v>
      </c>
      <c r="B35" s="123"/>
      <c r="C35" s="120"/>
      <c r="D35" s="121" t="s">
        <v>431</v>
      </c>
      <c r="E35" s="121"/>
      <c r="F35" s="121" t="str">
        <f>IF(D35="DEP","BBVA","CAJA")</f>
        <v>BBVA</v>
      </c>
      <c r="G35" s="128"/>
      <c r="H35" s="122" t="s">
        <v>894</v>
      </c>
      <c r="I35" s="127"/>
      <c r="J35" s="127"/>
      <c r="K35" s="127">
        <f t="shared" si="2"/>
        <v>7535.0971999999956</v>
      </c>
      <c r="L35" s="118"/>
      <c r="M35"/>
    </row>
    <row r="36" spans="1:13" s="116" customFormat="1" ht="21.75" customHeight="1" x14ac:dyDescent="0.25">
      <c r="A36" s="121"/>
      <c r="B36" s="123"/>
      <c r="C36" s="120"/>
      <c r="D36" s="121"/>
      <c r="E36" s="121"/>
      <c r="F36" s="121"/>
      <c r="G36" s="128"/>
      <c r="H36" s="122"/>
      <c r="I36" s="127"/>
      <c r="J36" s="127"/>
      <c r="K36" s="127">
        <f t="shared" si="2"/>
        <v>7535.0971999999956</v>
      </c>
      <c r="L36" s="118"/>
      <c r="M36"/>
    </row>
    <row r="37" spans="1:13" s="116" customFormat="1" ht="21.75" customHeight="1" x14ac:dyDescent="0.25">
      <c r="A37" s="121"/>
      <c r="B37" s="123"/>
      <c r="C37" s="120"/>
      <c r="D37" s="121"/>
      <c r="E37" s="121"/>
      <c r="F37" s="121"/>
      <c r="G37" s="128"/>
      <c r="H37" s="122"/>
      <c r="I37" s="127"/>
      <c r="J37" s="127"/>
      <c r="K37" s="127">
        <f t="shared" si="2"/>
        <v>7535.0971999999956</v>
      </c>
      <c r="L37" s="118"/>
      <c r="M37"/>
    </row>
    <row r="38" spans="1:13" s="116" customFormat="1" ht="21.75" customHeight="1" x14ac:dyDescent="0.25">
      <c r="A38" s="121"/>
      <c r="B38" s="123"/>
      <c r="C38" s="120"/>
      <c r="D38" s="121"/>
      <c r="E38" s="121"/>
      <c r="F38" s="121"/>
      <c r="G38" s="128"/>
      <c r="H38" s="122"/>
      <c r="I38" s="127"/>
      <c r="J38" s="127"/>
      <c r="K38" s="127">
        <f t="shared" si="2"/>
        <v>7535.0971999999956</v>
      </c>
      <c r="L38" s="118"/>
      <c r="M38"/>
    </row>
    <row r="39" spans="1:13" s="116" customFormat="1" ht="21.75" customHeight="1" x14ac:dyDescent="0.25">
      <c r="A39" s="121"/>
      <c r="B39" s="123"/>
      <c r="C39" s="120"/>
      <c r="D39" s="121"/>
      <c r="E39" s="121"/>
      <c r="F39" s="121"/>
      <c r="G39" s="128"/>
      <c r="H39" s="122"/>
      <c r="I39" s="127"/>
      <c r="J39" s="127"/>
      <c r="K39" s="127">
        <f t="shared" si="2"/>
        <v>7535.0971999999956</v>
      </c>
      <c r="L39" s="118"/>
      <c r="M39"/>
    </row>
    <row r="40" spans="1:13" s="116" customFormat="1" ht="21.75" customHeight="1" x14ac:dyDescent="0.25">
      <c r="A40" s="121"/>
      <c r="B40" s="123"/>
      <c r="C40" s="120"/>
      <c r="D40" s="121"/>
      <c r="E40" s="121"/>
      <c r="F40" s="121"/>
      <c r="G40" s="128"/>
      <c r="H40" s="122"/>
      <c r="I40" s="127"/>
      <c r="J40" s="127"/>
      <c r="K40" s="127">
        <f t="shared" si="2"/>
        <v>7535.0971999999956</v>
      </c>
      <c r="L40" s="118"/>
      <c r="M40"/>
    </row>
    <row r="41" spans="1:13" s="116" customFormat="1" ht="21.75" customHeight="1" x14ac:dyDescent="0.25">
      <c r="A41" s="121"/>
      <c r="B41" s="120"/>
      <c r="C41" s="120"/>
      <c r="D41" s="121"/>
      <c r="E41" s="121"/>
      <c r="F41" s="121"/>
      <c r="G41" s="128"/>
      <c r="H41" s="122"/>
      <c r="I41" s="127"/>
      <c r="J41" s="127"/>
      <c r="K41" s="127">
        <f t="shared" si="2"/>
        <v>7535.0971999999956</v>
      </c>
      <c r="L41" s="118"/>
      <c r="M41"/>
    </row>
    <row r="42" spans="1:13" x14ac:dyDescent="0.25">
      <c r="A42" s="2"/>
    </row>
    <row r="43" spans="1:13" x14ac:dyDescent="0.25">
      <c r="A43" s="2"/>
      <c r="I43" s="157">
        <f>SUM(I7:I42)</f>
        <v>58514.13</v>
      </c>
      <c r="J43" s="157">
        <f>SUM(J7:J42)</f>
        <v>50979.032800000015</v>
      </c>
      <c r="K43" s="157">
        <f>K41</f>
        <v>7535.0971999999956</v>
      </c>
    </row>
    <row r="44" spans="1:13" x14ac:dyDescent="0.25">
      <c r="A44" s="2"/>
    </row>
    <row r="45" spans="1:13" x14ac:dyDescent="0.25">
      <c r="A45" s="2"/>
      <c r="K45" s="78">
        <v>7795.79</v>
      </c>
    </row>
    <row r="46" spans="1:13" x14ac:dyDescent="0.25">
      <c r="A46" s="2"/>
    </row>
    <row r="47" spans="1:13" x14ac:dyDescent="0.25">
      <c r="A47" s="2"/>
      <c r="K47" s="78">
        <f>K45-K43</f>
        <v>260.69280000000435</v>
      </c>
      <c r="L47" s="78" t="s">
        <v>904</v>
      </c>
    </row>
    <row r="48" spans="1:13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154"/>
    </row>
  </sheetData>
  <dataConsolidate/>
  <mergeCells count="1">
    <mergeCell ref="A3:K3"/>
  </mergeCells>
  <conditionalFormatting sqref="D7:D39">
    <cfRule type="cellIs" dxfId="34" priority="5" operator="equal">
      <formula>"DEP"</formula>
    </cfRule>
  </conditionalFormatting>
  <conditionalFormatting sqref="D7:D41">
    <cfRule type="cellIs" dxfId="33" priority="4" operator="equal">
      <formula>"S10"</formula>
    </cfRule>
  </conditionalFormatting>
  <conditionalFormatting sqref="F7:F41">
    <cfRule type="cellIs" dxfId="32" priority="2" operator="equal">
      <formula>"CAJA"</formula>
    </cfRule>
    <cfRule type="cellIs" dxfId="31" priority="3" operator="equal">
      <formula>"BBVA"</formula>
    </cfRule>
  </conditionalFormatting>
  <dataValidations count="1">
    <dataValidation type="list" allowBlank="1" showInputMessage="1" showErrorMessage="1" sqref="D7:D35">
      <formula1>$O$6:$O$7</formula1>
    </dataValidation>
  </dataValidations>
  <pageMargins left="0.31496062992125984" right="0.31496062992125984" top="0.74803149606299213" bottom="0.74803149606299213" header="0.31496062992125984" footer="0.31496062992125984"/>
  <pageSetup scale="7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Tablas!$B$106:$B$1048576</xm:f>
          </x14:formula1>
          <xm:sqref>H5:J5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63"/>
  <sheetViews>
    <sheetView showGridLines="0" tabSelected="1" topLeftCell="F1" zoomScale="80" zoomScaleNormal="80" zoomScaleSheetLayoutView="73" workbookViewId="0">
      <pane ySplit="6" topLeftCell="A326" activePane="bottomLeft" state="frozen"/>
      <selection pane="bottomLeft" activeCell="P354" sqref="P354"/>
    </sheetView>
  </sheetViews>
  <sheetFormatPr baseColWidth="10" defaultRowHeight="15" x14ac:dyDescent="0.25"/>
  <cols>
    <col min="1" max="1" width="7.140625" customWidth="1"/>
    <col min="2" max="2" width="12.5703125" customWidth="1"/>
    <col min="3" max="3" width="7.7109375" customWidth="1"/>
    <col min="4" max="4" width="9" customWidth="1"/>
    <col min="5" max="5" width="16.140625" style="53" customWidth="1"/>
    <col min="6" max="6" width="12.42578125" customWidth="1"/>
    <col min="7" max="7" width="36.42578125" customWidth="1"/>
    <col min="8" max="8" width="38.5703125" customWidth="1"/>
    <col min="9" max="9" width="34.140625" customWidth="1"/>
    <col min="10" max="10" width="20.85546875" customWidth="1"/>
    <col min="12" max="12" width="12.42578125" customWidth="1"/>
    <col min="13" max="14" width="18.42578125" customWidth="1"/>
    <col min="15" max="15" width="15.140625" hidden="1" customWidth="1"/>
    <col min="16" max="16" width="20.42578125" customWidth="1"/>
    <col min="17" max="17" width="48.42578125" customWidth="1"/>
    <col min="18" max="18" width="11" customWidth="1"/>
    <col min="19" max="19" width="37.85546875" customWidth="1"/>
    <col min="20" max="20" width="37.85546875" style="78" customWidth="1"/>
    <col min="21" max="21" width="9.85546875" customWidth="1"/>
    <col min="22" max="22" width="22.42578125" bestFit="1" customWidth="1"/>
    <col min="23" max="23" width="12.140625" bestFit="1" customWidth="1"/>
    <col min="24" max="24" width="12.85546875" bestFit="1" customWidth="1"/>
  </cols>
  <sheetData>
    <row r="1" spans="1:21" ht="15.75" thickBot="1" x14ac:dyDescent="0.3">
      <c r="D1" s="1"/>
    </row>
    <row r="2" spans="1:21" ht="24" thickBot="1" x14ac:dyDescent="0.4">
      <c r="A2" s="170" t="s">
        <v>178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</row>
    <row r="3" spans="1:21" x14ac:dyDescent="0.25">
      <c r="O3" s="86"/>
    </row>
    <row r="4" spans="1:21" ht="24.75" x14ac:dyDescent="0.5">
      <c r="A4" s="18" t="s">
        <v>427</v>
      </c>
      <c r="D4" s="1"/>
      <c r="M4" s="42">
        <f>SUM(SALIDAS[COSTO])</f>
        <v>47698.420000000027</v>
      </c>
      <c r="P4" s="42">
        <f>SUM(SALIDAS[PRECIO DE VENTA])</f>
        <v>53308.33419999991</v>
      </c>
    </row>
    <row r="5" spans="1:21" x14ac:dyDescent="0.25">
      <c r="D5" s="1"/>
      <c r="L5" s="17"/>
      <c r="M5" s="17"/>
      <c r="N5" s="17"/>
      <c r="O5" s="17"/>
    </row>
    <row r="6" spans="1:21" ht="27.75" customHeight="1" x14ac:dyDescent="0.25">
      <c r="A6" s="19" t="s">
        <v>615</v>
      </c>
      <c r="B6" s="4" t="s">
        <v>3</v>
      </c>
      <c r="C6" s="4" t="s">
        <v>47</v>
      </c>
      <c r="D6" s="11" t="s">
        <v>35</v>
      </c>
      <c r="E6" s="54" t="s">
        <v>48</v>
      </c>
      <c r="F6" s="4" t="s">
        <v>77</v>
      </c>
      <c r="G6" s="4" t="s">
        <v>0</v>
      </c>
      <c r="H6" s="4" t="s">
        <v>159</v>
      </c>
      <c r="I6" s="4" t="s">
        <v>76</v>
      </c>
      <c r="J6" s="4" t="s">
        <v>73</v>
      </c>
      <c r="K6" s="4" t="s">
        <v>22</v>
      </c>
      <c r="L6" s="3" t="s">
        <v>4</v>
      </c>
      <c r="M6" s="3" t="s">
        <v>175</v>
      </c>
      <c r="N6" s="3" t="s">
        <v>74</v>
      </c>
      <c r="O6" s="3" t="s">
        <v>537</v>
      </c>
      <c r="P6" s="3" t="s">
        <v>75</v>
      </c>
      <c r="Q6" s="20" t="s">
        <v>177</v>
      </c>
      <c r="T6"/>
      <c r="U6" s="78"/>
    </row>
    <row r="7" spans="1:21" ht="15" customHeight="1" x14ac:dyDescent="0.25">
      <c r="A7" s="56">
        <v>1</v>
      </c>
      <c r="B7" s="64">
        <v>43470</v>
      </c>
      <c r="C7" s="30" t="str">
        <f>TEXT(SALIDAS[[#This Row],[FECHA]],"mmmm")</f>
        <v>Enero</v>
      </c>
      <c r="D7" s="27" t="s">
        <v>16</v>
      </c>
      <c r="E7" s="55" t="s">
        <v>161</v>
      </c>
      <c r="F7" s="52">
        <v>1</v>
      </c>
      <c r="G7" s="21" t="s">
        <v>162</v>
      </c>
      <c r="H7" s="21" t="s">
        <v>125</v>
      </c>
      <c r="I7" s="21" t="str">
        <f ca="1">OFFSET(OT[[#Headers],[T. CUENTA]],MATCH($H7,OT[T. CUENTA],0),1)</f>
        <v>GASTOS PRESTADOS POR TERCEROS</v>
      </c>
      <c r="J7" s="21" t="s">
        <v>158</v>
      </c>
      <c r="K7" s="21" t="s">
        <v>65</v>
      </c>
      <c r="L7" s="28">
        <v>1</v>
      </c>
      <c r="M7" s="31">
        <v>68.05</v>
      </c>
      <c r="N7" s="31">
        <f>SALIDAS[[#This Row],[COSTO]]*0.18</f>
        <v>12.248999999999999</v>
      </c>
      <c r="O7" s="31"/>
      <c r="P7" s="138">
        <f>SALIDAS[[#This Row],[COSTO]]+SALIDAS[[#This Row],[IGV]]+SALIDAS[[#This Row],[INAFECTO]]</f>
        <v>80.298999999999992</v>
      </c>
      <c r="Q7" s="85" t="s">
        <v>179</v>
      </c>
      <c r="T7" s="35" t="s">
        <v>419</v>
      </c>
      <c r="U7" s="111" t="s">
        <v>420</v>
      </c>
    </row>
    <row r="8" spans="1:21" ht="15" customHeight="1" x14ac:dyDescent="0.25">
      <c r="A8" s="56">
        <v>2</v>
      </c>
      <c r="B8" s="29">
        <v>43480</v>
      </c>
      <c r="C8" s="30" t="str">
        <f>TEXT(SALIDAS[[#This Row],[FECHA]],"mmmm")</f>
        <v>Enero</v>
      </c>
      <c r="D8" s="27" t="s">
        <v>135</v>
      </c>
      <c r="E8" s="55" t="s">
        <v>163</v>
      </c>
      <c r="F8" s="52">
        <v>1</v>
      </c>
      <c r="G8" s="21" t="s">
        <v>164</v>
      </c>
      <c r="H8" s="21" t="s">
        <v>132</v>
      </c>
      <c r="I8" s="21" t="str">
        <f ca="1">OFFSET(OT[[#Headers],[T. CUENTA]],MATCH($H8,OT[T. CUENTA],0),1)</f>
        <v>GASTOS ADMINISTRATIVOS</v>
      </c>
      <c r="J8" s="21" t="s">
        <v>158</v>
      </c>
      <c r="K8" s="21" t="s">
        <v>65</v>
      </c>
      <c r="L8" s="28">
        <v>1</v>
      </c>
      <c r="M8" s="31">
        <v>88.1</v>
      </c>
      <c r="N8" s="31">
        <f>SALIDAS[[#This Row],[COSTO]]*0.18</f>
        <v>15.857999999999999</v>
      </c>
      <c r="O8" s="31"/>
      <c r="P8" s="138">
        <f>SALIDAS[[#This Row],[COSTO]]+SALIDAS[[#This Row],[IGV]]+SALIDAS[[#This Row],[INAFECTO]]</f>
        <v>103.958</v>
      </c>
      <c r="Q8" s="85" t="s">
        <v>180</v>
      </c>
      <c r="T8" s="5" t="s">
        <v>158</v>
      </c>
      <c r="U8" s="78">
        <v>38189.709999999992</v>
      </c>
    </row>
    <row r="9" spans="1:21" ht="15" customHeight="1" x14ac:dyDescent="0.25">
      <c r="A9" s="56">
        <v>3</v>
      </c>
      <c r="B9" s="29">
        <v>43481</v>
      </c>
      <c r="C9" s="30" t="str">
        <f>TEXT(SALIDAS[[#This Row],[FECHA]],"mmmm")</f>
        <v>Enero</v>
      </c>
      <c r="D9" s="27" t="s">
        <v>10</v>
      </c>
      <c r="E9" s="55" t="s">
        <v>206</v>
      </c>
      <c r="F9" s="52">
        <v>1</v>
      </c>
      <c r="G9" s="21" t="s">
        <v>207</v>
      </c>
      <c r="H9" s="21" t="s">
        <v>198</v>
      </c>
      <c r="I9" s="21" t="str">
        <f ca="1">OFFSET(OT[[#Headers],[T. CUENTA]],MATCH($H9,OT[T. CUENTA],0),1)</f>
        <v>GASTOS PRESTADOS POR TERCEROS</v>
      </c>
      <c r="J9" s="21" t="s">
        <v>158</v>
      </c>
      <c r="K9" s="21" t="s">
        <v>65</v>
      </c>
      <c r="L9" s="28">
        <v>1</v>
      </c>
      <c r="M9" s="31">
        <v>21.19</v>
      </c>
      <c r="N9" s="31">
        <f>SALIDAS[[#This Row],[COSTO]]*0.18</f>
        <v>3.8142</v>
      </c>
      <c r="O9" s="31"/>
      <c r="P9" s="138">
        <f>SALIDAS[[#This Row],[COSTO]]+SALIDAS[[#This Row],[IGV]]+SALIDAS[[#This Row],[INAFECTO]]</f>
        <v>25.004200000000001</v>
      </c>
      <c r="Q9" s="84" t="s">
        <v>208</v>
      </c>
      <c r="T9" s="36" t="s">
        <v>103</v>
      </c>
      <c r="U9" s="78">
        <v>1836.7000000000003</v>
      </c>
    </row>
    <row r="10" spans="1:21" ht="15" customHeight="1" x14ac:dyDescent="0.25">
      <c r="A10" s="56">
        <v>4</v>
      </c>
      <c r="B10" s="29">
        <v>43481</v>
      </c>
      <c r="C10" s="30" t="str">
        <f>TEXT(SALIDAS[[#This Row],[FECHA]],"mmmm")</f>
        <v>Enero</v>
      </c>
      <c r="D10" s="27" t="s">
        <v>12</v>
      </c>
      <c r="E10" s="55" t="s">
        <v>308</v>
      </c>
      <c r="F10" s="52">
        <v>1</v>
      </c>
      <c r="G10" s="57" t="s">
        <v>249</v>
      </c>
      <c r="H10" s="57" t="s">
        <v>106</v>
      </c>
      <c r="I10" s="21" t="str">
        <f ca="1">OFFSET(OT[[#Headers],[T. CUENTA]],MATCH($H10,OT[T. CUENTA],0),1)</f>
        <v>GASTOS DE PERSONAL</v>
      </c>
      <c r="J10" s="58" t="s">
        <v>158</v>
      </c>
      <c r="K10" s="57" t="s">
        <v>65</v>
      </c>
      <c r="L10" s="59">
        <v>1</v>
      </c>
      <c r="M10" s="82">
        <v>30</v>
      </c>
      <c r="N10" s="82"/>
      <c r="O10" s="82"/>
      <c r="P10" s="138">
        <f>SALIDAS[[#This Row],[COSTO]]+SALIDAS[[#This Row],[IGV]]+SALIDAS[[#This Row],[INAFECTO]]</f>
        <v>30</v>
      </c>
      <c r="Q10" s="84" t="s">
        <v>224</v>
      </c>
      <c r="T10" s="36" t="s">
        <v>133</v>
      </c>
      <c r="U10" s="78">
        <v>6575.159999999998</v>
      </c>
    </row>
    <row r="11" spans="1:21" ht="15" customHeight="1" x14ac:dyDescent="0.25">
      <c r="A11" s="56">
        <v>5</v>
      </c>
      <c r="B11" s="29">
        <v>43481</v>
      </c>
      <c r="C11" s="30" t="str">
        <f>TEXT(SALIDAS[[#This Row],[FECHA]],"mmmm")</f>
        <v>Enero</v>
      </c>
      <c r="D11" s="27" t="s">
        <v>10</v>
      </c>
      <c r="E11" s="55" t="s">
        <v>168</v>
      </c>
      <c r="F11" s="52">
        <v>1</v>
      </c>
      <c r="G11" s="21" t="s">
        <v>169</v>
      </c>
      <c r="H11" s="21" t="s">
        <v>127</v>
      </c>
      <c r="I11" s="21" t="str">
        <f ca="1">OFFSET(OT[[#Headers],[T. CUENTA]],MATCH($H11,OT[T. CUENTA],0),1)</f>
        <v>GASTOS PRESTADOS POR TERCEROS</v>
      </c>
      <c r="J11" s="21" t="s">
        <v>158</v>
      </c>
      <c r="K11" s="21" t="s">
        <v>65</v>
      </c>
      <c r="L11" s="28">
        <v>1</v>
      </c>
      <c r="M11" s="31">
        <v>296.61</v>
      </c>
      <c r="N11" s="31">
        <f>SALIDAS[[#This Row],[COSTO]]*0.18</f>
        <v>53.389800000000001</v>
      </c>
      <c r="O11" s="31"/>
      <c r="P11" s="138">
        <f>SALIDAS[[#This Row],[COSTO]]+SALIDAS[[#This Row],[IGV]]+SALIDAS[[#This Row],[INAFECTO]]</f>
        <v>349.99979999999999</v>
      </c>
      <c r="Q11" s="84" t="s">
        <v>182</v>
      </c>
      <c r="T11" s="36" t="s">
        <v>104</v>
      </c>
      <c r="U11" s="78">
        <v>8002.7899999999981</v>
      </c>
    </row>
    <row r="12" spans="1:21" ht="15" customHeight="1" x14ac:dyDescent="0.25">
      <c r="A12" s="56">
        <v>6</v>
      </c>
      <c r="B12" s="64">
        <v>43481</v>
      </c>
      <c r="C12" s="30" t="str">
        <f>TEXT(SALIDAS[[#This Row],[FECHA]],"mmmm")</f>
        <v>Enero</v>
      </c>
      <c r="D12" s="27" t="s">
        <v>135</v>
      </c>
      <c r="E12" s="55" t="s">
        <v>171</v>
      </c>
      <c r="F12" s="52">
        <v>1</v>
      </c>
      <c r="G12" s="21" t="s">
        <v>172</v>
      </c>
      <c r="H12" s="21" t="s">
        <v>92</v>
      </c>
      <c r="I12" s="21" t="str">
        <f ca="1">OFFSET(OT[[#Headers],[T. CUENTA]],MATCH($H12,OT[T. CUENTA],0),1)</f>
        <v>GASTOS DE PERSONAL</v>
      </c>
      <c r="J12" s="21" t="s">
        <v>158</v>
      </c>
      <c r="K12" s="21" t="s">
        <v>65</v>
      </c>
      <c r="L12" s="28">
        <v>1</v>
      </c>
      <c r="M12" s="31">
        <v>27.97</v>
      </c>
      <c r="N12" s="31">
        <f>SALIDAS[[#This Row],[COSTO]]*0.18</f>
        <v>5.0345999999999993</v>
      </c>
      <c r="O12" s="31"/>
      <c r="P12" s="138">
        <f>SALIDAS[[#This Row],[COSTO]]+SALIDAS[[#This Row],[IGV]]+SALIDAS[[#This Row],[INAFECTO]]</f>
        <v>33.004599999999996</v>
      </c>
      <c r="Q12" s="84" t="s">
        <v>183</v>
      </c>
      <c r="T12" s="36" t="s">
        <v>128</v>
      </c>
      <c r="U12" s="78">
        <v>439.75</v>
      </c>
    </row>
    <row r="13" spans="1:21" ht="15" customHeight="1" x14ac:dyDescent="0.25">
      <c r="A13" s="56">
        <v>7</v>
      </c>
      <c r="B13" s="29">
        <v>43481</v>
      </c>
      <c r="C13" s="30" t="str">
        <f>TEXT(SALIDAS[[#This Row],[FECHA]],"mmmm")</f>
        <v>Enero</v>
      </c>
      <c r="D13" s="27" t="s">
        <v>135</v>
      </c>
      <c r="E13" s="55" t="s">
        <v>288</v>
      </c>
      <c r="F13" s="52">
        <v>1</v>
      </c>
      <c r="G13" s="57" t="s">
        <v>289</v>
      </c>
      <c r="H13" s="57" t="s">
        <v>106</v>
      </c>
      <c r="I13" s="21" t="str">
        <f ca="1">OFFSET(OT[[#Headers],[T. CUENTA]],MATCH($H13,OT[T. CUENTA],0),1)</f>
        <v>GASTOS DE PERSONAL</v>
      </c>
      <c r="J13" s="58" t="s">
        <v>158</v>
      </c>
      <c r="K13" s="57" t="s">
        <v>65</v>
      </c>
      <c r="L13" s="59">
        <v>1</v>
      </c>
      <c r="M13" s="82">
        <v>70.7</v>
      </c>
      <c r="N13" s="82"/>
      <c r="O13" s="82"/>
      <c r="P13" s="138">
        <f>SALIDAS[[#This Row],[COSTO]]+SALIDAS[[#This Row],[IGV]]+SALIDAS[[#This Row],[INAFECTO]]</f>
        <v>70.7</v>
      </c>
      <c r="Q13" s="84" t="s">
        <v>290</v>
      </c>
      <c r="T13" s="36" t="s">
        <v>108</v>
      </c>
      <c r="U13" s="78">
        <v>21191.249999999996</v>
      </c>
    </row>
    <row r="14" spans="1:21" ht="15" customHeight="1" x14ac:dyDescent="0.25">
      <c r="A14" s="56">
        <v>8</v>
      </c>
      <c r="B14" s="29">
        <v>43482</v>
      </c>
      <c r="C14" s="30" t="str">
        <f>TEXT(SALIDAS[[#This Row],[FECHA]],"mmmm")</f>
        <v>Enero</v>
      </c>
      <c r="D14" s="27" t="s">
        <v>12</v>
      </c>
      <c r="E14" s="55" t="s">
        <v>173</v>
      </c>
      <c r="F14" s="52">
        <v>1</v>
      </c>
      <c r="G14" s="21" t="s">
        <v>174</v>
      </c>
      <c r="H14" s="21" t="s">
        <v>93</v>
      </c>
      <c r="I14" s="21" t="str">
        <f ca="1">OFFSET(OT[[#Headers],[T. CUENTA]],MATCH($H14,OT[T. CUENTA],0),1)</f>
        <v>GASTOS DE PERSONAL</v>
      </c>
      <c r="J14" s="21" t="s">
        <v>158</v>
      </c>
      <c r="K14" s="21" t="s">
        <v>65</v>
      </c>
      <c r="L14" s="28">
        <v>1</v>
      </c>
      <c r="M14" s="31">
        <v>45</v>
      </c>
      <c r="N14" s="37"/>
      <c r="O14" s="37"/>
      <c r="P14" s="138">
        <f>SALIDAS[[#This Row],[COSTO]]+SALIDAS[[#This Row],[IGV]]+SALIDAS[[#This Row],[INAFECTO]]</f>
        <v>45</v>
      </c>
      <c r="Q14" s="85" t="s">
        <v>184</v>
      </c>
      <c r="T14" s="36" t="s">
        <v>97</v>
      </c>
      <c r="U14" s="78">
        <v>144.06</v>
      </c>
    </row>
    <row r="15" spans="1:21" ht="15" customHeight="1" x14ac:dyDescent="0.25">
      <c r="A15" s="56">
        <v>9</v>
      </c>
      <c r="B15" s="64">
        <v>43483</v>
      </c>
      <c r="C15" s="30" t="str">
        <f>TEXT(SALIDAS[[#This Row],[FECHA]],"mmmm")</f>
        <v>Enero</v>
      </c>
      <c r="D15" s="27" t="s">
        <v>191</v>
      </c>
      <c r="E15" s="55" t="s">
        <v>192</v>
      </c>
      <c r="F15" s="52">
        <v>1</v>
      </c>
      <c r="G15" s="21" t="s">
        <v>193</v>
      </c>
      <c r="H15" s="21" t="s">
        <v>194</v>
      </c>
      <c r="I15" s="21" t="str">
        <f ca="1">OFFSET(OT[[#Headers],[T. CUENTA]],MATCH($H15,OT[T. CUENTA],0),1)</f>
        <v>GASTOS PRESTADOS POR TERCEROS</v>
      </c>
      <c r="J15" s="21" t="s">
        <v>158</v>
      </c>
      <c r="K15" s="21" t="s">
        <v>65</v>
      </c>
      <c r="L15" s="28">
        <v>1</v>
      </c>
      <c r="M15" s="37">
        <v>5.51</v>
      </c>
      <c r="N15" s="34">
        <f>SALIDAS[[#This Row],[COSTO]]*0.18</f>
        <v>0.9917999999999999</v>
      </c>
      <c r="O15" s="34"/>
      <c r="P15" s="141">
        <f>SALIDAS[[#This Row],[COSTO]]+SALIDAS[[#This Row],[IGV]]+SALIDAS[[#This Row],[INAFECTO]]</f>
        <v>6.5017999999999994</v>
      </c>
      <c r="Q15" s="85" t="s">
        <v>195</v>
      </c>
      <c r="T15" s="5" t="s">
        <v>155</v>
      </c>
      <c r="U15" s="78">
        <v>2556.6299999999997</v>
      </c>
    </row>
    <row r="16" spans="1:21" ht="15" customHeight="1" x14ac:dyDescent="0.25">
      <c r="A16" s="56">
        <v>10</v>
      </c>
      <c r="B16" s="64">
        <v>43483</v>
      </c>
      <c r="C16" s="30" t="str">
        <f>TEXT(SALIDAS[[#This Row],[FECHA]],"mmmm")</f>
        <v>Enero</v>
      </c>
      <c r="D16" s="27" t="s">
        <v>12</v>
      </c>
      <c r="E16" s="55" t="s">
        <v>203</v>
      </c>
      <c r="F16" s="52">
        <v>1</v>
      </c>
      <c r="G16" s="21" t="s">
        <v>204</v>
      </c>
      <c r="H16" s="21" t="s">
        <v>127</v>
      </c>
      <c r="I16" s="21" t="str">
        <f ca="1">OFFSET(OT[[#Headers],[T. CUENTA]],MATCH($H16,OT[T. CUENTA],0),1)</f>
        <v>GASTOS PRESTADOS POR TERCEROS</v>
      </c>
      <c r="J16" s="21" t="s">
        <v>158</v>
      </c>
      <c r="K16" s="21" t="s">
        <v>65</v>
      </c>
      <c r="L16" s="28">
        <v>1</v>
      </c>
      <c r="M16" s="83">
        <v>20</v>
      </c>
      <c r="N16" s="83"/>
      <c r="O16" s="83"/>
      <c r="P16" s="138">
        <f>SALIDAS[[#This Row],[COSTO]]+SALIDAS[[#This Row],[IGV]]+SALIDAS[[#This Row],[INAFECTO]]</f>
        <v>20</v>
      </c>
      <c r="Q16" s="84" t="s">
        <v>205</v>
      </c>
      <c r="T16" s="36" t="s">
        <v>103</v>
      </c>
      <c r="U16" s="78">
        <v>2188.6299999999997</v>
      </c>
    </row>
    <row r="17" spans="1:21" ht="15" customHeight="1" x14ac:dyDescent="0.25">
      <c r="A17" s="56">
        <v>11</v>
      </c>
      <c r="B17" s="64">
        <v>43483</v>
      </c>
      <c r="C17" s="30" t="str">
        <f>TEXT(SALIDAS[[#This Row],[FECHA]],"mmmm")</f>
        <v>Enero</v>
      </c>
      <c r="D17" s="27" t="s">
        <v>10</v>
      </c>
      <c r="E17" s="55" t="s">
        <v>209</v>
      </c>
      <c r="F17" s="52">
        <v>1</v>
      </c>
      <c r="G17" s="21" t="s">
        <v>210</v>
      </c>
      <c r="H17" s="21" t="s">
        <v>127</v>
      </c>
      <c r="I17" s="21" t="str">
        <f ca="1">OFFSET(OT[[#Headers],[T. CUENTA]],MATCH($H17,OT[T. CUENTA],0),1)</f>
        <v>GASTOS PRESTADOS POR TERCEROS</v>
      </c>
      <c r="J17" s="21" t="s">
        <v>158</v>
      </c>
      <c r="K17" s="21" t="s">
        <v>65</v>
      </c>
      <c r="L17" s="33">
        <v>1</v>
      </c>
      <c r="M17" s="83">
        <v>127.12</v>
      </c>
      <c r="N17" s="83">
        <f>SALIDAS[[#This Row],[COSTO]]*0.18</f>
        <v>22.881599999999999</v>
      </c>
      <c r="O17" s="83"/>
      <c r="P17" s="138">
        <f>SALIDAS[[#This Row],[COSTO]]+SALIDAS[[#This Row],[IGV]]+SALIDAS[[#This Row],[INAFECTO]]</f>
        <v>150.0016</v>
      </c>
      <c r="Q17" s="84" t="s">
        <v>211</v>
      </c>
      <c r="T17" s="36" t="s">
        <v>108</v>
      </c>
      <c r="U17" s="78">
        <v>368</v>
      </c>
    </row>
    <row r="18" spans="1:21" ht="15" customHeight="1" x14ac:dyDescent="0.25">
      <c r="A18" s="56">
        <v>12</v>
      </c>
      <c r="B18" s="64">
        <v>43483</v>
      </c>
      <c r="C18" s="30" t="str">
        <f>TEXT(SALIDAS[[#This Row],[FECHA]],"mmmm")</f>
        <v>Enero</v>
      </c>
      <c r="D18" s="27" t="s">
        <v>135</v>
      </c>
      <c r="E18" s="55" t="s">
        <v>212</v>
      </c>
      <c r="F18" s="52">
        <v>1</v>
      </c>
      <c r="G18" s="21" t="s">
        <v>213</v>
      </c>
      <c r="H18" s="21" t="s">
        <v>194</v>
      </c>
      <c r="I18" s="21" t="str">
        <f ca="1">OFFSET(OT[[#Headers],[T. CUENTA]],MATCH($H18,OT[T. CUENTA],0),1)</f>
        <v>GASTOS PRESTADOS POR TERCEROS</v>
      </c>
      <c r="J18" s="21" t="s">
        <v>158</v>
      </c>
      <c r="K18" s="21" t="s">
        <v>65</v>
      </c>
      <c r="L18" s="33">
        <v>1</v>
      </c>
      <c r="M18" s="34">
        <v>5.76</v>
      </c>
      <c r="N18" s="34">
        <f>SALIDAS[[#This Row],[COSTO]]*0.18</f>
        <v>1.0367999999999999</v>
      </c>
      <c r="O18" s="34"/>
      <c r="P18" s="141">
        <f>SALIDAS[[#This Row],[COSTO]]+SALIDAS[[#This Row],[IGV]]+SALIDAS[[#This Row],[INAFECTO]]</f>
        <v>6.7967999999999993</v>
      </c>
      <c r="Q18" s="84" t="s">
        <v>217</v>
      </c>
      <c r="T18" s="5" t="s">
        <v>156</v>
      </c>
      <c r="U18" s="78">
        <v>1942.24</v>
      </c>
    </row>
    <row r="19" spans="1:21" ht="15" customHeight="1" x14ac:dyDescent="0.25">
      <c r="A19" s="56">
        <v>13</v>
      </c>
      <c r="B19" s="64">
        <v>43483</v>
      </c>
      <c r="C19" s="30" t="str">
        <f>TEXT(SALIDAS[[#This Row],[FECHA]],"mmmm")</f>
        <v>Enero</v>
      </c>
      <c r="D19" s="27" t="s">
        <v>135</v>
      </c>
      <c r="E19" s="55" t="s">
        <v>214</v>
      </c>
      <c r="F19" s="52">
        <v>1</v>
      </c>
      <c r="G19" s="21" t="s">
        <v>213</v>
      </c>
      <c r="H19" s="21" t="s">
        <v>194</v>
      </c>
      <c r="I19" s="21" t="str">
        <f ca="1">OFFSET(OT[[#Headers],[T. CUENTA]],MATCH($H19,OT[T. CUENTA],0),1)</f>
        <v>GASTOS PRESTADOS POR TERCEROS</v>
      </c>
      <c r="J19" s="21" t="s">
        <v>158</v>
      </c>
      <c r="K19" s="21" t="s">
        <v>65</v>
      </c>
      <c r="L19" s="28">
        <v>1</v>
      </c>
      <c r="M19" s="32">
        <v>5.76</v>
      </c>
      <c r="N19" s="34">
        <f>SALIDAS[[#This Row],[COSTO]]*0.18</f>
        <v>1.0367999999999999</v>
      </c>
      <c r="O19" s="34"/>
      <c r="P19" s="142">
        <f>SALIDAS[[#This Row],[COSTO]]+SALIDAS[[#This Row],[IGV]]+SALIDAS[[#This Row],[INAFECTO]]</f>
        <v>6.7967999999999993</v>
      </c>
      <c r="Q19" s="85" t="s">
        <v>217</v>
      </c>
      <c r="T19" s="36" t="s">
        <v>103</v>
      </c>
      <c r="U19" s="78">
        <v>1942.24</v>
      </c>
    </row>
    <row r="20" spans="1:21" ht="15" customHeight="1" x14ac:dyDescent="0.25">
      <c r="A20" s="56">
        <v>14</v>
      </c>
      <c r="B20" s="64">
        <v>43483</v>
      </c>
      <c r="C20" s="30" t="str">
        <f>TEXT(SALIDAS[[#This Row],[FECHA]],"mmmm")</f>
        <v>Enero</v>
      </c>
      <c r="D20" s="27" t="s">
        <v>135</v>
      </c>
      <c r="E20" s="55" t="s">
        <v>185</v>
      </c>
      <c r="F20" s="52">
        <v>1</v>
      </c>
      <c r="G20" s="21" t="s">
        <v>186</v>
      </c>
      <c r="H20" s="21" t="s">
        <v>187</v>
      </c>
      <c r="I20" s="21" t="str">
        <f ca="1">OFFSET(OT[[#Headers],[T. CUENTA]],MATCH($H20,OT[T. CUENTA],0),1)</f>
        <v>GASTOS PRESTADOS POR TERCEROS</v>
      </c>
      <c r="J20" s="21" t="s">
        <v>158</v>
      </c>
      <c r="K20" s="21" t="s">
        <v>65</v>
      </c>
      <c r="L20" s="28">
        <v>1</v>
      </c>
      <c r="M20" s="81">
        <v>196.65</v>
      </c>
      <c r="N20" s="83">
        <f>SALIDAS[[#This Row],[COSTO]]*0.18</f>
        <v>35.396999999999998</v>
      </c>
      <c r="O20" s="83"/>
      <c r="P20" s="142">
        <f>SALIDAS[[#This Row],[COSTO]]+SALIDAS[[#This Row],[IGV]]+SALIDAS[[#This Row],[INAFECTO]]</f>
        <v>232.047</v>
      </c>
      <c r="Q20" s="85" t="s">
        <v>188</v>
      </c>
      <c r="T20" s="5" t="s">
        <v>228</v>
      </c>
      <c r="U20" s="78">
        <v>2968.71</v>
      </c>
    </row>
    <row r="21" spans="1:21" ht="15" customHeight="1" x14ac:dyDescent="0.25">
      <c r="A21" s="56">
        <v>15</v>
      </c>
      <c r="B21" s="64">
        <v>43483</v>
      </c>
      <c r="C21" s="30" t="str">
        <f>TEXT(SALIDAS[[#This Row],[FECHA]],"mmmm")</f>
        <v>Enero</v>
      </c>
      <c r="D21" s="27" t="s">
        <v>135</v>
      </c>
      <c r="E21" s="55" t="s">
        <v>196</v>
      </c>
      <c r="F21" s="52">
        <v>1</v>
      </c>
      <c r="G21" s="21" t="s">
        <v>197</v>
      </c>
      <c r="H21" s="21" t="s">
        <v>198</v>
      </c>
      <c r="I21" s="21" t="str">
        <f ca="1">OFFSET(OT[[#Headers],[T. CUENTA]],MATCH($H21,OT[T. CUENTA],0),1)</f>
        <v>GASTOS PRESTADOS POR TERCEROS</v>
      </c>
      <c r="J21" s="21" t="s">
        <v>158</v>
      </c>
      <c r="K21" s="21" t="s">
        <v>65</v>
      </c>
      <c r="L21" s="28">
        <v>1</v>
      </c>
      <c r="M21" s="81">
        <v>4.58</v>
      </c>
      <c r="N21" s="83">
        <f>SALIDAS[[#This Row],[COSTO]]*0.18</f>
        <v>0.82440000000000002</v>
      </c>
      <c r="O21" s="83"/>
      <c r="P21" s="137">
        <f>SALIDAS[[#This Row],[COSTO]]+SALIDAS[[#This Row],[IGV]]+SALIDAS[[#This Row],[INAFECTO]]</f>
        <v>5.4043999999999999</v>
      </c>
      <c r="Q21" s="85" t="s">
        <v>199</v>
      </c>
      <c r="S21" s="136" t="s">
        <v>444</v>
      </c>
      <c r="T21" s="36" t="s">
        <v>103</v>
      </c>
      <c r="U21" s="78">
        <v>2580.66</v>
      </c>
    </row>
    <row r="22" spans="1:21" ht="15" customHeight="1" x14ac:dyDescent="0.25">
      <c r="A22" s="56">
        <v>16</v>
      </c>
      <c r="B22" s="63">
        <v>43483</v>
      </c>
      <c r="C22" s="30" t="str">
        <f>TEXT(SALIDAS[[#This Row],[FECHA]],"mmmm")</f>
        <v>Enero</v>
      </c>
      <c r="D22" s="27" t="s">
        <v>135</v>
      </c>
      <c r="E22" s="55" t="s">
        <v>262</v>
      </c>
      <c r="F22" s="52">
        <v>1</v>
      </c>
      <c r="G22" s="21" t="s">
        <v>263</v>
      </c>
      <c r="H22" s="21" t="s">
        <v>134</v>
      </c>
      <c r="I22" s="21" t="str">
        <f ca="1">OFFSET(OT[[#Headers],[T. CUENTA]],MATCH($H22,OT[T. CUENTA],0),1)</f>
        <v>GASTOS ADMINISTRATIVOS</v>
      </c>
      <c r="J22" s="26" t="s">
        <v>158</v>
      </c>
      <c r="K22" s="21" t="s">
        <v>65</v>
      </c>
      <c r="L22" s="28">
        <v>1</v>
      </c>
      <c r="M22" s="32">
        <v>159.91</v>
      </c>
      <c r="N22" s="34">
        <f>SALIDAS[[#This Row],[COSTO]]*0.18</f>
        <v>28.783799999999999</v>
      </c>
      <c r="O22" s="34"/>
      <c r="P22" s="137">
        <f>SALIDAS[[#This Row],[COSTO]]+SALIDAS[[#This Row],[IGV]]+SALIDAS[[#This Row],[INAFECTO]]</f>
        <v>188.69380000000001</v>
      </c>
      <c r="Q22" s="22" t="s">
        <v>443</v>
      </c>
      <c r="S22" s="134" t="s">
        <v>445</v>
      </c>
      <c r="T22" s="36" t="s">
        <v>133</v>
      </c>
      <c r="U22" s="78">
        <v>388.05</v>
      </c>
    </row>
    <row r="23" spans="1:21" ht="15" customHeight="1" x14ac:dyDescent="0.25">
      <c r="A23" s="56">
        <v>17</v>
      </c>
      <c r="B23" s="63">
        <v>43483</v>
      </c>
      <c r="C23" s="30" t="str">
        <f>TEXT(SALIDAS[[#This Row],[FECHA]],"mmmm")</f>
        <v>Enero</v>
      </c>
      <c r="D23" s="27" t="s">
        <v>135</v>
      </c>
      <c r="E23" s="55" t="s">
        <v>268</v>
      </c>
      <c r="F23" s="52">
        <v>1</v>
      </c>
      <c r="G23" s="21" t="s">
        <v>269</v>
      </c>
      <c r="H23" s="57" t="s">
        <v>94</v>
      </c>
      <c r="I23" s="21" t="str">
        <f ca="1">OFFSET(OT[[#Headers],[T. CUENTA]],MATCH($H23,OT[T. CUENTA],0),1)</f>
        <v>GASTOS DE PERSONAL</v>
      </c>
      <c r="J23" s="58" t="s">
        <v>158</v>
      </c>
      <c r="K23" s="21" t="s">
        <v>65</v>
      </c>
      <c r="L23" s="59">
        <v>1</v>
      </c>
      <c r="M23" s="32">
        <v>72.459999999999994</v>
      </c>
      <c r="N23" s="60">
        <f>SALIDAS[[#This Row],[COSTO]]*0.18</f>
        <v>13.042799999999998</v>
      </c>
      <c r="O23" s="60"/>
      <c r="P23" s="137">
        <f>SALIDAS[[#This Row],[COSTO]]+SALIDAS[[#This Row],[IGV]]+SALIDAS[[#This Row],[INAFECTO]]</f>
        <v>85.502799999999993</v>
      </c>
      <c r="Q23" s="85" t="s">
        <v>227</v>
      </c>
      <c r="S23" s="135" t="s">
        <v>475</v>
      </c>
      <c r="T23" s="5" t="s">
        <v>69</v>
      </c>
      <c r="U23" s="78">
        <v>45657.289999999994</v>
      </c>
    </row>
    <row r="24" spans="1:21" ht="15" customHeight="1" x14ac:dyDescent="0.25">
      <c r="A24" s="56">
        <v>18</v>
      </c>
      <c r="B24" s="64">
        <v>43483</v>
      </c>
      <c r="C24" s="30" t="str">
        <f>TEXT(SALIDAS[[#This Row],[FECHA]],"mmmm")</f>
        <v>Enero</v>
      </c>
      <c r="D24" s="27" t="s">
        <v>12</v>
      </c>
      <c r="E24" s="55" t="s">
        <v>200</v>
      </c>
      <c r="F24" s="52">
        <v>1</v>
      </c>
      <c r="G24" s="21" t="s">
        <v>201</v>
      </c>
      <c r="H24" s="21" t="s">
        <v>127</v>
      </c>
      <c r="I24" s="21" t="str">
        <f ca="1">OFFSET(OT[[#Headers],[T. CUENTA]],MATCH($H24,OT[T. CUENTA],0),1)</f>
        <v>GASTOS PRESTADOS POR TERCEROS</v>
      </c>
      <c r="J24" s="21" t="s">
        <v>158</v>
      </c>
      <c r="K24" s="21" t="s">
        <v>65</v>
      </c>
      <c r="L24" s="28">
        <v>1</v>
      </c>
      <c r="M24" s="81">
        <v>15</v>
      </c>
      <c r="N24" s="83"/>
      <c r="O24" s="83"/>
      <c r="P24" s="137">
        <f>SALIDAS[[#This Row],[COSTO]]+SALIDAS[[#This Row],[IGV]]+SALIDAS[[#This Row],[INAFECTO]]</f>
        <v>15</v>
      </c>
      <c r="Q24" s="85" t="s">
        <v>202</v>
      </c>
      <c r="S24" s="139" t="s">
        <v>478</v>
      </c>
      <c r="T24"/>
    </row>
    <row r="25" spans="1:21" ht="15" customHeight="1" x14ac:dyDescent="0.25">
      <c r="A25" s="56">
        <v>19</v>
      </c>
      <c r="B25" s="64">
        <v>43484</v>
      </c>
      <c r="C25" s="30" t="str">
        <f>TEXT(SALIDAS[[#This Row],[FECHA]],"mmmm")</f>
        <v>Enero</v>
      </c>
      <c r="D25" s="27" t="s">
        <v>12</v>
      </c>
      <c r="E25" s="55" t="s">
        <v>215</v>
      </c>
      <c r="F25" s="52">
        <v>1</v>
      </c>
      <c r="G25" s="21" t="s">
        <v>216</v>
      </c>
      <c r="H25" s="21" t="s">
        <v>119</v>
      </c>
      <c r="I25" s="21" t="str">
        <f ca="1">OFFSET(OT[[#Headers],[T. CUENTA]],MATCH($H25,OT[T. CUENTA],0),1)</f>
        <v>GASTOS PRESTADOS POR TERCEROS</v>
      </c>
      <c r="J25" s="21" t="s">
        <v>158</v>
      </c>
      <c r="K25" s="21" t="s">
        <v>65</v>
      </c>
      <c r="L25" s="28">
        <v>1</v>
      </c>
      <c r="M25" s="32">
        <v>30</v>
      </c>
      <c r="N25" s="34"/>
      <c r="O25" s="34"/>
      <c r="P25" s="137">
        <f>SALIDAS[[#This Row],[COSTO]]+SALIDAS[[#This Row],[IGV]]+SALIDAS[[#This Row],[INAFECTO]]</f>
        <v>30</v>
      </c>
      <c r="Q25" s="85" t="s">
        <v>184</v>
      </c>
      <c r="S25" s="9"/>
      <c r="T25"/>
    </row>
    <row r="26" spans="1:21" ht="15" customHeight="1" x14ac:dyDescent="0.25">
      <c r="A26" s="56">
        <v>20</v>
      </c>
      <c r="B26" s="63">
        <v>43485</v>
      </c>
      <c r="C26" s="30" t="str">
        <f>TEXT(SALIDAS[[#This Row],[FECHA]],"mmmm")</f>
        <v>Enero</v>
      </c>
      <c r="D26" s="27" t="s">
        <v>12</v>
      </c>
      <c r="E26" s="55" t="s">
        <v>236</v>
      </c>
      <c r="F26" s="52">
        <v>1</v>
      </c>
      <c r="G26" s="21" t="s">
        <v>240</v>
      </c>
      <c r="H26" s="21" t="s">
        <v>106</v>
      </c>
      <c r="I26" s="21" t="str">
        <f ca="1">OFFSET(OT[[#Headers],[T. CUENTA]],MATCH($H26,OT[T. CUENTA],0),1)</f>
        <v>GASTOS DE PERSONAL</v>
      </c>
      <c r="J26" s="26" t="s">
        <v>158</v>
      </c>
      <c r="K26" s="21" t="s">
        <v>65</v>
      </c>
      <c r="L26" s="28">
        <v>1</v>
      </c>
      <c r="M26" s="32">
        <v>135</v>
      </c>
      <c r="N26" s="34"/>
      <c r="O26" s="34"/>
      <c r="P26" s="137">
        <f>SALIDAS[[#This Row],[COSTO]]+SALIDAS[[#This Row],[IGV]]+SALIDAS[[#This Row],[INAFECTO]]</f>
        <v>135</v>
      </c>
      <c r="Q26" s="85" t="s">
        <v>219</v>
      </c>
      <c r="T26"/>
    </row>
    <row r="27" spans="1:21" ht="15" customHeight="1" x14ac:dyDescent="0.25">
      <c r="A27" s="56">
        <v>21</v>
      </c>
      <c r="B27" s="64">
        <v>43486</v>
      </c>
      <c r="C27" s="30" t="str">
        <f>TEXT(SALIDAS[[#This Row],[FECHA]],"mmmm")</f>
        <v>Enero</v>
      </c>
      <c r="D27" s="27" t="s">
        <v>135</v>
      </c>
      <c r="E27" s="55" t="s">
        <v>277</v>
      </c>
      <c r="F27" s="52">
        <v>1</v>
      </c>
      <c r="G27" s="21" t="s">
        <v>280</v>
      </c>
      <c r="H27" s="21" t="s">
        <v>119</v>
      </c>
      <c r="I27" s="21" t="str">
        <f ca="1">OFFSET(OT[[#Headers],[T. CUENTA]],MATCH($H27,OT[T. CUENTA],0),1)</f>
        <v>GASTOS PRESTADOS POR TERCEROS</v>
      </c>
      <c r="J27" s="58" t="s">
        <v>158</v>
      </c>
      <c r="K27" s="21" t="s">
        <v>65</v>
      </c>
      <c r="L27" s="28">
        <v>1</v>
      </c>
      <c r="M27" s="32">
        <v>315.25</v>
      </c>
      <c r="N27" s="34">
        <f>SALIDAS[[#This Row],[COSTO]]*0.18</f>
        <v>56.744999999999997</v>
      </c>
      <c r="O27" s="34"/>
      <c r="P27" s="137">
        <f>SALIDAS[[#This Row],[COSTO]]+SALIDAS[[#This Row],[IGV]]+SALIDAS[[#This Row],[INAFECTO]]</f>
        <v>371.995</v>
      </c>
      <c r="Q27" s="85" t="s">
        <v>190</v>
      </c>
      <c r="T27"/>
    </row>
    <row r="28" spans="1:21" ht="15" customHeight="1" x14ac:dyDescent="0.25">
      <c r="A28" s="56">
        <v>22</v>
      </c>
      <c r="B28" s="63">
        <v>43487</v>
      </c>
      <c r="C28" s="30" t="str">
        <f>TEXT(SALIDAS[[#This Row],[FECHA]],"mmmm")</f>
        <v>Enero</v>
      </c>
      <c r="D28" s="27" t="s">
        <v>10</v>
      </c>
      <c r="E28" s="55" t="s">
        <v>260</v>
      </c>
      <c r="F28" s="52">
        <v>1</v>
      </c>
      <c r="G28" s="21" t="s">
        <v>261</v>
      </c>
      <c r="H28" s="21" t="s">
        <v>85</v>
      </c>
      <c r="I28" s="21" t="str">
        <f ca="1">OFFSET(OT[[#Headers],[T. CUENTA]],MATCH($H28,OT[T. CUENTA],0),1)</f>
        <v>COSTO DIRECTO</v>
      </c>
      <c r="J28" s="26" t="s">
        <v>228</v>
      </c>
      <c r="K28" s="21" t="s">
        <v>65</v>
      </c>
      <c r="L28" s="28">
        <v>1</v>
      </c>
      <c r="M28" s="32">
        <v>11.86</v>
      </c>
      <c r="N28" s="34">
        <f>SALIDAS[[#This Row],[COSTO]]*0.18</f>
        <v>2.1347999999999998</v>
      </c>
      <c r="O28" s="34"/>
      <c r="P28" s="137">
        <f>SALIDAS[[#This Row],[COSTO]]+SALIDAS[[#This Row],[IGV]]+SALIDAS[[#This Row],[INAFECTO]]</f>
        <v>13.9948</v>
      </c>
      <c r="Q28" s="85" t="s">
        <v>225</v>
      </c>
      <c r="T28"/>
    </row>
    <row r="29" spans="1:21" ht="15" customHeight="1" x14ac:dyDescent="0.25">
      <c r="A29" s="56">
        <v>23</v>
      </c>
      <c r="B29" s="64">
        <v>43488</v>
      </c>
      <c r="C29" s="30" t="str">
        <f>TEXT(SALIDAS[[#This Row],[FECHA]],"mmmm")</f>
        <v>Enero</v>
      </c>
      <c r="D29" s="27" t="s">
        <v>135</v>
      </c>
      <c r="E29" s="55" t="s">
        <v>278</v>
      </c>
      <c r="F29" s="52">
        <v>1</v>
      </c>
      <c r="G29" s="21" t="s">
        <v>279</v>
      </c>
      <c r="H29" s="21" t="s">
        <v>119</v>
      </c>
      <c r="I29" s="21" t="str">
        <f ca="1">OFFSET(OT[[#Headers],[T. CUENTA]],MATCH($H29,OT[T. CUENTA],0),1)</f>
        <v>GASTOS PRESTADOS POR TERCEROS</v>
      </c>
      <c r="J29" s="26" t="s">
        <v>158</v>
      </c>
      <c r="K29" s="21" t="s">
        <v>65</v>
      </c>
      <c r="L29" s="28">
        <v>1</v>
      </c>
      <c r="M29" s="32">
        <v>200.85</v>
      </c>
      <c r="N29" s="34">
        <f>SALIDAS[[#This Row],[COSTO]]*0.18</f>
        <v>36.152999999999999</v>
      </c>
      <c r="O29" s="34"/>
      <c r="P29" s="137">
        <f>SALIDAS[[#This Row],[COSTO]]+SALIDAS[[#This Row],[IGV]]+SALIDAS[[#This Row],[INAFECTO]]</f>
        <v>237.00299999999999</v>
      </c>
      <c r="Q29" s="85" t="s">
        <v>190</v>
      </c>
      <c r="T29"/>
    </row>
    <row r="30" spans="1:21" ht="15" customHeight="1" x14ac:dyDescent="0.25">
      <c r="A30" s="56">
        <v>24</v>
      </c>
      <c r="B30" s="63">
        <v>43488</v>
      </c>
      <c r="C30" s="30" t="str">
        <f>TEXT(SALIDAS[[#This Row],[FECHA]],"mmmm")</f>
        <v>Enero</v>
      </c>
      <c r="D30" s="27" t="s">
        <v>135</v>
      </c>
      <c r="E30" s="55" t="s">
        <v>239</v>
      </c>
      <c r="F30" s="52">
        <v>1</v>
      </c>
      <c r="G30" s="21" t="s">
        <v>240</v>
      </c>
      <c r="H30" s="21" t="s">
        <v>106</v>
      </c>
      <c r="I30" s="21" t="str">
        <f ca="1">OFFSET(OT[[#Headers],[T. CUENTA]],MATCH($H30,OT[T. CUENTA],0),1)</f>
        <v>GASTOS DE PERSONAL</v>
      </c>
      <c r="J30" s="26" t="s">
        <v>158</v>
      </c>
      <c r="K30" s="21" t="s">
        <v>65</v>
      </c>
      <c r="L30" s="28">
        <v>1</v>
      </c>
      <c r="M30" s="32">
        <v>90</v>
      </c>
      <c r="N30" s="34"/>
      <c r="O30" s="34"/>
      <c r="P30" s="137">
        <f>SALIDAS[[#This Row],[COSTO]]+SALIDAS[[#This Row],[IGV]]+SALIDAS[[#This Row],[INAFECTO]]</f>
        <v>90</v>
      </c>
      <c r="Q30" s="85" t="s">
        <v>221</v>
      </c>
      <c r="T30"/>
    </row>
    <row r="31" spans="1:21" x14ac:dyDescent="0.25">
      <c r="A31" s="56">
        <v>25</v>
      </c>
      <c r="B31" s="63">
        <v>43489</v>
      </c>
      <c r="C31" s="30" t="str">
        <f>TEXT(SALIDAS[[#This Row],[FECHA]],"mmmm")</f>
        <v>Enero</v>
      </c>
      <c r="D31" s="27" t="s">
        <v>12</v>
      </c>
      <c r="E31" s="55" t="s">
        <v>241</v>
      </c>
      <c r="F31" s="52">
        <v>1</v>
      </c>
      <c r="G31" s="21" t="s">
        <v>242</v>
      </c>
      <c r="H31" s="21" t="s">
        <v>106</v>
      </c>
      <c r="I31" s="21" t="str">
        <f ca="1">OFFSET(OT[[#Headers],[T. CUENTA]],MATCH($H31,OT[T. CUENTA],0),1)</f>
        <v>GASTOS DE PERSONAL</v>
      </c>
      <c r="J31" s="26" t="s">
        <v>158</v>
      </c>
      <c r="K31" s="21" t="s">
        <v>65</v>
      </c>
      <c r="L31" s="28">
        <v>1</v>
      </c>
      <c r="M31" s="32">
        <v>20</v>
      </c>
      <c r="N31" s="34"/>
      <c r="O31" s="34"/>
      <c r="P31" s="137">
        <f>SALIDAS[[#This Row],[COSTO]]+SALIDAS[[#This Row],[IGV]]+SALIDAS[[#This Row],[INAFECTO]]</f>
        <v>20</v>
      </c>
      <c r="Q31" s="85" t="s">
        <v>222</v>
      </c>
      <c r="T31"/>
      <c r="U31" s="78"/>
    </row>
    <row r="32" spans="1:21" ht="15" customHeight="1" x14ac:dyDescent="0.25">
      <c r="A32" s="56">
        <v>26</v>
      </c>
      <c r="B32" s="63">
        <v>43489</v>
      </c>
      <c r="C32" s="30" t="str">
        <f>TEXT(SALIDAS[[#This Row],[FECHA]],"mmmm")</f>
        <v>Enero</v>
      </c>
      <c r="D32" s="27" t="s">
        <v>12</v>
      </c>
      <c r="E32" s="55" t="s">
        <v>243</v>
      </c>
      <c r="F32" s="52">
        <v>1</v>
      </c>
      <c r="G32" s="21" t="s">
        <v>244</v>
      </c>
      <c r="H32" s="21" t="s">
        <v>198</v>
      </c>
      <c r="I32" s="21" t="str">
        <f ca="1">OFFSET(OT[[#Headers],[T. CUENTA]],MATCH($H32,OT[T. CUENTA],0),1)</f>
        <v>GASTOS PRESTADOS POR TERCEROS</v>
      </c>
      <c r="J32" s="26" t="s">
        <v>158</v>
      </c>
      <c r="K32" s="21" t="s">
        <v>65</v>
      </c>
      <c r="L32" s="28">
        <v>1</v>
      </c>
      <c r="M32" s="32">
        <v>11</v>
      </c>
      <c r="N32" s="34"/>
      <c r="O32" s="34"/>
      <c r="P32" s="137">
        <f>SALIDAS[[#This Row],[COSTO]]+SALIDAS[[#This Row],[IGV]]+SALIDAS[[#This Row],[INAFECTO]]</f>
        <v>11</v>
      </c>
      <c r="Q32" s="85" t="s">
        <v>340</v>
      </c>
      <c r="T32"/>
      <c r="U32" s="78"/>
    </row>
    <row r="33" spans="1:21" ht="15" customHeight="1" x14ac:dyDescent="0.25">
      <c r="A33" s="56">
        <v>27</v>
      </c>
      <c r="B33" s="63">
        <v>43489</v>
      </c>
      <c r="C33" s="30" t="str">
        <f>TEXT(SALIDAS[[#This Row],[FECHA]],"mmmm")</f>
        <v>Enero</v>
      </c>
      <c r="D33" s="27" t="s">
        <v>12</v>
      </c>
      <c r="E33" s="55" t="s">
        <v>264</v>
      </c>
      <c r="F33" s="52">
        <v>1</v>
      </c>
      <c r="G33" s="57" t="s">
        <v>265</v>
      </c>
      <c r="H33" s="57" t="s">
        <v>132</v>
      </c>
      <c r="I33" s="21" t="str">
        <f ca="1">OFFSET(OT[[#Headers],[T. CUENTA]],MATCH($H33,OT[T. CUENTA],0),1)</f>
        <v>GASTOS ADMINISTRATIVOS</v>
      </c>
      <c r="J33" s="58" t="s">
        <v>158</v>
      </c>
      <c r="K33" s="21" t="s">
        <v>65</v>
      </c>
      <c r="L33" s="59">
        <v>1</v>
      </c>
      <c r="M33" s="32">
        <v>30</v>
      </c>
      <c r="N33" s="60"/>
      <c r="O33" s="60"/>
      <c r="P33" s="137">
        <f>SALIDAS[[#This Row],[COSTO]]+SALIDAS[[#This Row],[IGV]]+SALIDAS[[#This Row],[INAFECTO]]</f>
        <v>30</v>
      </c>
      <c r="Q33" s="85" t="s">
        <v>332</v>
      </c>
      <c r="T33"/>
      <c r="U33" s="78"/>
    </row>
    <row r="34" spans="1:21" ht="15" customHeight="1" x14ac:dyDescent="0.25">
      <c r="A34" s="56">
        <v>28</v>
      </c>
      <c r="B34" s="64">
        <v>43489</v>
      </c>
      <c r="C34" s="30" t="str">
        <f>TEXT(SALIDAS[[#This Row],[FECHA]],"mmmm")</f>
        <v>Enero</v>
      </c>
      <c r="D34" s="27" t="s">
        <v>12</v>
      </c>
      <c r="E34" s="55" t="s">
        <v>317</v>
      </c>
      <c r="F34" s="52">
        <v>1</v>
      </c>
      <c r="G34" s="57" t="s">
        <v>230</v>
      </c>
      <c r="H34" s="57" t="s">
        <v>132</v>
      </c>
      <c r="I34" s="21" t="str">
        <f ca="1">OFFSET(OT[[#Headers],[T. CUENTA]],MATCH($H34,OT[T. CUENTA],0),1)</f>
        <v>GASTOS ADMINISTRATIVOS</v>
      </c>
      <c r="J34" s="58" t="s">
        <v>158</v>
      </c>
      <c r="K34" s="57" t="s">
        <v>65</v>
      </c>
      <c r="L34" s="59">
        <v>1</v>
      </c>
      <c r="M34" s="68">
        <v>7</v>
      </c>
      <c r="N34" s="60"/>
      <c r="O34" s="60"/>
      <c r="P34" s="137">
        <f>SALIDAS[[#This Row],[COSTO]]+SALIDAS[[#This Row],[IGV]]+SALIDAS[[#This Row],[INAFECTO]]</f>
        <v>7</v>
      </c>
      <c r="Q34" s="85" t="s">
        <v>315</v>
      </c>
      <c r="T34"/>
      <c r="U34" s="78"/>
    </row>
    <row r="35" spans="1:21" ht="15" customHeight="1" x14ac:dyDescent="0.25">
      <c r="A35" s="56">
        <v>29</v>
      </c>
      <c r="B35" s="64">
        <v>43489</v>
      </c>
      <c r="C35" s="30" t="str">
        <f>TEXT(SALIDAS[[#This Row],[FECHA]],"mmmm")</f>
        <v>Enero</v>
      </c>
      <c r="D35" s="27" t="s">
        <v>12</v>
      </c>
      <c r="E35" s="55" t="s">
        <v>316</v>
      </c>
      <c r="F35" s="52">
        <v>1</v>
      </c>
      <c r="G35" s="21" t="s">
        <v>321</v>
      </c>
      <c r="H35" s="57" t="s">
        <v>198</v>
      </c>
      <c r="I35" s="21" t="str">
        <f ca="1">OFFSET(OT[[#Headers],[T. CUENTA]],MATCH($H35,OT[T. CUENTA],0),1)</f>
        <v>GASTOS PRESTADOS POR TERCEROS</v>
      </c>
      <c r="J35" s="58" t="s">
        <v>158</v>
      </c>
      <c r="K35" s="57" t="s">
        <v>65</v>
      </c>
      <c r="L35" s="59">
        <v>1</v>
      </c>
      <c r="M35" s="68">
        <v>10</v>
      </c>
      <c r="N35" s="60"/>
      <c r="O35" s="60"/>
      <c r="P35" s="137">
        <f>SALIDAS[[#This Row],[COSTO]]+SALIDAS[[#This Row],[IGV]]+SALIDAS[[#This Row],[INAFECTO]]</f>
        <v>10</v>
      </c>
      <c r="Q35" s="85" t="s">
        <v>315</v>
      </c>
      <c r="T35"/>
      <c r="U35" s="78"/>
    </row>
    <row r="36" spans="1:21" ht="15" customHeight="1" x14ac:dyDescent="0.25">
      <c r="A36" s="56">
        <v>30</v>
      </c>
      <c r="B36" s="64">
        <v>43490</v>
      </c>
      <c r="C36" s="30" t="str">
        <f>TEXT(SALIDAS[[#This Row],[FECHA]],"mmmm")</f>
        <v>Enero</v>
      </c>
      <c r="D36" s="27" t="s">
        <v>138</v>
      </c>
      <c r="E36" s="55" t="s">
        <v>281</v>
      </c>
      <c r="F36" s="52">
        <v>1</v>
      </c>
      <c r="G36" s="21" t="s">
        <v>282</v>
      </c>
      <c r="H36" s="57" t="s">
        <v>127</v>
      </c>
      <c r="I36" s="21" t="str">
        <f ca="1">OFFSET(OT[[#Headers],[T. CUENTA]],MATCH($H36,OT[T. CUENTA],0),1)</f>
        <v>GASTOS PRESTADOS POR TERCEROS</v>
      </c>
      <c r="J36" s="58" t="s">
        <v>158</v>
      </c>
      <c r="K36" s="21" t="s">
        <v>65</v>
      </c>
      <c r="L36" s="59">
        <v>1</v>
      </c>
      <c r="M36" s="68">
        <v>20</v>
      </c>
      <c r="N36" s="60"/>
      <c r="O36" s="60"/>
      <c r="P36" s="137">
        <f>SALIDAS[[#This Row],[COSTO]]+SALIDAS[[#This Row],[IGV]]+SALIDAS[[#This Row],[INAFECTO]]</f>
        <v>20</v>
      </c>
      <c r="Q36" s="85" t="s">
        <v>283</v>
      </c>
      <c r="T36"/>
      <c r="U36" s="78"/>
    </row>
    <row r="37" spans="1:21" ht="15" customHeight="1" x14ac:dyDescent="0.25">
      <c r="A37" s="56">
        <v>31</v>
      </c>
      <c r="B37" s="63">
        <v>43490</v>
      </c>
      <c r="C37" s="30" t="str">
        <f>TEXT(SALIDAS[[#This Row],[FECHA]],"mmmm")</f>
        <v>Enero</v>
      </c>
      <c r="D37" s="27" t="s">
        <v>10</v>
      </c>
      <c r="E37" s="55" t="s">
        <v>257</v>
      </c>
      <c r="F37" s="52">
        <v>1</v>
      </c>
      <c r="G37" s="62" t="s">
        <v>275</v>
      </c>
      <c r="H37" s="21" t="s">
        <v>85</v>
      </c>
      <c r="I37" s="21" t="str">
        <f ca="1">OFFSET(OT[[#Headers],[T. CUENTA]],MATCH($H37,OT[T. CUENTA],0),1)</f>
        <v>COSTO DIRECTO</v>
      </c>
      <c r="J37" s="26" t="s">
        <v>155</v>
      </c>
      <c r="K37" s="21" t="s">
        <v>65</v>
      </c>
      <c r="L37" s="28">
        <v>1</v>
      </c>
      <c r="M37" s="32">
        <v>338.98</v>
      </c>
      <c r="N37" s="34">
        <f>SALIDAS[[#This Row],[COSTO]]*0.18</f>
        <v>61.016400000000004</v>
      </c>
      <c r="O37" s="34"/>
      <c r="P37" s="137">
        <f>SALIDAS[[#This Row],[COSTO]]+SALIDAS[[#This Row],[IGV]]+SALIDAS[[#This Row],[INAFECTO]]</f>
        <v>399.99639999999999</v>
      </c>
      <c r="Q37" s="85" t="s">
        <v>341</v>
      </c>
      <c r="T37"/>
      <c r="U37" s="78"/>
    </row>
    <row r="38" spans="1:21" ht="15" customHeight="1" x14ac:dyDescent="0.25">
      <c r="A38" s="56">
        <v>32</v>
      </c>
      <c r="B38" s="63">
        <v>43491</v>
      </c>
      <c r="C38" s="30" t="str">
        <f>TEXT(SALIDAS[[#This Row],[FECHA]],"mmmm")</f>
        <v>Enero</v>
      </c>
      <c r="D38" s="27" t="s">
        <v>135</v>
      </c>
      <c r="E38" s="55" t="s">
        <v>258</v>
      </c>
      <c r="F38" s="52">
        <v>1</v>
      </c>
      <c r="G38" s="21" t="s">
        <v>259</v>
      </c>
      <c r="H38" s="21" t="s">
        <v>132</v>
      </c>
      <c r="I38" s="21" t="str">
        <f ca="1">OFFSET(OT[[#Headers],[T. CUENTA]],MATCH($H38,OT[T. CUENTA],0),1)</f>
        <v>GASTOS ADMINISTRATIVOS</v>
      </c>
      <c r="J38" s="26" t="s">
        <v>158</v>
      </c>
      <c r="K38" s="21" t="s">
        <v>65</v>
      </c>
      <c r="L38" s="28">
        <v>1</v>
      </c>
      <c r="M38" s="32">
        <v>5.34</v>
      </c>
      <c r="N38" s="34">
        <f>SALIDAS[[#This Row],[COSTO]]*0.18</f>
        <v>0.96119999999999994</v>
      </c>
      <c r="O38" s="34"/>
      <c r="P38" s="137">
        <f>SALIDAS[[#This Row],[COSTO]]+SALIDAS[[#This Row],[IGV]]+SALIDAS[[#This Row],[INAFECTO]]</f>
        <v>6.3011999999999997</v>
      </c>
      <c r="Q38" s="85" t="s">
        <v>226</v>
      </c>
      <c r="T38"/>
      <c r="U38" s="78"/>
    </row>
    <row r="39" spans="1:21" ht="15" customHeight="1" x14ac:dyDescent="0.25">
      <c r="A39" s="56">
        <v>33</v>
      </c>
      <c r="B39" s="63">
        <v>43491</v>
      </c>
      <c r="C39" s="30" t="str">
        <f>TEXT(SALIDAS[[#This Row],[FECHA]],"mmmm")</f>
        <v>Enero</v>
      </c>
      <c r="D39" s="27" t="s">
        <v>12</v>
      </c>
      <c r="E39" s="55" t="s">
        <v>250</v>
      </c>
      <c r="F39" s="52">
        <v>1</v>
      </c>
      <c r="G39" s="21" t="s">
        <v>251</v>
      </c>
      <c r="H39" s="21" t="s">
        <v>85</v>
      </c>
      <c r="I39" s="21" t="str">
        <f ca="1">OFFSET(OT[[#Headers],[T. CUENTA]],MATCH($H39,OT[T. CUENTA],0),1)</f>
        <v>COSTO DIRECTO</v>
      </c>
      <c r="J39" s="26" t="s">
        <v>155</v>
      </c>
      <c r="K39" s="21" t="s">
        <v>65</v>
      </c>
      <c r="L39" s="28">
        <v>1</v>
      </c>
      <c r="M39" s="32">
        <v>25</v>
      </c>
      <c r="N39" s="34"/>
      <c r="O39" s="34"/>
      <c r="P39" s="137">
        <f>SALIDAS[[#This Row],[COSTO]]+SALIDAS[[#This Row],[IGV]]+SALIDAS[[#This Row],[INAFECTO]]</f>
        <v>25</v>
      </c>
      <c r="Q39" s="85" t="s">
        <v>334</v>
      </c>
      <c r="T39"/>
      <c r="U39" s="78"/>
    </row>
    <row r="40" spans="1:21" ht="15" customHeight="1" x14ac:dyDescent="0.25">
      <c r="A40" s="56">
        <v>34</v>
      </c>
      <c r="B40" s="63">
        <v>43491</v>
      </c>
      <c r="C40" s="30" t="str">
        <f>TEXT(SALIDAS[[#This Row],[FECHA]],"mmmm")</f>
        <v>Enero</v>
      </c>
      <c r="D40" s="27" t="s">
        <v>135</v>
      </c>
      <c r="E40" s="55" t="s">
        <v>254</v>
      </c>
      <c r="F40" s="52">
        <v>1</v>
      </c>
      <c r="G40" s="21" t="s">
        <v>274</v>
      </c>
      <c r="H40" s="21" t="s">
        <v>132</v>
      </c>
      <c r="I40" s="21" t="str">
        <f ca="1">OFFSET(OT[[#Headers],[T. CUENTA]],MATCH($H40,OT[T. CUENTA],0),1)</f>
        <v>GASTOS ADMINISTRATIVOS</v>
      </c>
      <c r="J40" s="26" t="s">
        <v>158</v>
      </c>
      <c r="K40" s="21" t="s">
        <v>65</v>
      </c>
      <c r="L40" s="33">
        <v>1</v>
      </c>
      <c r="M40" s="32">
        <v>10.59</v>
      </c>
      <c r="N40" s="66">
        <f>SALIDAS[[#This Row],[COSTO]]*0.18</f>
        <v>1.9061999999999999</v>
      </c>
      <c r="O40" s="66"/>
      <c r="P40" s="137">
        <f>SALIDAS[[#This Row],[COSTO]]+SALIDAS[[#This Row],[IGV]]+SALIDAS[[#This Row],[INAFECTO]]</f>
        <v>12.4962</v>
      </c>
      <c r="Q40" s="85" t="s">
        <v>218</v>
      </c>
      <c r="T40"/>
      <c r="U40" s="78"/>
    </row>
    <row r="41" spans="1:21" ht="15" customHeight="1" x14ac:dyDescent="0.25">
      <c r="A41" s="56">
        <v>35</v>
      </c>
      <c r="B41" s="79">
        <v>43492</v>
      </c>
      <c r="C41" s="72" t="str">
        <f>TEXT(SALIDAS[[#This Row],[FECHA]],"mmmm")</f>
        <v>Enero</v>
      </c>
      <c r="D41" s="73" t="s">
        <v>12</v>
      </c>
      <c r="E41" s="74" t="s">
        <v>266</v>
      </c>
      <c r="F41" s="52">
        <v>1</v>
      </c>
      <c r="G41" s="75" t="s">
        <v>267</v>
      </c>
      <c r="H41" s="76" t="s">
        <v>132</v>
      </c>
      <c r="I41" s="21" t="str">
        <f ca="1">OFFSET(OT[[#Headers],[T. CUENTA]],MATCH($H41,OT[T. CUENTA],0),1)</f>
        <v>GASTOS ADMINISTRATIVOS</v>
      </c>
      <c r="J41" s="77" t="s">
        <v>158</v>
      </c>
      <c r="K41" s="75" t="s">
        <v>65</v>
      </c>
      <c r="L41" s="67">
        <v>1</v>
      </c>
      <c r="M41" s="32">
        <v>15</v>
      </c>
      <c r="N41" s="69"/>
      <c r="O41" s="69"/>
      <c r="P41" s="138">
        <f>SALIDAS[[#This Row],[COSTO]]+SALIDAS[[#This Row],[IGV]]+SALIDAS[[#This Row],[INAFECTO]]</f>
        <v>15</v>
      </c>
      <c r="Q41" s="84" t="s">
        <v>342</v>
      </c>
      <c r="T41"/>
      <c r="U41" s="78"/>
    </row>
    <row r="42" spans="1:21" ht="15" customHeight="1" x14ac:dyDescent="0.25">
      <c r="A42" s="56">
        <v>36</v>
      </c>
      <c r="B42" s="79">
        <v>43492</v>
      </c>
      <c r="C42" s="72" t="str">
        <f>TEXT(SALIDAS[[#This Row],[FECHA]],"mmmm")</f>
        <v>Enero</v>
      </c>
      <c r="D42" s="73" t="s">
        <v>12</v>
      </c>
      <c r="E42" s="74" t="s">
        <v>246</v>
      </c>
      <c r="F42" s="52">
        <v>1</v>
      </c>
      <c r="G42" s="75" t="s">
        <v>247</v>
      </c>
      <c r="H42" s="75" t="s">
        <v>106</v>
      </c>
      <c r="I42" s="21" t="str">
        <f ca="1">OFFSET(OT[[#Headers],[T. CUENTA]],MATCH($H42,OT[T. CUENTA],0),1)</f>
        <v>GASTOS DE PERSONAL</v>
      </c>
      <c r="J42" s="80" t="s">
        <v>158</v>
      </c>
      <c r="K42" s="75" t="s">
        <v>65</v>
      </c>
      <c r="L42" s="33">
        <v>1</v>
      </c>
      <c r="M42" s="32">
        <v>25</v>
      </c>
      <c r="N42" s="66"/>
      <c r="O42" s="66"/>
      <c r="P42" s="138">
        <f>SALIDAS[[#This Row],[COSTO]]+SALIDAS[[#This Row],[IGV]]+SALIDAS[[#This Row],[INAFECTO]]</f>
        <v>25</v>
      </c>
      <c r="Q42" s="84" t="s">
        <v>223</v>
      </c>
      <c r="T42"/>
      <c r="U42" s="78"/>
    </row>
    <row r="43" spans="1:21" ht="15" customHeight="1" x14ac:dyDescent="0.25">
      <c r="A43" s="56">
        <v>37</v>
      </c>
      <c r="B43" s="63">
        <v>43493</v>
      </c>
      <c r="C43" s="30" t="str">
        <f>TEXT(SALIDAS[[#This Row],[FECHA]],"mmmm")</f>
        <v>Enero</v>
      </c>
      <c r="D43" s="27" t="s">
        <v>10</v>
      </c>
      <c r="E43" s="55" t="s">
        <v>255</v>
      </c>
      <c r="F43" s="52">
        <v>1</v>
      </c>
      <c r="G43" s="21" t="s">
        <v>256</v>
      </c>
      <c r="H43" s="21" t="s">
        <v>85</v>
      </c>
      <c r="I43" s="21" t="str">
        <f ca="1">OFFSET(OT[[#Headers],[T. CUENTA]],MATCH($H43,OT[T. CUENTA],0),1)</f>
        <v>COSTO DIRECTO</v>
      </c>
      <c r="J43" s="26" t="s">
        <v>155</v>
      </c>
      <c r="K43" s="21" t="s">
        <v>65</v>
      </c>
      <c r="L43" s="33">
        <v>1</v>
      </c>
      <c r="M43" s="32">
        <v>26.69</v>
      </c>
      <c r="N43" s="66">
        <f>SALIDAS[[#This Row],[COSTO]]*0.18</f>
        <v>4.8041999999999998</v>
      </c>
      <c r="O43" s="66"/>
      <c r="P43" s="138">
        <f>SALIDAS[[#This Row],[COSTO]]+SALIDAS[[#This Row],[IGV]]+SALIDAS[[#This Row],[INAFECTO]]</f>
        <v>31.494199999999999</v>
      </c>
      <c r="Q43" s="84" t="s">
        <v>225</v>
      </c>
      <c r="T43"/>
      <c r="U43" s="78"/>
    </row>
    <row r="44" spans="1:21" ht="15" customHeight="1" x14ac:dyDescent="0.25">
      <c r="A44" s="56">
        <v>38</v>
      </c>
      <c r="B44" s="64">
        <v>43493</v>
      </c>
      <c r="C44" s="30" t="str">
        <f>TEXT(SALIDAS[[#This Row],[FECHA]],"mmmm")</f>
        <v>Enero</v>
      </c>
      <c r="D44" s="27" t="s">
        <v>10</v>
      </c>
      <c r="E44" s="55" t="s">
        <v>345</v>
      </c>
      <c r="F44" s="65">
        <v>1</v>
      </c>
      <c r="G44" s="21" t="s">
        <v>343</v>
      </c>
      <c r="H44" s="21" t="s">
        <v>106</v>
      </c>
      <c r="I44" s="21" t="str">
        <f ca="1">OFFSET(OT[[#Headers],[T. CUENTA]],MATCH($H44,OT[T. CUENTA],0),1)</f>
        <v>GASTOS DE PERSONAL</v>
      </c>
      <c r="J44" s="58" t="s">
        <v>158</v>
      </c>
      <c r="K44" s="21" t="s">
        <v>65</v>
      </c>
      <c r="L44" s="33">
        <v>1</v>
      </c>
      <c r="M44" s="32">
        <v>80</v>
      </c>
      <c r="N44" s="66"/>
      <c r="O44" s="66"/>
      <c r="P44" s="138">
        <f>SALIDAS[[#This Row],[COSTO]]+SALIDAS[[#This Row],[IGV]]+SALIDAS[[#This Row],[INAFECTO]]</f>
        <v>80</v>
      </c>
      <c r="Q44" s="84" t="s">
        <v>344</v>
      </c>
      <c r="T44"/>
      <c r="U44" s="78"/>
    </row>
    <row r="45" spans="1:21" ht="15" customHeight="1" x14ac:dyDescent="0.25">
      <c r="A45" s="56">
        <v>39</v>
      </c>
      <c r="B45" s="63">
        <v>43493</v>
      </c>
      <c r="C45" s="30" t="str">
        <f>TEXT(SALIDAS[[#This Row],[FECHA]],"mmmm")</f>
        <v>Enero</v>
      </c>
      <c r="D45" s="27" t="s">
        <v>12</v>
      </c>
      <c r="E45" s="55" t="s">
        <v>252</v>
      </c>
      <c r="F45" s="52">
        <v>1</v>
      </c>
      <c r="G45" s="21" t="s">
        <v>253</v>
      </c>
      <c r="H45" s="21" t="s">
        <v>198</v>
      </c>
      <c r="I45" s="21" t="str">
        <f ca="1">OFFSET(OT[[#Headers],[T. CUENTA]],MATCH($H45,OT[T. CUENTA],0),1)</f>
        <v>GASTOS PRESTADOS POR TERCEROS</v>
      </c>
      <c r="J45" s="26" t="s">
        <v>158</v>
      </c>
      <c r="K45" s="21" t="s">
        <v>65</v>
      </c>
      <c r="L45" s="33">
        <v>1</v>
      </c>
      <c r="M45" s="32">
        <v>63</v>
      </c>
      <c r="N45" s="66"/>
      <c r="O45" s="66"/>
      <c r="P45" s="138">
        <f>SALIDAS[[#This Row],[COSTO]]+SALIDAS[[#This Row],[IGV]]+SALIDAS[[#This Row],[INAFECTO]]</f>
        <v>63</v>
      </c>
      <c r="Q45" s="84" t="s">
        <v>337</v>
      </c>
      <c r="T45"/>
      <c r="U45" s="78"/>
    </row>
    <row r="46" spans="1:21" ht="15" customHeight="1" x14ac:dyDescent="0.25">
      <c r="A46" s="56">
        <v>40</v>
      </c>
      <c r="B46" s="71">
        <v>43494</v>
      </c>
      <c r="C46" s="72" t="str">
        <f>TEXT(SALIDAS[[#This Row],[FECHA]],"mmmm")</f>
        <v>Enero</v>
      </c>
      <c r="D46" s="73" t="s">
        <v>135</v>
      </c>
      <c r="E46" s="74" t="s">
        <v>291</v>
      </c>
      <c r="F46" s="52">
        <v>1</v>
      </c>
      <c r="G46" s="75" t="s">
        <v>213</v>
      </c>
      <c r="H46" s="76" t="s">
        <v>194</v>
      </c>
      <c r="I46" s="21" t="str">
        <f ca="1">OFFSET(OT[[#Headers],[T. CUENTA]],MATCH($H46,OT[T. CUENTA],0),1)</f>
        <v>GASTOS PRESTADOS POR TERCEROS</v>
      </c>
      <c r="J46" s="77" t="s">
        <v>158</v>
      </c>
      <c r="K46" s="76" t="s">
        <v>65</v>
      </c>
      <c r="L46" s="67">
        <v>1</v>
      </c>
      <c r="M46" s="68">
        <v>5.76</v>
      </c>
      <c r="N46" s="69">
        <f>SALIDAS[[#This Row],[COSTO]]*0.18</f>
        <v>1.0367999999999999</v>
      </c>
      <c r="O46" s="69"/>
      <c r="P46" s="141">
        <f>SALIDAS[[#This Row],[COSTO]]+SALIDAS[[#This Row],[IGV]]+SALIDAS[[#This Row],[INAFECTO]]</f>
        <v>6.7967999999999993</v>
      </c>
      <c r="Q46" s="84" t="s">
        <v>217</v>
      </c>
      <c r="T46"/>
      <c r="U46" s="78"/>
    </row>
    <row r="47" spans="1:21" ht="15" customHeight="1" x14ac:dyDescent="0.25">
      <c r="A47" s="56">
        <v>41</v>
      </c>
      <c r="B47" s="64">
        <v>43494</v>
      </c>
      <c r="C47" s="30" t="str">
        <f>TEXT(SALIDAS[[#This Row],[FECHA]],"mmmm")</f>
        <v>Enero</v>
      </c>
      <c r="D47" s="27" t="s">
        <v>135</v>
      </c>
      <c r="E47" s="55" t="s">
        <v>292</v>
      </c>
      <c r="F47" s="52">
        <v>1</v>
      </c>
      <c r="G47" s="21" t="s">
        <v>213</v>
      </c>
      <c r="H47" s="57" t="s">
        <v>194</v>
      </c>
      <c r="I47" s="21" t="str">
        <f ca="1">OFFSET(OT[[#Headers],[T. CUENTA]],MATCH($H47,OT[T. CUENTA],0),1)</f>
        <v>GASTOS PRESTADOS POR TERCEROS</v>
      </c>
      <c r="J47" s="58" t="s">
        <v>158</v>
      </c>
      <c r="K47" s="57" t="s">
        <v>65</v>
      </c>
      <c r="L47" s="67">
        <v>1</v>
      </c>
      <c r="M47" s="68">
        <v>5.76</v>
      </c>
      <c r="N47" s="69">
        <f>SALIDAS[[#This Row],[COSTO]]*0.18</f>
        <v>1.0367999999999999</v>
      </c>
      <c r="O47" s="69"/>
      <c r="P47" s="142">
        <f>SALIDAS[[#This Row],[COSTO]]+SALIDAS[[#This Row],[IGV]]+SALIDAS[[#This Row],[INAFECTO]]</f>
        <v>6.7967999999999993</v>
      </c>
      <c r="Q47" s="85" t="s">
        <v>217</v>
      </c>
      <c r="T47"/>
      <c r="U47" s="78"/>
    </row>
    <row r="48" spans="1:21" ht="15" customHeight="1" x14ac:dyDescent="0.25">
      <c r="A48" s="56">
        <v>42</v>
      </c>
      <c r="B48" s="64">
        <v>43494</v>
      </c>
      <c r="C48" s="30" t="str">
        <f>TEXT(SALIDAS[[#This Row],[FECHA]],"mmmm")</f>
        <v>Enero</v>
      </c>
      <c r="D48" s="27" t="s">
        <v>10</v>
      </c>
      <c r="E48" s="55" t="s">
        <v>346</v>
      </c>
      <c r="F48" s="65">
        <v>1</v>
      </c>
      <c r="G48" s="21" t="s">
        <v>347</v>
      </c>
      <c r="H48" s="21" t="s">
        <v>132</v>
      </c>
      <c r="I48" s="21" t="str">
        <f ca="1">OFFSET(OT[[#Headers],[T. CUENTA]],MATCH($H48,OT[T. CUENTA],0),1)</f>
        <v>GASTOS ADMINISTRATIVOS</v>
      </c>
      <c r="J48" s="58" t="s">
        <v>158</v>
      </c>
      <c r="K48" s="21" t="s">
        <v>65</v>
      </c>
      <c r="L48" s="33">
        <v>1</v>
      </c>
      <c r="M48" s="32">
        <v>73.02</v>
      </c>
      <c r="N48" s="66">
        <f>SALIDAS[[#This Row],[COSTO]]*0.18</f>
        <v>13.143599999999999</v>
      </c>
      <c r="O48" s="66"/>
      <c r="P48" s="138">
        <f>SALIDAS[[#This Row],[COSTO]]+SALIDAS[[#This Row],[IGV]]+SALIDAS[[#This Row],[INAFECTO]]</f>
        <v>86.163600000000002</v>
      </c>
      <c r="Q48" s="84" t="s">
        <v>348</v>
      </c>
      <c r="T48"/>
      <c r="U48" s="78"/>
    </row>
    <row r="49" spans="1:21" ht="15" customHeight="1" x14ac:dyDescent="0.25">
      <c r="A49" s="56">
        <v>43</v>
      </c>
      <c r="B49" s="63">
        <v>43494</v>
      </c>
      <c r="C49" s="30" t="str">
        <f>TEXT(SALIDAS[[#This Row],[FECHA]],"mmmm")</f>
        <v>Enero</v>
      </c>
      <c r="D49" s="27" t="s">
        <v>135</v>
      </c>
      <c r="E49" s="55" t="s">
        <v>231</v>
      </c>
      <c r="F49" s="52">
        <v>1</v>
      </c>
      <c r="G49" s="21" t="s">
        <v>230</v>
      </c>
      <c r="H49" s="21" t="s">
        <v>132</v>
      </c>
      <c r="I49" s="21" t="str">
        <f ca="1">OFFSET(OT[[#Headers],[T. CUENTA]],MATCH($H49,OT[T. CUENTA],0),1)</f>
        <v>GASTOS ADMINISTRATIVOS</v>
      </c>
      <c r="J49" s="26" t="s">
        <v>158</v>
      </c>
      <c r="K49" s="21" t="s">
        <v>65</v>
      </c>
      <c r="L49" s="33">
        <v>1</v>
      </c>
      <c r="M49" s="32">
        <v>133.72</v>
      </c>
      <c r="N49" s="66">
        <f>SALIDAS[[#This Row],[COSTO]]*0.18</f>
        <v>24.069599999999998</v>
      </c>
      <c r="O49" s="66"/>
      <c r="P49" s="137">
        <f>SALIDAS[[#This Row],[COSTO]]+SALIDAS[[#This Row],[IGV]]+SALIDAS[[#This Row],[INAFECTO]]</f>
        <v>157.78960000000001</v>
      </c>
      <c r="Q49" s="85" t="s">
        <v>218</v>
      </c>
      <c r="T49"/>
      <c r="U49" s="78"/>
    </row>
    <row r="50" spans="1:21" ht="15" customHeight="1" x14ac:dyDescent="0.25">
      <c r="A50" s="56">
        <v>44</v>
      </c>
      <c r="B50" s="63">
        <v>43494</v>
      </c>
      <c r="C50" s="30" t="str">
        <f>TEXT(SALIDAS[[#This Row],[FECHA]],"mmmm")</f>
        <v>Enero</v>
      </c>
      <c r="D50" s="27" t="s">
        <v>135</v>
      </c>
      <c r="E50" s="55" t="s">
        <v>232</v>
      </c>
      <c r="F50" s="52">
        <v>1</v>
      </c>
      <c r="G50" s="57" t="s">
        <v>230</v>
      </c>
      <c r="H50" s="57" t="s">
        <v>132</v>
      </c>
      <c r="I50" s="21" t="str">
        <f ca="1">OFFSET(OT[[#Headers],[T. CUENTA]],MATCH($H50,OT[T. CUENTA],0),1)</f>
        <v>GASTOS ADMINISTRATIVOS</v>
      </c>
      <c r="J50" s="58" t="s">
        <v>158</v>
      </c>
      <c r="K50" s="21" t="s">
        <v>65</v>
      </c>
      <c r="L50" s="67">
        <v>1</v>
      </c>
      <c r="M50" s="32">
        <v>167.12</v>
      </c>
      <c r="N50" s="69">
        <f>SALIDAS[[#This Row],[COSTO]]*0.18</f>
        <v>30.081599999999998</v>
      </c>
      <c r="O50" s="69"/>
      <c r="P50" s="137">
        <f>SALIDAS[[#This Row],[COSTO]]+SALIDAS[[#This Row],[IGV]]+SALIDAS[[#This Row],[INAFECTO]]</f>
        <v>197.20160000000001</v>
      </c>
      <c r="Q50" s="85" t="s">
        <v>218</v>
      </c>
      <c r="T50"/>
      <c r="U50" s="78"/>
    </row>
    <row r="51" spans="1:21" ht="15" customHeight="1" x14ac:dyDescent="0.25">
      <c r="A51" s="56">
        <v>45</v>
      </c>
      <c r="B51" s="63">
        <v>43494</v>
      </c>
      <c r="C51" s="30" t="str">
        <f>TEXT(SALIDAS[[#This Row],[FECHA]],"mmmm")</f>
        <v>Enero</v>
      </c>
      <c r="D51" s="27" t="s">
        <v>135</v>
      </c>
      <c r="E51" s="55" t="s">
        <v>229</v>
      </c>
      <c r="F51" s="52">
        <v>1</v>
      </c>
      <c r="G51" s="21" t="s">
        <v>230</v>
      </c>
      <c r="H51" s="21" t="s">
        <v>132</v>
      </c>
      <c r="I51" s="21" t="str">
        <f ca="1">OFFSET(OT[[#Headers],[T. CUENTA]],MATCH($H51,OT[T. CUENTA],0),1)</f>
        <v>GASTOS ADMINISTRATIVOS</v>
      </c>
      <c r="J51" s="26" t="s">
        <v>158</v>
      </c>
      <c r="K51" s="21" t="s">
        <v>65</v>
      </c>
      <c r="L51" s="33">
        <v>1</v>
      </c>
      <c r="M51" s="32">
        <v>333.35</v>
      </c>
      <c r="N51" s="66">
        <f>SALIDAS[[#This Row],[COSTO]]*0.18</f>
        <v>60.003</v>
      </c>
      <c r="O51" s="66"/>
      <c r="P51" s="137">
        <f>SALIDAS[[#This Row],[COSTO]]+SALIDAS[[#This Row],[IGV]]+SALIDAS[[#This Row],[INAFECTO]]</f>
        <v>393.35300000000001</v>
      </c>
      <c r="Q51" s="85" t="s">
        <v>218</v>
      </c>
      <c r="T51"/>
      <c r="U51" s="78"/>
    </row>
    <row r="52" spans="1:21" ht="15" customHeight="1" x14ac:dyDescent="0.25">
      <c r="A52" s="56">
        <v>46</v>
      </c>
      <c r="B52" s="63">
        <v>43494</v>
      </c>
      <c r="C52" s="30" t="str">
        <f>TEXT(SALIDAS[[#This Row],[FECHA]],"mmmm")</f>
        <v>Enero</v>
      </c>
      <c r="D52" s="27" t="s">
        <v>135</v>
      </c>
      <c r="E52" s="55" t="s">
        <v>233</v>
      </c>
      <c r="F52" s="52">
        <v>1</v>
      </c>
      <c r="G52" s="21" t="s">
        <v>230</v>
      </c>
      <c r="H52" s="21" t="s">
        <v>132</v>
      </c>
      <c r="I52" s="21" t="str">
        <f ca="1">OFFSET(OT[[#Headers],[T. CUENTA]],MATCH($H52,OT[T. CUENTA],0),1)</f>
        <v>GASTOS ADMINISTRATIVOS</v>
      </c>
      <c r="J52" s="26" t="s">
        <v>158</v>
      </c>
      <c r="K52" s="21" t="s">
        <v>65</v>
      </c>
      <c r="L52" s="33">
        <v>1</v>
      </c>
      <c r="M52" s="32">
        <v>142.83000000000001</v>
      </c>
      <c r="N52" s="66">
        <f>SALIDAS[[#This Row],[COSTO]]*0.18</f>
        <v>25.709400000000002</v>
      </c>
      <c r="O52" s="66"/>
      <c r="P52" s="137">
        <f>SALIDAS[[#This Row],[COSTO]]+SALIDAS[[#This Row],[IGV]]+SALIDAS[[#This Row],[INAFECTO]]</f>
        <v>168.5394</v>
      </c>
      <c r="Q52" s="85" t="s">
        <v>218</v>
      </c>
      <c r="T52"/>
      <c r="U52" s="78"/>
    </row>
    <row r="53" spans="1:21" ht="15" customHeight="1" x14ac:dyDescent="0.25">
      <c r="A53" s="56">
        <v>47</v>
      </c>
      <c r="B53" s="63">
        <v>43494</v>
      </c>
      <c r="C53" s="30" t="str">
        <f>TEXT(SALIDAS[[#This Row],[FECHA]],"mmmm")</f>
        <v>Enero</v>
      </c>
      <c r="D53" s="27" t="s">
        <v>135</v>
      </c>
      <c r="E53" s="55" t="s">
        <v>234</v>
      </c>
      <c r="F53" s="52">
        <v>1</v>
      </c>
      <c r="G53" s="21" t="s">
        <v>230</v>
      </c>
      <c r="H53" s="21" t="s">
        <v>132</v>
      </c>
      <c r="I53" s="21" t="str">
        <f ca="1">OFFSET(OT[[#Headers],[T. CUENTA]],MATCH($H53,OT[T. CUENTA],0),1)</f>
        <v>GASTOS ADMINISTRATIVOS</v>
      </c>
      <c r="J53" s="26" t="s">
        <v>158</v>
      </c>
      <c r="K53" s="21" t="s">
        <v>65</v>
      </c>
      <c r="L53" s="33">
        <v>1</v>
      </c>
      <c r="M53" s="32">
        <v>10.48</v>
      </c>
      <c r="N53" s="66">
        <f>SALIDAS[[#This Row],[COSTO]]*0.18</f>
        <v>1.8864000000000001</v>
      </c>
      <c r="O53" s="66"/>
      <c r="P53" s="137">
        <f>SALIDAS[[#This Row],[COSTO]]+SALIDAS[[#This Row],[IGV]]+SALIDAS[[#This Row],[INAFECTO]]</f>
        <v>12.366400000000001</v>
      </c>
      <c r="Q53" s="85" t="s">
        <v>218</v>
      </c>
      <c r="T53"/>
      <c r="U53" s="78"/>
    </row>
    <row r="54" spans="1:21" ht="15" customHeight="1" x14ac:dyDescent="0.25">
      <c r="A54" s="56">
        <v>48</v>
      </c>
      <c r="B54" s="63">
        <v>43494</v>
      </c>
      <c r="C54" s="30" t="str">
        <f>TEXT(SALIDAS[[#This Row],[FECHA]],"mmmm")</f>
        <v>Enero</v>
      </c>
      <c r="D54" s="27" t="s">
        <v>135</v>
      </c>
      <c r="E54" s="55" t="s">
        <v>235</v>
      </c>
      <c r="F54" s="52">
        <v>1</v>
      </c>
      <c r="G54" s="21" t="s">
        <v>230</v>
      </c>
      <c r="H54" s="21" t="s">
        <v>132</v>
      </c>
      <c r="I54" s="21" t="str">
        <f ca="1">OFFSET(OT[[#Headers],[T. CUENTA]],MATCH($H54,OT[T. CUENTA],0),1)</f>
        <v>GASTOS ADMINISTRATIVOS</v>
      </c>
      <c r="J54" s="26" t="s">
        <v>158</v>
      </c>
      <c r="K54" s="21" t="s">
        <v>65</v>
      </c>
      <c r="L54" s="33">
        <v>1</v>
      </c>
      <c r="M54" s="32">
        <v>271.06</v>
      </c>
      <c r="N54" s="66">
        <f>SALIDAS[[#This Row],[COSTO]]*0.18</f>
        <v>48.790799999999997</v>
      </c>
      <c r="O54" s="66"/>
      <c r="P54" s="137">
        <f>SALIDAS[[#This Row],[COSTO]]+SALIDAS[[#This Row],[IGV]]+SALIDAS[[#This Row],[INAFECTO]]</f>
        <v>319.85079999999999</v>
      </c>
      <c r="Q54" s="85" t="s">
        <v>218</v>
      </c>
      <c r="T54"/>
      <c r="U54" s="78"/>
    </row>
    <row r="55" spans="1:21" ht="15" customHeight="1" x14ac:dyDescent="0.25">
      <c r="A55" s="56">
        <v>49</v>
      </c>
      <c r="B55" s="63">
        <v>43494</v>
      </c>
      <c r="C55" s="30" t="str">
        <f>TEXT(SALIDAS[[#This Row],[FECHA]],"mmmm")</f>
        <v>Enero</v>
      </c>
      <c r="D55" s="27" t="s">
        <v>135</v>
      </c>
      <c r="E55" s="55" t="s">
        <v>270</v>
      </c>
      <c r="F55" s="96">
        <v>3</v>
      </c>
      <c r="G55" s="21" t="s">
        <v>271</v>
      </c>
      <c r="H55" s="21" t="s">
        <v>106</v>
      </c>
      <c r="I55" s="21" t="str">
        <f ca="1">OFFSET(OT[[#Headers],[T. CUENTA]],MATCH($H55,OT[T. CUENTA],0),1)</f>
        <v>GASTOS DE PERSONAL</v>
      </c>
      <c r="J55" s="58" t="s">
        <v>158</v>
      </c>
      <c r="K55" s="21" t="s">
        <v>65</v>
      </c>
      <c r="L55" s="67">
        <v>1</v>
      </c>
      <c r="M55" s="32">
        <v>522.25</v>
      </c>
      <c r="N55" s="69">
        <f>SALIDAS[[#This Row],[COSTO]]*0.18</f>
        <v>94.004999999999995</v>
      </c>
      <c r="O55" s="69"/>
      <c r="P55" s="144">
        <f>SALIDAS[[#This Row],[COSTO]]+SALIDAS[[#This Row],[IGV]]+SALIDAS[[#This Row],[INAFECTO]]</f>
        <v>616.255</v>
      </c>
      <c r="Q55" s="85" t="s">
        <v>223</v>
      </c>
      <c r="T55"/>
      <c r="U55" s="78"/>
    </row>
    <row r="56" spans="1:21" ht="15" customHeight="1" x14ac:dyDescent="0.25">
      <c r="A56" s="56">
        <v>50</v>
      </c>
      <c r="B56" s="63">
        <v>43495</v>
      </c>
      <c r="C56" s="30" t="str">
        <f>TEXT(SALIDAS[[#This Row],[FECHA]],"mmmm")</f>
        <v>Enero</v>
      </c>
      <c r="D56" s="27" t="s">
        <v>12</v>
      </c>
      <c r="E56" s="55" t="s">
        <v>245</v>
      </c>
      <c r="F56" s="52">
        <v>1</v>
      </c>
      <c r="G56" s="21" t="s">
        <v>174</v>
      </c>
      <c r="H56" s="21" t="s">
        <v>93</v>
      </c>
      <c r="I56" s="21" t="str">
        <f ca="1">OFFSET(OT[[#Headers],[T. CUENTA]],MATCH($H56,OT[T. CUENTA],0),1)</f>
        <v>GASTOS DE PERSONAL</v>
      </c>
      <c r="J56" s="26" t="s">
        <v>158</v>
      </c>
      <c r="K56" s="21" t="s">
        <v>65</v>
      </c>
      <c r="L56" s="33">
        <v>1</v>
      </c>
      <c r="M56" s="32">
        <v>60</v>
      </c>
      <c r="N56" s="66"/>
      <c r="O56" s="66"/>
      <c r="P56" s="137">
        <f>SALIDAS[[#This Row],[COSTO]]+SALIDAS[[#This Row],[IGV]]+SALIDAS[[#This Row],[INAFECTO]]</f>
        <v>60</v>
      </c>
      <c r="Q56" s="85" t="s">
        <v>184</v>
      </c>
      <c r="T56"/>
      <c r="U56" s="78"/>
    </row>
    <row r="57" spans="1:21" ht="15" customHeight="1" x14ac:dyDescent="0.25">
      <c r="A57" s="56">
        <v>51</v>
      </c>
      <c r="B57" s="64">
        <v>43496</v>
      </c>
      <c r="C57" s="30" t="str">
        <f>TEXT(SALIDAS[[#This Row],[FECHA]],"mmmm")</f>
        <v>Enero</v>
      </c>
      <c r="D57" s="27" t="s">
        <v>12</v>
      </c>
      <c r="E57" s="55" t="s">
        <v>320</v>
      </c>
      <c r="F57" s="52">
        <v>1</v>
      </c>
      <c r="G57" s="57" t="s">
        <v>321</v>
      </c>
      <c r="H57" s="57" t="s">
        <v>198</v>
      </c>
      <c r="I57" s="21" t="str">
        <f ca="1">OFFSET(OT[[#Headers],[T. CUENTA]],MATCH($H57,OT[T. CUENTA],0),1)</f>
        <v>GASTOS PRESTADOS POR TERCEROS</v>
      </c>
      <c r="J57" s="58" t="s">
        <v>158</v>
      </c>
      <c r="K57" s="57" t="s">
        <v>65</v>
      </c>
      <c r="L57" s="67">
        <v>1</v>
      </c>
      <c r="M57" s="68">
        <v>3.3</v>
      </c>
      <c r="N57" s="69"/>
      <c r="O57" s="69"/>
      <c r="P57" s="137">
        <f>SALIDAS[[#This Row],[COSTO]]+SALIDAS[[#This Row],[IGV]]+SALIDAS[[#This Row],[INAFECTO]]</f>
        <v>3.3</v>
      </c>
      <c r="Q57" s="85" t="s">
        <v>333</v>
      </c>
      <c r="T57"/>
      <c r="U57" s="78"/>
    </row>
    <row r="58" spans="1:21" ht="15" customHeight="1" x14ac:dyDescent="0.25">
      <c r="A58" s="56">
        <v>52</v>
      </c>
      <c r="B58" s="64">
        <v>43496</v>
      </c>
      <c r="C58" s="30" t="str">
        <f>TEXT(SALIDAS[[#This Row],[FECHA]],"mmmm")</f>
        <v>Enero</v>
      </c>
      <c r="D58" s="27" t="s">
        <v>10</v>
      </c>
      <c r="E58" s="55" t="s">
        <v>299</v>
      </c>
      <c r="F58" s="52">
        <v>1</v>
      </c>
      <c r="G58" s="57" t="s">
        <v>301</v>
      </c>
      <c r="H58" s="57" t="s">
        <v>85</v>
      </c>
      <c r="I58" s="21" t="str">
        <f ca="1">OFFSET(OT[[#Headers],[T. CUENTA]],MATCH($H58,OT[T. CUENTA],0),1)</f>
        <v>COSTO DIRECTO</v>
      </c>
      <c r="J58" s="58" t="s">
        <v>155</v>
      </c>
      <c r="K58" s="57" t="s">
        <v>65</v>
      </c>
      <c r="L58" s="67">
        <v>1</v>
      </c>
      <c r="M58" s="68">
        <v>45.76</v>
      </c>
      <c r="N58" s="69">
        <f>SALIDAS[[#This Row],[COSTO]]*0.18</f>
        <v>8.2367999999999988</v>
      </c>
      <c r="O58" s="69"/>
      <c r="P58" s="137">
        <f>SALIDAS[[#This Row],[COSTO]]+SALIDAS[[#This Row],[IGV]]+SALIDAS[[#This Row],[INAFECTO]]</f>
        <v>53.996799999999993</v>
      </c>
      <c r="Q58" s="85" t="s">
        <v>296</v>
      </c>
      <c r="T58"/>
      <c r="U58" s="78"/>
    </row>
    <row r="59" spans="1:21" ht="15" customHeight="1" x14ac:dyDescent="0.25">
      <c r="A59" s="56">
        <v>53</v>
      </c>
      <c r="B59" s="64">
        <v>43496</v>
      </c>
      <c r="C59" s="30" t="str">
        <f>TEXT(SALIDAS[[#This Row],[FECHA]],"mmmm")</f>
        <v>Enero</v>
      </c>
      <c r="D59" s="27" t="s">
        <v>10</v>
      </c>
      <c r="E59" s="55" t="s">
        <v>297</v>
      </c>
      <c r="F59" s="52">
        <v>1</v>
      </c>
      <c r="G59" s="57" t="s">
        <v>300</v>
      </c>
      <c r="H59" s="57" t="s">
        <v>85</v>
      </c>
      <c r="I59" s="21" t="str">
        <f ca="1">OFFSET(OT[[#Headers],[T. CUENTA]],MATCH($H59,OT[T. CUENTA],0),1)</f>
        <v>COSTO DIRECTO</v>
      </c>
      <c r="J59" s="58" t="s">
        <v>228</v>
      </c>
      <c r="K59" s="57" t="s">
        <v>65</v>
      </c>
      <c r="L59" s="67">
        <v>1</v>
      </c>
      <c r="M59" s="68">
        <v>299.14999999999998</v>
      </c>
      <c r="N59" s="69">
        <f>SALIDAS[[#This Row],[COSTO]]*0.18</f>
        <v>53.846999999999994</v>
      </c>
      <c r="O59" s="69"/>
      <c r="P59" s="137">
        <f>SALIDAS[[#This Row],[COSTO]]+SALIDAS[[#This Row],[IGV]]+SALIDAS[[#This Row],[INAFECTO]]</f>
        <v>352.99699999999996</v>
      </c>
      <c r="Q59" s="85" t="s">
        <v>296</v>
      </c>
      <c r="T59"/>
      <c r="U59" s="78"/>
    </row>
    <row r="60" spans="1:21" ht="15" customHeight="1" x14ac:dyDescent="0.25">
      <c r="A60" s="56">
        <v>54</v>
      </c>
      <c r="B60" s="64">
        <v>43496</v>
      </c>
      <c r="C60" s="30" t="str">
        <f>TEXT(SALIDAS[[#This Row],[FECHA]],"mmmm")</f>
        <v>Enero</v>
      </c>
      <c r="D60" s="27" t="s">
        <v>10</v>
      </c>
      <c r="E60" s="55" t="s">
        <v>298</v>
      </c>
      <c r="F60" s="52">
        <v>1</v>
      </c>
      <c r="G60" s="57" t="s">
        <v>301</v>
      </c>
      <c r="H60" s="57" t="s">
        <v>85</v>
      </c>
      <c r="I60" s="21" t="str">
        <f ca="1">OFFSET(OT[[#Headers],[T. CUENTA]],MATCH($H60,OT[T. CUENTA],0),1)</f>
        <v>COSTO DIRECTO</v>
      </c>
      <c r="J60" s="58" t="s">
        <v>155</v>
      </c>
      <c r="K60" s="57" t="s">
        <v>65</v>
      </c>
      <c r="L60" s="67">
        <v>1</v>
      </c>
      <c r="M60" s="68">
        <v>252.54</v>
      </c>
      <c r="N60" s="69">
        <f>SALIDAS[[#This Row],[COSTO]]*0.18</f>
        <v>45.4572</v>
      </c>
      <c r="O60" s="69"/>
      <c r="P60" s="137">
        <f>SALIDAS[[#This Row],[COSTO]]+SALIDAS[[#This Row],[IGV]]+SALIDAS[[#This Row],[INAFECTO]]</f>
        <v>297.99720000000002</v>
      </c>
      <c r="Q60" s="85" t="s">
        <v>296</v>
      </c>
      <c r="T60"/>
      <c r="U60" s="78"/>
    </row>
    <row r="61" spans="1:21" ht="15" customHeight="1" x14ac:dyDescent="0.25">
      <c r="A61" s="56">
        <v>55</v>
      </c>
      <c r="B61" s="64">
        <v>43496</v>
      </c>
      <c r="C61" s="30" t="str">
        <f>TEXT(SALIDAS[[#This Row],[FECHA]],"mmmm")</f>
        <v>Enero</v>
      </c>
      <c r="D61" s="27" t="s">
        <v>135</v>
      </c>
      <c r="E61" s="55" t="s">
        <v>276</v>
      </c>
      <c r="F61" s="96">
        <v>3</v>
      </c>
      <c r="G61" s="21" t="s">
        <v>189</v>
      </c>
      <c r="H61" s="21" t="s">
        <v>119</v>
      </c>
      <c r="I61" s="21" t="str">
        <f ca="1">OFFSET(OT[[#Headers],[T. CUENTA]],MATCH($H61,OT[T. CUENTA],0),1)</f>
        <v>GASTOS PRESTADOS POR TERCEROS</v>
      </c>
      <c r="J61" s="58" t="s">
        <v>158</v>
      </c>
      <c r="K61" s="57" t="s">
        <v>65</v>
      </c>
      <c r="L61" s="67">
        <v>1</v>
      </c>
      <c r="M61" s="32">
        <v>716.1</v>
      </c>
      <c r="N61" s="69">
        <f>SALIDAS[[#This Row],[COSTO]]*0.18</f>
        <v>128.898</v>
      </c>
      <c r="O61" s="69"/>
      <c r="P61" s="144">
        <f>SALIDAS[[#This Row],[COSTO]]+SALIDAS[[#This Row],[IGV]]+SALIDAS[[#This Row],[INAFECTO]]</f>
        <v>844.99800000000005</v>
      </c>
      <c r="Q61" s="85" t="s">
        <v>190</v>
      </c>
      <c r="T61"/>
      <c r="U61" s="78"/>
    </row>
    <row r="62" spans="1:21" ht="15" customHeight="1" x14ac:dyDescent="0.25">
      <c r="A62" s="56">
        <v>56</v>
      </c>
      <c r="B62" s="64">
        <v>43484</v>
      </c>
      <c r="C62" s="30" t="str">
        <f>TEXT(SALIDAS[[#This Row],[FECHA]],"mmmm")</f>
        <v>Enero</v>
      </c>
      <c r="D62" s="27" t="s">
        <v>141</v>
      </c>
      <c r="E62" s="55" t="s">
        <v>284</v>
      </c>
      <c r="F62" s="52">
        <v>1</v>
      </c>
      <c r="G62" s="21" t="s">
        <v>464</v>
      </c>
      <c r="H62" s="21" t="s">
        <v>126</v>
      </c>
      <c r="I62" s="21" t="str">
        <f ca="1">OFFSET(OT[[#Headers],[T. CUENTA]],MATCH($H62,OT[T. CUENTA],0),1)</f>
        <v>GASTOS DE PERSONAL</v>
      </c>
      <c r="J62" s="26" t="s">
        <v>158</v>
      </c>
      <c r="K62" s="21" t="s">
        <v>65</v>
      </c>
      <c r="L62" s="28">
        <v>1</v>
      </c>
      <c r="M62" s="32">
        <v>25</v>
      </c>
      <c r="N62" s="34"/>
      <c r="O62" s="34"/>
      <c r="P62" s="137">
        <f>SALIDAS[[#This Row],[COSTO]]+SALIDAS[[#This Row],[IGV]]+SALIDAS[[#This Row],[INAFECTO]]</f>
        <v>25</v>
      </c>
      <c r="Q62" s="85" t="s">
        <v>477</v>
      </c>
      <c r="T62"/>
      <c r="U62" s="78"/>
    </row>
    <row r="63" spans="1:21" ht="15" customHeight="1" x14ac:dyDescent="0.25">
      <c r="A63" s="56">
        <v>57</v>
      </c>
      <c r="B63" s="64">
        <v>43497</v>
      </c>
      <c r="C63" s="30" t="str">
        <f>TEXT(SALIDAS[[#This Row],[FECHA]],"mmmm")</f>
        <v>Febrero</v>
      </c>
      <c r="D63" s="27" t="s">
        <v>12</v>
      </c>
      <c r="E63" s="55" t="s">
        <v>318</v>
      </c>
      <c r="F63" s="52">
        <v>1</v>
      </c>
      <c r="G63" s="57" t="s">
        <v>319</v>
      </c>
      <c r="H63" s="57" t="s">
        <v>132</v>
      </c>
      <c r="I63" s="21" t="str">
        <f ca="1">OFFSET(OT[[#Headers],[T. CUENTA]],MATCH($H63,OT[T. CUENTA],0),1)</f>
        <v>GASTOS ADMINISTRATIVOS</v>
      </c>
      <c r="J63" s="58" t="s">
        <v>158</v>
      </c>
      <c r="K63" s="57" t="s">
        <v>65</v>
      </c>
      <c r="L63" s="67">
        <v>1</v>
      </c>
      <c r="M63" s="68">
        <v>20</v>
      </c>
      <c r="N63" s="69"/>
      <c r="O63" s="69"/>
      <c r="P63" s="137">
        <f>SALIDAS[[#This Row],[COSTO]]+SALIDAS[[#This Row],[IGV]]+SALIDAS[[#This Row],[INAFECTO]]</f>
        <v>20</v>
      </c>
      <c r="Q63" s="85" t="s">
        <v>336</v>
      </c>
      <c r="T63"/>
      <c r="U63" s="78"/>
    </row>
    <row r="64" spans="1:21" ht="15" customHeight="1" x14ac:dyDescent="0.25">
      <c r="A64" s="56">
        <v>58</v>
      </c>
      <c r="B64" s="64">
        <v>43497</v>
      </c>
      <c r="C64" s="30" t="str">
        <f>TEXT(SALIDAS[[#This Row],[FECHA]],"mmmm")</f>
        <v>Febrero</v>
      </c>
      <c r="D64" s="27" t="s">
        <v>10</v>
      </c>
      <c r="E64" s="55" t="s">
        <v>293</v>
      </c>
      <c r="F64" s="52">
        <v>1</v>
      </c>
      <c r="G64" s="57" t="s">
        <v>294</v>
      </c>
      <c r="H64" s="57" t="s">
        <v>93</v>
      </c>
      <c r="I64" s="21" t="str">
        <f ca="1">OFFSET(OT[[#Headers],[T. CUENTA]],MATCH($H64,OT[T. CUENTA],0),1)</f>
        <v>GASTOS DE PERSONAL</v>
      </c>
      <c r="J64" s="58" t="s">
        <v>158</v>
      </c>
      <c r="K64" s="57" t="s">
        <v>65</v>
      </c>
      <c r="L64" s="67">
        <v>1</v>
      </c>
      <c r="M64" s="68">
        <v>279.66000000000003</v>
      </c>
      <c r="N64" s="69">
        <f>SALIDAS[[#This Row],[COSTO]]*0.18</f>
        <v>50.338799999999999</v>
      </c>
      <c r="O64" s="69"/>
      <c r="P64" s="137">
        <f>SALIDAS[[#This Row],[COSTO]]+SALIDAS[[#This Row],[IGV]]+SALIDAS[[#This Row],[INAFECTO]]</f>
        <v>329.99880000000002</v>
      </c>
      <c r="Q64" s="84" t="s">
        <v>295</v>
      </c>
      <c r="T64"/>
      <c r="U64" s="78"/>
    </row>
    <row r="65" spans="1:21" ht="15" customHeight="1" x14ac:dyDescent="0.25">
      <c r="A65" s="56">
        <v>59</v>
      </c>
      <c r="B65" s="64">
        <v>43498</v>
      </c>
      <c r="C65" s="30" t="str">
        <f>TEXT(SALIDAS[[#This Row],[FECHA]],"mmmm")</f>
        <v>Febrero</v>
      </c>
      <c r="D65" s="27" t="s">
        <v>12</v>
      </c>
      <c r="E65" s="55" t="s">
        <v>309</v>
      </c>
      <c r="F65" s="52">
        <v>1</v>
      </c>
      <c r="G65" s="57" t="s">
        <v>230</v>
      </c>
      <c r="H65" s="57" t="s">
        <v>132</v>
      </c>
      <c r="I65" s="21" t="str">
        <f ca="1">OFFSET(OT[[#Headers],[T. CUENTA]],MATCH($H65,OT[T. CUENTA],0),1)</f>
        <v>GASTOS ADMINISTRATIVOS</v>
      </c>
      <c r="J65" s="58" t="s">
        <v>158</v>
      </c>
      <c r="K65" s="57" t="s">
        <v>65</v>
      </c>
      <c r="L65" s="67">
        <v>1</v>
      </c>
      <c r="M65" s="68">
        <v>6</v>
      </c>
      <c r="N65" s="69"/>
      <c r="O65" s="69"/>
      <c r="P65" s="137">
        <f>SALIDAS[[#This Row],[COSTO]]+SALIDAS[[#This Row],[IGV]]+SALIDAS[[#This Row],[INAFECTO]]</f>
        <v>6</v>
      </c>
      <c r="Q65" s="85" t="s">
        <v>342</v>
      </c>
      <c r="T65"/>
      <c r="U65" s="78"/>
    </row>
    <row r="66" spans="1:21" ht="15" customHeight="1" x14ac:dyDescent="0.25">
      <c r="A66" s="56">
        <v>60</v>
      </c>
      <c r="B66" s="64">
        <v>43498</v>
      </c>
      <c r="C66" s="30" t="str">
        <f>TEXT(SALIDAS[[#This Row],[FECHA]],"mmmm")</f>
        <v>Febrero</v>
      </c>
      <c r="D66" s="27" t="s">
        <v>12</v>
      </c>
      <c r="E66" s="55" t="s">
        <v>322</v>
      </c>
      <c r="F66" s="52">
        <v>1</v>
      </c>
      <c r="G66" s="21" t="s">
        <v>466</v>
      </c>
      <c r="H66" s="57" t="s">
        <v>94</v>
      </c>
      <c r="I66" s="21" t="str">
        <f ca="1">OFFSET(OT[[#Headers],[T. CUENTA]],MATCH($H66,OT[T. CUENTA],0),1)</f>
        <v>GASTOS DE PERSONAL</v>
      </c>
      <c r="J66" s="58" t="s">
        <v>158</v>
      </c>
      <c r="K66" s="57" t="s">
        <v>65</v>
      </c>
      <c r="L66" s="67">
        <v>1</v>
      </c>
      <c r="M66" s="68">
        <v>181</v>
      </c>
      <c r="N66" s="69"/>
      <c r="O66" s="69"/>
      <c r="P66" s="137">
        <f>SALIDAS[[#This Row],[COSTO]]+SALIDAS[[#This Row],[IGV]]+SALIDAS[[#This Row],[INAFECTO]]</f>
        <v>181</v>
      </c>
      <c r="Q66" s="85" t="s">
        <v>323</v>
      </c>
      <c r="T66"/>
      <c r="U66" s="78"/>
    </row>
    <row r="67" spans="1:21" ht="15" customHeight="1" x14ac:dyDescent="0.25">
      <c r="A67" s="56">
        <v>61</v>
      </c>
      <c r="B67" s="63">
        <v>43490</v>
      </c>
      <c r="C67" s="30" t="str">
        <f>TEXT(SALIDAS[[#This Row],[FECHA]],"mmmm")</f>
        <v>Enero</v>
      </c>
      <c r="D67" s="27" t="s">
        <v>12</v>
      </c>
      <c r="E67" s="55" t="s">
        <v>248</v>
      </c>
      <c r="F67" s="52">
        <v>1</v>
      </c>
      <c r="G67" s="21" t="s">
        <v>249</v>
      </c>
      <c r="H67" s="21" t="s">
        <v>106</v>
      </c>
      <c r="I67" s="21" t="str">
        <f ca="1">OFFSET(OT[[#Headers],[T. CUENTA]],MATCH($H67,OT[T. CUENTA],0),1)</f>
        <v>GASTOS DE PERSONAL</v>
      </c>
      <c r="J67" s="26" t="s">
        <v>158</v>
      </c>
      <c r="K67" s="21" t="s">
        <v>65</v>
      </c>
      <c r="L67" s="28">
        <v>1</v>
      </c>
      <c r="M67" s="32">
        <v>30</v>
      </c>
      <c r="N67" s="34"/>
      <c r="O67" s="34"/>
      <c r="P67" s="137">
        <f>SALIDAS[[#This Row],[COSTO]]+SALIDAS[[#This Row],[IGV]]+SALIDAS[[#This Row],[INAFECTO]]</f>
        <v>30</v>
      </c>
      <c r="Q67" s="85" t="s">
        <v>224</v>
      </c>
      <c r="T67"/>
      <c r="U67" s="78"/>
    </row>
    <row r="68" spans="1:21" ht="15" customHeight="1" x14ac:dyDescent="0.25">
      <c r="A68" s="56">
        <v>62</v>
      </c>
      <c r="B68" s="64">
        <v>43498</v>
      </c>
      <c r="C68" s="30" t="str">
        <f>TEXT(SALIDAS[[#This Row],[FECHA]],"mmmm")</f>
        <v>Febrero</v>
      </c>
      <c r="D68" s="27" t="s">
        <v>135</v>
      </c>
      <c r="E68" s="55" t="s">
        <v>305</v>
      </c>
      <c r="F68" s="52">
        <v>1</v>
      </c>
      <c r="G68" s="21" t="s">
        <v>174</v>
      </c>
      <c r="H68" s="57" t="s">
        <v>93</v>
      </c>
      <c r="I68" s="21" t="str">
        <f ca="1">OFFSET(OT[[#Headers],[T. CUENTA]],MATCH($H68,OT[T. CUENTA],0),1)</f>
        <v>GASTOS DE PERSONAL</v>
      </c>
      <c r="J68" s="58" t="s">
        <v>158</v>
      </c>
      <c r="K68" s="57" t="s">
        <v>65</v>
      </c>
      <c r="L68" s="67">
        <v>1</v>
      </c>
      <c r="M68" s="68">
        <v>237.29</v>
      </c>
      <c r="N68" s="69">
        <f>SALIDAS[[#This Row],[COSTO]]*0.18</f>
        <v>42.712199999999996</v>
      </c>
      <c r="O68" s="69"/>
      <c r="P68" s="137">
        <f>SALIDAS[[#This Row],[COSTO]]+SALIDAS[[#This Row],[IGV]]+SALIDAS[[#This Row],[INAFECTO]]</f>
        <v>280.00220000000002</v>
      </c>
      <c r="Q68" s="85" t="s">
        <v>306</v>
      </c>
      <c r="T68"/>
      <c r="U68" s="78"/>
    </row>
    <row r="69" spans="1:21" ht="15" customHeight="1" x14ac:dyDescent="0.25">
      <c r="A69" s="56">
        <v>63</v>
      </c>
      <c r="B69" s="64">
        <v>43499</v>
      </c>
      <c r="C69" s="30" t="str">
        <f>TEXT(SALIDAS[[#This Row],[FECHA]],"mmmm")</f>
        <v>Febrero</v>
      </c>
      <c r="D69" s="27" t="s">
        <v>12</v>
      </c>
      <c r="E69" s="55" t="s">
        <v>313</v>
      </c>
      <c r="F69" s="52">
        <v>1</v>
      </c>
      <c r="G69" s="57" t="s">
        <v>311</v>
      </c>
      <c r="H69" s="57" t="s">
        <v>80</v>
      </c>
      <c r="I69" s="21" t="str">
        <f ca="1">OFFSET(OT[[#Headers],[T. CUENTA]],MATCH($H69,OT[T. CUENTA],0),1)</f>
        <v>COSTO DIRECTO</v>
      </c>
      <c r="J69" s="58" t="s">
        <v>155</v>
      </c>
      <c r="K69" s="57" t="s">
        <v>65</v>
      </c>
      <c r="L69" s="67">
        <v>1</v>
      </c>
      <c r="M69" s="68">
        <v>56</v>
      </c>
      <c r="N69" s="69"/>
      <c r="O69" s="69"/>
      <c r="P69" s="137">
        <f>SALIDAS[[#This Row],[COSTO]]+SALIDAS[[#This Row],[IGV]]+SALIDAS[[#This Row],[INAFECTO]]</f>
        <v>56</v>
      </c>
      <c r="Q69" s="85" t="s">
        <v>312</v>
      </c>
      <c r="T69"/>
      <c r="U69" s="78"/>
    </row>
    <row r="70" spans="1:21" ht="15" customHeight="1" x14ac:dyDescent="0.25">
      <c r="A70" s="56">
        <v>64</v>
      </c>
      <c r="B70" s="64">
        <v>43499</v>
      </c>
      <c r="C70" s="30" t="str">
        <f>TEXT(SALIDAS[[#This Row],[FECHA]],"mmmm")</f>
        <v>Febrero</v>
      </c>
      <c r="D70" s="27" t="s">
        <v>12</v>
      </c>
      <c r="E70" s="55" t="s">
        <v>310</v>
      </c>
      <c r="F70" s="52">
        <v>1</v>
      </c>
      <c r="G70" s="57" t="s">
        <v>311</v>
      </c>
      <c r="H70" s="57" t="s">
        <v>80</v>
      </c>
      <c r="I70" s="21" t="str">
        <f ca="1">OFFSET(OT[[#Headers],[T. CUENTA]],MATCH($H70,OT[T. CUENTA],0),1)</f>
        <v>COSTO DIRECTO</v>
      </c>
      <c r="J70" s="58" t="s">
        <v>155</v>
      </c>
      <c r="K70" s="57" t="s">
        <v>65</v>
      </c>
      <c r="L70" s="67">
        <v>1</v>
      </c>
      <c r="M70" s="68">
        <v>28</v>
      </c>
      <c r="N70" s="69"/>
      <c r="O70" s="69"/>
      <c r="P70" s="137">
        <f>SALIDAS[[#This Row],[COSTO]]+SALIDAS[[#This Row],[IGV]]+SALIDAS[[#This Row],[INAFECTO]]</f>
        <v>28</v>
      </c>
      <c r="Q70" s="85" t="s">
        <v>312</v>
      </c>
      <c r="T70"/>
      <c r="U70" s="78"/>
    </row>
    <row r="71" spans="1:21" ht="15" customHeight="1" x14ac:dyDescent="0.25">
      <c r="A71" s="56">
        <v>65</v>
      </c>
      <c r="B71" s="63">
        <v>43500</v>
      </c>
      <c r="C71" s="30" t="str">
        <f>TEXT(SALIDAS[[#This Row],[FECHA]],"mmmm")</f>
        <v>Febrero</v>
      </c>
      <c r="D71" s="27" t="s">
        <v>12</v>
      </c>
      <c r="E71" s="55" t="s">
        <v>272</v>
      </c>
      <c r="F71" s="52">
        <v>1</v>
      </c>
      <c r="G71" s="21" t="s">
        <v>273</v>
      </c>
      <c r="H71" s="21" t="s">
        <v>85</v>
      </c>
      <c r="I71" s="21" t="str">
        <f ca="1">OFFSET(OT[[#Headers],[T. CUENTA]],MATCH($H71,OT[T. CUENTA],0),1)</f>
        <v>COSTO DIRECTO</v>
      </c>
      <c r="J71" s="58" t="s">
        <v>228</v>
      </c>
      <c r="K71" s="21" t="s">
        <v>65</v>
      </c>
      <c r="L71" s="67">
        <v>1</v>
      </c>
      <c r="M71" s="32">
        <v>25</v>
      </c>
      <c r="N71" s="69"/>
      <c r="O71" s="69"/>
      <c r="P71" s="137">
        <f>SALIDAS[[#This Row],[COSTO]]+SALIDAS[[#This Row],[IGV]]+SALIDAS[[#This Row],[INAFECTO]]</f>
        <v>25</v>
      </c>
      <c r="Q71" s="85" t="s">
        <v>339</v>
      </c>
      <c r="T71"/>
      <c r="U71" s="78"/>
    </row>
    <row r="72" spans="1:21" ht="15" customHeight="1" x14ac:dyDescent="0.25">
      <c r="A72" s="56">
        <v>66</v>
      </c>
      <c r="B72" s="64">
        <v>43504</v>
      </c>
      <c r="C72" s="30" t="str">
        <f>TEXT(SALIDAS[[#This Row],[FECHA]],"mmmm")</f>
        <v>Febrero</v>
      </c>
      <c r="D72" s="27" t="s">
        <v>10</v>
      </c>
      <c r="E72" s="55" t="s">
        <v>389</v>
      </c>
      <c r="F72" s="96">
        <v>2</v>
      </c>
      <c r="G72" s="21" t="s">
        <v>390</v>
      </c>
      <c r="H72" s="57" t="s">
        <v>198</v>
      </c>
      <c r="I72" s="21" t="str">
        <f ca="1">OFFSET(OT[[#Headers],[T. CUENTA]],MATCH($H72,OT[T. CUENTA],0),1)</f>
        <v>GASTOS PRESTADOS POR TERCEROS</v>
      </c>
      <c r="J72" s="58" t="s">
        <v>158</v>
      </c>
      <c r="K72" s="57" t="s">
        <v>65</v>
      </c>
      <c r="L72" s="67">
        <v>1</v>
      </c>
      <c r="M72" s="68">
        <v>237.23</v>
      </c>
      <c r="N72" s="69">
        <f>SALIDAS[[#This Row],[COSTO]]*0.18</f>
        <v>42.7014</v>
      </c>
      <c r="O72" s="69"/>
      <c r="P72" s="145">
        <f>SALIDAS[[#This Row],[COSTO]]+SALIDAS[[#This Row],[IGV]]+SALIDAS[[#This Row],[INAFECTO]]</f>
        <v>279.9314</v>
      </c>
      <c r="Q72" s="84" t="s">
        <v>358</v>
      </c>
      <c r="T72"/>
      <c r="U72" s="78"/>
    </row>
    <row r="73" spans="1:21" ht="15" customHeight="1" x14ac:dyDescent="0.25">
      <c r="A73" s="56">
        <v>67</v>
      </c>
      <c r="B73" s="64">
        <v>43505</v>
      </c>
      <c r="C73" s="30" t="str">
        <f>TEXT(SALIDAS[[#This Row],[FECHA]],"mmmm")</f>
        <v>Febrero</v>
      </c>
      <c r="D73" s="27" t="s">
        <v>135</v>
      </c>
      <c r="E73" s="55" t="s">
        <v>326</v>
      </c>
      <c r="F73" s="96">
        <v>3</v>
      </c>
      <c r="G73" s="57" t="s">
        <v>327</v>
      </c>
      <c r="H73" s="57" t="s">
        <v>105</v>
      </c>
      <c r="I73" s="21" t="str">
        <f ca="1">OFFSET(OT[[#Headers],[T. CUENTA]],MATCH($H73,OT[T. CUENTA],0),1)</f>
        <v>GASTOS PRESTADOS POR TERCEROS</v>
      </c>
      <c r="J73" s="58" t="s">
        <v>158</v>
      </c>
      <c r="K73" s="57" t="s">
        <v>65</v>
      </c>
      <c r="L73" s="67">
        <v>1</v>
      </c>
      <c r="M73" s="68">
        <v>533.9</v>
      </c>
      <c r="N73" s="69">
        <f>SALIDAS[[#This Row],[COSTO]]*0.18</f>
        <v>96.10199999999999</v>
      </c>
      <c r="O73" s="69"/>
      <c r="P73" s="144">
        <f>SALIDAS[[#This Row],[COSTO]]+SALIDAS[[#This Row],[IGV]]+SALIDAS[[#This Row],[INAFECTO]]</f>
        <v>630.00199999999995</v>
      </c>
      <c r="Q73" s="85" t="s">
        <v>223</v>
      </c>
      <c r="T73"/>
      <c r="U73" s="78"/>
    </row>
    <row r="74" spans="1:21" ht="15" customHeight="1" x14ac:dyDescent="0.25">
      <c r="A74" s="56">
        <v>68</v>
      </c>
      <c r="B74" s="64">
        <v>43498</v>
      </c>
      <c r="C74" s="30" t="str">
        <f>TEXT(SALIDAS[[#This Row],[FECHA]],"mmmm")</f>
        <v>Febrero</v>
      </c>
      <c r="D74" s="27" t="s">
        <v>12</v>
      </c>
      <c r="E74" s="55" t="s">
        <v>307</v>
      </c>
      <c r="F74" s="52">
        <v>1</v>
      </c>
      <c r="G74" s="57" t="s">
        <v>249</v>
      </c>
      <c r="H74" s="57" t="s">
        <v>106</v>
      </c>
      <c r="I74" s="21" t="str">
        <f ca="1">OFFSET(OT[[#Headers],[T. CUENTA]],MATCH($H74,OT[T. CUENTA],0),1)</f>
        <v>GASTOS DE PERSONAL</v>
      </c>
      <c r="J74" s="58" t="s">
        <v>158</v>
      </c>
      <c r="K74" s="57" t="s">
        <v>65</v>
      </c>
      <c r="L74" s="67">
        <v>1</v>
      </c>
      <c r="M74" s="68">
        <v>30</v>
      </c>
      <c r="N74" s="69"/>
      <c r="O74" s="69"/>
      <c r="P74" s="137">
        <f>SALIDAS[[#This Row],[COSTO]]+SALIDAS[[#This Row],[IGV]]+SALIDAS[[#This Row],[INAFECTO]]</f>
        <v>30</v>
      </c>
      <c r="Q74" s="85" t="s">
        <v>224</v>
      </c>
      <c r="T74"/>
      <c r="U74" s="78"/>
    </row>
    <row r="75" spans="1:21" ht="15" customHeight="1" x14ac:dyDescent="0.25">
      <c r="A75" s="56">
        <v>69</v>
      </c>
      <c r="B75" s="64">
        <v>43506</v>
      </c>
      <c r="C75" s="30" t="str">
        <f>TEXT(SALIDAS[[#This Row],[FECHA]],"mmmm")</f>
        <v>Febrero</v>
      </c>
      <c r="D75" s="27" t="s">
        <v>138</v>
      </c>
      <c r="E75" s="55" t="s">
        <v>302</v>
      </c>
      <c r="F75" s="52">
        <v>1</v>
      </c>
      <c r="G75" s="57" t="s">
        <v>303</v>
      </c>
      <c r="H75" s="57" t="s">
        <v>127</v>
      </c>
      <c r="I75" s="21" t="str">
        <f ca="1">OFFSET(OT[[#Headers],[T. CUENTA]],MATCH($H75,OT[T. CUENTA],0),1)</f>
        <v>GASTOS PRESTADOS POR TERCEROS</v>
      </c>
      <c r="J75" s="58" t="s">
        <v>158</v>
      </c>
      <c r="K75" s="57" t="s">
        <v>65</v>
      </c>
      <c r="L75" s="67">
        <v>1</v>
      </c>
      <c r="M75" s="68">
        <v>100</v>
      </c>
      <c r="N75" s="69"/>
      <c r="O75" s="69"/>
      <c r="P75" s="137">
        <f>SALIDAS[[#This Row],[COSTO]]+SALIDAS[[#This Row],[IGV]]+SALIDAS[[#This Row],[INAFECTO]]</f>
        <v>100</v>
      </c>
      <c r="Q75" s="85" t="s">
        <v>304</v>
      </c>
      <c r="T75"/>
      <c r="U75" s="78"/>
    </row>
    <row r="76" spans="1:21" ht="15" customHeight="1" x14ac:dyDescent="0.25">
      <c r="A76" s="56">
        <v>70</v>
      </c>
      <c r="B76" s="63">
        <v>43486</v>
      </c>
      <c r="C76" s="30" t="str">
        <f>TEXT(SALIDAS[[#This Row],[FECHA]],"mmmm")</f>
        <v>Enero</v>
      </c>
      <c r="D76" s="27" t="s">
        <v>12</v>
      </c>
      <c r="E76" s="55" t="s">
        <v>237</v>
      </c>
      <c r="F76" s="52">
        <v>1</v>
      </c>
      <c r="G76" s="21" t="s">
        <v>238</v>
      </c>
      <c r="H76" s="21" t="s">
        <v>106</v>
      </c>
      <c r="I76" s="21" t="str">
        <f ca="1">OFFSET(OT[[#Headers],[T. CUENTA]],MATCH($H76,OT[T. CUENTA],0),1)</f>
        <v>GASTOS DE PERSONAL</v>
      </c>
      <c r="J76" s="26" t="s">
        <v>158</v>
      </c>
      <c r="K76" s="21" t="s">
        <v>65</v>
      </c>
      <c r="L76" s="28">
        <v>1</v>
      </c>
      <c r="M76" s="32">
        <v>90</v>
      </c>
      <c r="N76" s="34"/>
      <c r="O76" s="34"/>
      <c r="P76" s="137">
        <f>SALIDAS[[#This Row],[COSTO]]+SALIDAS[[#This Row],[IGV]]+SALIDAS[[#This Row],[INAFECTO]]</f>
        <v>90</v>
      </c>
      <c r="Q76" s="85" t="s">
        <v>220</v>
      </c>
      <c r="T76"/>
      <c r="U76" s="78"/>
    </row>
    <row r="77" spans="1:21" ht="15" customHeight="1" x14ac:dyDescent="0.25">
      <c r="A77" s="56">
        <v>71</v>
      </c>
      <c r="B77" s="64">
        <v>43506</v>
      </c>
      <c r="C77" s="30" t="str">
        <f>TEXT(SALIDAS[[#This Row],[FECHA]],"mmmm")</f>
        <v>Febrero</v>
      </c>
      <c r="D77" s="27" t="s">
        <v>139</v>
      </c>
      <c r="E77" s="55" t="s">
        <v>286</v>
      </c>
      <c r="F77" s="52">
        <v>1</v>
      </c>
      <c r="G77" s="57" t="s">
        <v>287</v>
      </c>
      <c r="H77" s="57" t="s">
        <v>131</v>
      </c>
      <c r="I77" s="21" t="str">
        <f ca="1">OFFSET(OT[[#Headers],[T. CUENTA]],MATCH($H77,OT[T. CUENTA],0),1)</f>
        <v>GASTOS FINANCIEROS</v>
      </c>
      <c r="J77" s="58" t="s">
        <v>158</v>
      </c>
      <c r="K77" s="57" t="s">
        <v>65</v>
      </c>
      <c r="L77" s="67">
        <v>1</v>
      </c>
      <c r="M77" s="68">
        <v>177</v>
      </c>
      <c r="N77" s="69"/>
      <c r="O77" s="69"/>
      <c r="P77" s="137">
        <f>SALIDAS[[#This Row],[COSTO]]+SALIDAS[[#This Row],[IGV]]+SALIDAS[[#This Row],[INAFECTO]]</f>
        <v>177</v>
      </c>
      <c r="Q77" s="85" t="s">
        <v>477</v>
      </c>
      <c r="T77"/>
      <c r="U77" s="78"/>
    </row>
    <row r="78" spans="1:21" ht="15" customHeight="1" x14ac:dyDescent="0.25">
      <c r="A78" s="56">
        <v>72</v>
      </c>
      <c r="B78" s="64">
        <v>43496</v>
      </c>
      <c r="C78" s="30" t="str">
        <f>TEXT(SALIDAS[[#This Row],[FECHA]],"mmmm")</f>
        <v>Enero</v>
      </c>
      <c r="D78" s="27" t="s">
        <v>10</v>
      </c>
      <c r="E78" s="55" t="s">
        <v>349</v>
      </c>
      <c r="F78" s="52">
        <v>1</v>
      </c>
      <c r="G78" s="21" t="s">
        <v>447</v>
      </c>
      <c r="H78" s="57" t="s">
        <v>85</v>
      </c>
      <c r="I78" s="21" t="str">
        <f ca="1">OFFSET(OT[[#Headers],[T. CUENTA]],MATCH($H78,OT[T. CUENTA],0),1)</f>
        <v>COSTO DIRECTO</v>
      </c>
      <c r="J78" s="58" t="s">
        <v>155</v>
      </c>
      <c r="K78" s="57" t="s">
        <v>65</v>
      </c>
      <c r="L78" s="67">
        <v>1</v>
      </c>
      <c r="M78" s="68">
        <v>39.4</v>
      </c>
      <c r="N78" s="69">
        <f>SALIDAS[[#This Row],[COSTO]]*0.18</f>
        <v>7.0919999999999996</v>
      </c>
      <c r="O78" s="69"/>
      <c r="P78" s="137">
        <f>SALIDAS[[#This Row],[COSTO]]+SALIDAS[[#This Row],[IGV]]+SALIDAS[[#This Row],[INAFECTO]]</f>
        <v>46.491999999999997</v>
      </c>
      <c r="Q78" s="85" t="s">
        <v>296</v>
      </c>
      <c r="T78"/>
      <c r="U78" s="78"/>
    </row>
    <row r="79" spans="1:21" ht="15" customHeight="1" x14ac:dyDescent="0.25">
      <c r="A79" s="56">
        <v>73</v>
      </c>
      <c r="B79" s="64">
        <v>43496</v>
      </c>
      <c r="C79" s="30" t="str">
        <f>TEXT(SALIDAS[[#This Row],[FECHA]],"mmmm")</f>
        <v>Enero</v>
      </c>
      <c r="D79" s="27" t="s">
        <v>10</v>
      </c>
      <c r="E79" s="55" t="s">
        <v>330</v>
      </c>
      <c r="F79" s="52">
        <v>1</v>
      </c>
      <c r="G79" s="57" t="s">
        <v>300</v>
      </c>
      <c r="H79" s="57" t="s">
        <v>85</v>
      </c>
      <c r="I79" s="21" t="str">
        <f ca="1">OFFSET(OT[[#Headers],[T. CUENTA]],MATCH($H79,OT[T. CUENTA],0),1)</f>
        <v>COSTO DIRECTO</v>
      </c>
      <c r="J79" s="58" t="s">
        <v>228</v>
      </c>
      <c r="K79" s="57" t="s">
        <v>65</v>
      </c>
      <c r="L79" s="67">
        <v>1</v>
      </c>
      <c r="M79" s="68">
        <v>211.01</v>
      </c>
      <c r="N79" s="69">
        <f>SALIDAS[[#This Row],[COSTO]]*0.18</f>
        <v>37.9818</v>
      </c>
      <c r="O79" s="69"/>
      <c r="P79" s="137">
        <f>SALIDAS[[#This Row],[COSTO]]+SALIDAS[[#This Row],[IGV]]+SALIDAS[[#This Row],[INAFECTO]]</f>
        <v>248.99179999999998</v>
      </c>
      <c r="Q79" s="85" t="s">
        <v>296</v>
      </c>
      <c r="T79"/>
      <c r="U79" s="78"/>
    </row>
    <row r="80" spans="1:21" ht="15" customHeight="1" x14ac:dyDescent="0.25">
      <c r="A80" s="56">
        <v>74</v>
      </c>
      <c r="B80" s="64">
        <v>43496</v>
      </c>
      <c r="C80" s="30" t="str">
        <f>TEXT(SALIDAS[[#This Row],[FECHA]],"mmmm")</f>
        <v>Enero</v>
      </c>
      <c r="D80" s="27" t="s">
        <v>10</v>
      </c>
      <c r="E80" s="55" t="s">
        <v>350</v>
      </c>
      <c r="F80" s="52">
        <v>1</v>
      </c>
      <c r="G80" s="57" t="s">
        <v>300</v>
      </c>
      <c r="H80" s="57" t="s">
        <v>85</v>
      </c>
      <c r="I80" s="21" t="str">
        <f ca="1">OFFSET(OT[[#Headers],[T. CUENTA]],MATCH($H80,OT[T. CUENTA],0),1)</f>
        <v>COSTO DIRECTO</v>
      </c>
      <c r="J80" s="58" t="s">
        <v>228</v>
      </c>
      <c r="K80" s="57" t="s">
        <v>65</v>
      </c>
      <c r="L80" s="67">
        <v>1</v>
      </c>
      <c r="M80" s="68">
        <v>1193.22</v>
      </c>
      <c r="N80" s="69">
        <f>SALIDAS[[#This Row],[COSTO]]*0.18</f>
        <v>214.77959999999999</v>
      </c>
      <c r="O80" s="69"/>
      <c r="P80" s="137">
        <f>SALIDAS[[#This Row],[COSTO]]+SALIDAS[[#This Row],[IGV]]+SALIDAS[[#This Row],[INAFECTO]]</f>
        <v>1407.9996000000001</v>
      </c>
      <c r="Q80" s="85" t="s">
        <v>296</v>
      </c>
      <c r="T80"/>
      <c r="U80" s="78"/>
    </row>
    <row r="81" spans="1:21" ht="15" customHeight="1" x14ac:dyDescent="0.25">
      <c r="A81" s="56">
        <v>75</v>
      </c>
      <c r="B81" s="64">
        <v>43507</v>
      </c>
      <c r="C81" s="30" t="str">
        <f>TEXT(SALIDAS[[#This Row],[FECHA]],"mmmm")</f>
        <v>Febrero</v>
      </c>
      <c r="D81" s="27" t="s">
        <v>10</v>
      </c>
      <c r="E81" s="55" t="s">
        <v>324</v>
      </c>
      <c r="F81" s="52">
        <v>1</v>
      </c>
      <c r="G81" s="57" t="s">
        <v>325</v>
      </c>
      <c r="H81" s="57" t="s">
        <v>121</v>
      </c>
      <c r="I81" s="21" t="str">
        <f ca="1">OFFSET(OT[[#Headers],[T. CUENTA]],MATCH($H81,OT[T. CUENTA],0),1)</f>
        <v>GASTOS PRESTADOS POR TERCEROS</v>
      </c>
      <c r="J81" s="58" t="s">
        <v>158</v>
      </c>
      <c r="K81" s="57" t="s">
        <v>65</v>
      </c>
      <c r="L81" s="67">
        <v>1</v>
      </c>
      <c r="M81" s="68">
        <v>423.73</v>
      </c>
      <c r="N81" s="69">
        <f>SALIDAS[[#This Row],[COSTO]]*0.18</f>
        <v>76.2714</v>
      </c>
      <c r="O81" s="69"/>
      <c r="P81" s="137">
        <f>SALIDAS[[#This Row],[COSTO]]+SALIDAS[[#This Row],[IGV]]+SALIDAS[[#This Row],[INAFECTO]]</f>
        <v>500.00139999999999</v>
      </c>
      <c r="Q81" s="85" t="s">
        <v>338</v>
      </c>
      <c r="T81"/>
      <c r="U81" s="78"/>
    </row>
    <row r="82" spans="1:21" ht="15.75" customHeight="1" thickBot="1" x14ac:dyDescent="0.3">
      <c r="A82" s="56">
        <v>76</v>
      </c>
      <c r="B82" s="97">
        <v>43493</v>
      </c>
      <c r="C82" s="98" t="str">
        <f>TEXT(SALIDAS[[#This Row],[FECHA]],"mmmm")</f>
        <v>Enero</v>
      </c>
      <c r="D82" s="99" t="s">
        <v>12</v>
      </c>
      <c r="E82" s="100" t="s">
        <v>314</v>
      </c>
      <c r="F82" s="101">
        <v>1</v>
      </c>
      <c r="G82" s="102" t="s">
        <v>132</v>
      </c>
      <c r="H82" s="102" t="s">
        <v>132</v>
      </c>
      <c r="I82" s="133" t="str">
        <f ca="1">OFFSET(OT[[#Headers],[T. CUENTA]],MATCH($H82,OT[T. CUENTA],0),1)</f>
        <v>GASTOS ADMINISTRATIVOS</v>
      </c>
      <c r="J82" s="103" t="s">
        <v>158</v>
      </c>
      <c r="K82" s="102" t="s">
        <v>65</v>
      </c>
      <c r="L82" s="104">
        <v>1</v>
      </c>
      <c r="M82" s="105">
        <v>17</v>
      </c>
      <c r="N82" s="106"/>
      <c r="O82" s="106"/>
      <c r="P82" s="140">
        <f>SALIDAS[[#This Row],[COSTO]]+SALIDAS[[#This Row],[IGV]]+SALIDAS[[#This Row],[INAFECTO]]</f>
        <v>17</v>
      </c>
      <c r="Q82" s="107" t="s">
        <v>315</v>
      </c>
      <c r="T82"/>
      <c r="U82" s="78"/>
    </row>
    <row r="83" spans="1:21" ht="15" customHeight="1" x14ac:dyDescent="0.25">
      <c r="A83" s="56">
        <v>77</v>
      </c>
      <c r="B83" s="64">
        <v>43480</v>
      </c>
      <c r="C83" s="30" t="str">
        <f>TEXT(SALIDAS[[#This Row],[FECHA]],"mmmm")</f>
        <v>Enero</v>
      </c>
      <c r="D83" s="27" t="s">
        <v>135</v>
      </c>
      <c r="E83" s="55" t="s">
        <v>165</v>
      </c>
      <c r="F83" s="52">
        <v>2</v>
      </c>
      <c r="G83" s="62" t="s">
        <v>166</v>
      </c>
      <c r="H83" s="21" t="s">
        <v>167</v>
      </c>
      <c r="I83" s="21" t="str">
        <f ca="1">OFFSET(OT[[#Headers],[T. CUENTA]],MATCH($H83,OT[T. CUENTA],0),1)</f>
        <v>OTROS GASTOS DE GESTIÓN</v>
      </c>
      <c r="J83" s="21" t="s">
        <v>158</v>
      </c>
      <c r="K83" s="21" t="s">
        <v>65</v>
      </c>
      <c r="L83" s="28">
        <v>1</v>
      </c>
      <c r="M83" s="31">
        <v>42.37</v>
      </c>
      <c r="N83" s="31">
        <f>SALIDAS[[#This Row],[COSTO]]*0.18</f>
        <v>7.6265999999999989</v>
      </c>
      <c r="O83" s="31"/>
      <c r="P83" s="145">
        <f>SALIDAS[[#This Row],[COSTO]]+SALIDAS[[#This Row],[IGV]]+SALIDAS[[#This Row],[INAFECTO]]</f>
        <v>49.996599999999994</v>
      </c>
      <c r="Q83" s="10" t="s">
        <v>181</v>
      </c>
      <c r="T83"/>
      <c r="U83" s="78"/>
    </row>
    <row r="84" spans="1:21" ht="15" customHeight="1" x14ac:dyDescent="0.25">
      <c r="A84" s="56">
        <v>78</v>
      </c>
      <c r="B84" s="64">
        <v>43483</v>
      </c>
      <c r="C84" s="30" t="str">
        <f>TEXT(SALIDAS[[#This Row],[FECHA]],"mmmm")</f>
        <v>Enero</v>
      </c>
      <c r="D84" s="27" t="s">
        <v>139</v>
      </c>
      <c r="E84" s="55" t="s">
        <v>476</v>
      </c>
      <c r="F84" s="65">
        <v>2</v>
      </c>
      <c r="G84" s="62" t="s">
        <v>285</v>
      </c>
      <c r="H84" s="21" t="s">
        <v>107</v>
      </c>
      <c r="I84" s="21" t="str">
        <f ca="1">OFFSET(OT[[#Headers],[T. CUENTA]],MATCH($H84,OT[T. CUENTA],0),1)</f>
        <v>GASTOS PRESTADOS POR TERCEROS</v>
      </c>
      <c r="J84" s="26" t="s">
        <v>158</v>
      </c>
      <c r="K84" s="21" t="s">
        <v>65</v>
      </c>
      <c r="L84" s="28">
        <v>1</v>
      </c>
      <c r="M84" s="32">
        <v>10</v>
      </c>
      <c r="N84" s="34"/>
      <c r="O84" s="34"/>
      <c r="P84" s="143">
        <f>SALIDAS[[#This Row],[COSTO]]+SALIDAS[[#This Row],[IGV]]+SALIDAS[[#This Row],[INAFECTO]]</f>
        <v>10</v>
      </c>
      <c r="Q84" s="85" t="s">
        <v>477</v>
      </c>
      <c r="T84"/>
      <c r="U84" s="78"/>
    </row>
    <row r="85" spans="1:21" ht="15" customHeight="1" x14ac:dyDescent="0.25">
      <c r="A85" s="56">
        <v>79</v>
      </c>
      <c r="B85" s="64">
        <v>43509</v>
      </c>
      <c r="C85" s="30" t="str">
        <f>TEXT(SALIDAS[[#This Row],[FECHA]],"mmmm")</f>
        <v>Febrero</v>
      </c>
      <c r="D85" s="27" t="s">
        <v>138</v>
      </c>
      <c r="E85" s="55" t="s">
        <v>328</v>
      </c>
      <c r="F85" s="108">
        <v>2</v>
      </c>
      <c r="G85" s="110" t="s">
        <v>329</v>
      </c>
      <c r="H85" s="109" t="s">
        <v>127</v>
      </c>
      <c r="I85" s="21" t="str">
        <f ca="1">OFFSET(OT[[#Headers],[T. CUENTA]],MATCH($H85,OT[T. CUENTA],0),1)</f>
        <v>GASTOS PRESTADOS POR TERCEROS</v>
      </c>
      <c r="J85" s="58" t="s">
        <v>158</v>
      </c>
      <c r="K85" s="57" t="s">
        <v>65</v>
      </c>
      <c r="L85" s="67">
        <v>1</v>
      </c>
      <c r="M85" s="68">
        <v>584.5</v>
      </c>
      <c r="N85" s="69"/>
      <c r="O85" s="69"/>
      <c r="P85" s="145">
        <f>SALIDAS[[#This Row],[COSTO]]+SALIDAS[[#This Row],[IGV]]+SALIDAS[[#This Row],[INAFECTO]]</f>
        <v>584.5</v>
      </c>
      <c r="Q85" s="70" t="s">
        <v>331</v>
      </c>
      <c r="T85"/>
      <c r="U85" s="78"/>
    </row>
    <row r="86" spans="1:21" ht="15" customHeight="1" x14ac:dyDescent="0.25">
      <c r="A86" s="56">
        <v>80</v>
      </c>
      <c r="B86" s="64">
        <v>43509</v>
      </c>
      <c r="C86" s="30" t="str">
        <f>TEXT(SALIDAS[[#This Row],[FECHA]],"mmmm")</f>
        <v>Febrero</v>
      </c>
      <c r="D86" s="27" t="s">
        <v>135</v>
      </c>
      <c r="E86" s="55" t="s">
        <v>442</v>
      </c>
      <c r="F86" s="65">
        <v>2</v>
      </c>
      <c r="G86" s="87" t="s">
        <v>353</v>
      </c>
      <c r="H86" s="57" t="s">
        <v>107</v>
      </c>
      <c r="I86" s="21" t="str">
        <f ca="1">OFFSET(OT[[#Headers],[T. CUENTA]],MATCH($H86,OT[T. CUENTA],0),1)</f>
        <v>GASTOS PRESTADOS POR TERCEROS</v>
      </c>
      <c r="J86" s="58" t="s">
        <v>158</v>
      </c>
      <c r="K86" s="57" t="s">
        <v>65</v>
      </c>
      <c r="L86" s="67">
        <v>1</v>
      </c>
      <c r="M86" s="68">
        <v>20.34</v>
      </c>
      <c r="N86" s="69">
        <f>SALIDAS[[#This Row],[COSTO]]*0.18</f>
        <v>3.6612</v>
      </c>
      <c r="O86" s="69"/>
      <c r="P86" s="143">
        <f>SALIDAS[[#This Row],[COSTO]]+SALIDAS[[#This Row],[IGV]]+SALIDAS[[#This Row],[INAFECTO]]</f>
        <v>24.001200000000001</v>
      </c>
      <c r="Q86" s="61" t="s">
        <v>351</v>
      </c>
      <c r="T86"/>
      <c r="U86" s="78"/>
    </row>
    <row r="87" spans="1:21" ht="15" customHeight="1" x14ac:dyDescent="0.25">
      <c r="A87" s="56">
        <v>81</v>
      </c>
      <c r="B87" s="64">
        <v>43500</v>
      </c>
      <c r="C87" s="30" t="str">
        <f>TEXT(SALIDAS[[#This Row],[FECHA]],"mmmm")</f>
        <v>Febrero</v>
      </c>
      <c r="D87" s="27" t="s">
        <v>12</v>
      </c>
      <c r="E87" s="55" t="s">
        <v>352</v>
      </c>
      <c r="F87" s="65">
        <v>2</v>
      </c>
      <c r="G87" s="57" t="s">
        <v>354</v>
      </c>
      <c r="H87" s="57" t="s">
        <v>107</v>
      </c>
      <c r="I87" s="21" t="str">
        <f ca="1">OFFSET(OT[[#Headers],[T. CUENTA]],MATCH($H87,OT[T. CUENTA],0),1)</f>
        <v>GASTOS PRESTADOS POR TERCEROS</v>
      </c>
      <c r="J87" s="58" t="s">
        <v>158</v>
      </c>
      <c r="K87" s="57" t="s">
        <v>65</v>
      </c>
      <c r="L87" s="67">
        <v>1</v>
      </c>
      <c r="M87" s="68">
        <v>20</v>
      </c>
      <c r="N87" s="69"/>
      <c r="O87" s="69"/>
      <c r="P87" s="143">
        <f>SALIDAS[[#This Row],[COSTO]]+SALIDAS[[#This Row],[IGV]]+SALIDAS[[#This Row],[INAFECTO]]</f>
        <v>20</v>
      </c>
      <c r="Q87" s="61" t="s">
        <v>336</v>
      </c>
      <c r="T87"/>
      <c r="U87" s="78"/>
    </row>
    <row r="88" spans="1:21" ht="15" customHeight="1" x14ac:dyDescent="0.25">
      <c r="A88" s="56">
        <v>82</v>
      </c>
      <c r="B88" s="64">
        <v>43502</v>
      </c>
      <c r="C88" s="30" t="str">
        <f>TEXT(SALIDAS[[#This Row],[FECHA]],"mmmm")</f>
        <v>Febrero</v>
      </c>
      <c r="D88" s="27" t="s">
        <v>12</v>
      </c>
      <c r="E88" s="55" t="s">
        <v>355</v>
      </c>
      <c r="F88" s="65">
        <v>2</v>
      </c>
      <c r="G88" s="57" t="s">
        <v>356</v>
      </c>
      <c r="H88" s="57" t="s">
        <v>198</v>
      </c>
      <c r="I88" s="21" t="str">
        <f ca="1">OFFSET(OT[[#Headers],[T. CUENTA]],MATCH($H88,OT[T. CUENTA],0),1)</f>
        <v>GASTOS PRESTADOS POR TERCEROS</v>
      </c>
      <c r="J88" s="58" t="s">
        <v>158</v>
      </c>
      <c r="K88" s="57" t="s">
        <v>65</v>
      </c>
      <c r="L88" s="67">
        <v>1</v>
      </c>
      <c r="M88" s="68">
        <v>20</v>
      </c>
      <c r="N88" s="69"/>
      <c r="O88" s="69"/>
      <c r="P88" s="143">
        <f>SALIDAS[[#This Row],[COSTO]]+SALIDAS[[#This Row],[IGV]]+SALIDAS[[#This Row],[INAFECTO]]</f>
        <v>20</v>
      </c>
      <c r="Q88" s="61" t="s">
        <v>335</v>
      </c>
      <c r="T88"/>
      <c r="U88" s="78"/>
    </row>
    <row r="89" spans="1:21" ht="15" customHeight="1" x14ac:dyDescent="0.25">
      <c r="A89" s="56">
        <v>83</v>
      </c>
      <c r="B89" s="64">
        <v>43484</v>
      </c>
      <c r="C89" s="30" t="str">
        <f>TEXT(SALIDAS[[#This Row],[FECHA]],"mmmm")</f>
        <v>Enero</v>
      </c>
      <c r="D89" s="27" t="s">
        <v>135</v>
      </c>
      <c r="E89" s="55" t="s">
        <v>357</v>
      </c>
      <c r="F89" s="65">
        <v>2</v>
      </c>
      <c r="G89" s="21" t="s">
        <v>213</v>
      </c>
      <c r="H89" s="57" t="s">
        <v>194</v>
      </c>
      <c r="I89" s="21" t="str">
        <f ca="1">OFFSET(OT[[#Headers],[T. CUENTA]],MATCH($H89,OT[T. CUENTA],0),1)</f>
        <v>GASTOS PRESTADOS POR TERCEROS</v>
      </c>
      <c r="J89" s="58" t="s">
        <v>158</v>
      </c>
      <c r="K89" s="57" t="s">
        <v>65</v>
      </c>
      <c r="L89" s="67">
        <v>1</v>
      </c>
      <c r="M89" s="68">
        <v>5.76</v>
      </c>
      <c r="N89" s="69">
        <f>SALIDAS[[#This Row],[COSTO]]*0.18</f>
        <v>1.0367999999999999</v>
      </c>
      <c r="O89" s="69"/>
      <c r="P89" s="143">
        <f>SALIDAS[[#This Row],[COSTO]]+SALIDAS[[#This Row],[IGV]]+SALIDAS[[#This Row],[INAFECTO]]</f>
        <v>6.7967999999999993</v>
      </c>
      <c r="Q89" s="84" t="s">
        <v>217</v>
      </c>
      <c r="T89"/>
      <c r="U89" s="78"/>
    </row>
    <row r="90" spans="1:21" ht="15" customHeight="1" x14ac:dyDescent="0.25">
      <c r="A90" s="56">
        <v>84</v>
      </c>
      <c r="B90" s="64">
        <v>43501</v>
      </c>
      <c r="C90" s="30" t="str">
        <f>TEXT(SALIDAS[[#This Row],[FECHA]],"mmmm")</f>
        <v>Febrero</v>
      </c>
      <c r="D90" s="27" t="s">
        <v>135</v>
      </c>
      <c r="E90" s="55" t="s">
        <v>359</v>
      </c>
      <c r="F90" s="65">
        <v>2</v>
      </c>
      <c r="G90" s="57" t="s">
        <v>353</v>
      </c>
      <c r="H90" s="57" t="s">
        <v>107</v>
      </c>
      <c r="I90" s="21" t="str">
        <f ca="1">OFFSET(OT[[#Headers],[T. CUENTA]],MATCH($H90,OT[T. CUENTA],0),1)</f>
        <v>GASTOS PRESTADOS POR TERCEROS</v>
      </c>
      <c r="J90" s="58" t="s">
        <v>158</v>
      </c>
      <c r="K90" s="57" t="s">
        <v>65</v>
      </c>
      <c r="L90" s="67">
        <v>1</v>
      </c>
      <c r="M90" s="68">
        <v>10.17</v>
      </c>
      <c r="N90" s="69">
        <f>SALIDAS[[#This Row],[COSTO]]*0.18</f>
        <v>1.8306</v>
      </c>
      <c r="O90" s="69"/>
      <c r="P90" s="143">
        <f>SALIDAS[[#This Row],[COSTO]]+SALIDAS[[#This Row],[IGV]]+SALIDAS[[#This Row],[INAFECTO]]</f>
        <v>12.0006</v>
      </c>
      <c r="Q90" s="61" t="s">
        <v>351</v>
      </c>
      <c r="T90"/>
      <c r="U90" s="78"/>
    </row>
    <row r="91" spans="1:21" ht="15" customHeight="1" x14ac:dyDescent="0.25">
      <c r="A91" s="56">
        <v>85</v>
      </c>
      <c r="B91" s="64">
        <v>43484</v>
      </c>
      <c r="C91" s="30" t="str">
        <f>TEXT(SALIDAS[[#This Row],[FECHA]],"mmmm")</f>
        <v>Enero</v>
      </c>
      <c r="D91" s="27" t="s">
        <v>135</v>
      </c>
      <c r="E91" s="55" t="s">
        <v>360</v>
      </c>
      <c r="F91" s="65">
        <v>2</v>
      </c>
      <c r="G91" s="21" t="s">
        <v>213</v>
      </c>
      <c r="H91" s="57" t="s">
        <v>194</v>
      </c>
      <c r="I91" s="21" t="str">
        <f ca="1">OFFSET(OT[[#Headers],[T. CUENTA]],MATCH($H91,OT[T. CUENTA],0),1)</f>
        <v>GASTOS PRESTADOS POR TERCEROS</v>
      </c>
      <c r="J91" s="58" t="s">
        <v>158</v>
      </c>
      <c r="K91" s="57" t="s">
        <v>65</v>
      </c>
      <c r="L91" s="67">
        <v>1</v>
      </c>
      <c r="M91" s="68">
        <v>5.76</v>
      </c>
      <c r="N91" s="69">
        <f>SALIDAS[[#This Row],[COSTO]]*0.18</f>
        <v>1.0367999999999999</v>
      </c>
      <c r="O91" s="69"/>
      <c r="P91" s="143">
        <f>SALIDAS[[#This Row],[COSTO]]+SALIDAS[[#This Row],[IGV]]+SALIDAS[[#This Row],[INAFECTO]]</f>
        <v>6.7967999999999993</v>
      </c>
      <c r="Q91" s="61" t="s">
        <v>217</v>
      </c>
      <c r="T91"/>
      <c r="U91" s="78"/>
    </row>
    <row r="92" spans="1:21" ht="15" customHeight="1" x14ac:dyDescent="0.25">
      <c r="A92" s="56">
        <v>86</v>
      </c>
      <c r="B92" s="64">
        <v>43484</v>
      </c>
      <c r="C92" s="30" t="str">
        <f>TEXT(SALIDAS[[#This Row],[FECHA]],"mmmm")</f>
        <v>Enero</v>
      </c>
      <c r="D92" s="27" t="s">
        <v>12</v>
      </c>
      <c r="E92" s="55" t="s">
        <v>361</v>
      </c>
      <c r="F92" s="65">
        <v>2</v>
      </c>
      <c r="G92" s="21" t="s">
        <v>204</v>
      </c>
      <c r="H92" s="57" t="s">
        <v>127</v>
      </c>
      <c r="I92" s="21" t="str">
        <f ca="1">OFFSET(OT[[#Headers],[T. CUENTA]],MATCH($H92,OT[T. CUENTA],0),1)</f>
        <v>GASTOS PRESTADOS POR TERCEROS</v>
      </c>
      <c r="J92" s="58" t="s">
        <v>158</v>
      </c>
      <c r="K92" s="57" t="s">
        <v>65</v>
      </c>
      <c r="L92" s="67">
        <v>1</v>
      </c>
      <c r="M92" s="68">
        <v>10</v>
      </c>
      <c r="N92" s="69"/>
      <c r="O92" s="69"/>
      <c r="P92" s="143">
        <f>SALIDAS[[#This Row],[COSTO]]+SALIDAS[[#This Row],[IGV]]+SALIDAS[[#This Row],[INAFECTO]]</f>
        <v>10</v>
      </c>
      <c r="Q92" s="61" t="s">
        <v>362</v>
      </c>
      <c r="T92"/>
      <c r="U92" s="78"/>
    </row>
    <row r="93" spans="1:21" ht="15" customHeight="1" x14ac:dyDescent="0.25">
      <c r="A93" s="56">
        <v>87</v>
      </c>
      <c r="B93" s="64">
        <v>43484</v>
      </c>
      <c r="C93" s="30" t="str">
        <f>TEXT(SALIDAS[[#This Row],[FECHA]],"mmmm")</f>
        <v>Enero</v>
      </c>
      <c r="D93" s="27" t="s">
        <v>12</v>
      </c>
      <c r="E93" s="55" t="s">
        <v>363</v>
      </c>
      <c r="F93" s="65">
        <v>2</v>
      </c>
      <c r="G93" s="21" t="s">
        <v>204</v>
      </c>
      <c r="H93" s="57" t="s">
        <v>127</v>
      </c>
      <c r="I93" s="21" t="str">
        <f ca="1">OFFSET(OT[[#Headers],[T. CUENTA]],MATCH($H93,OT[T. CUENTA],0),1)</f>
        <v>GASTOS PRESTADOS POR TERCEROS</v>
      </c>
      <c r="J93" s="58" t="s">
        <v>158</v>
      </c>
      <c r="K93" s="57" t="s">
        <v>65</v>
      </c>
      <c r="L93" s="67">
        <v>1</v>
      </c>
      <c r="M93" s="68">
        <v>10</v>
      </c>
      <c r="N93" s="69"/>
      <c r="O93" s="69"/>
      <c r="P93" s="143">
        <f>SALIDAS[[#This Row],[COSTO]]+SALIDAS[[#This Row],[IGV]]+SALIDAS[[#This Row],[INAFECTO]]</f>
        <v>10</v>
      </c>
      <c r="Q93" s="61" t="s">
        <v>205</v>
      </c>
      <c r="T93"/>
      <c r="U93" s="78"/>
    </row>
    <row r="94" spans="1:21" ht="15" customHeight="1" x14ac:dyDescent="0.25">
      <c r="A94" s="56">
        <v>88</v>
      </c>
      <c r="B94" s="64">
        <v>43495</v>
      </c>
      <c r="C94" s="30" t="str">
        <f>TEXT(SALIDAS[[#This Row],[FECHA]],"mmmm")</f>
        <v>Enero</v>
      </c>
      <c r="D94" s="27" t="s">
        <v>135</v>
      </c>
      <c r="E94" s="55" t="s">
        <v>364</v>
      </c>
      <c r="F94" s="65">
        <v>2</v>
      </c>
      <c r="G94" s="21" t="s">
        <v>213</v>
      </c>
      <c r="H94" s="57" t="s">
        <v>194</v>
      </c>
      <c r="I94" s="21" t="str">
        <f ca="1">OFFSET(OT[[#Headers],[T. CUENTA]],MATCH($H94,OT[T. CUENTA],0),1)</f>
        <v>GASTOS PRESTADOS POR TERCEROS</v>
      </c>
      <c r="J94" s="58" t="s">
        <v>158</v>
      </c>
      <c r="K94" s="57" t="s">
        <v>65</v>
      </c>
      <c r="L94" s="67">
        <v>1</v>
      </c>
      <c r="M94" s="68">
        <v>5.76</v>
      </c>
      <c r="N94" s="69">
        <f>SALIDAS[[#This Row],[COSTO]]*0.18</f>
        <v>1.0367999999999999</v>
      </c>
      <c r="O94" s="69"/>
      <c r="P94" s="143">
        <f>SALIDAS[[#This Row],[COSTO]]+SALIDAS[[#This Row],[IGV]]+SALIDAS[[#This Row],[INAFECTO]]</f>
        <v>6.7967999999999993</v>
      </c>
      <c r="Q94" s="61" t="s">
        <v>217</v>
      </c>
      <c r="T94"/>
      <c r="U94" s="78"/>
    </row>
    <row r="95" spans="1:21" ht="15" customHeight="1" x14ac:dyDescent="0.25">
      <c r="A95" s="56">
        <v>89</v>
      </c>
      <c r="B95" s="64">
        <v>43495</v>
      </c>
      <c r="C95" s="30" t="str">
        <f>TEXT(SALIDAS[[#This Row],[FECHA]],"mmmm")</f>
        <v>Enero</v>
      </c>
      <c r="D95" s="27" t="s">
        <v>135</v>
      </c>
      <c r="E95" s="55" t="s">
        <v>365</v>
      </c>
      <c r="F95" s="65">
        <v>2</v>
      </c>
      <c r="G95" s="21" t="s">
        <v>213</v>
      </c>
      <c r="H95" s="57" t="s">
        <v>194</v>
      </c>
      <c r="I95" s="21" t="str">
        <f ca="1">OFFSET(OT[[#Headers],[T. CUENTA]],MATCH($H95,OT[T. CUENTA],0),1)</f>
        <v>GASTOS PRESTADOS POR TERCEROS</v>
      </c>
      <c r="J95" s="58" t="s">
        <v>158</v>
      </c>
      <c r="K95" s="57" t="s">
        <v>65</v>
      </c>
      <c r="L95" s="67">
        <v>1</v>
      </c>
      <c r="M95" s="68">
        <v>5.76</v>
      </c>
      <c r="N95" s="69">
        <f>SALIDAS[[#This Row],[COSTO]]*0.18</f>
        <v>1.0367999999999999</v>
      </c>
      <c r="O95" s="69"/>
      <c r="P95" s="143">
        <f>SALIDAS[[#This Row],[COSTO]]+SALIDAS[[#This Row],[IGV]]+SALIDAS[[#This Row],[INAFECTO]]</f>
        <v>6.7967999999999993</v>
      </c>
      <c r="Q95" s="61" t="s">
        <v>217</v>
      </c>
      <c r="T95"/>
      <c r="U95" s="78"/>
    </row>
    <row r="96" spans="1:21" ht="15" customHeight="1" x14ac:dyDescent="0.25">
      <c r="A96" s="56">
        <v>90</v>
      </c>
      <c r="B96" s="64">
        <v>43495</v>
      </c>
      <c r="C96" s="30" t="str">
        <f>TEXT(SALIDAS[[#This Row],[FECHA]],"mmmm")</f>
        <v>Enero</v>
      </c>
      <c r="D96" s="27" t="s">
        <v>135</v>
      </c>
      <c r="E96" s="55" t="s">
        <v>366</v>
      </c>
      <c r="F96" s="65">
        <v>2</v>
      </c>
      <c r="G96" s="57" t="s">
        <v>353</v>
      </c>
      <c r="H96" s="57" t="s">
        <v>194</v>
      </c>
      <c r="I96" s="21" t="str">
        <f ca="1">OFFSET(OT[[#Headers],[T. CUENTA]],MATCH($H96,OT[T. CUENTA],0),1)</f>
        <v>GASTOS PRESTADOS POR TERCEROS</v>
      </c>
      <c r="J96" s="58" t="s">
        <v>158</v>
      </c>
      <c r="K96" s="57" t="s">
        <v>65</v>
      </c>
      <c r="L96" s="67">
        <v>1</v>
      </c>
      <c r="M96" s="68">
        <v>8.4700000000000006</v>
      </c>
      <c r="N96" s="69">
        <f>SALIDAS[[#This Row],[COSTO]]*0.18</f>
        <v>1.5246</v>
      </c>
      <c r="O96" s="69"/>
      <c r="P96" s="143">
        <f>SALIDAS[[#This Row],[COSTO]]+SALIDAS[[#This Row],[IGV]]+SALIDAS[[#This Row],[INAFECTO]]</f>
        <v>9.9946000000000002</v>
      </c>
      <c r="Q96" s="61" t="s">
        <v>367</v>
      </c>
      <c r="T96"/>
      <c r="U96" s="78"/>
    </row>
    <row r="97" spans="1:21" ht="15" customHeight="1" x14ac:dyDescent="0.25">
      <c r="A97" s="56">
        <v>91</v>
      </c>
      <c r="B97" s="64">
        <v>43503</v>
      </c>
      <c r="C97" s="30" t="str">
        <f>TEXT(SALIDAS[[#This Row],[FECHA]],"mmmm")</f>
        <v>Febrero</v>
      </c>
      <c r="D97" s="27" t="s">
        <v>135</v>
      </c>
      <c r="E97" s="55" t="s">
        <v>368</v>
      </c>
      <c r="F97" s="65">
        <v>3</v>
      </c>
      <c r="G97" s="57" t="s">
        <v>353</v>
      </c>
      <c r="H97" s="57" t="s">
        <v>107</v>
      </c>
      <c r="I97" s="21" t="str">
        <f ca="1">OFFSET(OT[[#Headers],[T. CUENTA]],MATCH($H97,OT[T. CUENTA],0),1)</f>
        <v>GASTOS PRESTADOS POR TERCEROS</v>
      </c>
      <c r="J97" s="58" t="s">
        <v>158</v>
      </c>
      <c r="K97" s="57" t="s">
        <v>65</v>
      </c>
      <c r="L97" s="67">
        <v>1</v>
      </c>
      <c r="M97" s="68">
        <v>20.34</v>
      </c>
      <c r="N97" s="69">
        <f>SALIDAS[[#This Row],[COSTO]]*0.18</f>
        <v>3.6612</v>
      </c>
      <c r="O97" s="69"/>
      <c r="P97" s="144">
        <f>SALIDAS[[#This Row],[COSTO]]+SALIDAS[[#This Row],[IGV]]+SALIDAS[[#This Row],[INAFECTO]]</f>
        <v>24.001200000000001</v>
      </c>
      <c r="Q97" s="61" t="s">
        <v>351</v>
      </c>
      <c r="T97"/>
      <c r="U97" s="78"/>
    </row>
    <row r="98" spans="1:21" ht="15" customHeight="1" x14ac:dyDescent="0.25">
      <c r="A98" s="56">
        <v>92</v>
      </c>
      <c r="B98" s="64">
        <v>43509</v>
      </c>
      <c r="C98" s="30" t="str">
        <f>TEXT(SALIDAS[[#This Row],[FECHA]],"mmmm")</f>
        <v>Febrero</v>
      </c>
      <c r="D98" s="27" t="s">
        <v>135</v>
      </c>
      <c r="E98" s="55" t="s">
        <v>369</v>
      </c>
      <c r="F98" s="65">
        <v>2</v>
      </c>
      <c r="G98" s="57" t="s">
        <v>353</v>
      </c>
      <c r="H98" s="57" t="s">
        <v>107</v>
      </c>
      <c r="I98" s="21" t="str">
        <f ca="1">OFFSET(OT[[#Headers],[T. CUENTA]],MATCH($H98,OT[T. CUENTA],0),1)</f>
        <v>GASTOS PRESTADOS POR TERCEROS</v>
      </c>
      <c r="J98" s="58" t="s">
        <v>158</v>
      </c>
      <c r="K98" s="57" t="s">
        <v>65</v>
      </c>
      <c r="L98" s="67">
        <v>1</v>
      </c>
      <c r="M98" s="68">
        <v>10.17</v>
      </c>
      <c r="N98" s="69">
        <f>SALIDAS[[#This Row],[COSTO]]*0.18</f>
        <v>1.8306</v>
      </c>
      <c r="O98" s="69"/>
      <c r="P98" s="143">
        <f>SALIDAS[[#This Row],[COSTO]]+SALIDAS[[#This Row],[IGV]]+SALIDAS[[#This Row],[INAFECTO]]</f>
        <v>12.0006</v>
      </c>
      <c r="Q98" s="61" t="s">
        <v>351</v>
      </c>
      <c r="T98"/>
      <c r="U98" s="78"/>
    </row>
    <row r="99" spans="1:21" ht="15" customHeight="1" x14ac:dyDescent="0.25">
      <c r="A99" s="56">
        <v>93</v>
      </c>
      <c r="B99" s="64">
        <v>43508</v>
      </c>
      <c r="C99" s="30" t="str">
        <f>TEXT(SALIDAS[[#This Row],[FECHA]],"mmmm")</f>
        <v>Febrero</v>
      </c>
      <c r="D99" s="27" t="s">
        <v>10</v>
      </c>
      <c r="E99" s="55" t="s">
        <v>370</v>
      </c>
      <c r="F99" s="65">
        <v>2</v>
      </c>
      <c r="G99" s="57" t="s">
        <v>371</v>
      </c>
      <c r="H99" s="57" t="s">
        <v>198</v>
      </c>
      <c r="I99" s="21" t="str">
        <f ca="1">OFFSET(OT[[#Headers],[T. CUENTA]],MATCH($H99,OT[T. CUENTA],0),1)</f>
        <v>GASTOS PRESTADOS POR TERCEROS</v>
      </c>
      <c r="J99" s="58" t="s">
        <v>158</v>
      </c>
      <c r="K99" s="57" t="s">
        <v>65</v>
      </c>
      <c r="L99" s="67">
        <v>1</v>
      </c>
      <c r="M99" s="68">
        <v>139.83000000000001</v>
      </c>
      <c r="N99" s="69">
        <f>SALIDAS[[#This Row],[COSTO]]*0.18</f>
        <v>25.1694</v>
      </c>
      <c r="O99" s="69"/>
      <c r="P99" s="143">
        <f>SALIDAS[[#This Row],[COSTO]]+SALIDAS[[#This Row],[IGV]]+SALIDAS[[#This Row],[INAFECTO]]</f>
        <v>164.99940000000001</v>
      </c>
      <c r="Q99" s="61" t="s">
        <v>358</v>
      </c>
      <c r="T99"/>
      <c r="U99" s="78"/>
    </row>
    <row r="100" spans="1:21" ht="15" customHeight="1" x14ac:dyDescent="0.25">
      <c r="A100" s="56">
        <v>94</v>
      </c>
      <c r="B100" s="63">
        <v>43515</v>
      </c>
      <c r="C100" s="88" t="str">
        <f>TEXT(SALIDAS[[#This Row],[FECHA]],"mmmm")</f>
        <v>Febrero</v>
      </c>
      <c r="D100" s="89" t="s">
        <v>138</v>
      </c>
      <c r="E100" s="90" t="s">
        <v>392</v>
      </c>
      <c r="F100" s="91">
        <v>2</v>
      </c>
      <c r="G100" s="62" t="s">
        <v>372</v>
      </c>
      <c r="H100" s="62" t="s">
        <v>85</v>
      </c>
      <c r="I100" s="21" t="str">
        <f ca="1">OFFSET(OT[[#Headers],[T. CUENTA]],MATCH($H100,OT[T. CUENTA],0),1)</f>
        <v>COSTO DIRECTO</v>
      </c>
      <c r="J100" s="92" t="s">
        <v>155</v>
      </c>
      <c r="K100" s="62" t="s">
        <v>65</v>
      </c>
      <c r="L100" s="93">
        <v>1</v>
      </c>
      <c r="M100" s="94">
        <v>276</v>
      </c>
      <c r="N100" s="95"/>
      <c r="O100" s="95"/>
      <c r="P100" s="143">
        <f>SALIDAS[[#This Row],[COSTO]]+SALIDAS[[#This Row],[IGV]]+SALIDAS[[#This Row],[INAFECTO]]</f>
        <v>276</v>
      </c>
      <c r="Q100" s="85" t="s">
        <v>373</v>
      </c>
      <c r="T100"/>
      <c r="U100" s="78"/>
    </row>
    <row r="101" spans="1:21" ht="15" customHeight="1" x14ac:dyDescent="0.25">
      <c r="A101" s="56">
        <v>95</v>
      </c>
      <c r="B101" s="64">
        <v>43508</v>
      </c>
      <c r="C101" s="30" t="str">
        <f>TEXT(SALIDAS[[#This Row],[FECHA]],"mmmm")</f>
        <v>Febrero</v>
      </c>
      <c r="D101" s="27" t="s">
        <v>10</v>
      </c>
      <c r="E101" s="55" t="s">
        <v>374</v>
      </c>
      <c r="F101" s="65">
        <v>2</v>
      </c>
      <c r="G101" s="21" t="s">
        <v>375</v>
      </c>
      <c r="H101" s="21" t="s">
        <v>198</v>
      </c>
      <c r="I101" s="21" t="str">
        <f ca="1">OFFSET(OT[[#Headers],[T. CUENTA]],MATCH($H101,OT[T. CUENTA],0),1)</f>
        <v>GASTOS PRESTADOS POR TERCEROS</v>
      </c>
      <c r="J101" s="58" t="s">
        <v>158</v>
      </c>
      <c r="K101" s="21" t="s">
        <v>65</v>
      </c>
      <c r="L101" s="33">
        <v>1</v>
      </c>
      <c r="M101" s="32">
        <v>263.56</v>
      </c>
      <c r="N101" s="66">
        <f>SALIDAS[[#This Row],[COSTO]]*0.18</f>
        <v>47.440799999999996</v>
      </c>
      <c r="O101" s="66"/>
      <c r="P101" s="143">
        <f>SALIDAS[[#This Row],[COSTO]]+SALIDAS[[#This Row],[IGV]]+SALIDAS[[#This Row],[INAFECTO]]</f>
        <v>311.00080000000003</v>
      </c>
      <c r="Q101" s="22" t="s">
        <v>358</v>
      </c>
      <c r="T101"/>
      <c r="U101" s="78"/>
    </row>
    <row r="102" spans="1:21" ht="15" customHeight="1" x14ac:dyDescent="0.25">
      <c r="A102" s="56">
        <v>96</v>
      </c>
      <c r="B102" s="64">
        <v>43506</v>
      </c>
      <c r="C102" s="30" t="str">
        <f>TEXT(SALIDAS[[#This Row],[FECHA]],"mmmm")</f>
        <v>Febrero</v>
      </c>
      <c r="D102" s="27" t="s">
        <v>135</v>
      </c>
      <c r="E102" s="55" t="s">
        <v>376</v>
      </c>
      <c r="F102" s="65">
        <v>2</v>
      </c>
      <c r="G102" s="21" t="s">
        <v>377</v>
      </c>
      <c r="H102" s="21" t="s">
        <v>85</v>
      </c>
      <c r="I102" s="21" t="str">
        <f ca="1">OFFSET(OT[[#Headers],[T. CUENTA]],MATCH($H102,OT[T. CUENTA],0),1)</f>
        <v>COSTO DIRECTO</v>
      </c>
      <c r="J102" s="58" t="s">
        <v>155</v>
      </c>
      <c r="K102" s="21" t="s">
        <v>65</v>
      </c>
      <c r="L102" s="33">
        <v>1</v>
      </c>
      <c r="M102" s="32">
        <v>482.97</v>
      </c>
      <c r="N102" s="66">
        <f>SALIDAS[[#This Row],[COSTO]]*0.18</f>
        <v>86.934600000000003</v>
      </c>
      <c r="O102" s="66"/>
      <c r="P102" s="143">
        <f>SALIDAS[[#This Row],[COSTO]]+SALIDAS[[#This Row],[IGV]]+SALIDAS[[#This Row],[INAFECTO]]</f>
        <v>569.90460000000007</v>
      </c>
      <c r="Q102" s="22" t="s">
        <v>378</v>
      </c>
      <c r="T102"/>
      <c r="U102" s="78"/>
    </row>
    <row r="103" spans="1:21" ht="15" customHeight="1" x14ac:dyDescent="0.25">
      <c r="A103" s="56">
        <v>97</v>
      </c>
      <c r="B103" s="64">
        <v>43507</v>
      </c>
      <c r="C103" s="30" t="str">
        <f>TEXT(SALIDAS[[#This Row],[FECHA]],"mmmm")</f>
        <v>Febrero</v>
      </c>
      <c r="D103" s="27" t="s">
        <v>135</v>
      </c>
      <c r="E103" s="55" t="s">
        <v>379</v>
      </c>
      <c r="F103" s="65">
        <v>2</v>
      </c>
      <c r="G103" s="21" t="s">
        <v>380</v>
      </c>
      <c r="H103" s="21" t="s">
        <v>85</v>
      </c>
      <c r="I103" s="21" t="str">
        <f ca="1">OFFSET(OT[[#Headers],[T. CUENTA]],MATCH($H103,OT[T. CUENTA],0),1)</f>
        <v>COSTO DIRECTO</v>
      </c>
      <c r="J103" s="58" t="s">
        <v>155</v>
      </c>
      <c r="K103" s="21" t="s">
        <v>65</v>
      </c>
      <c r="L103" s="33">
        <v>1</v>
      </c>
      <c r="M103" s="32">
        <v>173.31</v>
      </c>
      <c r="N103" s="66">
        <f>SALIDAS[[#This Row],[COSTO]]*0.18</f>
        <v>31.195799999999998</v>
      </c>
      <c r="O103" s="66"/>
      <c r="P103" s="143">
        <f>SALIDAS[[#This Row],[COSTO]]+SALIDAS[[#This Row],[IGV]]+SALIDAS[[#This Row],[INAFECTO]]</f>
        <v>204.50579999999999</v>
      </c>
      <c r="Q103" s="22" t="s">
        <v>381</v>
      </c>
      <c r="T103"/>
      <c r="U103" s="78"/>
    </row>
    <row r="104" spans="1:21" ht="15" customHeight="1" x14ac:dyDescent="0.25">
      <c r="A104" s="56">
        <v>98</v>
      </c>
      <c r="B104" s="64">
        <v>43511</v>
      </c>
      <c r="C104" s="30" t="str">
        <f>TEXT(SALIDAS[[#This Row],[FECHA]],"mmmm")</f>
        <v>Febrero</v>
      </c>
      <c r="D104" s="27" t="s">
        <v>12</v>
      </c>
      <c r="E104" s="55" t="s">
        <v>382</v>
      </c>
      <c r="F104" s="65">
        <v>2</v>
      </c>
      <c r="G104" s="21" t="s">
        <v>383</v>
      </c>
      <c r="H104" s="57" t="s">
        <v>107</v>
      </c>
      <c r="I104" s="21" t="str">
        <f ca="1">OFFSET(OT[[#Headers],[T. CUENTA]],MATCH($H104,OT[T. CUENTA],0),1)</f>
        <v>GASTOS PRESTADOS POR TERCEROS</v>
      </c>
      <c r="J104" s="58" t="s">
        <v>158</v>
      </c>
      <c r="K104" s="57" t="s">
        <v>65</v>
      </c>
      <c r="L104" s="67">
        <v>1</v>
      </c>
      <c r="M104" s="68">
        <v>40</v>
      </c>
      <c r="N104" s="69"/>
      <c r="O104" s="69"/>
      <c r="P104" s="143">
        <f>SALIDAS[[#This Row],[COSTO]]+SALIDAS[[#This Row],[IGV]]+SALIDAS[[#This Row],[INAFECTO]]</f>
        <v>40</v>
      </c>
      <c r="Q104" s="61" t="s">
        <v>336</v>
      </c>
      <c r="T104"/>
      <c r="U104" s="78"/>
    </row>
    <row r="105" spans="1:21" ht="15" customHeight="1" x14ac:dyDescent="0.25">
      <c r="A105" s="56">
        <v>99</v>
      </c>
      <c r="B105" s="64">
        <v>43496</v>
      </c>
      <c r="C105" s="30" t="str">
        <f>TEXT(SALIDAS[[#This Row],[FECHA]],"mmmm")</f>
        <v>Enero</v>
      </c>
      <c r="D105" s="27" t="s">
        <v>135</v>
      </c>
      <c r="E105" s="55" t="s">
        <v>384</v>
      </c>
      <c r="F105" s="65">
        <v>2</v>
      </c>
      <c r="G105" s="57" t="s">
        <v>385</v>
      </c>
      <c r="H105" s="57" t="s">
        <v>167</v>
      </c>
      <c r="I105" s="21" t="str">
        <f ca="1">OFFSET(OT[[#Headers],[T. CUENTA]],MATCH($H105,OT[T. CUENTA],0),1)</f>
        <v>OTROS GASTOS DE GESTIÓN</v>
      </c>
      <c r="J105" s="58" t="s">
        <v>158</v>
      </c>
      <c r="K105" s="57" t="s">
        <v>65</v>
      </c>
      <c r="L105" s="67">
        <v>1</v>
      </c>
      <c r="M105" s="68">
        <v>101.69</v>
      </c>
      <c r="N105" s="69">
        <f>SALIDAS[[#This Row],[COSTO]]*0.18</f>
        <v>18.304199999999998</v>
      </c>
      <c r="O105" s="69"/>
      <c r="P105" s="143">
        <f>SALIDAS[[#This Row],[COSTO]]+SALIDAS[[#This Row],[IGV]]+SALIDAS[[#This Row],[INAFECTO]]</f>
        <v>119.99419999999999</v>
      </c>
      <c r="Q105" s="61" t="s">
        <v>386</v>
      </c>
      <c r="T105"/>
      <c r="U105" s="78"/>
    </row>
    <row r="106" spans="1:21" ht="15" customHeight="1" x14ac:dyDescent="0.25">
      <c r="A106" s="56">
        <v>100</v>
      </c>
      <c r="B106" s="64">
        <v>43511</v>
      </c>
      <c r="C106" s="30" t="str">
        <f>TEXT(SALIDAS[[#This Row],[FECHA]],"mmmm")</f>
        <v>Febrero</v>
      </c>
      <c r="D106" s="27" t="s">
        <v>135</v>
      </c>
      <c r="E106" s="55" t="s">
        <v>387</v>
      </c>
      <c r="F106" s="65">
        <v>2</v>
      </c>
      <c r="G106" s="21" t="s">
        <v>421</v>
      </c>
      <c r="H106" s="57" t="s">
        <v>425</v>
      </c>
      <c r="I106" s="21" t="str">
        <f ca="1">OFFSET(OT[[#Headers],[T. CUENTA]],MATCH($H106,OT[T. CUENTA],0),1)</f>
        <v>COSTO DIRECTO</v>
      </c>
      <c r="J106" s="58" t="s">
        <v>156</v>
      </c>
      <c r="K106" s="57" t="s">
        <v>65</v>
      </c>
      <c r="L106" s="67">
        <v>1</v>
      </c>
      <c r="M106" s="68">
        <v>869.62</v>
      </c>
      <c r="N106" s="69">
        <f>SALIDAS[[#This Row],[COSTO]]*0.18</f>
        <v>156.5316</v>
      </c>
      <c r="O106" s="69"/>
      <c r="P106" s="143">
        <f>SALIDAS[[#This Row],[COSTO]]+SALIDAS[[#This Row],[IGV]]+SALIDAS[[#This Row],[INAFECTO]]</f>
        <v>1026.1515999999999</v>
      </c>
      <c r="Q106" s="61" t="s">
        <v>388</v>
      </c>
      <c r="T106"/>
      <c r="U106" s="78"/>
    </row>
    <row r="107" spans="1:21" ht="15" customHeight="1" x14ac:dyDescent="0.25">
      <c r="A107" s="56">
        <v>101</v>
      </c>
      <c r="B107" s="64">
        <v>43514</v>
      </c>
      <c r="C107" s="30" t="str">
        <f>TEXT(SALIDAS[[#This Row],[FECHA]],"mmmm")</f>
        <v>Febrero</v>
      </c>
      <c r="D107" s="27" t="s">
        <v>10</v>
      </c>
      <c r="E107" s="55" t="s">
        <v>393</v>
      </c>
      <c r="F107" s="65">
        <v>2</v>
      </c>
      <c r="G107" s="21" t="s">
        <v>394</v>
      </c>
      <c r="H107" s="21" t="s">
        <v>85</v>
      </c>
      <c r="I107" s="21" t="str">
        <f ca="1">OFFSET(OT[[#Headers],[T. CUENTA]],MATCH($H107,OT[T. CUENTA],0),1)</f>
        <v>COSTO DIRECTO</v>
      </c>
      <c r="J107" s="26" t="s">
        <v>228</v>
      </c>
      <c r="K107" s="21" t="s">
        <v>65</v>
      </c>
      <c r="L107" s="33">
        <v>1</v>
      </c>
      <c r="M107" s="32">
        <v>254.24</v>
      </c>
      <c r="N107" s="66">
        <f>SALIDAS[[#This Row],[COSTO]]*0.18</f>
        <v>45.763199999999998</v>
      </c>
      <c r="O107" s="66"/>
      <c r="P107" s="143">
        <f>SALIDAS[[#This Row],[COSTO]]+SALIDAS[[#This Row],[IGV]]+SALIDAS[[#This Row],[INAFECTO]]</f>
        <v>300.00319999999999</v>
      </c>
      <c r="Q107" s="22" t="s">
        <v>358</v>
      </c>
      <c r="T107"/>
      <c r="U107" s="78"/>
    </row>
    <row r="108" spans="1:21" ht="15" customHeight="1" x14ac:dyDescent="0.25">
      <c r="A108" s="56">
        <v>102</v>
      </c>
      <c r="B108" s="64">
        <v>43511</v>
      </c>
      <c r="C108" s="30" t="str">
        <f>TEXT(SALIDAS[[#This Row],[FECHA]],"mmmm")</f>
        <v>Febrero</v>
      </c>
      <c r="D108" s="27" t="s">
        <v>135</v>
      </c>
      <c r="E108" s="55" t="s">
        <v>396</v>
      </c>
      <c r="F108" s="65">
        <v>2</v>
      </c>
      <c r="G108" s="21" t="s">
        <v>397</v>
      </c>
      <c r="H108" s="21" t="s">
        <v>126</v>
      </c>
      <c r="I108" s="21" t="str">
        <f ca="1">OFFSET(OT[[#Headers],[T. CUENTA]],MATCH($H108,OT[T. CUENTA],0),1)</f>
        <v>GASTOS DE PERSONAL</v>
      </c>
      <c r="J108" s="26" t="s">
        <v>158</v>
      </c>
      <c r="K108" s="21" t="s">
        <v>65</v>
      </c>
      <c r="L108" s="33">
        <v>1</v>
      </c>
      <c r="M108" s="32">
        <v>50</v>
      </c>
      <c r="N108" s="66"/>
      <c r="O108" s="66"/>
      <c r="P108" s="143">
        <f>SALIDAS[[#This Row],[COSTO]]+SALIDAS[[#This Row],[IGV]]+SALIDAS[[#This Row],[INAFECTO]]</f>
        <v>50</v>
      </c>
      <c r="Q108" s="22" t="s">
        <v>398</v>
      </c>
      <c r="T108"/>
      <c r="U108" s="78"/>
    </row>
    <row r="109" spans="1:21" ht="15" customHeight="1" x14ac:dyDescent="0.25">
      <c r="A109" s="56">
        <v>103</v>
      </c>
      <c r="B109" s="64">
        <v>43515</v>
      </c>
      <c r="C109" s="30" t="str">
        <f>TEXT(SALIDAS[[#This Row],[FECHA]],"mmmm")</f>
        <v>Febrero</v>
      </c>
      <c r="D109" s="27" t="s">
        <v>135</v>
      </c>
      <c r="E109" s="55" t="s">
        <v>399</v>
      </c>
      <c r="F109" s="65">
        <v>2</v>
      </c>
      <c r="G109" s="21" t="s">
        <v>400</v>
      </c>
      <c r="H109" s="21" t="s">
        <v>115</v>
      </c>
      <c r="I109" s="21" t="str">
        <f ca="1">OFFSET(OT[[#Headers],[T. CUENTA]],MATCH($H109,OT[T. CUENTA],0),1)</f>
        <v>GASTOS PRESTADOS POR TERCEROS</v>
      </c>
      <c r="J109" s="26" t="s">
        <v>158</v>
      </c>
      <c r="K109" s="21" t="s">
        <v>65</v>
      </c>
      <c r="L109" s="33">
        <v>1</v>
      </c>
      <c r="M109" s="32">
        <v>211.87</v>
      </c>
      <c r="N109" s="66">
        <f>SALIDAS[[#This Row],[COSTO]]*0.18</f>
        <v>38.136600000000001</v>
      </c>
      <c r="O109" s="66"/>
      <c r="P109" s="143">
        <f>SALIDAS[[#This Row],[COSTO]]+SALIDAS[[#This Row],[IGV]]+SALIDAS[[#This Row],[INAFECTO]]</f>
        <v>250.00659999999999</v>
      </c>
      <c r="Q109" s="22" t="s">
        <v>401</v>
      </c>
      <c r="T109"/>
      <c r="U109" s="78"/>
    </row>
    <row r="110" spans="1:21" ht="15" customHeight="1" x14ac:dyDescent="0.25">
      <c r="A110" s="56">
        <v>104</v>
      </c>
      <c r="B110" s="64">
        <v>43517</v>
      </c>
      <c r="C110" s="30" t="str">
        <f>TEXT(SALIDAS[[#This Row],[FECHA]],"mmmm")</f>
        <v>Febrero</v>
      </c>
      <c r="D110" s="27" t="s">
        <v>135</v>
      </c>
      <c r="E110" s="55" t="s">
        <v>402</v>
      </c>
      <c r="F110" s="65">
        <v>2</v>
      </c>
      <c r="G110" s="21" t="s">
        <v>397</v>
      </c>
      <c r="H110" s="21" t="s">
        <v>126</v>
      </c>
      <c r="I110" s="21" t="str">
        <f ca="1">OFFSET(OT[[#Headers],[T. CUENTA]],MATCH($H110,OT[T. CUENTA],0),1)</f>
        <v>GASTOS DE PERSONAL</v>
      </c>
      <c r="J110" s="26" t="s">
        <v>158</v>
      </c>
      <c r="K110" s="21" t="s">
        <v>65</v>
      </c>
      <c r="L110" s="33">
        <v>1</v>
      </c>
      <c r="M110" s="32">
        <v>65</v>
      </c>
      <c r="N110" s="66"/>
      <c r="O110" s="66"/>
      <c r="P110" s="143">
        <f>SALIDAS[[#This Row],[COSTO]]+SALIDAS[[#This Row],[IGV]]+SALIDAS[[#This Row],[INAFECTO]]</f>
        <v>65</v>
      </c>
      <c r="Q110" s="22" t="s">
        <v>403</v>
      </c>
      <c r="T110"/>
      <c r="U110" s="78"/>
    </row>
    <row r="111" spans="1:21" ht="15" customHeight="1" x14ac:dyDescent="0.25">
      <c r="A111" s="56">
        <v>105</v>
      </c>
      <c r="B111" s="64">
        <v>43517</v>
      </c>
      <c r="C111" s="30" t="str">
        <f>TEXT(SALIDAS[[#This Row],[FECHA]],"mmmm")</f>
        <v>Febrero</v>
      </c>
      <c r="D111" s="27" t="s">
        <v>10</v>
      </c>
      <c r="E111" s="55" t="s">
        <v>404</v>
      </c>
      <c r="F111" s="65">
        <v>2</v>
      </c>
      <c r="G111" s="21" t="s">
        <v>405</v>
      </c>
      <c r="H111" s="21" t="s">
        <v>93</v>
      </c>
      <c r="I111" s="21" t="str">
        <f ca="1">OFFSET(OT[[#Headers],[T. CUENTA]],MATCH($H111,OT[T. CUENTA],0),1)</f>
        <v>GASTOS DE PERSONAL</v>
      </c>
      <c r="J111" s="26" t="s">
        <v>158</v>
      </c>
      <c r="K111" s="21" t="s">
        <v>65</v>
      </c>
      <c r="L111" s="33">
        <v>1</v>
      </c>
      <c r="M111" s="32">
        <v>33.9</v>
      </c>
      <c r="N111" s="66">
        <f>SALIDAS[[#This Row],[COSTO]]*0.18</f>
        <v>6.1019999999999994</v>
      </c>
      <c r="O111" s="66"/>
      <c r="P111" s="143">
        <f>SALIDAS[[#This Row],[COSTO]]+SALIDAS[[#This Row],[IGV]]+SALIDAS[[#This Row],[INAFECTO]]</f>
        <v>40.001999999999995</v>
      </c>
      <c r="Q111" s="22" t="s">
        <v>406</v>
      </c>
      <c r="T111"/>
      <c r="U111" s="78"/>
    </row>
    <row r="112" spans="1:21" ht="15" customHeight="1" x14ac:dyDescent="0.25">
      <c r="A112" s="56">
        <v>106</v>
      </c>
      <c r="B112" s="64">
        <v>43517</v>
      </c>
      <c r="C112" s="30" t="str">
        <f>TEXT(SALIDAS[[#This Row],[FECHA]],"mmmm")</f>
        <v>Febrero</v>
      </c>
      <c r="D112" s="27" t="s">
        <v>10</v>
      </c>
      <c r="E112" s="55" t="s">
        <v>407</v>
      </c>
      <c r="F112" s="65">
        <v>2</v>
      </c>
      <c r="G112" s="21" t="s">
        <v>408</v>
      </c>
      <c r="H112" s="21" t="s">
        <v>92</v>
      </c>
      <c r="I112" s="21" t="str">
        <f ca="1">OFFSET(OT[[#Headers],[T. CUENTA]],MATCH($H112,OT[T. CUENTA],0),1)</f>
        <v>GASTOS DE PERSONAL</v>
      </c>
      <c r="J112" s="26" t="s">
        <v>158</v>
      </c>
      <c r="K112" s="21" t="s">
        <v>65</v>
      </c>
      <c r="L112" s="33">
        <v>1</v>
      </c>
      <c r="M112" s="32">
        <v>47.46</v>
      </c>
      <c r="N112" s="66">
        <f>SALIDAS[[#This Row],[COSTO]]*0.18</f>
        <v>8.5427999999999997</v>
      </c>
      <c r="O112" s="66"/>
      <c r="P112" s="143">
        <f>SALIDAS[[#This Row],[COSTO]]+SALIDAS[[#This Row],[IGV]]+SALIDAS[[#This Row],[INAFECTO]]</f>
        <v>56.002800000000001</v>
      </c>
      <c r="Q112" s="22" t="s">
        <v>409</v>
      </c>
      <c r="T112"/>
      <c r="U112" s="78"/>
    </row>
    <row r="113" spans="1:21" ht="15" customHeight="1" x14ac:dyDescent="0.25">
      <c r="A113" s="56">
        <v>107</v>
      </c>
      <c r="B113" s="64">
        <v>43517</v>
      </c>
      <c r="C113" s="30" t="str">
        <f>TEXT(SALIDAS[[#This Row],[FECHA]],"mmmm")</f>
        <v>Febrero</v>
      </c>
      <c r="D113" s="27" t="s">
        <v>10</v>
      </c>
      <c r="E113" s="55" t="s">
        <v>411</v>
      </c>
      <c r="F113" s="65">
        <v>2</v>
      </c>
      <c r="G113" s="21" t="s">
        <v>410</v>
      </c>
      <c r="H113" s="21" t="s">
        <v>92</v>
      </c>
      <c r="I113" s="21" t="str">
        <f ca="1">OFFSET(OT[[#Headers],[T. CUENTA]],MATCH($H113,OT[T. CUENTA],0),1)</f>
        <v>GASTOS DE PERSONAL</v>
      </c>
      <c r="J113" s="26" t="s">
        <v>158</v>
      </c>
      <c r="K113" s="21" t="s">
        <v>65</v>
      </c>
      <c r="L113" s="33">
        <v>1</v>
      </c>
      <c r="M113" s="32">
        <v>128.81</v>
      </c>
      <c r="N113" s="66">
        <f>SALIDAS[[#This Row],[COSTO]]*0.18</f>
        <v>23.1858</v>
      </c>
      <c r="O113" s="66"/>
      <c r="P113" s="143">
        <f>SALIDAS[[#This Row],[COSTO]]+SALIDAS[[#This Row],[IGV]]+SALIDAS[[#This Row],[INAFECTO]]</f>
        <v>151.9958</v>
      </c>
      <c r="Q113" s="22" t="s">
        <v>409</v>
      </c>
      <c r="T113"/>
      <c r="U113" s="78"/>
    </row>
    <row r="114" spans="1:21" ht="15" customHeight="1" x14ac:dyDescent="0.25">
      <c r="A114" s="56">
        <v>108</v>
      </c>
      <c r="B114" s="64">
        <v>43517</v>
      </c>
      <c r="C114" s="30" t="str">
        <f>TEXT(SALIDAS[[#This Row],[FECHA]],"mmmm")</f>
        <v>Febrero</v>
      </c>
      <c r="D114" s="27" t="s">
        <v>10</v>
      </c>
      <c r="E114" s="55" t="s">
        <v>412</v>
      </c>
      <c r="F114" s="65">
        <v>2</v>
      </c>
      <c r="G114" s="21" t="s">
        <v>408</v>
      </c>
      <c r="H114" s="21" t="s">
        <v>92</v>
      </c>
      <c r="I114" s="21" t="str">
        <f ca="1">OFFSET(OT[[#Headers],[T. CUENTA]],MATCH($H114,OT[T. CUENTA],0),1)</f>
        <v>GASTOS DE PERSONAL</v>
      </c>
      <c r="J114" s="26" t="s">
        <v>158</v>
      </c>
      <c r="K114" s="21" t="s">
        <v>65</v>
      </c>
      <c r="L114" s="33">
        <v>1</v>
      </c>
      <c r="M114" s="32">
        <v>8.9</v>
      </c>
      <c r="N114" s="66">
        <f>SALIDAS[[#This Row],[COSTO]]*0.18</f>
        <v>1.6020000000000001</v>
      </c>
      <c r="O114" s="66"/>
      <c r="P114" s="143">
        <f>SALIDAS[[#This Row],[COSTO]]+SALIDAS[[#This Row],[IGV]]+SALIDAS[[#This Row],[INAFECTO]]</f>
        <v>10.502000000000001</v>
      </c>
      <c r="Q114" s="22" t="s">
        <v>409</v>
      </c>
      <c r="T114"/>
      <c r="U114" s="78"/>
    </row>
    <row r="115" spans="1:21" ht="15" customHeight="1" x14ac:dyDescent="0.25">
      <c r="A115" s="56">
        <v>109</v>
      </c>
      <c r="B115" s="64">
        <v>43516</v>
      </c>
      <c r="C115" s="30" t="str">
        <f>TEXT(SALIDAS[[#This Row],[FECHA]],"mmmm")</f>
        <v>Febrero</v>
      </c>
      <c r="D115" s="27" t="s">
        <v>135</v>
      </c>
      <c r="E115" s="55" t="s">
        <v>413</v>
      </c>
      <c r="F115" s="65">
        <v>2</v>
      </c>
      <c r="G115" s="21" t="s">
        <v>410</v>
      </c>
      <c r="H115" s="21" t="s">
        <v>92</v>
      </c>
      <c r="I115" s="21" t="str">
        <f ca="1">OFFSET(OT[[#Headers],[T. CUENTA]],MATCH($H115,OT[T. CUENTA],0),1)</f>
        <v>GASTOS DE PERSONAL</v>
      </c>
      <c r="J115" s="26" t="s">
        <v>158</v>
      </c>
      <c r="K115" s="21" t="s">
        <v>65</v>
      </c>
      <c r="L115" s="33">
        <v>1</v>
      </c>
      <c r="M115" s="32">
        <v>118.48</v>
      </c>
      <c r="N115" s="66">
        <f>SALIDAS[[#This Row],[COSTO]]*0.18</f>
        <v>21.3264</v>
      </c>
      <c r="O115" s="66"/>
      <c r="P115" s="143">
        <f>SALIDAS[[#This Row],[COSTO]]+SALIDAS[[#This Row],[IGV]]+SALIDAS[[#This Row],[INAFECTO]]</f>
        <v>139.8064</v>
      </c>
      <c r="Q115" s="22" t="s">
        <v>443</v>
      </c>
      <c r="T115"/>
      <c r="U115" s="78"/>
    </row>
    <row r="116" spans="1:21" ht="15" customHeight="1" x14ac:dyDescent="0.25">
      <c r="A116" s="56">
        <v>110</v>
      </c>
      <c r="B116" s="64">
        <v>43516</v>
      </c>
      <c r="C116" s="30" t="str">
        <f>TEXT(SALIDAS[[#This Row],[FECHA]],"mmmm")</f>
        <v>Febrero</v>
      </c>
      <c r="D116" s="27" t="s">
        <v>10</v>
      </c>
      <c r="E116" s="55" t="s">
        <v>414</v>
      </c>
      <c r="F116" s="65">
        <v>2</v>
      </c>
      <c r="G116" s="21" t="s">
        <v>415</v>
      </c>
      <c r="H116" s="21" t="s">
        <v>85</v>
      </c>
      <c r="I116" s="21" t="str">
        <f ca="1">OFFSET(OT[[#Headers],[T. CUENTA]],MATCH($H116,OT[T. CUENTA],0),1)</f>
        <v>COSTO DIRECTO</v>
      </c>
      <c r="J116" s="26" t="s">
        <v>155</v>
      </c>
      <c r="K116" s="21" t="s">
        <v>65</v>
      </c>
      <c r="L116" s="33">
        <v>1</v>
      </c>
      <c r="M116" s="32">
        <v>291.52999999999997</v>
      </c>
      <c r="N116" s="66">
        <f>SALIDAS[[#This Row],[COSTO]]*0.18</f>
        <v>52.475399999999993</v>
      </c>
      <c r="O116" s="66"/>
      <c r="P116" s="143">
        <f>SALIDAS[[#This Row],[COSTO]]+SALIDAS[[#This Row],[IGV]]+SALIDAS[[#This Row],[INAFECTO]]</f>
        <v>344.00539999999995</v>
      </c>
      <c r="Q116" s="22" t="s">
        <v>416</v>
      </c>
      <c r="T116"/>
      <c r="U116" s="78"/>
    </row>
    <row r="117" spans="1:21" ht="15" customHeight="1" x14ac:dyDescent="0.25">
      <c r="A117" s="56">
        <v>111</v>
      </c>
      <c r="B117" s="64">
        <v>43494</v>
      </c>
      <c r="C117" s="30" t="str">
        <f>TEXT(SALIDAS[[#This Row],[FECHA]],"mmmm")</f>
        <v>Enero</v>
      </c>
      <c r="D117" s="27" t="s">
        <v>135</v>
      </c>
      <c r="E117" s="55" t="s">
        <v>417</v>
      </c>
      <c r="F117" s="65">
        <v>2</v>
      </c>
      <c r="G117" s="21" t="s">
        <v>418</v>
      </c>
      <c r="H117" s="21" t="s">
        <v>85</v>
      </c>
      <c r="I117" s="21" t="str">
        <f ca="1">OFFSET(OT[[#Headers],[T. CUENTA]],MATCH($H117,OT[T. CUENTA],0),1)</f>
        <v>COSTO DIRECTO</v>
      </c>
      <c r="J117" s="26" t="s">
        <v>155</v>
      </c>
      <c r="K117" s="21" t="s">
        <v>65</v>
      </c>
      <c r="L117" s="33">
        <v>1</v>
      </c>
      <c r="M117" s="32">
        <v>110.08</v>
      </c>
      <c r="N117" s="66">
        <f>SALIDAS[[#This Row],[COSTO]]*0.18</f>
        <v>19.814399999999999</v>
      </c>
      <c r="O117" s="66"/>
      <c r="P117" s="143">
        <f>SALIDAS[[#This Row],[COSTO]]+SALIDAS[[#This Row],[IGV]]+SALIDAS[[#This Row],[INAFECTO]]</f>
        <v>129.89439999999999</v>
      </c>
      <c r="Q117" s="22" t="s">
        <v>378</v>
      </c>
      <c r="T117"/>
      <c r="U117" s="78"/>
    </row>
    <row r="118" spans="1:21" x14ac:dyDescent="0.25">
      <c r="A118" s="56">
        <v>112</v>
      </c>
      <c r="B118" s="64">
        <v>43496</v>
      </c>
      <c r="C118" s="30" t="str">
        <f>TEXT(SALIDAS[[#This Row],[FECHA]],"mmmm")</f>
        <v>Enero</v>
      </c>
      <c r="D118" s="27" t="s">
        <v>10</v>
      </c>
      <c r="E118" s="55" t="s">
        <v>446</v>
      </c>
      <c r="F118" s="65">
        <v>2</v>
      </c>
      <c r="G118" s="21" t="s">
        <v>447</v>
      </c>
      <c r="H118" s="21" t="s">
        <v>85</v>
      </c>
      <c r="I118" s="26" t="str">
        <f ca="1">OFFSET(OT[[#Headers],[T. CUENTA]],MATCH($H118,OT[T. CUENTA],0),1)</f>
        <v>COSTO DIRECTO</v>
      </c>
      <c r="J118" s="26" t="s">
        <v>155</v>
      </c>
      <c r="K118" s="21" t="s">
        <v>65</v>
      </c>
      <c r="L118" s="33">
        <v>1</v>
      </c>
      <c r="M118" s="32">
        <v>42.37</v>
      </c>
      <c r="N118" s="66">
        <f>SALIDAS[[#This Row],[COSTO]]*0.18</f>
        <v>7.6265999999999989</v>
      </c>
      <c r="O118" s="66"/>
      <c r="P118" s="143">
        <f>SALIDAS[[#This Row],[COSTO]]+SALIDAS[[#This Row],[IGV]]+SALIDAS[[#This Row],[INAFECTO]]</f>
        <v>49.996599999999994</v>
      </c>
      <c r="Q118" s="22" t="s">
        <v>296</v>
      </c>
      <c r="T118"/>
      <c r="U118" s="78"/>
    </row>
    <row r="119" spans="1:21" x14ac:dyDescent="0.25">
      <c r="A119" s="56">
        <v>113</v>
      </c>
      <c r="B119" s="64">
        <v>43497</v>
      </c>
      <c r="C119" s="30" t="str">
        <f>TEXT(SALIDAS[[#This Row],[FECHA]],"mmmm")</f>
        <v>Febrero</v>
      </c>
      <c r="D119" s="27" t="s">
        <v>12</v>
      </c>
      <c r="E119" s="55" t="s">
        <v>448</v>
      </c>
      <c r="F119" s="65">
        <v>2</v>
      </c>
      <c r="G119" s="21" t="s">
        <v>449</v>
      </c>
      <c r="H119" s="21" t="s">
        <v>116</v>
      </c>
      <c r="I119" s="26" t="str">
        <f ca="1">OFFSET(OT[[#Headers],[T. CUENTA]],MATCH($H119,OT[T. CUENTA],0),1)</f>
        <v>GASTOS PRESTADOS POR TERCEROS</v>
      </c>
      <c r="J119" s="26" t="s">
        <v>158</v>
      </c>
      <c r="K119" s="21" t="s">
        <v>65</v>
      </c>
      <c r="L119" s="33">
        <v>1</v>
      </c>
      <c r="M119" s="32">
        <v>110</v>
      </c>
      <c r="N119" s="66"/>
      <c r="O119" s="66"/>
      <c r="P119" s="143">
        <f>SALIDAS[[#This Row],[COSTO]]+SALIDAS[[#This Row],[IGV]]+SALIDAS[[#This Row],[INAFECTO]]</f>
        <v>110</v>
      </c>
      <c r="Q119" s="22" t="s">
        <v>450</v>
      </c>
      <c r="T119"/>
      <c r="U119" s="78"/>
    </row>
    <row r="120" spans="1:21" x14ac:dyDescent="0.25">
      <c r="A120" s="56">
        <v>114</v>
      </c>
      <c r="B120" s="64">
        <v>43507</v>
      </c>
      <c r="C120" s="30" t="str">
        <f>TEXT(SALIDAS[[#This Row],[FECHA]],"mmmm")</f>
        <v>Febrero</v>
      </c>
      <c r="D120" s="27" t="s">
        <v>12</v>
      </c>
      <c r="E120" s="55" t="s">
        <v>451</v>
      </c>
      <c r="F120" s="65">
        <v>2</v>
      </c>
      <c r="G120" s="21" t="s">
        <v>452</v>
      </c>
      <c r="H120" s="21" t="s">
        <v>109</v>
      </c>
      <c r="I120" s="26" t="str">
        <f ca="1">OFFSET(OT[[#Headers],[T. CUENTA]],MATCH($H120,OT[T. CUENTA],0),1)</f>
        <v>GASTOS PRESTADOS POR TERCEROS</v>
      </c>
      <c r="J120" s="26" t="s">
        <v>158</v>
      </c>
      <c r="K120" s="21" t="s">
        <v>65</v>
      </c>
      <c r="L120" s="33">
        <v>1</v>
      </c>
      <c r="M120" s="32">
        <v>50</v>
      </c>
      <c r="N120" s="66"/>
      <c r="O120" s="66"/>
      <c r="P120" s="143">
        <f>SALIDAS[[#This Row],[COSTO]]+SALIDAS[[#This Row],[IGV]]+SALIDAS[[#This Row],[INAFECTO]]</f>
        <v>50</v>
      </c>
      <c r="Q120" s="22" t="s">
        <v>453</v>
      </c>
      <c r="T120"/>
      <c r="U120" s="78"/>
    </row>
    <row r="121" spans="1:21" x14ac:dyDescent="0.25">
      <c r="A121" s="56">
        <v>115</v>
      </c>
      <c r="B121" s="64">
        <v>43508</v>
      </c>
      <c r="C121" s="30" t="str">
        <f>TEXT(SALIDAS[[#This Row],[FECHA]],"mmmm")</f>
        <v>Febrero</v>
      </c>
      <c r="D121" s="27" t="s">
        <v>139</v>
      </c>
      <c r="E121" s="55" t="s">
        <v>454</v>
      </c>
      <c r="F121" s="65">
        <v>2</v>
      </c>
      <c r="G121" s="21" t="s">
        <v>455</v>
      </c>
      <c r="H121" s="21" t="s">
        <v>107</v>
      </c>
      <c r="I121" s="26" t="str">
        <f ca="1">OFFSET(OT[[#Headers],[T. CUENTA]],MATCH($H121,OT[T. CUENTA],0),1)</f>
        <v>GASTOS PRESTADOS POR TERCEROS</v>
      </c>
      <c r="J121" s="26" t="s">
        <v>158</v>
      </c>
      <c r="K121" s="21" t="s">
        <v>65</v>
      </c>
      <c r="L121" s="33">
        <v>1</v>
      </c>
      <c r="M121" s="32">
        <v>25</v>
      </c>
      <c r="N121" s="66"/>
      <c r="O121" s="66"/>
      <c r="P121" s="143">
        <f>SALIDAS[[#This Row],[COSTO]]+SALIDAS[[#This Row],[IGV]]+SALIDAS[[#This Row],[INAFECTO]]</f>
        <v>25</v>
      </c>
      <c r="Q121" s="85" t="s">
        <v>477</v>
      </c>
      <c r="T121"/>
      <c r="U121" s="78"/>
    </row>
    <row r="122" spans="1:21" x14ac:dyDescent="0.25">
      <c r="A122" s="56">
        <v>116</v>
      </c>
      <c r="B122" s="64">
        <v>43515</v>
      </c>
      <c r="C122" s="30" t="str">
        <f>TEXT(SALIDAS[[#This Row],[FECHA]],"mmmm")</f>
        <v>Febrero</v>
      </c>
      <c r="D122" s="27" t="s">
        <v>139</v>
      </c>
      <c r="E122" s="55" t="s">
        <v>456</v>
      </c>
      <c r="F122" s="65">
        <v>2</v>
      </c>
      <c r="G122" s="21" t="s">
        <v>457</v>
      </c>
      <c r="H122" s="21" t="s">
        <v>132</v>
      </c>
      <c r="I122" s="26" t="str">
        <f ca="1">OFFSET(OT[[#Headers],[T. CUENTA]],MATCH($H122,OT[T. CUENTA],0),1)</f>
        <v>GASTOS ADMINISTRATIVOS</v>
      </c>
      <c r="J122" s="26" t="s">
        <v>158</v>
      </c>
      <c r="K122" s="21" t="s">
        <v>65</v>
      </c>
      <c r="L122" s="33">
        <v>1</v>
      </c>
      <c r="M122" s="32">
        <v>48</v>
      </c>
      <c r="N122" s="66"/>
      <c r="O122" s="66"/>
      <c r="P122" s="143">
        <f>SALIDAS[[#This Row],[COSTO]]+SALIDAS[[#This Row],[IGV]]+SALIDAS[[#This Row],[INAFECTO]]</f>
        <v>48</v>
      </c>
      <c r="Q122" s="22" t="s">
        <v>458</v>
      </c>
      <c r="T122"/>
      <c r="U122" s="78"/>
    </row>
    <row r="123" spans="1:21" x14ac:dyDescent="0.25">
      <c r="A123" s="56">
        <v>117</v>
      </c>
      <c r="B123" s="64">
        <v>43516</v>
      </c>
      <c r="C123" s="30" t="str">
        <f>TEXT(SALIDAS[[#This Row],[FECHA]],"mmmm")</f>
        <v>Febrero</v>
      </c>
      <c r="D123" s="27" t="s">
        <v>10</v>
      </c>
      <c r="E123" s="55" t="s">
        <v>459</v>
      </c>
      <c r="F123" s="65">
        <v>2</v>
      </c>
      <c r="G123" s="21" t="s">
        <v>460</v>
      </c>
      <c r="H123" s="21" t="s">
        <v>93</v>
      </c>
      <c r="I123" s="26" t="str">
        <f ca="1">OFFSET(OT[[#Headers],[T. CUENTA]],MATCH($H123,OT[T. CUENTA],0),1)</f>
        <v>GASTOS DE PERSONAL</v>
      </c>
      <c r="J123" s="26" t="s">
        <v>158</v>
      </c>
      <c r="K123" s="21" t="s">
        <v>65</v>
      </c>
      <c r="L123" s="33">
        <v>1</v>
      </c>
      <c r="M123" s="32">
        <v>21.19</v>
      </c>
      <c r="N123" s="66">
        <f>SALIDAS[[#This Row],[COSTO]]*0.18</f>
        <v>3.8142</v>
      </c>
      <c r="O123" s="66"/>
      <c r="P123" s="143">
        <f>SALIDAS[[#This Row],[COSTO]]+SALIDAS[[#This Row],[IGV]]+SALIDAS[[#This Row],[INAFECTO]]</f>
        <v>25.004200000000001</v>
      </c>
      <c r="Q123" s="22" t="s">
        <v>461</v>
      </c>
      <c r="T123"/>
      <c r="U123" s="78"/>
    </row>
    <row r="124" spans="1:21" x14ac:dyDescent="0.25">
      <c r="A124" s="56">
        <v>118</v>
      </c>
      <c r="B124" s="64">
        <v>43517</v>
      </c>
      <c r="C124" s="30" t="str">
        <f>TEXT(SALIDAS[[#This Row],[FECHA]],"mmmm")</f>
        <v>Febrero</v>
      </c>
      <c r="D124" s="27" t="s">
        <v>138</v>
      </c>
      <c r="E124" s="55" t="s">
        <v>462</v>
      </c>
      <c r="F124" s="65">
        <v>2</v>
      </c>
      <c r="G124" s="21" t="s">
        <v>463</v>
      </c>
      <c r="H124" s="21" t="s">
        <v>127</v>
      </c>
      <c r="I124" s="26" t="str">
        <f ca="1">OFFSET(OT[[#Headers],[T. CUENTA]],MATCH($H124,OT[T. CUENTA],0),1)</f>
        <v>GASTOS PRESTADOS POR TERCEROS</v>
      </c>
      <c r="J124" s="26" t="s">
        <v>155</v>
      </c>
      <c r="K124" s="21" t="s">
        <v>65</v>
      </c>
      <c r="L124" s="33">
        <v>1</v>
      </c>
      <c r="M124" s="32">
        <v>368</v>
      </c>
      <c r="N124" s="66"/>
      <c r="O124" s="66"/>
      <c r="P124" s="143">
        <f>SALIDAS[[#This Row],[COSTO]]+SALIDAS[[#This Row],[IGV]]+SALIDAS[[#This Row],[INAFECTO]]</f>
        <v>368</v>
      </c>
      <c r="Q124" s="22" t="s">
        <v>373</v>
      </c>
      <c r="T124"/>
      <c r="U124" s="78"/>
    </row>
    <row r="125" spans="1:21" x14ac:dyDescent="0.25">
      <c r="A125" s="56">
        <v>119</v>
      </c>
      <c r="B125" s="64">
        <v>43517</v>
      </c>
      <c r="C125" s="30" t="str">
        <f>TEXT(SALIDAS[[#This Row],[FECHA]],"mmmm")</f>
        <v>Febrero</v>
      </c>
      <c r="D125" s="27" t="s">
        <v>141</v>
      </c>
      <c r="E125" s="55" t="s">
        <v>454</v>
      </c>
      <c r="F125" s="65">
        <v>2</v>
      </c>
      <c r="G125" s="21" t="s">
        <v>464</v>
      </c>
      <c r="H125" s="21" t="s">
        <v>126</v>
      </c>
      <c r="I125" s="26" t="str">
        <f ca="1">OFFSET(OT[[#Headers],[T. CUENTA]],MATCH($H125,OT[T. CUENTA],0),1)</f>
        <v>GASTOS DE PERSONAL</v>
      </c>
      <c r="J125" s="26" t="s">
        <v>158</v>
      </c>
      <c r="K125" s="21" t="s">
        <v>65</v>
      </c>
      <c r="L125" s="33">
        <v>1</v>
      </c>
      <c r="M125" s="32">
        <v>25</v>
      </c>
      <c r="N125" s="66"/>
      <c r="O125" s="66"/>
      <c r="P125" s="143">
        <f>SALIDAS[[#This Row],[COSTO]]+SALIDAS[[#This Row],[IGV]]+SALIDAS[[#This Row],[INAFECTO]]</f>
        <v>25</v>
      </c>
      <c r="Q125" s="22" t="s">
        <v>465</v>
      </c>
      <c r="T125"/>
      <c r="U125" s="78"/>
    </row>
    <row r="126" spans="1:21" x14ac:dyDescent="0.25">
      <c r="A126" s="56">
        <v>120</v>
      </c>
      <c r="B126" s="64">
        <v>43519</v>
      </c>
      <c r="C126" s="30" t="str">
        <f>TEXT(SALIDAS[[#This Row],[FECHA]],"mmmm")</f>
        <v>Febrero</v>
      </c>
      <c r="D126" s="27" t="s">
        <v>138</v>
      </c>
      <c r="E126" s="55" t="s">
        <v>467</v>
      </c>
      <c r="F126" s="65">
        <v>2</v>
      </c>
      <c r="G126" s="21" t="s">
        <v>468</v>
      </c>
      <c r="H126" s="21" t="s">
        <v>112</v>
      </c>
      <c r="I126" s="26" t="str">
        <f ca="1">OFFSET(OT[[#Headers],[T. CUENTA]],MATCH($H126,OT[T. CUENTA],0),1)</f>
        <v>GASTOS PRESTADOS POR TERCEROS</v>
      </c>
      <c r="J126" s="26" t="s">
        <v>158</v>
      </c>
      <c r="K126" s="21" t="s">
        <v>65</v>
      </c>
      <c r="L126" s="33">
        <v>1</v>
      </c>
      <c r="M126" s="32">
        <v>385</v>
      </c>
      <c r="N126" s="66"/>
      <c r="O126" s="66"/>
      <c r="P126" s="143">
        <f>SALIDAS[[#This Row],[COSTO]]+SALIDAS[[#This Row],[IGV]]+SALIDAS[[#This Row],[INAFECTO]]</f>
        <v>385</v>
      </c>
      <c r="Q126" s="22" t="s">
        <v>331</v>
      </c>
      <c r="T126"/>
      <c r="U126" s="78"/>
    </row>
    <row r="127" spans="1:21" x14ac:dyDescent="0.25">
      <c r="A127" s="56">
        <v>121</v>
      </c>
      <c r="B127" s="64">
        <v>43519</v>
      </c>
      <c r="C127" s="30" t="str">
        <f>TEXT(SALIDAS[[#This Row],[FECHA]],"mmmm")</f>
        <v>Febrero</v>
      </c>
      <c r="D127" s="27" t="s">
        <v>139</v>
      </c>
      <c r="E127" s="55" t="s">
        <v>469</v>
      </c>
      <c r="F127" s="65">
        <v>2</v>
      </c>
      <c r="G127" s="21" t="s">
        <v>470</v>
      </c>
      <c r="H127" s="21" t="s">
        <v>120</v>
      </c>
      <c r="I127" s="26" t="str">
        <f ca="1">OFFSET(OT[[#Headers],[T. CUENTA]],MATCH($H127,OT[T. CUENTA],0),1)</f>
        <v>GASTOS PRESTADOS POR TERCEROS</v>
      </c>
      <c r="J127" s="26" t="s">
        <v>158</v>
      </c>
      <c r="K127" s="21" t="s">
        <v>65</v>
      </c>
      <c r="L127" s="33">
        <v>1</v>
      </c>
      <c r="M127" s="32">
        <v>30</v>
      </c>
      <c r="N127" s="66"/>
      <c r="O127" s="66"/>
      <c r="P127" s="143">
        <f>SALIDAS[[#This Row],[COSTO]]+SALIDAS[[#This Row],[IGV]]+SALIDAS[[#This Row],[INAFECTO]]</f>
        <v>30</v>
      </c>
      <c r="Q127" s="85" t="s">
        <v>477</v>
      </c>
      <c r="T127"/>
      <c r="U127" s="78"/>
    </row>
    <row r="128" spans="1:21" x14ac:dyDescent="0.25">
      <c r="A128" s="56">
        <v>122</v>
      </c>
      <c r="B128" s="64">
        <v>43519</v>
      </c>
      <c r="C128" s="30" t="str">
        <f>TEXT(SALIDAS[[#This Row],[FECHA]],"mmmm")</f>
        <v>Febrero</v>
      </c>
      <c r="D128" s="27" t="s">
        <v>135</v>
      </c>
      <c r="E128" s="55" t="s">
        <v>471</v>
      </c>
      <c r="F128" s="65">
        <v>2</v>
      </c>
      <c r="G128" s="21" t="s">
        <v>472</v>
      </c>
      <c r="H128" s="21" t="s">
        <v>85</v>
      </c>
      <c r="I128" s="26" t="str">
        <f ca="1">OFFSET(OT[[#Headers],[T. CUENTA]],MATCH($H128,OT[T. CUENTA],0),1)</f>
        <v>COSTO DIRECTO</v>
      </c>
      <c r="J128" s="26" t="s">
        <v>156</v>
      </c>
      <c r="K128" s="21" t="s">
        <v>65</v>
      </c>
      <c r="L128" s="33">
        <v>1</v>
      </c>
      <c r="M128" s="32">
        <v>364.41</v>
      </c>
      <c r="N128" s="66">
        <f>SALIDAS[[#This Row],[COSTO]]*0.18</f>
        <v>65.593800000000002</v>
      </c>
      <c r="O128" s="66"/>
      <c r="P128" s="143">
        <f>SALIDAS[[#This Row],[COSTO]]+SALIDAS[[#This Row],[IGV]]+SALIDAS[[#This Row],[INAFECTO]]</f>
        <v>430.00380000000001</v>
      </c>
      <c r="Q128" s="22" t="s">
        <v>388</v>
      </c>
      <c r="T128"/>
      <c r="U128" s="78"/>
    </row>
    <row r="129" spans="1:21" x14ac:dyDescent="0.25">
      <c r="A129" s="56">
        <v>123</v>
      </c>
      <c r="B129" s="64">
        <v>43519</v>
      </c>
      <c r="C129" s="30" t="str">
        <f>TEXT(SALIDAS[[#This Row],[FECHA]],"mmmm")</f>
        <v>Febrero</v>
      </c>
      <c r="D129" s="27" t="s">
        <v>138</v>
      </c>
      <c r="E129" s="55" t="s">
        <v>328</v>
      </c>
      <c r="F129" s="65">
        <v>2</v>
      </c>
      <c r="G129" s="21" t="s">
        <v>473</v>
      </c>
      <c r="H129" s="21" t="s">
        <v>109</v>
      </c>
      <c r="I129" s="26" t="str">
        <f ca="1">OFFSET(OT[[#Headers],[T. CUENTA]],MATCH($H129,OT[T. CUENTA],0),1)</f>
        <v>GASTOS PRESTADOS POR TERCEROS</v>
      </c>
      <c r="J129" s="26" t="s">
        <v>158</v>
      </c>
      <c r="K129" s="21" t="s">
        <v>65</v>
      </c>
      <c r="L129" s="33">
        <v>1</v>
      </c>
      <c r="M129" s="32">
        <v>390</v>
      </c>
      <c r="N129" s="66"/>
      <c r="O129" s="66"/>
      <c r="P129" s="143">
        <f>SALIDAS[[#This Row],[COSTO]]+SALIDAS[[#This Row],[IGV]]+SALIDAS[[#This Row],[INAFECTO]]</f>
        <v>390</v>
      </c>
      <c r="Q129" s="22" t="s">
        <v>474</v>
      </c>
      <c r="T129"/>
      <c r="U129" s="78"/>
    </row>
    <row r="130" spans="1:21" x14ac:dyDescent="0.25">
      <c r="A130" s="56">
        <v>124</v>
      </c>
      <c r="B130" s="64">
        <v>43520</v>
      </c>
      <c r="C130" s="30" t="str">
        <f>TEXT(SALIDAS[[#This Row],[FECHA]],"mmmm")</f>
        <v>Febrero</v>
      </c>
      <c r="D130" s="27" t="s">
        <v>141</v>
      </c>
      <c r="E130" s="55" t="s">
        <v>469</v>
      </c>
      <c r="F130" s="65">
        <v>2</v>
      </c>
      <c r="G130" s="21" t="s">
        <v>464</v>
      </c>
      <c r="H130" s="21" t="s">
        <v>126</v>
      </c>
      <c r="I130" s="26" t="str">
        <f ca="1">OFFSET(OT[[#Headers],[T. CUENTA]],MATCH($H130,OT[T. CUENTA],0),1)</f>
        <v>GASTOS DE PERSONAL</v>
      </c>
      <c r="J130" s="26" t="s">
        <v>158</v>
      </c>
      <c r="K130" s="21" t="s">
        <v>65</v>
      </c>
      <c r="L130" s="33">
        <v>1</v>
      </c>
      <c r="M130" s="32">
        <v>100</v>
      </c>
      <c r="N130" s="66"/>
      <c r="O130" s="66"/>
      <c r="P130" s="143">
        <f>SALIDAS[[#This Row],[COSTO]]+SALIDAS[[#This Row],[IGV]]+SALIDAS[[#This Row],[INAFECTO]]</f>
        <v>100</v>
      </c>
      <c r="Q130" s="85" t="s">
        <v>477</v>
      </c>
      <c r="T130"/>
      <c r="U130" s="78"/>
    </row>
    <row r="131" spans="1:21" x14ac:dyDescent="0.25">
      <c r="A131" s="56">
        <v>125</v>
      </c>
      <c r="B131" s="64">
        <v>43497</v>
      </c>
      <c r="C131" s="30" t="str">
        <f>TEXT(SALIDAS[[#This Row],[FECHA]],"mmmm")</f>
        <v>Febrero</v>
      </c>
      <c r="D131" s="27" t="s">
        <v>12</v>
      </c>
      <c r="E131" s="55" t="s">
        <v>479</v>
      </c>
      <c r="F131" s="65">
        <v>3</v>
      </c>
      <c r="G131" s="146" t="s">
        <v>480</v>
      </c>
      <c r="H131" s="146" t="s">
        <v>118</v>
      </c>
      <c r="I131" s="147" t="str">
        <f ca="1">OFFSET(OT[[#Headers],[T. CUENTA]],MATCH($H131,OT[T. CUENTA],0),1)</f>
        <v>GASTOS PRESTADOS POR TERCEROS</v>
      </c>
      <c r="J131" s="26" t="s">
        <v>158</v>
      </c>
      <c r="K131" s="146" t="s">
        <v>65</v>
      </c>
      <c r="L131" s="148">
        <v>1</v>
      </c>
      <c r="M131" s="149">
        <v>25</v>
      </c>
      <c r="N131" s="150"/>
      <c r="O131" s="150"/>
      <c r="P131" s="144">
        <f>SALIDAS[[#This Row],[COSTO]]+SALIDAS[[#This Row],[IGV]]+SALIDAS[[#This Row],[INAFECTO]]</f>
        <v>25</v>
      </c>
      <c r="Q131" s="151" t="s">
        <v>315</v>
      </c>
      <c r="T131"/>
      <c r="U131" s="78"/>
    </row>
    <row r="132" spans="1:21" x14ac:dyDescent="0.25">
      <c r="A132" s="56">
        <v>126</v>
      </c>
      <c r="B132" s="64">
        <v>43497</v>
      </c>
      <c r="C132" s="30" t="str">
        <f>TEXT(SALIDAS[[#This Row],[FECHA]],"mmmm")</f>
        <v>Febrero</v>
      </c>
      <c r="D132" s="27" t="s">
        <v>12</v>
      </c>
      <c r="E132" s="55" t="s">
        <v>481</v>
      </c>
      <c r="F132" s="65">
        <v>3</v>
      </c>
      <c r="G132" s="146" t="s">
        <v>482</v>
      </c>
      <c r="H132" s="146" t="s">
        <v>132</v>
      </c>
      <c r="I132" s="147" t="str">
        <f ca="1">OFFSET(OT[[#Headers],[T. CUENTA]],MATCH($H132,OT[T. CUENTA],0),1)</f>
        <v>GASTOS ADMINISTRATIVOS</v>
      </c>
      <c r="J132" s="26" t="s">
        <v>158</v>
      </c>
      <c r="K132" s="146" t="s">
        <v>65</v>
      </c>
      <c r="L132" s="148">
        <v>1</v>
      </c>
      <c r="M132" s="149">
        <v>14</v>
      </c>
      <c r="N132" s="150"/>
      <c r="O132" s="150"/>
      <c r="P132" s="144">
        <f>SALIDAS[[#This Row],[COSTO]]+SALIDAS[[#This Row],[IGV]]+SALIDAS[[#This Row],[INAFECTO]]</f>
        <v>14</v>
      </c>
      <c r="Q132" s="151" t="s">
        <v>315</v>
      </c>
      <c r="T132"/>
      <c r="U132" s="78"/>
    </row>
    <row r="133" spans="1:21" x14ac:dyDescent="0.25">
      <c r="A133" s="56">
        <v>127</v>
      </c>
      <c r="B133" s="64">
        <v>43501</v>
      </c>
      <c r="C133" s="30" t="str">
        <f>TEXT(SALIDAS[[#This Row],[FECHA]],"mmmm")</f>
        <v>Febrero</v>
      </c>
      <c r="D133" s="27" t="s">
        <v>12</v>
      </c>
      <c r="E133" s="55" t="s">
        <v>483</v>
      </c>
      <c r="F133" s="65">
        <v>3</v>
      </c>
      <c r="G133" s="146" t="s">
        <v>484</v>
      </c>
      <c r="H133" s="146" t="s">
        <v>106</v>
      </c>
      <c r="I133" s="147" t="str">
        <f ca="1">OFFSET(OT[[#Headers],[T. CUENTA]],MATCH($H133,OT[T. CUENTA],0),1)</f>
        <v>GASTOS DE PERSONAL</v>
      </c>
      <c r="J133" s="26" t="s">
        <v>158</v>
      </c>
      <c r="K133" s="146" t="s">
        <v>65</v>
      </c>
      <c r="L133" s="148">
        <v>1</v>
      </c>
      <c r="M133" s="149">
        <v>20</v>
      </c>
      <c r="N133" s="150"/>
      <c r="O133" s="150"/>
      <c r="P133" s="144">
        <f>SALIDAS[[#This Row],[COSTO]]+SALIDAS[[#This Row],[IGV]]+SALIDAS[[#This Row],[INAFECTO]]</f>
        <v>20</v>
      </c>
      <c r="Q133" s="151" t="s">
        <v>485</v>
      </c>
      <c r="T133"/>
      <c r="U133" s="78"/>
    </row>
    <row r="134" spans="1:21" x14ac:dyDescent="0.25">
      <c r="A134" s="56">
        <v>128</v>
      </c>
      <c r="B134" s="64">
        <v>43516</v>
      </c>
      <c r="C134" s="30" t="str">
        <f>TEXT(SALIDAS[[#This Row],[FECHA]],"mmmm")</f>
        <v>Febrero</v>
      </c>
      <c r="D134" s="27" t="s">
        <v>135</v>
      </c>
      <c r="E134" s="55" t="s">
        <v>486</v>
      </c>
      <c r="F134" s="65">
        <v>3</v>
      </c>
      <c r="G134" s="21" t="s">
        <v>487</v>
      </c>
      <c r="H134" s="146" t="s">
        <v>126</v>
      </c>
      <c r="I134" s="147" t="str">
        <f ca="1">OFFSET(OT[[#Headers],[T. CUENTA]],MATCH($H134,OT[T. CUENTA],0),1)</f>
        <v>GASTOS DE PERSONAL</v>
      </c>
      <c r="J134" s="26" t="s">
        <v>158</v>
      </c>
      <c r="K134" s="21" t="s">
        <v>65</v>
      </c>
      <c r="L134" s="148">
        <v>1</v>
      </c>
      <c r="M134" s="149">
        <v>50</v>
      </c>
      <c r="N134" s="150"/>
      <c r="O134" s="150"/>
      <c r="P134" s="144">
        <f>SALIDAS[[#This Row],[COSTO]]+SALIDAS[[#This Row],[IGV]]+SALIDAS[[#This Row],[INAFECTO]]</f>
        <v>50</v>
      </c>
      <c r="Q134" s="22" t="s">
        <v>488</v>
      </c>
      <c r="T134"/>
      <c r="U134" s="78"/>
    </row>
    <row r="135" spans="1:21" x14ac:dyDescent="0.25">
      <c r="A135" s="56">
        <v>129</v>
      </c>
      <c r="B135" s="64">
        <v>43521</v>
      </c>
      <c r="C135" s="30" t="str">
        <f>TEXT(SALIDAS[[#This Row],[FECHA]],"mmmm")</f>
        <v>Febrero</v>
      </c>
      <c r="D135" s="27" t="s">
        <v>135</v>
      </c>
      <c r="E135" s="55" t="s">
        <v>489</v>
      </c>
      <c r="F135" s="65">
        <v>3</v>
      </c>
      <c r="G135" s="146" t="s">
        <v>490</v>
      </c>
      <c r="H135" s="146" t="s">
        <v>105</v>
      </c>
      <c r="I135" s="147" t="str">
        <f ca="1">OFFSET(OT[[#Headers],[T. CUENTA]],MATCH($H135,OT[T. CUENTA],0),1)</f>
        <v>GASTOS PRESTADOS POR TERCEROS</v>
      </c>
      <c r="J135" s="147" t="s">
        <v>158</v>
      </c>
      <c r="K135" s="146" t="s">
        <v>25</v>
      </c>
      <c r="L135" s="148">
        <v>1</v>
      </c>
      <c r="M135" s="149">
        <v>84.75</v>
      </c>
      <c r="N135" s="150">
        <f>SALIDAS[[#This Row],[COSTO]]*0.18</f>
        <v>15.254999999999999</v>
      </c>
      <c r="O135" s="150"/>
      <c r="P135" s="153">
        <f>SALIDAS[[#This Row],[COSTO]]+SALIDAS[[#This Row],[IGV]]+SALIDAS[[#This Row],[INAFECTO]]</f>
        <v>100.005</v>
      </c>
      <c r="Q135" s="151" t="s">
        <v>223</v>
      </c>
      <c r="T135"/>
      <c r="U135" s="78"/>
    </row>
    <row r="136" spans="1:21" x14ac:dyDescent="0.25">
      <c r="A136" s="56">
        <v>130</v>
      </c>
      <c r="B136" s="64">
        <v>43528</v>
      </c>
      <c r="C136" s="30" t="str">
        <f>TEXT(SALIDAS[[#This Row],[FECHA]],"mmmm")</f>
        <v>Marzo</v>
      </c>
      <c r="D136" s="27" t="s">
        <v>135</v>
      </c>
      <c r="E136" s="55" t="s">
        <v>491</v>
      </c>
      <c r="F136" s="65">
        <v>3</v>
      </c>
      <c r="G136" s="146" t="s">
        <v>492</v>
      </c>
      <c r="H136" s="146" t="s">
        <v>110</v>
      </c>
      <c r="I136" s="147" t="str">
        <f ca="1">OFFSET(OT[[#Headers],[T. CUENTA]],MATCH($H136,OT[T. CUENTA],0),1)</f>
        <v>GASTOS ADMINISTRATIVOS</v>
      </c>
      <c r="J136" s="147" t="s">
        <v>158</v>
      </c>
      <c r="K136" s="146" t="s">
        <v>25</v>
      </c>
      <c r="L136" s="148">
        <v>1</v>
      </c>
      <c r="M136" s="149">
        <v>330.51</v>
      </c>
      <c r="N136" s="150">
        <f>SALIDAS[[#This Row],[COSTO]]*0.18</f>
        <v>59.491799999999998</v>
      </c>
      <c r="O136" s="150"/>
      <c r="P136" s="153">
        <f>SALIDAS[[#This Row],[COSTO]]+SALIDAS[[#This Row],[IGV]]+SALIDAS[[#This Row],[INAFECTO]]</f>
        <v>390.0018</v>
      </c>
      <c r="Q136" s="151" t="s">
        <v>223</v>
      </c>
      <c r="T136"/>
      <c r="U136" s="78"/>
    </row>
    <row r="137" spans="1:21" x14ac:dyDescent="0.25">
      <c r="A137" s="56">
        <v>131</v>
      </c>
      <c r="B137" s="64">
        <v>43515</v>
      </c>
      <c r="C137" s="30" t="str">
        <f>TEXT(SALIDAS[[#This Row],[FECHA]],"mmmm")</f>
        <v>Febrero</v>
      </c>
      <c r="D137" s="27" t="s">
        <v>135</v>
      </c>
      <c r="E137" s="55" t="s">
        <v>493</v>
      </c>
      <c r="F137" s="65">
        <v>3</v>
      </c>
      <c r="G137" s="146" t="s">
        <v>494</v>
      </c>
      <c r="H137" s="146" t="s">
        <v>132</v>
      </c>
      <c r="I137" s="147" t="str">
        <f ca="1">OFFSET(OT[[#Headers],[T. CUENTA]],MATCH($H137,OT[T. CUENTA],0),1)</f>
        <v>GASTOS ADMINISTRATIVOS</v>
      </c>
      <c r="J137" s="147" t="s">
        <v>228</v>
      </c>
      <c r="K137" s="146" t="s">
        <v>65</v>
      </c>
      <c r="L137" s="148">
        <v>1</v>
      </c>
      <c r="M137" s="149">
        <v>70.25</v>
      </c>
      <c r="N137" s="150">
        <f>SALIDAS[[#This Row],[COSTO]]*0.18</f>
        <v>12.645</v>
      </c>
      <c r="O137" s="150"/>
      <c r="P137" s="153">
        <f>SALIDAS[[#This Row],[COSTO]]+SALIDAS[[#This Row],[IGV]]+SALIDAS[[#This Row],[INAFECTO]]</f>
        <v>82.894999999999996</v>
      </c>
      <c r="Q137" s="151" t="s">
        <v>495</v>
      </c>
      <c r="T137"/>
      <c r="U137" s="78"/>
    </row>
    <row r="138" spans="1:21" x14ac:dyDescent="0.25">
      <c r="A138" s="56">
        <v>132</v>
      </c>
      <c r="B138" s="64">
        <v>43501</v>
      </c>
      <c r="C138" s="30" t="str">
        <f>TEXT(SALIDAS[[#This Row],[FECHA]],"mmmm")</f>
        <v>Febrero</v>
      </c>
      <c r="D138" s="27" t="s">
        <v>10</v>
      </c>
      <c r="E138" s="55" t="s">
        <v>496</v>
      </c>
      <c r="F138" s="65">
        <v>3</v>
      </c>
      <c r="G138" s="146" t="s">
        <v>497</v>
      </c>
      <c r="H138" s="146" t="s">
        <v>126</v>
      </c>
      <c r="I138" s="147" t="str">
        <f ca="1">OFFSET(OT[[#Headers],[T. CUENTA]],MATCH($H138,OT[T. CUENTA],0),1)</f>
        <v>GASTOS DE PERSONAL</v>
      </c>
      <c r="J138" s="147" t="s">
        <v>158</v>
      </c>
      <c r="K138" s="146" t="s">
        <v>65</v>
      </c>
      <c r="L138" s="148">
        <v>1</v>
      </c>
      <c r="M138" s="149">
        <v>30</v>
      </c>
      <c r="N138" s="150">
        <v>0</v>
      </c>
      <c r="O138" s="150"/>
      <c r="P138" s="152">
        <f>SALIDAS[[#This Row],[COSTO]]+SALIDAS[[#This Row],[IGV]]+SALIDAS[[#This Row],[INAFECTO]]</f>
        <v>30</v>
      </c>
      <c r="Q138" s="151" t="s">
        <v>688</v>
      </c>
      <c r="T138"/>
      <c r="U138" s="78"/>
    </row>
    <row r="139" spans="1:21" x14ac:dyDescent="0.25">
      <c r="A139" s="56">
        <v>133</v>
      </c>
      <c r="B139" s="64">
        <v>43525</v>
      </c>
      <c r="C139" s="30" t="str">
        <f>TEXT(SALIDAS[[#This Row],[FECHA]],"mmmm")</f>
        <v>Marzo</v>
      </c>
      <c r="D139" s="27" t="s">
        <v>12</v>
      </c>
      <c r="E139" s="55" t="s">
        <v>498</v>
      </c>
      <c r="F139" s="65">
        <v>3</v>
      </c>
      <c r="G139" s="146" t="s">
        <v>499</v>
      </c>
      <c r="H139" s="146" t="s">
        <v>198</v>
      </c>
      <c r="I139" s="147" t="str">
        <f ca="1">OFFSET(OT[[#Headers],[T. CUENTA]],MATCH($H139,OT[T. CUENTA],0),1)</f>
        <v>GASTOS PRESTADOS POR TERCEROS</v>
      </c>
      <c r="J139" s="147" t="s">
        <v>158</v>
      </c>
      <c r="K139" s="146" t="s">
        <v>65</v>
      </c>
      <c r="L139" s="148">
        <v>1</v>
      </c>
      <c r="M139" s="149">
        <v>485.5</v>
      </c>
      <c r="N139" s="150">
        <v>0</v>
      </c>
      <c r="O139" s="150"/>
      <c r="P139" s="153">
        <f>SALIDAS[[#This Row],[COSTO]]+SALIDAS[[#This Row],[IGV]]+SALIDAS[[#This Row],[INAFECTO]]</f>
        <v>485.5</v>
      </c>
      <c r="Q139" s="151" t="s">
        <v>315</v>
      </c>
      <c r="T139"/>
      <c r="U139" s="78"/>
    </row>
    <row r="140" spans="1:21" x14ac:dyDescent="0.25">
      <c r="A140" s="56">
        <v>134</v>
      </c>
      <c r="B140" s="64">
        <v>43525</v>
      </c>
      <c r="C140" s="30" t="str">
        <f>TEXT(SALIDAS[[#This Row],[FECHA]],"mmmm")</f>
        <v>Marzo</v>
      </c>
      <c r="D140" s="27" t="s">
        <v>141</v>
      </c>
      <c r="E140" s="55" t="s">
        <v>476</v>
      </c>
      <c r="F140" s="65">
        <v>3</v>
      </c>
      <c r="G140" s="146" t="s">
        <v>464</v>
      </c>
      <c r="H140" s="146" t="s">
        <v>126</v>
      </c>
      <c r="I140" s="147" t="str">
        <f ca="1">OFFSET(OT[[#Headers],[T. CUENTA]],MATCH($H140,OT[T. CUENTA],0),1)</f>
        <v>GASTOS DE PERSONAL</v>
      </c>
      <c r="J140" s="147" t="s">
        <v>158</v>
      </c>
      <c r="K140" s="146" t="s">
        <v>65</v>
      </c>
      <c r="L140" s="148">
        <v>1</v>
      </c>
      <c r="M140" s="149">
        <v>50</v>
      </c>
      <c r="N140" s="150">
        <v>0</v>
      </c>
      <c r="O140" s="150"/>
      <c r="P140" s="153">
        <f>SALIDAS[[#This Row],[COSTO]]+SALIDAS[[#This Row],[IGV]]+SALIDAS[[#This Row],[INAFECTO]]</f>
        <v>50</v>
      </c>
      <c r="Q140" s="151" t="s">
        <v>500</v>
      </c>
      <c r="T140"/>
      <c r="U140" s="78"/>
    </row>
    <row r="141" spans="1:21" x14ac:dyDescent="0.25">
      <c r="A141" s="56">
        <v>135</v>
      </c>
      <c r="B141" s="64">
        <v>43525</v>
      </c>
      <c r="C141" s="30" t="str">
        <f>TEXT(SALIDAS[[#This Row],[FECHA]],"mmmm")</f>
        <v>Marzo</v>
      </c>
      <c r="D141" s="27" t="s">
        <v>141</v>
      </c>
      <c r="E141" s="55" t="s">
        <v>476</v>
      </c>
      <c r="F141" s="65">
        <v>3</v>
      </c>
      <c r="G141" s="146" t="s">
        <v>464</v>
      </c>
      <c r="H141" s="146" t="s">
        <v>106</v>
      </c>
      <c r="I141" s="147" t="str">
        <f ca="1">OFFSET(OT[[#Headers],[T. CUENTA]],MATCH($H141,OT[T. CUENTA],0),1)</f>
        <v>GASTOS DE PERSONAL</v>
      </c>
      <c r="J141" s="147" t="s">
        <v>158</v>
      </c>
      <c r="K141" s="146" t="s">
        <v>65</v>
      </c>
      <c r="L141" s="148">
        <v>1</v>
      </c>
      <c r="M141" s="149">
        <v>50</v>
      </c>
      <c r="N141" s="150">
        <v>0</v>
      </c>
      <c r="O141" s="150"/>
      <c r="P141" s="153">
        <f>SALIDAS[[#This Row],[COSTO]]+SALIDAS[[#This Row],[IGV]]+SALIDAS[[#This Row],[INAFECTO]]</f>
        <v>50</v>
      </c>
      <c r="Q141" s="151" t="s">
        <v>501</v>
      </c>
      <c r="T141"/>
      <c r="U141" s="78"/>
    </row>
    <row r="142" spans="1:21" x14ac:dyDescent="0.25">
      <c r="A142" s="56">
        <v>136</v>
      </c>
      <c r="B142" s="64">
        <v>43523</v>
      </c>
      <c r="C142" s="30" t="str">
        <f>TEXT(SALIDAS[[#This Row],[FECHA]],"mmmm")</f>
        <v>Febrero</v>
      </c>
      <c r="D142" s="27" t="s">
        <v>12</v>
      </c>
      <c r="E142" s="55" t="s">
        <v>502</v>
      </c>
      <c r="F142" s="65">
        <v>3</v>
      </c>
      <c r="G142" s="146" t="s">
        <v>503</v>
      </c>
      <c r="H142" s="146" t="s">
        <v>132</v>
      </c>
      <c r="I142" s="147" t="str">
        <f ca="1">OFFSET(OT[[#Headers],[T. CUENTA]],MATCH($H142,OT[T. CUENTA],0),1)</f>
        <v>GASTOS ADMINISTRATIVOS</v>
      </c>
      <c r="J142" s="147" t="s">
        <v>158</v>
      </c>
      <c r="K142" s="146" t="s">
        <v>65</v>
      </c>
      <c r="L142" s="148">
        <v>1</v>
      </c>
      <c r="M142" s="149">
        <v>230</v>
      </c>
      <c r="N142" s="150">
        <v>0</v>
      </c>
      <c r="O142" s="150"/>
      <c r="P142" s="153">
        <f>SALIDAS[[#This Row],[COSTO]]+SALIDAS[[#This Row],[IGV]]+SALIDAS[[#This Row],[INAFECTO]]</f>
        <v>230</v>
      </c>
      <c r="Q142" s="151" t="s">
        <v>510</v>
      </c>
      <c r="T142"/>
      <c r="U142" s="78"/>
    </row>
    <row r="143" spans="1:21" x14ac:dyDescent="0.25">
      <c r="A143" s="56">
        <v>137</v>
      </c>
      <c r="B143" s="64">
        <v>43523</v>
      </c>
      <c r="C143" s="30" t="str">
        <f>TEXT(SALIDAS[[#This Row],[FECHA]],"mmmm")</f>
        <v>Febrero</v>
      </c>
      <c r="D143" s="27" t="s">
        <v>12</v>
      </c>
      <c r="E143" s="55" t="s">
        <v>504</v>
      </c>
      <c r="F143" s="65">
        <v>3</v>
      </c>
      <c r="G143" s="146" t="s">
        <v>408</v>
      </c>
      <c r="H143" s="146" t="s">
        <v>92</v>
      </c>
      <c r="I143" s="147" t="str">
        <f ca="1">OFFSET(OT[[#Headers],[T. CUENTA]],MATCH($H143,OT[T. CUENTA],0),1)</f>
        <v>GASTOS DE PERSONAL</v>
      </c>
      <c r="J143" s="147" t="s">
        <v>158</v>
      </c>
      <c r="K143" s="146" t="s">
        <v>65</v>
      </c>
      <c r="L143" s="148">
        <v>1</v>
      </c>
      <c r="M143" s="149">
        <v>83</v>
      </c>
      <c r="N143" s="150">
        <v>0</v>
      </c>
      <c r="O143" s="150"/>
      <c r="P143" s="153">
        <f>SALIDAS[[#This Row],[COSTO]]+SALIDAS[[#This Row],[IGV]]+SALIDAS[[#This Row],[INAFECTO]]</f>
        <v>83</v>
      </c>
      <c r="Q143" s="151" t="s">
        <v>511</v>
      </c>
      <c r="T143"/>
      <c r="U143" s="78"/>
    </row>
    <row r="144" spans="1:21" x14ac:dyDescent="0.25">
      <c r="A144" s="56">
        <v>138</v>
      </c>
      <c r="B144" s="64">
        <v>43517</v>
      </c>
      <c r="C144" s="30" t="str">
        <f>TEXT(SALIDAS[[#This Row],[FECHA]],"mmmm")</f>
        <v>Febrero</v>
      </c>
      <c r="D144" s="27" t="s">
        <v>135</v>
      </c>
      <c r="E144" s="55" t="s">
        <v>395</v>
      </c>
      <c r="F144" s="65">
        <v>3</v>
      </c>
      <c r="G144" s="146" t="s">
        <v>505</v>
      </c>
      <c r="H144" s="146" t="s">
        <v>106</v>
      </c>
      <c r="I144" s="147" t="str">
        <f ca="1">OFFSET(OT[[#Headers],[T. CUENTA]],MATCH($H144,OT[T. CUENTA],0),1)</f>
        <v>GASTOS DE PERSONAL</v>
      </c>
      <c r="J144" s="147" t="s">
        <v>158</v>
      </c>
      <c r="K144" s="146" t="s">
        <v>65</v>
      </c>
      <c r="L144" s="148">
        <v>1</v>
      </c>
      <c r="M144" s="149">
        <v>350</v>
      </c>
      <c r="N144" s="150">
        <f>SALIDAS[[#This Row],[COSTO]]*0.18</f>
        <v>63</v>
      </c>
      <c r="O144" s="150"/>
      <c r="P144" s="152">
        <f>SALIDAS[[#This Row],[COSTO]]+SALIDAS[[#This Row],[IGV]]+SALIDAS[[#This Row],[INAFECTO]]</f>
        <v>413</v>
      </c>
      <c r="Q144" s="151" t="s">
        <v>223</v>
      </c>
      <c r="T144"/>
      <c r="U144" s="78"/>
    </row>
    <row r="145" spans="1:21" x14ac:dyDescent="0.25">
      <c r="A145" s="56">
        <v>139</v>
      </c>
      <c r="B145" s="64">
        <v>43515</v>
      </c>
      <c r="C145" s="30" t="str">
        <f>TEXT(SALIDAS[[#This Row],[FECHA]],"mmmm")</f>
        <v>Febrero</v>
      </c>
      <c r="D145" s="27" t="s">
        <v>135</v>
      </c>
      <c r="E145" s="55" t="s">
        <v>506</v>
      </c>
      <c r="F145" s="65">
        <v>3</v>
      </c>
      <c r="G145" s="146" t="s">
        <v>507</v>
      </c>
      <c r="H145" s="146" t="s">
        <v>132</v>
      </c>
      <c r="I145" s="147" t="str">
        <f ca="1">OFFSET(OT[[#Headers],[T. CUENTA]],MATCH($H145,OT[T. CUENTA],0),1)</f>
        <v>GASTOS ADMINISTRATIVOS</v>
      </c>
      <c r="J145" s="147" t="s">
        <v>158</v>
      </c>
      <c r="K145" s="146" t="s">
        <v>65</v>
      </c>
      <c r="L145" s="148">
        <v>1</v>
      </c>
      <c r="M145" s="149">
        <v>29.58</v>
      </c>
      <c r="N145" s="150">
        <f>SALIDAS[[#This Row],[COSTO]]*0.18</f>
        <v>5.3243999999999998</v>
      </c>
      <c r="O145" s="150"/>
      <c r="P145" s="153">
        <f>SALIDAS[[#This Row],[COSTO]]+SALIDAS[[#This Row],[IGV]]+SALIDAS[[#This Row],[INAFECTO]]</f>
        <v>34.904399999999995</v>
      </c>
      <c r="Q145" s="151" t="s">
        <v>508</v>
      </c>
      <c r="T145"/>
      <c r="U145" s="78"/>
    </row>
    <row r="146" spans="1:21" x14ac:dyDescent="0.25">
      <c r="A146" s="56">
        <v>140</v>
      </c>
      <c r="B146" s="64">
        <v>43497</v>
      </c>
      <c r="C146" s="30" t="str">
        <f>TEXT(SALIDAS[[#This Row],[FECHA]],"mmmm")</f>
        <v>Febrero</v>
      </c>
      <c r="D146" s="27" t="s">
        <v>12</v>
      </c>
      <c r="E146" s="55" t="s">
        <v>509</v>
      </c>
      <c r="F146" s="65">
        <v>3</v>
      </c>
      <c r="G146" s="146" t="s">
        <v>499</v>
      </c>
      <c r="H146" s="146" t="s">
        <v>198</v>
      </c>
      <c r="I146" s="147" t="str">
        <f ca="1">OFFSET(OT[[#Headers],[T. CUENTA]],MATCH($H146,OT[T. CUENTA],0),1)</f>
        <v>GASTOS PRESTADOS POR TERCEROS</v>
      </c>
      <c r="J146" s="147" t="s">
        <v>158</v>
      </c>
      <c r="K146" s="146" t="s">
        <v>65</v>
      </c>
      <c r="L146" s="148">
        <v>1</v>
      </c>
      <c r="M146" s="149">
        <v>72.099999999999994</v>
      </c>
      <c r="N146" s="150">
        <v>0</v>
      </c>
      <c r="O146" s="150"/>
      <c r="P146" s="153">
        <f>SALIDAS[[#This Row],[COSTO]]+SALIDAS[[#This Row],[IGV]]+SALIDAS[[#This Row],[INAFECTO]]</f>
        <v>72.099999999999994</v>
      </c>
      <c r="Q146" s="151" t="s">
        <v>315</v>
      </c>
      <c r="T146"/>
      <c r="U146" s="78"/>
    </row>
    <row r="147" spans="1:21" x14ac:dyDescent="0.25">
      <c r="A147" s="56">
        <v>141</v>
      </c>
      <c r="B147" s="64">
        <v>43530</v>
      </c>
      <c r="C147" s="30" t="str">
        <f>TEXT(SALIDAS[[#This Row],[FECHA]],"mmmm")</f>
        <v>Marzo</v>
      </c>
      <c r="D147" s="27" t="s">
        <v>135</v>
      </c>
      <c r="E147" s="55" t="s">
        <v>512</v>
      </c>
      <c r="F147" s="65">
        <v>4</v>
      </c>
      <c r="G147" s="146" t="s">
        <v>513</v>
      </c>
      <c r="H147" s="146" t="s">
        <v>194</v>
      </c>
      <c r="I147" s="147" t="str">
        <f ca="1">OFFSET(OT[[#Headers],[T. CUENTA]],MATCH($H147,OT[T. CUENTA],0),1)</f>
        <v>GASTOS PRESTADOS POR TERCEROS</v>
      </c>
      <c r="J147" s="147" t="s">
        <v>158</v>
      </c>
      <c r="K147" s="146" t="s">
        <v>65</v>
      </c>
      <c r="L147" s="148">
        <v>1</v>
      </c>
      <c r="M147" s="149">
        <v>4.24</v>
      </c>
      <c r="N147" s="150">
        <f>SALIDAS[[#This Row],[COSTO]]*0.18</f>
        <v>0.76319999999999999</v>
      </c>
      <c r="O147" s="150"/>
      <c r="P147" s="155">
        <f>SALIDAS[[#This Row],[COSTO]]+SALIDAS[[#This Row],[IGV]]+SALIDAS[[#This Row],[INAFECTO]]</f>
        <v>5.0032000000000005</v>
      </c>
      <c r="Q147" s="151" t="s">
        <v>514</v>
      </c>
      <c r="T147"/>
      <c r="U147" s="78"/>
    </row>
    <row r="148" spans="1:21" x14ac:dyDescent="0.25">
      <c r="A148" s="56">
        <v>142</v>
      </c>
      <c r="B148" s="64">
        <v>43522</v>
      </c>
      <c r="C148" s="30" t="str">
        <f>TEXT(SALIDAS[[#This Row],[FECHA]],"mmmm")</f>
        <v>Febrero</v>
      </c>
      <c r="D148" s="27" t="s">
        <v>135</v>
      </c>
      <c r="E148" s="55" t="s">
        <v>515</v>
      </c>
      <c r="F148" s="65">
        <v>4</v>
      </c>
      <c r="G148" s="146" t="s">
        <v>517</v>
      </c>
      <c r="H148" s="146" t="s">
        <v>107</v>
      </c>
      <c r="I148" s="147" t="str">
        <f ca="1">OFFSET(OT[[#Headers],[T. CUENTA]],MATCH($H148,OT[T. CUENTA],0),1)</f>
        <v>GASTOS PRESTADOS POR TERCEROS</v>
      </c>
      <c r="J148" s="147" t="s">
        <v>158</v>
      </c>
      <c r="K148" s="146" t="s">
        <v>65</v>
      </c>
      <c r="L148" s="148">
        <v>1</v>
      </c>
      <c r="M148" s="149">
        <v>21.12</v>
      </c>
      <c r="N148" s="150">
        <f>SALIDAS[[#This Row],[COSTO]]*0.18</f>
        <v>3.8016000000000001</v>
      </c>
      <c r="O148" s="150"/>
      <c r="P148" s="155">
        <f>SALIDAS[[#This Row],[COSTO]]+SALIDAS[[#This Row],[IGV]]+SALIDAS[[#This Row],[INAFECTO]]</f>
        <v>24.921600000000002</v>
      </c>
      <c r="Q148" s="151" t="s">
        <v>516</v>
      </c>
      <c r="T148"/>
      <c r="U148" s="78"/>
    </row>
    <row r="149" spans="1:21" x14ac:dyDescent="0.25">
      <c r="A149" s="56">
        <v>143</v>
      </c>
      <c r="B149" s="64">
        <v>43526</v>
      </c>
      <c r="C149" s="30" t="str">
        <f>TEXT(SALIDAS[[#This Row],[FECHA]],"mmmm")</f>
        <v>Marzo</v>
      </c>
      <c r="D149" s="27" t="s">
        <v>135</v>
      </c>
      <c r="E149" s="55" t="s">
        <v>518</v>
      </c>
      <c r="F149" s="65">
        <v>4</v>
      </c>
      <c r="G149" s="146" t="s">
        <v>519</v>
      </c>
      <c r="H149" s="146" t="s">
        <v>132</v>
      </c>
      <c r="I149" s="147" t="str">
        <f ca="1">OFFSET(OT[[#Headers],[T. CUENTA]],MATCH($H149,OT[T. CUENTA],0),1)</f>
        <v>GASTOS ADMINISTRATIVOS</v>
      </c>
      <c r="J149" s="147" t="s">
        <v>158</v>
      </c>
      <c r="K149" s="146" t="s">
        <v>65</v>
      </c>
      <c r="L149" s="148">
        <v>1</v>
      </c>
      <c r="M149" s="149">
        <v>364.41</v>
      </c>
      <c r="N149" s="150">
        <f>SALIDAS[[#This Row],[COSTO]]*0.18</f>
        <v>65.593800000000002</v>
      </c>
      <c r="O149" s="150"/>
      <c r="P149" s="155">
        <f>SALIDAS[[#This Row],[COSTO]]+SALIDAS[[#This Row],[IGV]]+SALIDAS[[#This Row],[INAFECTO]]</f>
        <v>430.00380000000001</v>
      </c>
      <c r="Q149" s="151" t="s">
        <v>520</v>
      </c>
      <c r="T149"/>
      <c r="U149" s="78"/>
    </row>
    <row r="150" spans="1:21" x14ac:dyDescent="0.25">
      <c r="A150" s="56">
        <v>144</v>
      </c>
      <c r="B150" s="64">
        <v>43530</v>
      </c>
      <c r="C150" s="30" t="str">
        <f>TEXT(SALIDAS[[#This Row],[FECHA]],"mmmm")</f>
        <v>Marzo</v>
      </c>
      <c r="D150" s="27" t="s">
        <v>135</v>
      </c>
      <c r="E150" s="55" t="s">
        <v>521</v>
      </c>
      <c r="F150" s="65">
        <v>4</v>
      </c>
      <c r="G150" s="146" t="s">
        <v>523</v>
      </c>
      <c r="H150" s="146" t="s">
        <v>132</v>
      </c>
      <c r="I150" s="147" t="str">
        <f ca="1">OFFSET(OT[[#Headers],[T. CUENTA]],MATCH($H150,OT[T. CUENTA],0),1)</f>
        <v>GASTOS ADMINISTRATIVOS</v>
      </c>
      <c r="J150" s="147" t="s">
        <v>158</v>
      </c>
      <c r="K150" s="146" t="s">
        <v>65</v>
      </c>
      <c r="L150" s="148">
        <v>1</v>
      </c>
      <c r="M150" s="149">
        <v>55.08</v>
      </c>
      <c r="N150" s="150">
        <f>SALIDAS[[#This Row],[COSTO]]*0.18</f>
        <v>9.9143999999999988</v>
      </c>
      <c r="O150" s="150"/>
      <c r="P150" s="155">
        <f>SALIDAS[[#This Row],[COSTO]]+SALIDAS[[#This Row],[IGV]]+SALIDAS[[#This Row],[INAFECTO]]</f>
        <v>64.994399999999999</v>
      </c>
      <c r="Q150" s="151" t="s">
        <v>348</v>
      </c>
      <c r="T150"/>
      <c r="U150" s="78"/>
    </row>
    <row r="151" spans="1:21" x14ac:dyDescent="0.25">
      <c r="A151" s="56">
        <v>145</v>
      </c>
      <c r="B151" s="64">
        <v>43530</v>
      </c>
      <c r="C151" s="30" t="str">
        <f>TEXT(SALIDAS[[#This Row],[FECHA]],"mmmm")</f>
        <v>Marzo</v>
      </c>
      <c r="D151" s="27" t="s">
        <v>135</v>
      </c>
      <c r="E151" s="55" t="s">
        <v>522</v>
      </c>
      <c r="F151" s="65">
        <v>4</v>
      </c>
      <c r="G151" s="146" t="s">
        <v>524</v>
      </c>
      <c r="H151" s="146" t="s">
        <v>132</v>
      </c>
      <c r="I151" s="147" t="str">
        <f ca="1">OFFSET(OT[[#Headers],[T. CUENTA]],MATCH($H151,OT[T. CUENTA],0),1)</f>
        <v>GASTOS ADMINISTRATIVOS</v>
      </c>
      <c r="J151" s="147" t="s">
        <v>158</v>
      </c>
      <c r="K151" s="146" t="s">
        <v>65</v>
      </c>
      <c r="L151" s="148">
        <v>1</v>
      </c>
      <c r="M151" s="149">
        <v>95.51</v>
      </c>
      <c r="N151" s="150">
        <f>SALIDAS[[#This Row],[COSTO]]*0.18</f>
        <v>17.191800000000001</v>
      </c>
      <c r="O151" s="150"/>
      <c r="P151" s="155">
        <f>SALIDAS[[#This Row],[COSTO]]+SALIDAS[[#This Row],[IGV]]+SALIDAS[[#This Row],[INAFECTO]]</f>
        <v>112.70180000000001</v>
      </c>
      <c r="Q151" s="151" t="s">
        <v>348</v>
      </c>
      <c r="T151"/>
      <c r="U151" s="78"/>
    </row>
    <row r="152" spans="1:21" x14ac:dyDescent="0.25">
      <c r="A152" s="56">
        <v>146</v>
      </c>
      <c r="B152" s="64">
        <v>43531</v>
      </c>
      <c r="C152" s="30" t="str">
        <f>TEXT(SALIDAS[[#This Row],[FECHA]],"mmmm")</f>
        <v>Marzo</v>
      </c>
      <c r="D152" s="27" t="s">
        <v>135</v>
      </c>
      <c r="E152" s="55" t="s">
        <v>525</v>
      </c>
      <c r="F152" s="65">
        <v>4</v>
      </c>
      <c r="G152" s="146" t="s">
        <v>526</v>
      </c>
      <c r="H152" s="146" t="s">
        <v>132</v>
      </c>
      <c r="I152" s="147" t="str">
        <f ca="1">OFFSET(OT[[#Headers],[T. CUENTA]],MATCH($H152,OT[T. CUENTA],0),1)</f>
        <v>GASTOS ADMINISTRATIVOS</v>
      </c>
      <c r="J152" s="147" t="s">
        <v>158</v>
      </c>
      <c r="K152" s="146" t="s">
        <v>65</v>
      </c>
      <c r="L152" s="148">
        <v>1</v>
      </c>
      <c r="M152" s="149">
        <v>27.97</v>
      </c>
      <c r="N152" s="150">
        <f>SALIDAS[[#This Row],[COSTO]]*0.18</f>
        <v>5.0345999999999993</v>
      </c>
      <c r="O152" s="150"/>
      <c r="P152" s="155">
        <f>SALIDAS[[#This Row],[COSTO]]+SALIDAS[[#This Row],[IGV]]+SALIDAS[[#This Row],[INAFECTO]]</f>
        <v>33.004599999999996</v>
      </c>
      <c r="Q152" s="151" t="s">
        <v>527</v>
      </c>
      <c r="T152"/>
      <c r="U152" s="78"/>
    </row>
    <row r="153" spans="1:21" x14ac:dyDescent="0.25">
      <c r="A153" s="56">
        <v>147</v>
      </c>
      <c r="B153" s="64">
        <v>43530</v>
      </c>
      <c r="C153" s="30" t="str">
        <f>TEXT(SALIDAS[[#This Row],[FECHA]],"mmmm")</f>
        <v>Marzo</v>
      </c>
      <c r="D153" s="27" t="s">
        <v>135</v>
      </c>
      <c r="E153" s="55" t="s">
        <v>528</v>
      </c>
      <c r="F153" s="65">
        <v>4</v>
      </c>
      <c r="G153" s="146" t="s">
        <v>529</v>
      </c>
      <c r="H153" s="146" t="s">
        <v>132</v>
      </c>
      <c r="I153" s="147" t="str">
        <f ca="1">OFFSET(OT[[#Headers],[T. CUENTA]],MATCH($H153,OT[T. CUENTA],0),1)</f>
        <v>GASTOS ADMINISTRATIVOS</v>
      </c>
      <c r="J153" s="147" t="s">
        <v>158</v>
      </c>
      <c r="K153" s="146" t="s">
        <v>65</v>
      </c>
      <c r="L153" s="148">
        <v>1</v>
      </c>
      <c r="M153" s="149">
        <v>103.81</v>
      </c>
      <c r="N153" s="150">
        <f>SALIDAS[[#This Row],[COSTO]]*0.18</f>
        <v>18.6858</v>
      </c>
      <c r="O153" s="150"/>
      <c r="P153" s="155">
        <f>SALIDAS[[#This Row],[COSTO]]+SALIDAS[[#This Row],[IGV]]+SALIDAS[[#This Row],[INAFECTO]]</f>
        <v>122.4958</v>
      </c>
      <c r="Q153" s="151" t="s">
        <v>218</v>
      </c>
      <c r="T153"/>
      <c r="U153" s="78"/>
    </row>
    <row r="154" spans="1:21" x14ac:dyDescent="0.25">
      <c r="A154" s="56">
        <v>148</v>
      </c>
      <c r="B154" s="64">
        <v>43530</v>
      </c>
      <c r="C154" s="30" t="str">
        <f>TEXT(SALIDAS[[#This Row],[FECHA]],"mmmm")</f>
        <v>Marzo</v>
      </c>
      <c r="D154" s="27" t="s">
        <v>135</v>
      </c>
      <c r="E154" s="55" t="s">
        <v>530</v>
      </c>
      <c r="F154" s="65">
        <v>4</v>
      </c>
      <c r="G154" s="146" t="s">
        <v>230</v>
      </c>
      <c r="H154" s="146" t="s">
        <v>132</v>
      </c>
      <c r="I154" s="147" t="str">
        <f ca="1">OFFSET(OT[[#Headers],[T. CUENTA]],MATCH($H154,OT[T. CUENTA],0),1)</f>
        <v>GASTOS ADMINISTRATIVOS</v>
      </c>
      <c r="J154" s="147" t="s">
        <v>158</v>
      </c>
      <c r="K154" s="146" t="s">
        <v>65</v>
      </c>
      <c r="L154" s="148">
        <v>1</v>
      </c>
      <c r="M154" s="149">
        <v>159.94999999999999</v>
      </c>
      <c r="N154" s="150">
        <f>SALIDAS[[#This Row],[COSTO]]*0.18</f>
        <v>28.790999999999997</v>
      </c>
      <c r="O154" s="150"/>
      <c r="P154" s="155">
        <f>SALIDAS[[#This Row],[COSTO]]+SALIDAS[[#This Row],[IGV]]+SALIDAS[[#This Row],[INAFECTO]]</f>
        <v>188.74099999999999</v>
      </c>
      <c r="Q154" s="151" t="s">
        <v>218</v>
      </c>
      <c r="T154"/>
      <c r="U154" s="78"/>
    </row>
    <row r="155" spans="1:21" x14ac:dyDescent="0.25">
      <c r="A155" s="56">
        <v>149</v>
      </c>
      <c r="B155" s="64">
        <v>43550</v>
      </c>
      <c r="C155" s="30" t="str">
        <f>TEXT(SALIDAS[[#This Row],[FECHA]],"mmmm")</f>
        <v>Marzo</v>
      </c>
      <c r="D155" s="27" t="s">
        <v>135</v>
      </c>
      <c r="E155" s="55" t="s">
        <v>531</v>
      </c>
      <c r="F155" s="65">
        <v>4</v>
      </c>
      <c r="G155" s="146" t="s">
        <v>532</v>
      </c>
      <c r="H155" s="146" t="s">
        <v>93</v>
      </c>
      <c r="I155" s="147" t="str">
        <f ca="1">OFFSET(OT[[#Headers],[T. CUENTA]],MATCH($H155,OT[T. CUENTA],0),1)</f>
        <v>GASTOS DE PERSONAL</v>
      </c>
      <c r="J155" s="147" t="s">
        <v>158</v>
      </c>
      <c r="K155" s="146" t="s">
        <v>65</v>
      </c>
      <c r="L155" s="148">
        <v>1</v>
      </c>
      <c r="M155" s="149">
        <v>76.27</v>
      </c>
      <c r="N155" s="150">
        <f>SALIDAS[[#This Row],[COSTO]]*0.18</f>
        <v>13.728599999999998</v>
      </c>
      <c r="O155" s="150"/>
      <c r="P155" s="155">
        <f>SALIDAS[[#This Row],[COSTO]]+SALIDAS[[#This Row],[IGV]]+SALIDAS[[#This Row],[INAFECTO]]</f>
        <v>89.998599999999996</v>
      </c>
      <c r="Q155" s="151" t="s">
        <v>533</v>
      </c>
      <c r="T155"/>
      <c r="U155" s="78"/>
    </row>
    <row r="156" spans="1:21" x14ac:dyDescent="0.25">
      <c r="A156" s="56">
        <v>150</v>
      </c>
      <c r="B156" s="64">
        <v>43528</v>
      </c>
      <c r="C156" s="30" t="str">
        <f>TEXT(SALIDAS[[#This Row],[FECHA]],"mmmm")</f>
        <v>Marzo</v>
      </c>
      <c r="D156" s="27" t="s">
        <v>135</v>
      </c>
      <c r="E156" s="55" t="s">
        <v>534</v>
      </c>
      <c r="F156" s="65">
        <v>4</v>
      </c>
      <c r="G156" s="146" t="s">
        <v>273</v>
      </c>
      <c r="H156" s="146" t="s">
        <v>85</v>
      </c>
      <c r="I156" s="147" t="str">
        <f ca="1">OFFSET(OT[[#Headers],[T. CUENTA]],MATCH($H156,OT[T. CUENTA],0),1)</f>
        <v>COSTO DIRECTO</v>
      </c>
      <c r="J156" s="147" t="s">
        <v>228</v>
      </c>
      <c r="K156" s="146" t="s">
        <v>65</v>
      </c>
      <c r="L156" s="148">
        <v>1</v>
      </c>
      <c r="M156" s="149">
        <v>84.66</v>
      </c>
      <c r="N156" s="150">
        <f>SALIDAS[[#This Row],[COSTO]]*0.18</f>
        <v>15.238799999999999</v>
      </c>
      <c r="O156" s="150"/>
      <c r="P156" s="155">
        <f>SALIDAS[[#This Row],[COSTO]]+SALIDAS[[#This Row],[IGV]]+SALIDAS[[#This Row],[INAFECTO]]</f>
        <v>99.898799999999994</v>
      </c>
      <c r="Q156" s="151" t="s">
        <v>378</v>
      </c>
      <c r="T156"/>
      <c r="U156" s="78"/>
    </row>
    <row r="157" spans="1:21" x14ac:dyDescent="0.25">
      <c r="A157" s="56">
        <v>151</v>
      </c>
      <c r="B157" s="64">
        <v>43502</v>
      </c>
      <c r="C157" s="30" t="str">
        <f>TEXT(SALIDAS[[#This Row],[FECHA]],"mmmm")</f>
        <v>Febrero</v>
      </c>
      <c r="D157" s="27" t="s">
        <v>147</v>
      </c>
      <c r="E157" s="55" t="s">
        <v>535</v>
      </c>
      <c r="F157" s="65">
        <v>4</v>
      </c>
      <c r="G157" s="146" t="s">
        <v>536</v>
      </c>
      <c r="H157" s="146" t="s">
        <v>120</v>
      </c>
      <c r="I157" s="147" t="str">
        <f ca="1">OFFSET(OT[[#Headers],[T. CUENTA]],MATCH($H157,OT[T. CUENTA],0),1)</f>
        <v>GASTOS PRESTADOS POR TERCEROS</v>
      </c>
      <c r="J157" s="147" t="s">
        <v>158</v>
      </c>
      <c r="K157" s="146" t="s">
        <v>65</v>
      </c>
      <c r="L157" s="148">
        <v>1</v>
      </c>
      <c r="M157" s="149">
        <v>1046.8800000000001</v>
      </c>
      <c r="N157" s="150">
        <f>SALIDAS[[#This Row],[COSTO]]*0.18</f>
        <v>188.4384</v>
      </c>
      <c r="O157" s="150">
        <v>270</v>
      </c>
      <c r="P157" s="155">
        <f>SALIDAS[[#This Row],[COSTO]]+SALIDAS[[#This Row],[IGV]]+SALIDAS[[#This Row],[INAFECTO]]</f>
        <v>1505.3184000000001</v>
      </c>
      <c r="Q157" s="151" t="s">
        <v>538</v>
      </c>
      <c r="T157"/>
      <c r="U157" s="78"/>
    </row>
    <row r="158" spans="1:21" x14ac:dyDescent="0.25">
      <c r="A158" s="56">
        <v>152</v>
      </c>
      <c r="B158" s="64">
        <v>43530</v>
      </c>
      <c r="C158" s="30" t="str">
        <f>TEXT(SALIDAS[[#This Row],[FECHA]],"mmmm")</f>
        <v>Marzo</v>
      </c>
      <c r="D158" s="27" t="s">
        <v>135</v>
      </c>
      <c r="E158" s="55" t="s">
        <v>539</v>
      </c>
      <c r="F158" s="65">
        <v>4</v>
      </c>
      <c r="G158" s="146" t="s">
        <v>377</v>
      </c>
      <c r="H158" s="146" t="s">
        <v>425</v>
      </c>
      <c r="I158" s="147" t="str">
        <f ca="1">OFFSET(OT[[#Headers],[T. CUENTA]],MATCH($H158,OT[T. CUENTA],0),1)</f>
        <v>COSTO DIRECTO</v>
      </c>
      <c r="J158" s="147" t="s">
        <v>156</v>
      </c>
      <c r="K158" s="146" t="s">
        <v>65</v>
      </c>
      <c r="L158" s="148">
        <v>1</v>
      </c>
      <c r="M158" s="149">
        <v>338.98</v>
      </c>
      <c r="N158" s="150">
        <f>SALIDAS[[#This Row],[COSTO]]*0.18</f>
        <v>61.016400000000004</v>
      </c>
      <c r="O158" s="150"/>
      <c r="P158" s="155">
        <f>SALIDAS[[#This Row],[COSTO]]+SALIDAS[[#This Row],[IGV]]+SALIDAS[[#This Row],[INAFECTO]]</f>
        <v>399.99639999999999</v>
      </c>
      <c r="Q158" s="151" t="s">
        <v>388</v>
      </c>
    </row>
    <row r="159" spans="1:21" x14ac:dyDescent="0.25">
      <c r="A159" s="56">
        <v>153</v>
      </c>
      <c r="B159" s="64">
        <v>43531</v>
      </c>
      <c r="C159" s="30" t="str">
        <f>TEXT(SALIDAS[[#This Row],[FECHA]],"mmmm")</f>
        <v>Marzo</v>
      </c>
      <c r="D159" s="27" t="s">
        <v>135</v>
      </c>
      <c r="E159" s="55" t="s">
        <v>540</v>
      </c>
      <c r="F159" s="65">
        <v>4</v>
      </c>
      <c r="G159" s="146" t="s">
        <v>541</v>
      </c>
      <c r="H159" s="146" t="s">
        <v>121</v>
      </c>
      <c r="I159" s="147" t="str">
        <f ca="1">OFFSET(OT[[#Headers],[T. CUENTA]],MATCH($H159,OT[T. CUENTA],0),1)</f>
        <v>GASTOS PRESTADOS POR TERCEROS</v>
      </c>
      <c r="J159" s="147" t="s">
        <v>158</v>
      </c>
      <c r="K159" s="146" t="s">
        <v>65</v>
      </c>
      <c r="L159" s="148">
        <v>1</v>
      </c>
      <c r="M159" s="149">
        <v>254.24</v>
      </c>
      <c r="N159" s="150">
        <f>SALIDAS[[#This Row],[COSTO]]*0.18</f>
        <v>45.763199999999998</v>
      </c>
      <c r="O159" s="150"/>
      <c r="P159" s="155">
        <f>SALIDAS[[#This Row],[COSTO]]+SALIDAS[[#This Row],[IGV]]+SALIDAS[[#This Row],[INAFECTO]]</f>
        <v>300.00319999999999</v>
      </c>
      <c r="Q159" s="151" t="s">
        <v>542</v>
      </c>
    </row>
    <row r="160" spans="1:21" x14ac:dyDescent="0.25">
      <c r="A160" s="56">
        <v>154</v>
      </c>
      <c r="B160" s="64">
        <v>43531</v>
      </c>
      <c r="C160" s="30" t="str">
        <f>TEXT(SALIDAS[[#This Row],[FECHA]],"mmmm")</f>
        <v>Marzo</v>
      </c>
      <c r="D160" s="27" t="s">
        <v>12</v>
      </c>
      <c r="E160" s="55" t="s">
        <v>543</v>
      </c>
      <c r="F160" s="65">
        <v>4</v>
      </c>
      <c r="G160" s="146" t="s">
        <v>544</v>
      </c>
      <c r="H160" s="146" t="s">
        <v>107</v>
      </c>
      <c r="I160" s="147" t="str">
        <f ca="1">OFFSET(OT[[#Headers],[T. CUENTA]],MATCH($H160,OT[T. CUENTA],0),1)</f>
        <v>GASTOS PRESTADOS POR TERCEROS</v>
      </c>
      <c r="J160" s="147" t="s">
        <v>158</v>
      </c>
      <c r="K160" s="146" t="s">
        <v>65</v>
      </c>
      <c r="L160" s="148">
        <v>1</v>
      </c>
      <c r="M160" s="149">
        <v>30</v>
      </c>
      <c r="N160" s="150">
        <v>0</v>
      </c>
      <c r="O160" s="150"/>
      <c r="P160" s="155">
        <f>SALIDAS[[#This Row],[COSTO]]+SALIDAS[[#This Row],[IGV]]+SALIDAS[[#This Row],[INAFECTO]]</f>
        <v>30</v>
      </c>
      <c r="Q160" s="151" t="s">
        <v>336</v>
      </c>
    </row>
    <row r="161" spans="1:17" x14ac:dyDescent="0.25">
      <c r="A161" s="56">
        <v>155</v>
      </c>
      <c r="B161" s="64">
        <v>43522</v>
      </c>
      <c r="C161" s="30" t="str">
        <f>TEXT(SALIDAS[[#This Row],[FECHA]],"mmmm")</f>
        <v>Febrero</v>
      </c>
      <c r="D161" s="27" t="s">
        <v>12</v>
      </c>
      <c r="E161" s="55" t="s">
        <v>545</v>
      </c>
      <c r="F161" s="65">
        <v>4</v>
      </c>
      <c r="G161" s="146" t="s">
        <v>544</v>
      </c>
      <c r="H161" s="146" t="s">
        <v>107</v>
      </c>
      <c r="I161" s="147" t="str">
        <f ca="1">OFFSET(OT[[#Headers],[T. CUENTA]],MATCH($H161,OT[T. CUENTA],0),1)</f>
        <v>GASTOS PRESTADOS POR TERCEROS</v>
      </c>
      <c r="J161" s="147" t="s">
        <v>158</v>
      </c>
      <c r="K161" s="146" t="s">
        <v>65</v>
      </c>
      <c r="L161" s="148">
        <v>1</v>
      </c>
      <c r="M161" s="149">
        <v>30</v>
      </c>
      <c r="N161" s="150">
        <v>0</v>
      </c>
      <c r="O161" s="150"/>
      <c r="P161" s="155">
        <f>SALIDAS[[#This Row],[COSTO]]+SALIDAS[[#This Row],[IGV]]+SALIDAS[[#This Row],[INAFECTO]]</f>
        <v>30</v>
      </c>
      <c r="Q161" s="151" t="s">
        <v>336</v>
      </c>
    </row>
    <row r="162" spans="1:17" x14ac:dyDescent="0.25">
      <c r="A162" s="56">
        <v>156</v>
      </c>
      <c r="B162" s="64">
        <v>43532</v>
      </c>
      <c r="C162" s="30" t="str">
        <f>TEXT(SALIDAS[[#This Row],[FECHA]],"mmmm")</f>
        <v>Marzo</v>
      </c>
      <c r="D162" s="27" t="s">
        <v>12</v>
      </c>
      <c r="E162" s="55" t="s">
        <v>546</v>
      </c>
      <c r="F162" s="65">
        <v>4</v>
      </c>
      <c r="G162" s="146" t="s">
        <v>547</v>
      </c>
      <c r="H162" s="146" t="s">
        <v>107</v>
      </c>
      <c r="I162" s="147" t="str">
        <f ca="1">OFFSET(OT[[#Headers],[T. CUENTA]],MATCH($H162,OT[T. CUENTA],0),1)</f>
        <v>GASTOS PRESTADOS POR TERCEROS</v>
      </c>
      <c r="J162" s="147" t="s">
        <v>158</v>
      </c>
      <c r="K162" s="146" t="s">
        <v>65</v>
      </c>
      <c r="L162" s="148">
        <v>1</v>
      </c>
      <c r="M162" s="149">
        <v>180</v>
      </c>
      <c r="N162" s="150">
        <v>0</v>
      </c>
      <c r="O162" s="150"/>
      <c r="P162" s="155">
        <f>SALIDAS[[#This Row],[COSTO]]+SALIDAS[[#This Row],[IGV]]+SALIDAS[[#This Row],[INAFECTO]]</f>
        <v>180</v>
      </c>
      <c r="Q162" s="151" t="s">
        <v>336</v>
      </c>
    </row>
    <row r="163" spans="1:17" x14ac:dyDescent="0.25">
      <c r="A163" s="56">
        <v>157</v>
      </c>
      <c r="B163" s="64">
        <v>43528</v>
      </c>
      <c r="C163" s="30" t="str">
        <f>TEXT(SALIDAS[[#This Row],[FECHA]],"mmmm")</f>
        <v>Marzo</v>
      </c>
      <c r="D163" s="27" t="s">
        <v>138</v>
      </c>
      <c r="E163" s="55" t="s">
        <v>548</v>
      </c>
      <c r="F163" s="65">
        <v>4</v>
      </c>
      <c r="G163" s="146" t="s">
        <v>549</v>
      </c>
      <c r="H163" s="146" t="s">
        <v>127</v>
      </c>
      <c r="I163" s="147" t="str">
        <f ca="1">OFFSET(OT[[#Headers],[T. CUENTA]],MATCH($H163,OT[T. CUENTA],0),1)</f>
        <v>GASTOS PRESTADOS POR TERCEROS</v>
      </c>
      <c r="J163" s="147" t="s">
        <v>158</v>
      </c>
      <c r="K163" s="146" t="s">
        <v>65</v>
      </c>
      <c r="L163" s="148">
        <v>1</v>
      </c>
      <c r="M163" s="149">
        <v>200</v>
      </c>
      <c r="N163" s="150">
        <v>0</v>
      </c>
      <c r="O163" s="150"/>
      <c r="P163" s="155">
        <f>SALIDAS[[#This Row],[COSTO]]+SALIDAS[[#This Row],[IGV]]+SALIDAS[[#This Row],[INAFECTO]]</f>
        <v>200</v>
      </c>
      <c r="Q163" s="151" t="s">
        <v>304</v>
      </c>
    </row>
    <row r="164" spans="1:17" x14ac:dyDescent="0.25">
      <c r="A164" s="56">
        <v>158</v>
      </c>
      <c r="B164" s="64">
        <v>43533</v>
      </c>
      <c r="C164" s="30" t="str">
        <f>TEXT(SALIDAS[[#This Row],[FECHA]],"mmmm")</f>
        <v>Marzo</v>
      </c>
      <c r="D164" s="27" t="s">
        <v>138</v>
      </c>
      <c r="E164" s="55" t="s">
        <v>467</v>
      </c>
      <c r="F164" s="65">
        <v>4</v>
      </c>
      <c r="G164" s="146" t="s">
        <v>550</v>
      </c>
      <c r="H164" s="146" t="s">
        <v>127</v>
      </c>
      <c r="I164" s="147" t="str">
        <f ca="1">OFFSET(OT[[#Headers],[T. CUENTA]],MATCH($H164,OT[T. CUENTA],0),1)</f>
        <v>GASTOS PRESTADOS POR TERCEROS</v>
      </c>
      <c r="J164" s="147" t="s">
        <v>158</v>
      </c>
      <c r="K164" s="146" t="s">
        <v>65</v>
      </c>
      <c r="L164" s="148">
        <v>1</v>
      </c>
      <c r="M164" s="149">
        <v>300</v>
      </c>
      <c r="N164" s="150">
        <v>0</v>
      </c>
      <c r="O164" s="150"/>
      <c r="P164" s="155">
        <f>SALIDAS[[#This Row],[COSTO]]+SALIDAS[[#This Row],[IGV]]+SALIDAS[[#This Row],[INAFECTO]]</f>
        <v>300</v>
      </c>
      <c r="Q164" s="151" t="s">
        <v>474</v>
      </c>
    </row>
    <row r="165" spans="1:17" x14ac:dyDescent="0.25">
      <c r="A165" s="56">
        <v>159</v>
      </c>
      <c r="B165" s="64">
        <v>43534</v>
      </c>
      <c r="C165" s="30" t="str">
        <f>TEXT(SALIDAS[[#This Row],[FECHA]],"mmmm")</f>
        <v>Marzo</v>
      </c>
      <c r="D165" s="27"/>
      <c r="E165" s="55" t="s">
        <v>551</v>
      </c>
      <c r="F165" s="65">
        <v>4</v>
      </c>
      <c r="G165" s="146" t="s">
        <v>552</v>
      </c>
      <c r="H165" s="146" t="s">
        <v>131</v>
      </c>
      <c r="I165" s="147" t="str">
        <f ca="1">OFFSET(OT[[#Headers],[T. CUENTA]],MATCH($H165,OT[T. CUENTA],0),1)</f>
        <v>GASTOS FINANCIEROS</v>
      </c>
      <c r="J165" s="147" t="s">
        <v>158</v>
      </c>
      <c r="K165" s="146" t="s">
        <v>65</v>
      </c>
      <c r="L165" s="148">
        <v>1</v>
      </c>
      <c r="M165" s="149">
        <v>128.15</v>
      </c>
      <c r="N165" s="150">
        <v>0</v>
      </c>
      <c r="O165" s="150"/>
      <c r="P165" s="155">
        <f>SALIDAS[[#This Row],[COSTO]]+SALIDAS[[#This Row],[IGV]]+SALIDAS[[#This Row],[INAFECTO]]</f>
        <v>128.15</v>
      </c>
      <c r="Q165" s="151" t="s">
        <v>687</v>
      </c>
    </row>
    <row r="166" spans="1:17" x14ac:dyDescent="0.25">
      <c r="A166" s="56">
        <v>160</v>
      </c>
      <c r="B166" s="64">
        <v>43535</v>
      </c>
      <c r="C166" s="30" t="str">
        <f>TEXT(SALIDAS[[#This Row],[FECHA]],"mmmm")</f>
        <v>Marzo</v>
      </c>
      <c r="D166" s="27" t="s">
        <v>135</v>
      </c>
      <c r="E166" s="55" t="s">
        <v>553</v>
      </c>
      <c r="F166" s="65">
        <v>4</v>
      </c>
      <c r="G166" s="146" t="s">
        <v>492</v>
      </c>
      <c r="H166" s="146" t="s">
        <v>110</v>
      </c>
      <c r="I166" s="147" t="str">
        <f ca="1">OFFSET(OT[[#Headers],[T. CUENTA]],MATCH($H166,OT[T. CUENTA],0),1)</f>
        <v>GASTOS ADMINISTRATIVOS</v>
      </c>
      <c r="J166" s="147" t="s">
        <v>158</v>
      </c>
      <c r="K166" s="146" t="s">
        <v>65</v>
      </c>
      <c r="L166" s="148">
        <v>1</v>
      </c>
      <c r="M166" s="149">
        <v>330.51</v>
      </c>
      <c r="N166" s="150">
        <f>SALIDAS[[#This Row],[COSTO]]*0.18</f>
        <v>59.491799999999998</v>
      </c>
      <c r="O166" s="150"/>
      <c r="P166" s="155">
        <f>SALIDAS[[#This Row],[COSTO]]+SALIDAS[[#This Row],[IGV]]+SALIDAS[[#This Row],[INAFECTO]]</f>
        <v>390.0018</v>
      </c>
      <c r="Q166" s="151" t="s">
        <v>223</v>
      </c>
    </row>
    <row r="167" spans="1:17" x14ac:dyDescent="0.25">
      <c r="A167" s="56">
        <v>161</v>
      </c>
      <c r="B167" s="64">
        <v>43483</v>
      </c>
      <c r="C167" s="30" t="str">
        <f>TEXT(SALIDAS[[#This Row],[FECHA]],"mmmm")</f>
        <v>Enero</v>
      </c>
      <c r="D167" s="27" t="s">
        <v>135</v>
      </c>
      <c r="E167" s="55" t="s">
        <v>554</v>
      </c>
      <c r="F167" s="65">
        <v>5</v>
      </c>
      <c r="G167" s="146" t="s">
        <v>555</v>
      </c>
      <c r="H167" s="146" t="s">
        <v>119</v>
      </c>
      <c r="I167" s="147" t="str">
        <f ca="1">OFFSET(OT[[#Headers],[T. CUENTA]],MATCH($H167,OT[T. CUENTA],0),1)</f>
        <v>GASTOS PRESTADOS POR TERCEROS</v>
      </c>
      <c r="J167" s="147" t="s">
        <v>158</v>
      </c>
      <c r="K167" s="146" t="s">
        <v>65</v>
      </c>
      <c r="L167" s="148">
        <v>1</v>
      </c>
      <c r="M167" s="149">
        <v>915.25</v>
      </c>
      <c r="N167" s="150">
        <f>SALIDAS[[#This Row],[COSTO]]*0.18</f>
        <v>164.745</v>
      </c>
      <c r="O167" s="150"/>
      <c r="P167" s="152">
        <f>SALIDAS[[#This Row],[COSTO]]+SALIDAS[[#This Row],[IGV]]+SALIDAS[[#This Row],[INAFECTO]]</f>
        <v>1079.9949999999999</v>
      </c>
      <c r="Q167" s="151" t="s">
        <v>190</v>
      </c>
    </row>
    <row r="168" spans="1:17" x14ac:dyDescent="0.25">
      <c r="A168" s="56">
        <v>162</v>
      </c>
      <c r="B168" s="64">
        <v>43506</v>
      </c>
      <c r="C168" s="30" t="str">
        <f>TEXT(SALIDAS[[#This Row],[FECHA]],"mmmm")</f>
        <v>Febrero</v>
      </c>
      <c r="D168" s="27" t="s">
        <v>135</v>
      </c>
      <c r="E168" s="55" t="s">
        <v>556</v>
      </c>
      <c r="F168" s="65">
        <v>5</v>
      </c>
      <c r="G168" s="146" t="s">
        <v>557</v>
      </c>
      <c r="H168" s="146" t="s">
        <v>123</v>
      </c>
      <c r="I168" s="147" t="str">
        <f ca="1">OFFSET(OT[[#Headers],[T. CUENTA]],MATCH($H168,OT[T. CUENTA],0),1)</f>
        <v>GASTOS PRESTADOS POR TERCEROS</v>
      </c>
      <c r="J168" s="147" t="s">
        <v>158</v>
      </c>
      <c r="K168" s="146" t="s">
        <v>65</v>
      </c>
      <c r="L168" s="148">
        <v>1</v>
      </c>
      <c r="M168" s="149">
        <v>1.69</v>
      </c>
      <c r="N168" s="150">
        <f>SALIDAS[[#This Row],[COSTO]]*0.18</f>
        <v>0.30419999999999997</v>
      </c>
      <c r="O168" s="150"/>
      <c r="P168" s="152">
        <f>SALIDAS[[#This Row],[COSTO]]+SALIDAS[[#This Row],[IGV]]+SALIDAS[[#This Row],[INAFECTO]]</f>
        <v>1.9942</v>
      </c>
      <c r="Q168" s="151" t="s">
        <v>378</v>
      </c>
    </row>
    <row r="169" spans="1:17" x14ac:dyDescent="0.25">
      <c r="A169" s="56">
        <v>163</v>
      </c>
      <c r="B169" s="64">
        <v>43531</v>
      </c>
      <c r="C169" s="30" t="str">
        <f>TEXT(SALIDAS[[#This Row],[FECHA]],"mmmm")</f>
        <v>Marzo</v>
      </c>
      <c r="D169" s="27" t="s">
        <v>135</v>
      </c>
      <c r="E169" s="55" t="s">
        <v>558</v>
      </c>
      <c r="F169" s="65">
        <v>5</v>
      </c>
      <c r="G169" s="146" t="s">
        <v>563</v>
      </c>
      <c r="H169" s="146" t="s">
        <v>106</v>
      </c>
      <c r="I169" s="147" t="str">
        <f ca="1">OFFSET(OT[[#Headers],[T. CUENTA]],MATCH($H169,OT[T. CUENTA],0),1)</f>
        <v>GASTOS DE PERSONAL</v>
      </c>
      <c r="J169" s="147" t="s">
        <v>158</v>
      </c>
      <c r="K169" s="146" t="s">
        <v>65</v>
      </c>
      <c r="L169" s="148">
        <v>1</v>
      </c>
      <c r="M169" s="149">
        <v>40</v>
      </c>
      <c r="N169" s="150">
        <v>0</v>
      </c>
      <c r="O169" s="150"/>
      <c r="P169" s="152">
        <f>SALIDAS[[#This Row],[COSTO]]+SALIDAS[[#This Row],[IGV]]+SALIDAS[[#This Row],[INAFECTO]]</f>
        <v>40</v>
      </c>
      <c r="Q169" s="151" t="s">
        <v>559</v>
      </c>
    </row>
    <row r="170" spans="1:17" x14ac:dyDescent="0.25">
      <c r="A170" s="56">
        <v>164</v>
      </c>
      <c r="B170" s="64">
        <v>43532</v>
      </c>
      <c r="C170" s="30" t="str">
        <f>TEXT(SALIDAS[[#This Row],[FECHA]],"mmmm")</f>
        <v>Marzo</v>
      </c>
      <c r="D170" s="27" t="s">
        <v>12</v>
      </c>
      <c r="E170" s="55" t="s">
        <v>560</v>
      </c>
      <c r="F170" s="65">
        <v>5</v>
      </c>
      <c r="G170" s="146" t="s">
        <v>562</v>
      </c>
      <c r="H170" s="146" t="s">
        <v>106</v>
      </c>
      <c r="I170" s="147" t="str">
        <f ca="1">OFFSET(OT[[#Headers],[T. CUENTA]],MATCH($H170,OT[T. CUENTA],0),1)</f>
        <v>GASTOS DE PERSONAL</v>
      </c>
      <c r="J170" s="147" t="s">
        <v>158</v>
      </c>
      <c r="K170" s="146" t="s">
        <v>65</v>
      </c>
      <c r="L170" s="148">
        <v>1</v>
      </c>
      <c r="M170" s="149">
        <v>20</v>
      </c>
      <c r="N170" s="150">
        <v>0</v>
      </c>
      <c r="O170" s="150"/>
      <c r="P170" s="152">
        <f>SALIDAS[[#This Row],[COSTO]]+SALIDAS[[#This Row],[IGV]]+SALIDAS[[#This Row],[INAFECTO]]</f>
        <v>20</v>
      </c>
      <c r="Q170" s="151" t="s">
        <v>485</v>
      </c>
    </row>
    <row r="171" spans="1:17" x14ac:dyDescent="0.25">
      <c r="A171" s="56">
        <v>165</v>
      </c>
      <c r="B171" s="64">
        <v>43536</v>
      </c>
      <c r="C171" s="30" t="str">
        <f>TEXT(SALIDAS[[#This Row],[FECHA]],"mmmm")</f>
        <v>Marzo</v>
      </c>
      <c r="D171" s="27" t="s">
        <v>135</v>
      </c>
      <c r="E171" s="55" t="s">
        <v>561</v>
      </c>
      <c r="F171" s="65">
        <v>5</v>
      </c>
      <c r="G171" s="146" t="s">
        <v>564</v>
      </c>
      <c r="H171" s="146" t="s">
        <v>85</v>
      </c>
      <c r="I171" s="147" t="str">
        <f ca="1">OFFSET(OT[[#Headers],[T. CUENTA]],MATCH($H171,OT[T. CUENTA],0),1)</f>
        <v>COSTO DIRECTO</v>
      </c>
      <c r="J171" s="147" t="s">
        <v>228</v>
      </c>
      <c r="K171" s="146" t="s">
        <v>65</v>
      </c>
      <c r="L171" s="148">
        <v>1</v>
      </c>
      <c r="M171" s="149">
        <v>71.95</v>
      </c>
      <c r="N171" s="150">
        <f>SALIDAS[[#This Row],[COSTO]]*0.18</f>
        <v>12.951000000000001</v>
      </c>
      <c r="O171" s="150"/>
      <c r="P171" s="152">
        <f>SALIDAS[[#This Row],[COSTO]]+SALIDAS[[#This Row],[IGV]]+SALIDAS[[#This Row],[INAFECTO]]</f>
        <v>84.90100000000001</v>
      </c>
      <c r="Q171" s="151" t="s">
        <v>378</v>
      </c>
    </row>
    <row r="172" spans="1:17" x14ac:dyDescent="0.25">
      <c r="A172" s="56">
        <v>166</v>
      </c>
      <c r="B172" s="64">
        <v>43536</v>
      </c>
      <c r="C172" s="30" t="str">
        <f>TEXT(SALIDAS[[#This Row],[FECHA]],"mmmm")</f>
        <v>Marzo</v>
      </c>
      <c r="D172" s="27" t="s">
        <v>135</v>
      </c>
      <c r="E172" s="55" t="s">
        <v>565</v>
      </c>
      <c r="F172" s="65">
        <v>5</v>
      </c>
      <c r="G172" s="146" t="s">
        <v>566</v>
      </c>
      <c r="H172" s="146" t="s">
        <v>85</v>
      </c>
      <c r="I172" s="147" t="str">
        <f ca="1">OFFSET(OT[[#Headers],[T. CUENTA]],MATCH($H172,OT[T. CUENTA],0),1)</f>
        <v>COSTO DIRECTO</v>
      </c>
      <c r="J172" s="147" t="s">
        <v>228</v>
      </c>
      <c r="K172" s="146" t="s">
        <v>65</v>
      </c>
      <c r="L172" s="148">
        <v>1</v>
      </c>
      <c r="M172" s="149">
        <v>169.07</v>
      </c>
      <c r="N172" s="150">
        <f>SALIDAS[[#This Row],[COSTO]]*0.18</f>
        <v>30.432599999999997</v>
      </c>
      <c r="O172" s="150"/>
      <c r="P172" s="152">
        <f>SALIDAS[[#This Row],[COSTO]]+SALIDAS[[#This Row],[IGV]]+SALIDAS[[#This Row],[INAFECTO]]</f>
        <v>199.5026</v>
      </c>
      <c r="Q172" s="151" t="s">
        <v>378</v>
      </c>
    </row>
    <row r="173" spans="1:17" x14ac:dyDescent="0.25">
      <c r="A173" s="56">
        <v>167</v>
      </c>
      <c r="B173" s="64">
        <v>43537</v>
      </c>
      <c r="C173" s="30" t="str">
        <f>TEXT(SALIDAS[[#This Row],[FECHA]],"mmmm")</f>
        <v>Marzo</v>
      </c>
      <c r="D173" s="27" t="s">
        <v>135</v>
      </c>
      <c r="E173" s="55" t="s">
        <v>567</v>
      </c>
      <c r="F173" s="65">
        <v>5</v>
      </c>
      <c r="G173" s="146" t="s">
        <v>569</v>
      </c>
      <c r="H173" s="146" t="s">
        <v>425</v>
      </c>
      <c r="I173" s="147" t="str">
        <f ca="1">OFFSET(OT[[#Headers],[T. CUENTA]],MATCH($H173,OT[T. CUENTA],0),1)</f>
        <v>COSTO DIRECTO</v>
      </c>
      <c r="J173" s="147" t="s">
        <v>156</v>
      </c>
      <c r="K173" s="146" t="s">
        <v>65</v>
      </c>
      <c r="L173" s="148">
        <v>1</v>
      </c>
      <c r="M173" s="149">
        <v>369.23</v>
      </c>
      <c r="N173" s="150">
        <f>SALIDAS[[#This Row],[COSTO]]*0.18</f>
        <v>66.461399999999998</v>
      </c>
      <c r="O173" s="150"/>
      <c r="P173" s="152">
        <f>SALIDAS[[#This Row],[COSTO]]+SALIDAS[[#This Row],[IGV]]+SALIDAS[[#This Row],[INAFECTO]]</f>
        <v>435.69140000000004</v>
      </c>
      <c r="Q173" s="151" t="s">
        <v>388</v>
      </c>
    </row>
    <row r="174" spans="1:17" x14ac:dyDescent="0.25">
      <c r="A174" s="56">
        <v>168</v>
      </c>
      <c r="B174" s="64">
        <v>43537</v>
      </c>
      <c r="C174" s="30" t="str">
        <f>TEXT(SALIDAS[[#This Row],[FECHA]],"mmmm")</f>
        <v>Marzo</v>
      </c>
      <c r="D174" s="27" t="s">
        <v>135</v>
      </c>
      <c r="E174" s="55" t="s">
        <v>568</v>
      </c>
      <c r="F174" s="65">
        <v>5</v>
      </c>
      <c r="G174" s="146" t="s">
        <v>570</v>
      </c>
      <c r="H174" s="146" t="s">
        <v>85</v>
      </c>
      <c r="I174" s="147" t="str">
        <f ca="1">OFFSET(OT[[#Headers],[T. CUENTA]],MATCH($H174,OT[T. CUENTA],0),1)</f>
        <v>COSTO DIRECTO</v>
      </c>
      <c r="J174" s="147" t="s">
        <v>228</v>
      </c>
      <c r="K174" s="146" t="s">
        <v>65</v>
      </c>
      <c r="L174" s="148">
        <v>1</v>
      </c>
      <c r="M174" s="149">
        <v>105.93</v>
      </c>
      <c r="N174" s="150">
        <f>SALIDAS[[#This Row],[COSTO]]*0.18</f>
        <v>19.067399999999999</v>
      </c>
      <c r="O174" s="150"/>
      <c r="P174" s="152">
        <f>SALIDAS[[#This Row],[COSTO]]+SALIDAS[[#This Row],[IGV]]+SALIDAS[[#This Row],[INAFECTO]]</f>
        <v>124.9974</v>
      </c>
      <c r="Q174" s="151" t="s">
        <v>571</v>
      </c>
    </row>
    <row r="175" spans="1:17" x14ac:dyDescent="0.25">
      <c r="A175" s="56">
        <v>169</v>
      </c>
      <c r="B175" s="64">
        <v>43537</v>
      </c>
      <c r="C175" s="30" t="str">
        <f>TEXT(SALIDAS[[#This Row],[FECHA]],"mmmm")</f>
        <v>Marzo</v>
      </c>
      <c r="D175" s="27" t="s">
        <v>135</v>
      </c>
      <c r="E175" s="55" t="s">
        <v>572</v>
      </c>
      <c r="F175" s="65">
        <v>5</v>
      </c>
      <c r="G175" s="146" t="s">
        <v>573</v>
      </c>
      <c r="H175" s="146" t="s">
        <v>110</v>
      </c>
      <c r="I175" s="147" t="str">
        <f ca="1">OFFSET(OT[[#Headers],[T. CUENTA]],MATCH($H175,OT[T. CUENTA],0),1)</f>
        <v>GASTOS ADMINISTRATIVOS</v>
      </c>
      <c r="J175" s="147" t="s">
        <v>158</v>
      </c>
      <c r="K175" s="146" t="s">
        <v>65</v>
      </c>
      <c r="L175" s="148">
        <v>1</v>
      </c>
      <c r="M175" s="149">
        <v>330.51</v>
      </c>
      <c r="N175" s="150">
        <f>SALIDAS[[#This Row],[COSTO]]*0.18</f>
        <v>59.491799999999998</v>
      </c>
      <c r="O175" s="150"/>
      <c r="P175" s="152">
        <f>SALIDAS[[#This Row],[COSTO]]+SALIDAS[[#This Row],[IGV]]+SALIDAS[[#This Row],[INAFECTO]]</f>
        <v>390.0018</v>
      </c>
      <c r="Q175" s="151" t="s">
        <v>223</v>
      </c>
    </row>
    <row r="176" spans="1:17" x14ac:dyDescent="0.25">
      <c r="A176" s="56">
        <v>170</v>
      </c>
      <c r="B176" s="64">
        <v>43539</v>
      </c>
      <c r="C176" s="30" t="str">
        <f>TEXT(SALIDAS[[#This Row],[FECHA]],"mmmm")</f>
        <v>Marzo</v>
      </c>
      <c r="D176" s="27" t="s">
        <v>135</v>
      </c>
      <c r="E176" s="55" t="s">
        <v>574</v>
      </c>
      <c r="F176" s="65">
        <v>5</v>
      </c>
      <c r="G176" s="146" t="s">
        <v>492</v>
      </c>
      <c r="H176" s="146" t="s">
        <v>110</v>
      </c>
      <c r="I176" s="147" t="str">
        <f ca="1">OFFSET(OT[[#Headers],[T. CUENTA]],MATCH($H176,OT[T. CUENTA],0),1)</f>
        <v>GASTOS ADMINISTRATIVOS</v>
      </c>
      <c r="J176" s="147" t="s">
        <v>158</v>
      </c>
      <c r="K176" s="146" t="s">
        <v>65</v>
      </c>
      <c r="L176" s="148">
        <v>1</v>
      </c>
      <c r="M176" s="149">
        <v>296.61</v>
      </c>
      <c r="N176" s="150">
        <f>SALIDAS[[#This Row],[COSTO]]*0.18</f>
        <v>53.389800000000001</v>
      </c>
      <c r="O176" s="150"/>
      <c r="P176" s="152">
        <f>SALIDAS[[#This Row],[COSTO]]+SALIDAS[[#This Row],[IGV]]+SALIDAS[[#This Row],[INAFECTO]]</f>
        <v>349.99979999999999</v>
      </c>
      <c r="Q176" s="151" t="s">
        <v>223</v>
      </c>
    </row>
    <row r="177" spans="1:17" x14ac:dyDescent="0.25">
      <c r="A177" s="56">
        <v>171</v>
      </c>
      <c r="B177" s="64">
        <v>43540</v>
      </c>
      <c r="C177" s="30" t="str">
        <f>TEXT(SALIDAS[[#This Row],[FECHA]],"mmmm")</f>
        <v>Marzo</v>
      </c>
      <c r="D177" s="27" t="s">
        <v>141</v>
      </c>
      <c r="E177" s="55" t="s">
        <v>575</v>
      </c>
      <c r="F177" s="65">
        <v>5</v>
      </c>
      <c r="G177" s="146" t="s">
        <v>576</v>
      </c>
      <c r="H177" s="146" t="s">
        <v>106</v>
      </c>
      <c r="I177" s="147" t="str">
        <f ca="1">OFFSET(OT[[#Headers],[T. CUENTA]],MATCH($H177,OT[T. CUENTA],0),1)</f>
        <v>GASTOS DE PERSONAL</v>
      </c>
      <c r="J177" s="147" t="s">
        <v>158</v>
      </c>
      <c r="K177" s="146" t="s">
        <v>65</v>
      </c>
      <c r="L177" s="148">
        <v>1</v>
      </c>
      <c r="M177" s="149">
        <v>150</v>
      </c>
      <c r="N177" s="150">
        <v>0</v>
      </c>
      <c r="O177" s="150"/>
      <c r="P177" s="152">
        <f>SALIDAS[[#This Row],[COSTO]]+SALIDAS[[#This Row],[IGV]]+SALIDAS[[#This Row],[INAFECTO]]</f>
        <v>150</v>
      </c>
      <c r="Q177" s="151" t="s">
        <v>577</v>
      </c>
    </row>
    <row r="178" spans="1:17" x14ac:dyDescent="0.25">
      <c r="A178" s="56">
        <v>172</v>
      </c>
      <c r="B178" s="64">
        <v>43537</v>
      </c>
      <c r="C178" s="30" t="str">
        <f>TEXT(SALIDAS[[#This Row],[FECHA]],"mmmm")</f>
        <v>Marzo</v>
      </c>
      <c r="D178" s="27" t="s">
        <v>135</v>
      </c>
      <c r="E178" s="55" t="s">
        <v>578</v>
      </c>
      <c r="F178" s="65">
        <v>6</v>
      </c>
      <c r="G178" s="146" t="s">
        <v>579</v>
      </c>
      <c r="H178" s="146" t="s">
        <v>106</v>
      </c>
      <c r="I178" s="147" t="str">
        <f ca="1">OFFSET(OT[[#Headers],[T. CUENTA]],MATCH($H178,OT[T. CUENTA],0),1)</f>
        <v>GASTOS DE PERSONAL</v>
      </c>
      <c r="J178" s="147" t="s">
        <v>158</v>
      </c>
      <c r="K178" s="146" t="s">
        <v>65</v>
      </c>
      <c r="L178" s="148">
        <v>1</v>
      </c>
      <c r="M178" s="149">
        <v>50</v>
      </c>
      <c r="N178" s="150">
        <v>0</v>
      </c>
      <c r="O178" s="150"/>
      <c r="P178" s="152">
        <f>SALIDAS[[#This Row],[COSTO]]+SALIDAS[[#This Row],[IGV]]+SALIDAS[[#This Row],[INAFECTO]]</f>
        <v>50</v>
      </c>
      <c r="Q178" s="151" t="s">
        <v>488</v>
      </c>
    </row>
    <row r="179" spans="1:17" x14ac:dyDescent="0.25">
      <c r="A179" s="56">
        <v>173</v>
      </c>
      <c r="B179" s="64">
        <v>43537</v>
      </c>
      <c r="C179" s="30" t="str">
        <f>TEXT(SALIDAS[[#This Row],[FECHA]],"mmmm")</f>
        <v>Marzo</v>
      </c>
      <c r="D179" s="27" t="s">
        <v>10</v>
      </c>
      <c r="E179" s="55" t="s">
        <v>580</v>
      </c>
      <c r="F179" s="65">
        <v>6</v>
      </c>
      <c r="G179" s="146" t="s">
        <v>581</v>
      </c>
      <c r="H179" s="146" t="s">
        <v>106</v>
      </c>
      <c r="I179" s="147" t="str">
        <f ca="1">OFFSET(OT[[#Headers],[T. CUENTA]],MATCH($H179,OT[T. CUENTA],0),1)</f>
        <v>GASTOS DE PERSONAL</v>
      </c>
      <c r="J179" s="147" t="s">
        <v>158</v>
      </c>
      <c r="K179" s="146" t="s">
        <v>65</v>
      </c>
      <c r="L179" s="148">
        <v>1</v>
      </c>
      <c r="M179" s="149">
        <v>30</v>
      </c>
      <c r="N179" s="150">
        <v>0</v>
      </c>
      <c r="O179" s="150"/>
      <c r="P179" s="152">
        <v>30</v>
      </c>
      <c r="Q179" s="151" t="s">
        <v>582</v>
      </c>
    </row>
    <row r="180" spans="1:17" x14ac:dyDescent="0.25">
      <c r="A180" s="56">
        <v>174</v>
      </c>
      <c r="B180" s="64">
        <v>43537</v>
      </c>
      <c r="C180" s="30" t="str">
        <f>TEXT(SALIDAS[[#This Row],[FECHA]],"mmmm")</f>
        <v>Marzo</v>
      </c>
      <c r="D180" s="27" t="s">
        <v>10</v>
      </c>
      <c r="E180" s="55" t="s">
        <v>583</v>
      </c>
      <c r="F180" s="65">
        <v>6</v>
      </c>
      <c r="G180" s="146" t="s">
        <v>581</v>
      </c>
      <c r="H180" s="146" t="s">
        <v>106</v>
      </c>
      <c r="I180" s="147" t="str">
        <f ca="1">OFFSET(OT[[#Headers],[T. CUENTA]],MATCH($H180,OT[T. CUENTA],0),1)</f>
        <v>GASTOS DE PERSONAL</v>
      </c>
      <c r="J180" s="147" t="s">
        <v>158</v>
      </c>
      <c r="K180" s="146" t="s">
        <v>65</v>
      </c>
      <c r="L180" s="148">
        <v>1</v>
      </c>
      <c r="M180" s="149">
        <v>25.42</v>
      </c>
      <c r="N180" s="150">
        <f>SALIDAS[[#This Row],[COSTO]]*0.18</f>
        <v>4.5756000000000006</v>
      </c>
      <c r="O180" s="150"/>
      <c r="P180" s="152">
        <f>SALIDAS[[#This Row],[COSTO]]+SALIDAS[[#This Row],[IGV]]+SALIDAS[[#This Row],[INAFECTO]]</f>
        <v>29.995600000000003</v>
      </c>
      <c r="Q180" s="151" t="s">
        <v>584</v>
      </c>
    </row>
    <row r="181" spans="1:17" x14ac:dyDescent="0.25">
      <c r="A181" s="56">
        <v>175</v>
      </c>
      <c r="B181" s="64">
        <v>43537</v>
      </c>
      <c r="C181" s="30" t="str">
        <f>TEXT(SALIDAS[[#This Row],[FECHA]],"mmmm")</f>
        <v>Marzo</v>
      </c>
      <c r="D181" s="27" t="s">
        <v>10</v>
      </c>
      <c r="E181" s="55" t="s">
        <v>585</v>
      </c>
      <c r="F181" s="65">
        <v>6</v>
      </c>
      <c r="G181" s="146" t="s">
        <v>586</v>
      </c>
      <c r="H181" s="146" t="s">
        <v>106</v>
      </c>
      <c r="I181" s="147" t="str">
        <f ca="1">OFFSET(OT[[#Headers],[T. CUENTA]],MATCH($H181,OT[T. CUENTA],0),1)</f>
        <v>GASTOS DE PERSONAL</v>
      </c>
      <c r="J181" s="147" t="s">
        <v>158</v>
      </c>
      <c r="K181" s="146" t="s">
        <v>65</v>
      </c>
      <c r="L181" s="148">
        <v>1</v>
      </c>
      <c r="M181" s="149">
        <v>40</v>
      </c>
      <c r="N181" s="150">
        <v>0</v>
      </c>
      <c r="O181" s="150"/>
      <c r="P181" s="152">
        <f>SALIDAS[[#This Row],[COSTO]]+SALIDAS[[#This Row],[IGV]]+SALIDAS[[#This Row],[INAFECTO]]</f>
        <v>40</v>
      </c>
      <c r="Q181" s="151" t="s">
        <v>587</v>
      </c>
    </row>
    <row r="182" spans="1:17" x14ac:dyDescent="0.25">
      <c r="A182" s="56">
        <v>176</v>
      </c>
      <c r="B182" s="64">
        <v>43531</v>
      </c>
      <c r="C182" s="30" t="str">
        <f>TEXT(SALIDAS[[#This Row],[FECHA]],"mmmm")</f>
        <v>Marzo</v>
      </c>
      <c r="D182" s="27" t="s">
        <v>135</v>
      </c>
      <c r="E182" s="55" t="s">
        <v>588</v>
      </c>
      <c r="F182" s="65">
        <v>6</v>
      </c>
      <c r="G182" s="146" t="s">
        <v>581</v>
      </c>
      <c r="H182" s="146" t="s">
        <v>106</v>
      </c>
      <c r="I182" s="147" t="str">
        <f ca="1">OFFSET(OT[[#Headers],[T. CUENTA]],MATCH($H182,OT[T. CUENTA],0),1)</f>
        <v>GASTOS DE PERSONAL</v>
      </c>
      <c r="J182" s="147" t="s">
        <v>158</v>
      </c>
      <c r="K182" s="146" t="s">
        <v>65</v>
      </c>
      <c r="L182" s="148">
        <v>1</v>
      </c>
      <c r="M182" s="149">
        <v>60</v>
      </c>
      <c r="N182" s="150">
        <v>0</v>
      </c>
      <c r="O182" s="150"/>
      <c r="P182" s="152">
        <f>SALIDAS[[#This Row],[COSTO]]+SALIDAS[[#This Row],[IGV]]+SALIDAS[[#This Row],[INAFECTO]]</f>
        <v>60</v>
      </c>
      <c r="Q182" s="151" t="s">
        <v>488</v>
      </c>
    </row>
    <row r="183" spans="1:17" x14ac:dyDescent="0.25">
      <c r="A183" s="56">
        <v>177</v>
      </c>
      <c r="B183" s="64">
        <v>43531</v>
      </c>
      <c r="C183" s="30" t="str">
        <f>TEXT(SALIDAS[[#This Row],[FECHA]],"mmmm")</f>
        <v>Marzo</v>
      </c>
      <c r="D183" s="27" t="s">
        <v>135</v>
      </c>
      <c r="E183" s="55" t="s">
        <v>589</v>
      </c>
      <c r="F183" s="65">
        <v>6</v>
      </c>
      <c r="G183" s="146" t="s">
        <v>581</v>
      </c>
      <c r="H183" s="146" t="s">
        <v>106</v>
      </c>
      <c r="I183" s="147" t="str">
        <f ca="1">OFFSET(OT[[#Headers],[T. CUENTA]],MATCH($H183,OT[T. CUENTA],0),1)</f>
        <v>GASTOS DE PERSONAL</v>
      </c>
      <c r="J183" s="147" t="s">
        <v>158</v>
      </c>
      <c r="K183" s="146" t="s">
        <v>65</v>
      </c>
      <c r="L183" s="148">
        <v>1</v>
      </c>
      <c r="M183" s="149">
        <v>4.83</v>
      </c>
      <c r="N183" s="150">
        <f>SALIDAS[[#This Row],[COSTO]]*0.18</f>
        <v>0.86939999999999995</v>
      </c>
      <c r="O183" s="150"/>
      <c r="P183" s="152">
        <f>SALIDAS[[#This Row],[COSTO]]+SALIDAS[[#This Row],[IGV]]+SALIDAS[[#This Row],[INAFECTO]]</f>
        <v>5.6993999999999998</v>
      </c>
      <c r="Q183" s="151" t="s">
        <v>590</v>
      </c>
    </row>
    <row r="184" spans="1:17" x14ac:dyDescent="0.25">
      <c r="A184" s="56">
        <v>178</v>
      </c>
      <c r="B184" s="64">
        <v>43544</v>
      </c>
      <c r="C184" s="30" t="str">
        <f>TEXT(SALIDAS[[#This Row],[FECHA]],"mmmm")</f>
        <v>Marzo</v>
      </c>
      <c r="D184" s="27" t="s">
        <v>12</v>
      </c>
      <c r="E184" s="55" t="s">
        <v>591</v>
      </c>
      <c r="F184" s="65">
        <v>6</v>
      </c>
      <c r="G184" s="146" t="s">
        <v>492</v>
      </c>
      <c r="H184" s="146" t="s">
        <v>110</v>
      </c>
      <c r="I184" s="147" t="str">
        <f ca="1">OFFSET(OT[[#Headers],[T. CUENTA]],MATCH($H184,OT[T. CUENTA],0),1)</f>
        <v>GASTOS ADMINISTRATIVOS</v>
      </c>
      <c r="J184" s="147" t="s">
        <v>158</v>
      </c>
      <c r="K184" s="146" t="s">
        <v>65</v>
      </c>
      <c r="L184" s="148">
        <v>1</v>
      </c>
      <c r="M184" s="149">
        <v>250</v>
      </c>
      <c r="N184" s="150">
        <v>0</v>
      </c>
      <c r="O184" s="150"/>
      <c r="P184" s="152">
        <f>SALIDAS[[#This Row],[COSTO]]+SALIDAS[[#This Row],[IGV]]+SALIDAS[[#This Row],[INAFECTO]]</f>
        <v>250</v>
      </c>
      <c r="Q184" s="151" t="s">
        <v>592</v>
      </c>
    </row>
    <row r="185" spans="1:17" x14ac:dyDescent="0.25">
      <c r="A185" s="56">
        <v>179</v>
      </c>
      <c r="B185" s="64">
        <v>43545</v>
      </c>
      <c r="C185" s="30" t="str">
        <f>TEXT(SALIDAS[[#This Row],[FECHA]],"mmmm")</f>
        <v>Marzo</v>
      </c>
      <c r="D185" s="27" t="s">
        <v>135</v>
      </c>
      <c r="E185" s="55" t="s">
        <v>593</v>
      </c>
      <c r="F185" s="65">
        <v>6</v>
      </c>
      <c r="G185" s="146" t="s">
        <v>492</v>
      </c>
      <c r="H185" s="146" t="s">
        <v>110</v>
      </c>
      <c r="I185" s="147" t="str">
        <f ca="1">OFFSET(OT[[#Headers],[T. CUENTA]],MATCH($H185,OT[T. CUENTA],0),1)</f>
        <v>GASTOS ADMINISTRATIVOS</v>
      </c>
      <c r="J185" s="147" t="s">
        <v>158</v>
      </c>
      <c r="K185" s="146" t="s">
        <v>65</v>
      </c>
      <c r="L185" s="148">
        <v>1</v>
      </c>
      <c r="M185" s="149">
        <v>296</v>
      </c>
      <c r="N185" s="150">
        <f>SALIDAS[[#This Row],[COSTO]]*0.18</f>
        <v>53.28</v>
      </c>
      <c r="O185" s="150"/>
      <c r="P185" s="152">
        <f>SALIDAS[[#This Row],[COSTO]]+SALIDAS[[#This Row],[IGV]]+SALIDAS[[#This Row],[INAFECTO]]</f>
        <v>349.28</v>
      </c>
      <c r="Q185" s="151" t="s">
        <v>223</v>
      </c>
    </row>
    <row r="186" spans="1:17" x14ac:dyDescent="0.25">
      <c r="A186" s="56">
        <v>180</v>
      </c>
      <c r="B186" s="64">
        <v>43544</v>
      </c>
      <c r="C186" s="30" t="str">
        <f>TEXT(SALIDAS[[#This Row],[FECHA]],"mmmm")</f>
        <v>Marzo</v>
      </c>
      <c r="D186" s="27" t="s">
        <v>138</v>
      </c>
      <c r="E186" s="55" t="s">
        <v>594</v>
      </c>
      <c r="F186" s="65">
        <v>6</v>
      </c>
      <c r="G186" s="146" t="s">
        <v>595</v>
      </c>
      <c r="H186" s="146" t="s">
        <v>96</v>
      </c>
      <c r="I186" s="147" t="str">
        <f ca="1">OFFSET(OT[[#Headers],[T. CUENTA]],MATCH($H186,OT[T. CUENTA],0),1)</f>
        <v>GASTOS PRESTADOS POR TERCEROS</v>
      </c>
      <c r="J186" s="147" t="s">
        <v>158</v>
      </c>
      <c r="K186" s="146" t="s">
        <v>65</v>
      </c>
      <c r="L186" s="148">
        <v>1</v>
      </c>
      <c r="M186" s="149">
        <v>650</v>
      </c>
      <c r="N186" s="150">
        <v>0</v>
      </c>
      <c r="O186" s="150"/>
      <c r="P186" s="152">
        <f>SALIDAS[[#This Row],[COSTO]]+SALIDAS[[#This Row],[IGV]]+SALIDAS[[#This Row],[INAFECTO]]</f>
        <v>650</v>
      </c>
      <c r="Q186" s="151" t="s">
        <v>596</v>
      </c>
    </row>
    <row r="187" spans="1:17" x14ac:dyDescent="0.25">
      <c r="A187" s="56">
        <v>181</v>
      </c>
      <c r="B187" s="64">
        <v>43536</v>
      </c>
      <c r="C187" s="30" t="str">
        <f>TEXT(SALIDAS[[#This Row],[FECHA]],"mmmm")</f>
        <v>Marzo</v>
      </c>
      <c r="D187" s="27" t="s">
        <v>12</v>
      </c>
      <c r="E187" s="55" t="s">
        <v>597</v>
      </c>
      <c r="F187" s="65">
        <v>6</v>
      </c>
      <c r="G187" s="146" t="s">
        <v>600</v>
      </c>
      <c r="H187" s="146" t="s">
        <v>106</v>
      </c>
      <c r="I187" s="147" t="str">
        <f ca="1">OFFSET(OT[[#Headers],[T. CUENTA]],MATCH($H187,OT[T. CUENTA],0),1)</f>
        <v>GASTOS DE PERSONAL</v>
      </c>
      <c r="J187" s="147" t="s">
        <v>158</v>
      </c>
      <c r="K187" s="146" t="s">
        <v>65</v>
      </c>
      <c r="L187" s="148">
        <v>1</v>
      </c>
      <c r="M187" s="149">
        <v>130</v>
      </c>
      <c r="N187" s="150">
        <v>0</v>
      </c>
      <c r="O187" s="150"/>
      <c r="P187" s="152">
        <v>130</v>
      </c>
      <c r="Q187" s="151" t="s">
        <v>598</v>
      </c>
    </row>
    <row r="188" spans="1:17" x14ac:dyDescent="0.25">
      <c r="A188" s="56">
        <v>182</v>
      </c>
      <c r="B188" s="64">
        <v>43543</v>
      </c>
      <c r="C188" s="30" t="str">
        <f>TEXT(SALIDAS[[#This Row],[FECHA]],"mmmm")</f>
        <v>Marzo</v>
      </c>
      <c r="D188" s="27" t="s">
        <v>12</v>
      </c>
      <c r="E188" s="55" t="s">
        <v>599</v>
      </c>
      <c r="F188" s="65">
        <v>6</v>
      </c>
      <c r="G188" s="146" t="s">
        <v>602</v>
      </c>
      <c r="H188" s="146" t="s">
        <v>106</v>
      </c>
      <c r="I188" s="147" t="str">
        <f ca="1">OFFSET(OT[[#Headers],[T. CUENTA]],MATCH($H188,OT[T. CUENTA],0),1)</f>
        <v>GASTOS DE PERSONAL</v>
      </c>
      <c r="J188" s="147" t="s">
        <v>158</v>
      </c>
      <c r="K188" s="146" t="s">
        <v>65</v>
      </c>
      <c r="L188" s="148">
        <v>1</v>
      </c>
      <c r="M188" s="149">
        <v>25</v>
      </c>
      <c r="N188" s="150">
        <v>0</v>
      </c>
      <c r="O188" s="150"/>
      <c r="P188" s="152">
        <f>SALIDAS[[#This Row],[COSTO]]+SALIDAS[[#This Row],[IGV]]+SALIDAS[[#This Row],[INAFECTO]]</f>
        <v>25</v>
      </c>
      <c r="Q188" s="151" t="s">
        <v>223</v>
      </c>
    </row>
    <row r="189" spans="1:17" x14ac:dyDescent="0.25">
      <c r="A189" s="56">
        <v>183</v>
      </c>
      <c r="B189" s="64">
        <v>43537</v>
      </c>
      <c r="C189" s="30" t="str">
        <f>TEXT(SALIDAS[[#This Row],[FECHA]],"mmmm")</f>
        <v>Marzo</v>
      </c>
      <c r="D189" s="27" t="s">
        <v>12</v>
      </c>
      <c r="E189" s="55" t="s">
        <v>601</v>
      </c>
      <c r="F189" s="65">
        <v>6</v>
      </c>
      <c r="G189" s="146" t="s">
        <v>602</v>
      </c>
      <c r="H189" s="146" t="s">
        <v>106</v>
      </c>
      <c r="I189" s="147" t="str">
        <f ca="1">OFFSET(OT[[#Headers],[T. CUENTA]],MATCH($H189,OT[T. CUENTA],0),1)</f>
        <v>GASTOS DE PERSONAL</v>
      </c>
      <c r="J189" s="147" t="s">
        <v>158</v>
      </c>
      <c r="K189" s="146" t="s">
        <v>65</v>
      </c>
      <c r="L189" s="148">
        <v>1</v>
      </c>
      <c r="M189" s="149">
        <v>135</v>
      </c>
      <c r="N189" s="150">
        <v>0</v>
      </c>
      <c r="O189" s="150"/>
      <c r="P189" s="152">
        <f>SALIDAS[[#This Row],[COSTO]]+SALIDAS[[#This Row],[IGV]]+SALIDAS[[#This Row],[INAFECTO]]</f>
        <v>135</v>
      </c>
      <c r="Q189" s="151" t="s">
        <v>603</v>
      </c>
    </row>
    <row r="190" spans="1:17" x14ac:dyDescent="0.25">
      <c r="A190" s="56">
        <v>184</v>
      </c>
      <c r="B190" s="64">
        <v>43547</v>
      </c>
      <c r="C190" s="30" t="str">
        <f>TEXT(SALIDAS[[#This Row],[FECHA]],"mmmm")</f>
        <v>Marzo</v>
      </c>
      <c r="D190" s="27" t="s">
        <v>135</v>
      </c>
      <c r="E190" s="55" t="s">
        <v>604</v>
      </c>
      <c r="F190" s="65">
        <v>6</v>
      </c>
      <c r="G190" s="146" t="s">
        <v>492</v>
      </c>
      <c r="H190" s="146" t="s">
        <v>110</v>
      </c>
      <c r="I190" s="147" t="str">
        <f ca="1">OFFSET(OT[[#Headers],[T. CUENTA]],MATCH($H190,OT[T. CUENTA],0),1)</f>
        <v>GASTOS ADMINISTRATIVOS</v>
      </c>
      <c r="J190" s="147" t="s">
        <v>158</v>
      </c>
      <c r="K190" s="146" t="s">
        <v>65</v>
      </c>
      <c r="L190" s="148">
        <v>1</v>
      </c>
      <c r="M190" s="149">
        <v>330.51</v>
      </c>
      <c r="N190" s="150">
        <f>SALIDAS[[#This Row],[COSTO]]*0.18</f>
        <v>59.491799999999998</v>
      </c>
      <c r="O190" s="150"/>
      <c r="P190" s="152">
        <f>SALIDAS[[#This Row],[COSTO]]+SALIDAS[[#This Row],[IGV]]+SALIDAS[[#This Row],[INAFECTO]]</f>
        <v>390.0018</v>
      </c>
      <c r="Q190" s="151" t="s">
        <v>223</v>
      </c>
    </row>
    <row r="191" spans="1:17" x14ac:dyDescent="0.25">
      <c r="A191" s="56">
        <v>185</v>
      </c>
      <c r="B191" s="64">
        <v>43546</v>
      </c>
      <c r="C191" s="30" t="str">
        <f>TEXT(SALIDAS[[#This Row],[FECHA]],"mmmm")</f>
        <v>Marzo</v>
      </c>
      <c r="D191" s="27" t="s">
        <v>138</v>
      </c>
      <c r="E191" s="55" t="s">
        <v>605</v>
      </c>
      <c r="F191" s="65">
        <v>6</v>
      </c>
      <c r="G191" s="146" t="s">
        <v>606</v>
      </c>
      <c r="H191" s="146" t="s">
        <v>127</v>
      </c>
      <c r="I191" s="147" t="str">
        <f ca="1">OFFSET(OT[[#Headers],[T. CUENTA]],MATCH($H191,OT[T. CUENTA],0),1)</f>
        <v>GASTOS PRESTADOS POR TERCEROS</v>
      </c>
      <c r="J191" s="147" t="s">
        <v>158</v>
      </c>
      <c r="K191" s="146" t="s">
        <v>65</v>
      </c>
      <c r="L191" s="148">
        <v>1</v>
      </c>
      <c r="M191" s="149">
        <v>368</v>
      </c>
      <c r="N191" s="150"/>
      <c r="O191" s="150"/>
      <c r="P191" s="152">
        <f>SALIDAS[[#This Row],[COSTO]]+SALIDAS[[#This Row],[IGV]]+SALIDAS[[#This Row],[INAFECTO]]</f>
        <v>368</v>
      </c>
      <c r="Q191" s="151" t="s">
        <v>373</v>
      </c>
    </row>
    <row r="192" spans="1:17" x14ac:dyDescent="0.25">
      <c r="A192" s="56">
        <v>186</v>
      </c>
      <c r="B192" s="64">
        <v>43547</v>
      </c>
      <c r="C192" s="30" t="str">
        <f>TEXT(SALIDAS[[#This Row],[FECHA]],"mmmm")</f>
        <v>Marzo</v>
      </c>
      <c r="D192" s="27" t="s">
        <v>141</v>
      </c>
      <c r="E192" s="55" t="s">
        <v>607</v>
      </c>
      <c r="F192" s="65">
        <v>6</v>
      </c>
      <c r="G192" s="146" t="s">
        <v>602</v>
      </c>
      <c r="H192" s="146" t="s">
        <v>106</v>
      </c>
      <c r="I192" s="147" t="str">
        <f ca="1">OFFSET(OT[[#Headers],[T. CUENTA]],MATCH($H192,OT[T. CUENTA],0),1)</f>
        <v>GASTOS DE PERSONAL</v>
      </c>
      <c r="J192" s="147" t="s">
        <v>158</v>
      </c>
      <c r="K192" s="146" t="s">
        <v>65</v>
      </c>
      <c r="L192" s="148">
        <v>1</v>
      </c>
      <c r="M192" s="149">
        <v>25</v>
      </c>
      <c r="N192" s="150">
        <v>0</v>
      </c>
      <c r="O192" s="150"/>
      <c r="P192" s="152">
        <f>SALIDAS[[#This Row],[COSTO]]+SALIDAS[[#This Row],[IGV]]+SALIDAS[[#This Row],[INAFECTO]]</f>
        <v>25</v>
      </c>
      <c r="Q192" s="151" t="s">
        <v>608</v>
      </c>
    </row>
    <row r="193" spans="1:17" x14ac:dyDescent="0.25">
      <c r="A193" s="56">
        <v>187</v>
      </c>
      <c r="B193" s="64">
        <v>43547</v>
      </c>
      <c r="C193" s="30" t="str">
        <f>TEXT(SALIDAS[[#This Row],[FECHA]],"mmmm")</f>
        <v>Marzo</v>
      </c>
      <c r="D193" s="27" t="s">
        <v>135</v>
      </c>
      <c r="E193" s="55" t="s">
        <v>609</v>
      </c>
      <c r="F193" s="65">
        <v>6</v>
      </c>
      <c r="G193" s="146" t="s">
        <v>610</v>
      </c>
      <c r="H193" s="146" t="s">
        <v>127</v>
      </c>
      <c r="I193" s="147" t="str">
        <f ca="1">OFFSET(OT[[#Headers],[T. CUENTA]],MATCH($H193,OT[T. CUENTA],0),1)</f>
        <v>GASTOS PRESTADOS POR TERCEROS</v>
      </c>
      <c r="J193" s="147" t="s">
        <v>158</v>
      </c>
      <c r="K193" s="146" t="s">
        <v>65</v>
      </c>
      <c r="L193" s="148">
        <v>1</v>
      </c>
      <c r="M193" s="149">
        <v>338.98</v>
      </c>
      <c r="N193" s="150">
        <f>SALIDAS[[#This Row],[COSTO]]*0.18</f>
        <v>61.016400000000004</v>
      </c>
      <c r="O193" s="150"/>
      <c r="P193" s="152">
        <f>SALIDAS[[#This Row],[COSTO]]+SALIDAS[[#This Row],[IGV]]+SALIDAS[[#This Row],[INAFECTO]]</f>
        <v>399.99639999999999</v>
      </c>
      <c r="Q193" s="151" t="s">
        <v>223</v>
      </c>
    </row>
    <row r="194" spans="1:17" x14ac:dyDescent="0.25">
      <c r="A194" s="56">
        <v>188</v>
      </c>
      <c r="B194" s="64">
        <v>43540</v>
      </c>
      <c r="C194" s="30" t="str">
        <f>TEXT(SALIDAS[[#This Row],[FECHA]],"mmmm")</f>
        <v>Marzo</v>
      </c>
      <c r="D194" s="27" t="s">
        <v>12</v>
      </c>
      <c r="E194" s="55" t="s">
        <v>611</v>
      </c>
      <c r="F194" s="65">
        <v>6</v>
      </c>
      <c r="G194" s="146" t="s">
        <v>612</v>
      </c>
      <c r="H194" s="146" t="s">
        <v>92</v>
      </c>
      <c r="I194" s="147" t="str">
        <f ca="1">OFFSET(OT[[#Headers],[T. CUENTA]],MATCH($H194,OT[T. CUENTA],0),1)</f>
        <v>GASTOS DE PERSONAL</v>
      </c>
      <c r="J194" s="147" t="s">
        <v>158</v>
      </c>
      <c r="K194" s="146" t="s">
        <v>65</v>
      </c>
      <c r="L194" s="148">
        <v>1</v>
      </c>
      <c r="M194" s="149">
        <v>75</v>
      </c>
      <c r="N194" s="150">
        <v>0</v>
      </c>
      <c r="O194" s="150"/>
      <c r="P194" s="152">
        <f>SALIDAS[[#This Row],[COSTO]]+SALIDAS[[#This Row],[IGV]]+SALIDAS[[#This Row],[INAFECTO]]</f>
        <v>75</v>
      </c>
      <c r="Q194" s="151" t="s">
        <v>613</v>
      </c>
    </row>
    <row r="195" spans="1:17" x14ac:dyDescent="0.25">
      <c r="A195" s="56">
        <v>189</v>
      </c>
      <c r="B195" s="64">
        <v>43542</v>
      </c>
      <c r="C195" s="30" t="str">
        <f>TEXT(SALIDAS[[#This Row],[FECHA]],"mmmm")</f>
        <v>Marzo</v>
      </c>
      <c r="D195" s="27" t="s">
        <v>12</v>
      </c>
      <c r="E195" s="55" t="s">
        <v>614</v>
      </c>
      <c r="F195" s="65">
        <v>6</v>
      </c>
      <c r="G195" s="146" t="s">
        <v>612</v>
      </c>
      <c r="H195" s="146" t="s">
        <v>92</v>
      </c>
      <c r="I195" s="147" t="str">
        <f ca="1">OFFSET(OT[[#Headers],[T. CUENTA]],MATCH($H195,OT[T. CUENTA],0),1)</f>
        <v>GASTOS DE PERSONAL</v>
      </c>
      <c r="J195" s="147" t="s">
        <v>158</v>
      </c>
      <c r="K195" s="146" t="s">
        <v>65</v>
      </c>
      <c r="L195" s="148">
        <v>1</v>
      </c>
      <c r="M195" s="149">
        <v>104.5</v>
      </c>
      <c r="N195" s="150">
        <v>0</v>
      </c>
      <c r="O195" s="150"/>
      <c r="P195" s="152">
        <f>SALIDAS[[#This Row],[COSTO]]+SALIDAS[[#This Row],[IGV]]+SALIDAS[[#This Row],[INAFECTO]]</f>
        <v>104.5</v>
      </c>
      <c r="Q195" s="151" t="s">
        <v>613</v>
      </c>
    </row>
    <row r="196" spans="1:17" x14ac:dyDescent="0.25">
      <c r="A196" s="56">
        <v>190</v>
      </c>
      <c r="B196" s="64">
        <v>43536</v>
      </c>
      <c r="C196" s="30" t="str">
        <f>TEXT(SALIDAS[[#This Row],[FECHA]],"mmmm")</f>
        <v>Marzo</v>
      </c>
      <c r="D196" s="27" t="s">
        <v>12</v>
      </c>
      <c r="E196" s="55" t="s">
        <v>616</v>
      </c>
      <c r="F196" s="65">
        <v>6</v>
      </c>
      <c r="G196" s="146" t="s">
        <v>617</v>
      </c>
      <c r="H196" s="146" t="s">
        <v>116</v>
      </c>
      <c r="I196" s="147" t="str">
        <f ca="1">OFFSET(OT[[#Headers],[T. CUENTA]],MATCH($H196,OT[T. CUENTA],0),1)</f>
        <v>GASTOS PRESTADOS POR TERCEROS</v>
      </c>
      <c r="J196" s="147" t="s">
        <v>158</v>
      </c>
      <c r="K196" s="146" t="s">
        <v>65</v>
      </c>
      <c r="L196" s="148">
        <v>1</v>
      </c>
      <c r="M196" s="149">
        <v>300</v>
      </c>
      <c r="N196" s="150">
        <v>0</v>
      </c>
      <c r="O196" s="150"/>
      <c r="P196" s="152">
        <f>SALIDAS[[#This Row],[COSTO]]+SALIDAS[[#This Row],[IGV]]+SALIDAS[[#This Row],[INAFECTO]]</f>
        <v>300</v>
      </c>
      <c r="Q196" s="151" t="s">
        <v>618</v>
      </c>
    </row>
    <row r="197" spans="1:17" x14ac:dyDescent="0.25">
      <c r="A197" s="56">
        <v>191</v>
      </c>
      <c r="B197" s="64">
        <v>43544</v>
      </c>
      <c r="C197" s="30" t="str">
        <f>TEXT(SALIDAS[[#This Row],[FECHA]],"mmmm")</f>
        <v>Marzo</v>
      </c>
      <c r="D197" s="27" t="s">
        <v>135</v>
      </c>
      <c r="E197" s="55" t="s">
        <v>619</v>
      </c>
      <c r="F197" s="65">
        <v>6</v>
      </c>
      <c r="G197" s="146" t="s">
        <v>620</v>
      </c>
      <c r="H197" s="146" t="s">
        <v>85</v>
      </c>
      <c r="I197" s="147" t="str">
        <f ca="1">OFFSET(OT[[#Headers],[T. CUENTA]],MATCH($H197,OT[T. CUENTA],0),1)</f>
        <v>COSTO DIRECTO</v>
      </c>
      <c r="J197" s="147" t="s">
        <v>228</v>
      </c>
      <c r="K197" s="146" t="s">
        <v>65</v>
      </c>
      <c r="L197" s="148">
        <v>1</v>
      </c>
      <c r="M197" s="149">
        <v>103.81</v>
      </c>
      <c r="N197" s="150">
        <f>SALIDAS[[#This Row],[COSTO]]*0.18</f>
        <v>18.6858</v>
      </c>
      <c r="O197" s="150"/>
      <c r="P197" s="152">
        <f>SALIDAS[[#This Row],[COSTO]]+SALIDAS[[#This Row],[IGV]]+SALIDAS[[#This Row],[INAFECTO]]</f>
        <v>122.4958</v>
      </c>
      <c r="Q197" s="151" t="s">
        <v>378</v>
      </c>
    </row>
    <row r="198" spans="1:17" x14ac:dyDescent="0.25">
      <c r="A198" s="56">
        <v>192</v>
      </c>
      <c r="B198" s="64">
        <v>43543</v>
      </c>
      <c r="C198" s="30" t="str">
        <f>TEXT(SALIDAS[[#This Row],[FECHA]],"mmmm")</f>
        <v>Marzo</v>
      </c>
      <c r="D198" s="27" t="s">
        <v>10</v>
      </c>
      <c r="E198" s="55" t="s">
        <v>621</v>
      </c>
      <c r="F198" s="65">
        <v>6</v>
      </c>
      <c r="G198" s="146" t="s">
        <v>544</v>
      </c>
      <c r="H198" s="146" t="s">
        <v>107</v>
      </c>
      <c r="I198" s="147" t="str">
        <f ca="1">OFFSET(OT[[#Headers],[T. CUENTA]],MATCH($H198,OT[T. CUENTA],0),1)</f>
        <v>GASTOS PRESTADOS POR TERCEROS</v>
      </c>
      <c r="J198" s="147" t="s">
        <v>158</v>
      </c>
      <c r="K198" s="146" t="s">
        <v>65</v>
      </c>
      <c r="L198" s="148">
        <v>1</v>
      </c>
      <c r="M198" s="149">
        <v>76.27</v>
      </c>
      <c r="N198" s="150">
        <f>SALIDAS[[#This Row],[COSTO]]*0.18</f>
        <v>13.728599999999998</v>
      </c>
      <c r="O198" s="150"/>
      <c r="P198" s="152">
        <f>SALIDAS[[#This Row],[COSTO]]+SALIDAS[[#This Row],[IGV]]+SALIDAS[[#This Row],[INAFECTO]]</f>
        <v>89.998599999999996</v>
      </c>
      <c r="Q198" s="151" t="s">
        <v>622</v>
      </c>
    </row>
    <row r="199" spans="1:17" x14ac:dyDescent="0.25">
      <c r="A199" s="56">
        <v>193</v>
      </c>
      <c r="B199" s="64">
        <v>43543</v>
      </c>
      <c r="C199" s="30" t="str">
        <f>TEXT(SALIDAS[[#This Row],[FECHA]],"mmmm")</f>
        <v>Marzo</v>
      </c>
      <c r="D199" s="27" t="s">
        <v>10</v>
      </c>
      <c r="E199" s="55" t="s">
        <v>623</v>
      </c>
      <c r="F199" s="65">
        <v>6</v>
      </c>
      <c r="G199" s="146" t="s">
        <v>624</v>
      </c>
      <c r="H199" s="146" t="s">
        <v>127</v>
      </c>
      <c r="I199" s="147" t="str">
        <f ca="1">OFFSET(OT[[#Headers],[T. CUENTA]],MATCH($H199,OT[T. CUENTA],0),1)</f>
        <v>GASTOS PRESTADOS POR TERCEROS</v>
      </c>
      <c r="J199" s="147" t="s">
        <v>158</v>
      </c>
      <c r="K199" s="146" t="s">
        <v>65</v>
      </c>
      <c r="L199" s="148">
        <v>1</v>
      </c>
      <c r="M199" s="149">
        <v>33.9</v>
      </c>
      <c r="N199" s="150">
        <f>SALIDAS[[#This Row],[COSTO]]*0.18</f>
        <v>6.1019999999999994</v>
      </c>
      <c r="O199" s="150"/>
      <c r="P199" s="152">
        <f>SALIDAS[[#This Row],[COSTO]]+SALIDAS[[#This Row],[IGV]]+SALIDAS[[#This Row],[INAFECTO]]</f>
        <v>40.001999999999995</v>
      </c>
      <c r="Q199" s="151" t="s">
        <v>625</v>
      </c>
    </row>
    <row r="200" spans="1:17" x14ac:dyDescent="0.25">
      <c r="A200" s="56">
        <v>194</v>
      </c>
      <c r="B200" s="64">
        <v>43549</v>
      </c>
      <c r="C200" s="30" t="str">
        <f>TEXT(SALIDAS[[#This Row],[FECHA]],"mmmm")</f>
        <v>Marzo</v>
      </c>
      <c r="D200" s="27" t="s">
        <v>138</v>
      </c>
      <c r="E200" s="55" t="s">
        <v>626</v>
      </c>
      <c r="F200" s="65">
        <v>6</v>
      </c>
      <c r="G200" s="146" t="s">
        <v>627</v>
      </c>
      <c r="H200" s="146" t="s">
        <v>127</v>
      </c>
      <c r="I200" s="147" t="str">
        <f ca="1">OFFSET(OT[[#Headers],[T. CUENTA]],MATCH($H200,OT[T. CUENTA],0),1)</f>
        <v>GASTOS PRESTADOS POR TERCEROS</v>
      </c>
      <c r="J200" s="147" t="s">
        <v>158</v>
      </c>
      <c r="K200" s="146" t="s">
        <v>65</v>
      </c>
      <c r="L200" s="148">
        <v>1</v>
      </c>
      <c r="M200" s="149">
        <v>410</v>
      </c>
      <c r="N200" s="150">
        <v>0</v>
      </c>
      <c r="O200" s="150"/>
      <c r="P200" s="152">
        <f>SALIDAS[[#This Row],[COSTO]]+SALIDAS[[#This Row],[IGV]]+SALIDAS[[#This Row],[INAFECTO]]</f>
        <v>410</v>
      </c>
      <c r="Q200" s="151" t="s">
        <v>628</v>
      </c>
    </row>
    <row r="201" spans="1:17" x14ac:dyDescent="0.25">
      <c r="A201" s="56">
        <v>195</v>
      </c>
      <c r="B201" s="64">
        <v>43549</v>
      </c>
      <c r="C201" s="30" t="str">
        <f>TEXT(SALIDAS[[#This Row],[FECHA]],"mmmm")</f>
        <v>Marzo</v>
      </c>
      <c r="D201" s="27" t="s">
        <v>138</v>
      </c>
      <c r="E201" s="55" t="s">
        <v>594</v>
      </c>
      <c r="F201" s="65">
        <v>6</v>
      </c>
      <c r="G201" s="146" t="s">
        <v>627</v>
      </c>
      <c r="H201" s="146" t="s">
        <v>127</v>
      </c>
      <c r="I201" s="147" t="str">
        <f ca="1">OFFSET(OT[[#Headers],[T. CUENTA]],MATCH($H201,OT[T. CUENTA],0),1)</f>
        <v>GASTOS PRESTADOS POR TERCEROS</v>
      </c>
      <c r="J201" s="147" t="s">
        <v>158</v>
      </c>
      <c r="K201" s="146" t="s">
        <v>65</v>
      </c>
      <c r="L201" s="148">
        <v>1</v>
      </c>
      <c r="M201" s="149">
        <v>410</v>
      </c>
      <c r="N201" s="150">
        <v>0</v>
      </c>
      <c r="O201" s="150"/>
      <c r="P201" s="152">
        <f>SALIDAS[[#This Row],[COSTO]]+SALIDAS[[#This Row],[IGV]]+SALIDAS[[#This Row],[INAFECTO]]</f>
        <v>410</v>
      </c>
      <c r="Q201" s="151" t="s">
        <v>628</v>
      </c>
    </row>
    <row r="202" spans="1:17" x14ac:dyDescent="0.25">
      <c r="A202" s="56">
        <v>196</v>
      </c>
      <c r="B202" s="64">
        <v>43555</v>
      </c>
      <c r="C202" s="30" t="str">
        <f>TEXT(SALIDAS[[#This Row],[FECHA]],"mmmm")</f>
        <v>Marzo</v>
      </c>
      <c r="D202" s="27" t="s">
        <v>12</v>
      </c>
      <c r="E202" s="55" t="s">
        <v>629</v>
      </c>
      <c r="F202" s="65">
        <v>7</v>
      </c>
      <c r="G202" s="146" t="s">
        <v>612</v>
      </c>
      <c r="H202" s="146" t="s">
        <v>92</v>
      </c>
      <c r="I202" s="147" t="str">
        <f ca="1">OFFSET(OT[[#Headers],[T. CUENTA]],MATCH($H202,OT[T. CUENTA],0),1)</f>
        <v>GASTOS DE PERSONAL</v>
      </c>
      <c r="J202" s="147" t="s">
        <v>158</v>
      </c>
      <c r="K202" s="146" t="s">
        <v>65</v>
      </c>
      <c r="L202" s="148">
        <v>1</v>
      </c>
      <c r="M202" s="149">
        <v>21</v>
      </c>
      <c r="N202" s="150">
        <v>0</v>
      </c>
      <c r="O202" s="150"/>
      <c r="P202" s="152">
        <f>SALIDAS[[#This Row],[COSTO]]+SALIDAS[[#This Row],[IGV]]+SALIDAS[[#This Row],[INAFECTO]]</f>
        <v>21</v>
      </c>
      <c r="Q202" s="151" t="s">
        <v>511</v>
      </c>
    </row>
    <row r="203" spans="1:17" x14ac:dyDescent="0.25">
      <c r="A203" s="56">
        <v>197</v>
      </c>
      <c r="B203" s="64">
        <v>43542</v>
      </c>
      <c r="C203" s="30" t="str">
        <f>TEXT(SALIDAS[[#This Row],[FECHA]],"mmmm")</f>
        <v>Marzo</v>
      </c>
      <c r="D203" s="27" t="s">
        <v>135</v>
      </c>
      <c r="E203" s="55" t="s">
        <v>630</v>
      </c>
      <c r="F203" s="65">
        <v>7</v>
      </c>
      <c r="G203" s="146" t="s">
        <v>631</v>
      </c>
      <c r="H203" s="146" t="s">
        <v>107</v>
      </c>
      <c r="I203" s="147" t="str">
        <f ca="1">OFFSET(OT[[#Headers],[T. CUENTA]],MATCH($H203,OT[T. CUENTA],0),1)</f>
        <v>GASTOS PRESTADOS POR TERCEROS</v>
      </c>
      <c r="J203" s="147" t="s">
        <v>158</v>
      </c>
      <c r="K203" s="146" t="s">
        <v>65</v>
      </c>
      <c r="L203" s="148">
        <v>1</v>
      </c>
      <c r="M203" s="149">
        <v>10.17</v>
      </c>
      <c r="N203" s="150">
        <f>SALIDAS[[#This Row],[COSTO]]*0.18</f>
        <v>1.8306</v>
      </c>
      <c r="O203" s="150"/>
      <c r="P203" s="152">
        <f>SALIDAS[[#This Row],[COSTO]]+SALIDAS[[#This Row],[IGV]]+SALIDAS[[#This Row],[INAFECTO]]</f>
        <v>12.0006</v>
      </c>
      <c r="Q203" s="151" t="s">
        <v>351</v>
      </c>
    </row>
    <row r="204" spans="1:17" x14ac:dyDescent="0.25">
      <c r="A204" s="56">
        <v>198</v>
      </c>
      <c r="B204" s="64">
        <v>43546</v>
      </c>
      <c r="C204" s="30" t="str">
        <f>TEXT(SALIDAS[[#This Row],[FECHA]],"mmmm")</f>
        <v>Marzo</v>
      </c>
      <c r="D204" s="27" t="s">
        <v>12</v>
      </c>
      <c r="E204" s="55" t="s">
        <v>632</v>
      </c>
      <c r="F204" s="65">
        <v>7</v>
      </c>
      <c r="G204" s="146" t="s">
        <v>230</v>
      </c>
      <c r="H204" s="146" t="s">
        <v>132</v>
      </c>
      <c r="I204" s="147" t="str">
        <f ca="1">OFFSET(OT[[#Headers],[T. CUENTA]],MATCH($H204,OT[T. CUENTA],0),1)</f>
        <v>GASTOS ADMINISTRATIVOS</v>
      </c>
      <c r="J204" s="147" t="s">
        <v>158</v>
      </c>
      <c r="K204" s="146" t="s">
        <v>65</v>
      </c>
      <c r="L204" s="148">
        <v>1</v>
      </c>
      <c r="M204" s="149">
        <v>23</v>
      </c>
      <c r="N204" s="150">
        <v>0</v>
      </c>
      <c r="O204" s="150"/>
      <c r="P204" s="152">
        <f>SALIDAS[[#This Row],[COSTO]]+SALIDAS[[#This Row],[IGV]]+SALIDAS[[#This Row],[INAFECTO]]</f>
        <v>23</v>
      </c>
      <c r="Q204" s="151" t="s">
        <v>633</v>
      </c>
    </row>
    <row r="205" spans="1:17" x14ac:dyDescent="0.25">
      <c r="A205" s="56">
        <v>199</v>
      </c>
      <c r="B205" s="64">
        <v>43550</v>
      </c>
      <c r="C205" s="30" t="str">
        <f>TEXT(SALIDAS[[#This Row],[FECHA]],"mmmm")</f>
        <v>Marzo</v>
      </c>
      <c r="D205" s="27" t="s">
        <v>10</v>
      </c>
      <c r="E205" s="55" t="s">
        <v>634</v>
      </c>
      <c r="F205" s="65">
        <v>7</v>
      </c>
      <c r="G205" s="146" t="s">
        <v>635</v>
      </c>
      <c r="H205" s="146" t="s">
        <v>126</v>
      </c>
      <c r="I205" s="147" t="str">
        <f ca="1">OFFSET(OT[[#Headers],[T. CUENTA]],MATCH($H205,OT[T. CUENTA],0),1)</f>
        <v>GASTOS DE PERSONAL</v>
      </c>
      <c r="J205" s="147" t="s">
        <v>158</v>
      </c>
      <c r="K205" s="146" t="s">
        <v>65</v>
      </c>
      <c r="L205" s="148">
        <v>1</v>
      </c>
      <c r="M205" s="149">
        <v>40</v>
      </c>
      <c r="N205" s="150">
        <v>0</v>
      </c>
      <c r="O205" s="150"/>
      <c r="P205" s="152">
        <f>SALIDAS[[#This Row],[COSTO]]+SALIDAS[[#This Row],[IGV]]+SALIDAS[[#This Row],[INAFECTO]]</f>
        <v>40</v>
      </c>
      <c r="Q205" s="151" t="s">
        <v>636</v>
      </c>
    </row>
    <row r="206" spans="1:17" x14ac:dyDescent="0.25">
      <c r="A206" s="56">
        <v>200</v>
      </c>
      <c r="B206" s="64">
        <v>43556</v>
      </c>
      <c r="C206" s="30" t="str">
        <f>TEXT(SALIDAS[[#This Row],[FECHA]],"mmmm")</f>
        <v>Abril</v>
      </c>
      <c r="D206" s="27" t="s">
        <v>135</v>
      </c>
      <c r="E206" s="55" t="s">
        <v>637</v>
      </c>
      <c r="F206" s="65">
        <v>7</v>
      </c>
      <c r="G206" s="146" t="s">
        <v>638</v>
      </c>
      <c r="H206" s="146" t="s">
        <v>194</v>
      </c>
      <c r="I206" s="147" t="str">
        <f ca="1">OFFSET(OT[[#Headers],[T. CUENTA]],MATCH($H206,OT[T. CUENTA],0),1)</f>
        <v>GASTOS PRESTADOS POR TERCEROS</v>
      </c>
      <c r="J206" s="147" t="s">
        <v>158</v>
      </c>
      <c r="K206" s="146" t="s">
        <v>65</v>
      </c>
      <c r="L206" s="148">
        <v>1</v>
      </c>
      <c r="M206" s="149">
        <v>5.76</v>
      </c>
      <c r="N206" s="150">
        <f>SALIDAS[[#This Row],[COSTO]]*0.18</f>
        <v>1.0367999999999999</v>
      </c>
      <c r="O206" s="150"/>
      <c r="P206" s="152">
        <f>SALIDAS[[#This Row],[COSTO]]+SALIDAS[[#This Row],[IGV]]+SALIDAS[[#This Row],[INAFECTO]]</f>
        <v>6.7967999999999993</v>
      </c>
      <c r="Q206" s="151" t="s">
        <v>217</v>
      </c>
    </row>
    <row r="207" spans="1:17" x14ac:dyDescent="0.25">
      <c r="A207" s="56">
        <v>201</v>
      </c>
      <c r="B207" s="64">
        <v>43556</v>
      </c>
      <c r="C207" s="30" t="str">
        <f>TEXT(SALIDAS[[#This Row],[FECHA]],"mmmm")</f>
        <v>Abril</v>
      </c>
      <c r="D207" s="27" t="s">
        <v>135</v>
      </c>
      <c r="E207" s="55" t="s">
        <v>639</v>
      </c>
      <c r="F207" s="65">
        <v>7</v>
      </c>
      <c r="G207" s="146" t="s">
        <v>638</v>
      </c>
      <c r="H207" s="146" t="s">
        <v>194</v>
      </c>
      <c r="I207" s="147" t="str">
        <f ca="1">OFFSET(OT[[#Headers],[T. CUENTA]],MATCH($H207,OT[T. CUENTA],0),1)</f>
        <v>GASTOS PRESTADOS POR TERCEROS</v>
      </c>
      <c r="J207" s="147" t="s">
        <v>158</v>
      </c>
      <c r="K207" s="146" t="s">
        <v>65</v>
      </c>
      <c r="L207" s="148">
        <v>1</v>
      </c>
      <c r="M207" s="149">
        <v>5.76</v>
      </c>
      <c r="N207" s="150">
        <f>SALIDAS[[#This Row],[COSTO]]*0.18</f>
        <v>1.0367999999999999</v>
      </c>
      <c r="O207" s="150"/>
      <c r="P207" s="152">
        <f>SALIDAS[[#This Row],[COSTO]]+SALIDAS[[#This Row],[IGV]]+SALIDAS[[#This Row],[INAFECTO]]</f>
        <v>6.7967999999999993</v>
      </c>
      <c r="Q207" s="151" t="s">
        <v>217</v>
      </c>
    </row>
    <row r="208" spans="1:17" x14ac:dyDescent="0.25">
      <c r="A208" s="56">
        <v>202</v>
      </c>
      <c r="B208" s="64">
        <v>43556</v>
      </c>
      <c r="C208" s="30" t="str">
        <f>TEXT(SALIDAS[[#This Row],[FECHA]],"mmmm")</f>
        <v>Abril</v>
      </c>
      <c r="D208" s="27" t="s">
        <v>135</v>
      </c>
      <c r="E208" s="55" t="s">
        <v>640</v>
      </c>
      <c r="F208" s="65">
        <v>7</v>
      </c>
      <c r="G208" s="146" t="s">
        <v>612</v>
      </c>
      <c r="H208" s="146" t="s">
        <v>92</v>
      </c>
      <c r="I208" s="147" t="str">
        <f ca="1">OFFSET(OT[[#Headers],[T. CUENTA]],MATCH($H208,OT[T. CUENTA],0),1)</f>
        <v>GASTOS DE PERSONAL</v>
      </c>
      <c r="J208" s="147" t="s">
        <v>158</v>
      </c>
      <c r="K208" s="146" t="s">
        <v>65</v>
      </c>
      <c r="L208" s="148">
        <v>1</v>
      </c>
      <c r="M208" s="149">
        <v>98</v>
      </c>
      <c r="N208" s="150">
        <v>0</v>
      </c>
      <c r="O208" s="150"/>
      <c r="P208" s="152">
        <f>SALIDAS[[#This Row],[COSTO]]+SALIDAS[[#This Row],[IGV]]+SALIDAS[[#This Row],[INAFECTO]]</f>
        <v>98</v>
      </c>
      <c r="Q208" s="151" t="s">
        <v>641</v>
      </c>
    </row>
    <row r="209" spans="1:17" x14ac:dyDescent="0.25">
      <c r="A209" s="56">
        <v>203</v>
      </c>
      <c r="B209" s="64">
        <v>43556</v>
      </c>
      <c r="C209" s="30" t="str">
        <f>TEXT(SALIDAS[[#This Row],[FECHA]],"mmmm")</f>
        <v>Abril</v>
      </c>
      <c r="D209" s="27" t="s">
        <v>10</v>
      </c>
      <c r="E209" s="55" t="s">
        <v>642</v>
      </c>
      <c r="F209" s="65">
        <v>7</v>
      </c>
      <c r="G209" s="146" t="s">
        <v>643</v>
      </c>
      <c r="H209" s="146" t="s">
        <v>126</v>
      </c>
      <c r="I209" s="147" t="str">
        <f ca="1">OFFSET(OT[[#Headers],[T. CUENTA]],MATCH($H209,OT[T. CUENTA],0),1)</f>
        <v>GASTOS DE PERSONAL</v>
      </c>
      <c r="J209" s="147" t="s">
        <v>158</v>
      </c>
      <c r="K209" s="146" t="s">
        <v>65</v>
      </c>
      <c r="L209" s="148">
        <v>1</v>
      </c>
      <c r="M209" s="149">
        <v>45</v>
      </c>
      <c r="N209" s="150">
        <v>0</v>
      </c>
      <c r="O209" s="150"/>
      <c r="P209" s="152">
        <f>SALIDAS[[#This Row],[COSTO]]+SALIDAS[[#This Row],[IGV]]+SALIDAS[[#This Row],[INAFECTO]]</f>
        <v>45</v>
      </c>
      <c r="Q209" s="151" t="s">
        <v>636</v>
      </c>
    </row>
    <row r="210" spans="1:17" x14ac:dyDescent="0.25">
      <c r="A210" s="56">
        <v>204</v>
      </c>
      <c r="B210" s="64">
        <v>43556</v>
      </c>
      <c r="C210" s="30" t="str">
        <f>TEXT(SALIDAS[[#This Row],[FECHA]],"mmmm")</f>
        <v>Abril</v>
      </c>
      <c r="D210" s="27" t="s">
        <v>10</v>
      </c>
      <c r="E210" s="55" t="s">
        <v>644</v>
      </c>
      <c r="F210" s="65">
        <v>7</v>
      </c>
      <c r="G210" s="146" t="s">
        <v>645</v>
      </c>
      <c r="H210" s="146" t="s">
        <v>123</v>
      </c>
      <c r="I210" s="147" t="str">
        <f ca="1">OFFSET(OT[[#Headers],[T. CUENTA]],MATCH($H210,OT[T. CUENTA],0),1)</f>
        <v>GASTOS PRESTADOS POR TERCEROS</v>
      </c>
      <c r="J210" s="147" t="s">
        <v>158</v>
      </c>
      <c r="K210" s="146" t="s">
        <v>65</v>
      </c>
      <c r="L210" s="148">
        <v>1</v>
      </c>
      <c r="M210" s="149">
        <v>160</v>
      </c>
      <c r="N210" s="150">
        <v>0</v>
      </c>
      <c r="O210" s="150"/>
      <c r="P210" s="152">
        <f>SALIDAS[[#This Row],[COSTO]]+SALIDAS[[#This Row],[IGV]]+SALIDAS[[#This Row],[INAFECTO]]</f>
        <v>160</v>
      </c>
      <c r="Q210" s="151" t="s">
        <v>646</v>
      </c>
    </row>
    <row r="211" spans="1:17" x14ac:dyDescent="0.25">
      <c r="A211" s="56">
        <v>205</v>
      </c>
      <c r="B211" s="64">
        <v>43556</v>
      </c>
      <c r="C211" s="30" t="str">
        <f>TEXT(SALIDAS[[#This Row],[FECHA]],"mmmm")</f>
        <v>Abril</v>
      </c>
      <c r="D211" s="27" t="s">
        <v>10</v>
      </c>
      <c r="E211" s="55" t="s">
        <v>647</v>
      </c>
      <c r="F211" s="65">
        <v>7</v>
      </c>
      <c r="G211" s="146" t="s">
        <v>648</v>
      </c>
      <c r="H211" s="146" t="s">
        <v>93</v>
      </c>
      <c r="I211" s="147" t="str">
        <f ca="1">OFFSET(OT[[#Headers],[T. CUENTA]],MATCH($H211,OT[T. CUENTA],0),1)</f>
        <v>GASTOS DE PERSONAL</v>
      </c>
      <c r="J211" s="147" t="s">
        <v>158</v>
      </c>
      <c r="K211" s="146" t="s">
        <v>65</v>
      </c>
      <c r="L211" s="148">
        <v>1</v>
      </c>
      <c r="M211" s="149">
        <v>42.37</v>
      </c>
      <c r="N211" s="150">
        <f>SALIDAS[[#This Row],[COSTO]]*0.18</f>
        <v>7.6265999999999989</v>
      </c>
      <c r="O211" s="150"/>
      <c r="P211" s="152">
        <f>SALIDAS[[#This Row],[COSTO]]+SALIDAS[[#This Row],[IGV]]+SALIDAS[[#This Row],[INAFECTO]]</f>
        <v>49.996599999999994</v>
      </c>
      <c r="Q211" s="151" t="s">
        <v>649</v>
      </c>
    </row>
    <row r="212" spans="1:17" x14ac:dyDescent="0.25">
      <c r="A212" s="56">
        <v>206</v>
      </c>
      <c r="B212" s="64">
        <v>43557</v>
      </c>
      <c r="C212" s="30" t="str">
        <f>TEXT(SALIDAS[[#This Row],[FECHA]],"mmmm")</f>
        <v>Abril</v>
      </c>
      <c r="D212" s="27" t="s">
        <v>12</v>
      </c>
      <c r="E212" s="55" t="s">
        <v>650</v>
      </c>
      <c r="F212" s="65">
        <v>7</v>
      </c>
      <c r="G212" s="146" t="s">
        <v>651</v>
      </c>
      <c r="H212" s="146" t="s">
        <v>107</v>
      </c>
      <c r="I212" s="147" t="str">
        <f ca="1">OFFSET(OT[[#Headers],[T. CUENTA]],MATCH($H212,OT[T. CUENTA],0),1)</f>
        <v>GASTOS PRESTADOS POR TERCEROS</v>
      </c>
      <c r="J212" s="147" t="s">
        <v>158</v>
      </c>
      <c r="K212" s="146" t="s">
        <v>65</v>
      </c>
      <c r="L212" s="148">
        <v>1</v>
      </c>
      <c r="M212" s="149">
        <v>110</v>
      </c>
      <c r="N212" s="150">
        <v>0</v>
      </c>
      <c r="O212" s="150"/>
      <c r="P212" s="152">
        <f>SALIDAS[[#This Row],[COSTO]]+SALIDAS[[#This Row],[IGV]]+SALIDAS[[#This Row],[INAFECTO]]</f>
        <v>110</v>
      </c>
      <c r="Q212" s="151" t="s">
        <v>336</v>
      </c>
    </row>
    <row r="213" spans="1:17" x14ac:dyDescent="0.25">
      <c r="A213" s="56">
        <v>207</v>
      </c>
      <c r="B213" s="64">
        <v>43557</v>
      </c>
      <c r="C213" s="30" t="str">
        <f>TEXT(SALIDAS[[#This Row],[FECHA]],"mmmm")</f>
        <v>Abril</v>
      </c>
      <c r="D213" s="27" t="s">
        <v>12</v>
      </c>
      <c r="E213" s="55" t="s">
        <v>652</v>
      </c>
      <c r="F213" s="65">
        <v>7</v>
      </c>
      <c r="G213" s="146" t="s">
        <v>653</v>
      </c>
      <c r="H213" s="146" t="s">
        <v>92</v>
      </c>
      <c r="I213" s="147" t="str">
        <f ca="1">OFFSET(OT[[#Headers],[T. CUENTA]],MATCH($H213,OT[T. CUENTA],0),1)</f>
        <v>GASTOS DE PERSONAL</v>
      </c>
      <c r="J213" s="147" t="s">
        <v>158</v>
      </c>
      <c r="K213" s="146" t="s">
        <v>65</v>
      </c>
      <c r="L213" s="148">
        <v>1</v>
      </c>
      <c r="M213" s="149">
        <v>28</v>
      </c>
      <c r="N213" s="150">
        <v>0</v>
      </c>
      <c r="O213" s="150"/>
      <c r="P213" s="152">
        <f>SALIDAS[[#This Row],[COSTO]]+SALIDAS[[#This Row],[IGV]]+SALIDAS[[#This Row],[INAFECTO]]</f>
        <v>28</v>
      </c>
      <c r="Q213" s="151" t="s">
        <v>654</v>
      </c>
    </row>
    <row r="214" spans="1:17" x14ac:dyDescent="0.25">
      <c r="A214" s="56">
        <v>208</v>
      </c>
      <c r="B214" s="64">
        <v>43557</v>
      </c>
      <c r="C214" s="30" t="str">
        <f>TEXT(SALIDAS[[#This Row],[FECHA]],"mmmm")</f>
        <v>Abril</v>
      </c>
      <c r="D214" s="27" t="s">
        <v>135</v>
      </c>
      <c r="E214" s="55" t="s">
        <v>655</v>
      </c>
      <c r="F214" s="65">
        <v>7</v>
      </c>
      <c r="G214" s="146" t="s">
        <v>638</v>
      </c>
      <c r="H214" s="146" t="s">
        <v>194</v>
      </c>
      <c r="I214" s="147" t="str">
        <f ca="1">OFFSET(OT[[#Headers],[T. CUENTA]],MATCH($H214,OT[T. CUENTA],0),1)</f>
        <v>GASTOS PRESTADOS POR TERCEROS</v>
      </c>
      <c r="J214" s="147" t="s">
        <v>158</v>
      </c>
      <c r="K214" s="146" t="s">
        <v>65</v>
      </c>
      <c r="L214" s="148">
        <v>1</v>
      </c>
      <c r="M214" s="149">
        <v>5.76</v>
      </c>
      <c r="N214" s="150">
        <f>SALIDAS[[#This Row],[COSTO]]*0.18</f>
        <v>1.0367999999999999</v>
      </c>
      <c r="O214" s="150"/>
      <c r="P214" s="152">
        <f>SALIDAS[[#This Row],[COSTO]]+SALIDAS[[#This Row],[IGV]]+SALIDAS[[#This Row],[INAFECTO]]</f>
        <v>6.7967999999999993</v>
      </c>
      <c r="Q214" s="151" t="s">
        <v>217</v>
      </c>
    </row>
    <row r="215" spans="1:17" x14ac:dyDescent="0.25">
      <c r="A215" s="56">
        <v>209</v>
      </c>
      <c r="B215" s="64">
        <v>43557</v>
      </c>
      <c r="C215" s="30" t="str">
        <f>TEXT(SALIDAS[[#This Row],[FECHA]],"mmmm")</f>
        <v>Abril</v>
      </c>
      <c r="D215" s="27" t="s">
        <v>10</v>
      </c>
      <c r="E215" s="55" t="s">
        <v>656</v>
      </c>
      <c r="F215" s="65">
        <v>7</v>
      </c>
      <c r="G215" s="146" t="s">
        <v>269</v>
      </c>
      <c r="H215" s="146" t="s">
        <v>92</v>
      </c>
      <c r="I215" s="147" t="str">
        <f ca="1">OFFSET(OT[[#Headers],[T. CUENTA]],MATCH($H215,OT[T. CUENTA],0),1)</f>
        <v>GASTOS DE PERSONAL</v>
      </c>
      <c r="J215" s="147" t="s">
        <v>158</v>
      </c>
      <c r="K215" s="146" t="s">
        <v>65</v>
      </c>
      <c r="L215" s="148">
        <v>1</v>
      </c>
      <c r="M215" s="149">
        <v>60.16</v>
      </c>
      <c r="N215" s="150">
        <f>SALIDAS[[#This Row],[COSTO]]*0.18</f>
        <v>10.828799999999999</v>
      </c>
      <c r="O215" s="150"/>
      <c r="P215" s="152">
        <f>SALIDAS[[#This Row],[COSTO]]+SALIDAS[[#This Row],[IGV]]+SALIDAS[[#This Row],[INAFECTO]]</f>
        <v>70.988799999999998</v>
      </c>
      <c r="Q215" s="151" t="s">
        <v>657</v>
      </c>
    </row>
    <row r="216" spans="1:17" x14ac:dyDescent="0.25">
      <c r="A216" s="56">
        <v>210</v>
      </c>
      <c r="B216" s="64">
        <v>43557</v>
      </c>
      <c r="C216" s="30" t="str">
        <f>TEXT(SALIDAS[[#This Row],[FECHA]],"mmmm")</f>
        <v>Abril</v>
      </c>
      <c r="D216" s="27" t="s">
        <v>135</v>
      </c>
      <c r="E216" s="55" t="s">
        <v>658</v>
      </c>
      <c r="F216" s="65">
        <v>7</v>
      </c>
      <c r="G216" s="146" t="s">
        <v>659</v>
      </c>
      <c r="H216" s="146" t="s">
        <v>106</v>
      </c>
      <c r="I216" s="147" t="str">
        <f ca="1">OFFSET(OT[[#Headers],[T. CUENTA]],MATCH($H216,OT[T. CUENTA],0),1)</f>
        <v>GASTOS DE PERSONAL</v>
      </c>
      <c r="J216" s="147" t="s">
        <v>158</v>
      </c>
      <c r="K216" s="146" t="s">
        <v>65</v>
      </c>
      <c r="L216" s="148">
        <v>1</v>
      </c>
      <c r="M216" s="149">
        <v>350</v>
      </c>
      <c r="N216" s="150">
        <f>SALIDAS[[#This Row],[COSTO]]*0.18</f>
        <v>63</v>
      </c>
      <c r="O216" s="150"/>
      <c r="P216" s="152">
        <f>SALIDAS[[#This Row],[COSTO]]+SALIDAS[[#This Row],[IGV]]+SALIDAS[[#This Row],[INAFECTO]]</f>
        <v>413</v>
      </c>
      <c r="Q216" s="151" t="s">
        <v>223</v>
      </c>
    </row>
    <row r="217" spans="1:17" x14ac:dyDescent="0.25">
      <c r="A217" s="56">
        <v>211</v>
      </c>
      <c r="B217" s="64">
        <v>43557</v>
      </c>
      <c r="C217" s="30" t="str">
        <f>TEXT(SALIDAS[[#This Row],[FECHA]],"mmmm")</f>
        <v>Abril</v>
      </c>
      <c r="D217" s="27" t="s">
        <v>135</v>
      </c>
      <c r="E217" s="55" t="s">
        <v>660</v>
      </c>
      <c r="F217" s="65">
        <v>7</v>
      </c>
      <c r="G217" s="146" t="s">
        <v>460</v>
      </c>
      <c r="H217" s="146" t="s">
        <v>93</v>
      </c>
      <c r="I217" s="147" t="str">
        <f ca="1">OFFSET(OT[[#Headers],[T. CUENTA]],MATCH($H217,OT[T. CUENTA],0),1)</f>
        <v>GASTOS DE PERSONAL</v>
      </c>
      <c r="J217" s="147" t="s">
        <v>158</v>
      </c>
      <c r="K217" s="146" t="s">
        <v>65</v>
      </c>
      <c r="L217" s="148">
        <v>1</v>
      </c>
      <c r="M217" s="149">
        <v>508.47</v>
      </c>
      <c r="N217" s="150">
        <f>SALIDAS[[#This Row],[COSTO]]*0.18</f>
        <v>91.524600000000007</v>
      </c>
      <c r="O217" s="150"/>
      <c r="P217" s="152">
        <f>SALIDAS[[#This Row],[COSTO]]+SALIDAS[[#This Row],[IGV]]+SALIDAS[[#This Row],[INAFECTO]]</f>
        <v>599.99459999999999</v>
      </c>
      <c r="Q217" s="151" t="s">
        <v>661</v>
      </c>
    </row>
    <row r="218" spans="1:17" x14ac:dyDescent="0.25">
      <c r="A218" s="56">
        <v>212</v>
      </c>
      <c r="B218" s="64">
        <v>43557</v>
      </c>
      <c r="C218" s="30" t="str">
        <f>TEXT(SALIDAS[[#This Row],[FECHA]],"mmmm")</f>
        <v>Abril</v>
      </c>
      <c r="D218" s="27" t="s">
        <v>135</v>
      </c>
      <c r="E218" s="55" t="s">
        <v>662</v>
      </c>
      <c r="F218" s="65">
        <v>7</v>
      </c>
      <c r="G218" s="146" t="s">
        <v>638</v>
      </c>
      <c r="H218" s="146" t="s">
        <v>194</v>
      </c>
      <c r="I218" s="147" t="str">
        <f ca="1">OFFSET(OT[[#Headers],[T. CUENTA]],MATCH($H218,OT[T. CUENTA],0),1)</f>
        <v>GASTOS PRESTADOS POR TERCEROS</v>
      </c>
      <c r="J218" s="147" t="s">
        <v>158</v>
      </c>
      <c r="K218" s="146" t="s">
        <v>65</v>
      </c>
      <c r="L218" s="148">
        <v>1</v>
      </c>
      <c r="M218" s="149">
        <v>5.76</v>
      </c>
      <c r="N218" s="150">
        <f>SALIDAS[[#This Row],[COSTO]]*0.18</f>
        <v>1.0367999999999999</v>
      </c>
      <c r="O218" s="150"/>
      <c r="P218" s="152">
        <f>SALIDAS[[#This Row],[COSTO]]+SALIDAS[[#This Row],[IGV]]+SALIDAS[[#This Row],[INAFECTO]]</f>
        <v>6.7967999999999993</v>
      </c>
      <c r="Q218" s="151" t="s">
        <v>217</v>
      </c>
    </row>
    <row r="219" spans="1:17" x14ac:dyDescent="0.25">
      <c r="A219" s="56">
        <v>213</v>
      </c>
      <c r="B219" s="64">
        <v>43560</v>
      </c>
      <c r="C219" s="30" t="str">
        <f>TEXT(SALIDAS[[#This Row],[FECHA]],"mmmm")</f>
        <v>Abril</v>
      </c>
      <c r="D219" s="27" t="s">
        <v>10</v>
      </c>
      <c r="E219" s="55" t="s">
        <v>663</v>
      </c>
      <c r="F219" s="65">
        <v>8</v>
      </c>
      <c r="G219" s="146" t="s">
        <v>664</v>
      </c>
      <c r="H219" s="146" t="s">
        <v>134</v>
      </c>
      <c r="I219" s="147" t="str">
        <f ca="1">OFFSET(OT[[#Headers],[T. CUENTA]],MATCH($H219,OT[T. CUENTA],0),1)</f>
        <v>GASTOS ADMINISTRATIVOS</v>
      </c>
      <c r="J219" s="147" t="s">
        <v>158</v>
      </c>
      <c r="K219" s="146" t="s">
        <v>65</v>
      </c>
      <c r="L219" s="148">
        <v>1</v>
      </c>
      <c r="M219" s="149">
        <v>33.9</v>
      </c>
      <c r="N219" s="150">
        <f>SALIDAS[[#This Row],[COSTO]]*0.18</f>
        <v>6.1019999999999994</v>
      </c>
      <c r="O219" s="150"/>
      <c r="P219" s="153">
        <f>SALIDAS[[#This Row],[COSTO]]+SALIDAS[[#This Row],[IGV]]+SALIDAS[[#This Row],[INAFECTO]]</f>
        <v>40.001999999999995</v>
      </c>
      <c r="Q219" s="151" t="s">
        <v>409</v>
      </c>
    </row>
    <row r="220" spans="1:17" x14ac:dyDescent="0.25">
      <c r="A220" s="56">
        <v>214</v>
      </c>
      <c r="B220" s="64">
        <v>43560</v>
      </c>
      <c r="C220" s="30" t="str">
        <f>TEXT(SALIDAS[[#This Row],[FECHA]],"mmmm")</f>
        <v>Abril</v>
      </c>
      <c r="D220" s="27" t="s">
        <v>10</v>
      </c>
      <c r="E220" s="55" t="s">
        <v>665</v>
      </c>
      <c r="F220" s="65">
        <v>8</v>
      </c>
      <c r="G220" s="146" t="s">
        <v>460</v>
      </c>
      <c r="H220" s="146" t="s">
        <v>93</v>
      </c>
      <c r="I220" s="147" t="str">
        <f ca="1">OFFSET(OT[[#Headers],[T. CUENTA]],MATCH($H220,OT[T. CUENTA],0),1)</f>
        <v>GASTOS DE PERSONAL</v>
      </c>
      <c r="J220" s="147" t="s">
        <v>158</v>
      </c>
      <c r="K220" s="146" t="s">
        <v>65</v>
      </c>
      <c r="L220" s="148">
        <v>1</v>
      </c>
      <c r="M220" s="149">
        <v>33.9</v>
      </c>
      <c r="N220" s="150">
        <f>SALIDAS[[#This Row],[COSTO]]*0.18</f>
        <v>6.1019999999999994</v>
      </c>
      <c r="O220" s="150"/>
      <c r="P220" s="153">
        <f>SALIDAS[[#This Row],[COSTO]]+SALIDAS[[#This Row],[IGV]]+SALIDAS[[#This Row],[INAFECTO]]</f>
        <v>40.001999999999995</v>
      </c>
      <c r="Q220" s="151" t="s">
        <v>295</v>
      </c>
    </row>
    <row r="221" spans="1:17" x14ac:dyDescent="0.25">
      <c r="A221" s="56">
        <v>215</v>
      </c>
      <c r="B221" s="64">
        <v>43560</v>
      </c>
      <c r="C221" s="30" t="str">
        <f>TEXT(SALIDAS[[#This Row],[FECHA]],"mmmm")</f>
        <v>Abril</v>
      </c>
      <c r="D221" s="27" t="s">
        <v>12</v>
      </c>
      <c r="E221" s="55" t="s">
        <v>666</v>
      </c>
      <c r="F221" s="65">
        <v>8</v>
      </c>
      <c r="G221" s="146" t="s">
        <v>667</v>
      </c>
      <c r="H221" s="146" t="s">
        <v>132</v>
      </c>
      <c r="I221" s="147" t="str">
        <f ca="1">OFFSET(OT[[#Headers],[T. CUENTA]],MATCH($H221,OT[T. CUENTA],0),1)</f>
        <v>GASTOS ADMINISTRATIVOS</v>
      </c>
      <c r="J221" s="147" t="s">
        <v>158</v>
      </c>
      <c r="K221" s="146" t="s">
        <v>65</v>
      </c>
      <c r="L221" s="148">
        <v>1</v>
      </c>
      <c r="M221" s="149">
        <v>45.5</v>
      </c>
      <c r="N221" s="150">
        <v>0</v>
      </c>
      <c r="O221" s="150"/>
      <c r="P221" s="153">
        <f>SALIDAS[[#This Row],[COSTO]]+SALIDAS[[#This Row],[IGV]]+SALIDAS[[#This Row],[INAFECTO]]</f>
        <v>45.5</v>
      </c>
      <c r="Q221" s="151" t="s">
        <v>633</v>
      </c>
    </row>
    <row r="222" spans="1:17" x14ac:dyDescent="0.25">
      <c r="A222" s="56">
        <v>216</v>
      </c>
      <c r="B222" s="64">
        <v>43550</v>
      </c>
      <c r="C222" s="30" t="str">
        <f>TEXT(SALIDAS[[#This Row],[FECHA]],"mmmm")</f>
        <v>Marzo</v>
      </c>
      <c r="D222" s="27" t="s">
        <v>147</v>
      </c>
      <c r="E222" s="55" t="s">
        <v>668</v>
      </c>
      <c r="F222" s="65">
        <v>8</v>
      </c>
      <c r="G222" s="146" t="s">
        <v>669</v>
      </c>
      <c r="H222" s="146" t="s">
        <v>123</v>
      </c>
      <c r="I222" s="147" t="str">
        <f ca="1">OFFSET(OT[[#Headers],[T. CUENTA]],MATCH($H222,OT[T. CUENTA],0),1)</f>
        <v>GASTOS PRESTADOS POR TERCEROS</v>
      </c>
      <c r="J222" s="147" t="s">
        <v>158</v>
      </c>
      <c r="K222" s="146" t="s">
        <v>65</v>
      </c>
      <c r="L222" s="148">
        <v>1</v>
      </c>
      <c r="M222" s="149">
        <v>112.8</v>
      </c>
      <c r="N222" s="150">
        <v>0</v>
      </c>
      <c r="O222" s="150"/>
      <c r="P222" s="153">
        <f>SALIDAS[[#This Row],[COSTO]]+SALIDAS[[#This Row],[IGV]]+SALIDAS[[#This Row],[INAFECTO]]</f>
        <v>112.8</v>
      </c>
      <c r="Q222" s="151" t="s">
        <v>670</v>
      </c>
    </row>
    <row r="223" spans="1:17" x14ac:dyDescent="0.25">
      <c r="A223" s="56">
        <v>217</v>
      </c>
      <c r="B223" s="64">
        <v>43557</v>
      </c>
      <c r="C223" s="30" t="str">
        <f>TEXT(SALIDAS[[#This Row],[FECHA]],"mmmm")</f>
        <v>Abril</v>
      </c>
      <c r="D223" s="27" t="s">
        <v>135</v>
      </c>
      <c r="E223" s="55" t="s">
        <v>671</v>
      </c>
      <c r="F223" s="65">
        <v>8</v>
      </c>
      <c r="G223" s="146" t="s">
        <v>676</v>
      </c>
      <c r="H223" s="146" t="s">
        <v>93</v>
      </c>
      <c r="I223" s="147" t="str">
        <f ca="1">OFFSET(OT[[#Headers],[T. CUENTA]],MATCH($H223,OT[T. CUENTA],0),1)</f>
        <v>GASTOS DE PERSONAL</v>
      </c>
      <c r="J223" s="147" t="s">
        <v>158</v>
      </c>
      <c r="K223" s="146" t="s">
        <v>65</v>
      </c>
      <c r="L223" s="148">
        <v>1</v>
      </c>
      <c r="M223" s="149">
        <v>38.14</v>
      </c>
      <c r="N223" s="150">
        <f>SALIDAS[[#This Row],[COSTO]]*0.18</f>
        <v>6.8651999999999997</v>
      </c>
      <c r="O223" s="150"/>
      <c r="P223" s="153">
        <f>SALIDAS[[#This Row],[COSTO]]+SALIDAS[[#This Row],[IGV]]+SALIDAS[[#This Row],[INAFECTO]]</f>
        <v>45.005200000000002</v>
      </c>
      <c r="Q223" s="151" t="s">
        <v>672</v>
      </c>
    </row>
    <row r="224" spans="1:17" x14ac:dyDescent="0.25">
      <c r="A224" s="56">
        <v>218</v>
      </c>
      <c r="B224" s="64">
        <v>43557</v>
      </c>
      <c r="C224" s="30" t="str">
        <f>TEXT(SALIDAS[[#This Row],[FECHA]],"mmmm")</f>
        <v>Abril</v>
      </c>
      <c r="D224" s="27" t="s">
        <v>12</v>
      </c>
      <c r="E224" s="55" t="s">
        <v>673</v>
      </c>
      <c r="F224" s="65">
        <v>14</v>
      </c>
      <c r="G224" s="146" t="s">
        <v>676</v>
      </c>
      <c r="H224" s="146" t="s">
        <v>93</v>
      </c>
      <c r="I224" s="147" t="str">
        <f ca="1">OFFSET(OT[[#Headers],[T. CUENTA]],MATCH($H224,OT[T. CUENTA],0),1)</f>
        <v>GASTOS DE PERSONAL</v>
      </c>
      <c r="J224" s="147" t="s">
        <v>158</v>
      </c>
      <c r="K224" s="146" t="s">
        <v>65</v>
      </c>
      <c r="L224" s="148">
        <v>1</v>
      </c>
      <c r="M224" s="149">
        <v>40</v>
      </c>
      <c r="N224" s="150">
        <v>0</v>
      </c>
      <c r="O224" s="150"/>
      <c r="P224" s="153">
        <f>SALIDAS[[#This Row],[COSTO]]+SALIDAS[[#This Row],[IGV]]+SALIDAS[[#This Row],[INAFECTO]]</f>
        <v>40</v>
      </c>
      <c r="Q224" s="151" t="s">
        <v>674</v>
      </c>
    </row>
    <row r="225" spans="1:17" x14ac:dyDescent="0.25">
      <c r="A225" s="56">
        <v>219</v>
      </c>
      <c r="B225" s="64">
        <v>43557</v>
      </c>
      <c r="C225" s="30" t="str">
        <f>TEXT(SALIDAS[[#This Row],[FECHA]],"mmmm")</f>
        <v>Abril</v>
      </c>
      <c r="D225" s="27" t="s">
        <v>12</v>
      </c>
      <c r="E225" s="55" t="s">
        <v>675</v>
      </c>
      <c r="F225" s="65">
        <v>8</v>
      </c>
      <c r="G225" s="146" t="s">
        <v>677</v>
      </c>
      <c r="H225" s="146" t="s">
        <v>106</v>
      </c>
      <c r="I225" s="147" t="str">
        <f ca="1">OFFSET(OT[[#Headers],[T. CUENTA]],MATCH($H225,OT[T. CUENTA],0),1)</f>
        <v>GASTOS DE PERSONAL</v>
      </c>
      <c r="J225" s="147" t="s">
        <v>158</v>
      </c>
      <c r="K225" s="146" t="s">
        <v>65</v>
      </c>
      <c r="L225" s="148">
        <v>1</v>
      </c>
      <c r="M225" s="149">
        <v>25</v>
      </c>
      <c r="N225" s="150">
        <v>0</v>
      </c>
      <c r="O225" s="150"/>
      <c r="P225" s="153">
        <f>SALIDAS[[#This Row],[COSTO]]+SALIDAS[[#This Row],[IGV]]+SALIDAS[[#This Row],[INAFECTO]]</f>
        <v>25</v>
      </c>
      <c r="Q225" s="151" t="s">
        <v>223</v>
      </c>
    </row>
    <row r="226" spans="1:17" x14ac:dyDescent="0.25">
      <c r="A226" s="56">
        <v>220</v>
      </c>
      <c r="B226" s="64">
        <v>43560</v>
      </c>
      <c r="C226" s="30" t="str">
        <f>TEXT(SALIDAS[[#This Row],[FECHA]],"mmmm")</f>
        <v>Abril</v>
      </c>
      <c r="D226" s="27" t="s">
        <v>141</v>
      </c>
      <c r="E226" s="55" t="s">
        <v>678</v>
      </c>
      <c r="F226" s="65">
        <v>8</v>
      </c>
      <c r="G226" s="146" t="s">
        <v>679</v>
      </c>
      <c r="H226" s="146" t="s">
        <v>106</v>
      </c>
      <c r="I226" s="147" t="str">
        <f ca="1">OFFSET(OT[[#Headers],[T. CUENTA]],MATCH($H226,OT[T. CUENTA],0),1)</f>
        <v>GASTOS DE PERSONAL</v>
      </c>
      <c r="J226" s="147" t="s">
        <v>158</v>
      </c>
      <c r="K226" s="146" t="s">
        <v>65</v>
      </c>
      <c r="L226" s="148">
        <v>1</v>
      </c>
      <c r="M226" s="149">
        <v>50</v>
      </c>
      <c r="N226" s="150">
        <v>0</v>
      </c>
      <c r="O226" s="150"/>
      <c r="P226" s="153">
        <f>SALIDAS[[#This Row],[COSTO]]+SALIDAS[[#This Row],[IGV]]+SALIDAS[[#This Row],[INAFECTO]]</f>
        <v>50</v>
      </c>
      <c r="Q226" s="151" t="s">
        <v>501</v>
      </c>
    </row>
    <row r="227" spans="1:17" x14ac:dyDescent="0.25">
      <c r="A227" s="56">
        <v>221</v>
      </c>
      <c r="B227" s="64">
        <v>43560</v>
      </c>
      <c r="C227" s="30" t="str">
        <f>TEXT(SALIDAS[[#This Row],[FECHA]],"mmmm")</f>
        <v>Abril</v>
      </c>
      <c r="D227" s="27" t="s">
        <v>141</v>
      </c>
      <c r="E227" s="55" t="s">
        <v>680</v>
      </c>
      <c r="F227" s="65">
        <v>8</v>
      </c>
      <c r="G227" s="146" t="s">
        <v>681</v>
      </c>
      <c r="H227" s="146" t="s">
        <v>106</v>
      </c>
      <c r="I227" s="147" t="str">
        <f ca="1">OFFSET(OT[[#Headers],[T. CUENTA]],MATCH($H227,OT[T. CUENTA],0),1)</f>
        <v>GASTOS DE PERSONAL</v>
      </c>
      <c r="J227" s="147" t="s">
        <v>158</v>
      </c>
      <c r="K227" s="146" t="s">
        <v>65</v>
      </c>
      <c r="L227" s="148">
        <v>1</v>
      </c>
      <c r="M227" s="149">
        <v>50</v>
      </c>
      <c r="N227" s="150">
        <v>0</v>
      </c>
      <c r="O227" s="150"/>
      <c r="P227" s="153">
        <f>SALIDAS[[#This Row],[COSTO]]+SALIDAS[[#This Row],[IGV]]+SALIDAS[[#This Row],[INAFECTO]]</f>
        <v>50</v>
      </c>
      <c r="Q227" s="151" t="s">
        <v>682</v>
      </c>
    </row>
    <row r="228" spans="1:17" x14ac:dyDescent="0.25">
      <c r="A228" s="56">
        <v>222</v>
      </c>
      <c r="B228" s="64">
        <v>43558</v>
      </c>
      <c r="C228" s="30" t="str">
        <f>TEXT(SALIDAS[[#This Row],[FECHA]],"mmmm")</f>
        <v>Abril</v>
      </c>
      <c r="D228" s="27" t="s">
        <v>138</v>
      </c>
      <c r="E228" s="55" t="s">
        <v>683</v>
      </c>
      <c r="F228" s="65">
        <v>8</v>
      </c>
      <c r="G228" s="146" t="s">
        <v>684</v>
      </c>
      <c r="H228" s="146" t="s">
        <v>127</v>
      </c>
      <c r="I228" s="147" t="str">
        <f ca="1">OFFSET(OT[[#Headers],[T. CUENTA]],MATCH($H228,OT[T. CUENTA],0),1)</f>
        <v>GASTOS PRESTADOS POR TERCEROS</v>
      </c>
      <c r="J228" s="147" t="s">
        <v>158</v>
      </c>
      <c r="K228" s="146" t="s">
        <v>65</v>
      </c>
      <c r="L228" s="148">
        <v>1</v>
      </c>
      <c r="M228" s="149">
        <v>368</v>
      </c>
      <c r="N228" s="150">
        <v>0</v>
      </c>
      <c r="O228" s="150"/>
      <c r="P228" s="153">
        <f>SALIDAS[[#This Row],[COSTO]]+SALIDAS[[#This Row],[IGV]]+SALIDAS[[#This Row],[INAFECTO]]</f>
        <v>368</v>
      </c>
      <c r="Q228" s="151" t="s">
        <v>373</v>
      </c>
    </row>
    <row r="229" spans="1:17" x14ac:dyDescent="0.25">
      <c r="A229" s="56">
        <v>223</v>
      </c>
      <c r="B229" s="64">
        <v>43560</v>
      </c>
      <c r="C229" s="30" t="str">
        <f>TEXT(SALIDAS[[#This Row],[FECHA]],"mmmm")</f>
        <v>Abril</v>
      </c>
      <c r="D229" s="27" t="s">
        <v>10</v>
      </c>
      <c r="E229" s="55" t="s">
        <v>692</v>
      </c>
      <c r="F229" s="65">
        <v>8</v>
      </c>
      <c r="G229" s="146" t="s">
        <v>541</v>
      </c>
      <c r="H229" s="146" t="s">
        <v>127</v>
      </c>
      <c r="I229" s="147" t="str">
        <f ca="1">OFFSET(OT[[#Headers],[T. CUENTA]],MATCH($H229,OT[T. CUENTA],0),1)</f>
        <v>GASTOS PRESTADOS POR TERCEROS</v>
      </c>
      <c r="J229" s="147" t="s">
        <v>158</v>
      </c>
      <c r="K229" s="146" t="s">
        <v>65</v>
      </c>
      <c r="L229" s="148">
        <v>1</v>
      </c>
      <c r="M229" s="149">
        <v>677.97</v>
      </c>
      <c r="N229" s="150">
        <f>SALIDAS[[#This Row],[COSTO]]*0.18</f>
        <v>122.0346</v>
      </c>
      <c r="O229" s="150"/>
      <c r="P229" s="164">
        <f>SALIDAS[[#This Row],[COSTO]]+SALIDAS[[#This Row],[IGV]]+SALIDAS[[#This Row],[INAFECTO]]</f>
        <v>800.00459999999998</v>
      </c>
      <c r="Q229" s="156" t="s">
        <v>693</v>
      </c>
    </row>
    <row r="230" spans="1:17" x14ac:dyDescent="0.25">
      <c r="A230" s="56">
        <v>224</v>
      </c>
      <c r="B230" s="64">
        <v>43568</v>
      </c>
      <c r="C230" s="30" t="str">
        <f>TEXT(SALIDAS[[#This Row],[FECHA]],"mmmm")</f>
        <v>Abril</v>
      </c>
      <c r="D230" s="27" t="s">
        <v>139</v>
      </c>
      <c r="E230" s="55" t="s">
        <v>901</v>
      </c>
      <c r="F230" s="65">
        <v>9</v>
      </c>
      <c r="G230" s="21" t="s">
        <v>287</v>
      </c>
      <c r="H230" s="21" t="s">
        <v>131</v>
      </c>
      <c r="I230" s="26" t="str">
        <f ca="1">OFFSET(OT[[#Headers],[T. CUENTA]],MATCH($H230,OT[T. CUENTA],0),1)</f>
        <v>GASTOS FINANCIEROS</v>
      </c>
      <c r="J230" s="147" t="s">
        <v>158</v>
      </c>
      <c r="K230" s="146" t="s">
        <v>65</v>
      </c>
      <c r="L230" s="148">
        <v>1</v>
      </c>
      <c r="M230" s="32">
        <v>134.6</v>
      </c>
      <c r="N230" s="66">
        <v>0</v>
      </c>
      <c r="O230" s="66"/>
      <c r="P230" s="166">
        <f>SALIDAS[[#This Row],[COSTO]]+SALIDAS[[#This Row],[IGV]]+SALIDAS[[#This Row],[INAFECTO]]</f>
        <v>134.6</v>
      </c>
      <c r="Q230" s="10" t="s">
        <v>687</v>
      </c>
    </row>
    <row r="231" spans="1:17" x14ac:dyDescent="0.25">
      <c r="A231" s="56">
        <v>225</v>
      </c>
      <c r="B231" s="64">
        <v>43564</v>
      </c>
      <c r="C231" s="30" t="str">
        <f>TEXT(SALIDAS[[#This Row],[FECHA]],"mmmm")</f>
        <v>Abril</v>
      </c>
      <c r="D231" s="27" t="s">
        <v>135</v>
      </c>
      <c r="E231" s="55" t="s">
        <v>694</v>
      </c>
      <c r="F231" s="65">
        <v>9</v>
      </c>
      <c r="G231" s="146" t="s">
        <v>492</v>
      </c>
      <c r="H231" s="146" t="s">
        <v>110</v>
      </c>
      <c r="I231" s="147" t="str">
        <f ca="1">OFFSET(OT[[#Headers],[T. CUENTA]],MATCH($H231,OT[T. CUENTA],0),1)</f>
        <v>GASTOS ADMINISTRATIVOS</v>
      </c>
      <c r="J231" s="147" t="s">
        <v>158</v>
      </c>
      <c r="K231" s="146" t="s">
        <v>65</v>
      </c>
      <c r="L231" s="148">
        <v>1</v>
      </c>
      <c r="M231" s="149">
        <v>254.24</v>
      </c>
      <c r="N231" s="150">
        <f>SALIDAS[[#This Row],[COSTO]]*0.18</f>
        <v>45.763199999999998</v>
      </c>
      <c r="O231" s="150"/>
      <c r="P231" s="152">
        <f>SALIDAS[[#This Row],[COSTO]]+SALIDAS[[#This Row],[IGV]]+SALIDAS[[#This Row],[INAFECTO]]</f>
        <v>300.00319999999999</v>
      </c>
      <c r="Q231" s="151" t="s">
        <v>695</v>
      </c>
    </row>
    <row r="232" spans="1:17" x14ac:dyDescent="0.25">
      <c r="A232" s="56">
        <v>226</v>
      </c>
      <c r="B232" s="64">
        <v>43565</v>
      </c>
      <c r="C232" s="30" t="str">
        <f>TEXT(SALIDAS[[#This Row],[FECHA]],"mmmm")</f>
        <v>Abril</v>
      </c>
      <c r="D232" s="27" t="s">
        <v>135</v>
      </c>
      <c r="E232" s="55" t="s">
        <v>696</v>
      </c>
      <c r="F232" s="65">
        <v>9</v>
      </c>
      <c r="G232" s="146" t="s">
        <v>492</v>
      </c>
      <c r="H232" s="146" t="s">
        <v>110</v>
      </c>
      <c r="I232" s="147" t="str">
        <f ca="1">OFFSET(OT[[#Headers],[T. CUENTA]],MATCH($H232,OT[T. CUENTA],0),1)</f>
        <v>GASTOS ADMINISTRATIVOS</v>
      </c>
      <c r="J232" s="147" t="s">
        <v>158</v>
      </c>
      <c r="K232" s="146" t="s">
        <v>65</v>
      </c>
      <c r="L232" s="148">
        <v>1</v>
      </c>
      <c r="M232" s="149">
        <v>254.24</v>
      </c>
      <c r="N232" s="150">
        <f>SALIDAS[[#This Row],[COSTO]]*0.18</f>
        <v>45.763199999999998</v>
      </c>
      <c r="O232" s="150"/>
      <c r="P232" s="152">
        <f>SALIDAS[[#This Row],[COSTO]]+SALIDAS[[#This Row],[IGV]]+SALIDAS[[#This Row],[INAFECTO]]</f>
        <v>300.00319999999999</v>
      </c>
      <c r="Q232" s="151" t="s">
        <v>695</v>
      </c>
    </row>
    <row r="233" spans="1:17" x14ac:dyDescent="0.25">
      <c r="A233" s="56">
        <v>227</v>
      </c>
      <c r="B233" s="64">
        <v>43558</v>
      </c>
      <c r="C233" s="30" t="str">
        <f>TEXT(SALIDAS[[#This Row],[FECHA]],"mmmm")</f>
        <v>Abril</v>
      </c>
      <c r="D233" s="27" t="s">
        <v>135</v>
      </c>
      <c r="E233" s="55" t="s">
        <v>697</v>
      </c>
      <c r="F233" s="65">
        <v>9</v>
      </c>
      <c r="G233" s="146" t="s">
        <v>651</v>
      </c>
      <c r="H233" s="146" t="s">
        <v>107</v>
      </c>
      <c r="I233" s="147" t="str">
        <f ca="1">OFFSET(OT[[#Headers],[T. CUENTA]],MATCH($H233,OT[T. CUENTA],0),1)</f>
        <v>GASTOS PRESTADOS POR TERCEROS</v>
      </c>
      <c r="J233" s="147" t="s">
        <v>158</v>
      </c>
      <c r="K233" s="146" t="s">
        <v>65</v>
      </c>
      <c r="L233" s="148">
        <v>1</v>
      </c>
      <c r="M233" s="149">
        <v>10.17</v>
      </c>
      <c r="N233" s="150">
        <f>SALIDAS[[#This Row],[COSTO]]*0.18</f>
        <v>1.8306</v>
      </c>
      <c r="O233" s="150"/>
      <c r="P233" s="152">
        <f>SALIDAS[[#This Row],[COSTO]]+SALIDAS[[#This Row],[IGV]]+SALIDAS[[#This Row],[INAFECTO]]</f>
        <v>12.0006</v>
      </c>
      <c r="Q233" s="151" t="s">
        <v>351</v>
      </c>
    </row>
    <row r="234" spans="1:17" x14ac:dyDescent="0.25">
      <c r="A234" s="56">
        <v>228</v>
      </c>
      <c r="B234" s="64">
        <v>43566</v>
      </c>
      <c r="C234" s="30" t="str">
        <f>TEXT(SALIDAS[[#This Row],[FECHA]],"mmmm")</f>
        <v>Abril</v>
      </c>
      <c r="D234" s="27" t="s">
        <v>135</v>
      </c>
      <c r="E234" s="55" t="s">
        <v>698</v>
      </c>
      <c r="F234" s="65">
        <v>9</v>
      </c>
      <c r="G234" s="146" t="s">
        <v>541</v>
      </c>
      <c r="H234" s="146" t="s">
        <v>121</v>
      </c>
      <c r="I234" s="147" t="str">
        <f ca="1">OFFSET(OT[[#Headers],[T. CUENTA]],MATCH($H234,OT[T. CUENTA],0),1)</f>
        <v>GASTOS PRESTADOS POR TERCEROS</v>
      </c>
      <c r="J234" s="147" t="s">
        <v>158</v>
      </c>
      <c r="K234" s="146" t="s">
        <v>65</v>
      </c>
      <c r="L234" s="148">
        <v>1</v>
      </c>
      <c r="M234" s="149">
        <v>169.49</v>
      </c>
      <c r="N234" s="150">
        <f>SALIDAS[[#This Row],[COSTO]]*0.18</f>
        <v>30.508200000000002</v>
      </c>
      <c r="O234" s="150"/>
      <c r="P234" s="152">
        <f>SALIDAS[[#This Row],[COSTO]]+SALIDAS[[#This Row],[IGV]]+SALIDAS[[#This Row],[INAFECTO]]</f>
        <v>199.9982</v>
      </c>
      <c r="Q234" s="151" t="s">
        <v>693</v>
      </c>
    </row>
    <row r="235" spans="1:17" x14ac:dyDescent="0.25">
      <c r="A235" s="56">
        <v>229</v>
      </c>
      <c r="B235" s="64">
        <v>43565</v>
      </c>
      <c r="C235" s="30" t="str">
        <f>TEXT(SALIDAS[[#This Row],[FECHA]],"mmmm")</f>
        <v>Abril</v>
      </c>
      <c r="D235" s="27" t="s">
        <v>135</v>
      </c>
      <c r="E235" s="55" t="s">
        <v>699</v>
      </c>
      <c r="F235" s="65">
        <v>9</v>
      </c>
      <c r="G235" s="146" t="s">
        <v>700</v>
      </c>
      <c r="H235" s="146" t="s">
        <v>110</v>
      </c>
      <c r="I235" s="147" t="str">
        <f ca="1">OFFSET(OT[[#Headers],[T. CUENTA]],MATCH($H235,OT[T. CUENTA],0),1)</f>
        <v>GASTOS ADMINISTRATIVOS</v>
      </c>
      <c r="J235" s="147" t="s">
        <v>228</v>
      </c>
      <c r="K235" s="146" t="s">
        <v>65</v>
      </c>
      <c r="L235" s="148">
        <v>1</v>
      </c>
      <c r="M235" s="149">
        <v>317.8</v>
      </c>
      <c r="N235" s="150">
        <f>SALIDAS[[#This Row],[COSTO]]*0.18</f>
        <v>57.204000000000001</v>
      </c>
      <c r="O235" s="150"/>
      <c r="P235" s="152">
        <f>SALIDAS[[#This Row],[COSTO]]+SALIDAS[[#This Row],[IGV]]+SALIDAS[[#This Row],[INAFECTO]]</f>
        <v>375.00400000000002</v>
      </c>
      <c r="Q235" s="151" t="s">
        <v>701</v>
      </c>
    </row>
    <row r="236" spans="1:17" x14ac:dyDescent="0.25">
      <c r="A236" s="56">
        <v>230</v>
      </c>
      <c r="B236" s="64">
        <v>43567</v>
      </c>
      <c r="C236" s="30" t="str">
        <f>TEXT(SALIDAS[[#This Row],[FECHA]],"mmmm")</f>
        <v>Abril</v>
      </c>
      <c r="D236" s="27" t="s">
        <v>10</v>
      </c>
      <c r="E236" s="55" t="s">
        <v>702</v>
      </c>
      <c r="F236" s="65">
        <v>9</v>
      </c>
      <c r="G236" s="146" t="s">
        <v>460</v>
      </c>
      <c r="H236" s="146" t="s">
        <v>93</v>
      </c>
      <c r="I236" s="147" t="str">
        <f ca="1">OFFSET(OT[[#Headers],[T. CUENTA]],MATCH($H236,OT[T. CUENTA],0),1)</f>
        <v>GASTOS DE PERSONAL</v>
      </c>
      <c r="J236" s="147" t="s">
        <v>158</v>
      </c>
      <c r="K236" s="146" t="s">
        <v>65</v>
      </c>
      <c r="L236" s="148">
        <v>1</v>
      </c>
      <c r="M236" s="149">
        <v>46.61</v>
      </c>
      <c r="N236" s="150">
        <f>SALIDAS[[#This Row],[COSTO]]*0.18</f>
        <v>8.3897999999999993</v>
      </c>
      <c r="O236" s="150"/>
      <c r="P236" s="152">
        <f>SALIDAS[[#This Row],[COSTO]]+SALIDAS[[#This Row],[IGV]]+SALIDAS[[#This Row],[INAFECTO]]</f>
        <v>54.9998</v>
      </c>
      <c r="Q236" s="151" t="s">
        <v>703</v>
      </c>
    </row>
    <row r="237" spans="1:17" x14ac:dyDescent="0.25">
      <c r="A237" s="56">
        <v>231</v>
      </c>
      <c r="B237" s="64">
        <v>43567</v>
      </c>
      <c r="C237" s="30" t="str">
        <f>TEXT(SALIDAS[[#This Row],[FECHA]],"mmmm")</f>
        <v>Abril</v>
      </c>
      <c r="D237" s="27" t="s">
        <v>135</v>
      </c>
      <c r="E237" s="55" t="s">
        <v>704</v>
      </c>
      <c r="F237" s="65">
        <v>9</v>
      </c>
      <c r="G237" s="146" t="s">
        <v>705</v>
      </c>
      <c r="H237" s="146" t="s">
        <v>194</v>
      </c>
      <c r="I237" s="147" t="str">
        <f ca="1">OFFSET(OT[[#Headers],[T. CUENTA]],MATCH($H237,OT[T. CUENTA],0),1)</f>
        <v>GASTOS PRESTADOS POR TERCEROS</v>
      </c>
      <c r="J237" s="147" t="s">
        <v>158</v>
      </c>
      <c r="K237" s="146" t="s">
        <v>65</v>
      </c>
      <c r="L237" s="148">
        <v>1</v>
      </c>
      <c r="M237" s="149">
        <v>5.51</v>
      </c>
      <c r="N237" s="150">
        <f>SALIDAS[[#This Row],[COSTO]]*0.18</f>
        <v>0.9917999999999999</v>
      </c>
      <c r="O237" s="150"/>
      <c r="P237" s="152">
        <f>SALIDAS[[#This Row],[COSTO]]+SALIDAS[[#This Row],[IGV]]+SALIDAS[[#This Row],[INAFECTO]]</f>
        <v>6.5017999999999994</v>
      </c>
      <c r="Q237" s="151" t="s">
        <v>195</v>
      </c>
    </row>
    <row r="238" spans="1:17" x14ac:dyDescent="0.25">
      <c r="A238" s="56">
        <v>232</v>
      </c>
      <c r="B238" s="64">
        <v>43567</v>
      </c>
      <c r="C238" s="30" t="str">
        <f>TEXT(SALIDAS[[#This Row],[FECHA]],"mmmm")</f>
        <v>Abril</v>
      </c>
      <c r="D238" s="27" t="s">
        <v>135</v>
      </c>
      <c r="E238" s="55" t="s">
        <v>706</v>
      </c>
      <c r="F238" s="65">
        <v>9</v>
      </c>
      <c r="G238" s="146" t="s">
        <v>710</v>
      </c>
      <c r="H238" s="146" t="s">
        <v>80</v>
      </c>
      <c r="I238" s="147" t="str">
        <f ca="1">OFFSET(OT[[#Headers],[T. CUENTA]],MATCH($H238,OT[T. CUENTA],0),1)</f>
        <v>COSTO DIRECTO</v>
      </c>
      <c r="J238" s="147" t="s">
        <v>158</v>
      </c>
      <c r="K238" s="146" t="s">
        <v>65</v>
      </c>
      <c r="L238" s="148">
        <v>1</v>
      </c>
      <c r="M238" s="149">
        <v>84.75</v>
      </c>
      <c r="N238" s="150">
        <f>SALIDAS[[#This Row],[COSTO]]*0.18</f>
        <v>15.254999999999999</v>
      </c>
      <c r="O238" s="150"/>
      <c r="P238" s="152">
        <f>SALIDAS[[#This Row],[COSTO]]+SALIDAS[[#This Row],[IGV]]+SALIDAS[[#This Row],[INAFECTO]]</f>
        <v>100.005</v>
      </c>
      <c r="Q238" s="151" t="s">
        <v>707</v>
      </c>
    </row>
    <row r="239" spans="1:17" x14ac:dyDescent="0.25">
      <c r="A239" s="56">
        <v>233</v>
      </c>
      <c r="B239" s="64">
        <v>43566</v>
      </c>
      <c r="C239" s="30" t="str">
        <f>TEXT(SALIDAS[[#This Row],[FECHA]],"mmmm")</f>
        <v>Abril</v>
      </c>
      <c r="D239" s="27" t="s">
        <v>135</v>
      </c>
      <c r="E239" s="55" t="s">
        <v>708</v>
      </c>
      <c r="F239" s="65">
        <v>9</v>
      </c>
      <c r="G239" s="146" t="s">
        <v>638</v>
      </c>
      <c r="H239" s="146" t="s">
        <v>194</v>
      </c>
      <c r="I239" s="147" t="str">
        <f ca="1">OFFSET(OT[[#Headers],[T. CUENTA]],MATCH($H239,OT[T. CUENTA],0),1)</f>
        <v>GASTOS PRESTADOS POR TERCEROS</v>
      </c>
      <c r="J239" s="147" t="s">
        <v>158</v>
      </c>
      <c r="K239" s="146" t="s">
        <v>65</v>
      </c>
      <c r="L239" s="148">
        <v>1</v>
      </c>
      <c r="M239" s="149">
        <v>5.76</v>
      </c>
      <c r="N239" s="150">
        <f>SALIDAS[[#This Row],[COSTO]]*0.18</f>
        <v>1.0367999999999999</v>
      </c>
      <c r="O239" s="150"/>
      <c r="P239" s="152">
        <f>SALIDAS[[#This Row],[COSTO]]+SALIDAS[[#This Row],[IGV]]+SALIDAS[[#This Row],[INAFECTO]]</f>
        <v>6.7967999999999993</v>
      </c>
      <c r="Q239" s="151" t="s">
        <v>217</v>
      </c>
    </row>
    <row r="240" spans="1:17" x14ac:dyDescent="0.25">
      <c r="A240" s="56">
        <v>234</v>
      </c>
      <c r="B240" s="64">
        <v>43567</v>
      </c>
      <c r="C240" s="30" t="str">
        <f>TEXT(SALIDAS[[#This Row],[FECHA]],"mmmm")</f>
        <v>Abril</v>
      </c>
      <c r="D240" s="27" t="s">
        <v>135</v>
      </c>
      <c r="E240" s="55" t="s">
        <v>709</v>
      </c>
      <c r="F240" s="65">
        <v>9</v>
      </c>
      <c r="G240" s="146" t="s">
        <v>638</v>
      </c>
      <c r="H240" s="146" t="s">
        <v>194</v>
      </c>
      <c r="I240" s="147" t="str">
        <f ca="1">OFFSET(OT[[#Headers],[T. CUENTA]],MATCH($H240,OT[T. CUENTA],0),1)</f>
        <v>GASTOS PRESTADOS POR TERCEROS</v>
      </c>
      <c r="J240" s="147" t="s">
        <v>158</v>
      </c>
      <c r="K240" s="146" t="s">
        <v>65</v>
      </c>
      <c r="L240" s="148">
        <v>1</v>
      </c>
      <c r="M240" s="149">
        <v>5.76</v>
      </c>
      <c r="N240" s="150">
        <f>SALIDAS[[#This Row],[COSTO]]*0.18</f>
        <v>1.0367999999999999</v>
      </c>
      <c r="O240" s="150"/>
      <c r="P240" s="152">
        <f>SALIDAS[[#This Row],[COSTO]]+SALIDAS[[#This Row],[IGV]]+SALIDAS[[#This Row],[INAFECTO]]</f>
        <v>6.7967999999999993</v>
      </c>
      <c r="Q240" s="151" t="s">
        <v>217</v>
      </c>
    </row>
    <row r="241" spans="1:17" x14ac:dyDescent="0.25">
      <c r="A241" s="56">
        <v>235</v>
      </c>
      <c r="B241" s="64">
        <v>43567</v>
      </c>
      <c r="C241" s="30" t="str">
        <f>TEXT(SALIDAS[[#This Row],[FECHA]],"mmmm")</f>
        <v>Abril</v>
      </c>
      <c r="D241" s="27" t="s">
        <v>10</v>
      </c>
      <c r="E241" s="55" t="s">
        <v>711</v>
      </c>
      <c r="F241" s="65">
        <v>9</v>
      </c>
      <c r="G241" s="146" t="s">
        <v>712</v>
      </c>
      <c r="H241" s="146" t="s">
        <v>80</v>
      </c>
      <c r="I241" s="147" t="str">
        <f ca="1">OFFSET(OT[[#Headers],[T. CUENTA]],MATCH($H241,OT[T. CUENTA],0),1)</f>
        <v>COSTO DIRECTO</v>
      </c>
      <c r="J241" s="147" t="s">
        <v>158</v>
      </c>
      <c r="K241" s="146" t="s">
        <v>65</v>
      </c>
      <c r="L241" s="148">
        <v>1</v>
      </c>
      <c r="M241" s="149">
        <v>72.709999999999994</v>
      </c>
      <c r="N241" s="150">
        <f>SALIDAS[[#This Row],[COSTO]]*0.18</f>
        <v>13.087799999999998</v>
      </c>
      <c r="O241" s="150"/>
      <c r="P241" s="152">
        <f>SALIDAS[[#This Row],[COSTO]]+SALIDAS[[#This Row],[IGV]]+SALIDAS[[#This Row],[INAFECTO]]</f>
        <v>85.797799999999995</v>
      </c>
      <c r="Q241" s="151" t="s">
        <v>713</v>
      </c>
    </row>
    <row r="242" spans="1:17" x14ac:dyDescent="0.25">
      <c r="A242" s="56">
        <v>236</v>
      </c>
      <c r="B242" s="64">
        <v>43564</v>
      </c>
      <c r="C242" s="30" t="str">
        <f>TEXT(SALIDAS[[#This Row],[FECHA]],"mmmm")</f>
        <v>Abril</v>
      </c>
      <c r="D242" s="27" t="s">
        <v>12</v>
      </c>
      <c r="E242" s="55" t="s">
        <v>714</v>
      </c>
      <c r="F242" s="65">
        <v>9</v>
      </c>
      <c r="G242" s="146" t="s">
        <v>715</v>
      </c>
      <c r="H242" s="146" t="s">
        <v>92</v>
      </c>
      <c r="I242" s="147" t="str">
        <f ca="1">OFFSET(OT[[#Headers],[T. CUENTA]],MATCH($H242,OT[T. CUENTA],0),1)</f>
        <v>GASTOS DE PERSONAL</v>
      </c>
      <c r="J242" s="147" t="s">
        <v>158</v>
      </c>
      <c r="K242" s="146" t="s">
        <v>65</v>
      </c>
      <c r="L242" s="148">
        <v>1</v>
      </c>
      <c r="M242" s="149">
        <v>12</v>
      </c>
      <c r="N242" s="150">
        <v>0</v>
      </c>
      <c r="O242" s="150"/>
      <c r="P242" s="152">
        <f>SALIDAS[[#This Row],[COSTO]]+SALIDAS[[#This Row],[IGV]]+SALIDAS[[#This Row],[INAFECTO]]</f>
        <v>12</v>
      </c>
      <c r="Q242" s="151" t="s">
        <v>716</v>
      </c>
    </row>
    <row r="243" spans="1:17" x14ac:dyDescent="0.25">
      <c r="A243" s="56">
        <v>237</v>
      </c>
      <c r="B243" s="64">
        <v>43560</v>
      </c>
      <c r="C243" s="30" t="str">
        <f>TEXT(SALIDAS[[#This Row],[FECHA]],"mmmm")</f>
        <v>Abril</v>
      </c>
      <c r="D243" s="27" t="s">
        <v>135</v>
      </c>
      <c r="E243" s="55" t="s">
        <v>717</v>
      </c>
      <c r="F243" s="65">
        <v>9</v>
      </c>
      <c r="G243" s="146" t="s">
        <v>718</v>
      </c>
      <c r="H243" s="146" t="s">
        <v>106</v>
      </c>
      <c r="I243" s="147" t="str">
        <f ca="1">OFFSET(OT[[#Headers],[T. CUENTA]],MATCH($H243,OT[T. CUENTA],0),1)</f>
        <v>GASTOS DE PERSONAL</v>
      </c>
      <c r="J243" s="147" t="s">
        <v>158</v>
      </c>
      <c r="K243" s="146" t="s">
        <v>65</v>
      </c>
      <c r="L243" s="148">
        <v>1</v>
      </c>
      <c r="M243" s="149">
        <v>86</v>
      </c>
      <c r="N243" s="150">
        <v>0</v>
      </c>
      <c r="O243" s="150"/>
      <c r="P243" s="152">
        <f>SALIDAS[[#This Row],[COSTO]]+SALIDAS[[#This Row],[IGV]]+SALIDAS[[#This Row],[INAFECTO]]</f>
        <v>86</v>
      </c>
      <c r="Q243" s="151" t="s">
        <v>719</v>
      </c>
    </row>
    <row r="244" spans="1:17" x14ac:dyDescent="0.25">
      <c r="A244" s="56">
        <v>238</v>
      </c>
      <c r="B244" s="64">
        <v>43567</v>
      </c>
      <c r="C244" s="30" t="str">
        <f>TEXT(SALIDAS[[#This Row],[FECHA]],"mmmm")</f>
        <v>Abril</v>
      </c>
      <c r="D244" s="27" t="s">
        <v>12</v>
      </c>
      <c r="E244" s="55" t="s">
        <v>720</v>
      </c>
      <c r="F244" s="65">
        <v>9</v>
      </c>
      <c r="G244" s="146" t="s">
        <v>721</v>
      </c>
      <c r="H244" s="146" t="s">
        <v>106</v>
      </c>
      <c r="I244" s="147" t="str">
        <f ca="1">OFFSET(OT[[#Headers],[T. CUENTA]],MATCH($H244,OT[T. CUENTA],0),1)</f>
        <v>GASTOS DE PERSONAL</v>
      </c>
      <c r="J244" s="147" t="s">
        <v>158</v>
      </c>
      <c r="K244" s="146" t="s">
        <v>65</v>
      </c>
      <c r="L244" s="148">
        <v>1</v>
      </c>
      <c r="M244" s="149">
        <v>30</v>
      </c>
      <c r="N244" s="150">
        <v>0</v>
      </c>
      <c r="O244" s="150"/>
      <c r="P244" s="152">
        <f>SALIDAS[[#This Row],[COSTO]]+SALIDAS[[#This Row],[IGV]]+SALIDAS[[#This Row],[INAFECTO]]</f>
        <v>30</v>
      </c>
      <c r="Q244" s="151" t="s">
        <v>722</v>
      </c>
    </row>
    <row r="245" spans="1:17" x14ac:dyDescent="0.25">
      <c r="A245" s="56">
        <v>239</v>
      </c>
      <c r="B245" s="64">
        <v>43568</v>
      </c>
      <c r="C245" s="30" t="str">
        <f>TEXT(SALIDAS[[#This Row],[FECHA]],"mmmm")</f>
        <v>Abril</v>
      </c>
      <c r="D245" s="27" t="s">
        <v>138</v>
      </c>
      <c r="E245" s="55" t="s">
        <v>723</v>
      </c>
      <c r="F245" s="65">
        <v>9</v>
      </c>
      <c r="G245" s="146" t="s">
        <v>724</v>
      </c>
      <c r="H245" s="146" t="s">
        <v>127</v>
      </c>
      <c r="I245" s="147" t="str">
        <f ca="1">OFFSET(OT[[#Headers],[T. CUENTA]],MATCH($H245,OT[T. CUENTA],0),1)</f>
        <v>GASTOS PRESTADOS POR TERCEROS</v>
      </c>
      <c r="J245" s="147" t="s">
        <v>158</v>
      </c>
      <c r="K245" s="146" t="s">
        <v>65</v>
      </c>
      <c r="L245" s="148">
        <v>1</v>
      </c>
      <c r="M245" s="149">
        <v>140</v>
      </c>
      <c r="N245" s="150">
        <v>0</v>
      </c>
      <c r="O245" s="150"/>
      <c r="P245" s="152">
        <f>SALIDAS[[#This Row],[COSTO]]+SALIDAS[[#This Row],[IGV]]+SALIDAS[[#This Row],[INAFECTO]]</f>
        <v>140</v>
      </c>
      <c r="Q245" s="151" t="s">
        <v>628</v>
      </c>
    </row>
    <row r="246" spans="1:17" x14ac:dyDescent="0.25">
      <c r="A246" s="56">
        <v>240</v>
      </c>
      <c r="B246" s="64">
        <v>43568</v>
      </c>
      <c r="C246" s="30" t="str">
        <f>TEXT(SALIDAS[[#This Row],[FECHA]],"mmmm")</f>
        <v>Abril</v>
      </c>
      <c r="D246" s="27" t="s">
        <v>138</v>
      </c>
      <c r="E246" s="55" t="s">
        <v>725</v>
      </c>
      <c r="F246" s="65">
        <v>9</v>
      </c>
      <c r="G246" s="146" t="s">
        <v>726</v>
      </c>
      <c r="H246" s="146" t="s">
        <v>127</v>
      </c>
      <c r="I246" s="147" t="str">
        <f ca="1">OFFSET(OT[[#Headers],[T. CUENTA]],MATCH($H246,OT[T. CUENTA],0),1)</f>
        <v>GASTOS PRESTADOS POR TERCEROS</v>
      </c>
      <c r="J246" s="147" t="s">
        <v>158</v>
      </c>
      <c r="K246" s="146" t="s">
        <v>65</v>
      </c>
      <c r="L246" s="148">
        <v>1</v>
      </c>
      <c r="M246" s="149">
        <v>200</v>
      </c>
      <c r="N246" s="150">
        <v>0</v>
      </c>
      <c r="O246" s="150"/>
      <c r="P246" s="152">
        <f>SALIDAS[[#This Row],[COSTO]]+SALIDAS[[#This Row],[IGV]]+SALIDAS[[#This Row],[INAFECTO]]</f>
        <v>200</v>
      </c>
      <c r="Q246" s="151" t="s">
        <v>628</v>
      </c>
    </row>
    <row r="247" spans="1:17" x14ac:dyDescent="0.25">
      <c r="A247" s="56">
        <v>241</v>
      </c>
      <c r="B247" s="64">
        <v>43568</v>
      </c>
      <c r="C247" s="30" t="str">
        <f>TEXT(SALIDAS[[#This Row],[FECHA]],"mmmm")</f>
        <v>Abril</v>
      </c>
      <c r="D247" s="27" t="s">
        <v>141</v>
      </c>
      <c r="E247" s="55" t="s">
        <v>727</v>
      </c>
      <c r="F247" s="65">
        <v>9</v>
      </c>
      <c r="G247" s="146" t="s">
        <v>728</v>
      </c>
      <c r="H247" s="146" t="s">
        <v>106</v>
      </c>
      <c r="I247" s="147" t="str">
        <f ca="1">OFFSET(OT[[#Headers],[T. CUENTA]],MATCH($H247,OT[T. CUENTA],0),1)</f>
        <v>GASTOS DE PERSONAL</v>
      </c>
      <c r="J247" s="147" t="s">
        <v>158</v>
      </c>
      <c r="K247" s="146" t="s">
        <v>65</v>
      </c>
      <c r="L247" s="148">
        <v>1</v>
      </c>
      <c r="M247" s="149">
        <v>125</v>
      </c>
      <c r="N247" s="150">
        <v>0</v>
      </c>
      <c r="O247" s="150"/>
      <c r="P247" s="152">
        <f>SALIDAS[[#This Row],[COSTO]]+SALIDAS[[#This Row],[IGV]]+SALIDAS[[#This Row],[INAFECTO]]</f>
        <v>125</v>
      </c>
      <c r="Q247" s="151" t="s">
        <v>577</v>
      </c>
    </row>
    <row r="248" spans="1:17" x14ac:dyDescent="0.25">
      <c r="A248" s="56">
        <v>242</v>
      </c>
      <c r="B248" s="64">
        <v>43568</v>
      </c>
      <c r="C248" s="30" t="str">
        <f>TEXT(SALIDAS[[#This Row],[FECHA]],"mmmm")</f>
        <v>Abril</v>
      </c>
      <c r="D248" s="27" t="s">
        <v>141</v>
      </c>
      <c r="E248" s="55" t="s">
        <v>729</v>
      </c>
      <c r="F248" s="65">
        <v>9</v>
      </c>
      <c r="G248" s="146" t="s">
        <v>718</v>
      </c>
      <c r="H248" s="146" t="s">
        <v>106</v>
      </c>
      <c r="I248" s="147" t="str">
        <f ca="1">OFFSET(OT[[#Headers],[T. CUENTA]],MATCH($H248,OT[T. CUENTA],0),1)</f>
        <v>GASTOS DE PERSONAL</v>
      </c>
      <c r="J248" s="147" t="s">
        <v>158</v>
      </c>
      <c r="K248" s="146" t="s">
        <v>65</v>
      </c>
      <c r="L248" s="148">
        <v>1</v>
      </c>
      <c r="M248" s="149">
        <v>25</v>
      </c>
      <c r="N248" s="150">
        <v>0</v>
      </c>
      <c r="O248" s="150"/>
      <c r="P248" s="152">
        <f>SALIDAS[[#This Row],[COSTO]]+SALIDAS[[#This Row],[IGV]]+SALIDAS[[#This Row],[INAFECTO]]</f>
        <v>25</v>
      </c>
      <c r="Q248" s="151" t="s">
        <v>465</v>
      </c>
    </row>
    <row r="249" spans="1:17" x14ac:dyDescent="0.25">
      <c r="A249" s="56">
        <v>243</v>
      </c>
      <c r="B249" s="64">
        <v>43568</v>
      </c>
      <c r="C249" s="30" t="str">
        <f>TEXT(SALIDAS[[#This Row],[FECHA]],"mmmm")</f>
        <v>Abril</v>
      </c>
      <c r="D249" s="27" t="s">
        <v>138</v>
      </c>
      <c r="E249" s="55" t="s">
        <v>626</v>
      </c>
      <c r="F249" s="65">
        <v>9</v>
      </c>
      <c r="G249" s="146" t="s">
        <v>730</v>
      </c>
      <c r="H249" s="146" t="s">
        <v>127</v>
      </c>
      <c r="I249" s="147" t="str">
        <f ca="1">OFFSET(OT[[#Headers],[T. CUENTA]],MATCH($H249,OT[T. CUENTA],0),1)</f>
        <v>GASTOS PRESTADOS POR TERCEROS</v>
      </c>
      <c r="J249" s="147" t="s">
        <v>158</v>
      </c>
      <c r="K249" s="146" t="s">
        <v>65</v>
      </c>
      <c r="L249" s="148">
        <v>1</v>
      </c>
      <c r="M249" s="149">
        <v>420</v>
      </c>
      <c r="N249" s="150">
        <v>0</v>
      </c>
      <c r="O249" s="150"/>
      <c r="P249" s="152">
        <f>SALIDAS[[#This Row],[COSTO]]+SALIDAS[[#This Row],[IGV]]+SALIDAS[[#This Row],[INAFECTO]]</f>
        <v>420</v>
      </c>
      <c r="Q249" s="151" t="s">
        <v>474</v>
      </c>
    </row>
    <row r="250" spans="1:17" x14ac:dyDescent="0.25">
      <c r="A250" s="56">
        <v>244</v>
      </c>
      <c r="B250" s="64">
        <v>43567</v>
      </c>
      <c r="C250" s="30" t="str">
        <f>TEXT(SALIDAS[[#This Row],[FECHA]],"mmmm")</f>
        <v>Abril</v>
      </c>
      <c r="D250" s="27" t="s">
        <v>135</v>
      </c>
      <c r="E250" s="55" t="s">
        <v>731</v>
      </c>
      <c r="F250" s="65">
        <v>10</v>
      </c>
      <c r="G250" s="146" t="s">
        <v>732</v>
      </c>
      <c r="H250" s="146" t="s">
        <v>106</v>
      </c>
      <c r="I250" s="147" t="str">
        <f ca="1">OFFSET(OT[[#Headers],[T. CUENTA]],MATCH($H250,OT[T. CUENTA],0),1)</f>
        <v>GASTOS DE PERSONAL</v>
      </c>
      <c r="J250" s="147" t="s">
        <v>158</v>
      </c>
      <c r="K250" s="146" t="s">
        <v>65</v>
      </c>
      <c r="L250" s="148">
        <v>1</v>
      </c>
      <c r="M250" s="149">
        <v>70</v>
      </c>
      <c r="N250" s="150">
        <v>0</v>
      </c>
      <c r="O250" s="150"/>
      <c r="P250" s="153">
        <f>SALIDAS[[#This Row],[COSTO]]+SALIDAS[[#This Row],[IGV]]+SALIDAS[[#This Row],[INAFECTO]]</f>
        <v>70</v>
      </c>
      <c r="Q250" s="151" t="s">
        <v>500</v>
      </c>
    </row>
    <row r="251" spans="1:17" x14ac:dyDescent="0.25">
      <c r="A251" s="56">
        <v>245</v>
      </c>
      <c r="B251" s="64">
        <v>43573</v>
      </c>
      <c r="C251" s="30" t="str">
        <f>TEXT(SALIDAS[[#This Row],[FECHA]],"mmmm")</f>
        <v>Abril</v>
      </c>
      <c r="D251" s="27" t="s">
        <v>141</v>
      </c>
      <c r="E251" s="55" t="s">
        <v>733</v>
      </c>
      <c r="F251" s="65">
        <v>10</v>
      </c>
      <c r="G251" s="146" t="s">
        <v>732</v>
      </c>
      <c r="H251" s="146" t="s">
        <v>106</v>
      </c>
      <c r="I251" s="147" t="str">
        <f ca="1">OFFSET(OT[[#Headers],[T. CUENTA]],MATCH($H251,OT[T. CUENTA],0),1)</f>
        <v>GASTOS DE PERSONAL</v>
      </c>
      <c r="J251" s="147" t="s">
        <v>158</v>
      </c>
      <c r="K251" s="146" t="s">
        <v>65</v>
      </c>
      <c r="L251" s="148">
        <v>1</v>
      </c>
      <c r="M251" s="149">
        <v>50</v>
      </c>
      <c r="N251" s="150">
        <v>0</v>
      </c>
      <c r="O251" s="150"/>
      <c r="P251" s="153">
        <f>SALIDAS[[#This Row],[COSTO]]+SALIDAS[[#This Row],[IGV]]+SALIDAS[[#This Row],[INAFECTO]]</f>
        <v>50</v>
      </c>
      <c r="Q251" s="151" t="s">
        <v>500</v>
      </c>
    </row>
    <row r="252" spans="1:17" x14ac:dyDescent="0.25">
      <c r="A252" s="56">
        <v>246</v>
      </c>
      <c r="B252" s="64">
        <v>43556</v>
      </c>
      <c r="C252" s="30" t="str">
        <f>TEXT(SALIDAS[[#This Row],[FECHA]],"mmmm")</f>
        <v>Abril</v>
      </c>
      <c r="D252" s="27" t="s">
        <v>141</v>
      </c>
      <c r="E252" s="55" t="s">
        <v>736</v>
      </c>
      <c r="F252" s="65">
        <v>10</v>
      </c>
      <c r="G252" s="146" t="s">
        <v>734</v>
      </c>
      <c r="H252" s="146" t="s">
        <v>106</v>
      </c>
      <c r="I252" s="147" t="str">
        <f ca="1">OFFSET(OT[[#Headers],[T. CUENTA]],MATCH($H252,OT[T. CUENTA],0),1)</f>
        <v>GASTOS DE PERSONAL</v>
      </c>
      <c r="J252" s="147" t="s">
        <v>158</v>
      </c>
      <c r="K252" s="146" t="s">
        <v>65</v>
      </c>
      <c r="L252" s="148">
        <v>1</v>
      </c>
      <c r="M252" s="149">
        <v>150</v>
      </c>
      <c r="N252" s="150">
        <v>0</v>
      </c>
      <c r="O252" s="150"/>
      <c r="P252" s="153">
        <f>SALIDAS[[#This Row],[COSTO]]+SALIDAS[[#This Row],[IGV]]+SALIDAS[[#This Row],[INAFECTO]]</f>
        <v>150</v>
      </c>
      <c r="Q252" s="151" t="s">
        <v>735</v>
      </c>
    </row>
    <row r="253" spans="1:17" x14ac:dyDescent="0.25">
      <c r="A253" s="56">
        <v>247</v>
      </c>
      <c r="B253" s="64">
        <v>43552</v>
      </c>
      <c r="C253" s="30" t="str">
        <f>TEXT(SALIDAS[[#This Row],[FECHA]],"mmmm")</f>
        <v>Marzo</v>
      </c>
      <c r="D253" s="27" t="s">
        <v>135</v>
      </c>
      <c r="E253" s="55" t="s">
        <v>737</v>
      </c>
      <c r="F253" s="65">
        <v>10</v>
      </c>
      <c r="G253" s="146" t="s">
        <v>734</v>
      </c>
      <c r="H253" s="146" t="s">
        <v>106</v>
      </c>
      <c r="I253" s="147" t="str">
        <f ca="1">OFFSET(OT[[#Headers],[T. CUENTA]],MATCH($H253,OT[T. CUENTA],0),1)</f>
        <v>GASTOS DE PERSONAL</v>
      </c>
      <c r="J253" s="147" t="s">
        <v>158</v>
      </c>
      <c r="K253" s="146" t="s">
        <v>65</v>
      </c>
      <c r="L253" s="148">
        <v>1</v>
      </c>
      <c r="M253" s="149">
        <v>330.5</v>
      </c>
      <c r="N253" s="150">
        <v>0</v>
      </c>
      <c r="O253" s="150"/>
      <c r="P253" s="153">
        <f>SALIDAS[[#This Row],[COSTO]]+SALIDAS[[#This Row],[IGV]]+SALIDAS[[#This Row],[INAFECTO]]</f>
        <v>330.5</v>
      </c>
      <c r="Q253" s="151" t="s">
        <v>738</v>
      </c>
    </row>
    <row r="254" spans="1:17" x14ac:dyDescent="0.25">
      <c r="A254" s="56">
        <v>248</v>
      </c>
      <c r="B254" s="64">
        <v>43572</v>
      </c>
      <c r="C254" s="30" t="str">
        <f>TEXT(SALIDAS[[#This Row],[FECHA]],"mmmm")</f>
        <v>Abril</v>
      </c>
      <c r="D254" s="27" t="s">
        <v>135</v>
      </c>
      <c r="E254" s="55" t="s">
        <v>739</v>
      </c>
      <c r="F254" s="65">
        <v>10</v>
      </c>
      <c r="G254" s="146" t="s">
        <v>740</v>
      </c>
      <c r="H254" s="146" t="s">
        <v>106</v>
      </c>
      <c r="I254" s="147" t="str">
        <f ca="1">OFFSET(OT[[#Headers],[T. CUENTA]],MATCH($H254,OT[T. CUENTA],0),1)</f>
        <v>GASTOS DE PERSONAL</v>
      </c>
      <c r="J254" s="147" t="s">
        <v>158</v>
      </c>
      <c r="K254" s="146" t="s">
        <v>65</v>
      </c>
      <c r="L254" s="148">
        <v>1</v>
      </c>
      <c r="M254" s="149">
        <v>207.63</v>
      </c>
      <c r="N254" s="150">
        <f>SALIDAS[[#This Row],[COSTO]]*0.18</f>
        <v>37.373399999999997</v>
      </c>
      <c r="O254" s="150"/>
      <c r="P254" s="153">
        <f>SALIDAS[[#This Row],[COSTO]]+SALIDAS[[#This Row],[IGV]]+SALIDAS[[#This Row],[INAFECTO]]</f>
        <v>245.0034</v>
      </c>
      <c r="Q254" s="151" t="s">
        <v>223</v>
      </c>
    </row>
    <row r="255" spans="1:17" x14ac:dyDescent="0.25">
      <c r="A255" s="56">
        <v>249</v>
      </c>
      <c r="B255" s="64">
        <v>43525</v>
      </c>
      <c r="C255" s="30" t="str">
        <f>TEXT(SALIDAS[[#This Row],[FECHA]],"mmmm")</f>
        <v>Marzo</v>
      </c>
      <c r="D255" s="27" t="s">
        <v>141</v>
      </c>
      <c r="E255" s="55" t="s">
        <v>741</v>
      </c>
      <c r="F255" s="65">
        <v>10</v>
      </c>
      <c r="G255" s="146" t="s">
        <v>742</v>
      </c>
      <c r="H255" s="146" t="s">
        <v>106</v>
      </c>
      <c r="I255" s="147" t="str">
        <f ca="1">OFFSET(OT[[#Headers],[T. CUENTA]],MATCH($H255,OT[T. CUENTA],0),1)</f>
        <v>GASTOS DE PERSONAL</v>
      </c>
      <c r="J255" s="147" t="s">
        <v>158</v>
      </c>
      <c r="K255" s="146" t="s">
        <v>65</v>
      </c>
      <c r="L255" s="148">
        <v>1</v>
      </c>
      <c r="M255" s="149">
        <v>80</v>
      </c>
      <c r="N255" s="150">
        <v>0</v>
      </c>
      <c r="O255" s="150"/>
      <c r="P255" s="153">
        <f>SALIDAS[[#This Row],[COSTO]]+SALIDAS[[#This Row],[IGV]]+SALIDAS[[#This Row],[INAFECTO]]</f>
        <v>80</v>
      </c>
      <c r="Q255" s="151" t="s">
        <v>743</v>
      </c>
    </row>
    <row r="256" spans="1:17" x14ac:dyDescent="0.25">
      <c r="A256" s="56">
        <v>250</v>
      </c>
      <c r="B256" s="64">
        <v>43571</v>
      </c>
      <c r="C256" s="30" t="str">
        <f>TEXT(SALIDAS[[#This Row],[FECHA]],"mmmm")</f>
        <v>Abril</v>
      </c>
      <c r="D256" s="27" t="s">
        <v>135</v>
      </c>
      <c r="E256" s="55" t="s">
        <v>744</v>
      </c>
      <c r="F256" s="65">
        <v>10</v>
      </c>
      <c r="G256" s="146" t="s">
        <v>651</v>
      </c>
      <c r="H256" s="146" t="s">
        <v>107</v>
      </c>
      <c r="I256" s="147" t="str">
        <f ca="1">OFFSET(OT[[#Headers],[T. CUENTA]],MATCH($H256,OT[T. CUENTA],0),1)</f>
        <v>GASTOS PRESTADOS POR TERCEROS</v>
      </c>
      <c r="J256" s="147" t="s">
        <v>158</v>
      </c>
      <c r="K256" s="146" t="s">
        <v>65</v>
      </c>
      <c r="L256" s="148">
        <v>1</v>
      </c>
      <c r="M256" s="149">
        <v>10.17</v>
      </c>
      <c r="N256" s="150">
        <f>SALIDAS[[#This Row],[COSTO]]*0.18</f>
        <v>1.8306</v>
      </c>
      <c r="O256" s="150"/>
      <c r="P256" s="153">
        <f>SALIDAS[[#This Row],[COSTO]]+SALIDAS[[#This Row],[IGV]]+SALIDAS[[#This Row],[INAFECTO]]</f>
        <v>12.0006</v>
      </c>
      <c r="Q256" s="151" t="s">
        <v>351</v>
      </c>
    </row>
    <row r="257" spans="1:17" x14ac:dyDescent="0.25">
      <c r="A257" s="56">
        <v>251</v>
      </c>
      <c r="B257" s="64">
        <v>43570</v>
      </c>
      <c r="C257" s="30" t="str">
        <f>TEXT(SALIDAS[[#This Row],[FECHA]],"mmmm")</f>
        <v>Abril</v>
      </c>
      <c r="D257" s="27" t="s">
        <v>135</v>
      </c>
      <c r="E257" s="55" t="s">
        <v>745</v>
      </c>
      <c r="F257" s="65">
        <v>10</v>
      </c>
      <c r="G257" s="146" t="s">
        <v>651</v>
      </c>
      <c r="H257" s="146" t="s">
        <v>107</v>
      </c>
      <c r="I257" s="147" t="str">
        <f ca="1">OFFSET(OT[[#Headers],[T. CUENTA]],MATCH($H257,OT[T. CUENTA],0),1)</f>
        <v>GASTOS PRESTADOS POR TERCEROS</v>
      </c>
      <c r="J257" s="147" t="s">
        <v>158</v>
      </c>
      <c r="K257" s="146" t="s">
        <v>65</v>
      </c>
      <c r="L257" s="148">
        <v>1</v>
      </c>
      <c r="M257" s="149">
        <v>10.17</v>
      </c>
      <c r="N257" s="150">
        <f>SALIDAS[[#This Row],[COSTO]]*0.18</f>
        <v>1.8306</v>
      </c>
      <c r="O257" s="150"/>
      <c r="P257" s="153">
        <f>SALIDAS[[#This Row],[COSTO]]+SALIDAS[[#This Row],[IGV]]+SALIDAS[[#This Row],[INAFECTO]]</f>
        <v>12.0006</v>
      </c>
      <c r="Q257" s="151" t="s">
        <v>351</v>
      </c>
    </row>
    <row r="258" spans="1:17" x14ac:dyDescent="0.25">
      <c r="A258" s="56">
        <v>252</v>
      </c>
      <c r="B258" s="64">
        <v>43565</v>
      </c>
      <c r="C258" s="30" t="str">
        <f>TEXT(SALIDAS[[#This Row],[FECHA]],"mmmm")</f>
        <v>Abril</v>
      </c>
      <c r="D258" s="27" t="s">
        <v>135</v>
      </c>
      <c r="E258" s="55" t="s">
        <v>746</v>
      </c>
      <c r="F258" s="65">
        <v>10</v>
      </c>
      <c r="G258" s="146" t="s">
        <v>651</v>
      </c>
      <c r="H258" s="146" t="s">
        <v>107</v>
      </c>
      <c r="I258" s="147" t="str">
        <f ca="1">OFFSET(OT[[#Headers],[T. CUENTA]],MATCH($H258,OT[T. CUENTA],0),1)</f>
        <v>GASTOS PRESTADOS POR TERCEROS</v>
      </c>
      <c r="J258" s="147" t="s">
        <v>158</v>
      </c>
      <c r="K258" s="146" t="s">
        <v>65</v>
      </c>
      <c r="L258" s="148">
        <v>1</v>
      </c>
      <c r="M258" s="149">
        <v>10.17</v>
      </c>
      <c r="N258" s="150">
        <f>SALIDAS[[#This Row],[COSTO]]*0.18</f>
        <v>1.8306</v>
      </c>
      <c r="O258" s="150"/>
      <c r="P258" s="153">
        <f>SALIDAS[[#This Row],[COSTO]]+SALIDAS[[#This Row],[IGV]]+SALIDAS[[#This Row],[INAFECTO]]</f>
        <v>12.0006</v>
      </c>
      <c r="Q258" s="151" t="s">
        <v>351</v>
      </c>
    </row>
    <row r="259" spans="1:17" x14ac:dyDescent="0.25">
      <c r="A259" s="56">
        <v>253</v>
      </c>
      <c r="B259" s="64">
        <v>43570</v>
      </c>
      <c r="C259" s="30" t="str">
        <f>TEXT(SALIDAS[[#This Row],[FECHA]],"mmmm")</f>
        <v>Abril</v>
      </c>
      <c r="D259" s="27" t="s">
        <v>135</v>
      </c>
      <c r="E259" s="55" t="s">
        <v>747</v>
      </c>
      <c r="F259" s="65">
        <v>10</v>
      </c>
      <c r="G259" s="146" t="s">
        <v>651</v>
      </c>
      <c r="H259" s="146" t="s">
        <v>107</v>
      </c>
      <c r="I259" s="147" t="str">
        <f ca="1">OFFSET(OT[[#Headers],[T. CUENTA]],MATCH($H259,OT[T. CUENTA],0),1)</f>
        <v>GASTOS PRESTADOS POR TERCEROS</v>
      </c>
      <c r="J259" s="147" t="s">
        <v>158</v>
      </c>
      <c r="K259" s="146" t="s">
        <v>65</v>
      </c>
      <c r="L259" s="148">
        <v>1</v>
      </c>
      <c r="M259" s="149">
        <v>16.95</v>
      </c>
      <c r="N259" s="150">
        <f>SALIDAS[[#This Row],[COSTO]]*0.18</f>
        <v>3.0509999999999997</v>
      </c>
      <c r="O259" s="150"/>
      <c r="P259" s="153">
        <f>SALIDAS[[#This Row],[COSTO]]+SALIDAS[[#This Row],[IGV]]+SALIDAS[[#This Row],[INAFECTO]]</f>
        <v>20.000999999999998</v>
      </c>
      <c r="Q259" s="151" t="s">
        <v>367</v>
      </c>
    </row>
    <row r="260" spans="1:17" x14ac:dyDescent="0.25">
      <c r="A260" s="56">
        <v>254</v>
      </c>
      <c r="B260" s="64">
        <v>43549</v>
      </c>
      <c r="C260" s="30" t="str">
        <f>TEXT(SALIDAS[[#This Row],[FECHA]],"mmmm")</f>
        <v>Marzo</v>
      </c>
      <c r="D260" s="27" t="s">
        <v>135</v>
      </c>
      <c r="E260" s="55" t="s">
        <v>748</v>
      </c>
      <c r="F260" s="65">
        <v>10</v>
      </c>
      <c r="G260" s="146" t="s">
        <v>651</v>
      </c>
      <c r="H260" s="146" t="s">
        <v>107</v>
      </c>
      <c r="I260" s="147" t="str">
        <f ca="1">OFFSET(OT[[#Headers],[T. CUENTA]],MATCH($H260,OT[T. CUENTA],0),1)</f>
        <v>GASTOS PRESTADOS POR TERCEROS</v>
      </c>
      <c r="J260" s="147" t="s">
        <v>158</v>
      </c>
      <c r="K260" s="146" t="s">
        <v>65</v>
      </c>
      <c r="L260" s="148">
        <v>1</v>
      </c>
      <c r="M260" s="149">
        <v>20</v>
      </c>
      <c r="N260" s="150">
        <v>0</v>
      </c>
      <c r="O260" s="150"/>
      <c r="P260" s="153">
        <f>SALIDAS[[#This Row],[COSTO]]+SALIDAS[[#This Row],[IGV]]+SALIDAS[[#This Row],[INAFECTO]]</f>
        <v>20</v>
      </c>
      <c r="Q260" s="151" t="s">
        <v>219</v>
      </c>
    </row>
    <row r="261" spans="1:17" x14ac:dyDescent="0.25">
      <c r="A261" s="56">
        <v>255</v>
      </c>
      <c r="B261" s="64">
        <v>43571</v>
      </c>
      <c r="C261" s="30" t="str">
        <f>TEXT(SALIDAS[[#This Row],[FECHA]],"mmmm")</f>
        <v>Abril</v>
      </c>
      <c r="D261" s="27" t="s">
        <v>12</v>
      </c>
      <c r="E261" s="55" t="s">
        <v>749</v>
      </c>
      <c r="F261" s="65">
        <v>10</v>
      </c>
      <c r="G261" s="146" t="s">
        <v>750</v>
      </c>
      <c r="H261" s="146" t="s">
        <v>132</v>
      </c>
      <c r="I261" s="147" t="str">
        <f ca="1">OFFSET(OT[[#Headers],[T. CUENTA]],MATCH($H261,OT[T. CUENTA],0),1)</f>
        <v>GASTOS ADMINISTRATIVOS</v>
      </c>
      <c r="J261" s="147" t="s">
        <v>158</v>
      </c>
      <c r="K261" s="146" t="s">
        <v>65</v>
      </c>
      <c r="L261" s="148">
        <v>1</v>
      </c>
      <c r="M261" s="149">
        <v>35</v>
      </c>
      <c r="N261" s="150">
        <v>0</v>
      </c>
      <c r="O261" s="150"/>
      <c r="P261" s="153">
        <f>SALIDAS[[#This Row],[COSTO]]+SALIDAS[[#This Row],[IGV]]+SALIDAS[[#This Row],[INAFECTO]]</f>
        <v>35</v>
      </c>
      <c r="Q261" s="151" t="s">
        <v>751</v>
      </c>
    </row>
    <row r="262" spans="1:17" x14ac:dyDescent="0.25">
      <c r="A262" s="56">
        <v>256</v>
      </c>
      <c r="B262" s="64">
        <v>43571</v>
      </c>
      <c r="C262" s="30" t="str">
        <f>TEXT(SALIDAS[[#This Row],[FECHA]],"mmmm")</f>
        <v>Abril</v>
      </c>
      <c r="D262" s="27" t="s">
        <v>135</v>
      </c>
      <c r="E262" s="55" t="s">
        <v>752</v>
      </c>
      <c r="F262" s="65">
        <v>10</v>
      </c>
      <c r="G262" s="146" t="s">
        <v>230</v>
      </c>
      <c r="H262" s="146" t="s">
        <v>132</v>
      </c>
      <c r="I262" s="147" t="str">
        <f ca="1">OFFSET(OT[[#Headers],[T. CUENTA]],MATCH($H262,OT[T. CUENTA],0),1)</f>
        <v>GASTOS ADMINISTRATIVOS</v>
      </c>
      <c r="J262" s="147" t="s">
        <v>158</v>
      </c>
      <c r="K262" s="146" t="s">
        <v>65</v>
      </c>
      <c r="L262" s="148">
        <v>1</v>
      </c>
      <c r="M262" s="149">
        <v>124.58</v>
      </c>
      <c r="N262" s="150">
        <f>SALIDAS[[#This Row],[COSTO]]*0.18</f>
        <v>22.424399999999999</v>
      </c>
      <c r="O262" s="150"/>
      <c r="P262" s="153">
        <f>SALIDAS[[#This Row],[COSTO]]+SALIDAS[[#This Row],[IGV]]+SALIDAS[[#This Row],[INAFECTO]]</f>
        <v>147.0044</v>
      </c>
      <c r="Q262" s="151" t="s">
        <v>348</v>
      </c>
    </row>
    <row r="263" spans="1:17" x14ac:dyDescent="0.25">
      <c r="A263" s="56">
        <v>257</v>
      </c>
      <c r="B263" s="64">
        <v>43572</v>
      </c>
      <c r="C263" s="30" t="str">
        <f>TEXT(SALIDAS[[#This Row],[FECHA]],"mmmm")</f>
        <v>Abril</v>
      </c>
      <c r="D263" s="27" t="s">
        <v>135</v>
      </c>
      <c r="E263" s="55" t="s">
        <v>753</v>
      </c>
      <c r="F263" s="65">
        <v>10</v>
      </c>
      <c r="G263" s="146" t="s">
        <v>230</v>
      </c>
      <c r="H263" s="146" t="s">
        <v>132</v>
      </c>
      <c r="I263" s="147" t="str">
        <f ca="1">OFFSET(OT[[#Headers],[T. CUENTA]],MATCH($H263,OT[T. CUENTA],0),1)</f>
        <v>GASTOS ADMINISTRATIVOS</v>
      </c>
      <c r="J263" s="147" t="s">
        <v>158</v>
      </c>
      <c r="K263" s="146" t="s">
        <v>65</v>
      </c>
      <c r="L263" s="148">
        <v>1</v>
      </c>
      <c r="M263" s="149">
        <v>335.9</v>
      </c>
      <c r="N263" s="150">
        <v>0</v>
      </c>
      <c r="O263" s="150"/>
      <c r="P263" s="153">
        <f>SALIDAS[[#This Row],[COSTO]]+SALIDAS[[#This Row],[IGV]]+SALIDAS[[#This Row],[INAFECTO]]</f>
        <v>335.9</v>
      </c>
      <c r="Q263" s="151" t="s">
        <v>218</v>
      </c>
    </row>
    <row r="264" spans="1:17" x14ac:dyDescent="0.25">
      <c r="A264" s="56">
        <v>258</v>
      </c>
      <c r="B264" s="64">
        <v>43572</v>
      </c>
      <c r="C264" s="30" t="str">
        <f>TEXT(SALIDAS[[#This Row],[FECHA]],"mmmm")</f>
        <v>Abril</v>
      </c>
      <c r="D264" s="27" t="s">
        <v>135</v>
      </c>
      <c r="E264" s="55" t="s">
        <v>754</v>
      </c>
      <c r="F264" s="65">
        <v>10</v>
      </c>
      <c r="G264" s="146" t="s">
        <v>230</v>
      </c>
      <c r="H264" s="146" t="s">
        <v>132</v>
      </c>
      <c r="I264" s="147" t="str">
        <f ca="1">OFFSET(OT[[#Headers],[T. CUENTA]],MATCH($H264,OT[T. CUENTA],0),1)</f>
        <v>GASTOS ADMINISTRATIVOS</v>
      </c>
      <c r="J264" s="147" t="s">
        <v>158</v>
      </c>
      <c r="K264" s="146" t="s">
        <v>65</v>
      </c>
      <c r="L264" s="148">
        <v>1</v>
      </c>
      <c r="M264" s="149">
        <v>141.68</v>
      </c>
      <c r="N264" s="150">
        <v>0</v>
      </c>
      <c r="O264" s="150"/>
      <c r="P264" s="153">
        <f>SALIDAS[[#This Row],[COSTO]]+SALIDAS[[#This Row],[IGV]]+SALIDAS[[#This Row],[INAFECTO]]</f>
        <v>141.68</v>
      </c>
      <c r="Q264" s="151" t="s">
        <v>218</v>
      </c>
    </row>
    <row r="265" spans="1:17" x14ac:dyDescent="0.25">
      <c r="A265" s="56">
        <v>259</v>
      </c>
      <c r="B265" s="64">
        <v>43575</v>
      </c>
      <c r="C265" s="30" t="str">
        <f>TEXT(SALIDAS[[#This Row],[FECHA]],"mmmm")</f>
        <v>Abril</v>
      </c>
      <c r="D265" s="27" t="s">
        <v>10</v>
      </c>
      <c r="E265" s="55" t="s">
        <v>755</v>
      </c>
      <c r="F265" s="65">
        <v>10</v>
      </c>
      <c r="G265" s="146" t="s">
        <v>756</v>
      </c>
      <c r="H265" s="146" t="s">
        <v>93</v>
      </c>
      <c r="I265" s="147" t="str">
        <f ca="1">OFFSET(OT[[#Headers],[T. CUENTA]],MATCH($H265,OT[T. CUENTA],0),1)</f>
        <v>GASTOS DE PERSONAL</v>
      </c>
      <c r="J265" s="147" t="s">
        <v>158</v>
      </c>
      <c r="K265" s="146" t="s">
        <v>65</v>
      </c>
      <c r="L265" s="148">
        <v>1</v>
      </c>
      <c r="M265" s="149">
        <v>42.37</v>
      </c>
      <c r="N265" s="150">
        <f>SALIDAS[[#This Row],[COSTO]]*0.18</f>
        <v>7.6265999999999989</v>
      </c>
      <c r="O265" s="150"/>
      <c r="P265" s="153">
        <f>SALIDAS[[#This Row],[COSTO]]+SALIDAS[[#This Row],[IGV]]+SALIDAS[[#This Row],[INAFECTO]]</f>
        <v>49.996599999999994</v>
      </c>
      <c r="Q265" s="151" t="s">
        <v>757</v>
      </c>
    </row>
    <row r="266" spans="1:17" x14ac:dyDescent="0.25">
      <c r="A266" s="56">
        <v>260</v>
      </c>
      <c r="B266" s="64">
        <v>43576</v>
      </c>
      <c r="C266" s="30" t="str">
        <f>TEXT(SALIDAS[[#This Row],[FECHA]],"mmmm")</f>
        <v>Abril</v>
      </c>
      <c r="D266" s="27" t="s">
        <v>135</v>
      </c>
      <c r="E266" s="55" t="s">
        <v>758</v>
      </c>
      <c r="F266" s="65">
        <v>10</v>
      </c>
      <c r="G266" s="146" t="s">
        <v>213</v>
      </c>
      <c r="H266" s="146" t="s">
        <v>194</v>
      </c>
      <c r="I266" s="147" t="str">
        <f ca="1">OFFSET(OT[[#Headers],[T. CUENTA]],MATCH($H266,OT[T. CUENTA],0),1)</f>
        <v>GASTOS PRESTADOS POR TERCEROS</v>
      </c>
      <c r="J266" s="147" t="s">
        <v>158</v>
      </c>
      <c r="K266" s="146" t="s">
        <v>65</v>
      </c>
      <c r="L266" s="148">
        <v>1</v>
      </c>
      <c r="M266" s="149">
        <v>5.76</v>
      </c>
      <c r="N266" s="150">
        <f>SALIDAS[[#This Row],[COSTO]]*0.18</f>
        <v>1.0367999999999999</v>
      </c>
      <c r="O266" s="150"/>
      <c r="P266" s="153">
        <f>SALIDAS[[#This Row],[COSTO]]+SALIDAS[[#This Row],[IGV]]+SALIDAS[[#This Row],[INAFECTO]]</f>
        <v>6.7967999999999993</v>
      </c>
      <c r="Q266" s="151" t="s">
        <v>217</v>
      </c>
    </row>
    <row r="267" spans="1:17" x14ac:dyDescent="0.25">
      <c r="A267" s="56">
        <v>261</v>
      </c>
      <c r="B267" s="64">
        <v>43575</v>
      </c>
      <c r="C267" s="30" t="str">
        <f>TEXT(SALIDAS[[#This Row],[FECHA]],"mmmm")</f>
        <v>Abril</v>
      </c>
      <c r="D267" s="27" t="s">
        <v>135</v>
      </c>
      <c r="E267" s="55" t="s">
        <v>759</v>
      </c>
      <c r="F267" s="65">
        <v>10</v>
      </c>
      <c r="G267" s="146" t="s">
        <v>213</v>
      </c>
      <c r="H267" s="146" t="s">
        <v>194</v>
      </c>
      <c r="I267" s="147" t="str">
        <f ca="1">OFFSET(OT[[#Headers],[T. CUENTA]],MATCH($H267,OT[T. CUENTA],0),1)</f>
        <v>GASTOS PRESTADOS POR TERCEROS</v>
      </c>
      <c r="J267" s="147" t="s">
        <v>158</v>
      </c>
      <c r="K267" s="146" t="s">
        <v>65</v>
      </c>
      <c r="L267" s="148">
        <v>1</v>
      </c>
      <c r="M267" s="149">
        <v>5.76</v>
      </c>
      <c r="N267" s="150">
        <f>SALIDAS[[#This Row],[COSTO]]*0.18</f>
        <v>1.0367999999999999</v>
      </c>
      <c r="O267" s="150"/>
      <c r="P267" s="153">
        <f>SALIDAS[[#This Row],[COSTO]]+SALIDAS[[#This Row],[IGV]]+SALIDAS[[#This Row],[INAFECTO]]</f>
        <v>6.7967999999999993</v>
      </c>
      <c r="Q267" s="151" t="s">
        <v>217</v>
      </c>
    </row>
    <row r="268" spans="1:17" x14ac:dyDescent="0.25">
      <c r="A268" s="56">
        <v>262</v>
      </c>
      <c r="B268" s="64">
        <v>43576</v>
      </c>
      <c r="C268" s="30" t="str">
        <f>TEXT(SALIDAS[[#This Row],[FECHA]],"mmmm")</f>
        <v>Abril</v>
      </c>
      <c r="D268" s="27" t="s">
        <v>135</v>
      </c>
      <c r="E268" s="55" t="s">
        <v>760</v>
      </c>
      <c r="F268" s="65">
        <v>10</v>
      </c>
      <c r="G268" s="146" t="s">
        <v>213</v>
      </c>
      <c r="H268" s="146" t="s">
        <v>194</v>
      </c>
      <c r="I268" s="147" t="str">
        <f ca="1">OFFSET(OT[[#Headers],[T. CUENTA]],MATCH($H268,OT[T. CUENTA],0),1)</f>
        <v>GASTOS PRESTADOS POR TERCEROS</v>
      </c>
      <c r="J268" s="147" t="s">
        <v>158</v>
      </c>
      <c r="K268" s="146" t="s">
        <v>65</v>
      </c>
      <c r="L268" s="148">
        <v>1</v>
      </c>
      <c r="M268" s="149">
        <v>5.76</v>
      </c>
      <c r="N268" s="150">
        <f>SALIDAS[[#This Row],[COSTO]]*0.18</f>
        <v>1.0367999999999999</v>
      </c>
      <c r="O268" s="150"/>
      <c r="P268" s="153">
        <f>SALIDAS[[#This Row],[COSTO]]+SALIDAS[[#This Row],[IGV]]+SALIDAS[[#This Row],[INAFECTO]]</f>
        <v>6.7967999999999993</v>
      </c>
      <c r="Q268" s="151" t="s">
        <v>217</v>
      </c>
    </row>
    <row r="269" spans="1:17" x14ac:dyDescent="0.25">
      <c r="A269" s="56">
        <v>263</v>
      </c>
      <c r="B269" s="64">
        <v>43575</v>
      </c>
      <c r="C269" s="30" t="str">
        <f>TEXT(SALIDAS[[#This Row],[FECHA]],"mmmm")</f>
        <v>Abril</v>
      </c>
      <c r="D269" s="27" t="s">
        <v>135</v>
      </c>
      <c r="E269" s="55" t="s">
        <v>761</v>
      </c>
      <c r="F269" s="65">
        <v>10</v>
      </c>
      <c r="G269" s="146" t="s">
        <v>213</v>
      </c>
      <c r="H269" s="146" t="s">
        <v>194</v>
      </c>
      <c r="I269" s="147" t="str">
        <f ca="1">OFFSET(OT[[#Headers],[T. CUENTA]],MATCH($H269,OT[T. CUENTA],0),1)</f>
        <v>GASTOS PRESTADOS POR TERCEROS</v>
      </c>
      <c r="J269" s="147" t="s">
        <v>158</v>
      </c>
      <c r="K269" s="146" t="s">
        <v>65</v>
      </c>
      <c r="L269" s="148">
        <v>1</v>
      </c>
      <c r="M269" s="149">
        <v>5.76</v>
      </c>
      <c r="N269" s="150">
        <f>SALIDAS[[#This Row],[COSTO]]*0.18</f>
        <v>1.0367999999999999</v>
      </c>
      <c r="O269" s="150"/>
      <c r="P269" s="153">
        <f>SALIDAS[[#This Row],[COSTO]]+SALIDAS[[#This Row],[IGV]]+SALIDAS[[#This Row],[INAFECTO]]</f>
        <v>6.7967999999999993</v>
      </c>
      <c r="Q269" s="151" t="s">
        <v>217</v>
      </c>
    </row>
    <row r="270" spans="1:17" x14ac:dyDescent="0.25">
      <c r="A270" s="56">
        <v>264</v>
      </c>
      <c r="B270" s="64">
        <v>43575</v>
      </c>
      <c r="C270" s="30" t="str">
        <f>TEXT(SALIDAS[[#This Row],[FECHA]],"mmmm")</f>
        <v>Abril</v>
      </c>
      <c r="D270" s="27" t="s">
        <v>12</v>
      </c>
      <c r="E270" s="55" t="s">
        <v>762</v>
      </c>
      <c r="F270" s="65">
        <v>10</v>
      </c>
      <c r="G270" s="146" t="s">
        <v>765</v>
      </c>
      <c r="H270" s="146" t="s">
        <v>109</v>
      </c>
      <c r="I270" s="147" t="str">
        <f ca="1">OFFSET(OT[[#Headers],[T. CUENTA]],MATCH($H270,OT[T. CUENTA],0),1)</f>
        <v>GASTOS PRESTADOS POR TERCEROS</v>
      </c>
      <c r="J270" s="147" t="s">
        <v>158</v>
      </c>
      <c r="K270" s="146" t="s">
        <v>65</v>
      </c>
      <c r="L270" s="148">
        <v>1</v>
      </c>
      <c r="M270" s="149">
        <v>330</v>
      </c>
      <c r="N270" s="150">
        <v>0</v>
      </c>
      <c r="O270" s="150"/>
      <c r="P270" s="153">
        <f>SALIDAS[[#This Row],[COSTO]]+SALIDAS[[#This Row],[IGV]]+SALIDAS[[#This Row],[INAFECTO]]</f>
        <v>330</v>
      </c>
      <c r="Q270" s="151" t="s">
        <v>763</v>
      </c>
    </row>
    <row r="271" spans="1:17" x14ac:dyDescent="0.25">
      <c r="A271" s="56">
        <v>265</v>
      </c>
      <c r="B271" s="64">
        <v>43575</v>
      </c>
      <c r="C271" s="30" t="str">
        <f>TEXT(SALIDAS[[#This Row],[FECHA]],"mmmm")</f>
        <v>Abril</v>
      </c>
      <c r="D271" s="27" t="s">
        <v>135</v>
      </c>
      <c r="E271" s="55" t="s">
        <v>764</v>
      </c>
      <c r="F271" s="65">
        <v>10</v>
      </c>
      <c r="G271" s="146" t="s">
        <v>765</v>
      </c>
      <c r="H271" s="146" t="s">
        <v>109</v>
      </c>
      <c r="I271" s="147" t="str">
        <f ca="1">OFFSET(OT[[#Headers],[T. CUENTA]],MATCH($H271,OT[T. CUENTA],0),1)</f>
        <v>GASTOS PRESTADOS POR TERCEROS</v>
      </c>
      <c r="J271" s="147" t="s">
        <v>158</v>
      </c>
      <c r="K271" s="146" t="s">
        <v>65</v>
      </c>
      <c r="L271" s="148">
        <v>1</v>
      </c>
      <c r="M271" s="149">
        <v>237.29</v>
      </c>
      <c r="N271" s="150">
        <f>SALIDAS[[#This Row],[COSTO]]*0.18</f>
        <v>42.712199999999996</v>
      </c>
      <c r="O271" s="150"/>
      <c r="P271" s="153">
        <f>SALIDAS[[#This Row],[COSTO]]+SALIDAS[[#This Row],[IGV]]+SALIDAS[[#This Row],[INAFECTO]]</f>
        <v>280.00220000000002</v>
      </c>
      <c r="Q271" s="151" t="s">
        <v>766</v>
      </c>
    </row>
    <row r="272" spans="1:17" x14ac:dyDescent="0.25">
      <c r="A272" s="56">
        <v>266</v>
      </c>
      <c r="B272" s="64">
        <v>43576</v>
      </c>
      <c r="C272" s="30" t="str">
        <f>TEXT(SALIDAS[[#This Row],[FECHA]],"mmmm")</f>
        <v>Abril</v>
      </c>
      <c r="D272" s="27" t="s">
        <v>135</v>
      </c>
      <c r="E272" s="55" t="s">
        <v>767</v>
      </c>
      <c r="F272" s="65">
        <v>10</v>
      </c>
      <c r="G272" s="146" t="s">
        <v>710</v>
      </c>
      <c r="H272" s="146" t="s">
        <v>80</v>
      </c>
      <c r="I272" s="147" t="str">
        <f ca="1">OFFSET(OT[[#Headers],[T. CUENTA]],MATCH($H272,OT[T. CUENTA],0),1)</f>
        <v>COSTO DIRECTO</v>
      </c>
      <c r="J272" s="147" t="s">
        <v>158</v>
      </c>
      <c r="K272" s="146" t="s">
        <v>65</v>
      </c>
      <c r="L272" s="148">
        <v>1</v>
      </c>
      <c r="M272" s="149">
        <v>84.74</v>
      </c>
      <c r="N272" s="150">
        <f>SALIDAS[[#This Row],[COSTO]]*0.18</f>
        <v>15.253199999999998</v>
      </c>
      <c r="O272" s="150"/>
      <c r="P272" s="153">
        <f>SALIDAS[[#This Row],[COSTO]]+SALIDAS[[#This Row],[IGV]]+SALIDAS[[#This Row],[INAFECTO]]</f>
        <v>99.993199999999987</v>
      </c>
      <c r="Q272" s="151" t="s">
        <v>768</v>
      </c>
    </row>
    <row r="273" spans="1:17" x14ac:dyDescent="0.25">
      <c r="A273" s="56">
        <v>267</v>
      </c>
      <c r="B273" s="64">
        <v>43576</v>
      </c>
      <c r="C273" s="30" t="str">
        <f>TEXT(SALIDAS[[#This Row],[FECHA]],"mmmm")</f>
        <v>Abril</v>
      </c>
      <c r="D273" s="27" t="s">
        <v>135</v>
      </c>
      <c r="E273" s="55" t="s">
        <v>769</v>
      </c>
      <c r="F273" s="65">
        <v>10</v>
      </c>
      <c r="G273" s="146" t="s">
        <v>770</v>
      </c>
      <c r="H273" s="146" t="s">
        <v>132</v>
      </c>
      <c r="I273" s="147" t="str">
        <f ca="1">OFFSET(OT[[#Headers],[T. CUENTA]],MATCH($H273,OT[T. CUENTA],0),1)</f>
        <v>GASTOS ADMINISTRATIVOS</v>
      </c>
      <c r="J273" s="147" t="s">
        <v>158</v>
      </c>
      <c r="K273" s="146" t="s">
        <v>65</v>
      </c>
      <c r="L273" s="148">
        <v>1</v>
      </c>
      <c r="M273" s="149">
        <v>44.92</v>
      </c>
      <c r="N273" s="150">
        <f>SALIDAS[[#This Row],[COSTO]]*0.18</f>
        <v>8.0855999999999995</v>
      </c>
      <c r="O273" s="150"/>
      <c r="P273" s="153">
        <f>SALIDAS[[#This Row],[COSTO]]+SALIDAS[[#This Row],[IGV]]+SALIDAS[[#This Row],[INAFECTO]]</f>
        <v>53.005600000000001</v>
      </c>
      <c r="Q273" s="151" t="s">
        <v>771</v>
      </c>
    </row>
    <row r="274" spans="1:17" x14ac:dyDescent="0.25">
      <c r="A274" s="56">
        <v>268</v>
      </c>
      <c r="B274" s="64">
        <v>43576</v>
      </c>
      <c r="C274" s="30" t="str">
        <f>TEXT(SALIDAS[[#This Row],[FECHA]],"mmmm")</f>
        <v>Abril</v>
      </c>
      <c r="D274" s="27" t="s">
        <v>135</v>
      </c>
      <c r="E274" s="55" t="s">
        <v>772</v>
      </c>
      <c r="F274" s="65">
        <v>10</v>
      </c>
      <c r="G274" s="146" t="s">
        <v>773</v>
      </c>
      <c r="H274" s="146" t="s">
        <v>110</v>
      </c>
      <c r="I274" s="147" t="str">
        <f ca="1">OFFSET(OT[[#Headers],[T. CUENTA]],MATCH($H274,OT[T. CUENTA],0),1)</f>
        <v>GASTOS ADMINISTRATIVOS</v>
      </c>
      <c r="J274" s="147" t="s">
        <v>158</v>
      </c>
      <c r="K274" s="146" t="s">
        <v>65</v>
      </c>
      <c r="L274" s="148">
        <v>1</v>
      </c>
      <c r="M274" s="149">
        <v>59.06</v>
      </c>
      <c r="N274" s="150">
        <f>SALIDAS[[#This Row],[COSTO]]*0.18</f>
        <v>10.630800000000001</v>
      </c>
      <c r="O274" s="150"/>
      <c r="P274" s="153">
        <f>SALIDAS[[#This Row],[COSTO]]+SALIDAS[[#This Row],[IGV]]+SALIDAS[[#This Row],[INAFECTO]]</f>
        <v>69.690799999999996</v>
      </c>
      <c r="Q274" s="151" t="s">
        <v>774</v>
      </c>
    </row>
    <row r="275" spans="1:17" x14ac:dyDescent="0.25">
      <c r="A275" s="56">
        <v>269</v>
      </c>
      <c r="B275" s="64">
        <v>43576</v>
      </c>
      <c r="C275" s="30" t="str">
        <f>TEXT(SALIDAS[[#This Row],[FECHA]],"mmmm")</f>
        <v>Abril</v>
      </c>
      <c r="D275" s="27" t="s">
        <v>135</v>
      </c>
      <c r="E275" s="55" t="s">
        <v>775</v>
      </c>
      <c r="F275" s="65">
        <v>10</v>
      </c>
      <c r="G275" s="146" t="s">
        <v>492</v>
      </c>
      <c r="H275" s="146" t="s">
        <v>89</v>
      </c>
      <c r="I275" s="147" t="str">
        <f ca="1">OFFSET(OT[[#Headers],[T. CUENTA]],MATCH($H275,OT[T. CUENTA],0),1)</f>
        <v>COSTO DIRECTO</v>
      </c>
      <c r="J275" s="147" t="s">
        <v>158</v>
      </c>
      <c r="K275" s="146" t="s">
        <v>65</v>
      </c>
      <c r="L275" s="148">
        <v>1</v>
      </c>
      <c r="M275" s="149">
        <v>389.83</v>
      </c>
      <c r="N275" s="150">
        <f>SALIDAS[[#This Row],[COSTO]]*0.18</f>
        <v>70.169399999999996</v>
      </c>
      <c r="O275" s="150"/>
      <c r="P275" s="153">
        <f>SALIDAS[[#This Row],[COSTO]]+SALIDAS[[#This Row],[IGV]]+SALIDAS[[#This Row],[INAFECTO]]</f>
        <v>459.99939999999998</v>
      </c>
      <c r="Q275" s="151" t="s">
        <v>776</v>
      </c>
    </row>
    <row r="276" spans="1:17" x14ac:dyDescent="0.25">
      <c r="A276" s="56">
        <v>270</v>
      </c>
      <c r="B276" s="64">
        <v>43577</v>
      </c>
      <c r="C276" s="30" t="str">
        <f>TEXT(SALIDAS[[#This Row],[FECHA]],"mmmm")</f>
        <v>Abril</v>
      </c>
      <c r="D276" s="27" t="s">
        <v>12</v>
      </c>
      <c r="E276" s="55" t="s">
        <v>777</v>
      </c>
      <c r="F276" s="65">
        <v>10</v>
      </c>
      <c r="G276" s="146" t="s">
        <v>778</v>
      </c>
      <c r="H276" s="146" t="s">
        <v>118</v>
      </c>
      <c r="I276" s="147" t="str">
        <f ca="1">OFFSET(OT[[#Headers],[T. CUENTA]],MATCH($H276,OT[T. CUENTA],0),1)</f>
        <v>GASTOS PRESTADOS POR TERCEROS</v>
      </c>
      <c r="J276" s="147" t="s">
        <v>158</v>
      </c>
      <c r="K276" s="146" t="s">
        <v>65</v>
      </c>
      <c r="L276" s="148">
        <v>1</v>
      </c>
      <c r="M276" s="149">
        <v>200</v>
      </c>
      <c r="N276" s="150">
        <v>0</v>
      </c>
      <c r="O276" s="150"/>
      <c r="P276" s="153">
        <f>SALIDAS[[#This Row],[COSTO]]+SALIDAS[[#This Row],[IGV]]+SALIDAS[[#This Row],[INAFECTO]]</f>
        <v>200</v>
      </c>
      <c r="Q276" s="151" t="s">
        <v>779</v>
      </c>
    </row>
    <row r="277" spans="1:17" x14ac:dyDescent="0.25">
      <c r="A277" s="56">
        <v>271</v>
      </c>
      <c r="B277" s="64">
        <v>43579</v>
      </c>
      <c r="C277" s="30" t="str">
        <f>TEXT(SALIDAS[[#This Row],[FECHA]],"mmmm")</f>
        <v>Abril</v>
      </c>
      <c r="D277" s="27" t="s">
        <v>10</v>
      </c>
      <c r="E277" s="55" t="s">
        <v>780</v>
      </c>
      <c r="F277" s="65">
        <v>11</v>
      </c>
      <c r="G277" s="146" t="s">
        <v>781</v>
      </c>
      <c r="H277" s="146" t="s">
        <v>198</v>
      </c>
      <c r="I277" s="147" t="str">
        <f ca="1">OFFSET(OT[[#Headers],[T. CUENTA]],MATCH($H277,OT[T. CUENTA],0),1)</f>
        <v>GASTOS PRESTADOS POR TERCEROS</v>
      </c>
      <c r="J277" s="147" t="s">
        <v>158</v>
      </c>
      <c r="K277" s="146" t="s">
        <v>65</v>
      </c>
      <c r="L277" s="148">
        <v>1</v>
      </c>
      <c r="M277" s="149">
        <v>152.54</v>
      </c>
      <c r="N277" s="150">
        <f>SALIDAS[[#This Row],[COSTO]]*0.18</f>
        <v>27.457199999999997</v>
      </c>
      <c r="O277" s="150"/>
      <c r="P277" s="152">
        <f>SALIDAS[[#This Row],[COSTO]]+SALIDAS[[#This Row],[IGV]]+SALIDAS[[#This Row],[INAFECTO]]</f>
        <v>179.99719999999999</v>
      </c>
      <c r="Q277" s="151" t="s">
        <v>358</v>
      </c>
    </row>
    <row r="278" spans="1:17" x14ac:dyDescent="0.25">
      <c r="A278" s="56">
        <v>272</v>
      </c>
      <c r="B278" s="64">
        <v>43573</v>
      </c>
      <c r="C278" s="30" t="str">
        <f>TEXT(SALIDAS[[#This Row],[FECHA]],"mmmm")</f>
        <v>Abril</v>
      </c>
      <c r="D278" s="27" t="s">
        <v>135</v>
      </c>
      <c r="E278" s="55" t="s">
        <v>782</v>
      </c>
      <c r="F278" s="65">
        <v>11</v>
      </c>
      <c r="G278" s="146" t="s">
        <v>783</v>
      </c>
      <c r="H278" s="146" t="s">
        <v>132</v>
      </c>
      <c r="I278" s="147" t="str">
        <f ca="1">OFFSET(OT[[#Headers],[T. CUENTA]],MATCH($H278,OT[T. CUENTA],0),1)</f>
        <v>GASTOS ADMINISTRATIVOS</v>
      </c>
      <c r="J278" s="147" t="s">
        <v>158</v>
      </c>
      <c r="K278" s="146" t="s">
        <v>65</v>
      </c>
      <c r="L278" s="148">
        <v>1</v>
      </c>
      <c r="M278" s="149">
        <v>81.61</v>
      </c>
      <c r="N278" s="150">
        <f>SALIDAS[[#This Row],[COSTO]]*0.18</f>
        <v>14.6898</v>
      </c>
      <c r="O278" s="150"/>
      <c r="P278" s="152">
        <f>SALIDAS[[#This Row],[COSTO]]+SALIDAS[[#This Row],[IGV]]+SALIDAS[[#This Row],[INAFECTO]]</f>
        <v>96.299800000000005</v>
      </c>
      <c r="Q278" s="151" t="s">
        <v>348</v>
      </c>
    </row>
    <row r="279" spans="1:17" x14ac:dyDescent="0.25">
      <c r="A279" s="56">
        <v>273</v>
      </c>
      <c r="B279" s="64">
        <v>43577</v>
      </c>
      <c r="C279" s="30" t="str">
        <f>TEXT(SALIDAS[[#This Row],[FECHA]],"mmmm")</f>
        <v>Abril</v>
      </c>
      <c r="D279" s="27" t="s">
        <v>10</v>
      </c>
      <c r="E279" s="55" t="s">
        <v>784</v>
      </c>
      <c r="F279" s="65">
        <v>11</v>
      </c>
      <c r="G279" s="146" t="s">
        <v>785</v>
      </c>
      <c r="H279" s="146" t="s">
        <v>119</v>
      </c>
      <c r="I279" s="147" t="str">
        <f ca="1">OFFSET(OT[[#Headers],[T. CUENTA]],MATCH($H279,OT[T. CUENTA],0),1)</f>
        <v>GASTOS PRESTADOS POR TERCEROS</v>
      </c>
      <c r="J279" s="147" t="s">
        <v>158</v>
      </c>
      <c r="K279" s="146" t="s">
        <v>65</v>
      </c>
      <c r="L279" s="148">
        <v>1</v>
      </c>
      <c r="M279" s="149">
        <v>1016.95</v>
      </c>
      <c r="N279" s="150">
        <f>SALIDAS[[#This Row],[COSTO]]*0.18</f>
        <v>183.05099999999999</v>
      </c>
      <c r="O279" s="150"/>
      <c r="P279" s="152">
        <f>SALIDAS[[#This Row],[COSTO]]+SALIDAS[[#This Row],[IGV]]+SALIDAS[[#This Row],[INAFECTO]]</f>
        <v>1200.001</v>
      </c>
      <c r="Q279" s="151" t="s">
        <v>786</v>
      </c>
    </row>
    <row r="280" spans="1:17" x14ac:dyDescent="0.25">
      <c r="A280" s="56">
        <v>274</v>
      </c>
      <c r="B280" s="64">
        <v>43575</v>
      </c>
      <c r="C280" s="30" t="str">
        <f>TEXT(SALIDAS[[#This Row],[FECHA]],"mmmm")</f>
        <v>Abril</v>
      </c>
      <c r="D280" s="27" t="s">
        <v>12</v>
      </c>
      <c r="E280" s="55" t="s">
        <v>789</v>
      </c>
      <c r="F280" s="65">
        <v>11</v>
      </c>
      <c r="G280" s="146" t="s">
        <v>787</v>
      </c>
      <c r="H280" s="146" t="s">
        <v>85</v>
      </c>
      <c r="I280" s="147" t="str">
        <f ca="1">OFFSET(OT[[#Headers],[T. CUENTA]],MATCH($H280,OT[T. CUENTA],0),1)</f>
        <v>COSTO DIRECTO</v>
      </c>
      <c r="J280" s="147" t="s">
        <v>158</v>
      </c>
      <c r="K280" s="146" t="s">
        <v>65</v>
      </c>
      <c r="L280" s="148">
        <v>1</v>
      </c>
      <c r="M280" s="149">
        <v>255</v>
      </c>
      <c r="N280" s="150">
        <v>0</v>
      </c>
      <c r="O280" s="150"/>
      <c r="P280" s="152">
        <f>SALIDAS[[#This Row],[COSTO]]+SALIDAS[[#This Row],[IGV]]+SALIDAS[[#This Row],[INAFECTO]]</f>
        <v>255</v>
      </c>
      <c r="Q280" s="151" t="s">
        <v>788</v>
      </c>
    </row>
    <row r="281" spans="1:17" x14ac:dyDescent="0.25">
      <c r="A281" s="56">
        <v>275</v>
      </c>
      <c r="B281" s="64">
        <v>43581</v>
      </c>
      <c r="C281" s="30" t="str">
        <f>TEXT(SALIDAS[[#This Row],[FECHA]],"mmmm")</f>
        <v>Abril</v>
      </c>
      <c r="D281" s="27" t="s">
        <v>138</v>
      </c>
      <c r="E281" s="55" t="s">
        <v>790</v>
      </c>
      <c r="F281" s="65">
        <v>11</v>
      </c>
      <c r="G281" s="146" t="s">
        <v>791</v>
      </c>
      <c r="H281" s="146" t="s">
        <v>127</v>
      </c>
      <c r="I281" s="147" t="str">
        <f ca="1">OFFSET(OT[[#Headers],[T. CUENTA]],MATCH($H281,OT[T. CUENTA],0),1)</f>
        <v>GASTOS PRESTADOS POR TERCEROS</v>
      </c>
      <c r="J281" s="147" t="s">
        <v>158</v>
      </c>
      <c r="K281" s="146" t="s">
        <v>65</v>
      </c>
      <c r="L281" s="148">
        <v>1</v>
      </c>
      <c r="M281" s="149">
        <v>440</v>
      </c>
      <c r="N281" s="150">
        <v>0</v>
      </c>
      <c r="O281" s="150"/>
      <c r="P281" s="152">
        <f>SALIDAS[[#This Row],[COSTO]]+SALIDAS[[#This Row],[IGV]]+SALIDAS[[#This Row],[INAFECTO]]</f>
        <v>440</v>
      </c>
      <c r="Q281" s="151" t="s">
        <v>792</v>
      </c>
    </row>
    <row r="282" spans="1:17" x14ac:dyDescent="0.25">
      <c r="A282" s="160">
        <v>276</v>
      </c>
      <c r="B282" s="64">
        <v>43581</v>
      </c>
      <c r="C282" s="30" t="str">
        <f>TEXT(SALIDAS[[#This Row],[FECHA]],"mmmm")</f>
        <v>Abril</v>
      </c>
      <c r="D282" s="27" t="s">
        <v>138</v>
      </c>
      <c r="E282" s="55" t="s">
        <v>902</v>
      </c>
      <c r="F282" s="65">
        <v>11</v>
      </c>
      <c r="G282" s="21" t="s">
        <v>903</v>
      </c>
      <c r="H282" s="146" t="s">
        <v>127</v>
      </c>
      <c r="I282" s="26" t="str">
        <f ca="1">OFFSET(OT[[#Headers],[T. CUENTA]],MATCH($H282,OT[T. CUENTA],0),1)</f>
        <v>GASTOS PRESTADOS POR TERCEROS</v>
      </c>
      <c r="J282" s="147" t="s">
        <v>158</v>
      </c>
      <c r="K282" s="146" t="s">
        <v>65</v>
      </c>
      <c r="L282" s="148">
        <v>1</v>
      </c>
      <c r="M282" s="32">
        <v>502</v>
      </c>
      <c r="N282" s="66">
        <v>0</v>
      </c>
      <c r="O282" s="66"/>
      <c r="P282" s="165">
        <f>SALIDAS[[#This Row],[COSTO]]+SALIDAS[[#This Row],[IGV]]+SALIDAS[[#This Row],[INAFECTO]]</f>
        <v>502</v>
      </c>
      <c r="Q282" s="10" t="s">
        <v>628</v>
      </c>
    </row>
    <row r="283" spans="1:17" x14ac:dyDescent="0.25">
      <c r="A283" s="56">
        <v>277</v>
      </c>
      <c r="B283" s="64">
        <v>43561</v>
      </c>
      <c r="C283" s="30" t="str">
        <f>TEXT(SALIDAS[[#This Row],[FECHA]],"mmmm")</f>
        <v>Abril</v>
      </c>
      <c r="D283" s="27" t="s">
        <v>147</v>
      </c>
      <c r="E283" s="55" t="s">
        <v>793</v>
      </c>
      <c r="F283" s="65">
        <v>11</v>
      </c>
      <c r="G283" s="146" t="s">
        <v>794</v>
      </c>
      <c r="H283" s="146" t="s">
        <v>121</v>
      </c>
      <c r="I283" s="147" t="str">
        <f ca="1">OFFSET(OT[[#Headers],[T. CUENTA]],MATCH($H283,OT[T. CUENTA],0),1)</f>
        <v>GASTOS PRESTADOS POR TERCEROS</v>
      </c>
      <c r="J283" s="147" t="s">
        <v>158</v>
      </c>
      <c r="K283" s="146" t="s">
        <v>65</v>
      </c>
      <c r="L283" s="148">
        <v>1</v>
      </c>
      <c r="M283" s="149">
        <v>1474.51</v>
      </c>
      <c r="N283" s="150">
        <f>SALIDAS[[#This Row],[COSTO]]*0.18</f>
        <v>265.41179999999997</v>
      </c>
      <c r="O283" s="150"/>
      <c r="P283" s="152">
        <f>SALIDAS[[#This Row],[COSTO]]+SALIDAS[[#This Row],[IGV]]+SALIDAS[[#This Row],[INAFECTO]]</f>
        <v>1739.9218000000001</v>
      </c>
      <c r="Q283" s="151" t="s">
        <v>538</v>
      </c>
    </row>
    <row r="284" spans="1:17" x14ac:dyDescent="0.25">
      <c r="A284" s="56">
        <v>278</v>
      </c>
      <c r="B284" s="64">
        <v>43578</v>
      </c>
      <c r="C284" s="30" t="str">
        <f>TEXT(SALIDAS[[#This Row],[FECHA]],"mmmm")</f>
        <v>Abril</v>
      </c>
      <c r="D284" s="27" t="s">
        <v>135</v>
      </c>
      <c r="E284" s="55" t="s">
        <v>795</v>
      </c>
      <c r="F284" s="65">
        <v>11</v>
      </c>
      <c r="G284" s="146" t="s">
        <v>651</v>
      </c>
      <c r="H284" s="146" t="s">
        <v>107</v>
      </c>
      <c r="I284" s="147" t="str">
        <f ca="1">OFFSET(OT[[#Headers],[T. CUENTA]],MATCH($H284,OT[T. CUENTA],0),1)</f>
        <v>GASTOS PRESTADOS POR TERCEROS</v>
      </c>
      <c r="J284" s="147" t="s">
        <v>158</v>
      </c>
      <c r="K284" s="146" t="s">
        <v>65</v>
      </c>
      <c r="L284" s="148">
        <v>1</v>
      </c>
      <c r="M284" s="149">
        <v>10.17</v>
      </c>
      <c r="N284" s="150">
        <f>SALIDAS[[#This Row],[COSTO]]*0.18</f>
        <v>1.8306</v>
      </c>
      <c r="O284" s="150"/>
      <c r="P284" s="152">
        <f>SALIDAS[[#This Row],[COSTO]]+SALIDAS[[#This Row],[IGV]]+SALIDAS[[#This Row],[INAFECTO]]</f>
        <v>12.0006</v>
      </c>
      <c r="Q284" s="151" t="s">
        <v>351</v>
      </c>
    </row>
    <row r="285" spans="1:17" x14ac:dyDescent="0.25">
      <c r="A285" s="56">
        <v>279</v>
      </c>
      <c r="B285" s="64">
        <v>43580</v>
      </c>
      <c r="C285" s="30" t="str">
        <f>TEXT(SALIDAS[[#This Row],[FECHA]],"mmmm")</f>
        <v>Abril</v>
      </c>
      <c r="D285" s="27" t="s">
        <v>12</v>
      </c>
      <c r="E285" s="55" t="s">
        <v>796</v>
      </c>
      <c r="F285" s="65">
        <v>11</v>
      </c>
      <c r="G285" s="146" t="s">
        <v>765</v>
      </c>
      <c r="H285" s="146" t="s">
        <v>109</v>
      </c>
      <c r="I285" s="147" t="str">
        <f ca="1">OFFSET(OT[[#Headers],[T. CUENTA]],MATCH($H285,OT[T. CUENTA],0),1)</f>
        <v>GASTOS PRESTADOS POR TERCEROS</v>
      </c>
      <c r="J285" s="147" t="s">
        <v>158</v>
      </c>
      <c r="K285" s="146" t="s">
        <v>65</v>
      </c>
      <c r="L285" s="148">
        <v>1</v>
      </c>
      <c r="M285" s="149">
        <v>20</v>
      </c>
      <c r="N285" s="150">
        <v>0</v>
      </c>
      <c r="O285" s="150"/>
      <c r="P285" s="152">
        <f>SALIDAS[[#This Row],[COSTO]]+SALIDAS[[#This Row],[IGV]]+SALIDAS[[#This Row],[INAFECTO]]</f>
        <v>20</v>
      </c>
      <c r="Q285" s="151" t="s">
        <v>797</v>
      </c>
    </row>
    <row r="286" spans="1:17" x14ac:dyDescent="0.25">
      <c r="A286" s="56">
        <v>280</v>
      </c>
      <c r="B286" s="64">
        <v>43572</v>
      </c>
      <c r="C286" s="30" t="str">
        <f>TEXT(SALIDAS[[#This Row],[FECHA]],"mmmm")</f>
        <v>Abril</v>
      </c>
      <c r="D286" s="27" t="s">
        <v>141</v>
      </c>
      <c r="E286" s="55" t="s">
        <v>798</v>
      </c>
      <c r="F286" s="65">
        <v>12</v>
      </c>
      <c r="G286" s="146" t="s">
        <v>799</v>
      </c>
      <c r="H286" s="146" t="s">
        <v>106</v>
      </c>
      <c r="I286" s="147" t="str">
        <f ca="1">OFFSET(OT[[#Headers],[T. CUENTA]],MATCH($H286,OT[T. CUENTA],0),1)</f>
        <v>GASTOS DE PERSONAL</v>
      </c>
      <c r="J286" s="147" t="s">
        <v>158</v>
      </c>
      <c r="K286" s="146" t="s">
        <v>65</v>
      </c>
      <c r="L286" s="148">
        <v>1</v>
      </c>
      <c r="M286" s="149">
        <v>25</v>
      </c>
      <c r="N286" s="150">
        <v>0</v>
      </c>
      <c r="O286" s="150"/>
      <c r="P286" s="152">
        <f>SALIDAS[[#This Row],[COSTO]]+SALIDAS[[#This Row],[IGV]]+SALIDAS[[#This Row],[INAFECTO]]</f>
        <v>25</v>
      </c>
      <c r="Q286" s="151" t="s">
        <v>800</v>
      </c>
    </row>
    <row r="287" spans="1:17" x14ac:dyDescent="0.25">
      <c r="A287" s="56">
        <v>281</v>
      </c>
      <c r="B287" s="64">
        <v>43578</v>
      </c>
      <c r="C287" s="30" t="str">
        <f>TEXT(SALIDAS[[#This Row],[FECHA]],"mmmm")</f>
        <v>Abril</v>
      </c>
      <c r="D287" s="27" t="s">
        <v>135</v>
      </c>
      <c r="E287" s="55" t="s">
        <v>801</v>
      </c>
      <c r="F287" s="65">
        <v>12</v>
      </c>
      <c r="G287" s="146" t="s">
        <v>802</v>
      </c>
      <c r="H287" s="146" t="s">
        <v>121</v>
      </c>
      <c r="I287" s="147" t="str">
        <f ca="1">OFFSET(OT[[#Headers],[T. CUENTA]],MATCH($H287,OT[T. CUENTA],0),1)</f>
        <v>GASTOS PRESTADOS POR TERCEROS</v>
      </c>
      <c r="J287" s="147" t="s">
        <v>158</v>
      </c>
      <c r="K287" s="146" t="s">
        <v>65</v>
      </c>
      <c r="L287" s="148">
        <v>1</v>
      </c>
      <c r="M287" s="149">
        <v>677.97</v>
      </c>
      <c r="N287" s="150">
        <f>SALIDAS[[#This Row],[COSTO]]*0.18</f>
        <v>122.0346</v>
      </c>
      <c r="O287" s="150"/>
      <c r="P287" s="152">
        <f>SALIDAS[[#This Row],[COSTO]]+SALIDAS[[#This Row],[IGV]]+SALIDAS[[#This Row],[INAFECTO]]</f>
        <v>800.00459999999998</v>
      </c>
      <c r="Q287" s="151" t="s">
        <v>693</v>
      </c>
    </row>
    <row r="288" spans="1:17" x14ac:dyDescent="0.25">
      <c r="A288" s="56">
        <v>282</v>
      </c>
      <c r="B288" s="64">
        <v>43578</v>
      </c>
      <c r="C288" s="30" t="str">
        <f>TEXT(SALIDAS[[#This Row],[FECHA]],"mmmm")</f>
        <v>Abril</v>
      </c>
      <c r="D288" s="27" t="s">
        <v>135</v>
      </c>
      <c r="E288" s="55" t="s">
        <v>804</v>
      </c>
      <c r="F288" s="65">
        <v>12</v>
      </c>
      <c r="G288" s="146" t="s">
        <v>803</v>
      </c>
      <c r="H288" s="146" t="s">
        <v>121</v>
      </c>
      <c r="I288" s="147" t="str">
        <f ca="1">OFFSET(OT[[#Headers],[T. CUENTA]],MATCH($H288,OT[T. CUENTA],0),1)</f>
        <v>GASTOS PRESTADOS POR TERCEROS</v>
      </c>
      <c r="J288" s="147" t="s">
        <v>158</v>
      </c>
      <c r="K288" s="146" t="s">
        <v>65</v>
      </c>
      <c r="L288" s="148">
        <v>1</v>
      </c>
      <c r="M288" s="149">
        <v>169.49</v>
      </c>
      <c r="N288" s="150">
        <f>SALIDAS[[#This Row],[COSTO]]*0.18</f>
        <v>30.508200000000002</v>
      </c>
      <c r="O288" s="150"/>
      <c r="P288" s="152">
        <f>SALIDAS[[#This Row],[COSTO]]+SALIDAS[[#This Row],[IGV]]+SALIDAS[[#This Row],[INAFECTO]]</f>
        <v>199.9982</v>
      </c>
      <c r="Q288" s="151" t="s">
        <v>693</v>
      </c>
    </row>
    <row r="289" spans="1:17" x14ac:dyDescent="0.25">
      <c r="A289" s="56">
        <v>283</v>
      </c>
      <c r="B289" s="64">
        <v>43580</v>
      </c>
      <c r="C289" s="30" t="str">
        <f>TEXT(SALIDAS[[#This Row],[FECHA]],"mmmm")</f>
        <v>Abril</v>
      </c>
      <c r="D289" s="27" t="s">
        <v>12</v>
      </c>
      <c r="E289" s="55" t="s">
        <v>805</v>
      </c>
      <c r="F289" s="65">
        <v>12</v>
      </c>
      <c r="G289" s="146" t="s">
        <v>787</v>
      </c>
      <c r="H289" s="146" t="s">
        <v>85</v>
      </c>
      <c r="I289" s="147" t="str">
        <f ca="1">OFFSET(OT[[#Headers],[T. CUENTA]],MATCH($H289,OT[T. CUENTA],0),1)</f>
        <v>COSTO DIRECTO</v>
      </c>
      <c r="J289" s="147" t="s">
        <v>158</v>
      </c>
      <c r="K289" s="146" t="s">
        <v>65</v>
      </c>
      <c r="L289" s="148">
        <v>1</v>
      </c>
      <c r="M289" s="149">
        <v>255</v>
      </c>
      <c r="N289" s="150">
        <v>0</v>
      </c>
      <c r="O289" s="150"/>
      <c r="P289" s="152">
        <f>SALIDAS[[#This Row],[COSTO]]+SALIDAS[[#This Row],[IGV]]+SALIDAS[[#This Row],[INAFECTO]]</f>
        <v>255</v>
      </c>
      <c r="Q289" s="151" t="s">
        <v>788</v>
      </c>
    </row>
    <row r="290" spans="1:17" x14ac:dyDescent="0.25">
      <c r="A290" s="56">
        <v>284</v>
      </c>
      <c r="B290" s="64">
        <v>43581</v>
      </c>
      <c r="C290" s="30" t="str">
        <f>TEXT(SALIDAS[[#This Row],[FECHA]],"mmmm")</f>
        <v>Abril</v>
      </c>
      <c r="D290" s="27" t="s">
        <v>147</v>
      </c>
      <c r="E290" s="55" t="s">
        <v>806</v>
      </c>
      <c r="F290" s="65">
        <v>12</v>
      </c>
      <c r="G290" s="146" t="s">
        <v>669</v>
      </c>
      <c r="H290" s="146" t="s">
        <v>123</v>
      </c>
      <c r="I290" s="147" t="str">
        <f ca="1">OFFSET(OT[[#Headers],[T. CUENTA]],MATCH($H290,OT[T. CUENTA],0),1)</f>
        <v>GASTOS PRESTADOS POR TERCEROS</v>
      </c>
      <c r="J290" s="147" t="s">
        <v>158</v>
      </c>
      <c r="K290" s="146" t="s">
        <v>65</v>
      </c>
      <c r="L290" s="148">
        <v>1</v>
      </c>
      <c r="M290" s="149">
        <v>199.2</v>
      </c>
      <c r="N290" s="150">
        <v>0</v>
      </c>
      <c r="O290" s="150"/>
      <c r="P290" s="152">
        <f>SALIDAS[[#This Row],[COSTO]]+SALIDAS[[#This Row],[IGV]]+SALIDAS[[#This Row],[INAFECTO]]</f>
        <v>199.2</v>
      </c>
      <c r="Q290" s="151" t="s">
        <v>807</v>
      </c>
    </row>
    <row r="291" spans="1:17" x14ac:dyDescent="0.25">
      <c r="A291" s="56">
        <v>285</v>
      </c>
      <c r="B291" s="64">
        <v>43583</v>
      </c>
      <c r="C291" s="30" t="str">
        <f>TEXT(SALIDAS[[#This Row],[FECHA]],"mmmm")</f>
        <v>Abril</v>
      </c>
      <c r="D291" s="27" t="s">
        <v>10</v>
      </c>
      <c r="E291" s="55" t="s">
        <v>808</v>
      </c>
      <c r="F291" s="65">
        <v>12</v>
      </c>
      <c r="G291" s="146" t="s">
        <v>460</v>
      </c>
      <c r="H291" s="146" t="s">
        <v>93</v>
      </c>
      <c r="I291" s="147" t="str">
        <f ca="1">OFFSET(OT[[#Headers],[T. CUENTA]],MATCH($H291,OT[T. CUENTA],0),1)</f>
        <v>GASTOS DE PERSONAL</v>
      </c>
      <c r="J291" s="147" t="s">
        <v>158</v>
      </c>
      <c r="K291" s="146" t="s">
        <v>65</v>
      </c>
      <c r="L291" s="148">
        <v>1</v>
      </c>
      <c r="M291" s="149">
        <v>33.9</v>
      </c>
      <c r="N291" s="150">
        <f>SALIDAS[[#This Row],[COSTO]]*0.18</f>
        <v>6.1019999999999994</v>
      </c>
      <c r="O291" s="150"/>
      <c r="P291" s="152">
        <f>SALIDAS[[#This Row],[COSTO]]+SALIDAS[[#This Row],[IGV]]+SALIDAS[[#This Row],[INAFECTO]]</f>
        <v>40.001999999999995</v>
      </c>
      <c r="Q291" s="151" t="s">
        <v>757</v>
      </c>
    </row>
    <row r="292" spans="1:17" x14ac:dyDescent="0.25">
      <c r="A292" s="56">
        <v>286</v>
      </c>
      <c r="B292" s="64">
        <v>43583</v>
      </c>
      <c r="C292" s="30" t="str">
        <f>TEXT(SALIDAS[[#This Row],[FECHA]],"mmmm")</f>
        <v>Abril</v>
      </c>
      <c r="D292" s="27" t="s">
        <v>135</v>
      </c>
      <c r="E292" s="55" t="s">
        <v>809</v>
      </c>
      <c r="F292" s="65">
        <v>12</v>
      </c>
      <c r="G292" s="146" t="s">
        <v>638</v>
      </c>
      <c r="H292" s="146" t="s">
        <v>194</v>
      </c>
      <c r="I292" s="147" t="str">
        <f ca="1">OFFSET(OT[[#Headers],[T. CUENTA]],MATCH($H292,OT[T. CUENTA],0),1)</f>
        <v>GASTOS PRESTADOS POR TERCEROS</v>
      </c>
      <c r="J292" s="147" t="s">
        <v>158</v>
      </c>
      <c r="K292" s="146" t="s">
        <v>65</v>
      </c>
      <c r="L292" s="148">
        <v>1</v>
      </c>
      <c r="M292" s="149">
        <v>5.76</v>
      </c>
      <c r="N292" s="150">
        <f>SALIDAS[[#This Row],[COSTO]]*0.18</f>
        <v>1.0367999999999999</v>
      </c>
      <c r="O292" s="150"/>
      <c r="P292" s="152">
        <f>SALIDAS[[#This Row],[COSTO]]+SALIDAS[[#This Row],[IGV]]+SALIDAS[[#This Row],[INAFECTO]]</f>
        <v>6.7967999999999993</v>
      </c>
      <c r="Q292" s="151" t="s">
        <v>217</v>
      </c>
    </row>
    <row r="293" spans="1:17" x14ac:dyDescent="0.25">
      <c r="A293" s="56">
        <v>287</v>
      </c>
      <c r="B293" s="64">
        <v>43583</v>
      </c>
      <c r="C293" s="30" t="str">
        <f>TEXT(SALIDAS[[#This Row],[FECHA]],"mmmm")</f>
        <v>Abril</v>
      </c>
      <c r="D293" s="27" t="s">
        <v>135</v>
      </c>
      <c r="E293" s="55" t="s">
        <v>810</v>
      </c>
      <c r="F293" s="65">
        <v>12</v>
      </c>
      <c r="G293" s="146" t="s">
        <v>638</v>
      </c>
      <c r="H293" s="146" t="s">
        <v>194</v>
      </c>
      <c r="I293" s="147" t="str">
        <f ca="1">OFFSET(OT[[#Headers],[T. CUENTA]],MATCH($H293,OT[T. CUENTA],0),1)</f>
        <v>GASTOS PRESTADOS POR TERCEROS</v>
      </c>
      <c r="J293" s="147" t="s">
        <v>158</v>
      </c>
      <c r="K293" s="146" t="s">
        <v>65</v>
      </c>
      <c r="L293" s="148">
        <v>1</v>
      </c>
      <c r="M293" s="149">
        <v>5.76</v>
      </c>
      <c r="N293" s="150">
        <f>SALIDAS[[#This Row],[COSTO]]*0.18</f>
        <v>1.0367999999999999</v>
      </c>
      <c r="O293" s="150"/>
      <c r="P293" s="152">
        <f>SALIDAS[[#This Row],[COSTO]]+SALIDAS[[#This Row],[IGV]]+SALIDAS[[#This Row],[INAFECTO]]</f>
        <v>6.7967999999999993</v>
      </c>
      <c r="Q293" s="151" t="s">
        <v>217</v>
      </c>
    </row>
    <row r="294" spans="1:17" x14ac:dyDescent="0.25">
      <c r="A294" s="56">
        <v>288</v>
      </c>
      <c r="B294" s="64">
        <v>43583</v>
      </c>
      <c r="C294" s="30" t="str">
        <f>TEXT(SALIDAS[[#This Row],[FECHA]],"mmmm")</f>
        <v>Abril</v>
      </c>
      <c r="D294" s="27" t="s">
        <v>135</v>
      </c>
      <c r="E294" s="55" t="s">
        <v>811</v>
      </c>
      <c r="F294" s="65">
        <v>12</v>
      </c>
      <c r="G294" s="146" t="s">
        <v>612</v>
      </c>
      <c r="H294" s="146" t="s">
        <v>94</v>
      </c>
      <c r="I294" s="147" t="str">
        <f ca="1">OFFSET(OT[[#Headers],[T. CUENTA]],MATCH($H294,OT[T. CUENTA],0),1)</f>
        <v>GASTOS DE PERSONAL</v>
      </c>
      <c r="J294" s="147" t="s">
        <v>158</v>
      </c>
      <c r="K294" s="146" t="s">
        <v>65</v>
      </c>
      <c r="L294" s="148">
        <v>1</v>
      </c>
      <c r="M294" s="149">
        <v>55.7</v>
      </c>
      <c r="N294" s="150">
        <v>0</v>
      </c>
      <c r="O294" s="150"/>
      <c r="P294" s="152">
        <f>SALIDAS[[#This Row],[COSTO]]+SALIDAS[[#This Row],[IGV]]+SALIDAS[[#This Row],[INAFECTO]]</f>
        <v>55.7</v>
      </c>
      <c r="Q294" s="151" t="s">
        <v>641</v>
      </c>
    </row>
    <row r="295" spans="1:17" x14ac:dyDescent="0.25">
      <c r="A295" s="56">
        <v>289</v>
      </c>
      <c r="B295" s="64">
        <v>43584</v>
      </c>
      <c r="C295" s="30" t="str">
        <f>TEXT(SALIDAS[[#This Row],[FECHA]],"mmmm")</f>
        <v>Abril</v>
      </c>
      <c r="D295" s="27" t="s">
        <v>10</v>
      </c>
      <c r="E295" s="55" t="s">
        <v>812</v>
      </c>
      <c r="F295" s="65">
        <v>12</v>
      </c>
      <c r="G295" s="146" t="s">
        <v>460</v>
      </c>
      <c r="H295" s="146" t="s">
        <v>93</v>
      </c>
      <c r="I295" s="147" t="str">
        <f ca="1">OFFSET(OT[[#Headers],[T. CUENTA]],MATCH($H295,OT[T. CUENTA],0),1)</f>
        <v>GASTOS DE PERSONAL</v>
      </c>
      <c r="J295" s="147" t="s">
        <v>158</v>
      </c>
      <c r="K295" s="146" t="s">
        <v>65</v>
      </c>
      <c r="L295" s="148">
        <v>1</v>
      </c>
      <c r="M295" s="149">
        <v>33.9</v>
      </c>
      <c r="N295" s="150">
        <f>SALIDAS[[#This Row],[COSTO]]*0.18</f>
        <v>6.1019999999999994</v>
      </c>
      <c r="O295" s="150"/>
      <c r="P295" s="152">
        <f>SALIDAS[[#This Row],[COSTO]]+SALIDAS[[#This Row],[IGV]]+SALIDAS[[#This Row],[INAFECTO]]</f>
        <v>40.001999999999995</v>
      </c>
      <c r="Q295" s="151" t="s">
        <v>757</v>
      </c>
    </row>
    <row r="296" spans="1:17" x14ac:dyDescent="0.25">
      <c r="A296" s="56">
        <v>290</v>
      </c>
      <c r="B296" s="64">
        <v>43584</v>
      </c>
      <c r="C296" s="30" t="str">
        <f>TEXT(SALIDAS[[#This Row],[FECHA]],"mmmm")</f>
        <v>Abril</v>
      </c>
      <c r="D296" s="27" t="s">
        <v>10</v>
      </c>
      <c r="E296" s="55" t="s">
        <v>813</v>
      </c>
      <c r="F296" s="65">
        <v>12</v>
      </c>
      <c r="G296" s="146" t="s">
        <v>814</v>
      </c>
      <c r="H296" s="146" t="s">
        <v>126</v>
      </c>
      <c r="I296" s="147" t="str">
        <f ca="1">OFFSET(OT[[#Headers],[T. CUENTA]],MATCH($H296,OT[T. CUENTA],0),1)</f>
        <v>GASTOS DE PERSONAL</v>
      </c>
      <c r="J296" s="147" t="s">
        <v>158</v>
      </c>
      <c r="K296" s="146" t="s">
        <v>65</v>
      </c>
      <c r="L296" s="148">
        <v>1</v>
      </c>
      <c r="M296" s="149">
        <v>45</v>
      </c>
      <c r="N296" s="150">
        <v>0</v>
      </c>
      <c r="O296" s="150"/>
      <c r="P296" s="152">
        <f>SALIDAS[[#This Row],[COSTO]]+SALIDAS[[#This Row],[IGV]]+SALIDAS[[#This Row],[INAFECTO]]</f>
        <v>45</v>
      </c>
      <c r="Q296" s="151" t="s">
        <v>815</v>
      </c>
    </row>
    <row r="297" spans="1:17" x14ac:dyDescent="0.25">
      <c r="A297" s="56">
        <v>291</v>
      </c>
      <c r="B297" s="64">
        <v>43584</v>
      </c>
      <c r="C297" s="30" t="str">
        <f>TEXT(SALIDAS[[#This Row],[FECHA]],"mmmm")</f>
        <v>Abril</v>
      </c>
      <c r="D297" s="27" t="s">
        <v>10</v>
      </c>
      <c r="E297" s="55" t="s">
        <v>816</v>
      </c>
      <c r="F297" s="65">
        <v>12</v>
      </c>
      <c r="G297" s="146" t="s">
        <v>817</v>
      </c>
      <c r="H297" s="146" t="s">
        <v>94</v>
      </c>
      <c r="I297" s="147" t="str">
        <f ca="1">OFFSET(OT[[#Headers],[T. CUENTA]],MATCH($H297,OT[T. CUENTA],0),1)</f>
        <v>GASTOS DE PERSONAL</v>
      </c>
      <c r="J297" s="147" t="s">
        <v>158</v>
      </c>
      <c r="K297" s="146" t="s">
        <v>65</v>
      </c>
      <c r="L297" s="148">
        <v>1</v>
      </c>
      <c r="M297" s="149">
        <v>16.95</v>
      </c>
      <c r="N297" s="150">
        <f>SALIDAS[[#This Row],[COSTO]]*0.18</f>
        <v>3.0509999999999997</v>
      </c>
      <c r="O297" s="150"/>
      <c r="P297" s="152">
        <f>SALIDAS[[#This Row],[COSTO]]+SALIDAS[[#This Row],[IGV]]+SALIDAS[[#This Row],[INAFECTO]]</f>
        <v>20.000999999999998</v>
      </c>
      <c r="Q297" s="151" t="s">
        <v>818</v>
      </c>
    </row>
    <row r="298" spans="1:17" x14ac:dyDescent="0.25">
      <c r="A298" s="56">
        <v>292</v>
      </c>
      <c r="B298" s="64">
        <v>43584</v>
      </c>
      <c r="C298" s="30" t="str">
        <f>TEXT(SALIDAS[[#This Row],[FECHA]],"mmmm")</f>
        <v>Abril</v>
      </c>
      <c r="D298" s="27" t="s">
        <v>135</v>
      </c>
      <c r="E298" s="55" t="s">
        <v>819</v>
      </c>
      <c r="F298" s="65">
        <v>12</v>
      </c>
      <c r="G298" s="146" t="s">
        <v>631</v>
      </c>
      <c r="H298" s="146" t="s">
        <v>107</v>
      </c>
      <c r="I298" s="147" t="str">
        <f ca="1">OFFSET(OT[[#Headers],[T. CUENTA]],MATCH($H298,OT[T. CUENTA],0),1)</f>
        <v>GASTOS PRESTADOS POR TERCEROS</v>
      </c>
      <c r="J298" s="147" t="s">
        <v>158</v>
      </c>
      <c r="K298" s="146" t="s">
        <v>65</v>
      </c>
      <c r="L298" s="148">
        <v>1</v>
      </c>
      <c r="M298" s="149">
        <v>13.56</v>
      </c>
      <c r="N298" s="150">
        <f>SALIDAS[[#This Row],[COSTO]]*0.18</f>
        <v>2.4407999999999999</v>
      </c>
      <c r="O298" s="150"/>
      <c r="P298" s="152">
        <f>SALIDAS[[#This Row],[COSTO]]+SALIDAS[[#This Row],[IGV]]+SALIDAS[[#This Row],[INAFECTO]]</f>
        <v>16.000800000000002</v>
      </c>
      <c r="Q298" s="151" t="s">
        <v>820</v>
      </c>
    </row>
    <row r="299" spans="1:17" x14ac:dyDescent="0.25">
      <c r="A299" s="56">
        <v>293</v>
      </c>
      <c r="B299" s="64">
        <v>43585</v>
      </c>
      <c r="C299" s="30" t="str">
        <f>TEXT(SALIDAS[[#This Row],[FECHA]],"mmmm")</f>
        <v>Abril</v>
      </c>
      <c r="D299" s="27" t="s">
        <v>12</v>
      </c>
      <c r="E299" s="55" t="s">
        <v>821</v>
      </c>
      <c r="F299" s="65">
        <v>12</v>
      </c>
      <c r="G299" s="146" t="s">
        <v>612</v>
      </c>
      <c r="H299" s="146" t="s">
        <v>94</v>
      </c>
      <c r="I299" s="147" t="str">
        <f ca="1">OFFSET(OT[[#Headers],[T. CUENTA]],MATCH($H299,OT[T. CUENTA],0),1)</f>
        <v>GASTOS DE PERSONAL</v>
      </c>
      <c r="J299" s="147" t="s">
        <v>158</v>
      </c>
      <c r="K299" s="146" t="s">
        <v>65</v>
      </c>
      <c r="L299" s="148">
        <v>1</v>
      </c>
      <c r="M299" s="149">
        <v>246</v>
      </c>
      <c r="N299" s="150">
        <v>0</v>
      </c>
      <c r="O299" s="150"/>
      <c r="P299" s="152">
        <f>SALIDAS[[#This Row],[COSTO]]+SALIDAS[[#This Row],[IGV]]+SALIDAS[[#This Row],[INAFECTO]]</f>
        <v>246</v>
      </c>
      <c r="Q299" s="151" t="s">
        <v>323</v>
      </c>
    </row>
    <row r="300" spans="1:17" x14ac:dyDescent="0.25">
      <c r="A300" s="56">
        <v>294</v>
      </c>
      <c r="B300" s="64">
        <v>43590</v>
      </c>
      <c r="C300" s="30" t="str">
        <f>TEXT(SALIDAS[[#This Row],[FECHA]],"mmmm")</f>
        <v>Mayo</v>
      </c>
      <c r="D300" s="27" t="s">
        <v>141</v>
      </c>
      <c r="E300" s="55" t="s">
        <v>822</v>
      </c>
      <c r="F300" s="65">
        <v>12</v>
      </c>
      <c r="G300" s="146" t="s">
        <v>823</v>
      </c>
      <c r="H300" s="146" t="s">
        <v>106</v>
      </c>
      <c r="I300" s="147" t="str">
        <f ca="1">OFFSET(OT[[#Headers],[T. CUENTA]],MATCH($H300,OT[T. CUENTA],0),1)</f>
        <v>GASTOS DE PERSONAL</v>
      </c>
      <c r="J300" s="147" t="s">
        <v>158</v>
      </c>
      <c r="K300" s="146" t="s">
        <v>65</v>
      </c>
      <c r="L300" s="148">
        <v>1</v>
      </c>
      <c r="M300" s="149">
        <v>70.2</v>
      </c>
      <c r="N300" s="150">
        <v>0</v>
      </c>
      <c r="O300" s="150"/>
      <c r="P300" s="152">
        <f>SALIDAS[[#This Row],[COSTO]]+SALIDAS[[#This Row],[IGV]]+SALIDAS[[#This Row],[INAFECTO]]</f>
        <v>70.2</v>
      </c>
      <c r="Q300" s="151" t="s">
        <v>824</v>
      </c>
    </row>
    <row r="301" spans="1:17" x14ac:dyDescent="0.25">
      <c r="A301" s="56">
        <v>295</v>
      </c>
      <c r="B301" s="64">
        <v>43584</v>
      </c>
      <c r="C301" s="30" t="str">
        <f>TEXT(SALIDAS[[#This Row],[FECHA]],"mmmm")</f>
        <v>Abril</v>
      </c>
      <c r="D301" s="27" t="s">
        <v>135</v>
      </c>
      <c r="E301" s="55" t="s">
        <v>825</v>
      </c>
      <c r="F301" s="65">
        <v>12</v>
      </c>
      <c r="G301" s="146" t="s">
        <v>564</v>
      </c>
      <c r="H301" s="146" t="s">
        <v>85</v>
      </c>
      <c r="I301" s="147" t="str">
        <f ca="1">OFFSET(OT[[#Headers],[T. CUENTA]],MATCH($H301,OT[T. CUENTA],0),1)</f>
        <v>COSTO DIRECTO</v>
      </c>
      <c r="J301" s="147" t="s">
        <v>228</v>
      </c>
      <c r="K301" s="146" t="s">
        <v>65</v>
      </c>
      <c r="L301" s="148">
        <v>1</v>
      </c>
      <c r="M301" s="149">
        <v>50.76</v>
      </c>
      <c r="N301" s="150">
        <f>SALIDAS[[#This Row],[COSTO]]*0.18</f>
        <v>9.1367999999999991</v>
      </c>
      <c r="O301" s="150"/>
      <c r="P301" s="152">
        <f>SALIDAS[[#This Row],[COSTO]]+SALIDAS[[#This Row],[IGV]]+SALIDAS[[#This Row],[INAFECTO]]</f>
        <v>59.896799999999999</v>
      </c>
      <c r="Q301" s="151" t="s">
        <v>378</v>
      </c>
    </row>
    <row r="302" spans="1:17" x14ac:dyDescent="0.25">
      <c r="A302" s="56">
        <v>296</v>
      </c>
      <c r="B302" s="64">
        <v>43584</v>
      </c>
      <c r="C302" s="30" t="str">
        <f>TEXT(SALIDAS[[#This Row],[FECHA]],"mmmm")</f>
        <v>Abril</v>
      </c>
      <c r="D302" s="27" t="s">
        <v>135</v>
      </c>
      <c r="E302" s="55" t="s">
        <v>827</v>
      </c>
      <c r="F302" s="65">
        <v>12</v>
      </c>
      <c r="G302" s="146" t="s">
        <v>828</v>
      </c>
      <c r="H302" s="146" t="s">
        <v>85</v>
      </c>
      <c r="I302" s="147" t="str">
        <f ca="1">OFFSET(OT[[#Headers],[T. CUENTA]],MATCH($H302,OT[T. CUENTA],0),1)</f>
        <v>COSTO DIRECTO</v>
      </c>
      <c r="J302" s="147" t="s">
        <v>158</v>
      </c>
      <c r="K302" s="146" t="s">
        <v>65</v>
      </c>
      <c r="L302" s="148">
        <v>1</v>
      </c>
      <c r="M302" s="149">
        <v>12.71</v>
      </c>
      <c r="N302" s="150">
        <f>SALIDAS[[#This Row],[COSTO]]*0.18</f>
        <v>2.2878000000000003</v>
      </c>
      <c r="O302" s="150"/>
      <c r="P302" s="152">
        <f>SALIDAS[[#This Row],[COSTO]]+SALIDAS[[#This Row],[IGV]]+SALIDAS[[#This Row],[INAFECTO]]</f>
        <v>14.997800000000002</v>
      </c>
      <c r="Q302" s="151" t="s">
        <v>826</v>
      </c>
    </row>
    <row r="303" spans="1:17" x14ac:dyDescent="0.25">
      <c r="A303" s="56">
        <v>297</v>
      </c>
      <c r="B303" s="64">
        <v>43614</v>
      </c>
      <c r="C303" s="30" t="str">
        <f>TEXT(SALIDAS[[#This Row],[FECHA]],"mmmm")</f>
        <v>Mayo</v>
      </c>
      <c r="D303" s="27" t="s">
        <v>135</v>
      </c>
      <c r="E303" s="55" t="s">
        <v>829</v>
      </c>
      <c r="F303" s="65">
        <v>12</v>
      </c>
      <c r="G303" s="146" t="s">
        <v>710</v>
      </c>
      <c r="H303" s="146" t="s">
        <v>80</v>
      </c>
      <c r="I303" s="147" t="str">
        <f ca="1">OFFSET(OT[[#Headers],[T. CUENTA]],MATCH($H303,OT[T. CUENTA],0),1)</f>
        <v>COSTO DIRECTO</v>
      </c>
      <c r="J303" s="147" t="s">
        <v>158</v>
      </c>
      <c r="K303" s="146" t="s">
        <v>65</v>
      </c>
      <c r="L303" s="148">
        <v>1</v>
      </c>
      <c r="M303" s="149">
        <v>101.69</v>
      </c>
      <c r="N303" s="150">
        <f>SALIDAS[[#This Row],[COSTO]]*0.18</f>
        <v>18.304199999999998</v>
      </c>
      <c r="O303" s="150"/>
      <c r="P303" s="152">
        <f>SALIDAS[[#This Row],[COSTO]]+SALIDAS[[#This Row],[IGV]]+SALIDAS[[#This Row],[INAFECTO]]</f>
        <v>119.99419999999999</v>
      </c>
      <c r="Q303" s="151" t="s">
        <v>836</v>
      </c>
    </row>
    <row r="304" spans="1:17" x14ac:dyDescent="0.25">
      <c r="A304" s="56">
        <v>298</v>
      </c>
      <c r="B304" s="64">
        <v>43584</v>
      </c>
      <c r="C304" s="30" t="str">
        <f>TEXT(SALIDAS[[#This Row],[FECHA]],"mmmm")</f>
        <v>Abril</v>
      </c>
      <c r="D304" s="27" t="s">
        <v>135</v>
      </c>
      <c r="E304" s="55" t="s">
        <v>830</v>
      </c>
      <c r="F304" s="65">
        <v>12</v>
      </c>
      <c r="G304" s="146" t="s">
        <v>831</v>
      </c>
      <c r="H304" s="146" t="s">
        <v>85</v>
      </c>
      <c r="I304" s="147" t="str">
        <f ca="1">OFFSET(OT[[#Headers],[T. CUENTA]],MATCH($H304,OT[T. CUENTA],0),1)</f>
        <v>COSTO DIRECTO</v>
      </c>
      <c r="J304" s="147" t="s">
        <v>158</v>
      </c>
      <c r="K304" s="146" t="s">
        <v>65</v>
      </c>
      <c r="L304" s="148">
        <v>1</v>
      </c>
      <c r="M304" s="149">
        <v>366.1</v>
      </c>
      <c r="N304" s="150">
        <f>SALIDAS[[#This Row],[COSTO]]*0.18</f>
        <v>65.897999999999996</v>
      </c>
      <c r="O304" s="150"/>
      <c r="P304" s="152">
        <f>SALIDAS[[#This Row],[COSTO]]+SALIDAS[[#This Row],[IGV]]+SALIDAS[[#This Row],[INAFECTO]]</f>
        <v>431.99800000000005</v>
      </c>
      <c r="Q304" s="151" t="s">
        <v>832</v>
      </c>
    </row>
    <row r="305" spans="1:17" x14ac:dyDescent="0.25">
      <c r="A305" s="56">
        <v>299</v>
      </c>
      <c r="B305" s="64">
        <v>43583</v>
      </c>
      <c r="C305" s="30" t="str">
        <f>TEXT(SALIDAS[[#This Row],[FECHA]],"mmmm")</f>
        <v>Abril</v>
      </c>
      <c r="D305" s="27" t="s">
        <v>135</v>
      </c>
      <c r="E305" s="55" t="s">
        <v>833</v>
      </c>
      <c r="F305" s="65">
        <v>12</v>
      </c>
      <c r="G305" s="146" t="s">
        <v>834</v>
      </c>
      <c r="H305" s="146" t="s">
        <v>132</v>
      </c>
      <c r="I305" s="147" t="str">
        <f ca="1">OFFSET(OT[[#Headers],[T. CUENTA]],MATCH($H305,OT[T. CUENTA],0),1)</f>
        <v>GASTOS ADMINISTRATIVOS</v>
      </c>
      <c r="J305" s="147" t="s">
        <v>158</v>
      </c>
      <c r="K305" s="146" t="s">
        <v>65</v>
      </c>
      <c r="L305" s="148">
        <v>1</v>
      </c>
      <c r="M305" s="149">
        <v>21.86</v>
      </c>
      <c r="N305" s="150">
        <f>SALIDAS[[#This Row],[COSTO]]*0.18</f>
        <v>3.9347999999999996</v>
      </c>
      <c r="O305" s="150"/>
      <c r="P305" s="152">
        <f>SALIDAS[[#This Row],[COSTO]]+SALIDAS[[#This Row],[IGV]]+SALIDAS[[#This Row],[INAFECTO]]</f>
        <v>25.794799999999999</v>
      </c>
      <c r="Q305" s="151" t="s">
        <v>348</v>
      </c>
    </row>
    <row r="306" spans="1:17" x14ac:dyDescent="0.25">
      <c r="A306" s="56">
        <v>300</v>
      </c>
      <c r="B306" s="64">
        <v>43583</v>
      </c>
      <c r="C306" s="30" t="str">
        <f>TEXT(SALIDAS[[#This Row],[FECHA]],"mmmm")</f>
        <v>Abril</v>
      </c>
      <c r="D306" s="27" t="s">
        <v>135</v>
      </c>
      <c r="E306" s="55" t="s">
        <v>835</v>
      </c>
      <c r="F306" s="65">
        <v>12</v>
      </c>
      <c r="G306" s="146" t="s">
        <v>710</v>
      </c>
      <c r="H306" s="146" t="s">
        <v>80</v>
      </c>
      <c r="I306" s="147" t="str">
        <f ca="1">OFFSET(OT[[#Headers],[T. CUENTA]],MATCH($H306,OT[T. CUENTA],0),1)</f>
        <v>COSTO DIRECTO</v>
      </c>
      <c r="J306" s="147" t="s">
        <v>158</v>
      </c>
      <c r="K306" s="146" t="s">
        <v>65</v>
      </c>
      <c r="L306" s="148">
        <v>1</v>
      </c>
      <c r="M306" s="149">
        <v>107.64</v>
      </c>
      <c r="N306" s="150">
        <f>SALIDAS[[#This Row],[COSTO]]*0.18</f>
        <v>19.3752</v>
      </c>
      <c r="O306" s="150"/>
      <c r="P306" s="152">
        <f>SALIDAS[[#This Row],[COSTO]]+SALIDAS[[#This Row],[IGV]]+SALIDAS[[#This Row],[INAFECTO]]</f>
        <v>127.01519999999999</v>
      </c>
      <c r="Q306" s="151" t="s">
        <v>836</v>
      </c>
    </row>
    <row r="307" spans="1:17" x14ac:dyDescent="0.25">
      <c r="A307" s="56">
        <v>301</v>
      </c>
      <c r="B307" s="64">
        <v>43529</v>
      </c>
      <c r="C307" s="30" t="str">
        <f>TEXT(SALIDAS[[#This Row],[FECHA]],"mmmm")</f>
        <v>Marzo</v>
      </c>
      <c r="D307" s="27" t="s">
        <v>837</v>
      </c>
      <c r="E307" s="55" t="s">
        <v>841</v>
      </c>
      <c r="F307" s="65">
        <v>13</v>
      </c>
      <c r="G307" s="21" t="s">
        <v>842</v>
      </c>
      <c r="H307" s="146" t="s">
        <v>106</v>
      </c>
      <c r="I307" s="26" t="str">
        <f ca="1">OFFSET(OT[[#Headers],[T. CUENTA]],MATCH($H307,OT[T. CUENTA],0),1)</f>
        <v>GASTOS DE PERSONAL</v>
      </c>
      <c r="J307" s="147" t="s">
        <v>158</v>
      </c>
      <c r="K307" s="21" t="s">
        <v>65</v>
      </c>
      <c r="L307" s="33">
        <v>1</v>
      </c>
      <c r="M307" s="32">
        <v>25</v>
      </c>
      <c r="N307" s="66">
        <v>0</v>
      </c>
      <c r="O307" s="66"/>
      <c r="P307" s="159">
        <f>SALIDAS[[#This Row],[COSTO]]+SALIDAS[[#This Row],[IGV]]+SALIDAS[[#This Row],[INAFECTO]]</f>
        <v>25</v>
      </c>
      <c r="Q307" s="22" t="s">
        <v>223</v>
      </c>
    </row>
    <row r="308" spans="1:17" x14ac:dyDescent="0.25">
      <c r="A308" s="56">
        <v>302</v>
      </c>
      <c r="B308" s="64">
        <v>43569</v>
      </c>
      <c r="C308" s="30" t="str">
        <f>TEXT(SALIDAS[[#This Row],[FECHA]],"mmmm")</f>
        <v>Abril</v>
      </c>
      <c r="D308" s="27" t="s">
        <v>12</v>
      </c>
      <c r="E308" s="55" t="s">
        <v>843</v>
      </c>
      <c r="F308" s="65">
        <v>13</v>
      </c>
      <c r="G308" s="21" t="s">
        <v>844</v>
      </c>
      <c r="H308" s="21" t="s">
        <v>116</v>
      </c>
      <c r="I308" s="26" t="str">
        <f ca="1">OFFSET(OT[[#Headers],[T. CUENTA]],MATCH($H308,OT[T. CUENTA],0),1)</f>
        <v>GASTOS PRESTADOS POR TERCEROS</v>
      </c>
      <c r="J308" s="26" t="s">
        <v>158</v>
      </c>
      <c r="K308" s="21" t="s">
        <v>65</v>
      </c>
      <c r="L308" s="33">
        <v>1</v>
      </c>
      <c r="M308" s="32">
        <v>300</v>
      </c>
      <c r="N308" s="66">
        <v>0</v>
      </c>
      <c r="O308" s="66"/>
      <c r="P308" s="159">
        <f>SALIDAS[[#This Row],[COSTO]]+SALIDAS[[#This Row],[IGV]]+SALIDAS[[#This Row],[INAFECTO]]</f>
        <v>300</v>
      </c>
      <c r="Q308" s="22" t="s">
        <v>450</v>
      </c>
    </row>
    <row r="309" spans="1:17" x14ac:dyDescent="0.25">
      <c r="A309" s="56">
        <v>303</v>
      </c>
      <c r="B309" s="64">
        <v>43581</v>
      </c>
      <c r="C309" s="30" t="str">
        <f>TEXT(SALIDAS[[#This Row],[FECHA]],"mmmm")</f>
        <v>Abril</v>
      </c>
      <c r="D309" s="27" t="s">
        <v>837</v>
      </c>
      <c r="E309" s="55" t="s">
        <v>845</v>
      </c>
      <c r="F309" s="65">
        <v>13</v>
      </c>
      <c r="G309" s="21" t="s">
        <v>842</v>
      </c>
      <c r="H309" s="146" t="s">
        <v>106</v>
      </c>
      <c r="I309" s="26" t="str">
        <f ca="1">OFFSET(OT[[#Headers],[T. CUENTA]],MATCH($H309,OT[T. CUENTA],0),1)</f>
        <v>GASTOS DE PERSONAL</v>
      </c>
      <c r="J309" s="147" t="s">
        <v>158</v>
      </c>
      <c r="K309" s="21" t="s">
        <v>65</v>
      </c>
      <c r="L309" s="33">
        <v>1</v>
      </c>
      <c r="M309" s="32">
        <v>25</v>
      </c>
      <c r="N309" s="66">
        <v>0</v>
      </c>
      <c r="O309" s="66"/>
      <c r="P309" s="159">
        <f>SALIDAS[[#This Row],[COSTO]]+SALIDAS[[#This Row],[IGV]]+SALIDAS[[#This Row],[INAFECTO]]</f>
        <v>25</v>
      </c>
      <c r="Q309" s="22" t="s">
        <v>223</v>
      </c>
    </row>
    <row r="310" spans="1:17" x14ac:dyDescent="0.25">
      <c r="A310" s="56">
        <v>304</v>
      </c>
      <c r="B310" s="64">
        <v>43582</v>
      </c>
      <c r="C310" s="30" t="str">
        <f>TEXT(SALIDAS[[#This Row],[FECHA]],"mmmm")</f>
        <v>Abril</v>
      </c>
      <c r="D310" s="27" t="s">
        <v>141</v>
      </c>
      <c r="E310" s="55" t="s">
        <v>846</v>
      </c>
      <c r="F310" s="65">
        <v>13</v>
      </c>
      <c r="G310" s="21" t="s">
        <v>847</v>
      </c>
      <c r="H310" s="21" t="s">
        <v>126</v>
      </c>
      <c r="I310" s="26" t="str">
        <f ca="1">OFFSET(OT[[#Headers],[T. CUENTA]],MATCH($H310,OT[T. CUENTA],0),1)</f>
        <v>GASTOS DE PERSONAL</v>
      </c>
      <c r="J310" s="147" t="s">
        <v>158</v>
      </c>
      <c r="K310" s="21" t="s">
        <v>65</v>
      </c>
      <c r="L310" s="33">
        <v>1</v>
      </c>
      <c r="M310" s="32">
        <v>25</v>
      </c>
      <c r="N310" s="66">
        <v>0</v>
      </c>
      <c r="O310" s="66"/>
      <c r="P310" s="159">
        <f>SALIDAS[[#This Row],[COSTO]]+SALIDAS[[#This Row],[IGV]]+SALIDAS[[#This Row],[INAFECTO]]</f>
        <v>25</v>
      </c>
      <c r="Q310" s="22" t="s">
        <v>848</v>
      </c>
    </row>
    <row r="311" spans="1:17" x14ac:dyDescent="0.25">
      <c r="A311" s="56">
        <v>305</v>
      </c>
      <c r="B311" s="64">
        <v>43590</v>
      </c>
      <c r="C311" s="30" t="str">
        <f>TEXT(SALIDAS[[#This Row],[FECHA]],"mmmm")</f>
        <v>Mayo</v>
      </c>
      <c r="D311" s="27" t="s">
        <v>141</v>
      </c>
      <c r="E311" s="55" t="s">
        <v>849</v>
      </c>
      <c r="F311" s="65">
        <v>13</v>
      </c>
      <c r="G311" s="21" t="s">
        <v>847</v>
      </c>
      <c r="H311" s="21" t="s">
        <v>126</v>
      </c>
      <c r="I311" s="26" t="str">
        <f ca="1">OFFSET(OT[[#Headers],[T. CUENTA]],MATCH($H311,OT[T. CUENTA],0),1)</f>
        <v>GASTOS DE PERSONAL</v>
      </c>
      <c r="J311" s="147" t="s">
        <v>158</v>
      </c>
      <c r="K311" s="21" t="s">
        <v>65</v>
      </c>
      <c r="L311" s="33">
        <v>1</v>
      </c>
      <c r="M311" s="32">
        <v>25</v>
      </c>
      <c r="N311" s="66">
        <v>0</v>
      </c>
      <c r="O311" s="66"/>
      <c r="P311" s="159">
        <f>SALIDAS[[#This Row],[COSTO]]+SALIDAS[[#This Row],[IGV]]+SALIDAS[[#This Row],[INAFECTO]]</f>
        <v>25</v>
      </c>
      <c r="Q311" s="22" t="s">
        <v>848</v>
      </c>
    </row>
    <row r="312" spans="1:17" x14ac:dyDescent="0.25">
      <c r="A312" s="56">
        <v>306</v>
      </c>
      <c r="B312" s="64">
        <v>43582</v>
      </c>
      <c r="C312" s="30" t="str">
        <f>TEXT(SALIDAS[[#This Row],[FECHA]],"mmmm")</f>
        <v>Abril</v>
      </c>
      <c r="D312" s="27" t="s">
        <v>837</v>
      </c>
      <c r="E312" s="55" t="s">
        <v>850</v>
      </c>
      <c r="F312" s="65">
        <v>13</v>
      </c>
      <c r="G312" s="21" t="s">
        <v>851</v>
      </c>
      <c r="H312" s="146" t="s">
        <v>106</v>
      </c>
      <c r="I312" s="26" t="str">
        <f ca="1">OFFSET(OT[[#Headers],[T. CUENTA]],MATCH($H312,OT[T. CUENTA],0),1)</f>
        <v>GASTOS DE PERSONAL</v>
      </c>
      <c r="J312" s="147" t="s">
        <v>158</v>
      </c>
      <c r="K312" s="21" t="s">
        <v>65</v>
      </c>
      <c r="L312" s="33">
        <v>1</v>
      </c>
      <c r="M312" s="32">
        <v>140</v>
      </c>
      <c r="N312" s="66">
        <v>0</v>
      </c>
      <c r="O312" s="66"/>
      <c r="P312" s="159">
        <f>SALIDAS[[#This Row],[COSTO]]+SALIDAS[[#This Row],[IGV]]+SALIDAS[[#This Row],[INAFECTO]]</f>
        <v>140</v>
      </c>
      <c r="Q312" s="22" t="s">
        <v>848</v>
      </c>
    </row>
    <row r="313" spans="1:17" x14ac:dyDescent="0.25">
      <c r="A313" s="56">
        <v>307</v>
      </c>
      <c r="B313" s="64">
        <v>43584</v>
      </c>
      <c r="C313" s="30" t="str">
        <f>TEXT(SALIDAS[[#This Row],[FECHA]],"mmmm")</f>
        <v>Abril</v>
      </c>
      <c r="D313" s="27" t="s">
        <v>10</v>
      </c>
      <c r="E313" s="55" t="s">
        <v>852</v>
      </c>
      <c r="F313" s="65">
        <v>13</v>
      </c>
      <c r="G313" s="21" t="s">
        <v>853</v>
      </c>
      <c r="H313" s="21" t="s">
        <v>194</v>
      </c>
      <c r="I313" s="26" t="str">
        <f ca="1">OFFSET(OT[[#Headers],[T. CUENTA]],MATCH($H313,OT[T. CUENTA],0),1)</f>
        <v>GASTOS PRESTADOS POR TERCEROS</v>
      </c>
      <c r="J313" s="147" t="s">
        <v>158</v>
      </c>
      <c r="K313" s="21" t="s">
        <v>65</v>
      </c>
      <c r="L313" s="33">
        <v>1</v>
      </c>
      <c r="M313" s="32">
        <v>5.76</v>
      </c>
      <c r="N313" s="66">
        <f>SALIDAS[[#This Row],[COSTO]]*0.18</f>
        <v>1.0367999999999999</v>
      </c>
      <c r="O313" s="66"/>
      <c r="P313" s="159">
        <f>SALIDAS[[#This Row],[COSTO]]+SALIDAS[[#This Row],[IGV]]+SALIDAS[[#This Row],[INAFECTO]]</f>
        <v>6.7967999999999993</v>
      </c>
      <c r="Q313" s="22" t="s">
        <v>217</v>
      </c>
    </row>
    <row r="314" spans="1:17" x14ac:dyDescent="0.25">
      <c r="A314" s="56">
        <v>308</v>
      </c>
      <c r="B314" s="64">
        <v>43584</v>
      </c>
      <c r="C314" s="30" t="str">
        <f>TEXT(SALIDAS[[#This Row],[FECHA]],"mmmm")</f>
        <v>Abril</v>
      </c>
      <c r="D314" s="27" t="s">
        <v>10</v>
      </c>
      <c r="E314" s="55" t="s">
        <v>854</v>
      </c>
      <c r="F314" s="65">
        <v>13</v>
      </c>
      <c r="G314" s="21" t="s">
        <v>853</v>
      </c>
      <c r="H314" s="21" t="s">
        <v>194</v>
      </c>
      <c r="I314" s="26" t="str">
        <f ca="1">OFFSET(OT[[#Headers],[T. CUENTA]],MATCH($H314,OT[T. CUENTA],0),1)</f>
        <v>GASTOS PRESTADOS POR TERCEROS</v>
      </c>
      <c r="J314" s="147" t="s">
        <v>158</v>
      </c>
      <c r="K314" s="21" t="s">
        <v>65</v>
      </c>
      <c r="L314" s="33">
        <v>1</v>
      </c>
      <c r="M314" s="32">
        <v>5.76</v>
      </c>
      <c r="N314" s="150">
        <f>SALIDAS[[#This Row],[COSTO]]*0.18</f>
        <v>1.0367999999999999</v>
      </c>
      <c r="O314" s="150"/>
      <c r="P314" s="152">
        <f>SALIDAS[[#This Row],[COSTO]]+SALIDAS[[#This Row],[IGV]]+SALIDAS[[#This Row],[INAFECTO]]</f>
        <v>6.7967999999999993</v>
      </c>
      <c r="Q314" s="22" t="s">
        <v>217</v>
      </c>
    </row>
    <row r="315" spans="1:17" x14ac:dyDescent="0.25">
      <c r="A315" s="56">
        <v>309</v>
      </c>
      <c r="B315" s="64">
        <v>43584</v>
      </c>
      <c r="C315" s="30" t="str">
        <f>TEXT(SALIDAS[[#This Row],[FECHA]],"mmmm")</f>
        <v>Abril</v>
      </c>
      <c r="D315" s="27" t="s">
        <v>10</v>
      </c>
      <c r="E315" s="55" t="s">
        <v>855</v>
      </c>
      <c r="F315" s="65">
        <v>13</v>
      </c>
      <c r="G315" s="21" t="s">
        <v>853</v>
      </c>
      <c r="H315" s="21" t="s">
        <v>194</v>
      </c>
      <c r="I315" s="26" t="str">
        <f ca="1">OFFSET(OT[[#Headers],[T. CUENTA]],MATCH($H315,OT[T. CUENTA],0),1)</f>
        <v>GASTOS PRESTADOS POR TERCEROS</v>
      </c>
      <c r="J315" s="147" t="s">
        <v>158</v>
      </c>
      <c r="K315" s="21" t="s">
        <v>65</v>
      </c>
      <c r="L315" s="33">
        <v>1</v>
      </c>
      <c r="M315" s="32">
        <v>5.76</v>
      </c>
      <c r="N315" s="150">
        <f>SALIDAS[[#This Row],[COSTO]]*0.18</f>
        <v>1.0367999999999999</v>
      </c>
      <c r="O315" s="150"/>
      <c r="P315" s="152">
        <f>SALIDAS[[#This Row],[COSTO]]+SALIDAS[[#This Row],[IGV]]+SALIDAS[[#This Row],[INAFECTO]]</f>
        <v>6.7967999999999993</v>
      </c>
      <c r="Q315" s="22" t="s">
        <v>217</v>
      </c>
    </row>
    <row r="316" spans="1:17" x14ac:dyDescent="0.25">
      <c r="A316" s="56">
        <v>310</v>
      </c>
      <c r="B316" s="64">
        <v>43584</v>
      </c>
      <c r="C316" s="30" t="str">
        <f>TEXT(SALIDAS[[#This Row],[FECHA]],"mmmm")</f>
        <v>Abril</v>
      </c>
      <c r="D316" s="27" t="s">
        <v>10</v>
      </c>
      <c r="E316" s="55" t="s">
        <v>856</v>
      </c>
      <c r="F316" s="65">
        <v>13</v>
      </c>
      <c r="G316" s="21" t="s">
        <v>853</v>
      </c>
      <c r="H316" s="146" t="s">
        <v>194</v>
      </c>
      <c r="I316" s="147" t="str">
        <f ca="1">OFFSET(OT[[#Headers],[T. CUENTA]],MATCH($H316,OT[T. CUENTA],0),1)</f>
        <v>GASTOS PRESTADOS POR TERCEROS</v>
      </c>
      <c r="J316" s="147" t="s">
        <v>158</v>
      </c>
      <c r="K316" s="21" t="s">
        <v>65</v>
      </c>
      <c r="L316" s="33">
        <v>1</v>
      </c>
      <c r="M316" s="32">
        <v>5.76</v>
      </c>
      <c r="N316" s="150">
        <f>SALIDAS[[#This Row],[COSTO]]*0.18</f>
        <v>1.0367999999999999</v>
      </c>
      <c r="O316" s="150"/>
      <c r="P316" s="152">
        <f>SALIDAS[[#This Row],[COSTO]]+SALIDAS[[#This Row],[IGV]]+SALIDAS[[#This Row],[INAFECTO]]</f>
        <v>6.7967999999999993</v>
      </c>
      <c r="Q316" s="22" t="s">
        <v>217</v>
      </c>
    </row>
    <row r="317" spans="1:17" x14ac:dyDescent="0.25">
      <c r="A317" s="56">
        <v>311</v>
      </c>
      <c r="B317" s="64">
        <v>43584</v>
      </c>
      <c r="C317" s="30" t="str">
        <f>TEXT(SALIDAS[[#This Row],[FECHA]],"mmmm")</f>
        <v>Abril</v>
      </c>
      <c r="D317" s="27" t="s">
        <v>141</v>
      </c>
      <c r="E317" s="55" t="s">
        <v>857</v>
      </c>
      <c r="F317" s="65">
        <v>13</v>
      </c>
      <c r="G317" s="146" t="s">
        <v>858</v>
      </c>
      <c r="H317" s="21" t="s">
        <v>126</v>
      </c>
      <c r="I317" s="26" t="str">
        <f ca="1">OFFSET(OT[[#Headers],[T. CUENTA]],MATCH($H317,OT[T. CUENTA],0),1)</f>
        <v>GASTOS DE PERSONAL</v>
      </c>
      <c r="J317" s="147" t="s">
        <v>158</v>
      </c>
      <c r="K317" s="146" t="s">
        <v>65</v>
      </c>
      <c r="L317" s="148">
        <v>1</v>
      </c>
      <c r="M317" s="149">
        <v>31</v>
      </c>
      <c r="N317" s="150">
        <v>0</v>
      </c>
      <c r="O317" s="150"/>
      <c r="P317" s="152">
        <f>SALIDAS[[#This Row],[COSTO]]+SALIDAS[[#This Row],[IGV]]+SALIDAS[[#This Row],[INAFECTO]]</f>
        <v>31</v>
      </c>
      <c r="Q317" s="151" t="s">
        <v>465</v>
      </c>
    </row>
    <row r="318" spans="1:17" x14ac:dyDescent="0.25">
      <c r="A318" s="56">
        <v>312</v>
      </c>
      <c r="B318" s="64">
        <v>43585</v>
      </c>
      <c r="C318" s="30" t="str">
        <f>TEXT(SALIDAS[[#This Row],[FECHA]],"mmmm")</f>
        <v>Abril</v>
      </c>
      <c r="D318" s="27" t="s">
        <v>10</v>
      </c>
      <c r="E318" s="55" t="s">
        <v>859</v>
      </c>
      <c r="F318" s="65">
        <v>13</v>
      </c>
      <c r="G318" s="21" t="s">
        <v>853</v>
      </c>
      <c r="H318" s="21" t="s">
        <v>194</v>
      </c>
      <c r="I318" s="26" t="str">
        <f ca="1">OFFSET(OT[[#Headers],[T. CUENTA]],MATCH($H318,OT[T. CUENTA],0),1)</f>
        <v>GASTOS PRESTADOS POR TERCEROS</v>
      </c>
      <c r="J318" s="147" t="s">
        <v>158</v>
      </c>
      <c r="K318" s="21" t="s">
        <v>65</v>
      </c>
      <c r="L318" s="33">
        <v>1</v>
      </c>
      <c r="M318" s="32">
        <v>5.76</v>
      </c>
      <c r="N318" s="150">
        <f>SALIDAS[[#This Row],[COSTO]]*0.18</f>
        <v>1.0367999999999999</v>
      </c>
      <c r="O318" s="150"/>
      <c r="P318" s="152">
        <f>SALIDAS[[#This Row],[COSTO]]+SALIDAS[[#This Row],[IGV]]+SALIDAS[[#This Row],[INAFECTO]]</f>
        <v>6.7967999999999993</v>
      </c>
      <c r="Q318" s="22" t="s">
        <v>217</v>
      </c>
    </row>
    <row r="319" spans="1:17" x14ac:dyDescent="0.25">
      <c r="A319" s="56">
        <v>313</v>
      </c>
      <c r="B319" s="64">
        <v>43585</v>
      </c>
      <c r="C319" s="30" t="str">
        <f>TEXT(SALIDAS[[#This Row],[FECHA]],"mmmm")</f>
        <v>Abril</v>
      </c>
      <c r="D319" s="27" t="s">
        <v>141</v>
      </c>
      <c r="E319" s="55" t="s">
        <v>860</v>
      </c>
      <c r="F319" s="65">
        <v>13</v>
      </c>
      <c r="G319" s="146" t="s">
        <v>853</v>
      </c>
      <c r="H319" s="146" t="s">
        <v>194</v>
      </c>
      <c r="I319" s="147" t="str">
        <f ca="1">OFFSET(OT[[#Headers],[T. CUENTA]],MATCH($H319,OT[T. CUENTA],0),1)</f>
        <v>GASTOS PRESTADOS POR TERCEROS</v>
      </c>
      <c r="J319" s="147" t="s">
        <v>158</v>
      </c>
      <c r="K319" s="146" t="s">
        <v>65</v>
      </c>
      <c r="L319" s="148">
        <v>1</v>
      </c>
      <c r="M319" s="149">
        <v>5.76</v>
      </c>
      <c r="N319" s="150">
        <f>SALIDAS[[#This Row],[COSTO]]*0.18</f>
        <v>1.0367999999999999</v>
      </c>
      <c r="O319" s="150"/>
      <c r="P319" s="152">
        <f>SALIDAS[[#This Row],[COSTO]]+SALIDAS[[#This Row],[IGV]]+SALIDAS[[#This Row],[INAFECTO]]</f>
        <v>6.7967999999999993</v>
      </c>
      <c r="Q319" s="151" t="s">
        <v>217</v>
      </c>
    </row>
    <row r="320" spans="1:17" x14ac:dyDescent="0.25">
      <c r="A320" s="56">
        <v>314</v>
      </c>
      <c r="B320" s="64">
        <v>43587</v>
      </c>
      <c r="C320" s="30" t="str">
        <f>TEXT(SALIDAS[[#This Row],[FECHA]],"mmmm")</f>
        <v>Mayo</v>
      </c>
      <c r="D320" s="27" t="s">
        <v>837</v>
      </c>
      <c r="E320" s="55" t="s">
        <v>861</v>
      </c>
      <c r="F320" s="65">
        <v>13</v>
      </c>
      <c r="G320" s="146" t="s">
        <v>862</v>
      </c>
      <c r="H320" s="146" t="s">
        <v>106</v>
      </c>
      <c r="I320" s="147" t="str">
        <f ca="1">OFFSET(OT[[#Headers],[T. CUENTA]],MATCH($H320,OT[T. CUENTA],0),1)</f>
        <v>GASTOS DE PERSONAL</v>
      </c>
      <c r="J320" s="147" t="s">
        <v>158</v>
      </c>
      <c r="K320" s="146" t="s">
        <v>65</v>
      </c>
      <c r="L320" s="148">
        <v>1</v>
      </c>
      <c r="M320" s="149">
        <v>25</v>
      </c>
      <c r="N320" s="150">
        <v>0</v>
      </c>
      <c r="O320" s="150"/>
      <c r="P320" s="152">
        <f>SALIDAS[[#This Row],[COSTO]]+SALIDAS[[#This Row],[IGV]]+SALIDAS[[#This Row],[INAFECTO]]</f>
        <v>25</v>
      </c>
      <c r="Q320" s="151" t="s">
        <v>622</v>
      </c>
    </row>
    <row r="321" spans="1:17" x14ac:dyDescent="0.25">
      <c r="A321" s="56">
        <v>315</v>
      </c>
      <c r="B321" s="64">
        <v>43593</v>
      </c>
      <c r="C321" s="30" t="str">
        <f>TEXT(SALIDAS[[#This Row],[FECHA]],"mmmm")</f>
        <v>Mayo</v>
      </c>
      <c r="D321" s="27" t="s">
        <v>837</v>
      </c>
      <c r="E321" s="55" t="s">
        <v>863</v>
      </c>
      <c r="F321" s="65">
        <v>13</v>
      </c>
      <c r="G321" s="146" t="s">
        <v>862</v>
      </c>
      <c r="H321" s="146" t="s">
        <v>106</v>
      </c>
      <c r="I321" s="147" t="str">
        <f ca="1">OFFSET(OT[[#Headers],[T. CUENTA]],MATCH($H321,OT[T. CUENTA],0),1)</f>
        <v>GASTOS DE PERSONAL</v>
      </c>
      <c r="J321" s="147" t="s">
        <v>158</v>
      </c>
      <c r="K321" s="146" t="s">
        <v>65</v>
      </c>
      <c r="L321" s="148">
        <v>1</v>
      </c>
      <c r="M321" s="149">
        <v>25</v>
      </c>
      <c r="N321" s="150">
        <v>0</v>
      </c>
      <c r="O321" s="150"/>
      <c r="P321" s="152">
        <f>SALIDAS[[#This Row],[COSTO]]+SALIDAS[[#This Row],[IGV]]+SALIDAS[[#This Row],[INAFECTO]]</f>
        <v>25</v>
      </c>
      <c r="Q321" s="151" t="s">
        <v>622</v>
      </c>
    </row>
    <row r="322" spans="1:17" x14ac:dyDescent="0.25">
      <c r="A322" s="56">
        <v>316</v>
      </c>
      <c r="B322" s="64">
        <v>43589</v>
      </c>
      <c r="C322" s="30" t="str">
        <f>TEXT(SALIDAS[[#This Row],[FECHA]],"mmmm")</f>
        <v>Mayo</v>
      </c>
      <c r="D322" s="27" t="s">
        <v>837</v>
      </c>
      <c r="E322" s="55" t="s">
        <v>864</v>
      </c>
      <c r="F322" s="65">
        <v>13</v>
      </c>
      <c r="G322" s="146" t="s">
        <v>851</v>
      </c>
      <c r="H322" s="146" t="s">
        <v>106</v>
      </c>
      <c r="I322" s="147" t="str">
        <f ca="1">OFFSET(OT[[#Headers],[T. CUENTA]],MATCH($H322,OT[T. CUENTA],0),1)</f>
        <v>GASTOS DE PERSONAL</v>
      </c>
      <c r="J322" s="147" t="s">
        <v>158</v>
      </c>
      <c r="K322" s="146" t="s">
        <v>65</v>
      </c>
      <c r="L322" s="148">
        <v>1</v>
      </c>
      <c r="M322" s="149">
        <v>135</v>
      </c>
      <c r="N322" s="150">
        <v>0</v>
      </c>
      <c r="O322" s="150"/>
      <c r="P322" s="152">
        <f>SALIDAS[[#This Row],[COSTO]]+SALIDAS[[#This Row],[IGV]]+SALIDAS[[#This Row],[INAFECTO]]</f>
        <v>135</v>
      </c>
      <c r="Q322" s="151" t="s">
        <v>865</v>
      </c>
    </row>
    <row r="323" spans="1:17" x14ac:dyDescent="0.25">
      <c r="A323" s="56">
        <v>317</v>
      </c>
      <c r="B323" s="64">
        <v>43589</v>
      </c>
      <c r="C323" s="30" t="str">
        <f>TEXT(SALIDAS[[#This Row],[FECHA]],"mmmm")</f>
        <v>Mayo</v>
      </c>
      <c r="D323" s="27" t="s">
        <v>10</v>
      </c>
      <c r="E323" s="55" t="s">
        <v>866</v>
      </c>
      <c r="F323" s="65">
        <v>13</v>
      </c>
      <c r="G323" s="146" t="s">
        <v>867</v>
      </c>
      <c r="H323" s="146" t="s">
        <v>110</v>
      </c>
      <c r="I323" s="147" t="str">
        <f ca="1">OFFSET(OT[[#Headers],[T. CUENTA]],MATCH($H323,OT[T. CUENTA],0),1)</f>
        <v>GASTOS ADMINISTRATIVOS</v>
      </c>
      <c r="J323" s="147" t="s">
        <v>158</v>
      </c>
      <c r="K323" s="146" t="s">
        <v>65</v>
      </c>
      <c r="L323" s="148">
        <v>1</v>
      </c>
      <c r="M323" s="149">
        <v>271.19</v>
      </c>
      <c r="N323" s="150">
        <f>SALIDAS[[#This Row],[COSTO]]*0.18</f>
        <v>48.8142</v>
      </c>
      <c r="O323" s="150"/>
      <c r="P323" s="152">
        <f>SALIDAS[[#This Row],[COSTO]]+SALIDAS[[#This Row],[IGV]]+SALIDAS[[#This Row],[INAFECTO]]</f>
        <v>320.00419999999997</v>
      </c>
      <c r="Q323" s="151" t="s">
        <v>868</v>
      </c>
    </row>
    <row r="324" spans="1:17" x14ac:dyDescent="0.25">
      <c r="A324" s="56">
        <v>318</v>
      </c>
      <c r="B324" s="64">
        <v>43592</v>
      </c>
      <c r="C324" s="30" t="str">
        <f>TEXT(SALIDAS[[#This Row],[FECHA]],"mmmm")</f>
        <v>Mayo</v>
      </c>
      <c r="D324" s="27" t="s">
        <v>12</v>
      </c>
      <c r="E324" s="55" t="s">
        <v>869</v>
      </c>
      <c r="F324" s="65">
        <v>13</v>
      </c>
      <c r="G324" s="146" t="s">
        <v>631</v>
      </c>
      <c r="H324" s="146" t="s">
        <v>107</v>
      </c>
      <c r="I324" s="147" t="str">
        <f ca="1">OFFSET(OT[[#Headers],[T. CUENTA]],MATCH($H324,OT[T. CUENTA],0),1)</f>
        <v>GASTOS PRESTADOS POR TERCEROS</v>
      </c>
      <c r="J324" s="147" t="s">
        <v>158</v>
      </c>
      <c r="K324" s="146" t="s">
        <v>65</v>
      </c>
      <c r="L324" s="148">
        <v>1</v>
      </c>
      <c r="M324" s="149">
        <v>50</v>
      </c>
      <c r="N324" s="150">
        <v>0</v>
      </c>
      <c r="O324" s="150"/>
      <c r="P324" s="152">
        <f>SALIDAS[[#This Row],[COSTO]]+SALIDAS[[#This Row],[IGV]]+SALIDAS[[#This Row],[INAFECTO]]</f>
        <v>50</v>
      </c>
      <c r="Q324" s="151" t="s">
        <v>336</v>
      </c>
    </row>
    <row r="325" spans="1:17" x14ac:dyDescent="0.25">
      <c r="A325" s="56">
        <v>319</v>
      </c>
      <c r="B325" s="64">
        <v>43592</v>
      </c>
      <c r="C325" s="30" t="str">
        <f>TEXT(SALIDAS[[#This Row],[FECHA]],"mmmm")</f>
        <v>Mayo</v>
      </c>
      <c r="D325" s="27" t="s">
        <v>12</v>
      </c>
      <c r="E325" s="55" t="s">
        <v>870</v>
      </c>
      <c r="F325" s="65">
        <v>13</v>
      </c>
      <c r="G325" s="146" t="s">
        <v>871</v>
      </c>
      <c r="H325" s="21" t="s">
        <v>116</v>
      </c>
      <c r="I325" s="147" t="str">
        <f ca="1">OFFSET(OT[[#Headers],[T. CUENTA]],MATCH($H325,OT[T. CUENTA],0),1)</f>
        <v>GASTOS PRESTADOS POR TERCEROS</v>
      </c>
      <c r="J325" s="147" t="s">
        <v>158</v>
      </c>
      <c r="K325" s="146" t="s">
        <v>65</v>
      </c>
      <c r="L325" s="148">
        <v>1</v>
      </c>
      <c r="M325" s="149">
        <v>300</v>
      </c>
      <c r="N325" s="150">
        <v>0</v>
      </c>
      <c r="O325" s="150"/>
      <c r="P325" s="152">
        <f>SALIDAS[[#This Row],[COSTO]]+SALIDAS[[#This Row],[IGV]]+SALIDAS[[#This Row],[INAFECTO]]</f>
        <v>300</v>
      </c>
      <c r="Q325" s="151" t="s">
        <v>450</v>
      </c>
    </row>
    <row r="326" spans="1:17" x14ac:dyDescent="0.25">
      <c r="A326" s="56">
        <v>320</v>
      </c>
      <c r="B326" s="64">
        <v>43592</v>
      </c>
      <c r="C326" s="30" t="str">
        <f>TEXT(SALIDAS[[#This Row],[FECHA]],"mmmm")</f>
        <v>Mayo</v>
      </c>
      <c r="D326" s="27" t="s">
        <v>12</v>
      </c>
      <c r="E326" s="55" t="s">
        <v>872</v>
      </c>
      <c r="F326" s="65">
        <v>13</v>
      </c>
      <c r="G326" s="146" t="s">
        <v>375</v>
      </c>
      <c r="H326" s="146" t="s">
        <v>132</v>
      </c>
      <c r="I326" s="147" t="str">
        <f ca="1">OFFSET(OT[[#Headers],[T. CUENTA]],MATCH($H326,OT[T. CUENTA],0),1)</f>
        <v>GASTOS ADMINISTRATIVOS</v>
      </c>
      <c r="J326" s="147" t="s">
        <v>158</v>
      </c>
      <c r="K326" s="146" t="s">
        <v>65</v>
      </c>
      <c r="L326" s="148">
        <v>1</v>
      </c>
      <c r="M326" s="149">
        <v>40</v>
      </c>
      <c r="N326" s="150">
        <v>0</v>
      </c>
      <c r="O326" s="150"/>
      <c r="P326" s="152">
        <f>SALIDAS[[#This Row],[COSTO]]+SALIDAS[[#This Row],[IGV]]+SALIDAS[[#This Row],[INAFECTO]]</f>
        <v>40</v>
      </c>
      <c r="Q326" s="151" t="s">
        <v>875</v>
      </c>
    </row>
    <row r="327" spans="1:17" x14ac:dyDescent="0.25">
      <c r="A327" s="56">
        <v>321</v>
      </c>
      <c r="B327" s="64">
        <v>43592</v>
      </c>
      <c r="C327" s="30" t="str">
        <f>TEXT(SALIDAS[[#This Row],[FECHA]],"mmmm")</f>
        <v>Mayo</v>
      </c>
      <c r="D327" s="27" t="s">
        <v>12</v>
      </c>
      <c r="E327" s="55" t="s">
        <v>873</v>
      </c>
      <c r="F327" s="65">
        <v>13</v>
      </c>
      <c r="G327" s="146" t="s">
        <v>874</v>
      </c>
      <c r="H327" s="146" t="s">
        <v>198</v>
      </c>
      <c r="I327" s="147" t="str">
        <f ca="1">OFFSET(OT[[#Headers],[T. CUENTA]],MATCH($H327,OT[T. CUENTA],0),1)</f>
        <v>GASTOS PRESTADOS POR TERCEROS</v>
      </c>
      <c r="J327" s="147" t="s">
        <v>158</v>
      </c>
      <c r="K327" s="146" t="s">
        <v>65</v>
      </c>
      <c r="L327" s="148">
        <v>1</v>
      </c>
      <c r="M327" s="149">
        <v>80</v>
      </c>
      <c r="N327" s="150">
        <v>0</v>
      </c>
      <c r="O327" s="150"/>
      <c r="P327" s="152">
        <f>SALIDAS[[#This Row],[COSTO]]+SALIDAS[[#This Row],[IGV]]+SALIDAS[[#This Row],[INAFECTO]]</f>
        <v>80</v>
      </c>
      <c r="Q327" s="151" t="s">
        <v>875</v>
      </c>
    </row>
    <row r="328" spans="1:17" x14ac:dyDescent="0.25">
      <c r="A328" s="56">
        <v>322</v>
      </c>
      <c r="B328" s="64">
        <v>43592</v>
      </c>
      <c r="C328" s="30" t="str">
        <f>TEXT(SALIDAS[[#This Row],[FECHA]],"mmmm")</f>
        <v>Mayo</v>
      </c>
      <c r="D328" s="27" t="s">
        <v>12</v>
      </c>
      <c r="E328" s="55" t="s">
        <v>876</v>
      </c>
      <c r="F328" s="65">
        <v>13</v>
      </c>
      <c r="G328" s="146" t="s">
        <v>877</v>
      </c>
      <c r="H328" s="146" t="s">
        <v>132</v>
      </c>
      <c r="I328" s="147" t="str">
        <f ca="1">OFFSET(OT[[#Headers],[T. CUENTA]],MATCH($H328,OT[T. CUENTA],0),1)</f>
        <v>GASTOS ADMINISTRATIVOS</v>
      </c>
      <c r="J328" s="147" t="s">
        <v>158</v>
      </c>
      <c r="K328" s="146" t="s">
        <v>65</v>
      </c>
      <c r="L328" s="148">
        <v>1</v>
      </c>
      <c r="M328" s="149">
        <v>25</v>
      </c>
      <c r="N328" s="150">
        <v>0</v>
      </c>
      <c r="O328" s="150"/>
      <c r="P328" s="152">
        <f>SALIDAS[[#This Row],[COSTO]]+SALIDAS[[#This Row],[IGV]]+SALIDAS[[#This Row],[INAFECTO]]</f>
        <v>25</v>
      </c>
      <c r="Q328" s="151" t="s">
        <v>342</v>
      </c>
    </row>
    <row r="329" spans="1:17" x14ac:dyDescent="0.25">
      <c r="A329" s="56">
        <v>323</v>
      </c>
      <c r="B329" s="64">
        <v>43592</v>
      </c>
      <c r="C329" s="30" t="str">
        <f>TEXT(SALIDAS[[#This Row],[FECHA]],"mmmm")</f>
        <v>Mayo</v>
      </c>
      <c r="D329" s="27" t="s">
        <v>12</v>
      </c>
      <c r="E329" s="55" t="s">
        <v>878</v>
      </c>
      <c r="F329" s="65">
        <v>13</v>
      </c>
      <c r="G329" s="146" t="s">
        <v>879</v>
      </c>
      <c r="H329" s="146" t="s">
        <v>425</v>
      </c>
      <c r="I329" s="147" t="str">
        <f ca="1">OFFSET(OT[[#Headers],[T. CUENTA]],MATCH($H329,OT[T. CUENTA],0),1)</f>
        <v>COSTO DIRECTO</v>
      </c>
      <c r="J329" s="147" t="s">
        <v>158</v>
      </c>
      <c r="K329" s="146" t="s">
        <v>65</v>
      </c>
      <c r="L329" s="148">
        <v>1</v>
      </c>
      <c r="M329" s="149">
        <v>21.78</v>
      </c>
      <c r="N329" s="150">
        <f>SALIDAS[[#This Row],[COSTO]]*0.18</f>
        <v>3.9203999999999999</v>
      </c>
      <c r="O329" s="150"/>
      <c r="P329" s="152">
        <f>SALIDAS[[#This Row],[COSTO]]+SALIDAS[[#This Row],[IGV]]+SALIDAS[[#This Row],[INAFECTO]]</f>
        <v>25.700400000000002</v>
      </c>
      <c r="Q329" s="151" t="s">
        <v>378</v>
      </c>
    </row>
    <row r="330" spans="1:17" x14ac:dyDescent="0.25">
      <c r="A330" s="56">
        <v>324</v>
      </c>
      <c r="B330" s="64">
        <v>43593</v>
      </c>
      <c r="C330" s="30" t="str">
        <f>TEXT(SALIDAS[[#This Row],[FECHA]],"mmmm")</f>
        <v>Mayo</v>
      </c>
      <c r="D330" s="27" t="s">
        <v>141</v>
      </c>
      <c r="E330" s="55" t="s">
        <v>880</v>
      </c>
      <c r="F330" s="65">
        <v>13</v>
      </c>
      <c r="G330" s="146" t="s">
        <v>881</v>
      </c>
      <c r="H330" s="21" t="s">
        <v>126</v>
      </c>
      <c r="I330" s="26" t="str">
        <f ca="1">OFFSET(OT[[#Headers],[T. CUENTA]],MATCH($H330,OT[T. CUENTA],0),1)</f>
        <v>GASTOS DE PERSONAL</v>
      </c>
      <c r="J330" s="147" t="s">
        <v>158</v>
      </c>
      <c r="K330" s="146" t="s">
        <v>65</v>
      </c>
      <c r="L330" s="148">
        <v>1</v>
      </c>
      <c r="M330" s="149">
        <v>27</v>
      </c>
      <c r="N330" s="150">
        <v>0</v>
      </c>
      <c r="O330" s="150"/>
      <c r="P330" s="152">
        <f>SALIDAS[[#This Row],[COSTO]]+SALIDAS[[#This Row],[IGV]]+SALIDAS[[#This Row],[INAFECTO]]</f>
        <v>27</v>
      </c>
      <c r="Q330" s="151" t="s">
        <v>882</v>
      </c>
    </row>
    <row r="331" spans="1:17" x14ac:dyDescent="0.25">
      <c r="A331" s="56">
        <v>325</v>
      </c>
      <c r="B331" s="64">
        <v>43593</v>
      </c>
      <c r="C331" s="30" t="str">
        <f>TEXT(SALIDAS[[#This Row],[FECHA]],"mmmm")</f>
        <v>Mayo</v>
      </c>
      <c r="D331" s="27" t="s">
        <v>10</v>
      </c>
      <c r="E331" s="55" t="s">
        <v>883</v>
      </c>
      <c r="F331" s="65">
        <v>13</v>
      </c>
      <c r="G331" s="146" t="s">
        <v>884</v>
      </c>
      <c r="H331" s="146" t="s">
        <v>93</v>
      </c>
      <c r="I331" s="147" t="str">
        <f ca="1">OFFSET(OT[[#Headers],[T. CUENTA]],MATCH($H331,OT[T. CUENTA],0),1)</f>
        <v>GASTOS DE PERSONAL</v>
      </c>
      <c r="J331" s="147" t="s">
        <v>158</v>
      </c>
      <c r="K331" s="146" t="s">
        <v>65</v>
      </c>
      <c r="L331" s="148">
        <v>1</v>
      </c>
      <c r="M331" s="149">
        <v>33.9</v>
      </c>
      <c r="N331" s="150">
        <f>SALIDAS[[#This Row],[COSTO]]*0.18</f>
        <v>6.1019999999999994</v>
      </c>
      <c r="O331" s="150"/>
      <c r="P331" s="152">
        <f>SALIDAS[[#This Row],[COSTO]]+SALIDAS[[#This Row],[IGV]]+SALIDAS[[#This Row],[INAFECTO]]</f>
        <v>40.001999999999995</v>
      </c>
      <c r="Q331" s="151" t="s">
        <v>885</v>
      </c>
    </row>
    <row r="332" spans="1:17" x14ac:dyDescent="0.25">
      <c r="A332" s="56">
        <v>326</v>
      </c>
      <c r="B332" s="64">
        <v>43594</v>
      </c>
      <c r="C332" s="30" t="str">
        <f>TEXT(SALIDAS[[#This Row],[FECHA]],"mmmm")</f>
        <v>Mayo</v>
      </c>
      <c r="D332" s="27" t="s">
        <v>138</v>
      </c>
      <c r="E332" s="55" t="s">
        <v>886</v>
      </c>
      <c r="F332" s="65">
        <v>13</v>
      </c>
      <c r="G332" s="146" t="s">
        <v>887</v>
      </c>
      <c r="H332" s="146" t="s">
        <v>127</v>
      </c>
      <c r="I332" s="147" t="str">
        <f ca="1">OFFSET(OT[[#Headers],[T. CUENTA]],MATCH($H332,OT[T. CUENTA],0),1)</f>
        <v>GASTOS PRESTADOS POR TERCEROS</v>
      </c>
      <c r="J332" s="147" t="s">
        <v>158</v>
      </c>
      <c r="K332" s="146" t="s">
        <v>65</v>
      </c>
      <c r="L332" s="148">
        <v>1</v>
      </c>
      <c r="M332" s="149">
        <v>390</v>
      </c>
      <c r="N332" s="150">
        <v>0</v>
      </c>
      <c r="O332" s="150"/>
      <c r="P332" s="152">
        <f>SALIDAS[[#This Row],[COSTO]]+SALIDAS[[#This Row],[IGV]]+SALIDAS[[#This Row],[INAFECTO]]</f>
        <v>390</v>
      </c>
      <c r="Q332" s="151" t="s">
        <v>792</v>
      </c>
    </row>
    <row r="333" spans="1:17" x14ac:dyDescent="0.25">
      <c r="A333" s="56">
        <v>327</v>
      </c>
      <c r="B333" s="64">
        <v>43595</v>
      </c>
      <c r="C333" s="30" t="str">
        <f>TEXT(SALIDAS[[#This Row],[FECHA]],"mmmm")</f>
        <v>Mayo</v>
      </c>
      <c r="D333" s="27" t="s">
        <v>10</v>
      </c>
      <c r="E333" s="55" t="s">
        <v>888</v>
      </c>
      <c r="F333" s="65">
        <v>13</v>
      </c>
      <c r="G333" s="146" t="s">
        <v>889</v>
      </c>
      <c r="H333" s="146" t="s">
        <v>890</v>
      </c>
      <c r="I333" s="147" t="str">
        <f ca="1">OFFSET(OT[[#Headers],[T. CUENTA]],MATCH($H333,OT[T. CUENTA],0),1)</f>
        <v>COSTO DIRECTO</v>
      </c>
      <c r="J333" s="147" t="s">
        <v>158</v>
      </c>
      <c r="K333" s="146" t="s">
        <v>65</v>
      </c>
      <c r="L333" s="148">
        <v>1</v>
      </c>
      <c r="M333" s="149">
        <v>84.75</v>
      </c>
      <c r="N333" s="150">
        <f>SALIDAS[[#This Row],[COSTO]]*0.18</f>
        <v>15.254999999999999</v>
      </c>
      <c r="O333" s="150"/>
      <c r="P333" s="152">
        <f>SALIDAS[[#This Row],[COSTO]]+SALIDAS[[#This Row],[IGV]]+SALIDAS[[#This Row],[INAFECTO]]</f>
        <v>100.005</v>
      </c>
      <c r="Q333" s="151" t="s">
        <v>891</v>
      </c>
    </row>
    <row r="334" spans="1:17" x14ac:dyDescent="0.25">
      <c r="A334" s="167">
        <v>328</v>
      </c>
      <c r="B334" s="64">
        <v>43576</v>
      </c>
      <c r="C334" s="30" t="str">
        <f>TEXT(SALIDAS[[#This Row],[FECHA]],"mmmm")</f>
        <v>Abril</v>
      </c>
      <c r="D334" s="27" t="s">
        <v>141</v>
      </c>
      <c r="E334" s="55" t="s">
        <v>905</v>
      </c>
      <c r="F334" s="65">
        <v>14</v>
      </c>
      <c r="G334" s="146" t="s">
        <v>906</v>
      </c>
      <c r="H334" s="146" t="s">
        <v>126</v>
      </c>
      <c r="I334" s="147" t="str">
        <f ca="1">OFFSET(OT[[#Headers],[T. CUENTA]],MATCH($H334,OT[T. CUENTA],0),1)</f>
        <v>GASTOS DE PERSONAL</v>
      </c>
      <c r="J334" s="147" t="s">
        <v>158</v>
      </c>
      <c r="K334" s="146" t="s">
        <v>65</v>
      </c>
      <c r="L334" s="148">
        <v>1</v>
      </c>
      <c r="M334" s="149">
        <v>50</v>
      </c>
      <c r="N334" s="150">
        <v>0</v>
      </c>
      <c r="O334" s="150"/>
      <c r="P334" s="152">
        <f>SALIDAS[[#This Row],[COSTO]]+SALIDAS[[#This Row],[IGV]]+SALIDAS[[#This Row],[INAFECTO]]</f>
        <v>50</v>
      </c>
      <c r="Q334" s="151" t="s">
        <v>500</v>
      </c>
    </row>
    <row r="335" spans="1:17" x14ac:dyDescent="0.25">
      <c r="A335" s="167">
        <v>329</v>
      </c>
      <c r="B335" s="64">
        <v>43586</v>
      </c>
      <c r="C335" s="30" t="str">
        <f>TEXT(SALIDAS[[#This Row],[FECHA]],"mmmm")</f>
        <v>Mayo</v>
      </c>
      <c r="D335" s="27" t="s">
        <v>135</v>
      </c>
      <c r="E335" s="55" t="s">
        <v>907</v>
      </c>
      <c r="F335" s="65">
        <v>14</v>
      </c>
      <c r="G335" s="146" t="s">
        <v>908</v>
      </c>
      <c r="H335" s="146" t="s">
        <v>126</v>
      </c>
      <c r="I335" s="147" t="str">
        <f ca="1">OFFSET(OT[[#Headers],[T. CUENTA]],MATCH($H335,OT[T. CUENTA],0),1)</f>
        <v>GASTOS DE PERSONAL</v>
      </c>
      <c r="J335" s="147" t="s">
        <v>158</v>
      </c>
      <c r="K335" s="146" t="s">
        <v>65</v>
      </c>
      <c r="L335" s="148">
        <v>1</v>
      </c>
      <c r="M335" s="149">
        <v>210.65</v>
      </c>
      <c r="N335" s="150">
        <v>0</v>
      </c>
      <c r="O335" s="150"/>
      <c r="P335" s="152">
        <f>SALIDAS[[#This Row],[COSTO]]+SALIDAS[[#This Row],[IGV]]+SALIDAS[[#This Row],[INAFECTO]]</f>
        <v>210.65</v>
      </c>
      <c r="Q335" s="151" t="s">
        <v>500</v>
      </c>
    </row>
    <row r="336" spans="1:17" x14ac:dyDescent="0.25">
      <c r="A336" s="167">
        <v>330</v>
      </c>
      <c r="B336" s="64">
        <v>43592</v>
      </c>
      <c r="C336" s="30" t="str">
        <f>TEXT(SALIDAS[[#This Row],[FECHA]],"mmmm")</f>
        <v>Mayo</v>
      </c>
      <c r="D336" s="27" t="s">
        <v>135</v>
      </c>
      <c r="E336" s="55" t="s">
        <v>909</v>
      </c>
      <c r="F336" s="65">
        <v>14</v>
      </c>
      <c r="G336" s="146" t="s">
        <v>651</v>
      </c>
      <c r="H336" s="146" t="s">
        <v>107</v>
      </c>
      <c r="I336" s="147" t="str">
        <f ca="1">OFFSET(OT[[#Headers],[T. CUENTA]],MATCH($H336,OT[T. CUENTA],0),1)</f>
        <v>GASTOS PRESTADOS POR TERCEROS</v>
      </c>
      <c r="J336" s="147" t="s">
        <v>158</v>
      </c>
      <c r="K336" s="146" t="s">
        <v>65</v>
      </c>
      <c r="L336" s="148">
        <v>1</v>
      </c>
      <c r="M336" s="149">
        <v>10.17</v>
      </c>
      <c r="N336" s="150">
        <f>SALIDAS[[#This Row],[COSTO]]*0.18</f>
        <v>1.8306</v>
      </c>
      <c r="O336" s="150"/>
      <c r="P336" s="152">
        <f>SALIDAS[[#This Row],[COSTO]]+SALIDAS[[#This Row],[IGV]]+SALIDAS[[#This Row],[INAFECTO]]</f>
        <v>12.0006</v>
      </c>
      <c r="Q336" s="151" t="s">
        <v>351</v>
      </c>
    </row>
    <row r="337" spans="1:17" x14ac:dyDescent="0.25">
      <c r="A337" s="167">
        <v>331</v>
      </c>
      <c r="B337" s="64">
        <v>43595</v>
      </c>
      <c r="C337" s="30" t="str">
        <f>TEXT(SALIDAS[[#This Row],[FECHA]],"mmmm")</f>
        <v>Mayo</v>
      </c>
      <c r="D337" s="27" t="s">
        <v>10</v>
      </c>
      <c r="E337" s="55" t="s">
        <v>910</v>
      </c>
      <c r="F337" s="65">
        <v>14</v>
      </c>
      <c r="G337" s="146" t="s">
        <v>911</v>
      </c>
      <c r="H337" s="146" t="s">
        <v>85</v>
      </c>
      <c r="I337" s="147" t="str">
        <f ca="1">OFFSET(OT[[#Headers],[T. CUENTA]],MATCH($H337,OT[T. CUENTA],0),1)</f>
        <v>COSTO DIRECTO</v>
      </c>
      <c r="J337" s="147" t="s">
        <v>228</v>
      </c>
      <c r="K337" s="146" t="s">
        <v>65</v>
      </c>
      <c r="L337" s="148">
        <v>1</v>
      </c>
      <c r="M337" s="149">
        <v>207.63</v>
      </c>
      <c r="N337" s="150">
        <f>SALIDAS[[#This Row],[COSTO]]*0.18</f>
        <v>37.373399999999997</v>
      </c>
      <c r="O337" s="150"/>
      <c r="P337" s="152">
        <f>SALIDAS[[#This Row],[COSTO]]+SALIDAS[[#This Row],[IGV]]+SALIDAS[[#This Row],[INAFECTO]]</f>
        <v>245.0034</v>
      </c>
      <c r="Q337" s="151" t="s">
        <v>912</v>
      </c>
    </row>
    <row r="338" spans="1:17" x14ac:dyDescent="0.25">
      <c r="A338" s="167">
        <v>332</v>
      </c>
      <c r="B338" s="64">
        <v>43595</v>
      </c>
      <c r="C338" s="30" t="str">
        <f>TEXT(SALIDAS[[#This Row],[FECHA]],"mmmm")</f>
        <v>Mayo</v>
      </c>
      <c r="D338" s="27" t="s">
        <v>10</v>
      </c>
      <c r="E338" s="55" t="s">
        <v>913</v>
      </c>
      <c r="F338" s="65">
        <v>14</v>
      </c>
      <c r="G338" s="146" t="s">
        <v>914</v>
      </c>
      <c r="H338" s="146" t="s">
        <v>89</v>
      </c>
      <c r="I338" s="147" t="str">
        <f ca="1">OFFSET(OT[[#Headers],[T. CUENTA]],MATCH($H338,OT[T. CUENTA],0),1)</f>
        <v>COSTO DIRECTO</v>
      </c>
      <c r="J338" s="147" t="s">
        <v>158</v>
      </c>
      <c r="K338" s="146" t="s">
        <v>65</v>
      </c>
      <c r="L338" s="148">
        <v>1</v>
      </c>
      <c r="M338" s="149">
        <v>338.98</v>
      </c>
      <c r="N338" s="150">
        <f>SALIDAS[[#This Row],[COSTO]]*0.18</f>
        <v>61.016400000000004</v>
      </c>
      <c r="O338" s="150"/>
      <c r="P338" s="152">
        <f>SALIDAS[[#This Row],[COSTO]]+SALIDAS[[#This Row],[IGV]]+SALIDAS[[#This Row],[INAFECTO]]</f>
        <v>399.99639999999999</v>
      </c>
      <c r="Q338" s="151" t="s">
        <v>868</v>
      </c>
    </row>
    <row r="339" spans="1:17" x14ac:dyDescent="0.25">
      <c r="A339" s="167">
        <v>333</v>
      </c>
      <c r="B339" s="64">
        <v>43596</v>
      </c>
      <c r="C339" s="30" t="str">
        <f>TEXT(SALIDAS[[#This Row],[FECHA]],"mmmm")</f>
        <v>Mayo</v>
      </c>
      <c r="D339" s="27" t="s">
        <v>135</v>
      </c>
      <c r="E339" s="55" t="s">
        <v>915</v>
      </c>
      <c r="F339" s="65">
        <v>14</v>
      </c>
      <c r="G339" s="146" t="s">
        <v>916</v>
      </c>
      <c r="H339" s="146" t="s">
        <v>94</v>
      </c>
      <c r="I339" s="147" t="str">
        <f ca="1">OFFSET(OT[[#Headers],[T. CUENTA]],MATCH($H339,OT[T. CUENTA],0),1)</f>
        <v>GASTOS DE PERSONAL</v>
      </c>
      <c r="J339" s="147" t="s">
        <v>158</v>
      </c>
      <c r="K339" s="146" t="s">
        <v>65</v>
      </c>
      <c r="L339" s="148">
        <v>1</v>
      </c>
      <c r="M339" s="149">
        <v>33.9</v>
      </c>
      <c r="N339" s="150">
        <f>SALIDAS[[#This Row],[COSTO]]*0.18</f>
        <v>6.1019999999999994</v>
      </c>
      <c r="O339" s="150"/>
      <c r="P339" s="152">
        <f>SALIDAS[[#This Row],[COSTO]]+SALIDAS[[#This Row],[IGV]]+SALIDAS[[#This Row],[INAFECTO]]</f>
        <v>40.001999999999995</v>
      </c>
      <c r="Q339" s="151" t="s">
        <v>917</v>
      </c>
    </row>
    <row r="340" spans="1:17" x14ac:dyDescent="0.25">
      <c r="A340" s="167">
        <v>334</v>
      </c>
      <c r="B340" s="64">
        <v>43596</v>
      </c>
      <c r="C340" s="30" t="str">
        <f>TEXT(SALIDAS[[#This Row],[FECHA]],"mmmm")</f>
        <v>Mayo</v>
      </c>
      <c r="D340" s="27" t="s">
        <v>10</v>
      </c>
      <c r="E340" s="55" t="s">
        <v>918</v>
      </c>
      <c r="F340" s="65">
        <v>14</v>
      </c>
      <c r="G340" s="146" t="s">
        <v>919</v>
      </c>
      <c r="H340" s="146" t="s">
        <v>85</v>
      </c>
      <c r="I340" s="147" t="str">
        <f ca="1">OFFSET(OT[[#Headers],[T. CUENTA]],MATCH($H340,OT[T. CUENTA],0),1)</f>
        <v>COSTO DIRECTO</v>
      </c>
      <c r="J340" s="147" t="s">
        <v>228</v>
      </c>
      <c r="K340" s="146" t="s">
        <v>65</v>
      </c>
      <c r="L340" s="148">
        <v>1</v>
      </c>
      <c r="M340" s="149">
        <v>42.37</v>
      </c>
      <c r="N340" s="150">
        <f>SALIDAS[[#This Row],[COSTO]]*0.18</f>
        <v>7.6265999999999989</v>
      </c>
      <c r="O340" s="150"/>
      <c r="P340" s="152">
        <f>SALIDAS[[#This Row],[COSTO]]+SALIDAS[[#This Row],[IGV]]+SALIDAS[[#This Row],[INAFECTO]]</f>
        <v>49.996599999999994</v>
      </c>
      <c r="Q340" s="151" t="s">
        <v>920</v>
      </c>
    </row>
    <row r="341" spans="1:17" x14ac:dyDescent="0.25">
      <c r="A341" s="167">
        <v>335</v>
      </c>
      <c r="B341" s="64">
        <v>43596</v>
      </c>
      <c r="C341" s="30" t="str">
        <f>TEXT(SALIDAS[[#This Row],[FECHA]],"mmmm")</f>
        <v>Mayo</v>
      </c>
      <c r="D341" s="27" t="s">
        <v>135</v>
      </c>
      <c r="E341" s="55" t="s">
        <v>921</v>
      </c>
      <c r="F341" s="65">
        <v>14</v>
      </c>
      <c r="G341" s="146" t="s">
        <v>922</v>
      </c>
      <c r="H341" s="146" t="s">
        <v>194</v>
      </c>
      <c r="I341" s="147" t="str">
        <f ca="1">OFFSET(OT[[#Headers],[T. CUENTA]],MATCH($H341,OT[T. CUENTA],0),1)</f>
        <v>GASTOS PRESTADOS POR TERCEROS</v>
      </c>
      <c r="J341" s="147" t="s">
        <v>158</v>
      </c>
      <c r="K341" s="146" t="s">
        <v>65</v>
      </c>
      <c r="L341" s="148">
        <v>1</v>
      </c>
      <c r="M341" s="149">
        <v>5.76</v>
      </c>
      <c r="N341" s="150">
        <f>SALIDAS[[#This Row],[COSTO]]*0.18</f>
        <v>1.0367999999999999</v>
      </c>
      <c r="O341" s="150"/>
      <c r="P341" s="152">
        <f>SALIDAS[[#This Row],[COSTO]]+SALIDAS[[#This Row],[IGV]]+SALIDAS[[#This Row],[INAFECTO]]</f>
        <v>6.7967999999999993</v>
      </c>
      <c r="Q341" s="151" t="s">
        <v>217</v>
      </c>
    </row>
    <row r="342" spans="1:17" x14ac:dyDescent="0.25">
      <c r="A342" s="167">
        <v>336</v>
      </c>
      <c r="B342" s="64">
        <v>43596</v>
      </c>
      <c r="C342" s="30" t="str">
        <f>TEXT(SALIDAS[[#This Row],[FECHA]],"mmmm")</f>
        <v>Mayo</v>
      </c>
      <c r="D342" s="27" t="s">
        <v>135</v>
      </c>
      <c r="E342" s="55" t="s">
        <v>923</v>
      </c>
      <c r="F342" s="65">
        <v>14</v>
      </c>
      <c r="G342" s="146" t="s">
        <v>922</v>
      </c>
      <c r="H342" s="146" t="s">
        <v>194</v>
      </c>
      <c r="I342" s="147" t="str">
        <f ca="1">OFFSET(OT[[#Headers],[T. CUENTA]],MATCH($H342,OT[T. CUENTA],0),1)</f>
        <v>GASTOS PRESTADOS POR TERCEROS</v>
      </c>
      <c r="J342" s="147" t="s">
        <v>158</v>
      </c>
      <c r="K342" s="146" t="s">
        <v>65</v>
      </c>
      <c r="L342" s="148">
        <v>1</v>
      </c>
      <c r="M342" s="149">
        <v>5.76</v>
      </c>
      <c r="N342" s="150">
        <f>SALIDAS[[#This Row],[COSTO]]*0.18</f>
        <v>1.0367999999999999</v>
      </c>
      <c r="O342" s="150"/>
      <c r="P342" s="152">
        <f>SALIDAS[[#This Row],[COSTO]]+SALIDAS[[#This Row],[IGV]]+SALIDAS[[#This Row],[INAFECTO]]</f>
        <v>6.7967999999999993</v>
      </c>
      <c r="Q342" s="151" t="s">
        <v>217</v>
      </c>
    </row>
    <row r="343" spans="1:17" x14ac:dyDescent="0.25">
      <c r="A343" s="167">
        <v>337</v>
      </c>
      <c r="B343" s="64">
        <v>43596</v>
      </c>
      <c r="C343" s="30" t="str">
        <f>TEXT(SALIDAS[[#This Row],[FECHA]],"mmmm")</f>
        <v>Mayo</v>
      </c>
      <c r="D343" s="27" t="s">
        <v>135</v>
      </c>
      <c r="E343" s="55" t="s">
        <v>924</v>
      </c>
      <c r="F343" s="65">
        <v>14</v>
      </c>
      <c r="G343" s="146" t="s">
        <v>230</v>
      </c>
      <c r="H343" s="146" t="s">
        <v>132</v>
      </c>
      <c r="I343" s="147" t="str">
        <f ca="1">OFFSET(OT[[#Headers],[T. CUENTA]],MATCH($H343,OT[T. CUENTA],0),1)</f>
        <v>GASTOS ADMINISTRATIVOS</v>
      </c>
      <c r="J343" s="147" t="s">
        <v>158</v>
      </c>
      <c r="K343" s="146" t="s">
        <v>65</v>
      </c>
      <c r="L343" s="148">
        <v>1</v>
      </c>
      <c r="M343" s="149">
        <v>10.43</v>
      </c>
      <c r="N343" s="150">
        <f>SALIDAS[[#This Row],[COSTO]]*0.18</f>
        <v>1.8774</v>
      </c>
      <c r="O343" s="150"/>
      <c r="P343" s="152">
        <f>SALIDAS[[#This Row],[COSTO]]+SALIDAS[[#This Row],[IGV]]+SALIDAS[[#This Row],[INAFECTO]]</f>
        <v>12.307399999999999</v>
      </c>
      <c r="Q343" s="151" t="s">
        <v>925</v>
      </c>
    </row>
    <row r="344" spans="1:17" x14ac:dyDescent="0.25">
      <c r="A344" s="167">
        <v>338</v>
      </c>
      <c r="B344" s="64">
        <v>43596</v>
      </c>
      <c r="C344" s="30" t="str">
        <f>TEXT(SALIDAS[[#This Row],[FECHA]],"mmmm")</f>
        <v>Mayo</v>
      </c>
      <c r="D344" s="27" t="s">
        <v>135</v>
      </c>
      <c r="E344" s="55" t="s">
        <v>926</v>
      </c>
      <c r="F344" s="65">
        <v>14</v>
      </c>
      <c r="G344" s="146" t="s">
        <v>927</v>
      </c>
      <c r="H344" s="146" t="s">
        <v>85</v>
      </c>
      <c r="I344" s="147" t="str">
        <f ca="1">OFFSET(OT[[#Headers],[T. CUENTA]],MATCH($H344,OT[T. CUENTA],0),1)</f>
        <v>COSTO DIRECTO</v>
      </c>
      <c r="J344" s="147" t="s">
        <v>228</v>
      </c>
      <c r="K344" s="146" t="s">
        <v>65</v>
      </c>
      <c r="L344" s="148">
        <v>1</v>
      </c>
      <c r="M344" s="149">
        <v>142.37</v>
      </c>
      <c r="N344" s="150">
        <f>SALIDAS[[#This Row],[COSTO]]*0.18</f>
        <v>25.6266</v>
      </c>
      <c r="O344" s="150"/>
      <c r="P344" s="152">
        <f>SALIDAS[[#This Row],[COSTO]]+SALIDAS[[#This Row],[IGV]]+SALIDAS[[#This Row],[INAFECTO]]</f>
        <v>167.9966</v>
      </c>
      <c r="Q344" s="151" t="s">
        <v>928</v>
      </c>
    </row>
    <row r="345" spans="1:17" x14ac:dyDescent="0.25">
      <c r="A345" s="167">
        <v>339</v>
      </c>
      <c r="B345" s="64">
        <v>43598</v>
      </c>
      <c r="C345" s="30" t="str">
        <f>TEXT(SALIDAS[[#This Row],[FECHA]],"mmmm")</f>
        <v>Mayo</v>
      </c>
      <c r="D345" s="27" t="s">
        <v>135</v>
      </c>
      <c r="E345" s="55" t="s">
        <v>929</v>
      </c>
      <c r="F345" s="65">
        <v>14</v>
      </c>
      <c r="G345" s="146" t="s">
        <v>930</v>
      </c>
      <c r="H345" s="146" t="s">
        <v>126</v>
      </c>
      <c r="I345" s="147" t="str">
        <f ca="1">OFFSET(OT[[#Headers],[T. CUENTA]],MATCH($H345,OT[T. CUENTA],0),1)</f>
        <v>GASTOS DE PERSONAL</v>
      </c>
      <c r="J345" s="147" t="s">
        <v>158</v>
      </c>
      <c r="K345" s="146" t="s">
        <v>65</v>
      </c>
      <c r="L345" s="148">
        <v>1</v>
      </c>
      <c r="M345" s="149">
        <v>174.58</v>
      </c>
      <c r="N345" s="150">
        <f>SALIDAS[[#This Row],[COSTO]]*0.18</f>
        <v>31.424400000000002</v>
      </c>
      <c r="O345" s="150"/>
      <c r="P345" s="152">
        <f>SALIDAS[[#This Row],[COSTO]]+SALIDAS[[#This Row],[IGV]]+SALIDAS[[#This Row],[INAFECTO]]</f>
        <v>206.0044</v>
      </c>
      <c r="Q345" s="151" t="s">
        <v>223</v>
      </c>
    </row>
    <row r="346" spans="1:17" x14ac:dyDescent="0.25">
      <c r="A346" s="167">
        <v>340</v>
      </c>
      <c r="B346" s="64">
        <v>43598</v>
      </c>
      <c r="C346" s="30" t="str">
        <f>TEXT(SALIDAS[[#This Row],[FECHA]],"mmmm")</f>
        <v>Mayo</v>
      </c>
      <c r="D346" s="27" t="s">
        <v>135</v>
      </c>
      <c r="E346" s="55" t="s">
        <v>931</v>
      </c>
      <c r="F346" s="65">
        <v>14</v>
      </c>
      <c r="G346" s="146" t="s">
        <v>932</v>
      </c>
      <c r="H346" s="146" t="s">
        <v>126</v>
      </c>
      <c r="I346" s="147" t="str">
        <f ca="1">OFFSET(OT[[#Headers],[T. CUENTA]],MATCH($H346,OT[T. CUENTA],0),1)</f>
        <v>GASTOS DE PERSONAL</v>
      </c>
      <c r="J346" s="147" t="s">
        <v>158</v>
      </c>
      <c r="K346" s="146" t="s">
        <v>65</v>
      </c>
      <c r="L346" s="148">
        <v>1</v>
      </c>
      <c r="M346" s="149">
        <v>350</v>
      </c>
      <c r="N346" s="150">
        <f>SALIDAS[[#This Row],[COSTO]]*0.18</f>
        <v>63</v>
      </c>
      <c r="O346" s="150"/>
      <c r="P346" s="152">
        <f>SALIDAS[[#This Row],[COSTO]]+SALIDAS[[#This Row],[IGV]]+SALIDAS[[#This Row],[INAFECTO]]</f>
        <v>413</v>
      </c>
      <c r="Q346" s="151" t="s">
        <v>223</v>
      </c>
    </row>
    <row r="347" spans="1:17" x14ac:dyDescent="0.25">
      <c r="A347" s="167">
        <v>341</v>
      </c>
      <c r="B347" s="64">
        <v>43598</v>
      </c>
      <c r="C347" s="30" t="str">
        <f>TEXT(SALIDAS[[#This Row],[FECHA]],"mmmm")</f>
        <v>Mayo</v>
      </c>
      <c r="D347" s="27" t="s">
        <v>135</v>
      </c>
      <c r="E347" s="55" t="s">
        <v>933</v>
      </c>
      <c r="F347" s="65">
        <v>14</v>
      </c>
      <c r="G347" s="146" t="s">
        <v>934</v>
      </c>
      <c r="H347" s="146" t="s">
        <v>127</v>
      </c>
      <c r="I347" s="147" t="str">
        <f ca="1">OFFSET(OT[[#Headers],[T. CUENTA]],MATCH($H347,OT[T. CUENTA],0),1)</f>
        <v>GASTOS PRESTADOS POR TERCEROS</v>
      </c>
      <c r="J347" s="147" t="s">
        <v>158</v>
      </c>
      <c r="K347" s="146" t="s">
        <v>65</v>
      </c>
      <c r="L347" s="148">
        <v>1</v>
      </c>
      <c r="M347" s="149">
        <v>16.95</v>
      </c>
      <c r="N347" s="150">
        <f>SALIDAS[[#This Row],[COSTO]]*0.18</f>
        <v>3.0509999999999997</v>
      </c>
      <c r="O347" s="150"/>
      <c r="P347" s="152">
        <f>SALIDAS[[#This Row],[COSTO]]+SALIDAS[[#This Row],[IGV]]+SALIDAS[[#This Row],[INAFECTO]]</f>
        <v>20.000999999999998</v>
      </c>
      <c r="Q347" s="151" t="s">
        <v>223</v>
      </c>
    </row>
    <row r="348" spans="1:17" x14ac:dyDescent="0.25">
      <c r="A348" s="167">
        <v>342</v>
      </c>
      <c r="B348" s="64">
        <v>43599</v>
      </c>
      <c r="C348" s="30" t="str">
        <f>TEXT(SALIDAS[[#This Row],[FECHA]],"mmmm")</f>
        <v>Mayo</v>
      </c>
      <c r="D348" s="27" t="s">
        <v>135</v>
      </c>
      <c r="E348" s="55" t="s">
        <v>935</v>
      </c>
      <c r="F348" s="65">
        <v>14</v>
      </c>
      <c r="G348" s="146" t="s">
        <v>651</v>
      </c>
      <c r="H348" s="146" t="s">
        <v>107</v>
      </c>
      <c r="I348" s="147" t="str">
        <f ca="1">OFFSET(OT[[#Headers],[T. CUENTA]],MATCH($H348,OT[T. CUENTA],0),1)</f>
        <v>GASTOS PRESTADOS POR TERCEROS</v>
      </c>
      <c r="J348" s="147" t="s">
        <v>158</v>
      </c>
      <c r="K348" s="146" t="s">
        <v>65</v>
      </c>
      <c r="L348" s="148">
        <v>1</v>
      </c>
      <c r="M348" s="149">
        <v>10.17</v>
      </c>
      <c r="N348" s="150">
        <f>SALIDAS[[#This Row],[COSTO]]*0.18</f>
        <v>1.8306</v>
      </c>
      <c r="O348" s="150"/>
      <c r="P348" s="152">
        <f>SALIDAS[[#This Row],[COSTO]]+SALIDAS[[#This Row],[IGV]]+SALIDAS[[#This Row],[INAFECTO]]</f>
        <v>12.0006</v>
      </c>
      <c r="Q348" s="151" t="s">
        <v>351</v>
      </c>
    </row>
    <row r="349" spans="1:17" x14ac:dyDescent="0.25">
      <c r="A349" s="167">
        <v>343</v>
      </c>
      <c r="B349" s="64">
        <v>43601</v>
      </c>
      <c r="C349" s="30" t="str">
        <f>TEXT(SALIDAS[[#This Row],[FECHA]],"mmmm")</f>
        <v>Mayo</v>
      </c>
      <c r="D349" s="27" t="s">
        <v>12</v>
      </c>
      <c r="E349" s="55" t="s">
        <v>936</v>
      </c>
      <c r="F349" s="65">
        <v>14</v>
      </c>
      <c r="G349" s="146" t="s">
        <v>937</v>
      </c>
      <c r="H349" s="146" t="s">
        <v>127</v>
      </c>
      <c r="I349" s="147" t="str">
        <f ca="1">OFFSET(OT[[#Headers],[T. CUENTA]],MATCH($H349,OT[T. CUENTA],0),1)</f>
        <v>GASTOS PRESTADOS POR TERCEROS</v>
      </c>
      <c r="J349" s="147" t="s">
        <v>158</v>
      </c>
      <c r="K349" s="146" t="s">
        <v>65</v>
      </c>
      <c r="L349" s="148">
        <v>1</v>
      </c>
      <c r="M349" s="149">
        <v>200</v>
      </c>
      <c r="N349" s="150">
        <v>0</v>
      </c>
      <c r="O349" s="150"/>
      <c r="P349" s="152">
        <f>SALIDAS[[#This Row],[COSTO]]+SALIDAS[[#This Row],[IGV]]+SALIDAS[[#This Row],[INAFECTO]]</f>
        <v>200</v>
      </c>
      <c r="Q349" s="151" t="s">
        <v>792</v>
      </c>
    </row>
    <row r="350" spans="1:17" x14ac:dyDescent="0.25">
      <c r="A350" s="167">
        <v>344</v>
      </c>
      <c r="B350" s="64">
        <v>43603</v>
      </c>
      <c r="C350" s="30" t="str">
        <f>TEXT(SALIDAS[[#This Row],[FECHA]],"mmmm")</f>
        <v>Mayo</v>
      </c>
      <c r="D350" s="27" t="s">
        <v>135</v>
      </c>
      <c r="E350" s="55" t="s">
        <v>938</v>
      </c>
      <c r="F350" s="65">
        <v>14</v>
      </c>
      <c r="G350" s="146" t="s">
        <v>939</v>
      </c>
      <c r="H350" s="146" t="s">
        <v>85</v>
      </c>
      <c r="I350" s="147" t="str">
        <f ca="1">OFFSET(OT[[#Headers],[T. CUENTA]],MATCH($H350,OT[T. CUENTA],0),1)</f>
        <v>COSTO DIRECTO</v>
      </c>
      <c r="J350" s="147" t="s">
        <v>158</v>
      </c>
      <c r="K350" s="146" t="s">
        <v>65</v>
      </c>
      <c r="L350" s="148">
        <v>1</v>
      </c>
      <c r="M350" s="149">
        <v>29.66</v>
      </c>
      <c r="N350" s="150">
        <f>SALIDAS[[#This Row],[COSTO]]*0.18</f>
        <v>5.3388</v>
      </c>
      <c r="O350" s="150"/>
      <c r="P350" s="152">
        <f>SALIDAS[[#This Row],[COSTO]]+SALIDAS[[#This Row],[IGV]]+SALIDAS[[#This Row],[INAFECTO]]</f>
        <v>34.998800000000003</v>
      </c>
      <c r="Q350" s="151" t="s">
        <v>940</v>
      </c>
    </row>
    <row r="351" spans="1:17" x14ac:dyDescent="0.25">
      <c r="A351" s="167">
        <v>345</v>
      </c>
      <c r="B351" s="64">
        <v>43603</v>
      </c>
      <c r="C351" s="30" t="str">
        <f>TEXT(SALIDAS[[#This Row],[FECHA]],"mmmm")</f>
        <v>Mayo</v>
      </c>
      <c r="D351" s="27" t="s">
        <v>141</v>
      </c>
      <c r="E351" s="55" t="s">
        <v>941</v>
      </c>
      <c r="F351" s="65">
        <v>14</v>
      </c>
      <c r="G351" s="146" t="s">
        <v>942</v>
      </c>
      <c r="H351" s="146" t="s">
        <v>126</v>
      </c>
      <c r="I351" s="147" t="str">
        <f ca="1">OFFSET(OT[[#Headers],[T. CUENTA]],MATCH($H351,OT[T. CUENTA],0),1)</f>
        <v>GASTOS DE PERSONAL</v>
      </c>
      <c r="J351" s="147" t="s">
        <v>158</v>
      </c>
      <c r="K351" s="146" t="s">
        <v>65</v>
      </c>
      <c r="L351" s="148">
        <v>1</v>
      </c>
      <c r="M351" s="149">
        <v>28</v>
      </c>
      <c r="N351" s="150">
        <v>0</v>
      </c>
      <c r="O351" s="150"/>
      <c r="P351" s="152">
        <f>SALIDAS[[#This Row],[COSTO]]+SALIDAS[[#This Row],[IGV]]+SALIDAS[[#This Row],[INAFECTO]]</f>
        <v>28</v>
      </c>
      <c r="Q351" s="151" t="s">
        <v>943</v>
      </c>
    </row>
    <row r="352" spans="1:17" x14ac:dyDescent="0.25">
      <c r="A352" s="167">
        <v>346</v>
      </c>
      <c r="B352" s="64">
        <v>43600</v>
      </c>
      <c r="C352" s="30" t="str">
        <f>TEXT(SALIDAS[[#This Row],[FECHA]],"mmmm")</f>
        <v>Mayo</v>
      </c>
      <c r="D352" s="27" t="s">
        <v>12</v>
      </c>
      <c r="E352" s="55" t="s">
        <v>944</v>
      </c>
      <c r="F352" s="65">
        <v>14</v>
      </c>
      <c r="G352" s="146" t="s">
        <v>93</v>
      </c>
      <c r="H352" s="146" t="s">
        <v>93</v>
      </c>
      <c r="I352" s="147" t="str">
        <f ca="1">OFFSET(OT[[#Headers],[T. CUENTA]],MATCH($H352,OT[T. CUENTA],0),1)</f>
        <v>GASTOS DE PERSONAL</v>
      </c>
      <c r="J352" s="147" t="s">
        <v>158</v>
      </c>
      <c r="K352" s="146" t="s">
        <v>65</v>
      </c>
      <c r="L352" s="148">
        <v>1</v>
      </c>
      <c r="M352" s="149">
        <v>60</v>
      </c>
      <c r="N352" s="150">
        <v>0</v>
      </c>
      <c r="O352" s="150"/>
      <c r="P352" s="152">
        <f>SALIDAS[[#This Row],[COSTO]]+SALIDAS[[#This Row],[IGV]]+SALIDAS[[#This Row],[INAFECTO]]</f>
        <v>60</v>
      </c>
      <c r="Q352" s="151" t="s">
        <v>184</v>
      </c>
    </row>
    <row r="353" spans="1:17" x14ac:dyDescent="0.25">
      <c r="A353" s="167">
        <v>347</v>
      </c>
      <c r="B353" s="64">
        <v>43598</v>
      </c>
      <c r="C353" s="30" t="str">
        <f>TEXT(SALIDAS[[#This Row],[FECHA]],"mmmm")</f>
        <v>Mayo</v>
      </c>
      <c r="D353" s="27" t="s">
        <v>141</v>
      </c>
      <c r="E353" s="55" t="s">
        <v>945</v>
      </c>
      <c r="F353" s="65">
        <v>14</v>
      </c>
      <c r="G353" s="146" t="s">
        <v>946</v>
      </c>
      <c r="H353" s="146" t="s">
        <v>126</v>
      </c>
      <c r="I353" s="147" t="str">
        <f ca="1">OFFSET(OT[[#Headers],[T. CUENTA]],MATCH($H353,OT[T. CUENTA],0),1)</f>
        <v>GASTOS DE PERSONAL</v>
      </c>
      <c r="J353" s="147" t="s">
        <v>158</v>
      </c>
      <c r="K353" s="146" t="s">
        <v>65</v>
      </c>
      <c r="L353" s="148">
        <v>1</v>
      </c>
      <c r="M353" s="149">
        <v>113.75</v>
      </c>
      <c r="N353" s="150">
        <v>0</v>
      </c>
      <c r="O353" s="150"/>
      <c r="P353" s="152">
        <f>SALIDAS[[#This Row],[COSTO]]+SALIDAS[[#This Row],[IGV]]+SALIDAS[[#This Row],[INAFECTO]]</f>
        <v>113.75</v>
      </c>
      <c r="Q353" s="151" t="s">
        <v>687</v>
      </c>
    </row>
    <row r="863" spans="6:6" x14ac:dyDescent="0.25">
      <c r="F863" t="s">
        <v>391</v>
      </c>
    </row>
  </sheetData>
  <mergeCells count="1">
    <mergeCell ref="A2:O2"/>
  </mergeCells>
  <pageMargins left="0.70866141732283472" right="0.70866141732283472" top="0.74803149606299213" bottom="0.74803149606299213" header="0.31496062992125984" footer="0.31496062992125984"/>
  <pageSetup scale="39" orientation="landscape" horizontalDpi="4294967293" verticalDpi="4294967293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Tablas!$A$33:$A$40</xm:f>
          </x14:formula1>
          <xm:sqref>K7:K353</xm:sqref>
        </x14:dataValidation>
        <x14:dataValidation type="list" allowBlank="1" showInputMessage="1" showErrorMessage="1">
          <x14:formula1>
            <xm:f>Tablas!$A$18:$A$30</xm:f>
          </x14:formula1>
          <xm:sqref>D7:D353</xm:sqref>
        </x14:dataValidation>
        <x14:dataValidation type="list" allowBlank="1" showInputMessage="1" showErrorMessage="1">
          <x14:formula1>
            <xm:f>Tablas!$B$45:$B$105</xm:f>
          </x14:formula1>
          <xm:sqref>H7:H353</xm:sqref>
        </x14:dataValidation>
        <x14:dataValidation type="list" allowBlank="1" showInputMessage="1" showErrorMessage="1">
          <x14:formula1>
            <xm:f>Tablas!$G$45:$G$49</xm:f>
          </x14:formula1>
          <xm:sqref>J7:J353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105"/>
  <sheetViews>
    <sheetView showGridLines="0" topLeftCell="A64" workbookViewId="0">
      <selection activeCell="A70" sqref="A70:XFD70"/>
    </sheetView>
  </sheetViews>
  <sheetFormatPr baseColWidth="10" defaultRowHeight="15" x14ac:dyDescent="0.25"/>
  <cols>
    <col min="2" max="3" width="42.42578125" style="6" customWidth="1"/>
    <col min="5" max="5" width="21.42578125" customWidth="1"/>
    <col min="6" max="6" width="12.28515625" style="6" customWidth="1"/>
    <col min="7" max="7" width="33.28515625" customWidth="1"/>
  </cols>
  <sheetData>
    <row r="1" spans="1:5" x14ac:dyDescent="0.25">
      <c r="A1" t="s">
        <v>6</v>
      </c>
    </row>
    <row r="3" spans="1:5" x14ac:dyDescent="0.25">
      <c r="A3" s="173" t="s">
        <v>7</v>
      </c>
      <c r="B3" s="173"/>
      <c r="C3" s="44"/>
      <c r="D3" s="24" t="s">
        <v>70</v>
      </c>
      <c r="E3" s="38"/>
    </row>
    <row r="4" spans="1:5" x14ac:dyDescent="0.25">
      <c r="A4" s="7" t="s">
        <v>8</v>
      </c>
      <c r="B4" s="8" t="s">
        <v>9</v>
      </c>
      <c r="C4" s="13"/>
      <c r="D4" s="23" t="s">
        <v>50</v>
      </c>
      <c r="E4" s="13"/>
    </row>
    <row r="5" spans="1:5" x14ac:dyDescent="0.25">
      <c r="A5" s="7" t="s">
        <v>2</v>
      </c>
      <c r="B5" s="8" t="s">
        <v>1</v>
      </c>
      <c r="C5" s="13"/>
      <c r="D5" s="23" t="s">
        <v>51</v>
      </c>
      <c r="E5" s="13"/>
    </row>
    <row r="6" spans="1:5" x14ac:dyDescent="0.25">
      <c r="D6" s="23" t="s">
        <v>52</v>
      </c>
      <c r="E6" s="13"/>
    </row>
    <row r="7" spans="1:5" x14ac:dyDescent="0.25">
      <c r="A7" s="174" t="s">
        <v>21</v>
      </c>
      <c r="B7" s="174"/>
      <c r="C7" s="41"/>
      <c r="D7" s="23" t="s">
        <v>53</v>
      </c>
      <c r="E7" s="13"/>
    </row>
    <row r="8" spans="1:5" x14ac:dyDescent="0.25">
      <c r="A8" s="7" t="s">
        <v>19</v>
      </c>
      <c r="B8" s="8" t="s">
        <v>17</v>
      </c>
      <c r="C8" s="13"/>
      <c r="D8" s="23" t="s">
        <v>54</v>
      </c>
      <c r="E8" s="13"/>
    </row>
    <row r="9" spans="1:5" x14ac:dyDescent="0.25">
      <c r="A9" s="7" t="s">
        <v>20</v>
      </c>
      <c r="B9" s="8" t="s">
        <v>18</v>
      </c>
      <c r="C9" s="13"/>
      <c r="D9" s="23" t="s">
        <v>55</v>
      </c>
      <c r="E9" s="13"/>
    </row>
    <row r="10" spans="1:5" x14ac:dyDescent="0.25">
      <c r="A10" s="7" t="s">
        <v>36</v>
      </c>
      <c r="B10" s="8" t="s">
        <v>37</v>
      </c>
      <c r="C10" s="13"/>
      <c r="D10" s="23" t="s">
        <v>56</v>
      </c>
    </row>
    <row r="11" spans="1:5" x14ac:dyDescent="0.25">
      <c r="A11" s="7" t="s">
        <v>43</v>
      </c>
      <c r="B11" s="8" t="s">
        <v>42</v>
      </c>
      <c r="C11" s="13"/>
      <c r="D11" s="23" t="s">
        <v>57</v>
      </c>
    </row>
    <row r="12" spans="1:5" x14ac:dyDescent="0.25">
      <c r="A12" s="39" t="s">
        <v>71</v>
      </c>
      <c r="B12" s="8" t="s">
        <v>72</v>
      </c>
      <c r="C12" s="13"/>
      <c r="D12" s="23" t="s">
        <v>58</v>
      </c>
    </row>
    <row r="13" spans="1:5" x14ac:dyDescent="0.25">
      <c r="A13" s="7" t="s">
        <v>38</v>
      </c>
      <c r="B13" s="8" t="s">
        <v>39</v>
      </c>
      <c r="C13" s="13"/>
      <c r="D13" s="43" t="s">
        <v>59</v>
      </c>
    </row>
    <row r="14" spans="1:5" x14ac:dyDescent="0.25">
      <c r="A14" s="7" t="s">
        <v>41</v>
      </c>
      <c r="B14" s="8" t="s">
        <v>40</v>
      </c>
      <c r="C14" s="13"/>
      <c r="D14" s="23" t="s">
        <v>60</v>
      </c>
    </row>
    <row r="15" spans="1:5" x14ac:dyDescent="0.25">
      <c r="A15" s="12"/>
      <c r="B15" s="13"/>
      <c r="C15" s="13"/>
      <c r="D15" s="23" t="s">
        <v>61</v>
      </c>
    </row>
    <row r="16" spans="1:5" x14ac:dyDescent="0.25">
      <c r="D16" s="23" t="s">
        <v>62</v>
      </c>
    </row>
    <row r="17" spans="1:3" x14ac:dyDescent="0.25">
      <c r="A17" s="174" t="s">
        <v>23</v>
      </c>
      <c r="B17" s="174"/>
      <c r="C17" s="41"/>
    </row>
    <row r="18" spans="1:3" x14ac:dyDescent="0.25">
      <c r="A18" s="7" t="s">
        <v>12</v>
      </c>
      <c r="B18" s="8" t="s">
        <v>13</v>
      </c>
      <c r="C18" s="13"/>
    </row>
    <row r="19" spans="1:3" x14ac:dyDescent="0.25">
      <c r="A19" s="40" t="s">
        <v>191</v>
      </c>
      <c r="B19" s="8"/>
      <c r="C19" s="13"/>
    </row>
    <row r="20" spans="1:3" x14ac:dyDescent="0.25">
      <c r="A20" s="7" t="s">
        <v>10</v>
      </c>
      <c r="B20" s="8" t="s">
        <v>11</v>
      </c>
      <c r="C20" s="13"/>
    </row>
    <row r="21" spans="1:3" x14ac:dyDescent="0.25">
      <c r="A21" s="40" t="s">
        <v>135</v>
      </c>
      <c r="B21" s="8" t="s">
        <v>136</v>
      </c>
      <c r="C21" s="13"/>
    </row>
    <row r="22" spans="1:3" x14ac:dyDescent="0.25">
      <c r="A22" s="40" t="s">
        <v>16</v>
      </c>
      <c r="B22" s="8" t="s">
        <v>15</v>
      </c>
      <c r="C22" s="13"/>
    </row>
    <row r="23" spans="1:3" x14ac:dyDescent="0.25">
      <c r="A23" s="39" t="s">
        <v>138</v>
      </c>
      <c r="B23" s="8" t="s">
        <v>137</v>
      </c>
      <c r="C23" s="13"/>
    </row>
    <row r="24" spans="1:3" x14ac:dyDescent="0.25">
      <c r="A24" s="40" t="s">
        <v>141</v>
      </c>
      <c r="B24" s="8" t="s">
        <v>142</v>
      </c>
      <c r="C24" s="13"/>
    </row>
    <row r="25" spans="1:3" x14ac:dyDescent="0.25">
      <c r="A25" s="40" t="s">
        <v>143</v>
      </c>
      <c r="B25" s="8" t="s">
        <v>144</v>
      </c>
      <c r="C25" s="13"/>
    </row>
    <row r="26" spans="1:3" x14ac:dyDescent="0.25">
      <c r="A26" s="40" t="s">
        <v>145</v>
      </c>
      <c r="B26" s="8" t="s">
        <v>146</v>
      </c>
      <c r="C26" s="13"/>
    </row>
    <row r="27" spans="1:3" x14ac:dyDescent="0.25">
      <c r="A27" s="158" t="s">
        <v>837</v>
      </c>
      <c r="B27" s="8" t="s">
        <v>838</v>
      </c>
      <c r="C27" s="13"/>
    </row>
    <row r="28" spans="1:3" x14ac:dyDescent="0.25">
      <c r="A28" s="158" t="s">
        <v>839</v>
      </c>
      <c r="B28" s="8" t="s">
        <v>840</v>
      </c>
      <c r="C28" s="13"/>
    </row>
    <row r="29" spans="1:3" x14ac:dyDescent="0.25">
      <c r="A29" s="40" t="s">
        <v>147</v>
      </c>
      <c r="B29" s="8" t="s">
        <v>148</v>
      </c>
      <c r="C29" s="13"/>
    </row>
    <row r="30" spans="1:3" x14ac:dyDescent="0.25">
      <c r="A30" s="7" t="s">
        <v>139</v>
      </c>
      <c r="B30" s="8" t="s">
        <v>140</v>
      </c>
      <c r="C30" s="13"/>
    </row>
    <row r="32" spans="1:3" x14ac:dyDescent="0.25">
      <c r="A32" s="174" t="s">
        <v>24</v>
      </c>
      <c r="B32" s="174"/>
      <c r="C32" s="41"/>
    </row>
    <row r="33" spans="1:7" x14ac:dyDescent="0.25">
      <c r="A33" s="8" t="s">
        <v>25</v>
      </c>
      <c r="B33" s="8" t="s">
        <v>31</v>
      </c>
      <c r="C33" s="13"/>
    </row>
    <row r="34" spans="1:7" x14ac:dyDescent="0.25">
      <c r="A34" s="8" t="s">
        <v>26</v>
      </c>
      <c r="B34" s="8" t="s">
        <v>32</v>
      </c>
      <c r="C34" s="13"/>
    </row>
    <row r="35" spans="1:7" x14ac:dyDescent="0.25">
      <c r="A35" s="8" t="s">
        <v>65</v>
      </c>
      <c r="B35" s="8" t="s">
        <v>66</v>
      </c>
      <c r="C35" s="13"/>
    </row>
    <row r="36" spans="1:7" x14ac:dyDescent="0.25">
      <c r="A36" s="8" t="s">
        <v>27</v>
      </c>
      <c r="B36" s="8" t="s">
        <v>33</v>
      </c>
      <c r="C36" s="13"/>
    </row>
    <row r="37" spans="1:7" x14ac:dyDescent="0.25">
      <c r="A37" s="8" t="s">
        <v>28</v>
      </c>
      <c r="B37" s="8" t="s">
        <v>34</v>
      </c>
      <c r="C37" s="13"/>
    </row>
    <row r="38" spans="1:7" x14ac:dyDescent="0.25">
      <c r="A38" s="8" t="s">
        <v>63</v>
      </c>
      <c r="B38" s="8" t="s">
        <v>67</v>
      </c>
      <c r="C38" s="13"/>
    </row>
    <row r="39" spans="1:7" x14ac:dyDescent="0.25">
      <c r="A39" s="8" t="s">
        <v>64</v>
      </c>
      <c r="B39" s="8" t="s">
        <v>68</v>
      </c>
      <c r="C39" s="13"/>
    </row>
    <row r="40" spans="1:7" x14ac:dyDescent="0.25">
      <c r="A40" s="8" t="s">
        <v>30</v>
      </c>
      <c r="B40" s="8" t="s">
        <v>29</v>
      </c>
      <c r="C40" s="13"/>
    </row>
    <row r="42" spans="1:7" x14ac:dyDescent="0.25">
      <c r="A42" s="172" t="s">
        <v>149</v>
      </c>
      <c r="B42" s="172"/>
      <c r="C42" s="172"/>
      <c r="F42" s="172" t="s">
        <v>154</v>
      </c>
      <c r="G42" s="172"/>
    </row>
    <row r="43" spans="1:7" x14ac:dyDescent="0.25">
      <c r="A43" s="16"/>
      <c r="B43" s="25"/>
      <c r="C43" s="25"/>
      <c r="F43" s="48"/>
      <c r="G43" s="41"/>
    </row>
    <row r="44" spans="1:7" x14ac:dyDescent="0.25">
      <c r="A44" s="15" t="s">
        <v>44</v>
      </c>
      <c r="B44" s="6" t="s">
        <v>159</v>
      </c>
      <c r="C44" t="s">
        <v>160</v>
      </c>
      <c r="F44" s="15" t="s">
        <v>44</v>
      </c>
      <c r="G44" s="6" t="s">
        <v>73</v>
      </c>
    </row>
    <row r="45" spans="1:7" x14ac:dyDescent="0.25">
      <c r="A45" s="14">
        <v>1</v>
      </c>
      <c r="B45" s="45" t="s">
        <v>110</v>
      </c>
      <c r="C45" t="s">
        <v>133</v>
      </c>
      <c r="F45" s="14" t="s">
        <v>150</v>
      </c>
      <c r="G45" s="6" t="s">
        <v>155</v>
      </c>
    </row>
    <row r="46" spans="1:7" x14ac:dyDescent="0.25">
      <c r="A46" s="14">
        <f t="shared" ref="A46:A105" si="0">A45+1</f>
        <v>2</v>
      </c>
      <c r="B46" s="45" t="s">
        <v>94</v>
      </c>
      <c r="C46" t="s">
        <v>104</v>
      </c>
      <c r="F46" s="14" t="s">
        <v>151</v>
      </c>
      <c r="G46" s="45" t="s">
        <v>156</v>
      </c>
    </row>
    <row r="47" spans="1:7" x14ac:dyDescent="0.25">
      <c r="A47" s="14">
        <f t="shared" si="0"/>
        <v>3</v>
      </c>
      <c r="B47" s="45" t="s">
        <v>93</v>
      </c>
      <c r="C47" t="s">
        <v>104</v>
      </c>
      <c r="F47" s="14" t="s">
        <v>152</v>
      </c>
      <c r="G47" s="45" t="s">
        <v>157</v>
      </c>
    </row>
    <row r="48" spans="1:7" x14ac:dyDescent="0.25">
      <c r="A48" s="14">
        <f t="shared" si="0"/>
        <v>4</v>
      </c>
      <c r="B48" s="45" t="s">
        <v>117</v>
      </c>
      <c r="C48" t="s">
        <v>108</v>
      </c>
      <c r="F48" s="14" t="s">
        <v>153</v>
      </c>
      <c r="G48" s="45" t="s">
        <v>158</v>
      </c>
    </row>
    <row r="49" spans="1:7" x14ac:dyDescent="0.25">
      <c r="A49" s="14">
        <f t="shared" si="0"/>
        <v>5</v>
      </c>
      <c r="B49" s="45" t="s">
        <v>118</v>
      </c>
      <c r="C49" t="s">
        <v>108</v>
      </c>
      <c r="F49" s="14" t="s">
        <v>176</v>
      </c>
      <c r="G49" s="45" t="s">
        <v>228</v>
      </c>
    </row>
    <row r="50" spans="1:7" x14ac:dyDescent="0.25">
      <c r="A50" s="14">
        <f t="shared" si="0"/>
        <v>6</v>
      </c>
      <c r="B50" s="45" t="s">
        <v>116</v>
      </c>
      <c r="C50" t="s">
        <v>108</v>
      </c>
    </row>
    <row r="51" spans="1:7" x14ac:dyDescent="0.25">
      <c r="A51" s="14">
        <f t="shared" si="0"/>
        <v>7</v>
      </c>
      <c r="B51" s="45" t="s">
        <v>119</v>
      </c>
      <c r="C51" t="s">
        <v>108</v>
      </c>
    </row>
    <row r="52" spans="1:7" x14ac:dyDescent="0.25">
      <c r="A52" s="14">
        <f t="shared" si="0"/>
        <v>8</v>
      </c>
      <c r="B52" s="45" t="s">
        <v>113</v>
      </c>
      <c r="C52" t="s">
        <v>108</v>
      </c>
    </row>
    <row r="53" spans="1:7" x14ac:dyDescent="0.25">
      <c r="A53" s="14">
        <f t="shared" si="0"/>
        <v>9</v>
      </c>
      <c r="B53" s="45" t="s">
        <v>114</v>
      </c>
      <c r="C53" t="s">
        <v>108</v>
      </c>
    </row>
    <row r="54" spans="1:7" x14ac:dyDescent="0.25">
      <c r="A54" s="14">
        <f t="shared" si="0"/>
        <v>10</v>
      </c>
      <c r="B54" s="45" t="s">
        <v>111</v>
      </c>
      <c r="C54" t="s">
        <v>108</v>
      </c>
    </row>
    <row r="55" spans="1:7" x14ac:dyDescent="0.25">
      <c r="A55" s="14">
        <f t="shared" si="0"/>
        <v>11</v>
      </c>
      <c r="B55" s="45" t="s">
        <v>112</v>
      </c>
      <c r="C55" t="s">
        <v>108</v>
      </c>
    </row>
    <row r="56" spans="1:7" x14ac:dyDescent="0.25">
      <c r="A56" s="14">
        <f t="shared" si="0"/>
        <v>12</v>
      </c>
      <c r="B56" s="45" t="s">
        <v>92</v>
      </c>
      <c r="C56" t="s">
        <v>104</v>
      </c>
    </row>
    <row r="57" spans="1:7" x14ac:dyDescent="0.25">
      <c r="A57" s="14">
        <f t="shared" si="0"/>
        <v>13</v>
      </c>
      <c r="B57" s="45" t="s">
        <v>80</v>
      </c>
      <c r="C57" t="s">
        <v>103</v>
      </c>
    </row>
    <row r="58" spans="1:7" x14ac:dyDescent="0.25">
      <c r="A58" s="14">
        <f t="shared" si="0"/>
        <v>14</v>
      </c>
      <c r="B58" s="49" t="s">
        <v>187</v>
      </c>
      <c r="C58" t="s">
        <v>108</v>
      </c>
    </row>
    <row r="59" spans="1:7" x14ac:dyDescent="0.25">
      <c r="A59" s="14">
        <f t="shared" si="0"/>
        <v>15</v>
      </c>
      <c r="B59" s="49" t="s">
        <v>198</v>
      </c>
      <c r="C59" t="s">
        <v>108</v>
      </c>
    </row>
    <row r="60" spans="1:7" x14ac:dyDescent="0.25">
      <c r="A60" s="14">
        <f t="shared" si="0"/>
        <v>16</v>
      </c>
      <c r="B60" s="45" t="s">
        <v>130</v>
      </c>
      <c r="C60" t="s">
        <v>128</v>
      </c>
    </row>
    <row r="61" spans="1:7" x14ac:dyDescent="0.25">
      <c r="A61" s="14">
        <f t="shared" si="0"/>
        <v>17</v>
      </c>
      <c r="B61" s="45" t="s">
        <v>101</v>
      </c>
      <c r="C61" t="s">
        <v>97</v>
      </c>
    </row>
    <row r="62" spans="1:7" x14ac:dyDescent="0.25">
      <c r="A62" s="14">
        <f t="shared" si="0"/>
        <v>18</v>
      </c>
      <c r="B62" s="45" t="s">
        <v>82</v>
      </c>
      <c r="C62" t="s">
        <v>103</v>
      </c>
    </row>
    <row r="63" spans="1:7" x14ac:dyDescent="0.25">
      <c r="A63" s="14">
        <f t="shared" si="0"/>
        <v>19</v>
      </c>
      <c r="B63" s="45" t="s">
        <v>86</v>
      </c>
      <c r="C63" t="s">
        <v>103</v>
      </c>
    </row>
    <row r="64" spans="1:7" x14ac:dyDescent="0.25">
      <c r="A64" s="14">
        <f t="shared" si="0"/>
        <v>20</v>
      </c>
      <c r="B64" s="45" t="s">
        <v>107</v>
      </c>
      <c r="C64" t="s">
        <v>108</v>
      </c>
    </row>
    <row r="65" spans="1:6" x14ac:dyDescent="0.25">
      <c r="A65" s="14">
        <f t="shared" si="0"/>
        <v>21</v>
      </c>
      <c r="B65" s="46" t="s">
        <v>88</v>
      </c>
      <c r="C65" t="s">
        <v>103</v>
      </c>
      <c r="F65" s="45"/>
    </row>
    <row r="66" spans="1:6" x14ac:dyDescent="0.25">
      <c r="A66" s="14">
        <f t="shared" si="0"/>
        <v>22</v>
      </c>
      <c r="B66" s="46" t="s">
        <v>90</v>
      </c>
      <c r="C66" t="s">
        <v>103</v>
      </c>
      <c r="F66" s="45"/>
    </row>
    <row r="67" spans="1:6" x14ac:dyDescent="0.25">
      <c r="A67" s="14">
        <f t="shared" si="0"/>
        <v>23</v>
      </c>
      <c r="B67" s="45" t="s">
        <v>87</v>
      </c>
      <c r="C67" t="s">
        <v>103</v>
      </c>
      <c r="F67" s="45"/>
    </row>
    <row r="68" spans="1:6" x14ac:dyDescent="0.25">
      <c r="A68" s="14">
        <f t="shared" si="0"/>
        <v>24</v>
      </c>
      <c r="B68" s="45" t="s">
        <v>125</v>
      </c>
      <c r="C68" t="s">
        <v>108</v>
      </c>
      <c r="F68" s="45"/>
    </row>
    <row r="69" spans="1:6" x14ac:dyDescent="0.25">
      <c r="A69" s="14">
        <f t="shared" si="0"/>
        <v>25</v>
      </c>
      <c r="B69" s="50" t="s">
        <v>167</v>
      </c>
      <c r="C69" t="s">
        <v>97</v>
      </c>
      <c r="F69" s="45"/>
    </row>
    <row r="70" spans="1:6" x14ac:dyDescent="0.25">
      <c r="A70" s="14">
        <f>A69+1</f>
        <v>26</v>
      </c>
      <c r="B70" s="46" t="s">
        <v>91</v>
      </c>
      <c r="C70" t="s">
        <v>103</v>
      </c>
      <c r="F70" s="45"/>
    </row>
    <row r="71" spans="1:6" x14ac:dyDescent="0.25">
      <c r="A71" s="14">
        <f t="shared" si="0"/>
        <v>27</v>
      </c>
      <c r="B71" s="45" t="s">
        <v>129</v>
      </c>
      <c r="C71" t="s">
        <v>128</v>
      </c>
      <c r="F71" s="45"/>
    </row>
    <row r="72" spans="1:6" x14ac:dyDescent="0.25">
      <c r="A72" s="14">
        <f t="shared" si="0"/>
        <v>28</v>
      </c>
      <c r="B72" s="45" t="s">
        <v>100</v>
      </c>
      <c r="C72" t="s">
        <v>97</v>
      </c>
      <c r="F72" s="45"/>
    </row>
    <row r="73" spans="1:6" x14ac:dyDescent="0.25">
      <c r="A73" s="14">
        <f t="shared" si="0"/>
        <v>29</v>
      </c>
      <c r="B73" s="45" t="s">
        <v>81</v>
      </c>
      <c r="C73" t="s">
        <v>103</v>
      </c>
      <c r="F73" s="47"/>
    </row>
    <row r="74" spans="1:6" x14ac:dyDescent="0.25">
      <c r="A74" s="14">
        <f t="shared" si="0"/>
        <v>30</v>
      </c>
      <c r="B74" s="45" t="s">
        <v>109</v>
      </c>
      <c r="C74" t="s">
        <v>108</v>
      </c>
      <c r="F74" s="45"/>
    </row>
    <row r="75" spans="1:6" x14ac:dyDescent="0.25">
      <c r="A75" s="14">
        <f t="shared" si="0"/>
        <v>31</v>
      </c>
      <c r="B75" s="45" t="s">
        <v>78</v>
      </c>
      <c r="C75" t="s">
        <v>103</v>
      </c>
      <c r="F75" s="47"/>
    </row>
    <row r="76" spans="1:6" x14ac:dyDescent="0.25">
      <c r="A76" s="14">
        <f t="shared" si="0"/>
        <v>32</v>
      </c>
      <c r="B76" s="45" t="s">
        <v>85</v>
      </c>
      <c r="C76" t="s">
        <v>103</v>
      </c>
      <c r="F76" s="47"/>
    </row>
    <row r="77" spans="1:6" x14ac:dyDescent="0.25">
      <c r="A77" s="14">
        <f t="shared" si="0"/>
        <v>33</v>
      </c>
      <c r="B77" s="45" t="s">
        <v>422</v>
      </c>
      <c r="C77" t="s">
        <v>103</v>
      </c>
      <c r="F77" s="47"/>
    </row>
    <row r="78" spans="1:6" x14ac:dyDescent="0.25">
      <c r="A78" s="14">
        <f t="shared" si="0"/>
        <v>34</v>
      </c>
      <c r="B78" s="45" t="s">
        <v>423</v>
      </c>
      <c r="C78" t="s">
        <v>103</v>
      </c>
      <c r="F78" s="47"/>
    </row>
    <row r="79" spans="1:6" x14ac:dyDescent="0.25">
      <c r="A79" s="14">
        <f t="shared" si="0"/>
        <v>35</v>
      </c>
      <c r="B79" s="45" t="s">
        <v>424</v>
      </c>
      <c r="C79" t="s">
        <v>103</v>
      </c>
      <c r="F79" s="47"/>
    </row>
    <row r="80" spans="1:6" x14ac:dyDescent="0.25">
      <c r="A80" s="14">
        <f t="shared" si="0"/>
        <v>36</v>
      </c>
      <c r="B80" s="45" t="s">
        <v>425</v>
      </c>
      <c r="C80" t="s">
        <v>103</v>
      </c>
      <c r="F80" s="47"/>
    </row>
    <row r="81" spans="1:6" x14ac:dyDescent="0.25">
      <c r="A81" s="14">
        <f t="shared" si="0"/>
        <v>37</v>
      </c>
      <c r="B81" s="45" t="s">
        <v>426</v>
      </c>
      <c r="C81" t="s">
        <v>103</v>
      </c>
      <c r="F81" s="47"/>
    </row>
    <row r="82" spans="1:6" x14ac:dyDescent="0.25">
      <c r="A82" s="14">
        <f t="shared" si="0"/>
        <v>38</v>
      </c>
      <c r="B82" s="45" t="s">
        <v>890</v>
      </c>
      <c r="C82" t="s">
        <v>103</v>
      </c>
      <c r="F82" s="47"/>
    </row>
    <row r="83" spans="1:6" x14ac:dyDescent="0.25">
      <c r="A83" s="14">
        <f t="shared" si="0"/>
        <v>39</v>
      </c>
      <c r="B83" s="45" t="s">
        <v>126</v>
      </c>
      <c r="C83" t="s">
        <v>104</v>
      </c>
      <c r="F83" s="47"/>
    </row>
    <row r="84" spans="1:6" x14ac:dyDescent="0.25">
      <c r="A84" s="14">
        <f t="shared" si="0"/>
        <v>40</v>
      </c>
      <c r="B84" s="45" t="s">
        <v>89</v>
      </c>
      <c r="C84" t="s">
        <v>103</v>
      </c>
      <c r="F84" s="47"/>
    </row>
    <row r="85" spans="1:6" x14ac:dyDescent="0.25">
      <c r="A85" s="14">
        <f t="shared" si="0"/>
        <v>41</v>
      </c>
      <c r="B85" s="45" t="s">
        <v>115</v>
      </c>
      <c r="C85" t="s">
        <v>108</v>
      </c>
      <c r="F85" s="47"/>
    </row>
    <row r="86" spans="1:6" x14ac:dyDescent="0.25">
      <c r="A86" s="14">
        <f t="shared" si="0"/>
        <v>42</v>
      </c>
      <c r="B86" s="45" t="s">
        <v>131</v>
      </c>
      <c r="C86" t="s">
        <v>128</v>
      </c>
      <c r="F86" s="45"/>
    </row>
    <row r="87" spans="1:6" x14ac:dyDescent="0.25">
      <c r="A87" s="14">
        <f t="shared" si="0"/>
        <v>43</v>
      </c>
      <c r="B87" s="45" t="s">
        <v>95</v>
      </c>
      <c r="C87" t="s">
        <v>104</v>
      </c>
      <c r="F87" s="45"/>
    </row>
    <row r="88" spans="1:6" x14ac:dyDescent="0.25">
      <c r="A88" s="14">
        <f t="shared" si="0"/>
        <v>44</v>
      </c>
      <c r="B88" s="45" t="s">
        <v>127</v>
      </c>
      <c r="C88" t="s">
        <v>108</v>
      </c>
      <c r="F88" s="45"/>
    </row>
    <row r="89" spans="1:6" x14ac:dyDescent="0.25">
      <c r="A89" s="14">
        <f t="shared" si="0"/>
        <v>45</v>
      </c>
      <c r="B89" s="45" t="s">
        <v>83</v>
      </c>
      <c r="C89" t="s">
        <v>103</v>
      </c>
      <c r="F89" s="45"/>
    </row>
    <row r="90" spans="1:6" x14ac:dyDescent="0.25">
      <c r="A90" s="14">
        <f t="shared" si="0"/>
        <v>46</v>
      </c>
      <c r="B90" s="49" t="s">
        <v>194</v>
      </c>
      <c r="C90" t="s">
        <v>108</v>
      </c>
      <c r="F90" s="45"/>
    </row>
    <row r="91" spans="1:6" x14ac:dyDescent="0.25">
      <c r="A91" s="14">
        <f t="shared" si="0"/>
        <v>47</v>
      </c>
      <c r="B91" s="45" t="s">
        <v>96</v>
      </c>
      <c r="C91" t="s">
        <v>108</v>
      </c>
      <c r="F91" s="45"/>
    </row>
    <row r="92" spans="1:6" x14ac:dyDescent="0.25">
      <c r="A92" s="14">
        <f t="shared" si="0"/>
        <v>48</v>
      </c>
      <c r="B92" s="45" t="s">
        <v>124</v>
      </c>
      <c r="C92" t="s">
        <v>108</v>
      </c>
      <c r="F92" s="45"/>
    </row>
    <row r="93" spans="1:6" x14ac:dyDescent="0.25">
      <c r="A93" s="14">
        <f t="shared" si="0"/>
        <v>49</v>
      </c>
      <c r="B93" s="45" t="s">
        <v>84</v>
      </c>
      <c r="C93" t="s">
        <v>103</v>
      </c>
      <c r="F93" s="45"/>
    </row>
    <row r="94" spans="1:6" x14ac:dyDescent="0.25">
      <c r="A94" s="14">
        <f t="shared" si="0"/>
        <v>50</v>
      </c>
      <c r="B94" s="45" t="s">
        <v>102</v>
      </c>
      <c r="C94" t="s">
        <v>97</v>
      </c>
      <c r="F94" s="45"/>
    </row>
    <row r="95" spans="1:6" x14ac:dyDescent="0.25">
      <c r="A95" s="14">
        <f t="shared" si="0"/>
        <v>51</v>
      </c>
      <c r="B95" s="45" t="s">
        <v>98</v>
      </c>
      <c r="C95" t="s">
        <v>97</v>
      </c>
      <c r="F95" s="45"/>
    </row>
    <row r="96" spans="1:6" x14ac:dyDescent="0.25">
      <c r="A96" s="14">
        <f t="shared" si="0"/>
        <v>52</v>
      </c>
      <c r="B96" s="45" t="s">
        <v>122</v>
      </c>
      <c r="C96" t="s">
        <v>108</v>
      </c>
      <c r="F96" s="45"/>
    </row>
    <row r="97" spans="1:6" x14ac:dyDescent="0.25">
      <c r="A97" s="14">
        <f t="shared" si="0"/>
        <v>53</v>
      </c>
      <c r="B97" s="45" t="s">
        <v>120</v>
      </c>
      <c r="C97" t="s">
        <v>108</v>
      </c>
      <c r="F97" s="45"/>
    </row>
    <row r="98" spans="1:6" x14ac:dyDescent="0.25">
      <c r="A98" s="14">
        <f t="shared" si="0"/>
        <v>54</v>
      </c>
      <c r="B98" s="45" t="s">
        <v>123</v>
      </c>
      <c r="C98" t="s">
        <v>108</v>
      </c>
      <c r="F98" s="45"/>
    </row>
    <row r="99" spans="1:6" x14ac:dyDescent="0.25">
      <c r="A99" s="14">
        <f t="shared" si="0"/>
        <v>55</v>
      </c>
      <c r="B99" s="45" t="s">
        <v>121</v>
      </c>
      <c r="C99" t="s">
        <v>108</v>
      </c>
      <c r="F99" s="45"/>
    </row>
    <row r="100" spans="1:6" x14ac:dyDescent="0.25">
      <c r="A100" s="14">
        <f t="shared" si="0"/>
        <v>56</v>
      </c>
      <c r="B100" s="45" t="s">
        <v>79</v>
      </c>
      <c r="C100" t="s">
        <v>103</v>
      </c>
      <c r="F100" s="45"/>
    </row>
    <row r="101" spans="1:6" x14ac:dyDescent="0.25">
      <c r="A101" s="14">
        <f t="shared" si="0"/>
        <v>57</v>
      </c>
      <c r="B101" s="45" t="s">
        <v>99</v>
      </c>
      <c r="C101" t="s">
        <v>97</v>
      </c>
      <c r="F101" s="45"/>
    </row>
    <row r="102" spans="1:6" x14ac:dyDescent="0.25">
      <c r="A102" s="14">
        <f t="shared" si="0"/>
        <v>58</v>
      </c>
      <c r="B102" s="51" t="s">
        <v>105</v>
      </c>
      <c r="C102" t="s">
        <v>108</v>
      </c>
      <c r="F102" s="45"/>
    </row>
    <row r="103" spans="1:6" x14ac:dyDescent="0.25">
      <c r="A103" s="14">
        <f t="shared" si="0"/>
        <v>59</v>
      </c>
      <c r="B103" s="45" t="s">
        <v>106</v>
      </c>
      <c r="C103" t="s">
        <v>104</v>
      </c>
      <c r="F103" s="45"/>
    </row>
    <row r="104" spans="1:6" x14ac:dyDescent="0.25">
      <c r="A104" s="14">
        <f t="shared" si="0"/>
        <v>60</v>
      </c>
      <c r="B104" s="45" t="s">
        <v>134</v>
      </c>
      <c r="C104" t="s">
        <v>133</v>
      </c>
    </row>
    <row r="105" spans="1:6" x14ac:dyDescent="0.25">
      <c r="A105" s="14">
        <f t="shared" si="0"/>
        <v>61</v>
      </c>
      <c r="B105" s="45" t="s">
        <v>132</v>
      </c>
      <c r="C105" t="s">
        <v>133</v>
      </c>
    </row>
  </sheetData>
  <sortState ref="A17:B22">
    <sortCondition ref="A17"/>
  </sortState>
  <mergeCells count="6">
    <mergeCell ref="F42:G42"/>
    <mergeCell ref="A3:B3"/>
    <mergeCell ref="A17:B17"/>
    <mergeCell ref="A7:B7"/>
    <mergeCell ref="A32:B32"/>
    <mergeCell ref="A42:C42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7</vt:i4>
      </vt:variant>
    </vt:vector>
  </HeadingPairs>
  <TitlesOfParts>
    <vt:vector size="11" baseType="lpstr">
      <vt:lpstr>Dashboard</vt:lpstr>
      <vt:lpstr>Movimiento FR</vt:lpstr>
      <vt:lpstr>Detalle FR</vt:lpstr>
      <vt:lpstr>Tablas</vt:lpstr>
      <vt:lpstr>Dashboard!Área_de_impresión</vt:lpstr>
      <vt:lpstr>'Detalle FR'!Área_de_impresión</vt:lpstr>
      <vt:lpstr>'Movimiento FR'!Área_de_impresión</vt:lpstr>
      <vt:lpstr>TCUENTA</vt:lpstr>
      <vt:lpstr>TDOCUMENTO</vt:lpstr>
      <vt:lpstr>TOPERACION</vt:lpstr>
      <vt:lpstr>TORIGEN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 KARDEX ALMACEN</dc:title>
  <dc:subject>OBRA</dc:subject>
  <dc:creator>PILAR SANTISTEBAN VARGAS</dc:creator>
  <cp:keywords/>
  <cp:lastModifiedBy>user</cp:lastModifiedBy>
  <cp:lastPrinted>2019-05-11T21:15:57Z</cp:lastPrinted>
  <dcterms:created xsi:type="dcterms:W3CDTF">2018-07-31T14:53:50Z</dcterms:created>
  <dcterms:modified xsi:type="dcterms:W3CDTF">2019-05-18T17:57:13Z</dcterms:modified>
  <cp:contentStatus>ADMINISTRADOR DE OBRA</cp:contentStatus>
</cp:coreProperties>
</file>